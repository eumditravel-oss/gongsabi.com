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202\Desktop\"/>
    </mc:Choice>
  </mc:AlternateContent>
  <bookViews>
    <workbookView xWindow="0" yWindow="0" windowWidth="7470" windowHeight="4500" tabRatio="728" activeTab="1"/>
  </bookViews>
  <sheets>
    <sheet name="공사비닷컴_검색조건" sheetId="2" r:id="rId1"/>
    <sheet name="검색조건-1차시안(21.02.22)" sheetId="1" r:id="rId2"/>
  </sheets>
  <definedNames>
    <definedName name="A111111111111111111111111111111">'검색조건-1차시안(21.02.22)'!$A$8</definedName>
    <definedName name="A99999999">'검색조건-1차시안(21.02.22)'!$A$99985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O18" i="1" s="1"/>
  <c r="M18" i="2" l="1"/>
  <c r="M19" i="2" s="1"/>
  <c r="A13" i="2" l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12" i="1" l="1"/>
  <c r="A13" i="1" s="1"/>
  <c r="A14" i="1" s="1"/>
  <c r="A15" i="1" s="1"/>
  <c r="A16" i="1" s="1"/>
  <c r="A17" i="1" s="1"/>
</calcChain>
</file>

<file path=xl/comments1.xml><?xml version="1.0" encoding="utf-8"?>
<comments xmlns="http://schemas.openxmlformats.org/spreadsheetml/2006/main">
  <authors>
    <author>공사비01</author>
    <author>user202</author>
  </authors>
  <commentList>
    <comment ref="A1" authorId="0" shapeId="0">
      <text>
        <r>
          <rPr>
            <b/>
            <sz val="11"/>
            <color indexed="10"/>
            <rFont val="맑은 고딕"/>
            <family val="3"/>
            <charset val="129"/>
          </rPr>
          <t xml:space="preserve">★ "개산견적은 최소 평면도, 입면도, 단면도가 있을 경우 가능" 표기 여부
★개산견적 범위를 어디까지 표현해야하는지???
★업무시설의 예시 1개를 할 것이 아니고, 여러 예시를 찾아 비교검토 필요- 
평균값이 아닌 임의계산된 값이므로 예시별로 변동가능성 → 오차범위 지정 필요
★ 사용자가 건축을 아는 사람들이 보는 사이트인지 다시 확인
★평입단면도만 가지고 조감도 /3D 표현 가능한지 (하우빌드 참조)
</t>
        </r>
      </text>
    </comment>
    <comment ref="G9" authorId="0" shapeId="0">
      <text>
        <r>
          <rPr>
            <b/>
            <sz val="9"/>
            <color indexed="81"/>
            <rFont val="돋움"/>
            <family val="3"/>
            <charset val="129"/>
          </rPr>
          <t>지역에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MAX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
빨강칸으로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띄울지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구동방식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O9" authorId="0" shapeId="0">
      <text>
        <r>
          <rPr>
            <b/>
            <sz val="9"/>
            <color indexed="81"/>
            <rFont val="돋움"/>
            <family val="3"/>
            <charset val="129"/>
          </rPr>
          <t>공통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마감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선택부분으로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
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바닥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천정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내벽
종류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광범위
중급자재를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변경시</t>
        </r>
        <r>
          <rPr>
            <b/>
            <sz val="9"/>
            <color indexed="81"/>
            <rFont val="Tahoma"/>
            <family val="2"/>
          </rPr>
          <t xml:space="preserve"> %</t>
        </r>
        <r>
          <rPr>
            <b/>
            <sz val="9"/>
            <color indexed="81"/>
            <rFont val="돋움"/>
            <family val="3"/>
            <charset val="129"/>
          </rPr>
          <t>변경에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언급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Q9" authorId="0" shapeId="0">
      <text>
        <r>
          <rPr>
            <b/>
            <sz val="9"/>
            <color indexed="81"/>
            <rFont val="돋움"/>
            <family val="3"/>
            <charset val="129"/>
          </rPr>
          <t>설계심의단계에서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개산견적에서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X
</t>
        </r>
      </text>
    </comment>
    <comment ref="T9" authorId="0" shapeId="0">
      <text>
        <r>
          <rPr>
            <b/>
            <sz val="9"/>
            <color indexed="81"/>
            <rFont val="돋움"/>
            <family val="3"/>
            <charset val="129"/>
          </rPr>
          <t>서울을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
지역당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땅값에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복잡한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</text>
    </comment>
    <comment ref="F12" authorId="0" shapeId="0">
      <text>
        <r>
          <rPr>
            <b/>
            <sz val="9"/>
            <color indexed="81"/>
            <rFont val="돋움"/>
            <family val="3"/>
            <charset val="129"/>
          </rPr>
          <t>정의가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메모처럼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옵션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커서댈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옆에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있도록
공공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고밀주거형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준주거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지역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건폐율</t>
        </r>
        <r>
          <rPr>
            <b/>
            <sz val="9"/>
            <color indexed="81"/>
            <rFont val="Tahoma"/>
            <family val="2"/>
          </rPr>
          <t xml:space="preserve"> 50%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용적률</t>
        </r>
        <r>
          <rPr>
            <b/>
            <sz val="9"/>
            <color indexed="81"/>
            <rFont val="Tahoma"/>
            <family val="2"/>
          </rPr>
          <t xml:space="preserve"> 500% </t>
        </r>
        <r>
          <rPr>
            <b/>
            <sz val="9"/>
            <color indexed="81"/>
            <rFont val="돋움"/>
            <family val="3"/>
            <charset val="129"/>
          </rPr>
          <t>이하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13" authorId="0" shapeId="0">
      <text>
        <r>
          <rPr>
            <b/>
            <sz val="9"/>
            <color indexed="81"/>
            <rFont val="돋움"/>
            <family val="3"/>
            <charset val="129"/>
          </rPr>
          <t>건물층수는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M13" authorId="0" shapeId="0">
      <text>
        <r>
          <rPr>
            <b/>
            <sz val="9"/>
            <color indexed="81"/>
            <rFont val="돋움"/>
            <family val="3"/>
            <charset val="129"/>
          </rPr>
          <t>합이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팝업창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일반인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사용자일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창호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석재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알루미늄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쉬트에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어려움
건물종류별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평균값에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비중이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</text>
    </comment>
    <comment ref="R21" authorId="0" shapeId="0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리모델링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증축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녹색건축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친환경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콘덴싱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보일러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태양광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M2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층이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다양한데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해야하는지</t>
        </r>
        <r>
          <rPr>
            <b/>
            <sz val="9"/>
            <color indexed="81"/>
            <rFont val="Tahoma"/>
            <family val="2"/>
          </rPr>
          <t xml:space="preserve">, 
</t>
        </r>
        <r>
          <rPr>
            <b/>
            <sz val="9"/>
            <color indexed="81"/>
            <rFont val="돋움"/>
            <family val="3"/>
            <charset val="129"/>
          </rPr>
          <t>표현은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것인지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모든건물을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지하층</t>
        </r>
        <r>
          <rPr>
            <b/>
            <sz val="9"/>
            <color indexed="81"/>
            <rFont val="Tahoma"/>
            <family val="2"/>
          </rPr>
          <t>, 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>, 2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기준층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옥탑층으로만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표현해도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조건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건물높이를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
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보여져야함
지상층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</t>
        </r>
        <r>
          <rPr>
            <b/>
            <sz val="9"/>
            <color indexed="81"/>
            <rFont val="Tahoma"/>
            <family val="2"/>
          </rPr>
          <t xml:space="preserve">&lt; </t>
        </r>
        <r>
          <rPr>
            <b/>
            <sz val="9"/>
            <color indexed="81"/>
            <rFont val="돋움"/>
            <family val="3"/>
            <charset val="129"/>
          </rPr>
          <t>건물높이</t>
        </r>
      </text>
    </comment>
    <comment ref="A51" authorId="0" shapeId="0">
      <text>
        <r>
          <rPr>
            <b/>
            <sz val="9"/>
            <color indexed="81"/>
            <rFont val="돋움"/>
            <family val="3"/>
            <charset val="129"/>
          </rPr>
          <t>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늘었다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줄었다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해야하는데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가능한가</t>
        </r>
        <r>
          <rPr>
            <b/>
            <sz val="9"/>
            <color indexed="81"/>
            <rFont val="Tahoma"/>
            <family val="2"/>
          </rPr>
          <t>?
17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표시해주어야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변경가능성은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것인지
</t>
        </r>
      </text>
    </comment>
    <comment ref="I51" authorId="0" shapeId="0">
      <text>
        <r>
          <rPr>
            <b/>
            <sz val="9"/>
            <color indexed="81"/>
            <rFont val="돋움"/>
            <family val="3"/>
            <charset val="129"/>
          </rPr>
          <t>두께에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G60" authorId="1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필수사항인지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
추가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9" authorId="0" shapeId="0">
      <text>
        <r>
          <rPr>
            <sz val="9"/>
            <color indexed="81"/>
            <rFont val="돋움"/>
            <family val="3"/>
            <charset val="129"/>
          </rPr>
          <t>두께에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최대값이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아닌지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user202</author>
    <author>공사비01</author>
  </authors>
  <commentList>
    <comment ref="A8" authorId="0" shapeId="0">
      <text>
        <r>
          <rPr>
            <b/>
            <sz val="10"/>
            <color indexed="81"/>
            <rFont val="돋움"/>
            <family val="3"/>
            <charset val="129"/>
          </rPr>
          <t>건물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종류에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따른</t>
        </r>
        <r>
          <rPr>
            <b/>
            <sz val="10"/>
            <color indexed="81"/>
            <rFont val="Tahoma"/>
            <family val="2"/>
          </rPr>
          <t xml:space="preserve"> 
</t>
        </r>
        <r>
          <rPr>
            <b/>
            <sz val="10"/>
            <color indexed="81"/>
            <rFont val="돋움"/>
            <family val="3"/>
            <charset val="129"/>
          </rPr>
          <t>지역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지구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기본값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분류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예정</t>
        </r>
      </text>
    </comment>
    <comment ref="E8" authorId="1" shapeId="0">
      <text>
        <r>
          <rPr>
            <b/>
            <sz val="10"/>
            <color indexed="81"/>
            <rFont val="돋움"/>
            <family val="3"/>
            <charset val="129"/>
          </rPr>
          <t>지역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및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클릭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건폐율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용적률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설정</t>
        </r>
      </text>
    </comment>
    <comment ref="R8" authorId="1" shapeId="0">
      <text>
        <r>
          <rPr>
            <b/>
            <sz val="9"/>
            <color indexed="81"/>
            <rFont val="돋움"/>
            <family val="3"/>
            <charset val="129"/>
          </rPr>
          <t>공통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마감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선택부분으로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
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
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바닥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천정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내벽
종류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광범위
중급자재를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고급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변경시</t>
        </r>
        <r>
          <rPr>
            <b/>
            <sz val="9"/>
            <color indexed="81"/>
            <rFont val="Tahoma"/>
            <family val="2"/>
          </rPr>
          <t xml:space="preserve"> %</t>
        </r>
        <r>
          <rPr>
            <b/>
            <sz val="9"/>
            <color indexed="81"/>
            <rFont val="돋움"/>
            <family val="3"/>
            <charset val="129"/>
          </rPr>
          <t>변경에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언급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M12" authorId="1" shapeId="0">
      <text>
        <r>
          <rPr>
            <b/>
            <sz val="10"/>
            <color indexed="81"/>
            <rFont val="돋움"/>
            <family val="3"/>
            <charset val="129"/>
          </rPr>
          <t>건물층수는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정수로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표기되어야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
자동계산이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아닌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사용자가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범위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지정하는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방법으로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변경될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있음</t>
        </r>
      </text>
    </comment>
    <comment ref="O12" authorId="1" shapeId="0">
      <text>
        <r>
          <rPr>
            <b/>
            <sz val="10"/>
            <color indexed="81"/>
            <rFont val="돋움"/>
            <family val="3"/>
            <charset val="129"/>
          </rPr>
          <t>합이</t>
        </r>
        <r>
          <rPr>
            <b/>
            <sz val="10"/>
            <color indexed="81"/>
            <rFont val="Tahoma"/>
            <family val="2"/>
          </rPr>
          <t xml:space="preserve"> 100</t>
        </r>
        <r>
          <rPr>
            <b/>
            <sz val="10"/>
            <color indexed="81"/>
            <rFont val="돋움"/>
            <family val="3"/>
            <charset val="129"/>
          </rPr>
          <t>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팝업창</t>
        </r>
        <r>
          <rPr>
            <b/>
            <sz val="10"/>
            <color indexed="81"/>
            <rFont val="Tahoma"/>
            <family val="2"/>
          </rPr>
          <t xml:space="preserve"> 
</t>
        </r>
        <r>
          <rPr>
            <b/>
            <sz val="10"/>
            <color indexed="81"/>
            <rFont val="돋움"/>
            <family val="3"/>
            <charset val="129"/>
          </rPr>
          <t>건물종류별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평균값을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지정하여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고정값이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있음</t>
        </r>
      </text>
    </comment>
    <comment ref="J15" authorId="0" shapeId="0">
      <text>
        <r>
          <rPr>
            <b/>
            <sz val="10"/>
            <color indexed="81"/>
            <rFont val="Tahoma"/>
            <family val="2"/>
          </rPr>
          <t>12.42%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임의값이므로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변경가능</t>
        </r>
      </text>
    </comment>
    <comment ref="N19" authorId="0" shapeId="0">
      <text>
        <r>
          <rPr>
            <b/>
            <sz val="10"/>
            <color indexed="81"/>
            <rFont val="돋움"/>
            <family val="3"/>
            <charset val="129"/>
          </rPr>
          <t>건물둘레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옥탑둘레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지하둘레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계산에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사용된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비율은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임의값이므로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변경가능</t>
        </r>
      </text>
    </comment>
    <comment ref="O23" authorId="1" shapeId="0">
      <text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어려움이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건물종류별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평균값을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적용받을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
조건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건물높이를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
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보여져야함
지상층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높이의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</t>
        </r>
        <r>
          <rPr>
            <b/>
            <sz val="9"/>
            <color indexed="81"/>
            <rFont val="Tahoma"/>
            <family val="2"/>
          </rPr>
          <t xml:space="preserve">&lt; </t>
        </r>
        <r>
          <rPr>
            <b/>
            <sz val="9"/>
            <color indexed="81"/>
            <rFont val="돋움"/>
            <family val="3"/>
            <charset val="129"/>
          </rPr>
          <t>건물높이</t>
        </r>
      </text>
    </comment>
    <comment ref="A38" authorId="1" shapeId="0">
      <text>
        <r>
          <rPr>
            <b/>
            <sz val="9"/>
            <color indexed="81"/>
            <rFont val="돋움"/>
            <family val="3"/>
            <charset val="129"/>
          </rPr>
          <t>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늘었다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줄었다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해야하는데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가능한가</t>
        </r>
        <r>
          <rPr>
            <b/>
            <sz val="9"/>
            <color indexed="81"/>
            <rFont val="Tahoma"/>
            <family val="2"/>
          </rPr>
          <t>?
17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건물유형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표시해주어야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변경가능성은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것인지
</t>
        </r>
      </text>
    </comment>
    <comment ref="I38" authorId="1" shapeId="0">
      <text>
        <r>
          <rPr>
            <b/>
            <sz val="9"/>
            <color indexed="81"/>
            <rFont val="돋움"/>
            <family val="3"/>
            <charset val="129"/>
          </rPr>
          <t>두께에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최대값이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G47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필수사항인지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
추가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<sst xmlns="http://schemas.openxmlformats.org/spreadsheetml/2006/main" count="374" uniqueCount="211">
  <si>
    <t>건물종류</t>
  </si>
  <si>
    <t>아파트</t>
    <phoneticPr fontId="2" type="noConversion"/>
  </si>
  <si>
    <t>서울</t>
    <phoneticPr fontId="2" type="noConversion"/>
  </si>
  <si>
    <t>고급</t>
    <phoneticPr fontId="2" type="noConversion"/>
  </si>
  <si>
    <t>주상복합</t>
    <phoneticPr fontId="2" type="noConversion"/>
  </si>
  <si>
    <t>중급</t>
    <phoneticPr fontId="2" type="noConversion"/>
  </si>
  <si>
    <t>오피스텔</t>
    <phoneticPr fontId="2" type="noConversion"/>
  </si>
  <si>
    <t>일반</t>
    <phoneticPr fontId="2" type="noConversion"/>
  </si>
  <si>
    <t>기타</t>
    <phoneticPr fontId="2" type="noConversion"/>
  </si>
  <si>
    <t>빌라</t>
    <phoneticPr fontId="2" type="noConversion"/>
  </si>
  <si>
    <t>단독주택</t>
    <phoneticPr fontId="2" type="noConversion"/>
  </si>
  <si>
    <t>근생</t>
    <phoneticPr fontId="2" type="noConversion"/>
  </si>
  <si>
    <t>종교</t>
    <phoneticPr fontId="2" type="noConversion"/>
  </si>
  <si>
    <t>판매</t>
    <phoneticPr fontId="2" type="noConversion"/>
  </si>
  <si>
    <t>의료</t>
    <phoneticPr fontId="2" type="noConversion"/>
  </si>
  <si>
    <t>운동</t>
    <phoneticPr fontId="2" type="noConversion"/>
  </si>
  <si>
    <t>공장</t>
    <phoneticPr fontId="2" type="noConversion"/>
  </si>
  <si>
    <t>창고</t>
    <phoneticPr fontId="2" type="noConversion"/>
  </si>
  <si>
    <t>대지면적 (M2)</t>
    <phoneticPr fontId="2" type="noConversion"/>
  </si>
  <si>
    <t>건축면적 (M2)</t>
    <phoneticPr fontId="2" type="noConversion"/>
  </si>
  <si>
    <t>건폐율</t>
    <phoneticPr fontId="2" type="noConversion"/>
  </si>
  <si>
    <t>용적률</t>
    <phoneticPr fontId="2" type="noConversion"/>
  </si>
  <si>
    <t>지하</t>
    <phoneticPr fontId="2" type="noConversion"/>
  </si>
  <si>
    <t>지상</t>
    <phoneticPr fontId="2" type="noConversion"/>
  </si>
  <si>
    <t>지반형태</t>
    <phoneticPr fontId="2" type="noConversion"/>
  </si>
  <si>
    <t>유</t>
    <phoneticPr fontId="2" type="noConversion"/>
  </si>
  <si>
    <t>구조형식</t>
    <phoneticPr fontId="2" type="noConversion"/>
  </si>
  <si>
    <t>지역</t>
    <phoneticPr fontId="2" type="noConversion"/>
  </si>
  <si>
    <t>내진등급</t>
    <phoneticPr fontId="2" type="noConversion"/>
  </si>
  <si>
    <t>내진설계 특등급</t>
    <phoneticPr fontId="2" type="noConversion"/>
  </si>
  <si>
    <t>내진 설계 1등급</t>
    <phoneticPr fontId="2" type="noConversion"/>
  </si>
  <si>
    <t>내진 설계 2등급</t>
    <phoneticPr fontId="2" type="noConversion"/>
  </si>
  <si>
    <t>건물외형</t>
    <phoneticPr fontId="2" type="noConversion"/>
  </si>
  <si>
    <t>정형구조(일반)</t>
    <phoneticPr fontId="2" type="noConversion"/>
  </si>
  <si>
    <t>비정형구조(특수)</t>
    <phoneticPr fontId="2" type="noConversion"/>
  </si>
  <si>
    <t>냉난방 방식</t>
    <phoneticPr fontId="2" type="noConversion"/>
  </si>
  <si>
    <t>건축물 인증</t>
    <phoneticPr fontId="2" type="noConversion"/>
  </si>
  <si>
    <t>- 신재생에너지</t>
    <phoneticPr fontId="2" type="noConversion"/>
  </si>
  <si>
    <t>- 에너지 효율등급</t>
    <phoneticPr fontId="2" type="noConversion"/>
  </si>
  <si>
    <t>1+++등급</t>
    <phoneticPr fontId="2" type="noConversion"/>
  </si>
  <si>
    <t>1등급 ~ 1++ 등급</t>
    <phoneticPr fontId="2" type="noConversion"/>
  </si>
  <si>
    <t>해당사항 없음</t>
    <phoneticPr fontId="2" type="noConversion"/>
  </si>
  <si>
    <t>해당사항 있음</t>
    <phoneticPr fontId="2" type="noConversion"/>
  </si>
  <si>
    <t>- 녹색건축인증</t>
    <phoneticPr fontId="2" type="noConversion"/>
  </si>
  <si>
    <t>최우수</t>
    <phoneticPr fontId="2" type="noConversion"/>
  </si>
  <si>
    <t>우수</t>
    <phoneticPr fontId="2" type="noConversion"/>
  </si>
  <si>
    <t>우량</t>
    <phoneticPr fontId="2" type="noConversion"/>
  </si>
  <si>
    <t>2등급~4등급</t>
    <phoneticPr fontId="2" type="noConversion"/>
  </si>
  <si>
    <t>5등급~7등급</t>
    <phoneticPr fontId="2" type="noConversion"/>
  </si>
  <si>
    <t>해당사항 없음</t>
    <phoneticPr fontId="2" type="noConversion"/>
  </si>
  <si>
    <t>-BF 인증</t>
    <phoneticPr fontId="2" type="noConversion"/>
  </si>
  <si>
    <t>개별방식</t>
    <phoneticPr fontId="2" type="noConversion"/>
  </si>
  <si>
    <t>중앙집중방식</t>
    <phoneticPr fontId="2" type="noConversion"/>
  </si>
  <si>
    <t>외부 마감자재 
등급</t>
    <phoneticPr fontId="2" type="noConversion"/>
  </si>
  <si>
    <t>오피스</t>
    <phoneticPr fontId="2" type="noConversion"/>
  </si>
  <si>
    <t>연구시설</t>
    <phoneticPr fontId="2" type="noConversion"/>
  </si>
  <si>
    <t>관청</t>
    <phoneticPr fontId="2" type="noConversion"/>
  </si>
  <si>
    <t>문화</t>
    <phoneticPr fontId="2" type="noConversion"/>
  </si>
  <si>
    <t>지역 및 지구</t>
    <phoneticPr fontId="2" type="noConversion"/>
  </si>
  <si>
    <t>제 1종 전용주거지역</t>
    <phoneticPr fontId="2" type="noConversion"/>
  </si>
  <si>
    <t>제 2종 전용주거지역</t>
  </si>
  <si>
    <t>제 1종 일반주거지역</t>
    <phoneticPr fontId="2" type="noConversion"/>
  </si>
  <si>
    <t>제 2종 일반주거지역</t>
  </si>
  <si>
    <t>제 3종 일반주거지역</t>
  </si>
  <si>
    <t>준주거지역</t>
    <phoneticPr fontId="2" type="noConversion"/>
  </si>
  <si>
    <t>일반상업지역</t>
    <phoneticPr fontId="2" type="noConversion"/>
  </si>
  <si>
    <t>중심상업지역</t>
    <phoneticPr fontId="2" type="noConversion"/>
  </si>
  <si>
    <t>근린상업지역</t>
    <phoneticPr fontId="2" type="noConversion"/>
  </si>
  <si>
    <t>유통상업지역</t>
    <phoneticPr fontId="2" type="noConversion"/>
  </si>
  <si>
    <t>전용공업지역</t>
    <phoneticPr fontId="2" type="noConversion"/>
  </si>
  <si>
    <t>일반공업지역</t>
    <phoneticPr fontId="2" type="noConversion"/>
  </si>
  <si>
    <t>준공업지역</t>
    <phoneticPr fontId="2" type="noConversion"/>
  </si>
  <si>
    <t>보전녹지지역</t>
    <phoneticPr fontId="2" type="noConversion"/>
  </si>
  <si>
    <t>생산녹지지역</t>
    <phoneticPr fontId="2" type="noConversion"/>
  </si>
  <si>
    <t>자연녹지지역</t>
    <phoneticPr fontId="2" type="noConversion"/>
  </si>
  <si>
    <t>보전관리지역</t>
    <phoneticPr fontId="2" type="noConversion"/>
  </si>
  <si>
    <t>생산관리지역</t>
    <phoneticPr fontId="2" type="noConversion"/>
  </si>
  <si>
    <t>계획관리지역</t>
    <phoneticPr fontId="2" type="noConversion"/>
  </si>
  <si>
    <t>용적률</t>
    <phoneticPr fontId="2" type="noConversion"/>
  </si>
  <si>
    <t>사용자 직접입력</t>
    <phoneticPr fontId="2" type="noConversion"/>
  </si>
  <si>
    <t>대지둘레 (M)</t>
    <phoneticPr fontId="2" type="noConversion"/>
  </si>
  <si>
    <t>대지면적*12.42%</t>
    <phoneticPr fontId="2" type="noConversion"/>
  </si>
  <si>
    <t>연면적 (M2)</t>
    <phoneticPr fontId="2" type="noConversion"/>
  </si>
  <si>
    <t>지하층 직접입력</t>
    <phoneticPr fontId="2" type="noConversion"/>
  </si>
  <si>
    <t>지상층= 대지면적*용적률</t>
    <phoneticPr fontId="2" type="noConversion"/>
  </si>
  <si>
    <t>조경면적 (M2)</t>
    <phoneticPr fontId="2" type="noConversion"/>
  </si>
  <si>
    <t>대지면적*건폐율</t>
    <phoneticPr fontId="2" type="noConversion"/>
  </si>
  <si>
    <t>건물높이 (M2)</t>
    <phoneticPr fontId="2" type="noConversion"/>
  </si>
  <si>
    <t>건물층수 (최대)</t>
    <phoneticPr fontId="2" type="noConversion"/>
  </si>
  <si>
    <t>용적율*대지면적 / 건축면적 (층변화없이 올라갈경우 - 지하층제외)</t>
  </si>
  <si>
    <t>건축면적/대지둘레(가중평균높이로 계산)</t>
  </si>
  <si>
    <t>건물둘레 (M)</t>
    <phoneticPr fontId="2" type="noConversion"/>
  </si>
  <si>
    <t>건축면적의  16.9% 적용(임의계산)</t>
  </si>
  <si>
    <t>옥탑면적 (M2)</t>
    <phoneticPr fontId="2" type="noConversion"/>
  </si>
  <si>
    <t>옥탑면적은 건축면적의 1/8을 초과할수 없다</t>
  </si>
  <si>
    <t>옥탑둘레 (M)</t>
    <phoneticPr fontId="2" type="noConversion"/>
  </si>
  <si>
    <t>옥탑면적의  43.15% 적용(임의계산)</t>
  </si>
  <si>
    <t>지하둘레 (M)</t>
    <phoneticPr fontId="2" type="noConversion"/>
  </si>
  <si>
    <t>지하연면적의  6.84% 적용(임의계산)</t>
  </si>
  <si>
    <t>외벽면적 (M2)</t>
    <phoneticPr fontId="2" type="noConversion"/>
  </si>
  <si>
    <t>외벽 재료 비율</t>
    <phoneticPr fontId="2" type="noConversion"/>
  </si>
  <si>
    <t>사용자 직접입력</t>
    <phoneticPr fontId="2" type="noConversion"/>
  </si>
  <si>
    <t>창호 - 사용자 직접입력</t>
    <phoneticPr fontId="2" type="noConversion"/>
  </si>
  <si>
    <t>석재 - 사용자 직접입력</t>
    <phoneticPr fontId="2" type="noConversion"/>
  </si>
  <si>
    <t>알루미늄쉬트 - 사용자 직접입력</t>
    <phoneticPr fontId="2" type="noConversion"/>
  </si>
  <si>
    <t>합계 - 100%</t>
    <phoneticPr fontId="2" type="noConversion"/>
  </si>
  <si>
    <t>공사기간</t>
    <phoneticPr fontId="2" type="noConversion"/>
  </si>
  <si>
    <t>자동계산</t>
    <phoneticPr fontId="2" type="noConversion"/>
  </si>
  <si>
    <t>공통</t>
    <phoneticPr fontId="2" type="noConversion"/>
  </si>
  <si>
    <t>각층의 층고 및 수량</t>
    <phoneticPr fontId="2" type="noConversion"/>
  </si>
  <si>
    <t>지상 - 사용자 직접입력</t>
    <phoneticPr fontId="2" type="noConversion"/>
  </si>
  <si>
    <t>지하 - 사용자 직접입력</t>
    <phoneticPr fontId="2" type="noConversion"/>
  </si>
  <si>
    <t>마감</t>
    <phoneticPr fontId="2" type="noConversion"/>
  </si>
  <si>
    <t>토목</t>
    <phoneticPr fontId="2" type="noConversion"/>
  </si>
  <si>
    <t>구조</t>
    <phoneticPr fontId="2" type="noConversion"/>
  </si>
  <si>
    <t>기계</t>
    <phoneticPr fontId="2" type="noConversion"/>
  </si>
  <si>
    <t>전기</t>
    <phoneticPr fontId="2" type="noConversion"/>
  </si>
  <si>
    <t>토공사</t>
    <phoneticPr fontId="2" type="noConversion"/>
  </si>
  <si>
    <t>터파기</t>
    <phoneticPr fontId="2" type="noConversion"/>
  </si>
  <si>
    <t>되메우기</t>
    <phoneticPr fontId="2" type="noConversion"/>
  </si>
  <si>
    <t>잔토처리</t>
    <phoneticPr fontId="2" type="noConversion"/>
  </si>
  <si>
    <t>흙막이공사</t>
    <phoneticPr fontId="2" type="noConversion"/>
  </si>
  <si>
    <t>부대공사</t>
    <phoneticPr fontId="2" type="noConversion"/>
  </si>
  <si>
    <t>우수공사</t>
    <phoneticPr fontId="2" type="noConversion"/>
  </si>
  <si>
    <t>오수공사</t>
    <phoneticPr fontId="2" type="noConversion"/>
  </si>
  <si>
    <t>조경</t>
    <phoneticPr fontId="2" type="noConversion"/>
  </si>
  <si>
    <t>유</t>
    <phoneticPr fontId="2" type="noConversion"/>
  </si>
  <si>
    <t>무</t>
    <phoneticPr fontId="2" type="noConversion"/>
  </si>
  <si>
    <t>일반지반</t>
  </si>
  <si>
    <t>특수지반</t>
  </si>
  <si>
    <t>철거공사</t>
    <phoneticPr fontId="2" type="noConversion"/>
  </si>
  <si>
    <t>포함</t>
  </si>
  <si>
    <t>미포함</t>
  </si>
  <si>
    <t>철골조</t>
  </si>
  <si>
    <t>철골 철근 콘크리트조</t>
  </si>
  <si>
    <t>철근 콘크리트조</t>
  </si>
  <si>
    <t>합벽여부</t>
    <phoneticPr fontId="2" type="noConversion"/>
  </si>
  <si>
    <t>RAMP 여부</t>
    <phoneticPr fontId="2" type="noConversion"/>
  </si>
  <si>
    <t>곡면 여부</t>
    <phoneticPr fontId="2" type="noConversion"/>
  </si>
  <si>
    <t>기본 스판 모듈(X/Y)</t>
    <phoneticPr fontId="2" type="noConversion"/>
  </si>
  <si>
    <t>가로 - 사용자 직접입력</t>
    <phoneticPr fontId="2" type="noConversion"/>
  </si>
  <si>
    <t>세로 - 사용자 직접입력</t>
    <phoneticPr fontId="2" type="noConversion"/>
  </si>
  <si>
    <t>버림</t>
    <phoneticPr fontId="2" type="noConversion"/>
  </si>
  <si>
    <t>잡석</t>
    <phoneticPr fontId="2" type="noConversion"/>
  </si>
  <si>
    <t>경기</t>
    <phoneticPr fontId="2" type="noConversion"/>
  </si>
  <si>
    <t>인천</t>
    <phoneticPr fontId="2" type="noConversion"/>
  </si>
  <si>
    <t>부산</t>
    <phoneticPr fontId="2" type="noConversion"/>
  </si>
  <si>
    <t>대전</t>
    <phoneticPr fontId="2" type="noConversion"/>
  </si>
  <si>
    <t>대구</t>
    <phoneticPr fontId="2" type="noConversion"/>
  </si>
  <si>
    <t>울산</t>
    <phoneticPr fontId="2" type="noConversion"/>
  </si>
  <si>
    <t>세종</t>
    <phoneticPr fontId="2" type="noConversion"/>
  </si>
  <si>
    <t>광주</t>
    <phoneticPr fontId="2" type="noConversion"/>
  </si>
  <si>
    <t>강원</t>
    <phoneticPr fontId="2" type="noConversion"/>
  </si>
  <si>
    <t>충청</t>
    <phoneticPr fontId="2" type="noConversion"/>
  </si>
  <si>
    <t>경상</t>
    <phoneticPr fontId="2" type="noConversion"/>
  </si>
  <si>
    <t>전라</t>
    <phoneticPr fontId="2" type="noConversion"/>
  </si>
  <si>
    <t>제주</t>
    <phoneticPr fontId="2" type="noConversion"/>
  </si>
  <si>
    <t>BASIC</t>
    <phoneticPr fontId="2" type="noConversion"/>
  </si>
  <si>
    <t>2차 개발</t>
    <phoneticPr fontId="2" type="noConversion"/>
  </si>
  <si>
    <t>내부 마감자재 등급</t>
    <phoneticPr fontId="2" type="noConversion"/>
  </si>
  <si>
    <t>지하</t>
    <phoneticPr fontId="2" type="noConversion"/>
  </si>
  <si>
    <t>지상</t>
    <phoneticPr fontId="2" type="noConversion"/>
  </si>
  <si>
    <t>업무시설 기본층고</t>
    <phoneticPr fontId="2" type="noConversion"/>
  </si>
  <si>
    <t>기초</t>
    <phoneticPr fontId="2" type="noConversion"/>
  </si>
  <si>
    <t>내수압슬라브 기초</t>
    <phoneticPr fontId="2" type="noConversion"/>
  </si>
  <si>
    <t>독립기초</t>
    <phoneticPr fontId="2" type="noConversion"/>
  </si>
  <si>
    <t>줄기초</t>
    <phoneticPr fontId="2" type="noConversion"/>
  </si>
  <si>
    <t>매트기초</t>
    <phoneticPr fontId="2" type="noConversion"/>
  </si>
  <si>
    <t>복합기초</t>
    <phoneticPr fontId="2" type="noConversion"/>
  </si>
  <si>
    <t>보</t>
    <phoneticPr fontId="2" type="noConversion"/>
  </si>
  <si>
    <t>철골보</t>
    <phoneticPr fontId="2" type="noConversion"/>
  </si>
  <si>
    <t>기초 두께 (MM)</t>
    <phoneticPr fontId="2" type="noConversion"/>
  </si>
  <si>
    <t>동바리</t>
    <phoneticPr fontId="2" type="noConversion"/>
  </si>
  <si>
    <t>업무시설</t>
    <phoneticPr fontId="2" type="noConversion"/>
  </si>
  <si>
    <t>화장실</t>
    <phoneticPr fontId="2" type="noConversion"/>
  </si>
  <si>
    <t>파라펫방수</t>
    <phoneticPr fontId="2" type="noConversion"/>
  </si>
  <si>
    <t>TOP SLAB</t>
    <phoneticPr fontId="2" type="noConversion"/>
  </si>
  <si>
    <t>화장실방수</t>
    <phoneticPr fontId="2" type="noConversion"/>
  </si>
  <si>
    <t>기타</t>
    <phoneticPr fontId="2" type="noConversion"/>
  </si>
  <si>
    <t>기타</t>
    <phoneticPr fontId="2" type="noConversion"/>
  </si>
  <si>
    <t>PC보</t>
  </si>
  <si>
    <t>RC보</t>
  </si>
  <si>
    <t>슬라브</t>
    <phoneticPr fontId="2" type="noConversion"/>
  </si>
  <si>
    <t>데크조</t>
    <phoneticPr fontId="2" type="noConversion"/>
  </si>
  <si>
    <t>RC조</t>
  </si>
  <si>
    <t>PC조</t>
  </si>
  <si>
    <t>합성보</t>
    <phoneticPr fontId="2" type="noConversion"/>
  </si>
  <si>
    <t>무</t>
  </si>
  <si>
    <t>줄기초</t>
    <phoneticPr fontId="2" type="noConversion"/>
  </si>
  <si>
    <t>복합기초</t>
    <phoneticPr fontId="2" type="noConversion"/>
  </si>
  <si>
    <t>업무시설, 오피스, 근생</t>
    <phoneticPr fontId="2" type="noConversion"/>
  </si>
  <si>
    <t>건물종류</t>
    <phoneticPr fontId="2" type="noConversion"/>
  </si>
  <si>
    <t>공장, 창고, 물류센터, 판매시설</t>
    <phoneticPr fontId="2" type="noConversion"/>
  </si>
  <si>
    <t>아파트, 주상복합, 오피스텔</t>
    <phoneticPr fontId="2" type="noConversion"/>
  </si>
  <si>
    <t>단독주택, 빌라</t>
    <phoneticPr fontId="2" type="noConversion"/>
  </si>
  <si>
    <t>병원(의료시설)</t>
    <phoneticPr fontId="2" type="noConversion"/>
  </si>
  <si>
    <t>연구시설, 관청, 문화, 교육</t>
    <phoneticPr fontId="2" type="noConversion"/>
  </si>
  <si>
    <t>종교, 기타</t>
    <phoneticPr fontId="2" type="noConversion"/>
  </si>
  <si>
    <t>계획관리지역</t>
  </si>
  <si>
    <t>(추후 추가 가능)</t>
    <phoneticPr fontId="2" type="noConversion"/>
  </si>
  <si>
    <t>(추후 추가 가능)</t>
    <phoneticPr fontId="2" type="noConversion"/>
  </si>
  <si>
    <t xml:space="preserve">8 ~ </t>
    <phoneticPr fontId="2" type="noConversion"/>
  </si>
  <si>
    <t>20 ~</t>
    <phoneticPr fontId="2" type="noConversion"/>
  </si>
  <si>
    <t>합계</t>
    <phoneticPr fontId="2" type="noConversion"/>
  </si>
  <si>
    <t>사용자 직접입력 / 범위 설정</t>
    <phoneticPr fontId="2" type="noConversion"/>
  </si>
  <si>
    <t>옥탑면적의  43.15% 적용(임의계산)</t>
    <phoneticPr fontId="2" type="noConversion"/>
  </si>
  <si>
    <t>공통</t>
    <phoneticPr fontId="2" type="noConversion"/>
  </si>
  <si>
    <t>건물층수</t>
    <phoneticPr fontId="2" type="noConversion"/>
  </si>
  <si>
    <t>합계 - 100% (1+2+3 고정값)</t>
    <phoneticPr fontId="2" type="noConversion"/>
  </si>
  <si>
    <t>1단계</t>
    <phoneticPr fontId="2" type="noConversion"/>
  </si>
  <si>
    <t>2단계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</si>
</sst>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3F3F3F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2" borderId="18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176" fontId="0" fillId="0" borderId="2" xfId="0" applyNumberFormat="1" applyFill="1" applyBorder="1">
      <alignment vertical="center"/>
    </xf>
    <xf numFmtId="0" fontId="0" fillId="0" borderId="14" xfId="0" applyFill="1" applyBorder="1">
      <alignment vertical="center"/>
    </xf>
    <xf numFmtId="49" fontId="0" fillId="0" borderId="15" xfId="0" applyNumberFormat="1" applyFill="1" applyBorder="1">
      <alignment vertical="center"/>
    </xf>
    <xf numFmtId="41" fontId="0" fillId="0" borderId="15" xfId="1" applyFont="1" applyFill="1" applyBorder="1">
      <alignment vertical="center"/>
    </xf>
    <xf numFmtId="177" fontId="0" fillId="0" borderId="15" xfId="0" applyNumberFormat="1" applyFill="1" applyBorder="1">
      <alignment vertical="center"/>
    </xf>
    <xf numFmtId="0" fontId="0" fillId="0" borderId="16" xfId="0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17" xfId="0" applyFill="1" applyBorder="1">
      <alignment vertical="center"/>
    </xf>
    <xf numFmtId="49" fontId="0" fillId="0" borderId="3" xfId="0" applyNumberFormat="1" applyFill="1" applyBorder="1">
      <alignment vertical="center"/>
    </xf>
    <xf numFmtId="49" fontId="0" fillId="0" borderId="19" xfId="0" applyNumberFormat="1" applyFill="1" applyBorder="1">
      <alignment vertical="center"/>
    </xf>
    <xf numFmtId="49" fontId="0" fillId="0" borderId="2" xfId="0" applyNumberFormat="1" applyFill="1" applyBorder="1">
      <alignment vertical="center"/>
    </xf>
    <xf numFmtId="0" fontId="0" fillId="0" borderId="2" xfId="0" applyFill="1" applyBorder="1">
      <alignment vertical="center"/>
    </xf>
    <xf numFmtId="49" fontId="0" fillId="0" borderId="5" xfId="0" applyNumberFormat="1" applyFill="1" applyBorder="1">
      <alignment vertical="center"/>
    </xf>
    <xf numFmtId="49" fontId="0" fillId="0" borderId="4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7" borderId="2" xfId="0" applyNumberFormat="1" applyFill="1" applyBorder="1">
      <alignment vertical="center"/>
    </xf>
    <xf numFmtId="0" fontId="0" fillId="0" borderId="5" xfId="0" applyFill="1" applyBorder="1">
      <alignment vertical="center"/>
    </xf>
    <xf numFmtId="49" fontId="0" fillId="0" borderId="25" xfId="0" applyNumberFormat="1" applyFill="1" applyBorder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Fill="1" applyBorder="1">
      <alignment vertical="center"/>
    </xf>
    <xf numFmtId="0" fontId="0" fillId="0" borderId="28" xfId="0" applyFill="1" applyBorder="1">
      <alignment vertical="center"/>
    </xf>
    <xf numFmtId="49" fontId="3" fillId="0" borderId="15" xfId="0" applyNumberFormat="1" applyFont="1" applyFill="1" applyBorder="1">
      <alignment vertical="center"/>
    </xf>
    <xf numFmtId="41" fontId="0" fillId="0" borderId="25" xfId="1" applyFont="1" applyFill="1" applyBorder="1">
      <alignment vertical="center"/>
    </xf>
    <xf numFmtId="49" fontId="0" fillId="0" borderId="14" xfId="0" applyNumberFormat="1" applyFill="1" applyBorder="1">
      <alignment vertical="center"/>
    </xf>
    <xf numFmtId="41" fontId="0" fillId="0" borderId="14" xfId="1" applyFont="1" applyFill="1" applyBorder="1">
      <alignment vertical="center"/>
    </xf>
    <xf numFmtId="177" fontId="0" fillId="0" borderId="14" xfId="0" applyNumberFormat="1" applyFill="1" applyBorder="1">
      <alignment vertical="center"/>
    </xf>
    <xf numFmtId="176" fontId="0" fillId="0" borderId="16" xfId="0" applyNumberFormat="1" applyFill="1" applyBorder="1">
      <alignment vertical="center"/>
    </xf>
    <xf numFmtId="176" fontId="0" fillId="0" borderId="25" xfId="0" applyNumberFormat="1" applyFill="1" applyBorder="1">
      <alignment vertical="center"/>
    </xf>
    <xf numFmtId="176" fontId="0" fillId="0" borderId="19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0" fillId="0" borderId="31" xfId="0" applyNumberFormat="1" applyFill="1" applyBorder="1">
      <alignment vertical="center"/>
    </xf>
    <xf numFmtId="0" fontId="9" fillId="0" borderId="0" xfId="0" applyFont="1" applyAlignment="1">
      <alignment horizontal="center" vertical="center"/>
    </xf>
    <xf numFmtId="49" fontId="0" fillId="0" borderId="37" xfId="0" applyNumberFormat="1" applyFill="1" applyBorder="1">
      <alignment vertical="center"/>
    </xf>
    <xf numFmtId="49" fontId="0" fillId="0" borderId="38" xfId="0" applyNumberFormat="1" applyFill="1" applyBorder="1">
      <alignment vertical="center"/>
    </xf>
    <xf numFmtId="176" fontId="0" fillId="0" borderId="35" xfId="0" applyNumberFormat="1" applyFill="1" applyBorder="1">
      <alignment vertical="center"/>
    </xf>
    <xf numFmtId="0" fontId="3" fillId="0" borderId="14" xfId="0" applyFont="1" applyFill="1" applyBorder="1">
      <alignment vertical="center"/>
    </xf>
    <xf numFmtId="49" fontId="3" fillId="0" borderId="19" xfId="0" applyNumberFormat="1" applyFont="1" applyFill="1" applyBorder="1">
      <alignment vertical="center"/>
    </xf>
    <xf numFmtId="0" fontId="3" fillId="0" borderId="19" xfId="0" applyFont="1" applyFill="1" applyBorder="1">
      <alignment vertical="center"/>
    </xf>
    <xf numFmtId="0" fontId="3" fillId="0" borderId="16" xfId="0" applyFont="1" applyFill="1" applyBorder="1">
      <alignment vertical="center"/>
    </xf>
    <xf numFmtId="49" fontId="3" fillId="0" borderId="4" xfId="0" applyNumberFormat="1" applyFont="1" applyFill="1" applyBorder="1">
      <alignment vertical="center"/>
    </xf>
    <xf numFmtId="49" fontId="3" fillId="0" borderId="2" xfId="0" applyNumberFormat="1" applyFont="1" applyFill="1" applyBorder="1">
      <alignment vertical="center"/>
    </xf>
    <xf numFmtId="49" fontId="3" fillId="0" borderId="5" xfId="0" applyNumberFormat="1" applyFont="1" applyFill="1" applyBorder="1">
      <alignment vertical="center"/>
    </xf>
    <xf numFmtId="0" fontId="0" fillId="0" borderId="39" xfId="0" applyFill="1" applyBorder="1">
      <alignment vertical="center"/>
    </xf>
    <xf numFmtId="0" fontId="0" fillId="8" borderId="14" xfId="0" applyFill="1" applyBorder="1">
      <alignment vertical="center"/>
    </xf>
    <xf numFmtId="49" fontId="0" fillId="8" borderId="2" xfId="0" applyNumberFormat="1" applyFill="1" applyBorder="1">
      <alignment vertical="center"/>
    </xf>
    <xf numFmtId="0" fontId="0" fillId="8" borderId="16" xfId="0" applyFill="1" applyBorder="1">
      <alignment vertical="center"/>
    </xf>
    <xf numFmtId="49" fontId="0" fillId="8" borderId="5" xfId="0" applyNumberFormat="1" applyFill="1" applyBorder="1">
      <alignment vertical="center"/>
    </xf>
    <xf numFmtId="0" fontId="9" fillId="0" borderId="0" xfId="0" applyFont="1" applyAlignment="1">
      <alignment vertical="center"/>
    </xf>
    <xf numFmtId="0" fontId="8" fillId="9" borderId="22" xfId="2" applyFont="1" applyFill="1" applyBorder="1">
      <alignment vertical="center"/>
    </xf>
    <xf numFmtId="0" fontId="8" fillId="9" borderId="24" xfId="2" quotePrefix="1" applyNumberFormat="1" applyFont="1" applyFill="1" applyBorder="1">
      <alignment vertical="center"/>
    </xf>
    <xf numFmtId="0" fontId="8" fillId="9" borderId="24" xfId="2" applyFont="1" applyFill="1" applyBorder="1">
      <alignment vertical="center"/>
    </xf>
    <xf numFmtId="0" fontId="8" fillId="9" borderId="23" xfId="2" quotePrefix="1" applyNumberFormat="1" applyFont="1" applyFill="1" applyBorder="1">
      <alignment vertical="center"/>
    </xf>
    <xf numFmtId="0" fontId="8" fillId="9" borderId="29" xfId="2" applyFont="1" applyFill="1" applyBorder="1">
      <alignment vertical="center"/>
    </xf>
    <xf numFmtId="0" fontId="8" fillId="9" borderId="30" xfId="2" quotePrefix="1" applyNumberFormat="1" applyFont="1" applyFill="1" applyBorder="1">
      <alignment vertical="center"/>
    </xf>
    <xf numFmtId="0" fontId="0" fillId="8" borderId="17" xfId="0" applyFill="1" applyBorder="1">
      <alignment vertical="center"/>
    </xf>
    <xf numFmtId="49" fontId="0" fillId="8" borderId="44" xfId="0" applyNumberFormat="1" applyFill="1" applyBorder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0" borderId="16" xfId="0" applyFill="1" applyBorder="1">
      <alignment vertical="center"/>
    </xf>
    <xf numFmtId="49" fontId="0" fillId="10" borderId="5" xfId="0" applyNumberFormat="1" applyFill="1" applyBorder="1">
      <alignment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49" fontId="3" fillId="0" borderId="12" xfId="0" applyNumberFormat="1" applyFont="1" applyFill="1" applyBorder="1" applyAlignment="1">
      <alignment horizontal="center" vertical="center"/>
    </xf>
    <xf numFmtId="49" fontId="3" fillId="0" borderId="13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49" fontId="4" fillId="9" borderId="22" xfId="2" applyNumberFormat="1" applyFill="1" applyBorder="1" applyAlignment="1">
      <alignment horizontal="center" vertical="center"/>
    </xf>
    <xf numFmtId="49" fontId="4" fillId="9" borderId="24" xfId="2" applyNumberForma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49" fontId="3" fillId="8" borderId="8" xfId="0" applyNumberFormat="1" applyFont="1" applyFill="1" applyBorder="1" applyAlignment="1">
      <alignment horizontal="center" vertical="center"/>
    </xf>
    <xf numFmtId="49" fontId="3" fillId="8" borderId="9" xfId="0" applyNumberFormat="1" applyFont="1" applyFill="1" applyBorder="1" applyAlignment="1">
      <alignment horizontal="center" vertical="center"/>
    </xf>
    <xf numFmtId="49" fontId="3" fillId="8" borderId="10" xfId="0" applyNumberFormat="1" applyFont="1" applyFill="1" applyBorder="1" applyAlignment="1">
      <alignment horizontal="center" vertical="center"/>
    </xf>
    <xf numFmtId="49" fontId="3" fillId="8" borderId="11" xfId="0" applyNumberFormat="1" applyFont="1" applyFill="1" applyBorder="1" applyAlignment="1">
      <alignment horizontal="center" vertical="center"/>
    </xf>
    <xf numFmtId="49" fontId="3" fillId="8" borderId="12" xfId="0" applyNumberFormat="1" applyFont="1" applyFill="1" applyBorder="1" applyAlignment="1">
      <alignment horizontal="center" vertical="center"/>
    </xf>
    <xf numFmtId="49" fontId="3" fillId="8" borderId="13" xfId="0" applyNumberFormat="1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32" xfId="0" applyNumberFormat="1" applyFont="1" applyFill="1" applyBorder="1" applyAlignment="1">
      <alignment horizontal="center" vertical="center"/>
    </xf>
    <xf numFmtId="49" fontId="3" fillId="0" borderId="33" xfId="0" applyNumberFormat="1" applyFont="1" applyFill="1" applyBorder="1" applyAlignment="1">
      <alignment horizontal="center" vertical="center"/>
    </xf>
    <xf numFmtId="49" fontId="3" fillId="0" borderId="34" xfId="0" applyNumberFormat="1" applyFont="1" applyFill="1" applyBorder="1" applyAlignment="1">
      <alignment horizontal="center" vertical="center"/>
    </xf>
    <xf numFmtId="49" fontId="3" fillId="0" borderId="36" xfId="0" applyNumberFormat="1" applyFont="1" applyFill="1" applyBorder="1" applyAlignment="1">
      <alignment horizontal="center" vertical="center"/>
    </xf>
    <xf numFmtId="49" fontId="3" fillId="0" borderId="37" xfId="0" applyNumberFormat="1" applyFont="1" applyFill="1" applyBorder="1" applyAlignment="1">
      <alignment horizontal="center" vertical="center"/>
    </xf>
    <xf numFmtId="49" fontId="4" fillId="9" borderId="23" xfId="2" applyNumberFormat="1" applyFill="1" applyBorder="1" applyAlignment="1">
      <alignment horizontal="center" vertical="center"/>
    </xf>
    <xf numFmtId="0" fontId="3" fillId="7" borderId="43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41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49" fontId="4" fillId="9" borderId="26" xfId="2" applyNumberFormat="1" applyFill="1" applyBorder="1" applyAlignment="1">
      <alignment horizontal="center" vertical="center"/>
    </xf>
    <xf numFmtId="49" fontId="4" fillId="9" borderId="27" xfId="2" applyNumberFormat="1" applyFill="1" applyBorder="1" applyAlignment="1">
      <alignment horizontal="center" vertical="center"/>
    </xf>
    <xf numFmtId="49" fontId="0" fillId="9" borderId="8" xfId="3" applyNumberFormat="1" applyFont="1" applyFill="1" applyBorder="1" applyAlignment="1">
      <alignment horizontal="center" vertical="center"/>
    </xf>
    <xf numFmtId="49" fontId="1" fillId="9" borderId="6" xfId="3" applyNumberFormat="1" applyFill="1" applyBorder="1" applyAlignment="1">
      <alignment horizontal="center" vertical="center"/>
    </xf>
    <xf numFmtId="49" fontId="1" fillId="9" borderId="8" xfId="3" applyNumberFormat="1" applyFill="1" applyBorder="1" applyAlignment="1">
      <alignment horizontal="center" vertical="center"/>
    </xf>
    <xf numFmtId="49" fontId="1" fillId="9" borderId="9" xfId="3" applyNumberFormat="1" applyFill="1" applyBorder="1" applyAlignment="1">
      <alignment horizontal="center" vertical="center"/>
    </xf>
    <xf numFmtId="49" fontId="1" fillId="9" borderId="10" xfId="3" applyNumberFormat="1" applyFill="1" applyBorder="1" applyAlignment="1">
      <alignment horizontal="center" vertical="center"/>
    </xf>
    <xf numFmtId="49" fontId="1" fillId="9" borderId="0" xfId="3" applyNumberFormat="1" applyFill="1" applyBorder="1" applyAlignment="1">
      <alignment horizontal="center" vertical="center"/>
    </xf>
    <xf numFmtId="49" fontId="1" fillId="9" borderId="11" xfId="3" applyNumberFormat="1" applyFill="1" applyBorder="1" applyAlignment="1">
      <alignment horizontal="center" vertical="center"/>
    </xf>
    <xf numFmtId="49" fontId="1" fillId="9" borderId="12" xfId="3" applyNumberFormat="1" applyFill="1" applyBorder="1" applyAlignment="1">
      <alignment horizontal="center" vertical="center"/>
    </xf>
    <xf numFmtId="49" fontId="1" fillId="9" borderId="7" xfId="3" applyNumberFormat="1" applyFill="1" applyBorder="1" applyAlignment="1">
      <alignment horizontal="center" vertical="center"/>
    </xf>
    <xf numFmtId="49" fontId="1" fillId="9" borderId="13" xfId="3" applyNumberFormat="1" applyFill="1" applyBorder="1" applyAlignment="1">
      <alignment horizontal="center" vertical="center"/>
    </xf>
    <xf numFmtId="0" fontId="1" fillId="9" borderId="14" xfId="3" applyFill="1" applyBorder="1">
      <alignment vertical="center"/>
    </xf>
    <xf numFmtId="9" fontId="0" fillId="9" borderId="1" xfId="4" applyFont="1" applyFill="1" applyBorder="1">
      <alignment vertical="center"/>
    </xf>
    <xf numFmtId="9" fontId="0" fillId="9" borderId="15" xfId="4" applyFont="1" applyFill="1" applyBorder="1">
      <alignment vertical="center"/>
    </xf>
    <xf numFmtId="9" fontId="1" fillId="9" borderId="1" xfId="4" applyFill="1" applyBorder="1">
      <alignment vertical="center"/>
    </xf>
    <xf numFmtId="0" fontId="1" fillId="9" borderId="16" xfId="3" applyFill="1" applyBorder="1">
      <alignment vertical="center"/>
    </xf>
    <xf numFmtId="9" fontId="1" fillId="9" borderId="20" xfId="4" applyFill="1" applyBorder="1">
      <alignment vertical="center"/>
    </xf>
    <xf numFmtId="9" fontId="0" fillId="9" borderId="20" xfId="4" applyFont="1" applyFill="1" applyBorder="1">
      <alignment vertical="center"/>
    </xf>
    <xf numFmtId="0" fontId="0" fillId="0" borderId="44" xfId="0" applyFill="1" applyBorder="1">
      <alignment vertical="center"/>
    </xf>
    <xf numFmtId="9" fontId="0" fillId="9" borderId="21" xfId="4" applyFont="1" applyFill="1" applyBorder="1">
      <alignment vertical="center"/>
    </xf>
    <xf numFmtId="49" fontId="0" fillId="0" borderId="15" xfId="0" applyNumberFormat="1" applyFill="1" applyBorder="1" applyAlignment="1">
      <alignment vertical="center" wrapText="1"/>
    </xf>
    <xf numFmtId="0" fontId="0" fillId="9" borderId="16" xfId="0" applyFill="1" applyBorder="1">
      <alignment vertical="center"/>
    </xf>
    <xf numFmtId="0" fontId="0" fillId="9" borderId="5" xfId="0" applyFill="1" applyBorder="1" applyAlignment="1">
      <alignment vertical="center" wrapText="1"/>
    </xf>
    <xf numFmtId="49" fontId="4" fillId="9" borderId="45" xfId="2" applyNumberFormat="1" applyFill="1" applyBorder="1" applyAlignment="1">
      <alignment horizontal="center" vertical="center"/>
    </xf>
    <xf numFmtId="0" fontId="8" fillId="9" borderId="30" xfId="2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8" fillId="9" borderId="23" xfId="2" applyFont="1" applyFill="1" applyBorder="1">
      <alignment vertical="center"/>
    </xf>
    <xf numFmtId="0" fontId="14" fillId="9" borderId="16" xfId="0" applyFont="1" applyFill="1" applyBorder="1">
      <alignment vertical="center"/>
    </xf>
    <xf numFmtId="41" fontId="14" fillId="9" borderId="25" xfId="1" applyFont="1" applyFill="1" applyBorder="1">
      <alignment vertical="center"/>
    </xf>
    <xf numFmtId="49" fontId="3" fillId="9" borderId="10" xfId="3" applyNumberFormat="1" applyFont="1" applyFill="1" applyBorder="1" applyAlignment="1">
      <alignment horizontal="center" vertical="center"/>
    </xf>
    <xf numFmtId="49" fontId="3" fillId="9" borderId="0" xfId="3" applyNumberFormat="1" applyFont="1" applyFill="1" applyBorder="1" applyAlignment="1">
      <alignment horizontal="center" vertical="center"/>
    </xf>
    <xf numFmtId="49" fontId="3" fillId="9" borderId="11" xfId="3" applyNumberFormat="1" applyFont="1" applyFill="1" applyBorder="1" applyAlignment="1">
      <alignment horizontal="center" vertical="center"/>
    </xf>
    <xf numFmtId="49" fontId="3" fillId="9" borderId="12" xfId="3" applyNumberFormat="1" applyFont="1" applyFill="1" applyBorder="1" applyAlignment="1">
      <alignment horizontal="center" vertical="center"/>
    </xf>
    <xf numFmtId="49" fontId="3" fillId="9" borderId="7" xfId="3" applyNumberFormat="1" applyFont="1" applyFill="1" applyBorder="1" applyAlignment="1">
      <alignment horizontal="center" vertical="center"/>
    </xf>
    <xf numFmtId="49" fontId="3" fillId="9" borderId="13" xfId="3" applyNumberFormat="1" applyFont="1" applyFill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49" fontId="0" fillId="9" borderId="5" xfId="0" applyNumberFormat="1" applyFill="1" applyBorder="1">
      <alignment vertical="center"/>
    </xf>
    <xf numFmtId="49" fontId="4" fillId="9" borderId="46" xfId="2" applyNumberForma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</cellXfs>
  <cellStyles count="5">
    <cellStyle name="20% - 강조색3" xfId="3" builtinId="38"/>
    <cellStyle name="백분율" xfId="4" builtinId="5"/>
    <cellStyle name="쉼표 [0]" xfId="1" builtinId="6"/>
    <cellStyle name="출력" xfId="2" builtinId="21"/>
    <cellStyle name="표준" xfId="0" builtinId="0"/>
  </cellStyles>
  <dxfs count="0"/>
  <tableStyles count="0" defaultTableStyle="TableStyleMedium2" defaultPivotStyle="PivotStyleLight16"/>
  <colors>
    <mruColors>
      <color rgb="FFFF66FF"/>
      <color rgb="FFFF3300"/>
      <color rgb="FFD13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109"/>
  <sheetViews>
    <sheetView topLeftCell="A46" workbookViewId="0">
      <selection activeCell="A50" sqref="A50:XFD64"/>
    </sheetView>
  </sheetViews>
  <sheetFormatPr defaultRowHeight="16.5" x14ac:dyDescent="0.3"/>
  <cols>
    <col min="1" max="1" width="3.5" bestFit="1" customWidth="1"/>
    <col min="2" max="2" width="18.625" customWidth="1"/>
    <col min="3" max="3" width="2.875" bestFit="1" customWidth="1"/>
    <col min="4" max="4" width="24.375" bestFit="1" customWidth="1"/>
    <col min="5" max="5" width="3.5" bestFit="1" customWidth="1"/>
    <col min="6" max="6" width="19.75" bestFit="1" customWidth="1"/>
    <col min="7" max="7" width="3.5" bestFit="1" customWidth="1"/>
    <col min="8" max="8" width="9.625" bestFit="1" customWidth="1"/>
    <col min="9" max="9" width="3.5" bestFit="1" customWidth="1"/>
    <col min="10" max="10" width="14" customWidth="1"/>
    <col min="11" max="11" width="2.5" bestFit="1" customWidth="1"/>
    <col min="12" max="12" width="62.75" bestFit="1" customWidth="1"/>
    <col min="13" max="13" width="2.5" bestFit="1" customWidth="1"/>
    <col min="14" max="14" width="28.125" customWidth="1"/>
    <col min="15" max="15" width="2.5" bestFit="1" customWidth="1"/>
    <col min="16" max="16" width="22.25" bestFit="1" customWidth="1"/>
    <col min="17" max="17" width="2.5" customWidth="1"/>
    <col min="18" max="18" width="19.375" customWidth="1"/>
    <col min="19" max="19" width="16.5" customWidth="1"/>
    <col min="20" max="20" width="22.25" bestFit="1" customWidth="1"/>
    <col min="21" max="21" width="2.5" bestFit="1" customWidth="1"/>
    <col min="22" max="22" width="15.875" bestFit="1" customWidth="1"/>
    <col min="23" max="23" width="2.5" bestFit="1" customWidth="1"/>
    <col min="24" max="24" width="15.875" bestFit="1" customWidth="1"/>
  </cols>
  <sheetData>
    <row r="1" spans="1:20" x14ac:dyDescent="0.3"/>
    <row r="3" spans="1:20" ht="47.25" customHeight="1" x14ac:dyDescent="0.3"/>
    <row r="6" spans="1:20" ht="17.25" thickBot="1" x14ac:dyDescent="0.35"/>
    <row r="7" spans="1:20" ht="30" customHeight="1" thickBot="1" x14ac:dyDescent="0.35">
      <c r="A7" s="75" t="s">
        <v>108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76"/>
    </row>
    <row r="8" spans="1:20" ht="17.25" thickBot="1" x14ac:dyDescent="0.35">
      <c r="A8" s="102" t="s">
        <v>157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4"/>
      <c r="O8" s="105" t="s">
        <v>158</v>
      </c>
      <c r="P8" s="106"/>
      <c r="Q8" s="106"/>
      <c r="R8" s="106"/>
      <c r="S8" s="106"/>
      <c r="T8" s="107"/>
    </row>
    <row r="9" spans="1:20" ht="16.5" customHeight="1" x14ac:dyDescent="0.3">
      <c r="A9" s="63" t="s">
        <v>0</v>
      </c>
      <c r="B9" s="64"/>
      <c r="C9" s="63" t="s">
        <v>18</v>
      </c>
      <c r="D9" s="72"/>
      <c r="E9" s="63" t="s">
        <v>58</v>
      </c>
      <c r="F9" s="64"/>
      <c r="G9" s="110" t="s">
        <v>20</v>
      </c>
      <c r="H9" s="111"/>
      <c r="I9" s="112" t="s">
        <v>78</v>
      </c>
      <c r="J9" s="113"/>
      <c r="K9" s="108" t="s">
        <v>87</v>
      </c>
      <c r="L9" s="109"/>
      <c r="M9" s="108" t="s">
        <v>99</v>
      </c>
      <c r="N9" s="109"/>
      <c r="O9" s="63" t="s">
        <v>159</v>
      </c>
      <c r="P9" s="72"/>
      <c r="Q9" s="63" t="s">
        <v>36</v>
      </c>
      <c r="R9" s="64"/>
      <c r="S9" s="99" t="s">
        <v>32</v>
      </c>
      <c r="T9" s="96" t="s">
        <v>27</v>
      </c>
    </row>
    <row r="10" spans="1:20" x14ac:dyDescent="0.3">
      <c r="A10" s="65"/>
      <c r="B10" s="66"/>
      <c r="C10" s="65"/>
      <c r="D10" s="73"/>
      <c r="E10" s="65"/>
      <c r="F10" s="66"/>
      <c r="G10" s="114"/>
      <c r="H10" s="115"/>
      <c r="I10" s="114"/>
      <c r="J10" s="116"/>
      <c r="K10" s="70"/>
      <c r="L10" s="101"/>
      <c r="M10" s="70"/>
      <c r="N10" s="101"/>
      <c r="O10" s="65"/>
      <c r="P10" s="73"/>
      <c r="Q10" s="65"/>
      <c r="R10" s="66"/>
      <c r="S10" s="100"/>
      <c r="T10" s="97"/>
    </row>
    <row r="11" spans="1:20" x14ac:dyDescent="0.3">
      <c r="A11" s="67"/>
      <c r="B11" s="68"/>
      <c r="C11" s="67"/>
      <c r="D11" s="74"/>
      <c r="E11" s="67"/>
      <c r="F11" s="68"/>
      <c r="G11" s="117"/>
      <c r="H11" s="118"/>
      <c r="I11" s="117"/>
      <c r="J11" s="119"/>
      <c r="K11" s="70"/>
      <c r="L11" s="101"/>
      <c r="M11" s="70"/>
      <c r="N11" s="101"/>
      <c r="O11" s="67"/>
      <c r="P11" s="74"/>
      <c r="Q11" s="65"/>
      <c r="R11" s="66"/>
      <c r="S11" s="100"/>
      <c r="T11" s="98"/>
    </row>
    <row r="12" spans="1:20" ht="17.25" thickBot="1" x14ac:dyDescent="0.35">
      <c r="A12" s="2">
        <v>1</v>
      </c>
      <c r="B12" s="11" t="s">
        <v>1</v>
      </c>
      <c r="C12" s="38">
        <v>1</v>
      </c>
      <c r="D12" s="39" t="s">
        <v>101</v>
      </c>
      <c r="E12" s="2">
        <v>1</v>
      </c>
      <c r="F12" s="15" t="s">
        <v>59</v>
      </c>
      <c r="G12" s="120">
        <v>1</v>
      </c>
      <c r="H12" s="121">
        <v>0.5</v>
      </c>
      <c r="I12" s="120">
        <v>1</v>
      </c>
      <c r="J12" s="122">
        <v>1</v>
      </c>
      <c r="K12" s="51">
        <v>1</v>
      </c>
      <c r="L12" s="54" t="s">
        <v>90</v>
      </c>
      <c r="M12" s="51">
        <v>1</v>
      </c>
      <c r="N12" s="54" t="s">
        <v>107</v>
      </c>
      <c r="O12" s="2">
        <v>1</v>
      </c>
      <c r="P12" s="31" t="s">
        <v>3</v>
      </c>
      <c r="Q12" s="2">
        <v>1</v>
      </c>
      <c r="R12" s="24" t="s">
        <v>37</v>
      </c>
      <c r="S12" s="35" t="s">
        <v>33</v>
      </c>
      <c r="T12" s="33" t="s">
        <v>2</v>
      </c>
    </row>
    <row r="13" spans="1:20" ht="17.25" thickBot="1" x14ac:dyDescent="0.35">
      <c r="A13" s="2">
        <f>+A12+1</f>
        <v>2</v>
      </c>
      <c r="B13" s="11" t="s">
        <v>4</v>
      </c>
      <c r="C13" s="70" t="s">
        <v>80</v>
      </c>
      <c r="D13" s="71"/>
      <c r="E13" s="2">
        <v>2</v>
      </c>
      <c r="F13" s="15" t="s">
        <v>60</v>
      </c>
      <c r="G13" s="120">
        <v>2</v>
      </c>
      <c r="H13" s="123">
        <v>0.5</v>
      </c>
      <c r="I13" s="120">
        <v>2</v>
      </c>
      <c r="J13" s="122">
        <v>1.5</v>
      </c>
      <c r="K13" s="70" t="s">
        <v>88</v>
      </c>
      <c r="L13" s="101"/>
      <c r="M13" s="63" t="s">
        <v>100</v>
      </c>
      <c r="N13" s="64"/>
      <c r="O13" s="2">
        <v>2</v>
      </c>
      <c r="P13" s="31" t="s">
        <v>5</v>
      </c>
      <c r="Q13" s="2">
        <v>2</v>
      </c>
      <c r="R13" s="4" t="s">
        <v>42</v>
      </c>
      <c r="S13" s="35" t="s">
        <v>34</v>
      </c>
      <c r="T13" s="33" t="s">
        <v>144</v>
      </c>
    </row>
    <row r="14" spans="1:20" ht="17.25" thickBot="1" x14ac:dyDescent="0.35">
      <c r="A14" s="2">
        <f t="shared" ref="A14:A28" si="0">+A13+1</f>
        <v>3</v>
      </c>
      <c r="B14" s="11" t="s">
        <v>6</v>
      </c>
      <c r="C14" s="70"/>
      <c r="D14" s="71"/>
      <c r="E14" s="2">
        <v>3</v>
      </c>
      <c r="F14" s="15" t="s">
        <v>61</v>
      </c>
      <c r="G14" s="120">
        <v>3</v>
      </c>
      <c r="H14" s="123">
        <v>0.6</v>
      </c>
      <c r="I14" s="120">
        <v>3</v>
      </c>
      <c r="J14" s="122">
        <v>2</v>
      </c>
      <c r="K14" s="70"/>
      <c r="L14" s="101"/>
      <c r="M14" s="65"/>
      <c r="N14" s="66"/>
      <c r="O14" s="2">
        <v>3</v>
      </c>
      <c r="P14" s="31" t="s">
        <v>7</v>
      </c>
      <c r="Q14" s="2">
        <v>3</v>
      </c>
      <c r="R14" s="4" t="s">
        <v>41</v>
      </c>
      <c r="S14" s="63" t="s">
        <v>28</v>
      </c>
      <c r="T14" s="33" t="s">
        <v>145</v>
      </c>
    </row>
    <row r="15" spans="1:20" x14ac:dyDescent="0.3">
      <c r="A15" s="2">
        <f t="shared" si="0"/>
        <v>4</v>
      </c>
      <c r="B15" s="11" t="s">
        <v>10</v>
      </c>
      <c r="C15" s="70"/>
      <c r="D15" s="71"/>
      <c r="E15" s="2">
        <v>4</v>
      </c>
      <c r="F15" s="15" t="s">
        <v>62</v>
      </c>
      <c r="G15" s="120">
        <v>4</v>
      </c>
      <c r="H15" s="123">
        <v>0.6</v>
      </c>
      <c r="I15" s="120">
        <v>4</v>
      </c>
      <c r="J15" s="122">
        <v>2.5</v>
      </c>
      <c r="K15" s="70"/>
      <c r="L15" s="101"/>
      <c r="M15" s="67"/>
      <c r="N15" s="68"/>
      <c r="O15" s="87" t="s">
        <v>53</v>
      </c>
      <c r="P15" s="88"/>
      <c r="Q15" s="2">
        <v>1</v>
      </c>
      <c r="R15" s="24" t="s">
        <v>38</v>
      </c>
      <c r="S15" s="65"/>
      <c r="T15" s="33" t="s">
        <v>146</v>
      </c>
    </row>
    <row r="16" spans="1:20" x14ac:dyDescent="0.3">
      <c r="A16" s="2">
        <f t="shared" si="0"/>
        <v>5</v>
      </c>
      <c r="B16" s="11" t="s">
        <v>9</v>
      </c>
      <c r="C16" s="51">
        <v>1</v>
      </c>
      <c r="D16" s="52" t="s">
        <v>81</v>
      </c>
      <c r="E16" s="2">
        <v>5</v>
      </c>
      <c r="F16" s="15" t="s">
        <v>63</v>
      </c>
      <c r="G16" s="120">
        <v>5</v>
      </c>
      <c r="H16" s="123">
        <v>0.5</v>
      </c>
      <c r="I16" s="120">
        <v>5</v>
      </c>
      <c r="J16" s="122">
        <v>3</v>
      </c>
      <c r="K16" s="51">
        <v>1</v>
      </c>
      <c r="L16" s="54" t="s">
        <v>89</v>
      </c>
      <c r="M16" s="38">
        <v>1</v>
      </c>
      <c r="N16" s="43" t="s">
        <v>102</v>
      </c>
      <c r="O16" s="89"/>
      <c r="P16" s="90"/>
      <c r="Q16" s="2">
        <v>2</v>
      </c>
      <c r="R16" s="4" t="s">
        <v>39</v>
      </c>
      <c r="S16" s="67"/>
      <c r="T16" s="33" t="s">
        <v>147</v>
      </c>
    </row>
    <row r="17" spans="1:20" x14ac:dyDescent="0.3">
      <c r="A17" s="2">
        <f t="shared" si="0"/>
        <v>6</v>
      </c>
      <c r="B17" s="11" t="s">
        <v>11</v>
      </c>
      <c r="C17" s="70" t="s">
        <v>19</v>
      </c>
      <c r="D17" s="71"/>
      <c r="E17" s="2">
        <v>6</v>
      </c>
      <c r="F17" s="15" t="s">
        <v>64</v>
      </c>
      <c r="G17" s="120">
        <v>6</v>
      </c>
      <c r="H17" s="123">
        <v>0.8</v>
      </c>
      <c r="I17" s="120">
        <v>6</v>
      </c>
      <c r="J17" s="122">
        <v>3.5</v>
      </c>
      <c r="K17" s="70" t="s">
        <v>91</v>
      </c>
      <c r="L17" s="101"/>
      <c r="M17" s="38">
        <v>2</v>
      </c>
      <c r="N17" s="43" t="s">
        <v>103</v>
      </c>
      <c r="O17" s="91"/>
      <c r="P17" s="92"/>
      <c r="Q17" s="2">
        <v>3</v>
      </c>
      <c r="R17" s="4" t="s">
        <v>40</v>
      </c>
      <c r="S17" s="35" t="s">
        <v>29</v>
      </c>
      <c r="T17" s="33" t="s">
        <v>148</v>
      </c>
    </row>
    <row r="18" spans="1:20" x14ac:dyDescent="0.3">
      <c r="A18" s="2">
        <f t="shared" si="0"/>
        <v>7</v>
      </c>
      <c r="B18" s="11" t="s">
        <v>54</v>
      </c>
      <c r="C18" s="70"/>
      <c r="D18" s="71"/>
      <c r="E18" s="2">
        <v>7</v>
      </c>
      <c r="F18" s="16" t="s">
        <v>66</v>
      </c>
      <c r="G18" s="120">
        <v>7</v>
      </c>
      <c r="H18" s="123">
        <v>0.9</v>
      </c>
      <c r="I18" s="120">
        <v>7</v>
      </c>
      <c r="J18" s="122">
        <v>15</v>
      </c>
      <c r="K18" s="70"/>
      <c r="L18" s="101"/>
      <c r="M18" s="38">
        <f t="shared" ref="M18:M19" si="1">+M17+1</f>
        <v>3</v>
      </c>
      <c r="N18" s="43" t="s">
        <v>104</v>
      </c>
      <c r="O18" s="2">
        <v>1</v>
      </c>
      <c r="P18" s="10" t="s">
        <v>3</v>
      </c>
      <c r="Q18" s="2">
        <v>4</v>
      </c>
      <c r="R18" s="4" t="s">
        <v>47</v>
      </c>
      <c r="S18" s="35" t="s">
        <v>30</v>
      </c>
      <c r="T18" s="33" t="s">
        <v>149</v>
      </c>
    </row>
    <row r="19" spans="1:20" ht="17.25" thickBot="1" x14ac:dyDescent="0.35">
      <c r="A19" s="2">
        <f t="shared" si="0"/>
        <v>8</v>
      </c>
      <c r="B19" s="11" t="s">
        <v>55</v>
      </c>
      <c r="C19" s="70"/>
      <c r="D19" s="71"/>
      <c r="E19" s="2">
        <v>8</v>
      </c>
      <c r="F19" s="16" t="s">
        <v>65</v>
      </c>
      <c r="G19" s="120">
        <v>8</v>
      </c>
      <c r="H19" s="123">
        <v>0.8</v>
      </c>
      <c r="I19" s="120">
        <v>8</v>
      </c>
      <c r="J19" s="122">
        <v>13</v>
      </c>
      <c r="K19" s="70"/>
      <c r="L19" s="101"/>
      <c r="M19" s="61">
        <f t="shared" si="1"/>
        <v>4</v>
      </c>
      <c r="N19" s="62" t="s">
        <v>105</v>
      </c>
      <c r="O19" s="2">
        <v>2</v>
      </c>
      <c r="P19" s="31" t="s">
        <v>5</v>
      </c>
      <c r="Q19" s="2">
        <v>5</v>
      </c>
      <c r="R19" s="4" t="s">
        <v>48</v>
      </c>
      <c r="S19" s="35" t="s">
        <v>31</v>
      </c>
      <c r="T19" s="33" t="s">
        <v>150</v>
      </c>
    </row>
    <row r="20" spans="1:20" x14ac:dyDescent="0.3">
      <c r="A20" s="2">
        <f t="shared" si="0"/>
        <v>9</v>
      </c>
      <c r="B20" s="11" t="s">
        <v>56</v>
      </c>
      <c r="C20" s="51">
        <v>1</v>
      </c>
      <c r="D20" s="53" t="s">
        <v>86</v>
      </c>
      <c r="E20" s="2">
        <v>9</v>
      </c>
      <c r="F20" s="16" t="s">
        <v>67</v>
      </c>
      <c r="G20" s="120">
        <v>9</v>
      </c>
      <c r="H20" s="123">
        <v>0.7</v>
      </c>
      <c r="I20" s="120">
        <v>9</v>
      </c>
      <c r="J20" s="122">
        <v>9</v>
      </c>
      <c r="K20" s="51">
        <v>1</v>
      </c>
      <c r="L20" s="54" t="s">
        <v>92</v>
      </c>
      <c r="M20" s="63" t="s">
        <v>106</v>
      </c>
      <c r="N20" s="64"/>
      <c r="O20" s="2">
        <v>3</v>
      </c>
      <c r="P20" s="31" t="s">
        <v>7</v>
      </c>
      <c r="Q20" s="2">
        <v>6</v>
      </c>
      <c r="R20" s="4" t="s">
        <v>49</v>
      </c>
      <c r="S20" s="63" t="s">
        <v>35</v>
      </c>
      <c r="T20" s="33" t="s">
        <v>151</v>
      </c>
    </row>
    <row r="21" spans="1:20" x14ac:dyDescent="0.3">
      <c r="A21" s="2">
        <f t="shared" si="0"/>
        <v>10</v>
      </c>
      <c r="B21" s="11" t="s">
        <v>57</v>
      </c>
      <c r="C21" s="70" t="s">
        <v>82</v>
      </c>
      <c r="D21" s="71"/>
      <c r="E21" s="2">
        <v>10</v>
      </c>
      <c r="F21" s="16" t="s">
        <v>68</v>
      </c>
      <c r="G21" s="120">
        <v>10</v>
      </c>
      <c r="H21" s="123">
        <v>0.8</v>
      </c>
      <c r="I21" s="120">
        <v>10</v>
      </c>
      <c r="J21" s="122">
        <v>11</v>
      </c>
      <c r="K21" s="70" t="s">
        <v>93</v>
      </c>
      <c r="L21" s="101"/>
      <c r="M21" s="65"/>
      <c r="N21" s="66"/>
      <c r="O21" s="26"/>
      <c r="P21" s="9"/>
      <c r="Q21" s="2">
        <v>1</v>
      </c>
      <c r="R21" s="24" t="s">
        <v>43</v>
      </c>
      <c r="S21" s="65"/>
      <c r="T21" s="33" t="s">
        <v>152</v>
      </c>
    </row>
    <row r="22" spans="1:20" x14ac:dyDescent="0.3">
      <c r="A22" s="2">
        <f t="shared" si="0"/>
        <v>11</v>
      </c>
      <c r="B22" s="11" t="s">
        <v>12</v>
      </c>
      <c r="C22" s="70"/>
      <c r="D22" s="71"/>
      <c r="E22" s="2">
        <v>11</v>
      </c>
      <c r="F22" s="17" t="s">
        <v>69</v>
      </c>
      <c r="G22" s="120">
        <v>11</v>
      </c>
      <c r="H22" s="123">
        <v>0.7</v>
      </c>
      <c r="I22" s="120">
        <v>11</v>
      </c>
      <c r="J22" s="122">
        <v>3</v>
      </c>
      <c r="K22" s="70"/>
      <c r="L22" s="101"/>
      <c r="M22" s="67"/>
      <c r="N22" s="68"/>
      <c r="O22" s="26"/>
      <c r="P22" s="9"/>
      <c r="Q22" s="2">
        <v>2</v>
      </c>
      <c r="R22" s="4" t="s">
        <v>44</v>
      </c>
      <c r="S22" s="67"/>
      <c r="T22" s="33" t="s">
        <v>153</v>
      </c>
    </row>
    <row r="23" spans="1:20" ht="17.25" thickBot="1" x14ac:dyDescent="0.35">
      <c r="A23" s="2">
        <f t="shared" si="0"/>
        <v>12</v>
      </c>
      <c r="B23" s="11" t="s">
        <v>13</v>
      </c>
      <c r="C23" s="70"/>
      <c r="D23" s="71"/>
      <c r="E23" s="2">
        <v>12</v>
      </c>
      <c r="F23" s="17" t="s">
        <v>70</v>
      </c>
      <c r="G23" s="120">
        <v>12</v>
      </c>
      <c r="H23" s="123">
        <v>0.7</v>
      </c>
      <c r="I23" s="120">
        <v>12</v>
      </c>
      <c r="J23" s="122">
        <v>3.5</v>
      </c>
      <c r="K23" s="70"/>
      <c r="L23" s="101"/>
      <c r="M23" s="41">
        <v>1</v>
      </c>
      <c r="N23" s="44" t="s">
        <v>79</v>
      </c>
      <c r="O23" s="27"/>
      <c r="P23" s="32"/>
      <c r="Q23" s="2">
        <v>3</v>
      </c>
      <c r="R23" s="4" t="s">
        <v>45</v>
      </c>
      <c r="S23" s="35" t="s">
        <v>51</v>
      </c>
      <c r="T23" s="33" t="s">
        <v>154</v>
      </c>
    </row>
    <row r="24" spans="1:20" ht="17.25" thickBot="1" x14ac:dyDescent="0.35">
      <c r="A24" s="2">
        <f t="shared" si="0"/>
        <v>13</v>
      </c>
      <c r="B24" s="11" t="s">
        <v>14</v>
      </c>
      <c r="C24" s="38">
        <v>1</v>
      </c>
      <c r="D24" s="40" t="s">
        <v>83</v>
      </c>
      <c r="E24" s="2">
        <v>13</v>
      </c>
      <c r="F24" s="17" t="s">
        <v>71</v>
      </c>
      <c r="G24" s="120">
        <v>13</v>
      </c>
      <c r="H24" s="123">
        <v>0.7</v>
      </c>
      <c r="I24" s="120">
        <v>13</v>
      </c>
      <c r="J24" s="122">
        <v>4</v>
      </c>
      <c r="K24" s="51">
        <v>1</v>
      </c>
      <c r="L24" s="54" t="s">
        <v>94</v>
      </c>
      <c r="M24" s="63" t="s">
        <v>109</v>
      </c>
      <c r="N24" s="64"/>
      <c r="O24" s="26"/>
      <c r="P24" s="9"/>
      <c r="Q24" s="2">
        <v>4</v>
      </c>
      <c r="R24" s="4" t="s">
        <v>46</v>
      </c>
      <c r="S24" s="36" t="s">
        <v>52</v>
      </c>
      <c r="T24" s="33" t="s">
        <v>155</v>
      </c>
    </row>
    <row r="25" spans="1:20" ht="17.25" thickBot="1" x14ac:dyDescent="0.35">
      <c r="A25" s="2">
        <f t="shared" si="0"/>
        <v>14</v>
      </c>
      <c r="B25" s="11" t="s">
        <v>15</v>
      </c>
      <c r="C25" s="51">
        <v>2</v>
      </c>
      <c r="D25" s="53" t="s">
        <v>84</v>
      </c>
      <c r="E25" s="2">
        <v>14</v>
      </c>
      <c r="F25" s="18" t="s">
        <v>72</v>
      </c>
      <c r="G25" s="120">
        <v>14</v>
      </c>
      <c r="H25" s="121">
        <v>0.2</v>
      </c>
      <c r="I25" s="120">
        <v>14</v>
      </c>
      <c r="J25" s="122">
        <v>0.8</v>
      </c>
      <c r="K25" s="70" t="s">
        <v>95</v>
      </c>
      <c r="L25" s="101"/>
      <c r="M25" s="65"/>
      <c r="N25" s="66"/>
      <c r="O25" s="28"/>
      <c r="P25" s="5"/>
      <c r="Q25" s="2">
        <v>5</v>
      </c>
      <c r="R25" s="4" t="s">
        <v>7</v>
      </c>
      <c r="T25" s="33" t="s">
        <v>156</v>
      </c>
    </row>
    <row r="26" spans="1:20" x14ac:dyDescent="0.3">
      <c r="A26" s="2">
        <f t="shared" si="0"/>
        <v>15</v>
      </c>
      <c r="B26" s="3" t="s">
        <v>16</v>
      </c>
      <c r="C26" s="63" t="s">
        <v>85</v>
      </c>
      <c r="D26" s="72"/>
      <c r="E26" s="2">
        <v>15</v>
      </c>
      <c r="F26" s="18" t="s">
        <v>73</v>
      </c>
      <c r="G26" s="120">
        <v>15</v>
      </c>
      <c r="H26" s="121">
        <v>0.2</v>
      </c>
      <c r="I26" s="120">
        <v>15</v>
      </c>
      <c r="J26" s="122">
        <v>1</v>
      </c>
      <c r="K26" s="70"/>
      <c r="L26" s="101"/>
      <c r="M26" s="67"/>
      <c r="N26" s="68"/>
      <c r="O26" s="26"/>
      <c r="P26" s="3"/>
      <c r="Q26" s="2">
        <v>6</v>
      </c>
      <c r="R26" s="4" t="s">
        <v>49</v>
      </c>
      <c r="T26" s="33"/>
    </row>
    <row r="27" spans="1:20" x14ac:dyDescent="0.3">
      <c r="A27" s="2">
        <f t="shared" si="0"/>
        <v>16</v>
      </c>
      <c r="B27" s="3" t="s">
        <v>17</v>
      </c>
      <c r="C27" s="65"/>
      <c r="D27" s="73"/>
      <c r="E27" s="2">
        <v>16</v>
      </c>
      <c r="F27" s="18" t="s">
        <v>74</v>
      </c>
      <c r="G27" s="120">
        <v>16</v>
      </c>
      <c r="H27" s="123">
        <v>0.2</v>
      </c>
      <c r="I27" s="120">
        <v>16</v>
      </c>
      <c r="J27" s="122">
        <v>1</v>
      </c>
      <c r="K27" s="70"/>
      <c r="L27" s="101"/>
      <c r="M27" s="38">
        <v>1</v>
      </c>
      <c r="N27" s="43" t="s">
        <v>111</v>
      </c>
      <c r="O27" s="26"/>
      <c r="P27" s="3"/>
      <c r="Q27" s="2">
        <v>1</v>
      </c>
      <c r="R27" s="24" t="s">
        <v>50</v>
      </c>
      <c r="T27" s="33"/>
    </row>
    <row r="28" spans="1:20" ht="17.25" thickBot="1" x14ac:dyDescent="0.35">
      <c r="A28" s="6">
        <f t="shared" si="0"/>
        <v>17</v>
      </c>
      <c r="B28" s="20" t="s">
        <v>8</v>
      </c>
      <c r="C28" s="67"/>
      <c r="D28" s="74"/>
      <c r="E28" s="2">
        <v>17</v>
      </c>
      <c r="F28" s="11" t="s">
        <v>75</v>
      </c>
      <c r="G28" s="120">
        <v>17</v>
      </c>
      <c r="H28" s="123">
        <v>0.2</v>
      </c>
      <c r="I28" s="120">
        <v>17</v>
      </c>
      <c r="J28" s="122">
        <v>0.8</v>
      </c>
      <c r="K28" s="51">
        <v>1</v>
      </c>
      <c r="L28" s="54" t="s">
        <v>96</v>
      </c>
      <c r="M28" s="41">
        <v>2</v>
      </c>
      <c r="N28" s="44" t="s">
        <v>110</v>
      </c>
      <c r="O28" s="26"/>
      <c r="P28" s="3"/>
      <c r="Q28" s="2">
        <v>2</v>
      </c>
      <c r="R28" s="4" t="s">
        <v>42</v>
      </c>
      <c r="T28" s="33"/>
    </row>
    <row r="29" spans="1:20" ht="17.25" thickBot="1" x14ac:dyDescent="0.35">
      <c r="C29" s="41">
        <v>1</v>
      </c>
      <c r="D29" s="42" t="s">
        <v>79</v>
      </c>
      <c r="E29" s="2">
        <v>18</v>
      </c>
      <c r="F29" s="12" t="s">
        <v>76</v>
      </c>
      <c r="G29" s="120">
        <v>18</v>
      </c>
      <c r="H29" s="123">
        <v>0.2</v>
      </c>
      <c r="I29" s="120">
        <v>18</v>
      </c>
      <c r="J29" s="122">
        <v>0.8</v>
      </c>
      <c r="K29" s="70" t="s">
        <v>97</v>
      </c>
      <c r="L29" s="101"/>
      <c r="O29" s="29"/>
      <c r="P29" s="30"/>
      <c r="Q29" s="6">
        <v>3</v>
      </c>
      <c r="R29" s="25" t="s">
        <v>49</v>
      </c>
      <c r="T29" s="37"/>
    </row>
    <row r="30" spans="1:20" ht="17.25" thickBot="1" x14ac:dyDescent="0.35">
      <c r="E30" s="6">
        <v>19</v>
      </c>
      <c r="F30" s="19" t="s">
        <v>77</v>
      </c>
      <c r="G30" s="124">
        <v>19</v>
      </c>
      <c r="H30" s="125">
        <v>0.4</v>
      </c>
      <c r="I30" s="124">
        <v>19</v>
      </c>
      <c r="J30" s="126">
        <v>1</v>
      </c>
      <c r="K30" s="70"/>
      <c r="L30" s="101"/>
    </row>
    <row r="31" spans="1:20" x14ac:dyDescent="0.3">
      <c r="K31" s="70"/>
      <c r="L31" s="101"/>
    </row>
    <row r="32" spans="1:20" ht="17.25" thickBot="1" x14ac:dyDescent="0.35">
      <c r="K32" s="55">
        <v>1</v>
      </c>
      <c r="L32" s="56" t="s">
        <v>98</v>
      </c>
    </row>
    <row r="49" spans="1:24" ht="17.25" thickBot="1" x14ac:dyDescent="0.35"/>
    <row r="50" spans="1:24" ht="27" thickBot="1" x14ac:dyDescent="0.35">
      <c r="A50" s="75" t="s">
        <v>112</v>
      </c>
      <c r="B50" s="76"/>
      <c r="C50" s="50"/>
      <c r="D50" s="50"/>
      <c r="E50" s="75" t="s">
        <v>114</v>
      </c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76"/>
    </row>
    <row r="51" spans="1:24" ht="26.25" x14ac:dyDescent="0.3">
      <c r="A51" s="87" t="s">
        <v>162</v>
      </c>
      <c r="B51" s="93"/>
      <c r="C51" s="34"/>
      <c r="D51" s="34"/>
      <c r="E51" s="63" t="s">
        <v>26</v>
      </c>
      <c r="F51" s="64"/>
      <c r="G51" s="63" t="s">
        <v>163</v>
      </c>
      <c r="H51" s="64"/>
      <c r="I51" s="63" t="s">
        <v>171</v>
      </c>
      <c r="J51" s="64"/>
      <c r="K51" s="63" t="s">
        <v>136</v>
      </c>
      <c r="L51" s="64"/>
      <c r="M51" s="63" t="s">
        <v>137</v>
      </c>
      <c r="N51" s="64"/>
      <c r="O51" s="63" t="s">
        <v>138</v>
      </c>
      <c r="P51" s="64"/>
      <c r="Q51" s="63" t="s">
        <v>139</v>
      </c>
      <c r="R51" s="72"/>
      <c r="S51" s="72"/>
      <c r="T51" s="64"/>
      <c r="U51" s="63" t="s">
        <v>142</v>
      </c>
      <c r="V51" s="64"/>
      <c r="W51" s="63" t="s">
        <v>143</v>
      </c>
      <c r="X51" s="64"/>
    </row>
    <row r="52" spans="1:24" ht="26.25" x14ac:dyDescent="0.3">
      <c r="A52" s="89"/>
      <c r="B52" s="94"/>
      <c r="C52" s="34"/>
      <c r="D52" s="34"/>
      <c r="E52" s="65"/>
      <c r="F52" s="66"/>
      <c r="G52" s="65"/>
      <c r="H52" s="66"/>
      <c r="I52" s="65"/>
      <c r="J52" s="66"/>
      <c r="K52" s="65"/>
      <c r="L52" s="66"/>
      <c r="M52" s="65"/>
      <c r="N52" s="66"/>
      <c r="O52" s="65"/>
      <c r="P52" s="66"/>
      <c r="Q52" s="65"/>
      <c r="R52" s="73"/>
      <c r="S52" s="73"/>
      <c r="T52" s="66"/>
      <c r="U52" s="65"/>
      <c r="V52" s="66"/>
      <c r="W52" s="65"/>
      <c r="X52" s="66"/>
    </row>
    <row r="53" spans="1:24" ht="26.25" x14ac:dyDescent="0.3">
      <c r="A53" s="91"/>
      <c r="B53" s="95"/>
      <c r="C53" s="34"/>
      <c r="D53" s="34"/>
      <c r="E53" s="67"/>
      <c r="F53" s="68"/>
      <c r="G53" s="67"/>
      <c r="H53" s="68"/>
      <c r="I53" s="67"/>
      <c r="J53" s="68"/>
      <c r="K53" s="67"/>
      <c r="L53" s="68"/>
      <c r="M53" s="67"/>
      <c r="N53" s="68"/>
      <c r="O53" s="67"/>
      <c r="P53" s="68"/>
      <c r="Q53" s="67"/>
      <c r="R53" s="74"/>
      <c r="S53" s="74"/>
      <c r="T53" s="68"/>
      <c r="U53" s="67"/>
      <c r="V53" s="68"/>
      <c r="W53" s="67"/>
      <c r="X53" s="68"/>
    </row>
    <row r="54" spans="1:24" ht="27" thickBot="1" x14ac:dyDescent="0.35">
      <c r="A54" s="2">
        <v>1</v>
      </c>
      <c r="B54" s="11" t="s">
        <v>173</v>
      </c>
      <c r="C54" s="34"/>
      <c r="D54" s="34"/>
      <c r="E54" s="2">
        <v>1</v>
      </c>
      <c r="F54" s="11" t="s">
        <v>133</v>
      </c>
      <c r="G54" s="2">
        <v>1</v>
      </c>
      <c r="H54" s="11" t="s">
        <v>167</v>
      </c>
      <c r="I54" s="41">
        <v>1</v>
      </c>
      <c r="J54" s="44" t="s">
        <v>79</v>
      </c>
      <c r="K54" s="2">
        <v>1</v>
      </c>
      <c r="L54" s="11" t="s">
        <v>25</v>
      </c>
      <c r="M54" s="2">
        <v>1</v>
      </c>
      <c r="N54" s="11" t="s">
        <v>25</v>
      </c>
      <c r="O54" s="2">
        <v>1</v>
      </c>
      <c r="P54" s="11" t="s">
        <v>25</v>
      </c>
      <c r="Q54" s="78" t="s">
        <v>22</v>
      </c>
      <c r="R54" s="79"/>
      <c r="S54" s="78" t="s">
        <v>23</v>
      </c>
      <c r="T54" s="79"/>
      <c r="U54" s="23">
        <v>1</v>
      </c>
      <c r="V54" s="13" t="s">
        <v>79</v>
      </c>
      <c r="W54" s="6">
        <v>1</v>
      </c>
      <c r="X54" s="13" t="s">
        <v>79</v>
      </c>
    </row>
    <row r="55" spans="1:24" ht="17.25" thickBot="1" x14ac:dyDescent="0.35">
      <c r="A55" s="2">
        <v>2</v>
      </c>
      <c r="B55" s="11" t="s">
        <v>174</v>
      </c>
      <c r="E55" s="2">
        <v>2</v>
      </c>
      <c r="F55" s="11" t="s">
        <v>134</v>
      </c>
      <c r="G55" s="2">
        <v>2</v>
      </c>
      <c r="H55" s="11" t="s">
        <v>164</v>
      </c>
      <c r="K55" s="6">
        <v>2</v>
      </c>
      <c r="L55" s="13" t="s">
        <v>127</v>
      </c>
      <c r="M55" s="6">
        <v>2</v>
      </c>
      <c r="N55" s="13" t="s">
        <v>127</v>
      </c>
      <c r="O55" s="6">
        <v>2</v>
      </c>
      <c r="P55" s="13" t="s">
        <v>127</v>
      </c>
      <c r="Q55" s="2">
        <v>1</v>
      </c>
      <c r="R55" s="11" t="s">
        <v>140</v>
      </c>
      <c r="S55" s="2">
        <v>1</v>
      </c>
      <c r="T55" s="11" t="s">
        <v>140</v>
      </c>
    </row>
    <row r="56" spans="1:24" ht="17.25" thickBot="1" x14ac:dyDescent="0.35">
      <c r="A56" s="2">
        <v>3</v>
      </c>
      <c r="B56" s="11" t="s">
        <v>175</v>
      </c>
      <c r="E56" s="2">
        <v>3</v>
      </c>
      <c r="F56" s="11" t="s">
        <v>135</v>
      </c>
      <c r="G56" s="2">
        <v>3</v>
      </c>
      <c r="H56" s="11" t="s">
        <v>165</v>
      </c>
      <c r="Q56" s="6">
        <v>2</v>
      </c>
      <c r="R56" s="13" t="s">
        <v>141</v>
      </c>
      <c r="S56" s="6">
        <v>2</v>
      </c>
      <c r="T56" s="13" t="s">
        <v>141</v>
      </c>
    </row>
    <row r="57" spans="1:24" ht="17.25" thickBot="1" x14ac:dyDescent="0.35">
      <c r="A57" s="2">
        <v>4</v>
      </c>
      <c r="B57" s="11" t="s">
        <v>176</v>
      </c>
      <c r="E57" s="6">
        <v>4</v>
      </c>
      <c r="F57" s="13" t="s">
        <v>178</v>
      </c>
      <c r="G57" s="2">
        <v>4</v>
      </c>
      <c r="H57" s="11" t="s">
        <v>188</v>
      </c>
    </row>
    <row r="58" spans="1:24" ht="17.25" thickBot="1" x14ac:dyDescent="0.35">
      <c r="A58" s="6">
        <v>5</v>
      </c>
      <c r="B58" s="13" t="s">
        <v>177</v>
      </c>
      <c r="E58" s="21"/>
      <c r="F58" s="22"/>
      <c r="G58" s="2">
        <v>5</v>
      </c>
      <c r="H58" s="11" t="s">
        <v>189</v>
      </c>
    </row>
    <row r="59" spans="1:24" ht="17.25" thickBot="1" x14ac:dyDescent="0.35">
      <c r="E59" s="21"/>
      <c r="F59" s="22"/>
    </row>
    <row r="60" spans="1:24" x14ac:dyDescent="0.3">
      <c r="E60" s="80" t="s">
        <v>169</v>
      </c>
      <c r="F60" s="81"/>
      <c r="G60" s="80" t="s">
        <v>172</v>
      </c>
      <c r="H60" s="81"/>
    </row>
    <row r="61" spans="1:24" x14ac:dyDescent="0.3">
      <c r="E61" s="82"/>
      <c r="F61" s="83"/>
      <c r="G61" s="82"/>
      <c r="H61" s="83"/>
    </row>
    <row r="62" spans="1:24" x14ac:dyDescent="0.3">
      <c r="E62" s="84"/>
      <c r="F62" s="85"/>
      <c r="G62" s="84"/>
      <c r="H62" s="85"/>
    </row>
    <row r="63" spans="1:24" x14ac:dyDescent="0.3">
      <c r="E63" s="46">
        <v>1</v>
      </c>
      <c r="F63" s="47" t="s">
        <v>170</v>
      </c>
      <c r="G63" s="46">
        <v>1</v>
      </c>
      <c r="H63" s="47" t="s">
        <v>25</v>
      </c>
    </row>
    <row r="64" spans="1:24" ht="17.25" thickBot="1" x14ac:dyDescent="0.35">
      <c r="E64" s="48">
        <v>2</v>
      </c>
      <c r="F64" s="49"/>
      <c r="G64" s="48">
        <v>2</v>
      </c>
      <c r="H64" s="49" t="s">
        <v>127</v>
      </c>
    </row>
    <row r="68" spans="1:20" ht="27" thickBot="1" x14ac:dyDescent="0.35">
      <c r="A68" s="69" t="s">
        <v>114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</row>
    <row r="69" spans="1:20" x14ac:dyDescent="0.3">
      <c r="A69" s="63" t="s">
        <v>26</v>
      </c>
      <c r="B69" s="64"/>
      <c r="C69" s="63" t="s">
        <v>163</v>
      </c>
      <c r="D69" s="64"/>
      <c r="E69" s="63" t="s">
        <v>171</v>
      </c>
      <c r="F69" s="64"/>
      <c r="G69" s="63" t="s">
        <v>136</v>
      </c>
      <c r="H69" s="64"/>
      <c r="I69" s="63" t="s">
        <v>137</v>
      </c>
      <c r="J69" s="64"/>
      <c r="K69" s="63" t="s">
        <v>138</v>
      </c>
      <c r="L69" s="64"/>
      <c r="M69" s="63" t="s">
        <v>139</v>
      </c>
      <c r="N69" s="72"/>
      <c r="O69" s="72"/>
      <c r="P69" s="64"/>
      <c r="Q69" s="63" t="s">
        <v>142</v>
      </c>
      <c r="R69" s="64"/>
      <c r="S69" s="63" t="s">
        <v>143</v>
      </c>
      <c r="T69" s="64"/>
    </row>
    <row r="70" spans="1:20" x14ac:dyDescent="0.3">
      <c r="A70" s="65"/>
      <c r="B70" s="66"/>
      <c r="C70" s="65"/>
      <c r="D70" s="66"/>
      <c r="E70" s="65"/>
      <c r="F70" s="66"/>
      <c r="G70" s="65"/>
      <c r="H70" s="66"/>
      <c r="I70" s="65"/>
      <c r="J70" s="66"/>
      <c r="K70" s="65"/>
      <c r="L70" s="66"/>
      <c r="M70" s="65"/>
      <c r="N70" s="73"/>
      <c r="O70" s="73"/>
      <c r="P70" s="66"/>
      <c r="Q70" s="65"/>
      <c r="R70" s="66"/>
      <c r="S70" s="65"/>
      <c r="T70" s="66"/>
    </row>
    <row r="71" spans="1:20" x14ac:dyDescent="0.3">
      <c r="A71" s="67"/>
      <c r="B71" s="68"/>
      <c r="C71" s="67"/>
      <c r="D71" s="68"/>
      <c r="E71" s="67"/>
      <c r="F71" s="68"/>
      <c r="G71" s="67"/>
      <c r="H71" s="68"/>
      <c r="I71" s="67"/>
      <c r="J71" s="68"/>
      <c r="K71" s="67"/>
      <c r="L71" s="68"/>
      <c r="M71" s="67"/>
      <c r="N71" s="74"/>
      <c r="O71" s="74"/>
      <c r="P71" s="68"/>
      <c r="Q71" s="67"/>
      <c r="R71" s="68"/>
      <c r="S71" s="67"/>
      <c r="T71" s="68"/>
    </row>
    <row r="72" spans="1:20" ht="17.25" thickBot="1" x14ac:dyDescent="0.35">
      <c r="A72" s="2">
        <v>1</v>
      </c>
      <c r="B72" s="11" t="s">
        <v>133</v>
      </c>
      <c r="C72" s="2">
        <v>1</v>
      </c>
      <c r="D72" s="11" t="s">
        <v>167</v>
      </c>
      <c r="E72" s="41">
        <v>1</v>
      </c>
      <c r="F72" s="44" t="s">
        <v>101</v>
      </c>
      <c r="G72" s="2">
        <v>1</v>
      </c>
      <c r="H72" s="11" t="s">
        <v>126</v>
      </c>
      <c r="I72" s="2">
        <v>1</v>
      </c>
      <c r="J72" s="11" t="s">
        <v>126</v>
      </c>
      <c r="K72" s="2">
        <v>1</v>
      </c>
      <c r="L72" s="11" t="s">
        <v>126</v>
      </c>
      <c r="M72" s="78" t="s">
        <v>160</v>
      </c>
      <c r="N72" s="79"/>
      <c r="O72" s="78" t="s">
        <v>161</v>
      </c>
      <c r="P72" s="79"/>
      <c r="Q72" s="23">
        <v>1</v>
      </c>
      <c r="R72" s="13" t="s">
        <v>101</v>
      </c>
      <c r="S72" s="6">
        <v>1</v>
      </c>
      <c r="T72" s="13" t="s">
        <v>101</v>
      </c>
    </row>
    <row r="73" spans="1:20" ht="17.25" thickBot="1" x14ac:dyDescent="0.35">
      <c r="A73" s="2">
        <v>2</v>
      </c>
      <c r="B73" s="11" t="s">
        <v>134</v>
      </c>
      <c r="C73" s="2">
        <v>2</v>
      </c>
      <c r="D73" s="11" t="s">
        <v>164</v>
      </c>
      <c r="G73" s="6">
        <v>2</v>
      </c>
      <c r="H73" s="13" t="s">
        <v>127</v>
      </c>
      <c r="I73" s="6">
        <v>2</v>
      </c>
      <c r="J73" s="13" t="s">
        <v>127</v>
      </c>
      <c r="K73" s="6">
        <v>2</v>
      </c>
      <c r="L73" s="13" t="s">
        <v>127</v>
      </c>
      <c r="M73" s="2">
        <v>1</v>
      </c>
      <c r="N73" s="11" t="s">
        <v>140</v>
      </c>
      <c r="O73" s="2">
        <v>1</v>
      </c>
      <c r="P73" s="11" t="s">
        <v>140</v>
      </c>
    </row>
    <row r="74" spans="1:20" ht="17.25" thickBot="1" x14ac:dyDescent="0.35">
      <c r="A74" s="2">
        <v>3</v>
      </c>
      <c r="B74" s="11" t="s">
        <v>135</v>
      </c>
      <c r="C74" s="2">
        <v>3</v>
      </c>
      <c r="D74" s="11" t="s">
        <v>165</v>
      </c>
      <c r="M74" s="6">
        <v>2</v>
      </c>
      <c r="N74" s="13" t="s">
        <v>141</v>
      </c>
      <c r="O74" s="6">
        <v>2</v>
      </c>
      <c r="P74" s="13" t="s">
        <v>141</v>
      </c>
    </row>
    <row r="75" spans="1:20" ht="17.25" thickBot="1" x14ac:dyDescent="0.35">
      <c r="A75" s="6">
        <v>4</v>
      </c>
      <c r="B75" s="13" t="s">
        <v>179</v>
      </c>
      <c r="C75" s="45">
        <v>4</v>
      </c>
      <c r="D75" s="13" t="s">
        <v>166</v>
      </c>
    </row>
    <row r="76" spans="1:20" ht="17.25" thickBot="1" x14ac:dyDescent="0.35">
      <c r="A76" s="21"/>
      <c r="B76" s="22"/>
      <c r="C76" s="45">
        <v>5</v>
      </c>
      <c r="D76" s="13" t="s">
        <v>168</v>
      </c>
    </row>
    <row r="77" spans="1:20" ht="17.25" thickBot="1" x14ac:dyDescent="0.35">
      <c r="A77" s="21"/>
      <c r="B77" s="22"/>
    </row>
    <row r="78" spans="1:20" x14ac:dyDescent="0.3">
      <c r="A78" s="80" t="s">
        <v>169</v>
      </c>
      <c r="B78" s="81"/>
      <c r="C78" s="80" t="s">
        <v>182</v>
      </c>
      <c r="D78" s="81"/>
      <c r="E78" s="80" t="s">
        <v>172</v>
      </c>
      <c r="F78" s="81"/>
    </row>
    <row r="79" spans="1:20" x14ac:dyDescent="0.3">
      <c r="A79" s="82"/>
      <c r="B79" s="83"/>
      <c r="C79" s="82"/>
      <c r="D79" s="83"/>
      <c r="E79" s="82"/>
      <c r="F79" s="83"/>
    </row>
    <row r="80" spans="1:20" x14ac:dyDescent="0.3">
      <c r="A80" s="84"/>
      <c r="B80" s="85"/>
      <c r="C80" s="84"/>
      <c r="D80" s="85"/>
      <c r="E80" s="84"/>
      <c r="F80" s="85"/>
    </row>
    <row r="81" spans="1:14" x14ac:dyDescent="0.3">
      <c r="A81" s="46">
        <v>1</v>
      </c>
      <c r="B81" s="47" t="s">
        <v>170</v>
      </c>
      <c r="C81" s="46">
        <v>1</v>
      </c>
      <c r="D81" s="47" t="s">
        <v>183</v>
      </c>
      <c r="E81" s="46">
        <v>1</v>
      </c>
      <c r="F81" s="47" t="s">
        <v>25</v>
      </c>
    </row>
    <row r="82" spans="1:14" ht="17.25" thickBot="1" x14ac:dyDescent="0.35">
      <c r="A82" s="57">
        <v>2</v>
      </c>
      <c r="B82" s="58" t="s">
        <v>180</v>
      </c>
      <c r="C82" s="57">
        <v>2</v>
      </c>
      <c r="D82" s="58" t="s">
        <v>185</v>
      </c>
      <c r="E82" s="48">
        <v>2</v>
      </c>
      <c r="F82" s="49" t="s">
        <v>187</v>
      </c>
    </row>
    <row r="83" spans="1:14" ht="17.25" thickBot="1" x14ac:dyDescent="0.35">
      <c r="A83" s="57">
        <v>3</v>
      </c>
      <c r="B83" s="58" t="s">
        <v>181</v>
      </c>
      <c r="C83" s="48">
        <v>3</v>
      </c>
      <c r="D83" s="49" t="s">
        <v>184</v>
      </c>
    </row>
    <row r="84" spans="1:14" ht="17.25" thickBot="1" x14ac:dyDescent="0.35">
      <c r="A84" s="48">
        <v>4</v>
      </c>
      <c r="B84" s="49" t="s">
        <v>186</v>
      </c>
    </row>
    <row r="85" spans="1:14" x14ac:dyDescent="0.3">
      <c r="A85" s="21"/>
      <c r="B85" s="22"/>
    </row>
    <row r="86" spans="1:14" x14ac:dyDescent="0.3">
      <c r="A86" s="21"/>
      <c r="B86" s="22"/>
    </row>
    <row r="87" spans="1:14" x14ac:dyDescent="0.3">
      <c r="A87" s="21"/>
      <c r="B87" s="22"/>
    </row>
    <row r="88" spans="1:14" x14ac:dyDescent="0.3">
      <c r="A88" s="21"/>
      <c r="B88" s="22"/>
    </row>
    <row r="89" spans="1:14" x14ac:dyDescent="0.3">
      <c r="A89" s="21"/>
      <c r="B89" s="22"/>
    </row>
    <row r="90" spans="1:14" ht="27" thickBot="1" x14ac:dyDescent="0.35">
      <c r="A90" s="77" t="s">
        <v>113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</row>
    <row r="91" spans="1:14" x14ac:dyDescent="0.3">
      <c r="A91" s="63" t="s">
        <v>117</v>
      </c>
      <c r="B91" s="72"/>
      <c r="C91" s="63" t="s">
        <v>121</v>
      </c>
      <c r="D91" s="72"/>
      <c r="E91" s="63" t="s">
        <v>122</v>
      </c>
      <c r="F91" s="72"/>
      <c r="G91" s="63" t="s">
        <v>125</v>
      </c>
      <c r="H91" s="64"/>
      <c r="I91" s="63" t="s">
        <v>24</v>
      </c>
      <c r="J91" s="64"/>
      <c r="K91" s="63" t="s">
        <v>130</v>
      </c>
      <c r="L91" s="64"/>
    </row>
    <row r="92" spans="1:14" x14ac:dyDescent="0.3">
      <c r="A92" s="65"/>
      <c r="B92" s="73"/>
      <c r="C92" s="65"/>
      <c r="D92" s="73"/>
      <c r="E92" s="65"/>
      <c r="F92" s="73"/>
      <c r="G92" s="65"/>
      <c r="H92" s="66"/>
      <c r="I92" s="65"/>
      <c r="J92" s="66"/>
      <c r="K92" s="65"/>
      <c r="L92" s="66"/>
    </row>
    <row r="93" spans="1:14" x14ac:dyDescent="0.3">
      <c r="A93" s="67"/>
      <c r="B93" s="74"/>
      <c r="C93" s="67"/>
      <c r="D93" s="74"/>
      <c r="E93" s="67"/>
      <c r="F93" s="74"/>
      <c r="G93" s="67"/>
      <c r="H93" s="68"/>
      <c r="I93" s="67"/>
      <c r="J93" s="68"/>
      <c r="K93" s="67"/>
      <c r="L93" s="68"/>
    </row>
    <row r="94" spans="1:14" x14ac:dyDescent="0.3">
      <c r="A94" s="2">
        <v>1</v>
      </c>
      <c r="B94" s="10" t="s">
        <v>118</v>
      </c>
      <c r="C94" s="2">
        <v>1</v>
      </c>
      <c r="D94" s="10" t="s">
        <v>126</v>
      </c>
      <c r="E94" s="2">
        <v>1</v>
      </c>
      <c r="F94" s="10" t="s">
        <v>123</v>
      </c>
      <c r="G94" s="2">
        <v>1</v>
      </c>
      <c r="H94" s="11"/>
      <c r="I94" s="2">
        <v>1</v>
      </c>
      <c r="J94" s="11" t="s">
        <v>128</v>
      </c>
      <c r="K94" s="2">
        <v>1</v>
      </c>
      <c r="L94" s="11" t="s">
        <v>131</v>
      </c>
    </row>
    <row r="95" spans="1:14" ht="17.25" thickBot="1" x14ac:dyDescent="0.35">
      <c r="A95" s="2">
        <v>2</v>
      </c>
      <c r="B95" s="10" t="s">
        <v>119</v>
      </c>
      <c r="C95" s="2">
        <v>2</v>
      </c>
      <c r="D95" s="10" t="s">
        <v>127</v>
      </c>
      <c r="E95" s="2">
        <v>2</v>
      </c>
      <c r="F95" s="10" t="s">
        <v>124</v>
      </c>
      <c r="G95" s="2">
        <v>2</v>
      </c>
      <c r="H95" s="11"/>
      <c r="I95" s="6">
        <v>2</v>
      </c>
      <c r="J95" s="13" t="s">
        <v>129</v>
      </c>
      <c r="K95" s="6">
        <v>2</v>
      </c>
      <c r="L95" s="13" t="s">
        <v>132</v>
      </c>
    </row>
    <row r="96" spans="1:14" x14ac:dyDescent="0.3">
      <c r="A96" s="2">
        <v>3</v>
      </c>
      <c r="B96" s="10" t="s">
        <v>120</v>
      </c>
      <c r="C96" s="2">
        <v>3</v>
      </c>
      <c r="D96" s="10"/>
      <c r="E96" s="2">
        <v>3</v>
      </c>
      <c r="F96" s="10"/>
      <c r="G96" s="2">
        <v>3</v>
      </c>
      <c r="H96" s="11"/>
    </row>
    <row r="97" spans="1:14" ht="17.25" thickBot="1" x14ac:dyDescent="0.35">
      <c r="A97" s="6">
        <v>4</v>
      </c>
      <c r="B97" s="14" t="s">
        <v>8</v>
      </c>
      <c r="C97" s="6">
        <v>4</v>
      </c>
      <c r="D97" s="14"/>
      <c r="E97" s="6">
        <v>4</v>
      </c>
      <c r="F97" s="14"/>
      <c r="G97" s="6">
        <v>4</v>
      </c>
      <c r="H97" s="13"/>
    </row>
    <row r="99" spans="1:14" ht="26.25" x14ac:dyDescent="0.3">
      <c r="A99" s="77" t="s">
        <v>115</v>
      </c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</row>
    <row r="109" spans="1:14" ht="26.25" x14ac:dyDescent="0.3">
      <c r="A109" s="77" t="s">
        <v>116</v>
      </c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</row>
  </sheetData>
  <mergeCells count="69">
    <mergeCell ref="U51:V53"/>
    <mergeCell ref="W51:X53"/>
    <mergeCell ref="Q54:R54"/>
    <mergeCell ref="S54:T54"/>
    <mergeCell ref="E60:F62"/>
    <mergeCell ref="G60:H62"/>
    <mergeCell ref="O72:P72"/>
    <mergeCell ref="A78:B80"/>
    <mergeCell ref="C78:D80"/>
    <mergeCell ref="Q69:R71"/>
    <mergeCell ref="A8:N8"/>
    <mergeCell ref="O8:T8"/>
    <mergeCell ref="K21:L23"/>
    <mergeCell ref="K25:L27"/>
    <mergeCell ref="K29:L31"/>
    <mergeCell ref="M9:N11"/>
    <mergeCell ref="M13:N15"/>
    <mergeCell ref="M20:N22"/>
    <mergeCell ref="G9:H11"/>
    <mergeCell ref="I9:J11"/>
    <mergeCell ref="C9:D11"/>
    <mergeCell ref="C13:D15"/>
    <mergeCell ref="A7:T7"/>
    <mergeCell ref="M69:P71"/>
    <mergeCell ref="S69:T71"/>
    <mergeCell ref="C69:D71"/>
    <mergeCell ref="S20:S22"/>
    <mergeCell ref="Q9:R11"/>
    <mergeCell ref="O15:P17"/>
    <mergeCell ref="A51:B53"/>
    <mergeCell ref="O9:P11"/>
    <mergeCell ref="T9:T11"/>
    <mergeCell ref="S9:S11"/>
    <mergeCell ref="S14:S16"/>
    <mergeCell ref="M24:N26"/>
    <mergeCell ref="K17:L19"/>
    <mergeCell ref="E50:X50"/>
    <mergeCell ref="E51:F53"/>
    <mergeCell ref="A99:N99"/>
    <mergeCell ref="A109:N109"/>
    <mergeCell ref="A69:B71"/>
    <mergeCell ref="A91:B93"/>
    <mergeCell ref="C91:D93"/>
    <mergeCell ref="E91:F93"/>
    <mergeCell ref="G91:H93"/>
    <mergeCell ref="I91:J93"/>
    <mergeCell ref="K91:L93"/>
    <mergeCell ref="E69:F71"/>
    <mergeCell ref="G69:H71"/>
    <mergeCell ref="I69:J71"/>
    <mergeCell ref="K69:L71"/>
    <mergeCell ref="A90:N90"/>
    <mergeCell ref="M72:N72"/>
    <mergeCell ref="E78:F80"/>
    <mergeCell ref="A9:B11"/>
    <mergeCell ref="E9:F11"/>
    <mergeCell ref="A68:T68"/>
    <mergeCell ref="K9:L11"/>
    <mergeCell ref="K13:L15"/>
    <mergeCell ref="C17:D19"/>
    <mergeCell ref="C21:D23"/>
    <mergeCell ref="C26:D28"/>
    <mergeCell ref="G51:H53"/>
    <mergeCell ref="I51:J53"/>
    <mergeCell ref="K51:L53"/>
    <mergeCell ref="M51:N53"/>
    <mergeCell ref="O51:P53"/>
    <mergeCell ref="Q51:T53"/>
    <mergeCell ref="A50:B50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55" fitToHeight="0" orientation="landscape" cellComments="asDisplaye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5:X51"/>
  <sheetViews>
    <sheetView tabSelected="1" zoomScale="85" zoomScaleNormal="85" workbookViewId="0">
      <selection activeCell="B2" sqref="B2"/>
    </sheetView>
  </sheetViews>
  <sheetFormatPr defaultRowHeight="16.5" x14ac:dyDescent="0.3"/>
  <cols>
    <col min="1" max="1" width="3.5" bestFit="1" customWidth="1"/>
    <col min="2" max="2" width="28.875" bestFit="1" customWidth="1"/>
    <col min="3" max="3" width="5.625" bestFit="1" customWidth="1"/>
    <col min="4" max="4" width="19.75" bestFit="1" customWidth="1"/>
    <col min="5" max="5" width="3.75" bestFit="1" customWidth="1"/>
    <col min="6" max="6" width="8.25" customWidth="1"/>
    <col min="7" max="7" width="3.75" bestFit="1" customWidth="1"/>
    <col min="8" max="8" width="7.375" bestFit="1" customWidth="1"/>
    <col min="9" max="9" width="2.875" bestFit="1" customWidth="1"/>
    <col min="10" max="10" width="25.125" customWidth="1"/>
    <col min="11" max="11" width="2.75" bestFit="1" customWidth="1"/>
    <col min="12" max="12" width="14.75" bestFit="1" customWidth="1"/>
    <col min="13" max="13" width="2.75" bestFit="1" customWidth="1"/>
    <col min="14" max="14" width="56.75" customWidth="1"/>
    <col min="15" max="15" width="14.75" customWidth="1"/>
    <col min="16" max="16" width="30.75" bestFit="1" customWidth="1"/>
    <col min="17" max="17" width="1.25" customWidth="1"/>
    <col min="18" max="19" width="14.75" customWidth="1"/>
    <col min="20" max="20" width="20.625" bestFit="1" customWidth="1"/>
    <col min="21" max="21" width="2.75" bestFit="1" customWidth="1"/>
    <col min="22" max="22" width="14.75" customWidth="1"/>
  </cols>
  <sheetData>
    <row r="5" spans="1:19" ht="17.25" thickBot="1" x14ac:dyDescent="0.35"/>
    <row r="6" spans="1:19" ht="32.25" thickBot="1" x14ac:dyDescent="0.35">
      <c r="A6" s="144" t="s">
        <v>206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6"/>
    </row>
    <row r="7" spans="1:19" ht="27" customHeight="1" thickBot="1" x14ac:dyDescent="0.35">
      <c r="A7" s="149" t="s">
        <v>209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0"/>
      <c r="R7" s="149" t="s">
        <v>210</v>
      </c>
      <c r="S7" s="150"/>
    </row>
    <row r="8" spans="1:19" x14ac:dyDescent="0.3">
      <c r="A8" s="65" t="s">
        <v>191</v>
      </c>
      <c r="B8" s="66"/>
      <c r="C8" s="65" t="s">
        <v>58</v>
      </c>
      <c r="D8" s="66"/>
      <c r="E8" s="138" t="s">
        <v>20</v>
      </c>
      <c r="F8" s="139"/>
      <c r="G8" s="138" t="s">
        <v>21</v>
      </c>
      <c r="H8" s="140"/>
      <c r="I8" s="65" t="s">
        <v>18</v>
      </c>
      <c r="J8" s="66"/>
      <c r="K8" s="132" t="s">
        <v>82</v>
      </c>
      <c r="L8" s="148"/>
      <c r="M8" s="132" t="s">
        <v>87</v>
      </c>
      <c r="N8" s="148"/>
      <c r="O8" s="132" t="s">
        <v>99</v>
      </c>
      <c r="P8" s="148"/>
      <c r="R8" s="63" t="s">
        <v>159</v>
      </c>
      <c r="S8" s="64"/>
    </row>
    <row r="9" spans="1:19" x14ac:dyDescent="0.3">
      <c r="A9" s="65"/>
      <c r="B9" s="66"/>
      <c r="C9" s="65"/>
      <c r="D9" s="66"/>
      <c r="E9" s="138"/>
      <c r="F9" s="139"/>
      <c r="G9" s="138"/>
      <c r="H9" s="140"/>
      <c r="I9" s="65"/>
      <c r="J9" s="66"/>
      <c r="K9" s="70"/>
      <c r="L9" s="101"/>
      <c r="M9" s="70"/>
      <c r="N9" s="101"/>
      <c r="O9" s="70"/>
      <c r="P9" s="101"/>
      <c r="R9" s="65"/>
      <c r="S9" s="66"/>
    </row>
    <row r="10" spans="1:19" x14ac:dyDescent="0.3">
      <c r="A10" s="67"/>
      <c r="B10" s="68"/>
      <c r="C10" s="67"/>
      <c r="D10" s="68"/>
      <c r="E10" s="141"/>
      <c r="F10" s="142"/>
      <c r="G10" s="141"/>
      <c r="H10" s="143"/>
      <c r="I10" s="67"/>
      <c r="J10" s="68"/>
      <c r="K10" s="70"/>
      <c r="L10" s="101"/>
      <c r="M10" s="70"/>
      <c r="N10" s="101"/>
      <c r="O10" s="70"/>
      <c r="P10" s="101"/>
      <c r="R10" s="67"/>
      <c r="S10" s="68"/>
    </row>
    <row r="11" spans="1:19" ht="17.25" thickBot="1" x14ac:dyDescent="0.35">
      <c r="A11" s="2">
        <v>1</v>
      </c>
      <c r="B11" s="3" t="s">
        <v>193</v>
      </c>
      <c r="C11" s="2">
        <v>1</v>
      </c>
      <c r="D11" s="15" t="s">
        <v>59</v>
      </c>
      <c r="E11" s="120">
        <v>1</v>
      </c>
      <c r="F11" s="121">
        <v>0.5</v>
      </c>
      <c r="G11" s="120">
        <v>1</v>
      </c>
      <c r="H11" s="122">
        <v>1</v>
      </c>
      <c r="I11" s="41">
        <v>1</v>
      </c>
      <c r="J11" s="44" t="s">
        <v>79</v>
      </c>
      <c r="K11" s="38">
        <v>1</v>
      </c>
      <c r="L11" s="134" t="s">
        <v>83</v>
      </c>
      <c r="M11" s="51">
        <v>1</v>
      </c>
      <c r="N11" s="54" t="s">
        <v>90</v>
      </c>
      <c r="O11" s="51">
        <v>1</v>
      </c>
      <c r="P11" s="54" t="s">
        <v>107</v>
      </c>
      <c r="R11" s="2">
        <v>1</v>
      </c>
      <c r="S11" s="1" t="s">
        <v>3</v>
      </c>
    </row>
    <row r="12" spans="1:19" x14ac:dyDescent="0.3">
      <c r="A12" s="2">
        <f>+A11+1</f>
        <v>2</v>
      </c>
      <c r="B12" s="129" t="s">
        <v>194</v>
      </c>
      <c r="C12" s="2">
        <v>2</v>
      </c>
      <c r="D12" s="15" t="s">
        <v>60</v>
      </c>
      <c r="E12" s="120">
        <v>2</v>
      </c>
      <c r="F12" s="123">
        <v>0.5</v>
      </c>
      <c r="G12" s="120">
        <v>2</v>
      </c>
      <c r="H12" s="122">
        <v>1.5</v>
      </c>
      <c r="I12" s="108" t="s">
        <v>80</v>
      </c>
      <c r="J12" s="109"/>
      <c r="K12" s="51">
        <v>2</v>
      </c>
      <c r="L12" s="135" t="s">
        <v>84</v>
      </c>
      <c r="M12" s="70" t="s">
        <v>207</v>
      </c>
      <c r="N12" s="101"/>
      <c r="O12" s="63" t="s">
        <v>100</v>
      </c>
      <c r="P12" s="64"/>
      <c r="R12" s="2">
        <v>2</v>
      </c>
      <c r="S12" s="1" t="s">
        <v>5</v>
      </c>
    </row>
    <row r="13" spans="1:19" ht="17.25" thickBot="1" x14ac:dyDescent="0.35">
      <c r="A13" s="2">
        <f t="shared" ref="A13:A17" si="0">+A12+1</f>
        <v>3</v>
      </c>
      <c r="B13" s="3" t="s">
        <v>190</v>
      </c>
      <c r="C13" s="2">
        <v>3</v>
      </c>
      <c r="D13" s="15" t="s">
        <v>61</v>
      </c>
      <c r="E13" s="120">
        <v>3</v>
      </c>
      <c r="F13" s="123">
        <v>0.6</v>
      </c>
      <c r="G13" s="120">
        <v>3</v>
      </c>
      <c r="H13" s="122">
        <v>2</v>
      </c>
      <c r="I13" s="70"/>
      <c r="J13" s="101"/>
      <c r="K13" s="136">
        <v>3</v>
      </c>
      <c r="L13" s="137" t="s">
        <v>203</v>
      </c>
      <c r="M13" s="70"/>
      <c r="N13" s="101"/>
      <c r="O13" s="65"/>
      <c r="P13" s="66"/>
      <c r="R13" s="2">
        <v>3</v>
      </c>
      <c r="S13" s="1" t="s">
        <v>7</v>
      </c>
    </row>
    <row r="14" spans="1:19" x14ac:dyDescent="0.3">
      <c r="A14" s="2">
        <f t="shared" si="0"/>
        <v>4</v>
      </c>
      <c r="B14" s="3" t="s">
        <v>192</v>
      </c>
      <c r="C14" s="2">
        <v>4</v>
      </c>
      <c r="D14" s="15" t="s">
        <v>62</v>
      </c>
      <c r="E14" s="120">
        <v>4</v>
      </c>
      <c r="F14" s="123">
        <v>0.6</v>
      </c>
      <c r="G14" s="120">
        <v>4</v>
      </c>
      <c r="H14" s="122">
        <v>2.5</v>
      </c>
      <c r="I14" s="70"/>
      <c r="J14" s="101"/>
      <c r="M14" s="70"/>
      <c r="N14" s="101"/>
      <c r="O14" s="67"/>
      <c r="P14" s="68"/>
      <c r="R14" s="87" t="s">
        <v>53</v>
      </c>
      <c r="S14" s="93"/>
    </row>
    <row r="15" spans="1:19" ht="17.25" thickBot="1" x14ac:dyDescent="0.35">
      <c r="A15" s="2">
        <f t="shared" si="0"/>
        <v>5</v>
      </c>
      <c r="B15" s="129" t="s">
        <v>195</v>
      </c>
      <c r="C15" s="2">
        <v>5</v>
      </c>
      <c r="D15" s="15" t="s">
        <v>63</v>
      </c>
      <c r="E15" s="120">
        <v>5</v>
      </c>
      <c r="F15" s="123">
        <v>0.5</v>
      </c>
      <c r="G15" s="120">
        <v>5</v>
      </c>
      <c r="H15" s="122">
        <v>3</v>
      </c>
      <c r="I15" s="55">
        <v>1</v>
      </c>
      <c r="J15" s="56" t="s">
        <v>81</v>
      </c>
      <c r="M15" s="51">
        <v>1</v>
      </c>
      <c r="N15" s="54" t="s">
        <v>89</v>
      </c>
      <c r="O15" s="38">
        <v>1</v>
      </c>
      <c r="P15" s="43" t="s">
        <v>102</v>
      </c>
      <c r="R15" s="89"/>
      <c r="S15" s="94"/>
    </row>
    <row r="16" spans="1:19" x14ac:dyDescent="0.3">
      <c r="A16" s="2">
        <f t="shared" si="0"/>
        <v>6</v>
      </c>
      <c r="B16" s="129" t="s">
        <v>196</v>
      </c>
      <c r="C16" s="2">
        <v>6</v>
      </c>
      <c r="D16" s="15" t="s">
        <v>64</v>
      </c>
      <c r="E16" s="120">
        <v>6</v>
      </c>
      <c r="F16" s="123">
        <v>0.8</v>
      </c>
      <c r="G16" s="120">
        <v>6</v>
      </c>
      <c r="H16" s="122">
        <v>3.5</v>
      </c>
      <c r="I16" s="108" t="s">
        <v>19</v>
      </c>
      <c r="J16" s="109"/>
      <c r="M16" s="70" t="s">
        <v>91</v>
      </c>
      <c r="N16" s="101"/>
      <c r="O16" s="38">
        <v>2</v>
      </c>
      <c r="P16" s="43" t="s">
        <v>103</v>
      </c>
      <c r="R16" s="91"/>
      <c r="S16" s="95"/>
    </row>
    <row r="17" spans="1:19" x14ac:dyDescent="0.3">
      <c r="A17" s="2">
        <f t="shared" si="0"/>
        <v>7</v>
      </c>
      <c r="B17" s="3" t="s">
        <v>197</v>
      </c>
      <c r="C17" s="2">
        <v>7</v>
      </c>
      <c r="D17" s="16" t="s">
        <v>66</v>
      </c>
      <c r="E17" s="120">
        <v>7</v>
      </c>
      <c r="F17" s="123">
        <v>0.9</v>
      </c>
      <c r="G17" s="120">
        <v>7</v>
      </c>
      <c r="H17" s="122">
        <v>15</v>
      </c>
      <c r="I17" s="70"/>
      <c r="J17" s="101"/>
      <c r="M17" s="70"/>
      <c r="N17" s="101"/>
      <c r="O17" s="38">
        <f t="shared" ref="O17:O18" si="1">+O16+1</f>
        <v>3</v>
      </c>
      <c r="P17" s="43" t="s">
        <v>104</v>
      </c>
      <c r="R17" s="2">
        <v>1</v>
      </c>
      <c r="S17" s="11" t="s">
        <v>3</v>
      </c>
    </row>
    <row r="18" spans="1:19" ht="17.25" thickBot="1" x14ac:dyDescent="0.35">
      <c r="A18" s="6" t="s">
        <v>201</v>
      </c>
      <c r="B18" s="20" t="s">
        <v>200</v>
      </c>
      <c r="C18" s="2">
        <v>8</v>
      </c>
      <c r="D18" s="16" t="s">
        <v>65</v>
      </c>
      <c r="E18" s="120">
        <v>8</v>
      </c>
      <c r="F18" s="123">
        <v>0.8</v>
      </c>
      <c r="G18" s="120">
        <v>8</v>
      </c>
      <c r="H18" s="122">
        <v>13</v>
      </c>
      <c r="I18" s="70"/>
      <c r="J18" s="101"/>
      <c r="M18" s="70"/>
      <c r="N18" s="101"/>
      <c r="O18" s="130">
        <f t="shared" si="1"/>
        <v>4</v>
      </c>
      <c r="P18" s="147" t="s">
        <v>208</v>
      </c>
      <c r="R18" s="2">
        <v>2</v>
      </c>
      <c r="S18" s="1" t="s">
        <v>5</v>
      </c>
    </row>
    <row r="19" spans="1:19" ht="17.25" thickBot="1" x14ac:dyDescent="0.35">
      <c r="C19" s="2">
        <v>9</v>
      </c>
      <c r="D19" s="16" t="s">
        <v>67</v>
      </c>
      <c r="E19" s="120">
        <v>9</v>
      </c>
      <c r="F19" s="123">
        <v>0.7</v>
      </c>
      <c r="G19" s="120">
        <v>9</v>
      </c>
      <c r="H19" s="122">
        <v>9</v>
      </c>
      <c r="I19" s="55">
        <v>1</v>
      </c>
      <c r="J19" s="133" t="s">
        <v>86</v>
      </c>
      <c r="M19" s="51">
        <v>1</v>
      </c>
      <c r="N19" s="54" t="s">
        <v>92</v>
      </c>
      <c r="O19" s="63" t="s">
        <v>106</v>
      </c>
      <c r="P19" s="64"/>
      <c r="R19" s="6">
        <v>3</v>
      </c>
      <c r="S19" s="7" t="s">
        <v>7</v>
      </c>
    </row>
    <row r="20" spans="1:19" x14ac:dyDescent="0.3">
      <c r="C20" s="2">
        <v>10</v>
      </c>
      <c r="D20" s="16" t="s">
        <v>68</v>
      </c>
      <c r="E20" s="120">
        <v>10</v>
      </c>
      <c r="F20" s="123">
        <v>0.8</v>
      </c>
      <c r="G20" s="120">
        <v>10</v>
      </c>
      <c r="H20" s="122">
        <v>11</v>
      </c>
      <c r="I20" s="63" t="s">
        <v>85</v>
      </c>
      <c r="J20" s="64"/>
      <c r="M20" s="70" t="s">
        <v>93</v>
      </c>
      <c r="N20" s="101"/>
      <c r="O20" s="65"/>
      <c r="P20" s="66"/>
    </row>
    <row r="21" spans="1:19" x14ac:dyDescent="0.3">
      <c r="C21" s="2">
        <v>11</v>
      </c>
      <c r="D21" s="17" t="s">
        <v>69</v>
      </c>
      <c r="E21" s="120">
        <v>11</v>
      </c>
      <c r="F21" s="123">
        <v>0.7</v>
      </c>
      <c r="G21" s="120">
        <v>11</v>
      </c>
      <c r="H21" s="122">
        <v>3</v>
      </c>
      <c r="I21" s="65"/>
      <c r="J21" s="66"/>
      <c r="M21" s="70"/>
      <c r="N21" s="101"/>
      <c r="O21" s="67"/>
      <c r="P21" s="68"/>
    </row>
    <row r="22" spans="1:19" ht="17.25" thickBot="1" x14ac:dyDescent="0.35">
      <c r="C22" s="2">
        <v>12</v>
      </c>
      <c r="D22" s="17" t="s">
        <v>70</v>
      </c>
      <c r="E22" s="120">
        <v>12</v>
      </c>
      <c r="F22" s="123">
        <v>0.7</v>
      </c>
      <c r="G22" s="120">
        <v>12</v>
      </c>
      <c r="H22" s="122">
        <v>3.5</v>
      </c>
      <c r="I22" s="67"/>
      <c r="J22" s="68"/>
      <c r="M22" s="70"/>
      <c r="N22" s="101"/>
      <c r="O22" s="41">
        <v>1</v>
      </c>
      <c r="P22" s="44" t="s">
        <v>79</v>
      </c>
    </row>
    <row r="23" spans="1:19" ht="17.25" thickBot="1" x14ac:dyDescent="0.35">
      <c r="C23" s="2">
        <v>13</v>
      </c>
      <c r="D23" s="17" t="s">
        <v>71</v>
      </c>
      <c r="E23" s="120">
        <v>13</v>
      </c>
      <c r="F23" s="123">
        <v>0.7</v>
      </c>
      <c r="G23" s="120">
        <v>13</v>
      </c>
      <c r="H23" s="122">
        <v>4</v>
      </c>
      <c r="I23" s="41">
        <v>1</v>
      </c>
      <c r="J23" s="44" t="s">
        <v>204</v>
      </c>
      <c r="M23" s="51">
        <v>1</v>
      </c>
      <c r="N23" s="54" t="s">
        <v>94</v>
      </c>
      <c r="O23" s="63" t="s">
        <v>109</v>
      </c>
      <c r="P23" s="64"/>
    </row>
    <row r="24" spans="1:19" x14ac:dyDescent="0.3">
      <c r="C24" s="2">
        <v>14</v>
      </c>
      <c r="D24" s="18" t="s">
        <v>72</v>
      </c>
      <c r="E24" s="120">
        <v>14</v>
      </c>
      <c r="F24" s="121">
        <v>0.2</v>
      </c>
      <c r="G24" s="120">
        <v>14</v>
      </c>
      <c r="H24" s="122">
        <v>0.8</v>
      </c>
      <c r="M24" s="70" t="s">
        <v>95</v>
      </c>
      <c r="N24" s="101"/>
      <c r="O24" s="65"/>
      <c r="P24" s="66"/>
    </row>
    <row r="25" spans="1:19" x14ac:dyDescent="0.3">
      <c r="C25" s="2">
        <v>15</v>
      </c>
      <c r="D25" s="18" t="s">
        <v>73</v>
      </c>
      <c r="E25" s="120">
        <v>15</v>
      </c>
      <c r="F25" s="121">
        <v>0.2</v>
      </c>
      <c r="G25" s="120">
        <v>15</v>
      </c>
      <c r="H25" s="122">
        <v>1</v>
      </c>
      <c r="M25" s="70"/>
      <c r="N25" s="101"/>
      <c r="O25" s="67"/>
      <c r="P25" s="68"/>
    </row>
    <row r="26" spans="1:19" x14ac:dyDescent="0.3">
      <c r="C26" s="2">
        <v>16</v>
      </c>
      <c r="D26" s="18" t="s">
        <v>74</v>
      </c>
      <c r="E26" s="120">
        <v>16</v>
      </c>
      <c r="F26" s="123">
        <v>0.2</v>
      </c>
      <c r="G26" s="120">
        <v>16</v>
      </c>
      <c r="H26" s="122">
        <v>1</v>
      </c>
      <c r="M26" s="70"/>
      <c r="N26" s="101"/>
      <c r="O26" s="38">
        <v>1</v>
      </c>
      <c r="P26" s="43" t="s">
        <v>111</v>
      </c>
    </row>
    <row r="27" spans="1:19" ht="17.25" thickBot="1" x14ac:dyDescent="0.35">
      <c r="C27" s="2">
        <v>17</v>
      </c>
      <c r="D27" s="11" t="s">
        <v>75</v>
      </c>
      <c r="E27" s="120">
        <v>17</v>
      </c>
      <c r="F27" s="123">
        <v>0.2</v>
      </c>
      <c r="G27" s="120">
        <v>17</v>
      </c>
      <c r="H27" s="122">
        <v>0.8</v>
      </c>
      <c r="M27" s="51">
        <v>1</v>
      </c>
      <c r="N27" s="54" t="s">
        <v>205</v>
      </c>
      <c r="O27" s="41">
        <v>2</v>
      </c>
      <c r="P27" s="44" t="s">
        <v>110</v>
      </c>
    </row>
    <row r="28" spans="1:19" x14ac:dyDescent="0.3">
      <c r="C28" s="2">
        <v>18</v>
      </c>
      <c r="D28" s="12" t="s">
        <v>76</v>
      </c>
      <c r="E28" s="120">
        <v>18</v>
      </c>
      <c r="F28" s="123">
        <v>0.2</v>
      </c>
      <c r="G28" s="120">
        <v>18</v>
      </c>
      <c r="H28" s="122">
        <v>0.8</v>
      </c>
      <c r="M28" s="70" t="s">
        <v>97</v>
      </c>
      <c r="N28" s="101"/>
    </row>
    <row r="29" spans="1:19" ht="17.25" thickBot="1" x14ac:dyDescent="0.35">
      <c r="C29" s="8">
        <v>19</v>
      </c>
      <c r="D29" s="127" t="s">
        <v>198</v>
      </c>
      <c r="E29" s="120">
        <v>19</v>
      </c>
      <c r="F29" s="123">
        <v>0.4</v>
      </c>
      <c r="G29" s="124">
        <v>19</v>
      </c>
      <c r="H29" s="128">
        <v>1</v>
      </c>
      <c r="M29" s="70"/>
      <c r="N29" s="101"/>
    </row>
    <row r="30" spans="1:19" ht="33" customHeight="1" thickBot="1" x14ac:dyDescent="0.35">
      <c r="C30" s="6" t="s">
        <v>202</v>
      </c>
      <c r="D30" s="19" t="s">
        <v>199</v>
      </c>
      <c r="E30" s="130" t="s">
        <v>202</v>
      </c>
      <c r="F30" s="131" t="s">
        <v>199</v>
      </c>
      <c r="G30" s="130" t="s">
        <v>202</v>
      </c>
      <c r="H30" s="131" t="s">
        <v>199</v>
      </c>
      <c r="M30" s="70"/>
      <c r="N30" s="101"/>
    </row>
    <row r="31" spans="1:19" ht="17.25" thickBot="1" x14ac:dyDescent="0.35">
      <c r="C31" s="59"/>
      <c r="D31" s="59"/>
      <c r="M31" s="55">
        <v>1</v>
      </c>
      <c r="N31" s="56" t="s">
        <v>98</v>
      </c>
    </row>
    <row r="36" spans="1:24" ht="17.25" thickBot="1" x14ac:dyDescent="0.35"/>
    <row r="37" spans="1:24" ht="27" thickBot="1" x14ac:dyDescent="0.35">
      <c r="A37" s="75" t="s">
        <v>112</v>
      </c>
      <c r="B37" s="76"/>
      <c r="C37" s="50"/>
      <c r="D37" s="50"/>
      <c r="E37" s="75" t="s">
        <v>114</v>
      </c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76"/>
    </row>
    <row r="38" spans="1:24" ht="26.25" x14ac:dyDescent="0.3">
      <c r="A38" s="87" t="s">
        <v>162</v>
      </c>
      <c r="B38" s="93"/>
      <c r="C38" s="60"/>
      <c r="D38" s="60"/>
      <c r="E38" s="63" t="s">
        <v>26</v>
      </c>
      <c r="F38" s="64"/>
      <c r="G38" s="63" t="s">
        <v>163</v>
      </c>
      <c r="H38" s="64"/>
      <c r="I38" s="63" t="s">
        <v>171</v>
      </c>
      <c r="J38" s="64"/>
      <c r="K38" s="63" t="s">
        <v>136</v>
      </c>
      <c r="L38" s="64"/>
      <c r="M38" s="63" t="s">
        <v>137</v>
      </c>
      <c r="N38" s="64"/>
      <c r="O38" s="63" t="s">
        <v>138</v>
      </c>
      <c r="P38" s="64"/>
      <c r="Q38" s="63" t="s">
        <v>139</v>
      </c>
      <c r="R38" s="72"/>
      <c r="S38" s="72"/>
      <c r="T38" s="64"/>
      <c r="U38" s="63" t="s">
        <v>142</v>
      </c>
      <c r="V38" s="64"/>
      <c r="W38" s="63" t="s">
        <v>143</v>
      </c>
      <c r="X38" s="64"/>
    </row>
    <row r="39" spans="1:24" ht="26.25" x14ac:dyDescent="0.3">
      <c r="A39" s="89"/>
      <c r="B39" s="94"/>
      <c r="C39" s="60"/>
      <c r="D39" s="60"/>
      <c r="E39" s="65"/>
      <c r="F39" s="66"/>
      <c r="G39" s="65"/>
      <c r="H39" s="66"/>
      <c r="I39" s="65"/>
      <c r="J39" s="66"/>
      <c r="K39" s="65"/>
      <c r="L39" s="66"/>
      <c r="M39" s="65"/>
      <c r="N39" s="66"/>
      <c r="O39" s="65"/>
      <c r="P39" s="66"/>
      <c r="Q39" s="65"/>
      <c r="R39" s="73"/>
      <c r="S39" s="73"/>
      <c r="T39" s="66"/>
      <c r="U39" s="65"/>
      <c r="V39" s="66"/>
      <c r="W39" s="65"/>
      <c r="X39" s="66"/>
    </row>
    <row r="40" spans="1:24" ht="26.25" x14ac:dyDescent="0.3">
      <c r="A40" s="91"/>
      <c r="B40" s="95"/>
      <c r="C40" s="60"/>
      <c r="D40" s="60"/>
      <c r="E40" s="67"/>
      <c r="F40" s="68"/>
      <c r="G40" s="67"/>
      <c r="H40" s="68"/>
      <c r="I40" s="67"/>
      <c r="J40" s="68"/>
      <c r="K40" s="67"/>
      <c r="L40" s="68"/>
      <c r="M40" s="67"/>
      <c r="N40" s="68"/>
      <c r="O40" s="67"/>
      <c r="P40" s="68"/>
      <c r="Q40" s="67"/>
      <c r="R40" s="74"/>
      <c r="S40" s="74"/>
      <c r="T40" s="68"/>
      <c r="U40" s="67"/>
      <c r="V40" s="68"/>
      <c r="W40" s="67"/>
      <c r="X40" s="68"/>
    </row>
    <row r="41" spans="1:24" ht="27" thickBot="1" x14ac:dyDescent="0.35">
      <c r="A41" s="2">
        <v>1</v>
      </c>
      <c r="B41" s="11" t="s">
        <v>173</v>
      </c>
      <c r="C41" s="60"/>
      <c r="D41" s="60"/>
      <c r="E41" s="2">
        <v>1</v>
      </c>
      <c r="F41" s="11" t="s">
        <v>133</v>
      </c>
      <c r="G41" s="2">
        <v>1</v>
      </c>
      <c r="H41" s="11" t="s">
        <v>167</v>
      </c>
      <c r="I41" s="41">
        <v>1</v>
      </c>
      <c r="J41" s="44" t="s">
        <v>79</v>
      </c>
      <c r="K41" s="2">
        <v>1</v>
      </c>
      <c r="L41" s="11" t="s">
        <v>25</v>
      </c>
      <c r="M41" s="2">
        <v>1</v>
      </c>
      <c r="N41" s="11" t="s">
        <v>25</v>
      </c>
      <c r="O41" s="2">
        <v>1</v>
      </c>
      <c r="P41" s="11" t="s">
        <v>25</v>
      </c>
      <c r="Q41" s="78" t="s">
        <v>22</v>
      </c>
      <c r="R41" s="79"/>
      <c r="S41" s="78" t="s">
        <v>23</v>
      </c>
      <c r="T41" s="79"/>
      <c r="U41" s="23">
        <v>1</v>
      </c>
      <c r="V41" s="13" t="s">
        <v>79</v>
      </c>
      <c r="W41" s="6">
        <v>1</v>
      </c>
      <c r="X41" s="13" t="s">
        <v>79</v>
      </c>
    </row>
    <row r="42" spans="1:24" ht="17.25" thickBot="1" x14ac:dyDescent="0.35">
      <c r="A42" s="2">
        <v>2</v>
      </c>
      <c r="B42" s="11" t="s">
        <v>174</v>
      </c>
      <c r="E42" s="2">
        <v>2</v>
      </c>
      <c r="F42" s="11" t="s">
        <v>134</v>
      </c>
      <c r="G42" s="2">
        <v>2</v>
      </c>
      <c r="H42" s="11" t="s">
        <v>164</v>
      </c>
      <c r="K42" s="6">
        <v>2</v>
      </c>
      <c r="L42" s="13" t="s">
        <v>127</v>
      </c>
      <c r="M42" s="6">
        <v>2</v>
      </c>
      <c r="N42" s="13" t="s">
        <v>127</v>
      </c>
      <c r="O42" s="6">
        <v>2</v>
      </c>
      <c r="P42" s="13" t="s">
        <v>127</v>
      </c>
      <c r="Q42" s="2">
        <v>1</v>
      </c>
      <c r="R42" s="11" t="s">
        <v>140</v>
      </c>
      <c r="S42" s="2">
        <v>1</v>
      </c>
      <c r="T42" s="11" t="s">
        <v>140</v>
      </c>
    </row>
    <row r="43" spans="1:24" ht="17.25" thickBot="1" x14ac:dyDescent="0.35">
      <c r="A43" s="2">
        <v>3</v>
      </c>
      <c r="B43" s="11" t="s">
        <v>175</v>
      </c>
      <c r="E43" s="2">
        <v>3</v>
      </c>
      <c r="F43" s="11" t="s">
        <v>135</v>
      </c>
      <c r="G43" s="2">
        <v>3</v>
      </c>
      <c r="H43" s="11" t="s">
        <v>165</v>
      </c>
      <c r="Q43" s="6">
        <v>2</v>
      </c>
      <c r="R43" s="13" t="s">
        <v>141</v>
      </c>
      <c r="S43" s="6">
        <v>2</v>
      </c>
      <c r="T43" s="13" t="s">
        <v>141</v>
      </c>
    </row>
    <row r="44" spans="1:24" ht="17.25" thickBot="1" x14ac:dyDescent="0.35">
      <c r="A44" s="2">
        <v>4</v>
      </c>
      <c r="B44" s="11" t="s">
        <v>176</v>
      </c>
      <c r="E44" s="6">
        <v>4</v>
      </c>
      <c r="F44" s="13" t="s">
        <v>8</v>
      </c>
      <c r="G44" s="2">
        <v>4</v>
      </c>
      <c r="H44" s="11" t="s">
        <v>166</v>
      </c>
    </row>
    <row r="45" spans="1:24" ht="17.25" thickBot="1" x14ac:dyDescent="0.35">
      <c r="A45" s="6">
        <v>5</v>
      </c>
      <c r="B45" s="13" t="s">
        <v>177</v>
      </c>
      <c r="E45" s="21"/>
      <c r="F45" s="22"/>
      <c r="G45" s="2">
        <v>5</v>
      </c>
      <c r="H45" s="11" t="s">
        <v>168</v>
      </c>
    </row>
    <row r="46" spans="1:24" ht="17.25" thickBot="1" x14ac:dyDescent="0.35">
      <c r="E46" s="21"/>
      <c r="F46" s="22"/>
    </row>
    <row r="47" spans="1:24" x14ac:dyDescent="0.3">
      <c r="E47" s="80" t="s">
        <v>169</v>
      </c>
      <c r="F47" s="81"/>
      <c r="G47" s="80" t="s">
        <v>172</v>
      </c>
      <c r="H47" s="81"/>
    </row>
    <row r="48" spans="1:24" x14ac:dyDescent="0.3">
      <c r="E48" s="82"/>
      <c r="F48" s="83"/>
      <c r="G48" s="82"/>
      <c r="H48" s="83"/>
    </row>
    <row r="49" spans="5:8" x14ac:dyDescent="0.3">
      <c r="E49" s="84"/>
      <c r="F49" s="85"/>
      <c r="G49" s="84"/>
      <c r="H49" s="85"/>
    </row>
    <row r="50" spans="5:8" x14ac:dyDescent="0.3">
      <c r="E50" s="46">
        <v>1</v>
      </c>
      <c r="F50" s="47" t="s">
        <v>170</v>
      </c>
      <c r="G50" s="46">
        <v>1</v>
      </c>
      <c r="H50" s="47" t="s">
        <v>25</v>
      </c>
    </row>
    <row r="51" spans="5:8" ht="17.25" thickBot="1" x14ac:dyDescent="0.35">
      <c r="E51" s="48">
        <v>2</v>
      </c>
      <c r="F51" s="49"/>
      <c r="G51" s="48">
        <v>2</v>
      </c>
      <c r="H51" s="49" t="s">
        <v>127</v>
      </c>
    </row>
  </sheetData>
  <mergeCells count="40">
    <mergeCell ref="Q41:R41"/>
    <mergeCell ref="S41:T41"/>
    <mergeCell ref="E47:F49"/>
    <mergeCell ref="G47:H49"/>
    <mergeCell ref="A37:B37"/>
    <mergeCell ref="E37:X37"/>
    <mergeCell ref="A38:B40"/>
    <mergeCell ref="E38:F40"/>
    <mergeCell ref="G38:H40"/>
    <mergeCell ref="I38:J40"/>
    <mergeCell ref="K38:L40"/>
    <mergeCell ref="M38:N40"/>
    <mergeCell ref="O38:P40"/>
    <mergeCell ref="Q38:T40"/>
    <mergeCell ref="U38:V40"/>
    <mergeCell ref="W38:X40"/>
    <mergeCell ref="R8:S10"/>
    <mergeCell ref="R14:S16"/>
    <mergeCell ref="A6:S6"/>
    <mergeCell ref="A7:P7"/>
    <mergeCell ref="R7:S7"/>
    <mergeCell ref="O8:P10"/>
    <mergeCell ref="O12:P14"/>
    <mergeCell ref="O19:P21"/>
    <mergeCell ref="O23:P25"/>
    <mergeCell ref="M12:N14"/>
    <mergeCell ref="M16:N18"/>
    <mergeCell ref="M20:N22"/>
    <mergeCell ref="M24:N26"/>
    <mergeCell ref="M28:N30"/>
    <mergeCell ref="C8:D10"/>
    <mergeCell ref="E8:F10"/>
    <mergeCell ref="I8:J10"/>
    <mergeCell ref="I12:J14"/>
    <mergeCell ref="I16:J18"/>
    <mergeCell ref="I20:J22"/>
    <mergeCell ref="A8:B10"/>
    <mergeCell ref="G8:H10"/>
    <mergeCell ref="K8:L10"/>
    <mergeCell ref="M8:N10"/>
  </mergeCells>
  <phoneticPr fontId="2" type="noConversion"/>
  <pageMargins left="0.7" right="0.7" top="0.75" bottom="0.75" header="0.3" footer="0.3"/>
  <pageSetup paperSize="9" scale="6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공사비닷컴_검색조건</vt:lpstr>
      <vt:lpstr>검색조건-1차시안(21.02.22)</vt:lpstr>
      <vt:lpstr>A111111111111111111111111111111</vt:lpstr>
      <vt:lpstr>A99999999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공사비01</dc:creator>
  <cp:lastModifiedBy>user202</cp:lastModifiedBy>
  <cp:lastPrinted>2021-02-18T04:31:50Z</cp:lastPrinted>
  <dcterms:created xsi:type="dcterms:W3CDTF">2020-12-17T07:24:54Z</dcterms:created>
  <dcterms:modified xsi:type="dcterms:W3CDTF">2021-02-22T05:35:08Z</dcterms:modified>
</cp:coreProperties>
</file>