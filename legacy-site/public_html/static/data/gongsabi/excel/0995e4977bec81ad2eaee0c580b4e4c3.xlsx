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0" i="4" l="1"/>
  <c r="D131" i="4"/>
  <c r="D117" i="4"/>
  <c r="D126" i="4"/>
  <c r="D73" i="4"/>
  <c r="D88" i="4"/>
  <c r="D52" i="4" l="1"/>
  <c r="D53" i="4"/>
  <c r="D47" i="4"/>
  <c r="D46" i="4"/>
  <c r="D45" i="4"/>
  <c r="D44" i="4"/>
  <c r="D43" i="4"/>
  <c r="D42" i="4"/>
  <c r="D49" i="4"/>
  <c r="D38" i="4"/>
  <c r="D41" i="4"/>
  <c r="D39" i="4"/>
  <c r="D40" i="4"/>
  <c r="D37" i="4"/>
  <c r="D36" i="4"/>
  <c r="D35" i="4"/>
  <c r="D34" i="4"/>
  <c r="D31" i="4"/>
  <c r="D146" i="4"/>
  <c r="D147" i="4"/>
  <c r="D144" i="4"/>
  <c r="D145" i="4"/>
  <c r="D143" i="4"/>
  <c r="D57" i="4"/>
  <c r="D75" i="4"/>
  <c r="D80" i="4"/>
  <c r="D83" i="4"/>
  <c r="D67" i="4"/>
  <c r="D86" i="4"/>
  <c r="D63" i="4"/>
  <c r="D112" i="4"/>
  <c r="D94" i="4"/>
  <c r="D96" i="4"/>
  <c r="D98" i="4"/>
  <c r="D100" i="4"/>
  <c r="D95" i="4"/>
  <c r="D111" i="4"/>
  <c r="D125" i="4"/>
  <c r="D119" i="4"/>
  <c r="D120" i="4"/>
  <c r="E154" i="4" l="1"/>
  <c r="E153" i="4"/>
  <c r="E152" i="4"/>
  <c r="E151" i="4"/>
  <c r="E155" i="4" s="1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1" i="4"/>
  <c r="E26" i="4"/>
  <c r="E127" i="4" l="1"/>
  <c r="E54" i="4"/>
  <c r="H54" i="4" s="1"/>
  <c r="I54" i="4" s="1"/>
  <c r="E148" i="4"/>
  <c r="E140" i="4"/>
  <c r="E89" i="4"/>
  <c r="E113" i="4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148" i="4"/>
  <c r="D25" i="4" s="1"/>
  <c r="E25" i="4" s="1"/>
  <c r="H25" i="4" s="1"/>
  <c r="I25" i="4" s="1"/>
  <c r="D140" i="4"/>
  <c r="D24" i="4" s="1"/>
  <c r="E24" i="4" s="1"/>
  <c r="H24" i="4" s="1"/>
  <c r="D127" i="4"/>
  <c r="D23" i="4" s="1"/>
  <c r="D113" i="4"/>
  <c r="D22" i="4" s="1"/>
  <c r="E22" i="4" s="1"/>
  <c r="H22" i="4" s="1"/>
  <c r="BZ22" i="4" s="1"/>
  <c r="CA22" i="4" s="1"/>
  <c r="D89" i="4"/>
  <c r="D21" i="4" s="1"/>
  <c r="E21" i="4" s="1"/>
  <c r="H21" i="4" s="1"/>
  <c r="I21" i="4" s="1"/>
  <c r="D60" i="4"/>
  <c r="D54" i="4"/>
  <c r="D19" i="4" s="1"/>
  <c r="E19" i="4" s="1"/>
  <c r="H19" i="4" s="1"/>
  <c r="D18" i="4"/>
  <c r="E18" i="4" s="1"/>
  <c r="H18" i="4" s="1"/>
  <c r="D20" i="4"/>
  <c r="E20" i="4" s="1"/>
  <c r="D26" i="4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BZ154" i="4" s="1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I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H153" i="4"/>
  <c r="BZ153" i="4" s="1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I153" i="4"/>
  <c r="AY153" i="4"/>
  <c r="AZ153" i="4" s="1"/>
  <c r="AW153" i="4"/>
  <c r="AX153" i="4" s="1"/>
  <c r="AU153" i="4"/>
  <c r="AV153" i="4" s="1"/>
  <c r="AS153" i="4"/>
  <c r="AT153" i="4" s="1"/>
  <c r="AQ153" i="4"/>
  <c r="AR153" i="4" s="1"/>
  <c r="AO153" i="4"/>
  <c r="AP153" i="4" s="1"/>
  <c r="AM153" i="4"/>
  <c r="AN153" i="4" s="1"/>
  <c r="AK153" i="4"/>
  <c r="AL153" i="4" s="1"/>
  <c r="AI153" i="4"/>
  <c r="AJ153" i="4" s="1"/>
  <c r="AG153" i="4"/>
  <c r="AH153" i="4" s="1"/>
  <c r="AE153" i="4"/>
  <c r="AF153" i="4" s="1"/>
  <c r="AC153" i="4"/>
  <c r="AD153" i="4" s="1"/>
  <c r="AA153" i="4"/>
  <c r="AB153" i="4" s="1"/>
  <c r="Y153" i="4"/>
  <c r="Z153" i="4" s="1"/>
  <c r="W153" i="4"/>
  <c r="X153" i="4" s="1"/>
  <c r="U153" i="4"/>
  <c r="V153" i="4" s="1"/>
  <c r="S153" i="4"/>
  <c r="T153" i="4" s="1"/>
  <c r="Q153" i="4"/>
  <c r="R153" i="4" s="1"/>
  <c r="O153" i="4"/>
  <c r="P153" i="4" s="1"/>
  <c r="M153" i="4"/>
  <c r="N153" i="4" s="1"/>
  <c r="K153" i="4"/>
  <c r="L153" i="4" s="1"/>
  <c r="J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BZ152" i="4"/>
  <c r="ER152" i="4" s="1"/>
  <c r="ES152" i="4"/>
  <c r="ET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CA152" i="4"/>
  <c r="DE152" i="4" s="1"/>
  <c r="DF152" i="4" s="1"/>
  <c r="DQ152" i="4"/>
  <c r="DR152" i="4" s="1"/>
  <c r="DM152" i="4"/>
  <c r="DN152" i="4"/>
  <c r="DA152" i="4"/>
  <c r="DB152" i="4" s="1"/>
  <c r="CW152" i="4"/>
  <c r="CX152" i="4"/>
  <c r="CK152" i="4"/>
  <c r="CL152" i="4" s="1"/>
  <c r="CG152" i="4"/>
  <c r="CH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K152" i="4" s="1"/>
  <c r="AL152" i="4" s="1"/>
  <c r="AW152" i="4"/>
  <c r="AX152" i="4" s="1"/>
  <c r="AS152" i="4"/>
  <c r="AT152" i="4"/>
  <c r="AO152" i="4"/>
  <c r="AP152" i="4"/>
  <c r="AG152" i="4"/>
  <c r="AH152" i="4" s="1"/>
  <c r="AC152" i="4"/>
  <c r="AD152" i="4" s="1"/>
  <c r="Y152" i="4"/>
  <c r="Z152" i="4"/>
  <c r="Q152" i="4"/>
  <c r="R152" i="4" s="1"/>
  <c r="M152" i="4"/>
  <c r="N152" i="4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BZ151" i="4"/>
  <c r="ER151" i="4"/>
  <c r="ES151" i="4" s="1"/>
  <c r="FO151" i="4" s="1"/>
  <c r="FP151" i="4" s="1"/>
  <c r="FE151" i="4"/>
  <c r="FF151" i="4" s="1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CA151" i="4"/>
  <c r="DG151" i="4" s="1"/>
  <c r="DH151" i="4" s="1"/>
  <c r="CW151" i="4"/>
  <c r="CX151" i="4" s="1"/>
  <c r="CG151" i="4"/>
  <c r="CH151" i="4" s="1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I151" i="4"/>
  <c r="AW151" i="4" s="1"/>
  <c r="A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H148" i="4"/>
  <c r="I148" i="4" s="1"/>
  <c r="AW148" i="4" s="1"/>
  <c r="AX148" i="4" s="1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H146" i="4"/>
  <c r="BZ146" i="4" s="1"/>
  <c r="CA146" i="4" s="1"/>
  <c r="DK146" i="4" s="1"/>
  <c r="DL146" i="4" s="1"/>
  <c r="ER146" i="4"/>
  <c r="ES146" i="4" s="1"/>
  <c r="GA146" i="4" s="1"/>
  <c r="GB146" i="4" s="1"/>
  <c r="FU146" i="4"/>
  <c r="FV146" i="4" s="1"/>
  <c r="FE146" i="4"/>
  <c r="FF146" i="4" s="1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DQ146" i="4"/>
  <c r="DR146" i="4" s="1"/>
  <c r="DO146" i="4"/>
  <c r="DP146" i="4" s="1"/>
  <c r="DM146" i="4"/>
  <c r="DN146" i="4" s="1"/>
  <c r="DI146" i="4"/>
  <c r="DJ146" i="4" s="1"/>
  <c r="DG146" i="4"/>
  <c r="DH146" i="4" s="1"/>
  <c r="DC146" i="4"/>
  <c r="DD146" i="4" s="1"/>
  <c r="DA146" i="4"/>
  <c r="DB146" i="4" s="1"/>
  <c r="CY146" i="4"/>
  <c r="CZ146" i="4" s="1"/>
  <c r="CW146" i="4"/>
  <c r="CX146" i="4"/>
  <c r="CS146" i="4"/>
  <c r="CT146" i="4" s="1"/>
  <c r="CQ146" i="4"/>
  <c r="CR146" i="4" s="1"/>
  <c r="CM146" i="4"/>
  <c r="CN146" i="4" s="1"/>
  <c r="CK146" i="4"/>
  <c r="CL146" i="4" s="1"/>
  <c r="CI146" i="4"/>
  <c r="CJ146" i="4" s="1"/>
  <c r="CG146" i="4"/>
  <c r="CH146" i="4" s="1"/>
  <c r="CC146" i="4"/>
  <c r="CD146" i="4" s="1"/>
  <c r="CB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I146" i="4"/>
  <c r="AW146" i="4" s="1"/>
  <c r="AX146" i="4" s="1"/>
  <c r="AQ146" i="4"/>
  <c r="AR146" i="4" s="1"/>
  <c r="AI146" i="4"/>
  <c r="AJ146" i="4" s="1"/>
  <c r="Y146" i="4"/>
  <c r="Z146" i="4" s="1"/>
  <c r="O146" i="4"/>
  <c r="P146" i="4" s="1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BZ145" i="4"/>
  <c r="CA145" i="4" s="1"/>
  <c r="DK145" i="4" s="1"/>
  <c r="DL145" i="4" s="1"/>
  <c r="ER145" i="4"/>
  <c r="ES145" i="4" s="1"/>
  <c r="FK145" i="4" s="1"/>
  <c r="FL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DG145" i="4"/>
  <c r="DH145" i="4" s="1"/>
  <c r="DC145" i="4"/>
  <c r="DD145" i="4" s="1"/>
  <c r="CU145" i="4"/>
  <c r="CV145" i="4" s="1"/>
  <c r="CS145" i="4"/>
  <c r="CT145" i="4" s="1"/>
  <c r="CM145" i="4"/>
  <c r="CN145" i="4" s="1"/>
  <c r="CK145" i="4"/>
  <c r="CL145" i="4" s="1"/>
  <c r="CE145" i="4"/>
  <c r="CF145" i="4" s="1"/>
  <c r="CC145" i="4"/>
  <c r="CD145" i="4" s="1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I145" i="4"/>
  <c r="AW145" i="4" s="1"/>
  <c r="AX145" i="4" s="1"/>
  <c r="AS145" i="4"/>
  <c r="AT145" i="4" s="1"/>
  <c r="AC145" i="4"/>
  <c r="AD145" i="4" s="1"/>
  <c r="U145" i="4"/>
  <c r="V145" i="4" s="1"/>
  <c r="M145" i="4"/>
  <c r="N145" i="4" s="1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I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H143" i="4"/>
  <c r="I143" i="4" s="1"/>
  <c r="AY143" i="4" s="1"/>
  <c r="AZ143" i="4" s="1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AU143" i="4"/>
  <c r="AV143" i="4" s="1"/>
  <c r="AS143" i="4"/>
  <c r="AT143" i="4" s="1"/>
  <c r="AM143" i="4"/>
  <c r="AN143" i="4" s="1"/>
  <c r="AK143" i="4"/>
  <c r="AL143" i="4" s="1"/>
  <c r="AE143" i="4"/>
  <c r="AF143" i="4" s="1"/>
  <c r="AC143" i="4"/>
  <c r="AD143" i="4" s="1"/>
  <c r="W143" i="4"/>
  <c r="X143" i="4" s="1"/>
  <c r="U143" i="4"/>
  <c r="V143" i="4" s="1"/>
  <c r="O143" i="4"/>
  <c r="P143" i="4" s="1"/>
  <c r="M143" i="4"/>
  <c r="N143" i="4" s="1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40" i="4"/>
  <c r="BZ140" i="4" s="1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BZ139" i="4" s="1"/>
  <c r="CA139" i="4" s="1"/>
  <c r="ER139" i="4"/>
  <c r="ES139" i="4" s="1"/>
  <c r="EW139" i="4" s="1"/>
  <c r="EX139" i="4" s="1"/>
  <c r="FS139" i="4"/>
  <c r="FT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DQ139" i="4"/>
  <c r="DR139" i="4" s="1"/>
  <c r="DO139" i="4"/>
  <c r="DP139" i="4" s="1"/>
  <c r="DM139" i="4"/>
  <c r="DN139" i="4"/>
  <c r="DK139" i="4"/>
  <c r="DL139" i="4" s="1"/>
  <c r="DI139" i="4"/>
  <c r="DJ139" i="4" s="1"/>
  <c r="DG139" i="4"/>
  <c r="DH139" i="4" s="1"/>
  <c r="DE139" i="4"/>
  <c r="DF139" i="4"/>
  <c r="DC139" i="4"/>
  <c r="DD139" i="4" s="1"/>
  <c r="DA139" i="4"/>
  <c r="DB139" i="4" s="1"/>
  <c r="CY139" i="4"/>
  <c r="CZ139" i="4" s="1"/>
  <c r="CW139" i="4"/>
  <c r="CX139" i="4"/>
  <c r="CU139" i="4"/>
  <c r="CV139" i="4" s="1"/>
  <c r="CS139" i="4"/>
  <c r="CT139" i="4" s="1"/>
  <c r="CQ139" i="4"/>
  <c r="CR139" i="4" s="1"/>
  <c r="CO139" i="4"/>
  <c r="CP139" i="4"/>
  <c r="CM139" i="4"/>
  <c r="CN139" i="4" s="1"/>
  <c r="CK139" i="4"/>
  <c r="CL139" i="4" s="1"/>
  <c r="CI139" i="4"/>
  <c r="CJ139" i="4" s="1"/>
  <c r="CG139" i="4"/>
  <c r="CH139" i="4"/>
  <c r="CE139" i="4"/>
  <c r="CF139" i="4" s="1"/>
  <c r="CC139" i="4"/>
  <c r="CD139" i="4" s="1"/>
  <c r="CB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Y139" i="4"/>
  <c r="AZ139" i="4" s="1"/>
  <c r="AW139" i="4"/>
  <c r="AX139" i="4" s="1"/>
  <c r="AU139" i="4"/>
  <c r="AV139" i="4" s="1"/>
  <c r="AS139" i="4"/>
  <c r="AT139" i="4" s="1"/>
  <c r="AQ139" i="4"/>
  <c r="AR139" i="4" s="1"/>
  <c r="AO139" i="4"/>
  <c r="AP139" i="4" s="1"/>
  <c r="AM139" i="4"/>
  <c r="AN139" i="4" s="1"/>
  <c r="AK139" i="4"/>
  <c r="AL139" i="4" s="1"/>
  <c r="AI139" i="4"/>
  <c r="AJ139" i="4" s="1"/>
  <c r="AG139" i="4"/>
  <c r="AH139" i="4" s="1"/>
  <c r="AE139" i="4"/>
  <c r="AF139" i="4" s="1"/>
  <c r="AC139" i="4"/>
  <c r="AD139" i="4" s="1"/>
  <c r="AA139" i="4"/>
  <c r="AB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BZ138" i="4"/>
  <c r="ER138" i="4" s="1"/>
  <c r="ES138" i="4" s="1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CA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I138" i="4"/>
  <c r="AY138" i="4" s="1"/>
  <c r="AZ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BZ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I136" i="4"/>
  <c r="AO136" i="4" s="1"/>
  <c r="AP136" i="4" s="1"/>
  <c r="Y136" i="4"/>
  <c r="Z136" i="4" s="1"/>
  <c r="J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H135" i="4"/>
  <c r="I135" i="4" s="1"/>
  <c r="AW135" i="4" s="1"/>
  <c r="AX135" i="4" s="1"/>
  <c r="BZ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AY135" i="4"/>
  <c r="AZ135" i="4" s="1"/>
  <c r="AU135" i="4"/>
  <c r="AV135" i="4"/>
  <c r="AO135" i="4"/>
  <c r="AP135" i="4" s="1"/>
  <c r="AK135" i="4"/>
  <c r="AL135" i="4" s="1"/>
  <c r="AI135" i="4"/>
  <c r="AJ135" i="4" s="1"/>
  <c r="AG135" i="4"/>
  <c r="AH135" i="4" s="1"/>
  <c r="AE135" i="4"/>
  <c r="AF135" i="4"/>
  <c r="AA135" i="4"/>
  <c r="AB135" i="4"/>
  <c r="Y135" i="4"/>
  <c r="Z135" i="4" s="1"/>
  <c r="U135" i="4"/>
  <c r="V135" i="4" s="1"/>
  <c r="S135" i="4"/>
  <c r="T135" i="4" s="1"/>
  <c r="Q135" i="4"/>
  <c r="R135" i="4" s="1"/>
  <c r="O135" i="4"/>
  <c r="P135" i="4"/>
  <c r="K135" i="4"/>
  <c r="L135" i="4"/>
  <c r="J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H134" i="4"/>
  <c r="BZ134" i="4"/>
  <c r="ER134" i="4" s="1"/>
  <c r="ES134" i="4" s="1"/>
  <c r="GA134" i="4" s="1"/>
  <c r="GB134" i="4" s="1"/>
  <c r="FK134" i="4"/>
  <c r="FL134" i="4" s="1"/>
  <c r="EU134" i="4"/>
  <c r="EV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AM134" i="4" s="1"/>
  <c r="AN134" i="4" s="1"/>
  <c r="AY134" i="4"/>
  <c r="AZ134" i="4" s="1"/>
  <c r="AU134" i="4"/>
  <c r="AV134" i="4"/>
  <c r="AI134" i="4"/>
  <c r="AJ134" i="4" s="1"/>
  <c r="AE134" i="4"/>
  <c r="AF134" i="4"/>
  <c r="S134" i="4"/>
  <c r="T134" i="4" s="1"/>
  <c r="O134" i="4"/>
  <c r="P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BZ133" i="4" s="1"/>
  <c r="CA133" i="4" s="1"/>
  <c r="DO133" i="4" s="1"/>
  <c r="DP133" i="4" s="1"/>
  <c r="ER133" i="4"/>
  <c r="ES133" i="4"/>
  <c r="GE133" i="4"/>
  <c r="GF133" i="4" s="1"/>
  <c r="FY133" i="4"/>
  <c r="FZ133" i="4" s="1"/>
  <c r="FO133" i="4"/>
  <c r="FP133" i="4" s="1"/>
  <c r="FI133" i="4"/>
  <c r="FJ133" i="4" s="1"/>
  <c r="EY133" i="4"/>
  <c r="EZ133" i="4" s="1"/>
  <c r="ET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DQ133" i="4"/>
  <c r="DR133" i="4"/>
  <c r="DM133" i="4"/>
  <c r="DN133" i="4"/>
  <c r="DK133" i="4"/>
  <c r="DL133" i="4" s="1"/>
  <c r="DG133" i="4"/>
  <c r="DH133" i="4" s="1"/>
  <c r="DE133" i="4"/>
  <c r="DF133" i="4" s="1"/>
  <c r="DC133" i="4"/>
  <c r="DD133" i="4" s="1"/>
  <c r="DA133" i="4"/>
  <c r="DB133" i="4"/>
  <c r="CW133" i="4"/>
  <c r="CX133" i="4"/>
  <c r="CS133" i="4"/>
  <c r="CT133" i="4"/>
  <c r="CO133" i="4"/>
  <c r="CP133" i="4"/>
  <c r="CK133" i="4"/>
  <c r="CL133" i="4"/>
  <c r="CG133" i="4"/>
  <c r="CH133" i="4"/>
  <c r="CC133" i="4"/>
  <c r="CD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I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I132" i="4" s="1"/>
  <c r="BZ132" i="4"/>
  <c r="ER132" i="4"/>
  <c r="ES132" i="4" s="1"/>
  <c r="GC132" i="4" s="1"/>
  <c r="GD132" i="4" s="1"/>
  <c r="GG132" i="4"/>
  <c r="GH132" i="4" s="1"/>
  <c r="FU132" i="4"/>
  <c r="FV132" i="4" s="1"/>
  <c r="FQ132" i="4"/>
  <c r="FR132" i="4" s="1"/>
  <c r="FE132" i="4"/>
  <c r="FF132" i="4" s="1"/>
  <c r="FA132" i="4"/>
  <c r="FB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CA132" i="4"/>
  <c r="DO132" i="4" s="1"/>
  <c r="DP132" i="4" s="1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AW132" i="4"/>
  <c r="AX132" i="4" s="1"/>
  <c r="AS132" i="4"/>
  <c r="AT132" i="4" s="1"/>
  <c r="AO132" i="4"/>
  <c r="AP132" i="4" s="1"/>
  <c r="AK132" i="4"/>
  <c r="AL132" i="4" s="1"/>
  <c r="AG132" i="4"/>
  <c r="AH132" i="4" s="1"/>
  <c r="AC132" i="4"/>
  <c r="AD132" i="4" s="1"/>
  <c r="Y132" i="4"/>
  <c r="Z132" i="4" s="1"/>
  <c r="U132" i="4"/>
  <c r="V132" i="4" s="1"/>
  <c r="Q132" i="4"/>
  <c r="R132" i="4" s="1"/>
  <c r="M132" i="4"/>
  <c r="N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I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BZ130" i="4" s="1"/>
  <c r="CA130" i="4" s="1"/>
  <c r="DM130" i="4" s="1"/>
  <c r="DN130" i="4" s="1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DQ130" i="4"/>
  <c r="DR130" i="4" s="1"/>
  <c r="DK130" i="4"/>
  <c r="DL130" i="4" s="1"/>
  <c r="DE130" i="4"/>
  <c r="DF130" i="4" s="1"/>
  <c r="CY130" i="4"/>
  <c r="CZ130" i="4" s="1"/>
  <c r="CW130" i="4"/>
  <c r="CX130" i="4" s="1"/>
  <c r="CS130" i="4"/>
  <c r="CT130" i="4" s="1"/>
  <c r="CM130" i="4"/>
  <c r="CN130" i="4" s="1"/>
  <c r="CK130" i="4"/>
  <c r="CL130" i="4" s="1"/>
  <c r="CI130" i="4"/>
  <c r="CJ130" i="4" s="1"/>
  <c r="CE130" i="4"/>
  <c r="CF130" i="4" s="1"/>
  <c r="CC130" i="4"/>
  <c r="CD130" i="4" s="1"/>
  <c r="CB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I130" i="4"/>
  <c r="AY130" i="4" s="1"/>
  <c r="AZ130" i="4" s="1"/>
  <c r="AQ130" i="4"/>
  <c r="AR130" i="4" s="1"/>
  <c r="AO130" i="4"/>
  <c r="AP130" i="4" s="1"/>
  <c r="AK130" i="4"/>
  <c r="AL130" i="4" s="1"/>
  <c r="AG130" i="4"/>
  <c r="AH130" i="4" s="1"/>
  <c r="AE130" i="4"/>
  <c r="AF130" i="4" s="1"/>
  <c r="AC130" i="4"/>
  <c r="AD130" i="4" s="1"/>
  <c r="W130" i="4"/>
  <c r="X130" i="4" s="1"/>
  <c r="U130" i="4"/>
  <c r="V130" i="4" s="1"/>
  <c r="Q130" i="4"/>
  <c r="R130" i="4" s="1"/>
  <c r="O130" i="4"/>
  <c r="P130" i="4" s="1"/>
  <c r="K130" i="4"/>
  <c r="L130" i="4" s="1"/>
  <c r="J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27" i="4"/>
  <c r="BZ127" i="4" s="1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H124" i="4"/>
  <c r="BZ124" i="4"/>
  <c r="ER124" i="4" s="1"/>
  <c r="ES124" i="4" s="1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CA124" i="4"/>
  <c r="DQ124" i="4" s="1"/>
  <c r="DR124" i="4" s="1"/>
  <c r="DM124" i="4"/>
  <c r="DN124" i="4"/>
  <c r="DI124" i="4"/>
  <c r="DJ124" i="4"/>
  <c r="DE124" i="4"/>
  <c r="DF124" i="4"/>
  <c r="DA124" i="4"/>
  <c r="DB124" i="4"/>
  <c r="CW124" i="4"/>
  <c r="CX124" i="4"/>
  <c r="CS124" i="4"/>
  <c r="CT124" i="4"/>
  <c r="CO124" i="4"/>
  <c r="CP124" i="4"/>
  <c r="CK124" i="4"/>
  <c r="CL124" i="4"/>
  <c r="CG124" i="4"/>
  <c r="CH124" i="4"/>
  <c r="CC124" i="4"/>
  <c r="CD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I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I123" i="4" s="1"/>
  <c r="AU123" i="4" s="1"/>
  <c r="AV123" i="4" s="1"/>
  <c r="BZ123" i="4"/>
  <c r="ER123" i="4"/>
  <c r="ES123" i="4" s="1"/>
  <c r="GG123" i="4"/>
  <c r="GH123" i="4" s="1"/>
  <c r="GC123" i="4"/>
  <c r="GD123" i="4" s="1"/>
  <c r="FY123" i="4"/>
  <c r="FZ123" i="4" s="1"/>
  <c r="FU123" i="4"/>
  <c r="FV123" i="4" s="1"/>
  <c r="FQ123" i="4"/>
  <c r="FR123" i="4" s="1"/>
  <c r="FM123" i="4"/>
  <c r="FN123" i="4" s="1"/>
  <c r="FI123" i="4"/>
  <c r="FJ123" i="4" s="1"/>
  <c r="FE123" i="4"/>
  <c r="FF123" i="4" s="1"/>
  <c r="FA123" i="4"/>
  <c r="FB123" i="4" s="1"/>
  <c r="EW123" i="4"/>
  <c r="EX123" i="4" s="1"/>
  <c r="ET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CA123" i="4"/>
  <c r="DI123" i="4" s="1"/>
  <c r="DJ123" i="4" s="1"/>
  <c r="DQ123" i="4"/>
  <c r="DR123" i="4" s="1"/>
  <c r="DM123" i="4"/>
  <c r="DN123" i="4" s="1"/>
  <c r="DK123" i="4"/>
  <c r="DL123" i="4" s="1"/>
  <c r="DG123" i="4"/>
  <c r="DH123" i="4"/>
  <c r="DA123" i="4"/>
  <c r="DB123" i="4" s="1"/>
  <c r="CW123" i="4"/>
  <c r="CX123" i="4" s="1"/>
  <c r="CU123" i="4"/>
  <c r="CV123" i="4" s="1"/>
  <c r="CQ123" i="4"/>
  <c r="CR123" i="4"/>
  <c r="CM123" i="4"/>
  <c r="CN123" i="4"/>
  <c r="CK123" i="4"/>
  <c r="CL123" i="4" s="1"/>
  <c r="CG123" i="4"/>
  <c r="CH123" i="4" s="1"/>
  <c r="CE123" i="4"/>
  <c r="CF123" i="4" s="1"/>
  <c r="CC123" i="4"/>
  <c r="CD123" i="4" s="1"/>
  <c r="CB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AY123" i="4"/>
  <c r="AZ123" i="4"/>
  <c r="AW123" i="4"/>
  <c r="AX123" i="4" s="1"/>
  <c r="AS123" i="4"/>
  <c r="AT123" i="4" s="1"/>
  <c r="AQ123" i="4"/>
  <c r="AR123" i="4" s="1"/>
  <c r="AO123" i="4"/>
  <c r="AP123" i="4" s="1"/>
  <c r="AM123" i="4"/>
  <c r="AN123" i="4"/>
  <c r="AI123" i="4"/>
  <c r="AJ123" i="4"/>
  <c r="AG123" i="4"/>
  <c r="AH123" i="4" s="1"/>
  <c r="AC123" i="4"/>
  <c r="AD123" i="4" s="1"/>
  <c r="AA123" i="4"/>
  <c r="AB123" i="4" s="1"/>
  <c r="Y123" i="4"/>
  <c r="Z123" i="4" s="1"/>
  <c r="W123" i="4"/>
  <c r="X123" i="4"/>
  <c r="S123" i="4"/>
  <c r="T123" i="4"/>
  <c r="Q123" i="4"/>
  <c r="R123" i="4" s="1"/>
  <c r="M123" i="4"/>
  <c r="N123" i="4" s="1"/>
  <c r="K123" i="4"/>
  <c r="L123" i="4" s="1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BZ122" i="4"/>
  <c r="ER122" i="4" s="1"/>
  <c r="ES122" i="4"/>
  <c r="FW122" i="4" s="1"/>
  <c r="FX122" i="4" s="1"/>
  <c r="GI122" i="4"/>
  <c r="GJ122" i="4" s="1"/>
  <c r="GE122" i="4"/>
  <c r="GF122" i="4"/>
  <c r="FS122" i="4"/>
  <c r="FT122" i="4" s="1"/>
  <c r="FO122" i="4"/>
  <c r="FP122" i="4"/>
  <c r="FC122" i="4"/>
  <c r="FD122" i="4" s="1"/>
  <c r="EY122" i="4"/>
  <c r="EZ122" i="4"/>
  <c r="EU122" i="4"/>
  <c r="EV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CA122" i="4"/>
  <c r="DC122" i="4" s="1"/>
  <c r="DD122" i="4" s="1"/>
  <c r="DO122" i="4"/>
  <c r="DP122" i="4" s="1"/>
  <c r="DK122" i="4"/>
  <c r="DL122" i="4"/>
  <c r="DG122" i="4"/>
  <c r="DH122" i="4"/>
  <c r="CY122" i="4"/>
  <c r="CZ122" i="4" s="1"/>
  <c r="CU122" i="4"/>
  <c r="CV122" i="4"/>
  <c r="CQ122" i="4"/>
  <c r="CR122" i="4"/>
  <c r="CI122" i="4"/>
  <c r="CJ122" i="4" s="1"/>
  <c r="CE122" i="4"/>
  <c r="CF122" i="4"/>
  <c r="CB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I122" i="4"/>
  <c r="AY122" i="4"/>
  <c r="AZ122" i="4"/>
  <c r="AU122" i="4"/>
  <c r="AV122" i="4"/>
  <c r="AQ122" i="4"/>
  <c r="AR122" i="4" s="1"/>
  <c r="AM122" i="4"/>
  <c r="AN122" i="4"/>
  <c r="AI122" i="4"/>
  <c r="AJ122" i="4"/>
  <c r="AE122" i="4"/>
  <c r="AF122" i="4"/>
  <c r="AA122" i="4"/>
  <c r="AB122" i="4" s="1"/>
  <c r="W122" i="4"/>
  <c r="X122" i="4"/>
  <c r="S122" i="4"/>
  <c r="T122" i="4"/>
  <c r="O122" i="4"/>
  <c r="P122" i="4"/>
  <c r="K122" i="4"/>
  <c r="L122" i="4" s="1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H120" i="4"/>
  <c r="BZ120" i="4" s="1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I119" i="4" s="1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BZ118" i="4" s="1"/>
  <c r="CA118" i="4" s="1"/>
  <c r="ER118" i="4"/>
  <c r="ES118" i="4" s="1"/>
  <c r="GG118" i="4" s="1"/>
  <c r="GH118" i="4" s="1"/>
  <c r="GC118" i="4"/>
  <c r="GD118" i="4" s="1"/>
  <c r="FU118" i="4"/>
  <c r="FV118" i="4" s="1"/>
  <c r="FM118" i="4"/>
  <c r="FN118" i="4" s="1"/>
  <c r="FE118" i="4"/>
  <c r="FF118" i="4" s="1"/>
  <c r="FA118" i="4"/>
  <c r="FB118" i="4" s="1"/>
  <c r="EW118" i="4"/>
  <c r="EX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BZ117" i="4" s="1"/>
  <c r="ER117" i="4" s="1"/>
  <c r="ES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I117" i="4"/>
  <c r="AY117" i="4" s="1"/>
  <c r="AZ117" i="4" s="1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113" i="4"/>
  <c r="I113" i="4" s="1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H112" i="4"/>
  <c r="I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BZ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BZ109" i="4"/>
  <c r="ER109" i="4"/>
  <c r="ES109" i="4" s="1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CA109" i="4"/>
  <c r="DM109" i="4"/>
  <c r="DN109" i="4" s="1"/>
  <c r="CW109" i="4"/>
  <c r="CX109" i="4" s="1"/>
  <c r="CG109" i="4"/>
  <c r="CH109" i="4" s="1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AW109" i="4" s="1"/>
  <c r="AX109" i="4" s="1"/>
  <c r="AS109" i="4"/>
  <c r="AT109" i="4" s="1"/>
  <c r="AO109" i="4"/>
  <c r="AP109" i="4"/>
  <c r="AC109" i="4"/>
  <c r="AD109" i="4" s="1"/>
  <c r="Y109" i="4"/>
  <c r="Z109" i="4"/>
  <c r="U109" i="4"/>
  <c r="V109" i="4"/>
  <c r="M109" i="4"/>
  <c r="N109" i="4" s="1"/>
  <c r="J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108" i="4"/>
  <c r="I108" i="4" s="1"/>
  <c r="AW108" i="4" s="1"/>
  <c r="AX108" i="4" s="1"/>
  <c r="BZ108" i="4"/>
  <c r="ER108" i="4"/>
  <c r="ES108" i="4" s="1"/>
  <c r="FO108" i="4"/>
  <c r="FP108" i="4" s="1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CA108" i="4"/>
  <c r="DM108" i="4"/>
  <c r="DN108" i="4" s="1"/>
  <c r="DG108" i="4"/>
  <c r="DH108" i="4" s="1"/>
  <c r="CW108" i="4"/>
  <c r="CX108" i="4" s="1"/>
  <c r="CQ108" i="4"/>
  <c r="CR108" i="4" s="1"/>
  <c r="CG108" i="4"/>
  <c r="CH108" i="4" s="1"/>
  <c r="CB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AY108" i="4"/>
  <c r="AZ108" i="4"/>
  <c r="AU108" i="4"/>
  <c r="AV108" i="4"/>
  <c r="AS108" i="4"/>
  <c r="AT108" i="4" s="1"/>
  <c r="AO108" i="4"/>
  <c r="AP108" i="4" s="1"/>
  <c r="AM108" i="4"/>
  <c r="AN108" i="4" s="1"/>
  <c r="AK108" i="4"/>
  <c r="AL108" i="4" s="1"/>
  <c r="AI108" i="4"/>
  <c r="AJ108" i="4"/>
  <c r="AE108" i="4"/>
  <c r="AF108" i="4"/>
  <c r="AC108" i="4"/>
  <c r="AD108" i="4" s="1"/>
  <c r="Y108" i="4"/>
  <c r="Z108" i="4" s="1"/>
  <c r="W108" i="4"/>
  <c r="X108" i="4" s="1"/>
  <c r="U108" i="4"/>
  <c r="V108" i="4" s="1"/>
  <c r="S108" i="4"/>
  <c r="T108" i="4"/>
  <c r="O108" i="4"/>
  <c r="P108" i="4"/>
  <c r="M108" i="4"/>
  <c r="N108" i="4" s="1"/>
  <c r="J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BZ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I107" i="4"/>
  <c r="AW107" i="4" s="1"/>
  <c r="AX107" i="4" s="1"/>
  <c r="AY107" i="4"/>
  <c r="AZ107" i="4" s="1"/>
  <c r="AU107" i="4"/>
  <c r="AV107" i="4" s="1"/>
  <c r="AQ107" i="4"/>
  <c r="AR107" i="4" s="1"/>
  <c r="AO107" i="4"/>
  <c r="AP107" i="4"/>
  <c r="AM107" i="4"/>
  <c r="AN107" i="4" s="1"/>
  <c r="AK107" i="4"/>
  <c r="AL107" i="4"/>
  <c r="AI107" i="4"/>
  <c r="AJ107" i="4" s="1"/>
  <c r="AG107" i="4"/>
  <c r="AH107" i="4"/>
  <c r="AE107" i="4"/>
  <c r="AF107" i="4" s="1"/>
  <c r="AC107" i="4"/>
  <c r="AD107" i="4"/>
  <c r="AA107" i="4"/>
  <c r="AB107" i="4" s="1"/>
  <c r="Y107" i="4"/>
  <c r="Z107" i="4"/>
  <c r="W107" i="4"/>
  <c r="X107" i="4" s="1"/>
  <c r="U107" i="4"/>
  <c r="V107" i="4"/>
  <c r="S107" i="4"/>
  <c r="T107" i="4" s="1"/>
  <c r="Q107" i="4"/>
  <c r="R107" i="4"/>
  <c r="O107" i="4"/>
  <c r="P107" i="4" s="1"/>
  <c r="M107" i="4"/>
  <c r="N107" i="4"/>
  <c r="K107" i="4"/>
  <c r="L107" i="4" s="1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BZ106" i="4"/>
  <c r="ER106" i="4" s="1"/>
  <c r="ES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Q106" i="4" s="1"/>
  <c r="DR106" i="4"/>
  <c r="DM106" i="4"/>
  <c r="DN106" i="4"/>
  <c r="DI106" i="4"/>
  <c r="DJ106" i="4"/>
  <c r="DE106" i="4"/>
  <c r="DF106" i="4"/>
  <c r="DA106" i="4"/>
  <c r="DB106" i="4"/>
  <c r="CW106" i="4"/>
  <c r="CX106" i="4"/>
  <c r="CS106" i="4"/>
  <c r="CT106" i="4"/>
  <c r="CO106" i="4"/>
  <c r="CP106" i="4"/>
  <c r="CK106" i="4"/>
  <c r="CL106" i="4"/>
  <c r="CG106" i="4"/>
  <c r="CH106" i="4"/>
  <c r="CC106" i="4"/>
  <c r="CD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I105" i="4" s="1"/>
  <c r="AW105" i="4" s="1"/>
  <c r="AX105" i="4" s="1"/>
  <c r="BZ105" i="4"/>
  <c r="ER105" i="4"/>
  <c r="ES105" i="4" s="1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CA105" i="4"/>
  <c r="DO105" i="4" s="1"/>
  <c r="DP105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U105" i="4"/>
  <c r="CV105" i="4"/>
  <c r="CS105" i="4"/>
  <c r="CT105" i="4" s="1"/>
  <c r="CQ105" i="4"/>
  <c r="CR105" i="4"/>
  <c r="CO105" i="4"/>
  <c r="CP105" i="4" s="1"/>
  <c r="CM105" i="4"/>
  <c r="CN105" i="4"/>
  <c r="CK105" i="4"/>
  <c r="CL105" i="4" s="1"/>
  <c r="CI105" i="4"/>
  <c r="CJ105" i="4"/>
  <c r="CG105" i="4"/>
  <c r="CH105" i="4" s="1"/>
  <c r="CE105" i="4"/>
  <c r="CF105" i="4"/>
  <c r="CC105" i="4"/>
  <c r="CD105" i="4" s="1"/>
  <c r="CB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AS105" i="4"/>
  <c r="AT105" i="4" s="1"/>
  <c r="AK105" i="4"/>
  <c r="AL105" i="4" s="1"/>
  <c r="AC105" i="4"/>
  <c r="AD105" i="4" s="1"/>
  <c r="U105" i="4"/>
  <c r="V105" i="4" s="1"/>
  <c r="M105" i="4"/>
  <c r="N105" i="4" s="1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BZ104" i="4"/>
  <c r="ER104" i="4" s="1"/>
  <c r="ES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W104" i="4" s="1"/>
  <c r="AX104" i="4" s="1"/>
  <c r="AY104" i="4"/>
  <c r="AZ104" i="4"/>
  <c r="AU104" i="4"/>
  <c r="AV104" i="4"/>
  <c r="AQ104" i="4"/>
  <c r="AR104" i="4"/>
  <c r="AM104" i="4"/>
  <c r="AN104" i="4"/>
  <c r="AI104" i="4"/>
  <c r="AJ104" i="4"/>
  <c r="AE104" i="4"/>
  <c r="AF104" i="4"/>
  <c r="AA104" i="4"/>
  <c r="AB104" i="4"/>
  <c r="W104" i="4"/>
  <c r="X104" i="4"/>
  <c r="S104" i="4"/>
  <c r="T104" i="4"/>
  <c r="O104" i="4"/>
  <c r="P104" i="4"/>
  <c r="K104" i="4"/>
  <c r="L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/>
  <c r="ER102" i="4"/>
  <c r="ES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CA102" i="4"/>
  <c r="DO102" i="4" s="1"/>
  <c r="DP102" i="4" s="1"/>
  <c r="DQ102" i="4"/>
  <c r="DR102" i="4"/>
  <c r="DM102" i="4"/>
  <c r="DN102" i="4"/>
  <c r="DI102" i="4"/>
  <c r="DJ102" i="4"/>
  <c r="DE102" i="4"/>
  <c r="DF102" i="4"/>
  <c r="DA102" i="4"/>
  <c r="DB102" i="4"/>
  <c r="CW102" i="4"/>
  <c r="CX102" i="4"/>
  <c r="CS102" i="4"/>
  <c r="CT102" i="4"/>
  <c r="CO102" i="4"/>
  <c r="CP102" i="4"/>
  <c r="CK102" i="4"/>
  <c r="CL102" i="4"/>
  <c r="CG102" i="4"/>
  <c r="CH102" i="4"/>
  <c r="CC102" i="4"/>
  <c r="CD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I101" i="4" s="1"/>
  <c r="BZ101" i="4"/>
  <c r="ER101" i="4"/>
  <c r="ES101" i="4" s="1"/>
  <c r="GG101" i="4"/>
  <c r="GH101" i="4" s="1"/>
  <c r="FY101" i="4"/>
  <c r="FZ101" i="4" s="1"/>
  <c r="FU101" i="4"/>
  <c r="FV101" i="4" s="1"/>
  <c r="FQ101" i="4"/>
  <c r="FR101" i="4" s="1"/>
  <c r="FI101" i="4"/>
  <c r="FJ101" i="4" s="1"/>
  <c r="FE101" i="4"/>
  <c r="FF101" i="4" s="1"/>
  <c r="FA101" i="4"/>
  <c r="FB101" i="4" s="1"/>
  <c r="ET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DQ101" i="4"/>
  <c r="DR101" i="4" s="1"/>
  <c r="DM101" i="4"/>
  <c r="DN101" i="4" s="1"/>
  <c r="DI101" i="4"/>
  <c r="DJ101" i="4" s="1"/>
  <c r="DE101" i="4"/>
  <c r="DF101" i="4" s="1"/>
  <c r="DA101" i="4"/>
  <c r="DB101" i="4" s="1"/>
  <c r="CW101" i="4"/>
  <c r="CX101" i="4" s="1"/>
  <c r="CU101" i="4"/>
  <c r="CV101" i="4"/>
  <c r="CS101" i="4"/>
  <c r="CT101" i="4" s="1"/>
  <c r="CQ101" i="4"/>
  <c r="CR101" i="4"/>
  <c r="CO101" i="4"/>
  <c r="CP101" i="4" s="1"/>
  <c r="CM101" i="4"/>
  <c r="CN101" i="4"/>
  <c r="CK101" i="4"/>
  <c r="CL101" i="4" s="1"/>
  <c r="CI101" i="4"/>
  <c r="CJ101" i="4"/>
  <c r="CG101" i="4"/>
  <c r="CH101" i="4" s="1"/>
  <c r="CE101" i="4"/>
  <c r="CF101" i="4"/>
  <c r="CC101" i="4"/>
  <c r="CD101" i="4" s="1"/>
  <c r="CB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AW101" i="4"/>
  <c r="AX101" i="4" s="1"/>
  <c r="AS101" i="4"/>
  <c r="AT101" i="4" s="1"/>
  <c r="AO101" i="4"/>
  <c r="AP101" i="4" s="1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BZ100" i="4"/>
  <c r="ER100" i="4" s="1"/>
  <c r="ES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I100" i="4"/>
  <c r="AW100" i="4" s="1"/>
  <c r="AX100" i="4" s="1"/>
  <c r="AY100" i="4"/>
  <c r="AZ100" i="4"/>
  <c r="AQ100" i="4"/>
  <c r="AR100" i="4"/>
  <c r="AM100" i="4"/>
  <c r="AN100" i="4"/>
  <c r="AI100" i="4"/>
  <c r="AJ100" i="4"/>
  <c r="AE100" i="4"/>
  <c r="AF100" i="4"/>
  <c r="AA100" i="4"/>
  <c r="AB100" i="4"/>
  <c r="W100" i="4"/>
  <c r="X100" i="4"/>
  <c r="S100" i="4"/>
  <c r="T100" i="4"/>
  <c r="O100" i="4"/>
  <c r="P100" i="4" s="1"/>
  <c r="K100" i="4"/>
  <c r="L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 s="1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Y98" i="4" s="1"/>
  <c r="Z98" i="4" s="1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H97" i="4"/>
  <c r="I97" i="4" s="1"/>
  <c r="BZ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AY97" i="4"/>
  <c r="AZ97" i="4" s="1"/>
  <c r="AW97" i="4"/>
  <c r="AX97" i="4" s="1"/>
  <c r="AU97" i="4"/>
  <c r="AV97" i="4"/>
  <c r="AS97" i="4"/>
  <c r="AT97" i="4" s="1"/>
  <c r="AQ97" i="4"/>
  <c r="AR97" i="4" s="1"/>
  <c r="AO97" i="4"/>
  <c r="AP97" i="4" s="1"/>
  <c r="AM97" i="4"/>
  <c r="AN97" i="4"/>
  <c r="AK97" i="4"/>
  <c r="AL97" i="4" s="1"/>
  <c r="AI97" i="4"/>
  <c r="AJ97" i="4" s="1"/>
  <c r="AG97" i="4"/>
  <c r="AH97" i="4" s="1"/>
  <c r="AE97" i="4"/>
  <c r="AF97" i="4"/>
  <c r="AC97" i="4"/>
  <c r="AD97" i="4" s="1"/>
  <c r="AA97" i="4"/>
  <c r="AB97" i="4" s="1"/>
  <c r="Y97" i="4"/>
  <c r="Z97" i="4" s="1"/>
  <c r="W97" i="4"/>
  <c r="X97" i="4"/>
  <c r="U97" i="4"/>
  <c r="V97" i="4" s="1"/>
  <c r="S97" i="4"/>
  <c r="T97" i="4" s="1"/>
  <c r="Q97" i="4"/>
  <c r="R97" i="4" s="1"/>
  <c r="O97" i="4"/>
  <c r="P97" i="4"/>
  <c r="M97" i="4"/>
  <c r="N97" i="4" s="1"/>
  <c r="K97" i="4"/>
  <c r="L97" i="4" s="1"/>
  <c r="J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H96" i="4"/>
  <c r="BZ96" i="4" s="1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BZ95" i="4"/>
  <c r="ER95" i="4" s="1"/>
  <c r="ES95" i="4" s="1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I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BZ94" i="4" s="1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BZ93" i="4"/>
  <c r="ER93" i="4" s="1"/>
  <c r="ES93" i="4" s="1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CA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I93" i="4"/>
  <c r="AY93" i="4" s="1"/>
  <c r="AZ93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89" i="4"/>
  <c r="BZ89" i="4" s="1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88" i="4"/>
  <c r="BZ88" i="4" s="1"/>
  <c r="CA88" i="4" s="1"/>
  <c r="DQ88" i="4" s="1"/>
  <c r="DR88" i="4" s="1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87" i="4"/>
  <c r="BZ87" i="4"/>
  <c r="ER87" i="4" s="1"/>
  <c r="ES87" i="4" s="1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I87" i="4"/>
  <c r="AY87" i="4" s="1"/>
  <c r="AZ87" i="4" s="1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 s="1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 s="1"/>
  <c r="CA84" i="4" s="1"/>
  <c r="DQ84" i="4" s="1"/>
  <c r="DR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DM84" i="4"/>
  <c r="DN84" i="4" s="1"/>
  <c r="DI84" i="4"/>
  <c r="DJ84" i="4" s="1"/>
  <c r="DE84" i="4"/>
  <c r="DF84" i="4" s="1"/>
  <c r="CW84" i="4"/>
  <c r="CX84" i="4" s="1"/>
  <c r="CS84" i="4"/>
  <c r="CT84" i="4" s="1"/>
  <c r="CO84" i="4"/>
  <c r="CP84" i="4" s="1"/>
  <c r="CG84" i="4"/>
  <c r="CH84" i="4" s="1"/>
  <c r="CC84" i="4"/>
  <c r="CD84" i="4" s="1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83" i="4"/>
  <c r="I83" i="4" s="1"/>
  <c r="AY83" i="4" s="1"/>
  <c r="AZ83" i="4" s="1"/>
  <c r="BZ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/>
  <c r="ER81" i="4" s="1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Q81" i="4" s="1"/>
  <c r="DR81" i="4" s="1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CA80" i="4" s="1"/>
  <c r="DE80" i="4" s="1"/>
  <c r="DF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DQ80" i="4"/>
  <c r="DR80" i="4" s="1"/>
  <c r="DM80" i="4"/>
  <c r="DN80" i="4" s="1"/>
  <c r="DI80" i="4"/>
  <c r="DJ80" i="4" s="1"/>
  <c r="DA80" i="4"/>
  <c r="DB80" i="4" s="1"/>
  <c r="CW80" i="4"/>
  <c r="CX80" i="4" s="1"/>
  <c r="CS80" i="4"/>
  <c r="CT80" i="4" s="1"/>
  <c r="CK80" i="4"/>
  <c r="CL80" i="4" s="1"/>
  <c r="CG80" i="4"/>
  <c r="CH80" i="4" s="1"/>
  <c r="CC80" i="4"/>
  <c r="CD80" i="4" s="1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/>
  <c r="ER79" i="4" s="1"/>
  <c r="ES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CA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BZ78" i="4" s="1"/>
  <c r="CA78" i="4" s="1"/>
  <c r="DQ78" i="4" s="1"/>
  <c r="DR78" i="4" s="1"/>
  <c r="ER78" i="4"/>
  <c r="ES78" i="4" s="1"/>
  <c r="GC78" i="4" s="1"/>
  <c r="GD78" i="4" s="1"/>
  <c r="FU78" i="4"/>
  <c r="FV78" i="4" s="1"/>
  <c r="FE78" i="4"/>
  <c r="FF78" i="4" s="1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DO78" i="4"/>
  <c r="DP78" i="4" s="1"/>
  <c r="DM78" i="4"/>
  <c r="DN78" i="4" s="1"/>
  <c r="DK78" i="4"/>
  <c r="DL78" i="4" s="1"/>
  <c r="DG78" i="4"/>
  <c r="DH78" i="4" s="1"/>
  <c r="DE78" i="4"/>
  <c r="DF78" i="4" s="1"/>
  <c r="DC78" i="4"/>
  <c r="DD78" i="4" s="1"/>
  <c r="CY78" i="4"/>
  <c r="CZ78" i="4" s="1"/>
  <c r="CW78" i="4"/>
  <c r="CX78" i="4" s="1"/>
  <c r="CU78" i="4"/>
  <c r="CV78" i="4" s="1"/>
  <c r="CQ78" i="4"/>
  <c r="CR78" i="4" s="1"/>
  <c r="CO78" i="4"/>
  <c r="CP78" i="4"/>
  <c r="CK78" i="4"/>
  <c r="CL78" i="4"/>
  <c r="CG78" i="4"/>
  <c r="CH78" i="4"/>
  <c r="CC78" i="4"/>
  <c r="CD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I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 s="1"/>
  <c r="CA77" i="4" s="1"/>
  <c r="DE77" i="4" s="1"/>
  <c r="DF77" i="4" s="1"/>
  <c r="ER77" i="4"/>
  <c r="ES77" i="4" s="1"/>
  <c r="FU77" i="4"/>
  <c r="FV77" i="4" s="1"/>
  <c r="FE77" i="4"/>
  <c r="FF77" i="4" s="1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DQ77" i="4"/>
  <c r="DR77" i="4" s="1"/>
  <c r="DM77" i="4"/>
  <c r="DN77" i="4" s="1"/>
  <c r="DI77" i="4"/>
  <c r="DJ77" i="4" s="1"/>
  <c r="DA77" i="4"/>
  <c r="DB77" i="4" s="1"/>
  <c r="CW77" i="4"/>
  <c r="CX77" i="4" s="1"/>
  <c r="CS77" i="4"/>
  <c r="CT77" i="4" s="1"/>
  <c r="CK77" i="4"/>
  <c r="CL77" i="4" s="1"/>
  <c r="CG77" i="4"/>
  <c r="CH77" i="4" s="1"/>
  <c r="CC77" i="4"/>
  <c r="CD77" i="4" s="1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/>
  <c r="ER76" i="4" s="1"/>
  <c r="ES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CA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W76" i="4" s="1"/>
  <c r="AX76" i="4" s="1"/>
  <c r="AY76" i="4"/>
  <c r="AZ76" i="4"/>
  <c r="AU76" i="4"/>
  <c r="AV76" i="4"/>
  <c r="AQ76" i="4"/>
  <c r="AR76" i="4"/>
  <c r="AM76" i="4"/>
  <c r="AN76" i="4"/>
  <c r="AI76" i="4"/>
  <c r="AJ76" i="4"/>
  <c r="AE76" i="4"/>
  <c r="AF76" i="4"/>
  <c r="AA76" i="4"/>
  <c r="AB76" i="4"/>
  <c r="W76" i="4"/>
  <c r="X76" i="4"/>
  <c r="S76" i="4"/>
  <c r="T76" i="4"/>
  <c r="O76" i="4"/>
  <c r="P76" i="4"/>
  <c r="K76" i="4"/>
  <c r="L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BZ74" i="4"/>
  <c r="ER74" i="4"/>
  <c r="ES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CA74" i="4"/>
  <c r="DO74" i="4" s="1"/>
  <c r="DP74" i="4" s="1"/>
  <c r="DQ74" i="4"/>
  <c r="DR74" i="4"/>
  <c r="DM74" i="4"/>
  <c r="DN74" i="4"/>
  <c r="DI74" i="4"/>
  <c r="DJ74" i="4"/>
  <c r="DE74" i="4"/>
  <c r="DF74" i="4"/>
  <c r="DA74" i="4"/>
  <c r="DB74" i="4"/>
  <c r="CW74" i="4"/>
  <c r="CX74" i="4"/>
  <c r="CS74" i="4"/>
  <c r="CT74" i="4"/>
  <c r="CO74" i="4"/>
  <c r="CP74" i="4"/>
  <c r="CK74" i="4"/>
  <c r="CL74" i="4"/>
  <c r="CG74" i="4"/>
  <c r="CH74" i="4"/>
  <c r="CC74" i="4"/>
  <c r="CD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I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BZ73" i="4" s="1"/>
  <c r="CA73" i="4" s="1"/>
  <c r="DE73" i="4" s="1"/>
  <c r="DF73" i="4" s="1"/>
  <c r="ER73" i="4"/>
  <c r="ES73" i="4" s="1"/>
  <c r="FU73" i="4" s="1"/>
  <c r="FV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DQ73" i="4"/>
  <c r="DR73" i="4" s="1"/>
  <c r="DM73" i="4"/>
  <c r="DN73" i="4" s="1"/>
  <c r="CW73" i="4"/>
  <c r="CX73" i="4" s="1"/>
  <c r="CS73" i="4"/>
  <c r="CT73" i="4" s="1"/>
  <c r="CG73" i="4"/>
  <c r="CH73" i="4" s="1"/>
  <c r="CC73" i="4"/>
  <c r="CD73" i="4" s="1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/>
  <c r="ER72" i="4" s="1"/>
  <c r="ES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CA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Y72" i="4" s="1"/>
  <c r="AZ72" i="4" s="1"/>
  <c r="AQ72" i="4"/>
  <c r="AR72" i="4"/>
  <c r="AM72" i="4"/>
  <c r="AN72" i="4"/>
  <c r="AI72" i="4"/>
  <c r="AJ72" i="4"/>
  <c r="AE72" i="4"/>
  <c r="AF72" i="4"/>
  <c r="AA72" i="4"/>
  <c r="AB72" i="4"/>
  <c r="W72" i="4"/>
  <c r="X72" i="4"/>
  <c r="S72" i="4"/>
  <c r="T72" i="4"/>
  <c r="O72" i="4"/>
  <c r="P72" i="4"/>
  <c r="K72" i="4"/>
  <c r="L72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BZ70" i="4"/>
  <c r="ER70" i="4" s="1"/>
  <c r="ES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CA70" i="4"/>
  <c r="DQ70" i="4" s="1"/>
  <c r="DR70" i="4" s="1"/>
  <c r="DM70" i="4"/>
  <c r="DN70" i="4"/>
  <c r="DI70" i="4"/>
  <c r="DJ70" i="4"/>
  <c r="DE70" i="4"/>
  <c r="DF70" i="4"/>
  <c r="DA70" i="4"/>
  <c r="DB70" i="4"/>
  <c r="CW70" i="4"/>
  <c r="CX70" i="4"/>
  <c r="CS70" i="4"/>
  <c r="CT70" i="4"/>
  <c r="CO70" i="4"/>
  <c r="CP70" i="4"/>
  <c r="CK70" i="4"/>
  <c r="CL70" i="4"/>
  <c r="CG70" i="4"/>
  <c r="CH70" i="4"/>
  <c r="CC70" i="4"/>
  <c r="CD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I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BZ69" i="4" s="1"/>
  <c r="CA69" i="4" s="1"/>
  <c r="DE69" i="4" s="1"/>
  <c r="DF69" i="4" s="1"/>
  <c r="ER69" i="4"/>
  <c r="ES69" i="4" s="1"/>
  <c r="FU69" i="4" s="1"/>
  <c r="FV69" i="4" s="1"/>
  <c r="FE69" i="4"/>
  <c r="FF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DQ69" i="4"/>
  <c r="DR69" i="4" s="1"/>
  <c r="DM69" i="4"/>
  <c r="DN69" i="4" s="1"/>
  <c r="DI69" i="4"/>
  <c r="DJ69" i="4" s="1"/>
  <c r="DA69" i="4"/>
  <c r="DB69" i="4" s="1"/>
  <c r="CW69" i="4"/>
  <c r="CX69" i="4" s="1"/>
  <c r="CS69" i="4"/>
  <c r="CT69" i="4" s="1"/>
  <c r="CK69" i="4"/>
  <c r="CL69" i="4" s="1"/>
  <c r="CG69" i="4"/>
  <c r="CH69" i="4" s="1"/>
  <c r="CC69" i="4"/>
  <c r="CD69" i="4" s="1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/>
  <c r="ER68" i="4" s="1"/>
  <c r="ES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CA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W68" i="4" s="1"/>
  <c r="AX68" i="4" s="1"/>
  <c r="AY68" i="4"/>
  <c r="AZ68" i="4"/>
  <c r="AU68" i="4"/>
  <c r="AV68" i="4"/>
  <c r="AQ68" i="4"/>
  <c r="AR68" i="4"/>
  <c r="AM68" i="4"/>
  <c r="AN68" i="4"/>
  <c r="AI68" i="4"/>
  <c r="AJ68" i="4"/>
  <c r="AE68" i="4"/>
  <c r="AF68" i="4"/>
  <c r="AA68" i="4"/>
  <c r="AB68" i="4"/>
  <c r="W68" i="4"/>
  <c r="X68" i="4"/>
  <c r="S68" i="4"/>
  <c r="T68" i="4"/>
  <c r="O68" i="4"/>
  <c r="P68" i="4"/>
  <c r="K68" i="4"/>
  <c r="L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BZ66" i="4"/>
  <c r="ER66" i="4"/>
  <c r="ES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CA66" i="4"/>
  <c r="DO66" i="4" s="1"/>
  <c r="DP66" i="4" s="1"/>
  <c r="DQ66" i="4"/>
  <c r="DR66" i="4"/>
  <c r="DM66" i="4"/>
  <c r="DN66" i="4"/>
  <c r="DI66" i="4"/>
  <c r="DJ66" i="4"/>
  <c r="DE66" i="4"/>
  <c r="DF66" i="4"/>
  <c r="DA66" i="4"/>
  <c r="DB66" i="4"/>
  <c r="CW66" i="4"/>
  <c r="CX66" i="4"/>
  <c r="CS66" i="4"/>
  <c r="CT66" i="4"/>
  <c r="CO66" i="4"/>
  <c r="CP66" i="4"/>
  <c r="CK66" i="4"/>
  <c r="CL66" i="4"/>
  <c r="CG66" i="4"/>
  <c r="CH66" i="4"/>
  <c r="CC66" i="4"/>
  <c r="CD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I65" i="4" s="1"/>
  <c r="AS65" i="4" s="1"/>
  <c r="AT65" i="4" s="1"/>
  <c r="BZ65" i="4"/>
  <c r="ER65" i="4"/>
  <c r="ES65" i="4" s="1"/>
  <c r="GG65" i="4"/>
  <c r="GH65" i="4" s="1"/>
  <c r="GC65" i="4"/>
  <c r="GD65" i="4" s="1"/>
  <c r="FY65" i="4"/>
  <c r="FZ65" i="4" s="1"/>
  <c r="FU65" i="4"/>
  <c r="FV65" i="4" s="1"/>
  <c r="FQ65" i="4"/>
  <c r="FR65" i="4" s="1"/>
  <c r="FM65" i="4"/>
  <c r="FN65" i="4" s="1"/>
  <c r="FI65" i="4"/>
  <c r="FJ65" i="4" s="1"/>
  <c r="FE65" i="4"/>
  <c r="FF65" i="4" s="1"/>
  <c r="FA65" i="4"/>
  <c r="FB65" i="4" s="1"/>
  <c r="EW65" i="4"/>
  <c r="EX65" i="4" s="1"/>
  <c r="ET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CA65" i="4"/>
  <c r="DO65" i="4" s="1"/>
  <c r="DP65" i="4" s="1"/>
  <c r="DQ65" i="4"/>
  <c r="DR65" i="4" s="1"/>
  <c r="DM65" i="4"/>
  <c r="DN65" i="4" s="1"/>
  <c r="DI65" i="4"/>
  <c r="DJ65" i="4" s="1"/>
  <c r="DE65" i="4"/>
  <c r="DF65" i="4" s="1"/>
  <c r="DA65" i="4"/>
  <c r="DB65" i="4" s="1"/>
  <c r="CW65" i="4"/>
  <c r="CX65" i="4" s="1"/>
  <c r="CU65" i="4"/>
  <c r="CV65" i="4"/>
  <c r="CS65" i="4"/>
  <c r="CT65" i="4" s="1"/>
  <c r="CQ65" i="4"/>
  <c r="CR65" i="4"/>
  <c r="CO65" i="4"/>
  <c r="CP65" i="4" s="1"/>
  <c r="CM65" i="4"/>
  <c r="CN65" i="4"/>
  <c r="CK65" i="4"/>
  <c r="CL65" i="4" s="1"/>
  <c r="CI65" i="4"/>
  <c r="CJ65" i="4"/>
  <c r="CG65" i="4"/>
  <c r="CH65" i="4" s="1"/>
  <c r="CE65" i="4"/>
  <c r="CF65" i="4"/>
  <c r="CC65" i="4"/>
  <c r="CD65" i="4" s="1"/>
  <c r="CB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AW65" i="4"/>
  <c r="AX65" i="4" s="1"/>
  <c r="AO65" i="4"/>
  <c r="AP65" i="4" s="1"/>
  <c r="AK65" i="4"/>
  <c r="AL65" i="4" s="1"/>
  <c r="AG65" i="4"/>
  <c r="AH65" i="4" s="1"/>
  <c r="Y65" i="4"/>
  <c r="Z65" i="4" s="1"/>
  <c r="U65" i="4"/>
  <c r="V65" i="4" s="1"/>
  <c r="Q65" i="4"/>
  <c r="R65" i="4" s="1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BZ64" i="4"/>
  <c r="ER64" i="4" s="1"/>
  <c r="ES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CA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AW64" i="4" s="1"/>
  <c r="AX64" i="4" s="1"/>
  <c r="AY64" i="4"/>
  <c r="AZ64" i="4"/>
  <c r="AU64" i="4"/>
  <c r="AV64" i="4"/>
  <c r="AQ64" i="4"/>
  <c r="AR64" i="4"/>
  <c r="AM64" i="4"/>
  <c r="AN64" i="4"/>
  <c r="AI64" i="4"/>
  <c r="AJ64" i="4"/>
  <c r="AE64" i="4"/>
  <c r="AF64" i="4"/>
  <c r="AA64" i="4"/>
  <c r="AB64" i="4"/>
  <c r="W64" i="4"/>
  <c r="X64" i="4"/>
  <c r="S64" i="4"/>
  <c r="T64" i="4"/>
  <c r="O64" i="4"/>
  <c r="P64" i="4"/>
  <c r="K64" i="4"/>
  <c r="L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60" i="4"/>
  <c r="BZ60" i="4" s="1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I60" i="4"/>
  <c r="AC60" i="4" s="1"/>
  <c r="AD60" i="4" s="1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I59" i="4" s="1"/>
  <c r="BZ59" i="4"/>
  <c r="ER59" i="4" s="1"/>
  <c r="ES59" i="4" s="1"/>
  <c r="GI59" i="4" s="1"/>
  <c r="GJ59" i="4" s="1"/>
  <c r="FS59" i="4"/>
  <c r="FT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CA59" i="4"/>
  <c r="DO59" i="4" s="1"/>
  <c r="DP59" i="4" s="1"/>
  <c r="DQ59" i="4"/>
  <c r="DR59" i="4" s="1"/>
  <c r="DM59" i="4"/>
  <c r="DN59" i="4" s="1"/>
  <c r="DK59" i="4"/>
  <c r="DL59" i="4" s="1"/>
  <c r="DI59" i="4"/>
  <c r="DJ59" i="4" s="1"/>
  <c r="DG59" i="4"/>
  <c r="DH59" i="4"/>
  <c r="DC59" i="4"/>
  <c r="DD59" i="4" s="1"/>
  <c r="DA59" i="4"/>
  <c r="DB59" i="4" s="1"/>
  <c r="CW59" i="4"/>
  <c r="CX59" i="4" s="1"/>
  <c r="CU59" i="4"/>
  <c r="CV59" i="4" s="1"/>
  <c r="CS59" i="4"/>
  <c r="CT59" i="4" s="1"/>
  <c r="CQ59" i="4"/>
  <c r="CR59" i="4"/>
  <c r="CM59" i="4"/>
  <c r="CN59" i="4" s="1"/>
  <c r="CK59" i="4"/>
  <c r="CL59" i="4" s="1"/>
  <c r="CG59" i="4"/>
  <c r="CH59" i="4" s="1"/>
  <c r="CE59" i="4"/>
  <c r="CF59" i="4" s="1"/>
  <c r="CC59" i="4"/>
  <c r="CD59" i="4" s="1"/>
  <c r="CB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AY59" i="4"/>
  <c r="AZ59" i="4" s="1"/>
  <c r="AW59" i="4"/>
  <c r="AX59" i="4" s="1"/>
  <c r="AU59" i="4"/>
  <c r="AV59" i="4"/>
  <c r="AS59" i="4"/>
  <c r="AT59" i="4" s="1"/>
  <c r="AQ59" i="4"/>
  <c r="AR59" i="4" s="1"/>
  <c r="AO59" i="4"/>
  <c r="AP59" i="4" s="1"/>
  <c r="AM59" i="4"/>
  <c r="AN59" i="4"/>
  <c r="AK59" i="4"/>
  <c r="AL59" i="4" s="1"/>
  <c r="AI59" i="4"/>
  <c r="AJ59" i="4" s="1"/>
  <c r="AG59" i="4"/>
  <c r="AH59" i="4" s="1"/>
  <c r="AE59" i="4"/>
  <c r="AF59" i="4"/>
  <c r="AC59" i="4"/>
  <c r="AD59" i="4" s="1"/>
  <c r="AA59" i="4"/>
  <c r="AB59" i="4" s="1"/>
  <c r="Y59" i="4"/>
  <c r="Z59" i="4" s="1"/>
  <c r="W59" i="4"/>
  <c r="X59" i="4"/>
  <c r="U59" i="4"/>
  <c r="V59" i="4" s="1"/>
  <c r="S59" i="4"/>
  <c r="T59" i="4" s="1"/>
  <c r="Q59" i="4"/>
  <c r="R59" i="4" s="1"/>
  <c r="O59" i="4"/>
  <c r="P59" i="4"/>
  <c r="M59" i="4"/>
  <c r="N59" i="4" s="1"/>
  <c r="K59" i="4"/>
  <c r="L59" i="4" s="1"/>
  <c r="J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BZ58" i="4"/>
  <c r="ER58" i="4" s="1"/>
  <c r="ES58" i="4" s="1"/>
  <c r="GI58" i="4" s="1"/>
  <c r="GJ58" i="4" s="1"/>
  <c r="FS58" i="4"/>
  <c r="FT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CA58" i="4"/>
  <c r="DK58" i="4" s="1"/>
  <c r="DL58" i="4" s="1"/>
  <c r="DO58" i="4"/>
  <c r="DP58" i="4" s="1"/>
  <c r="DG58" i="4"/>
  <c r="DH58" i="4" s="1"/>
  <c r="CY58" i="4"/>
  <c r="CZ58" i="4" s="1"/>
  <c r="CU58" i="4"/>
  <c r="CV58" i="4"/>
  <c r="CQ58" i="4"/>
  <c r="CR58" i="4" s="1"/>
  <c r="CI58" i="4"/>
  <c r="CJ58" i="4" s="1"/>
  <c r="CE58" i="4"/>
  <c r="CF58" i="4"/>
  <c r="CB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AY58" i="4"/>
  <c r="AZ58" i="4" s="1"/>
  <c r="AU58" i="4"/>
  <c r="AV58" i="4"/>
  <c r="AQ58" i="4"/>
  <c r="AR58" i="4" s="1"/>
  <c r="AM58" i="4"/>
  <c r="AN58" i="4"/>
  <c r="AI58" i="4"/>
  <c r="AJ58" i="4" s="1"/>
  <c r="AE58" i="4"/>
  <c r="AF58" i="4"/>
  <c r="AA58" i="4"/>
  <c r="AB58" i="4" s="1"/>
  <c r="W58" i="4"/>
  <c r="X58" i="4"/>
  <c r="S58" i="4"/>
  <c r="T58" i="4" s="1"/>
  <c r="O58" i="4"/>
  <c r="P58" i="4"/>
  <c r="K58" i="4"/>
  <c r="L58" i="4" s="1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I57" i="4"/>
  <c r="AO57" i="4" s="1"/>
  <c r="AP57" i="4" s="1"/>
  <c r="AU57" i="4"/>
  <c r="AV57" i="4" s="1"/>
  <c r="AE57" i="4"/>
  <c r="AF57" i="4" s="1"/>
  <c r="Y57" i="4"/>
  <c r="Z57" i="4" s="1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53" i="4"/>
  <c r="I53" i="4" s="1"/>
  <c r="BZ53" i="4"/>
  <c r="ER53" i="4" s="1"/>
  <c r="ES53" i="4" s="1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BZ51" i="4"/>
  <c r="ER51" i="4" s="1"/>
  <c r="ES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A51" i="4"/>
  <c r="DQ51" i="4" s="1"/>
  <c r="DR51" i="4"/>
  <c r="DI51" i="4"/>
  <c r="DJ51" i="4"/>
  <c r="DE51" i="4"/>
  <c r="DF51" i="4"/>
  <c r="DA51" i="4"/>
  <c r="DB51" i="4"/>
  <c r="CW51" i="4"/>
  <c r="CX51" i="4"/>
  <c r="CS51" i="4"/>
  <c r="CT51" i="4"/>
  <c r="CO51" i="4"/>
  <c r="CP51" i="4"/>
  <c r="CK51" i="4"/>
  <c r="CL51" i="4"/>
  <c r="CG51" i="4"/>
  <c r="CH51" i="4"/>
  <c r="CC51" i="4"/>
  <c r="CD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 s="1"/>
  <c r="CA50" i="4" s="1"/>
  <c r="DQ50" i="4" s="1"/>
  <c r="DR50" i="4" s="1"/>
  <c r="ER50" i="4"/>
  <c r="ES50" i="4" s="1"/>
  <c r="GC50" i="4" s="1"/>
  <c r="GD50" i="4" s="1"/>
  <c r="GG50" i="4"/>
  <c r="GH50" i="4" s="1"/>
  <c r="FU50" i="4"/>
  <c r="FV50" i="4" s="1"/>
  <c r="FQ50" i="4"/>
  <c r="FR50" i="4" s="1"/>
  <c r="FE50" i="4"/>
  <c r="FF50" i="4" s="1"/>
  <c r="FA50" i="4"/>
  <c r="FB50" i="4" s="1"/>
  <c r="ET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DM50" i="4"/>
  <c r="DN50" i="4" s="1"/>
  <c r="DI50" i="4"/>
  <c r="DJ50" i="4" s="1"/>
  <c r="DE50" i="4"/>
  <c r="DF50" i="4" s="1"/>
  <c r="CW50" i="4"/>
  <c r="CX50" i="4" s="1"/>
  <c r="CS50" i="4"/>
  <c r="CT50" i="4" s="1"/>
  <c r="CO50" i="4"/>
  <c r="CP50" i="4" s="1"/>
  <c r="CG50" i="4"/>
  <c r="CH50" i="4" s="1"/>
  <c r="CC50" i="4"/>
  <c r="CD50" i="4" s="1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BZ49" i="4"/>
  <c r="ER49" i="4" s="1"/>
  <c r="ES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I49" i="4"/>
  <c r="AY49" i="4" s="1"/>
  <c r="AZ49" i="4" s="1"/>
  <c r="W49" i="4"/>
  <c r="X49" i="4" s="1"/>
  <c r="O49" i="4"/>
  <c r="P49" i="4" s="1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47" i="4"/>
  <c r="I47" i="4" s="1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I46" i="4" s="1"/>
  <c r="AW46" i="4" s="1"/>
  <c r="AX46" i="4" s="1"/>
  <c r="BZ46" i="4"/>
  <c r="ER46" i="4" s="1"/>
  <c r="ES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AS46" i="4"/>
  <c r="AT46" i="4" s="1"/>
  <c r="AC46" i="4"/>
  <c r="AD46" i="4" s="1"/>
  <c r="M46" i="4"/>
  <c r="N46" i="4" s="1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I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BZ43" i="4"/>
  <c r="ER43" i="4" s="1"/>
  <c r="ES43" i="4" s="1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I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I42" i="4" s="1"/>
  <c r="AK42" i="4" s="1"/>
  <c r="AL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AW42" i="4"/>
  <c r="AX42" i="4" s="1"/>
  <c r="AS42" i="4"/>
  <c r="AT42" i="4" s="1"/>
  <c r="AO42" i="4"/>
  <c r="AP42" i="4" s="1"/>
  <c r="AG42" i="4"/>
  <c r="AH42" i="4" s="1"/>
  <c r="AC42" i="4"/>
  <c r="AD42" i="4" s="1"/>
  <c r="Y42" i="4"/>
  <c r="Z42" i="4" s="1"/>
  <c r="Q42" i="4"/>
  <c r="R42" i="4" s="1"/>
  <c r="M42" i="4"/>
  <c r="N42" i="4" s="1"/>
  <c r="J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I41" i="4" s="1"/>
  <c r="BZ41" i="4"/>
  <c r="ER41" i="4" s="1"/>
  <c r="ES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39" i="4"/>
  <c r="BZ39" i="4"/>
  <c r="ER39" i="4"/>
  <c r="ES39" i="4" s="1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CA39" i="4"/>
  <c r="DO39" i="4" s="1"/>
  <c r="DP39" i="4" s="1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I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I38" i="4" s="1"/>
  <c r="AS38" i="4" s="1"/>
  <c r="AT38" i="4" s="1"/>
  <c r="BZ38" i="4"/>
  <c r="CA38" i="4" s="1"/>
  <c r="ER38" i="4"/>
  <c r="ES38" i="4" s="1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AW38" i="4"/>
  <c r="AX38" i="4" s="1"/>
  <c r="AO38" i="4"/>
  <c r="AP38" i="4" s="1"/>
  <c r="AK38" i="4"/>
  <c r="AL38" i="4" s="1"/>
  <c r="AG38" i="4"/>
  <c r="AH38" i="4" s="1"/>
  <c r="Y38" i="4"/>
  <c r="Z38" i="4" s="1"/>
  <c r="U38" i="4"/>
  <c r="V38" i="4" s="1"/>
  <c r="Q38" i="4"/>
  <c r="R38" i="4" s="1"/>
  <c r="J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BZ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36" i="4"/>
  <c r="BZ36" i="4" s="1"/>
  <c r="CA36" i="4" s="1"/>
  <c r="DK36" i="4" s="1"/>
  <c r="DL36" i="4" s="1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DQ36" i="4"/>
  <c r="DR36" i="4" s="1"/>
  <c r="DI36" i="4"/>
  <c r="DJ36" i="4" s="1"/>
  <c r="DC36" i="4"/>
  <c r="DD36" i="4" s="1"/>
  <c r="DA36" i="4"/>
  <c r="DB36" i="4" s="1"/>
  <c r="CY36" i="4"/>
  <c r="CZ36" i="4" s="1"/>
  <c r="CW36" i="4"/>
  <c r="CX36" i="4"/>
  <c r="CS36" i="4"/>
  <c r="CT36" i="4" s="1"/>
  <c r="CQ36" i="4"/>
  <c r="CR36" i="4" s="1"/>
  <c r="CM36" i="4"/>
  <c r="CN36" i="4" s="1"/>
  <c r="CK36" i="4"/>
  <c r="CL36" i="4" s="1"/>
  <c r="CI36" i="4"/>
  <c r="CJ36" i="4" s="1"/>
  <c r="CG36" i="4"/>
  <c r="CH36" i="4"/>
  <c r="CC36" i="4"/>
  <c r="CD36" i="4" s="1"/>
  <c r="CB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Q36" i="4" s="1"/>
  <c r="AR36" i="4" s="1"/>
  <c r="AU36" i="4"/>
  <c r="AV36" i="4" s="1"/>
  <c r="AS36" i="4"/>
  <c r="AT36" i="4" s="1"/>
  <c r="AO36" i="4"/>
  <c r="AP36" i="4" s="1"/>
  <c r="AI36" i="4"/>
  <c r="AJ36" i="4" s="1"/>
  <c r="AE36" i="4"/>
  <c r="AF36" i="4" s="1"/>
  <c r="AC36" i="4"/>
  <c r="AD36" i="4" s="1"/>
  <c r="AA36" i="4"/>
  <c r="AB36" i="4" s="1"/>
  <c r="Y36" i="4"/>
  <c r="Z36" i="4" s="1"/>
  <c r="U36" i="4"/>
  <c r="V36" i="4" s="1"/>
  <c r="S36" i="4"/>
  <c r="T36" i="4" s="1"/>
  <c r="O36" i="4"/>
  <c r="P36" i="4" s="1"/>
  <c r="M36" i="4"/>
  <c r="N36" i="4" s="1"/>
  <c r="K36" i="4"/>
  <c r="L36" i="4" s="1"/>
  <c r="J36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BZ35" i="4"/>
  <c r="ER35" i="4" s="1"/>
  <c r="ES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CA35" i="4"/>
  <c r="CW35" i="4" s="1"/>
  <c r="CX35" i="4" s="1"/>
  <c r="CG35" i="4"/>
  <c r="CH35" i="4" s="1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I35" i="4"/>
  <c r="AW35" i="4" s="1"/>
  <c r="AX35" i="4" s="1"/>
  <c r="AS35" i="4"/>
  <c r="AT35" i="4" s="1"/>
  <c r="AC35" i="4"/>
  <c r="AD35" i="4" s="1"/>
  <c r="Y35" i="4"/>
  <c r="Z35" i="4" s="1"/>
  <c r="U35" i="4"/>
  <c r="V35" i="4"/>
  <c r="M35" i="4"/>
  <c r="N35" i="4" s="1"/>
  <c r="J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34" i="4"/>
  <c r="BZ34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I34" i="4"/>
  <c r="AW34" i="4" s="1"/>
  <c r="AX34" i="4" s="1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BZ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20" i="4"/>
  <c r="BZ20" i="4" s="1"/>
  <c r="H26" i="4"/>
  <c r="BZ26" i="4"/>
  <c r="CA26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I26" i="4"/>
  <c r="AW26" i="4" s="1"/>
  <c r="AX26" i="4" s="1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I20" i="4"/>
  <c r="AW20" i="4" s="1"/>
  <c r="AX20" i="4" s="1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AW130" i="4" l="1"/>
  <c r="AX130" i="4" s="1"/>
  <c r="ER130" i="4"/>
  <c r="ES130" i="4" s="1"/>
  <c r="GC130" i="4" s="1"/>
  <c r="GD130" i="4" s="1"/>
  <c r="AA130" i="4"/>
  <c r="AB130" i="4" s="1"/>
  <c r="AI130" i="4"/>
  <c r="AJ130" i="4" s="1"/>
  <c r="AU130" i="4"/>
  <c r="AV130" i="4" s="1"/>
  <c r="CQ130" i="4"/>
  <c r="CR130" i="4" s="1"/>
  <c r="I140" i="4"/>
  <c r="AY140" i="4" s="1"/>
  <c r="AZ140" i="4" s="1"/>
  <c r="CO130" i="4"/>
  <c r="CP130" i="4" s="1"/>
  <c r="DC130" i="4"/>
  <c r="DD130" i="4" s="1"/>
  <c r="DI130" i="4"/>
  <c r="DJ130" i="4" s="1"/>
  <c r="DO130" i="4"/>
  <c r="DP130" i="4" s="1"/>
  <c r="GI130" i="4"/>
  <c r="GJ130" i="4" s="1"/>
  <c r="FC130" i="4"/>
  <c r="FD130" i="4" s="1"/>
  <c r="FM130" i="4"/>
  <c r="FN130" i="4" s="1"/>
  <c r="M130" i="4"/>
  <c r="N130" i="4" s="1"/>
  <c r="S130" i="4"/>
  <c r="T130" i="4" s="1"/>
  <c r="Y130" i="4"/>
  <c r="Z130" i="4" s="1"/>
  <c r="AM130" i="4"/>
  <c r="AN130" i="4" s="1"/>
  <c r="AS130" i="4"/>
  <c r="AT130" i="4" s="1"/>
  <c r="CG130" i="4"/>
  <c r="CH130" i="4" s="1"/>
  <c r="CU130" i="4"/>
  <c r="CV130" i="4" s="1"/>
  <c r="DA130" i="4"/>
  <c r="DB130" i="4" s="1"/>
  <c r="DG130" i="4"/>
  <c r="DH130" i="4" s="1"/>
  <c r="FS130" i="4"/>
  <c r="FT130" i="4" s="1"/>
  <c r="CK73" i="4"/>
  <c r="CL73" i="4" s="1"/>
  <c r="DI73" i="4"/>
  <c r="DJ73" i="4" s="1"/>
  <c r="DA73" i="4"/>
  <c r="DB73" i="4" s="1"/>
  <c r="AY53" i="4"/>
  <c r="AZ53" i="4" s="1"/>
  <c r="AM53" i="4"/>
  <c r="AN53" i="4" s="1"/>
  <c r="AE53" i="4"/>
  <c r="AF53" i="4" s="1"/>
  <c r="W53" i="4"/>
  <c r="X53" i="4" s="1"/>
  <c r="O53" i="4"/>
  <c r="P53" i="4" s="1"/>
  <c r="AI53" i="4"/>
  <c r="AJ53" i="4" s="1"/>
  <c r="S53" i="4"/>
  <c r="T53" i="4" s="1"/>
  <c r="AQ53" i="4"/>
  <c r="AR53" i="4" s="1"/>
  <c r="AA53" i="4"/>
  <c r="AB53" i="4" s="1"/>
  <c r="K53" i="4"/>
  <c r="L53" i="4" s="1"/>
  <c r="CA53" i="4"/>
  <c r="DK53" i="4" s="1"/>
  <c r="DL53" i="4" s="1"/>
  <c r="GG46" i="4"/>
  <c r="GH46" i="4" s="1"/>
  <c r="GC46" i="4"/>
  <c r="GD46" i="4" s="1"/>
  <c r="EW46" i="4"/>
  <c r="EX46" i="4" s="1"/>
  <c r="FU46" i="4"/>
  <c r="FV46" i="4" s="1"/>
  <c r="FM46" i="4"/>
  <c r="FN46" i="4" s="1"/>
  <c r="FE46" i="4"/>
  <c r="FF46" i="4" s="1"/>
  <c r="CA46" i="4"/>
  <c r="BZ47" i="4"/>
  <c r="AW45" i="4"/>
  <c r="AX45" i="4" s="1"/>
  <c r="AU45" i="4"/>
  <c r="AV45" i="4" s="1"/>
  <c r="AM45" i="4"/>
  <c r="AN45" i="4" s="1"/>
  <c r="AE45" i="4"/>
  <c r="AF45" i="4" s="1"/>
  <c r="W45" i="4"/>
  <c r="X45" i="4" s="1"/>
  <c r="O45" i="4"/>
  <c r="P45" i="4" s="1"/>
  <c r="AY45" i="4"/>
  <c r="AZ45" i="4" s="1"/>
  <c r="AI45" i="4"/>
  <c r="AJ45" i="4" s="1"/>
  <c r="K45" i="4"/>
  <c r="L45" i="4" s="1"/>
  <c r="AQ45" i="4"/>
  <c r="AR45" i="4" s="1"/>
  <c r="S45" i="4"/>
  <c r="T45" i="4" s="1"/>
  <c r="AA45" i="4"/>
  <c r="AB45" i="4" s="1"/>
  <c r="BZ45" i="4"/>
  <c r="CA43" i="4"/>
  <c r="BZ42" i="4"/>
  <c r="AE49" i="4"/>
  <c r="AF49" i="4" s="1"/>
  <c r="AM49" i="4"/>
  <c r="AN49" i="4" s="1"/>
  <c r="K49" i="4"/>
  <c r="L49" i="4" s="1"/>
  <c r="S49" i="4"/>
  <c r="T49" i="4" s="1"/>
  <c r="AA49" i="4"/>
  <c r="AB49" i="4" s="1"/>
  <c r="AI49" i="4"/>
  <c r="AJ49" i="4" s="1"/>
  <c r="AQ49" i="4"/>
  <c r="AR49" i="4" s="1"/>
  <c r="DO38" i="4"/>
  <c r="DP38" i="4" s="1"/>
  <c r="DI38" i="4"/>
  <c r="DJ38" i="4" s="1"/>
  <c r="CS38" i="4"/>
  <c r="CT38" i="4" s="1"/>
  <c r="CC38" i="4"/>
  <c r="CD38" i="4" s="1"/>
  <c r="DE38" i="4"/>
  <c r="DF38" i="4" s="1"/>
  <c r="CK38" i="4"/>
  <c r="CL38" i="4" s="1"/>
  <c r="DM38" i="4"/>
  <c r="DN38" i="4" s="1"/>
  <c r="CW38" i="4"/>
  <c r="CX38" i="4" s="1"/>
  <c r="CG38" i="4"/>
  <c r="CH38" i="4" s="1"/>
  <c r="CO38" i="4"/>
  <c r="CP38" i="4" s="1"/>
  <c r="DQ38" i="4"/>
  <c r="DR38" i="4" s="1"/>
  <c r="DA38" i="4"/>
  <c r="DB38" i="4" s="1"/>
  <c r="AW41" i="4"/>
  <c r="AX41" i="4" s="1"/>
  <c r="AY41" i="4"/>
  <c r="AZ41" i="4" s="1"/>
  <c r="AQ41" i="4"/>
  <c r="AR41" i="4" s="1"/>
  <c r="AI41" i="4"/>
  <c r="AJ41" i="4" s="1"/>
  <c r="AA41" i="4"/>
  <c r="AB41" i="4" s="1"/>
  <c r="S41" i="4"/>
  <c r="T41" i="4" s="1"/>
  <c r="K41" i="4"/>
  <c r="L41" i="4" s="1"/>
  <c r="AU41" i="4"/>
  <c r="AV41" i="4" s="1"/>
  <c r="AM41" i="4"/>
  <c r="AN41" i="4" s="1"/>
  <c r="AE41" i="4"/>
  <c r="AF41" i="4" s="1"/>
  <c r="W41" i="4"/>
  <c r="X41" i="4" s="1"/>
  <c r="O41" i="4"/>
  <c r="P41" i="4" s="1"/>
  <c r="CC39" i="4"/>
  <c r="CD39" i="4" s="1"/>
  <c r="CK39" i="4"/>
  <c r="CL39" i="4" s="1"/>
  <c r="CS39" i="4"/>
  <c r="CT39" i="4" s="1"/>
  <c r="DA39" i="4"/>
  <c r="DB39" i="4" s="1"/>
  <c r="DI39" i="4"/>
  <c r="DJ39" i="4" s="1"/>
  <c r="DQ39" i="4"/>
  <c r="DR39" i="4" s="1"/>
  <c r="CG39" i="4"/>
  <c r="CH39" i="4" s="1"/>
  <c r="CO39" i="4"/>
  <c r="CP39" i="4" s="1"/>
  <c r="CW39" i="4"/>
  <c r="CX39" i="4" s="1"/>
  <c r="DE39" i="4"/>
  <c r="DF39" i="4" s="1"/>
  <c r="DM39" i="4"/>
  <c r="DN39" i="4" s="1"/>
  <c r="I37" i="4"/>
  <c r="AY37" i="4" s="1"/>
  <c r="AZ37" i="4" s="1"/>
  <c r="ER37" i="4"/>
  <c r="ES37" i="4" s="1"/>
  <c r="CA37" i="4"/>
  <c r="DG37" i="4" s="1"/>
  <c r="DH37" i="4" s="1"/>
  <c r="AO54" i="4"/>
  <c r="AP54" i="4" s="1"/>
  <c r="U54" i="4"/>
  <c r="V54" i="4" s="1"/>
  <c r="AW54" i="4"/>
  <c r="AX54" i="4" s="1"/>
  <c r="Q54" i="4"/>
  <c r="R54" i="4" s="1"/>
  <c r="AC54" i="4"/>
  <c r="AD54" i="4" s="1"/>
  <c r="M54" i="4"/>
  <c r="N54" i="4" s="1"/>
  <c r="Y54" i="4"/>
  <c r="Z54" i="4" s="1"/>
  <c r="J54" i="4"/>
  <c r="AE37" i="4"/>
  <c r="AF37" i="4" s="1"/>
  <c r="AK54" i="4"/>
  <c r="AL54" i="4" s="1"/>
  <c r="AY36" i="4"/>
  <c r="AZ36" i="4" s="1"/>
  <c r="DG36" i="4"/>
  <c r="DH36" i="4" s="1"/>
  <c r="DM36" i="4"/>
  <c r="DN36" i="4" s="1"/>
  <c r="DO36" i="4"/>
  <c r="DP36" i="4" s="1"/>
  <c r="ER36" i="4"/>
  <c r="ES36" i="4" s="1"/>
  <c r="AG54" i="4"/>
  <c r="AH54" i="4" s="1"/>
  <c r="BZ19" i="4"/>
  <c r="ER19" i="4" s="1"/>
  <c r="ES19" i="4" s="1"/>
  <c r="I19" i="4"/>
  <c r="J19" i="4" s="1"/>
  <c r="AO35" i="4"/>
  <c r="AP35" i="4" s="1"/>
  <c r="AS54" i="4"/>
  <c r="AT54" i="4" s="1"/>
  <c r="ER34" i="4"/>
  <c r="ES34" i="4" s="1"/>
  <c r="CA34" i="4"/>
  <c r="CB34" i="4" s="1"/>
  <c r="BZ54" i="4"/>
  <c r="BZ18" i="4"/>
  <c r="CA18" i="4" s="1"/>
  <c r="DI18" i="4" s="1"/>
  <c r="DJ18" i="4" s="1"/>
  <c r="I18" i="4"/>
  <c r="AW18" i="4" s="1"/>
  <c r="AX18" i="4" s="1"/>
  <c r="M146" i="4"/>
  <c r="N146" i="4" s="1"/>
  <c r="AE146" i="4"/>
  <c r="AF146" i="4" s="1"/>
  <c r="AO146" i="4"/>
  <c r="AP146" i="4" s="1"/>
  <c r="AY146" i="4"/>
  <c r="AZ146" i="4" s="1"/>
  <c r="FK146" i="4"/>
  <c r="FL146" i="4" s="1"/>
  <c r="J146" i="4"/>
  <c r="S146" i="4"/>
  <c r="T146" i="4" s="1"/>
  <c r="AA146" i="4"/>
  <c r="AB146" i="4" s="1"/>
  <c r="AK146" i="4"/>
  <c r="AL146" i="4" s="1"/>
  <c r="AS146" i="4"/>
  <c r="AT146" i="4" s="1"/>
  <c r="EU146" i="4"/>
  <c r="EV146" i="4" s="1"/>
  <c r="K146" i="4"/>
  <c r="L146" i="4" s="1"/>
  <c r="U146" i="4"/>
  <c r="V146" i="4" s="1"/>
  <c r="AC146" i="4"/>
  <c r="AD146" i="4" s="1"/>
  <c r="AU146" i="4"/>
  <c r="AV146" i="4" s="1"/>
  <c r="AC144" i="4"/>
  <c r="AD144" i="4" s="1"/>
  <c r="AS144" i="4"/>
  <c r="AT144" i="4" s="1"/>
  <c r="BZ144" i="4"/>
  <c r="W148" i="4"/>
  <c r="X148" i="4" s="1"/>
  <c r="K145" i="4"/>
  <c r="L145" i="4" s="1"/>
  <c r="S145" i="4"/>
  <c r="T145" i="4" s="1"/>
  <c r="AA145" i="4"/>
  <c r="AB145" i="4" s="1"/>
  <c r="AI145" i="4"/>
  <c r="AJ145" i="4" s="1"/>
  <c r="AQ145" i="4"/>
  <c r="AR145" i="4" s="1"/>
  <c r="AY145" i="4"/>
  <c r="AZ145" i="4" s="1"/>
  <c r="CB145" i="4"/>
  <c r="CI145" i="4"/>
  <c r="CJ145" i="4" s="1"/>
  <c r="CQ145" i="4"/>
  <c r="CR145" i="4" s="1"/>
  <c r="CY145" i="4"/>
  <c r="CZ145" i="4" s="1"/>
  <c r="DO145" i="4"/>
  <c r="DP145" i="4" s="1"/>
  <c r="FG145" i="4"/>
  <c r="FH145" i="4" s="1"/>
  <c r="U148" i="4"/>
  <c r="V148" i="4" s="1"/>
  <c r="AK148" i="4"/>
  <c r="AL148" i="4" s="1"/>
  <c r="BZ148" i="4"/>
  <c r="CA148" i="4" s="1"/>
  <c r="CB148" i="4" s="1"/>
  <c r="O145" i="4"/>
  <c r="P145" i="4" s="1"/>
  <c r="W145" i="4"/>
  <c r="X145" i="4" s="1"/>
  <c r="AE145" i="4"/>
  <c r="AF145" i="4" s="1"/>
  <c r="AM145" i="4"/>
  <c r="AN145" i="4" s="1"/>
  <c r="AU145" i="4"/>
  <c r="AV145" i="4" s="1"/>
  <c r="M148" i="4"/>
  <c r="N148" i="4" s="1"/>
  <c r="AC148" i="4"/>
  <c r="AD148" i="4" s="1"/>
  <c r="AS148" i="4"/>
  <c r="AT148" i="4" s="1"/>
  <c r="AK145" i="4"/>
  <c r="AL145" i="4" s="1"/>
  <c r="AM148" i="4"/>
  <c r="AN148" i="4" s="1"/>
  <c r="J145" i="4"/>
  <c r="Q145" i="4"/>
  <c r="R145" i="4" s="1"/>
  <c r="Y145" i="4"/>
  <c r="Z145" i="4" s="1"/>
  <c r="AG145" i="4"/>
  <c r="AH145" i="4" s="1"/>
  <c r="AO145" i="4"/>
  <c r="AP145" i="4" s="1"/>
  <c r="CG145" i="4"/>
  <c r="CH145" i="4" s="1"/>
  <c r="CO145" i="4"/>
  <c r="CP145" i="4" s="1"/>
  <c r="CW145" i="4"/>
  <c r="CX145" i="4" s="1"/>
  <c r="EY145" i="4"/>
  <c r="EZ145" i="4" s="1"/>
  <c r="O148" i="4"/>
  <c r="P148" i="4" s="1"/>
  <c r="AE148" i="4"/>
  <c r="AF148" i="4" s="1"/>
  <c r="AU148" i="4"/>
  <c r="AV148" i="4" s="1"/>
  <c r="DG148" i="4"/>
  <c r="DH148" i="4" s="1"/>
  <c r="CO148" i="4"/>
  <c r="CP148" i="4" s="1"/>
  <c r="CW148" i="4"/>
  <c r="CX148" i="4" s="1"/>
  <c r="ER20" i="4"/>
  <c r="ES20" i="4" s="1"/>
  <c r="FU20" i="4" s="1"/>
  <c r="FV20" i="4" s="1"/>
  <c r="CA20" i="4"/>
  <c r="ER60" i="4"/>
  <c r="ES60" i="4" s="1"/>
  <c r="CA60" i="4"/>
  <c r="M60" i="4"/>
  <c r="N60" i="4" s="1"/>
  <c r="Y60" i="4"/>
  <c r="Z60" i="4" s="1"/>
  <c r="Q60" i="4"/>
  <c r="R60" i="4" s="1"/>
  <c r="J60" i="4"/>
  <c r="BZ131" i="4"/>
  <c r="ER80" i="4"/>
  <c r="ES80" i="4" s="1"/>
  <c r="CS88" i="4"/>
  <c r="CT88" i="4" s="1"/>
  <c r="ER85" i="4"/>
  <c r="ES85" i="4" s="1"/>
  <c r="CA85" i="4"/>
  <c r="DQ85" i="4" s="1"/>
  <c r="DR85" i="4" s="1"/>
  <c r="I85" i="4"/>
  <c r="AK85" i="4" s="1"/>
  <c r="AL85" i="4" s="1"/>
  <c r="CO88" i="4"/>
  <c r="CP88" i="4" s="1"/>
  <c r="DE88" i="4"/>
  <c r="DF88" i="4" s="1"/>
  <c r="ER88" i="4"/>
  <c r="ES88" i="4" s="1"/>
  <c r="FI88" i="4" s="1"/>
  <c r="FJ88" i="4" s="1"/>
  <c r="CG88" i="4"/>
  <c r="CH88" i="4" s="1"/>
  <c r="CW88" i="4"/>
  <c r="CX88" i="4" s="1"/>
  <c r="DM88" i="4"/>
  <c r="DN88" i="4" s="1"/>
  <c r="CC88" i="4"/>
  <c r="CD88" i="4" s="1"/>
  <c r="DI88" i="4"/>
  <c r="DJ88" i="4" s="1"/>
  <c r="CK88" i="4"/>
  <c r="CL88" i="4" s="1"/>
  <c r="DA88" i="4"/>
  <c r="DB88" i="4" s="1"/>
  <c r="I89" i="4"/>
  <c r="AS89" i="4" s="1"/>
  <c r="AT89" i="4" s="1"/>
  <c r="ER89" i="4"/>
  <c r="ES89" i="4" s="1"/>
  <c r="FY89" i="4" s="1"/>
  <c r="FZ89" i="4" s="1"/>
  <c r="CA89" i="4"/>
  <c r="DQ89" i="4" s="1"/>
  <c r="DR89" i="4" s="1"/>
  <c r="ER96" i="4"/>
  <c r="ES96" i="4" s="1"/>
  <c r="CA96" i="4"/>
  <c r="I96" i="4"/>
  <c r="AO98" i="4"/>
  <c r="AP98" i="4" s="1"/>
  <c r="J98" i="4"/>
  <c r="AU100" i="4"/>
  <c r="AV100" i="4" s="1"/>
  <c r="CA100" i="4"/>
  <c r="CA95" i="4"/>
  <c r="DQ95" i="4" s="1"/>
  <c r="DR95" i="4" s="1"/>
  <c r="I22" i="4"/>
  <c r="AW22" i="4" s="1"/>
  <c r="AX22" i="4" s="1"/>
  <c r="BZ113" i="4"/>
  <c r="ER113" i="4" s="1"/>
  <c r="ES113" i="4" s="1"/>
  <c r="FY113" i="4" s="1"/>
  <c r="FZ113" i="4" s="1"/>
  <c r="BZ112" i="4"/>
  <c r="ER111" i="4"/>
  <c r="ES111" i="4" s="1"/>
  <c r="CA111" i="4"/>
  <c r="I111" i="4"/>
  <c r="AY131" i="4"/>
  <c r="AZ131" i="4" s="1"/>
  <c r="AM131" i="4"/>
  <c r="AN131" i="4" s="1"/>
  <c r="AU131" i="4"/>
  <c r="AV131" i="4" s="1"/>
  <c r="AE131" i="4"/>
  <c r="AF131" i="4" s="1"/>
  <c r="O131" i="4"/>
  <c r="P131" i="4" s="1"/>
  <c r="W131" i="4"/>
  <c r="X131" i="4" s="1"/>
  <c r="AI131" i="4"/>
  <c r="AJ131" i="4" s="1"/>
  <c r="S131" i="4"/>
  <c r="T131" i="4" s="1"/>
  <c r="I24" i="4"/>
  <c r="AW24" i="4" s="1"/>
  <c r="AX24" i="4" s="1"/>
  <c r="BZ24" i="4"/>
  <c r="AU140" i="4"/>
  <c r="AV140" i="4" s="1"/>
  <c r="E23" i="4"/>
  <c r="H23" i="4" s="1"/>
  <c r="D27" i="4"/>
  <c r="E27" i="4" s="1"/>
  <c r="H27" i="4" s="1"/>
  <c r="I27" i="4" s="1"/>
  <c r="Q27" i="4" s="1"/>
  <c r="R27" i="4" s="1"/>
  <c r="BZ119" i="4"/>
  <c r="I120" i="4"/>
  <c r="O117" i="4"/>
  <c r="P117" i="4" s="1"/>
  <c r="W117" i="4"/>
  <c r="X117" i="4" s="1"/>
  <c r="AE117" i="4"/>
  <c r="AF117" i="4" s="1"/>
  <c r="AM117" i="4"/>
  <c r="AN117" i="4" s="1"/>
  <c r="AU117" i="4"/>
  <c r="AV117" i="4" s="1"/>
  <c r="I127" i="4"/>
  <c r="AS127" i="4" s="1"/>
  <c r="AT127" i="4" s="1"/>
  <c r="K117" i="4"/>
  <c r="L117" i="4" s="1"/>
  <c r="S117" i="4"/>
  <c r="T117" i="4" s="1"/>
  <c r="AA117" i="4"/>
  <c r="AB117" i="4" s="1"/>
  <c r="AI117" i="4"/>
  <c r="AJ117" i="4" s="1"/>
  <c r="AQ117" i="4"/>
  <c r="AR117" i="4" s="1"/>
  <c r="ER127" i="4"/>
  <c r="ES127" i="4" s="1"/>
  <c r="GI127" i="4" s="1"/>
  <c r="GJ127" i="4" s="1"/>
  <c r="CA127" i="4"/>
  <c r="DC127" i="4" s="1"/>
  <c r="DD127" i="4" s="1"/>
  <c r="DQ22" i="4"/>
  <c r="DR22" i="4" s="1"/>
  <c r="DM22" i="4"/>
  <c r="DN22" i="4" s="1"/>
  <c r="DI22" i="4"/>
  <c r="DJ22" i="4" s="1"/>
  <c r="DE22" i="4"/>
  <c r="DF22" i="4" s="1"/>
  <c r="DA22" i="4"/>
  <c r="DB22" i="4" s="1"/>
  <c r="CW22" i="4"/>
  <c r="CX22" i="4" s="1"/>
  <c r="CS22" i="4"/>
  <c r="CT22" i="4" s="1"/>
  <c r="CO22" i="4"/>
  <c r="CP22" i="4" s="1"/>
  <c r="CK22" i="4"/>
  <c r="CL22" i="4" s="1"/>
  <c r="CG22" i="4"/>
  <c r="CH22" i="4" s="1"/>
  <c r="CC22" i="4"/>
  <c r="CD22" i="4" s="1"/>
  <c r="DO22" i="4"/>
  <c r="DP22" i="4" s="1"/>
  <c r="DK22" i="4"/>
  <c r="DL22" i="4" s="1"/>
  <c r="DG22" i="4"/>
  <c r="DH22" i="4" s="1"/>
  <c r="DC22" i="4"/>
  <c r="DD22" i="4" s="1"/>
  <c r="CY22" i="4"/>
  <c r="CZ22" i="4" s="1"/>
  <c r="CU22" i="4"/>
  <c r="CV22" i="4" s="1"/>
  <c r="CQ22" i="4"/>
  <c r="CR22" i="4" s="1"/>
  <c r="CM22" i="4"/>
  <c r="CN22" i="4" s="1"/>
  <c r="CI22" i="4"/>
  <c r="CJ22" i="4" s="1"/>
  <c r="CE22" i="4"/>
  <c r="CF22" i="4" s="1"/>
  <c r="CB22" i="4"/>
  <c r="AY21" i="4"/>
  <c r="AZ21" i="4" s="1"/>
  <c r="AU21" i="4"/>
  <c r="AV21" i="4" s="1"/>
  <c r="AQ21" i="4"/>
  <c r="AR21" i="4" s="1"/>
  <c r="AM21" i="4"/>
  <c r="AN21" i="4" s="1"/>
  <c r="AI21" i="4"/>
  <c r="AJ21" i="4" s="1"/>
  <c r="AE21" i="4"/>
  <c r="AF21" i="4" s="1"/>
  <c r="AA21" i="4"/>
  <c r="AB21" i="4" s="1"/>
  <c r="W21" i="4"/>
  <c r="X21" i="4" s="1"/>
  <c r="S21" i="4"/>
  <c r="T21" i="4" s="1"/>
  <c r="O21" i="4"/>
  <c r="P21" i="4" s="1"/>
  <c r="K21" i="4"/>
  <c r="L21" i="4" s="1"/>
  <c r="AW21" i="4"/>
  <c r="AX21" i="4" s="1"/>
  <c r="AS21" i="4"/>
  <c r="AT21" i="4" s="1"/>
  <c r="AO21" i="4"/>
  <c r="AP21" i="4" s="1"/>
  <c r="AK21" i="4"/>
  <c r="AL21" i="4" s="1"/>
  <c r="AG21" i="4"/>
  <c r="AH21" i="4" s="1"/>
  <c r="AC21" i="4"/>
  <c r="AD21" i="4" s="1"/>
  <c r="Y21" i="4"/>
  <c r="Z21" i="4" s="1"/>
  <c r="U21" i="4"/>
  <c r="V21" i="4" s="1"/>
  <c r="Q21" i="4"/>
  <c r="R21" i="4" s="1"/>
  <c r="M21" i="4"/>
  <c r="N21" i="4" s="1"/>
  <c r="J21" i="4"/>
  <c r="AY25" i="4"/>
  <c r="AZ25" i="4" s="1"/>
  <c r="AU25" i="4"/>
  <c r="AV25" i="4" s="1"/>
  <c r="AQ25" i="4"/>
  <c r="AR25" i="4" s="1"/>
  <c r="AM25" i="4"/>
  <c r="AN25" i="4" s="1"/>
  <c r="AI25" i="4"/>
  <c r="AJ25" i="4" s="1"/>
  <c r="AE25" i="4"/>
  <c r="AF25" i="4" s="1"/>
  <c r="AA25" i="4"/>
  <c r="AB25" i="4" s="1"/>
  <c r="W25" i="4"/>
  <c r="X25" i="4" s="1"/>
  <c r="S25" i="4"/>
  <c r="T25" i="4" s="1"/>
  <c r="O25" i="4"/>
  <c r="P25" i="4" s="1"/>
  <c r="K25" i="4"/>
  <c r="L25" i="4" s="1"/>
  <c r="AW25" i="4"/>
  <c r="AX25" i="4" s="1"/>
  <c r="AS25" i="4"/>
  <c r="AT25" i="4" s="1"/>
  <c r="AO25" i="4"/>
  <c r="AP25" i="4" s="1"/>
  <c r="AK25" i="4"/>
  <c r="AL25" i="4" s="1"/>
  <c r="AG25" i="4"/>
  <c r="AH25" i="4" s="1"/>
  <c r="AC25" i="4"/>
  <c r="AD25" i="4" s="1"/>
  <c r="Y25" i="4"/>
  <c r="Z25" i="4" s="1"/>
  <c r="U25" i="4"/>
  <c r="V25" i="4" s="1"/>
  <c r="Q25" i="4"/>
  <c r="R25" i="4" s="1"/>
  <c r="M25" i="4"/>
  <c r="N25" i="4" s="1"/>
  <c r="J25" i="4"/>
  <c r="GG20" i="4"/>
  <c r="GH20" i="4" s="1"/>
  <c r="GC20" i="4"/>
  <c r="GD20" i="4" s="1"/>
  <c r="FY20" i="4"/>
  <c r="FZ20" i="4" s="1"/>
  <c r="FQ20" i="4"/>
  <c r="FR20" i="4" s="1"/>
  <c r="FM20" i="4"/>
  <c r="FN20" i="4" s="1"/>
  <c r="FI20" i="4"/>
  <c r="FJ20" i="4" s="1"/>
  <c r="FA20" i="4"/>
  <c r="FB20" i="4" s="1"/>
  <c r="EW20" i="4"/>
  <c r="EX20" i="4" s="1"/>
  <c r="ET20" i="4"/>
  <c r="GE20" i="4"/>
  <c r="GF20" i="4" s="1"/>
  <c r="GA20" i="4"/>
  <c r="GB20" i="4" s="1"/>
  <c r="FW20" i="4"/>
  <c r="FX20" i="4" s="1"/>
  <c r="FO20" i="4"/>
  <c r="FP20" i="4" s="1"/>
  <c r="FK20" i="4"/>
  <c r="FL20" i="4" s="1"/>
  <c r="FG20" i="4"/>
  <c r="FH20" i="4" s="1"/>
  <c r="EY20" i="4"/>
  <c r="EZ20" i="4" s="1"/>
  <c r="EU20" i="4"/>
  <c r="EV20" i="4" s="1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DQ26" i="4"/>
  <c r="DR26" i="4" s="1"/>
  <c r="DM26" i="4"/>
  <c r="DN26" i="4" s="1"/>
  <c r="DI26" i="4"/>
  <c r="DJ26" i="4" s="1"/>
  <c r="DE26" i="4"/>
  <c r="DF26" i="4" s="1"/>
  <c r="DA26" i="4"/>
  <c r="DB26" i="4" s="1"/>
  <c r="CW26" i="4"/>
  <c r="CX26" i="4" s="1"/>
  <c r="CS26" i="4"/>
  <c r="CT26" i="4" s="1"/>
  <c r="CO26" i="4"/>
  <c r="CP26" i="4" s="1"/>
  <c r="CK26" i="4"/>
  <c r="CL26" i="4" s="1"/>
  <c r="CG26" i="4"/>
  <c r="CH26" i="4" s="1"/>
  <c r="CC26" i="4"/>
  <c r="CD26" i="4" s="1"/>
  <c r="DO26" i="4"/>
  <c r="DP26" i="4" s="1"/>
  <c r="DK26" i="4"/>
  <c r="DL26" i="4" s="1"/>
  <c r="DG26" i="4"/>
  <c r="DH26" i="4" s="1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CA19" i="4"/>
  <c r="GI35" i="4"/>
  <c r="GJ35" i="4" s="1"/>
  <c r="GE35" i="4"/>
  <c r="GF35" i="4" s="1"/>
  <c r="GA35" i="4"/>
  <c r="GB35" i="4" s="1"/>
  <c r="FW35" i="4"/>
  <c r="FX35" i="4" s="1"/>
  <c r="FS35" i="4"/>
  <c r="FT35" i="4" s="1"/>
  <c r="FO35" i="4"/>
  <c r="FP35" i="4" s="1"/>
  <c r="FK35" i="4"/>
  <c r="FL35" i="4" s="1"/>
  <c r="FG35" i="4"/>
  <c r="FH35" i="4" s="1"/>
  <c r="FC35" i="4"/>
  <c r="FD35" i="4" s="1"/>
  <c r="EY35" i="4"/>
  <c r="EZ35" i="4" s="1"/>
  <c r="EU35" i="4"/>
  <c r="EV35" i="4" s="1"/>
  <c r="GC35" i="4"/>
  <c r="GD35" i="4" s="1"/>
  <c r="FM35" i="4"/>
  <c r="FN35" i="4" s="1"/>
  <c r="EW35" i="4"/>
  <c r="EX35" i="4" s="1"/>
  <c r="GG35" i="4"/>
  <c r="GH35" i="4" s="1"/>
  <c r="FQ35" i="4"/>
  <c r="FR35" i="4" s="1"/>
  <c r="FA35" i="4"/>
  <c r="FB35" i="4" s="1"/>
  <c r="FY35" i="4"/>
  <c r="FZ35" i="4" s="1"/>
  <c r="FI35" i="4"/>
  <c r="FJ35" i="4" s="1"/>
  <c r="ET35" i="4"/>
  <c r="FU35" i="4"/>
  <c r="FV35" i="4" s="1"/>
  <c r="FE35" i="4"/>
  <c r="FF35" i="4" s="1"/>
  <c r="GI36" i="4"/>
  <c r="GJ36" i="4" s="1"/>
  <c r="GC36" i="4"/>
  <c r="GD36" i="4" s="1"/>
  <c r="FS36" i="4"/>
  <c r="FT36" i="4" s="1"/>
  <c r="FM36" i="4"/>
  <c r="FN36" i="4" s="1"/>
  <c r="FC36" i="4"/>
  <c r="FD36" i="4" s="1"/>
  <c r="EW36" i="4"/>
  <c r="EX36" i="4" s="1"/>
  <c r="FU36" i="4"/>
  <c r="FV36" i="4" s="1"/>
  <c r="FE36" i="4"/>
  <c r="FF36" i="4" s="1"/>
  <c r="GG36" i="4"/>
  <c r="GH36" i="4" s="1"/>
  <c r="FW36" i="4"/>
  <c r="FX36" i="4" s="1"/>
  <c r="FQ36" i="4"/>
  <c r="FR36" i="4" s="1"/>
  <c r="FG36" i="4"/>
  <c r="FH36" i="4" s="1"/>
  <c r="FA36" i="4"/>
  <c r="FB36" i="4" s="1"/>
  <c r="EU36" i="4"/>
  <c r="EV36" i="4" s="1"/>
  <c r="GE36" i="4"/>
  <c r="GF36" i="4" s="1"/>
  <c r="FY36" i="4"/>
  <c r="FZ36" i="4" s="1"/>
  <c r="FO36" i="4"/>
  <c r="FP36" i="4" s="1"/>
  <c r="FI36" i="4"/>
  <c r="FJ36" i="4" s="1"/>
  <c r="EY36" i="4"/>
  <c r="EZ36" i="4" s="1"/>
  <c r="ET36" i="4"/>
  <c r="GA36" i="4"/>
  <c r="GB36" i="4" s="1"/>
  <c r="FK36" i="4"/>
  <c r="FL36" i="4" s="1"/>
  <c r="DM18" i="4"/>
  <c r="DN18" i="4" s="1"/>
  <c r="CW18" i="4"/>
  <c r="CX18" i="4" s="1"/>
  <c r="CG18" i="4"/>
  <c r="CH18" i="4" s="1"/>
  <c r="DG18" i="4"/>
  <c r="DH18" i="4" s="1"/>
  <c r="CQ18" i="4"/>
  <c r="CR18" i="4" s="1"/>
  <c r="CB18" i="4"/>
  <c r="CA31" i="4"/>
  <c r="ER31" i="4"/>
  <c r="ES31" i="4" s="1"/>
  <c r="FU34" i="4"/>
  <c r="FV34" i="4" s="1"/>
  <c r="GE34" i="4"/>
  <c r="GF34" i="4" s="1"/>
  <c r="DO35" i="4"/>
  <c r="DP35" i="4" s="1"/>
  <c r="DK35" i="4"/>
  <c r="DL35" i="4" s="1"/>
  <c r="DG35" i="4"/>
  <c r="DH35" i="4" s="1"/>
  <c r="DC35" i="4"/>
  <c r="DD35" i="4" s="1"/>
  <c r="CY35" i="4"/>
  <c r="CZ35" i="4" s="1"/>
  <c r="CU35" i="4"/>
  <c r="CV35" i="4" s="1"/>
  <c r="CQ35" i="4"/>
  <c r="CR35" i="4" s="1"/>
  <c r="CM35" i="4"/>
  <c r="CN35" i="4" s="1"/>
  <c r="CI35" i="4"/>
  <c r="CJ35" i="4" s="1"/>
  <c r="CE35" i="4"/>
  <c r="CF35" i="4" s="1"/>
  <c r="CB35" i="4"/>
  <c r="GI38" i="4"/>
  <c r="GJ38" i="4" s="1"/>
  <c r="GE38" i="4"/>
  <c r="GF38" i="4" s="1"/>
  <c r="GA38" i="4"/>
  <c r="GB38" i="4" s="1"/>
  <c r="FW38" i="4"/>
  <c r="FX38" i="4" s="1"/>
  <c r="FS38" i="4"/>
  <c r="FT38" i="4" s="1"/>
  <c r="FO38" i="4"/>
  <c r="FP38" i="4" s="1"/>
  <c r="FK38" i="4"/>
  <c r="FL38" i="4" s="1"/>
  <c r="FG38" i="4"/>
  <c r="FH38" i="4" s="1"/>
  <c r="FC38" i="4"/>
  <c r="FD38" i="4" s="1"/>
  <c r="EY38" i="4"/>
  <c r="EZ38" i="4" s="1"/>
  <c r="EU38" i="4"/>
  <c r="EV38" i="4" s="1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I95" i="4"/>
  <c r="GJ95" i="4" s="1"/>
  <c r="GE95" i="4"/>
  <c r="GF95" i="4" s="1"/>
  <c r="GA95" i="4"/>
  <c r="GB95" i="4" s="1"/>
  <c r="FW95" i="4"/>
  <c r="FX95" i="4" s="1"/>
  <c r="FS95" i="4"/>
  <c r="FT95" i="4" s="1"/>
  <c r="FO95" i="4"/>
  <c r="FP95" i="4" s="1"/>
  <c r="FK95" i="4"/>
  <c r="FL95" i="4" s="1"/>
  <c r="FG95" i="4"/>
  <c r="FH95" i="4" s="1"/>
  <c r="FC95" i="4"/>
  <c r="FD95" i="4" s="1"/>
  <c r="EY95" i="4"/>
  <c r="EZ95" i="4" s="1"/>
  <c r="EU95" i="4"/>
  <c r="EV95" i="4" s="1"/>
  <c r="J18" i="4"/>
  <c r="Q18" i="4"/>
  <c r="R18" i="4" s="1"/>
  <c r="Y18" i="4"/>
  <c r="Z18" i="4" s="1"/>
  <c r="K18" i="4"/>
  <c r="L18" i="4" s="1"/>
  <c r="O18" i="4"/>
  <c r="P18" i="4" s="1"/>
  <c r="S18" i="4"/>
  <c r="T18" i="4" s="1"/>
  <c r="W18" i="4"/>
  <c r="X18" i="4" s="1"/>
  <c r="AA18" i="4"/>
  <c r="AB18" i="4" s="1"/>
  <c r="AE18" i="4"/>
  <c r="AF18" i="4" s="1"/>
  <c r="AI18" i="4"/>
  <c r="AJ18" i="4" s="1"/>
  <c r="AM18" i="4"/>
  <c r="AN18" i="4" s="1"/>
  <c r="AQ18" i="4"/>
  <c r="AR18" i="4" s="1"/>
  <c r="AU18" i="4"/>
  <c r="AV18" i="4" s="1"/>
  <c r="AY18" i="4"/>
  <c r="AZ18" i="4" s="1"/>
  <c r="AK19" i="4"/>
  <c r="AL19" i="4" s="1"/>
  <c r="K20" i="4"/>
  <c r="L20" i="4" s="1"/>
  <c r="O20" i="4"/>
  <c r="P20" i="4" s="1"/>
  <c r="S20" i="4"/>
  <c r="T20" i="4" s="1"/>
  <c r="W20" i="4"/>
  <c r="X20" i="4" s="1"/>
  <c r="AA20" i="4"/>
  <c r="AB20" i="4" s="1"/>
  <c r="AE20" i="4"/>
  <c r="AF20" i="4" s="1"/>
  <c r="AI20" i="4"/>
  <c r="AJ20" i="4" s="1"/>
  <c r="AM20" i="4"/>
  <c r="AN20" i="4" s="1"/>
  <c r="AQ20" i="4"/>
  <c r="AR20" i="4" s="1"/>
  <c r="AU20" i="4"/>
  <c r="AV20" i="4" s="1"/>
  <c r="AY20" i="4"/>
  <c r="AZ20" i="4" s="1"/>
  <c r="CB20" i="4"/>
  <c r="CE20" i="4"/>
  <c r="CF20" i="4" s="1"/>
  <c r="CI20" i="4"/>
  <c r="CJ20" i="4" s="1"/>
  <c r="CM20" i="4"/>
  <c r="CN20" i="4" s="1"/>
  <c r="CQ20" i="4"/>
  <c r="CR20" i="4" s="1"/>
  <c r="CU20" i="4"/>
  <c r="CV20" i="4" s="1"/>
  <c r="CY20" i="4"/>
  <c r="CZ20" i="4" s="1"/>
  <c r="DC20" i="4"/>
  <c r="DD20" i="4" s="1"/>
  <c r="DG20" i="4"/>
  <c r="DH20" i="4" s="1"/>
  <c r="DK20" i="4"/>
  <c r="DL20" i="4" s="1"/>
  <c r="W22" i="4"/>
  <c r="X22" i="4" s="1"/>
  <c r="O24" i="4"/>
  <c r="P24" i="4" s="1"/>
  <c r="AI24" i="4"/>
  <c r="AJ24" i="4" s="1"/>
  <c r="AY24" i="4"/>
  <c r="AZ24" i="4" s="1"/>
  <c r="K26" i="4"/>
  <c r="L26" i="4" s="1"/>
  <c r="O26" i="4"/>
  <c r="P26" i="4" s="1"/>
  <c r="S26" i="4"/>
  <c r="T26" i="4" s="1"/>
  <c r="W26" i="4"/>
  <c r="X26" i="4" s="1"/>
  <c r="AA26" i="4"/>
  <c r="AB26" i="4" s="1"/>
  <c r="AE26" i="4"/>
  <c r="AF26" i="4" s="1"/>
  <c r="AI26" i="4"/>
  <c r="AJ26" i="4" s="1"/>
  <c r="AM26" i="4"/>
  <c r="AN26" i="4" s="1"/>
  <c r="AQ26" i="4"/>
  <c r="AR26" i="4" s="1"/>
  <c r="AU26" i="4"/>
  <c r="AV26" i="4" s="1"/>
  <c r="AY26" i="4"/>
  <c r="AZ26" i="4" s="1"/>
  <c r="ER26" i="4"/>
  <c r="ES26" i="4" s="1"/>
  <c r="BZ25" i="4"/>
  <c r="ER22" i="4"/>
  <c r="ES22" i="4" s="1"/>
  <c r="BZ21" i="4"/>
  <c r="I31" i="4"/>
  <c r="K34" i="4"/>
  <c r="L34" i="4" s="1"/>
  <c r="O34" i="4"/>
  <c r="P34" i="4" s="1"/>
  <c r="S34" i="4"/>
  <c r="T34" i="4" s="1"/>
  <c r="W34" i="4"/>
  <c r="X34" i="4" s="1"/>
  <c r="AA34" i="4"/>
  <c r="AB34" i="4" s="1"/>
  <c r="AE34" i="4"/>
  <c r="AF34" i="4" s="1"/>
  <c r="AI34" i="4"/>
  <c r="AJ34" i="4" s="1"/>
  <c r="AM34" i="4"/>
  <c r="AN34" i="4" s="1"/>
  <c r="AQ34" i="4"/>
  <c r="AR34" i="4" s="1"/>
  <c r="AU34" i="4"/>
  <c r="AV34" i="4" s="1"/>
  <c r="AY34" i="4"/>
  <c r="AZ34" i="4" s="1"/>
  <c r="CM34" i="4"/>
  <c r="CN34" i="4" s="1"/>
  <c r="DC34" i="4"/>
  <c r="DD34" i="4" s="1"/>
  <c r="ET34" i="4"/>
  <c r="FC34" i="4"/>
  <c r="FD34" i="4" s="1"/>
  <c r="FI34" i="4"/>
  <c r="FJ34" i="4" s="1"/>
  <c r="FS34" i="4"/>
  <c r="FT34" i="4" s="1"/>
  <c r="FY34" i="4"/>
  <c r="FZ34" i="4" s="1"/>
  <c r="GI34" i="4"/>
  <c r="GJ34" i="4" s="1"/>
  <c r="Q35" i="4"/>
  <c r="R35" i="4" s="1"/>
  <c r="AG35" i="4"/>
  <c r="AH35" i="4" s="1"/>
  <c r="CK35" i="4"/>
  <c r="CL35" i="4" s="1"/>
  <c r="DA35" i="4"/>
  <c r="DB35" i="4" s="1"/>
  <c r="DQ35" i="4"/>
  <c r="DR35" i="4" s="1"/>
  <c r="Q36" i="4"/>
  <c r="R36" i="4" s="1"/>
  <c r="W36" i="4"/>
  <c r="X36" i="4" s="1"/>
  <c r="AG36" i="4"/>
  <c r="AH36" i="4" s="1"/>
  <c r="AM36" i="4"/>
  <c r="AN36" i="4" s="1"/>
  <c r="AW36" i="4"/>
  <c r="AX36" i="4" s="1"/>
  <c r="CE36" i="4"/>
  <c r="CF36" i="4" s="1"/>
  <c r="CO36" i="4"/>
  <c r="CP36" i="4" s="1"/>
  <c r="CU36" i="4"/>
  <c r="CV36" i="4" s="1"/>
  <c r="DE36" i="4"/>
  <c r="DF36" i="4" s="1"/>
  <c r="S37" i="4"/>
  <c r="T37" i="4" s="1"/>
  <c r="AI37" i="4"/>
  <c r="AJ37" i="4" s="1"/>
  <c r="CQ37" i="4"/>
  <c r="CR37" i="4" s="1"/>
  <c r="M38" i="4"/>
  <c r="N38" i="4" s="1"/>
  <c r="AC38" i="4"/>
  <c r="AD38" i="4" s="1"/>
  <c r="FA38" i="4"/>
  <c r="FB38" i="4" s="1"/>
  <c r="FQ38" i="4"/>
  <c r="FR38" i="4" s="1"/>
  <c r="GG38" i="4"/>
  <c r="GH38" i="4" s="1"/>
  <c r="AW39" i="4"/>
  <c r="AX39" i="4" s="1"/>
  <c r="AS39" i="4"/>
  <c r="AT39" i="4" s="1"/>
  <c r="AO39" i="4"/>
  <c r="AP39" i="4" s="1"/>
  <c r="AK39" i="4"/>
  <c r="AL39" i="4" s="1"/>
  <c r="AG39" i="4"/>
  <c r="AH39" i="4" s="1"/>
  <c r="AC39" i="4"/>
  <c r="AD39" i="4" s="1"/>
  <c r="Y39" i="4"/>
  <c r="Z39" i="4" s="1"/>
  <c r="U39" i="4"/>
  <c r="V39" i="4" s="1"/>
  <c r="Q39" i="4"/>
  <c r="R39" i="4" s="1"/>
  <c r="M39" i="4"/>
  <c r="N39" i="4" s="1"/>
  <c r="J39" i="4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U42" i="4"/>
  <c r="V42" i="4" s="1"/>
  <c r="I44" i="4"/>
  <c r="BZ44" i="4"/>
  <c r="J46" i="4"/>
  <c r="Y46" i="4"/>
  <c r="Z46" i="4" s="1"/>
  <c r="AO46" i="4"/>
  <c r="AP46" i="4" s="1"/>
  <c r="ET46" i="4"/>
  <c r="FI46" i="4"/>
  <c r="FJ46" i="4" s="1"/>
  <c r="FY46" i="4"/>
  <c r="FZ46" i="4" s="1"/>
  <c r="CK50" i="4"/>
  <c r="CL50" i="4" s="1"/>
  <c r="DA50" i="4"/>
  <c r="DB50" i="4" s="1"/>
  <c r="EW50" i="4"/>
  <c r="EX50" i="4" s="1"/>
  <c r="FM50" i="4"/>
  <c r="FN50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G53" i="4"/>
  <c r="GH53" i="4" s="1"/>
  <c r="GC53" i="4"/>
  <c r="GD53" i="4" s="1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 s="1"/>
  <c r="FA53" i="4"/>
  <c r="FB53" i="4" s="1"/>
  <c r="EW53" i="4"/>
  <c r="EX53" i="4" s="1"/>
  <c r="ET53" i="4"/>
  <c r="AY54" i="4"/>
  <c r="AZ54" i="4" s="1"/>
  <c r="AU54" i="4"/>
  <c r="AV54" i="4" s="1"/>
  <c r="AQ54" i="4"/>
  <c r="AR54" i="4" s="1"/>
  <c r="AM54" i="4"/>
  <c r="AN54" i="4" s="1"/>
  <c r="AI54" i="4"/>
  <c r="AJ54" i="4" s="1"/>
  <c r="AE54" i="4"/>
  <c r="AF54" i="4" s="1"/>
  <c r="AA54" i="4"/>
  <c r="AB54" i="4" s="1"/>
  <c r="W54" i="4"/>
  <c r="X54" i="4" s="1"/>
  <c r="S54" i="4"/>
  <c r="T54" i="4" s="1"/>
  <c r="O54" i="4"/>
  <c r="P54" i="4" s="1"/>
  <c r="K54" i="4"/>
  <c r="L54" i="4" s="1"/>
  <c r="CA57" i="4"/>
  <c r="ER57" i="4"/>
  <c r="ES57" i="4" s="1"/>
  <c r="ET59" i="4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GC77" i="4"/>
  <c r="GD77" i="4" s="1"/>
  <c r="FM77" i="4"/>
  <c r="FN77" i="4" s="1"/>
  <c r="EW77" i="4"/>
  <c r="EX77" i="4" s="1"/>
  <c r="FY77" i="4"/>
  <c r="FZ77" i="4" s="1"/>
  <c r="FI77" i="4"/>
  <c r="FJ77" i="4" s="1"/>
  <c r="ET77" i="4"/>
  <c r="GG77" i="4"/>
  <c r="GH77" i="4" s="1"/>
  <c r="FQ77" i="4"/>
  <c r="FR77" i="4" s="1"/>
  <c r="FA77" i="4"/>
  <c r="FB77" i="4" s="1"/>
  <c r="I86" i="4"/>
  <c r="BZ86" i="4"/>
  <c r="DM35" i="4"/>
  <c r="DN35" i="4" s="1"/>
  <c r="AW37" i="4"/>
  <c r="AX37" i="4" s="1"/>
  <c r="AS37" i="4"/>
  <c r="AT37" i="4" s="1"/>
  <c r="AO37" i="4"/>
  <c r="AP37" i="4" s="1"/>
  <c r="AK37" i="4"/>
  <c r="AL37" i="4" s="1"/>
  <c r="AG37" i="4"/>
  <c r="AH37" i="4" s="1"/>
  <c r="AC37" i="4"/>
  <c r="AD37" i="4" s="1"/>
  <c r="Y37" i="4"/>
  <c r="Z37" i="4" s="1"/>
  <c r="U37" i="4"/>
  <c r="V37" i="4" s="1"/>
  <c r="Q37" i="4"/>
  <c r="R37" i="4" s="1"/>
  <c r="M37" i="4"/>
  <c r="N37" i="4" s="1"/>
  <c r="J37" i="4"/>
  <c r="FE38" i="4"/>
  <c r="FF38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A58" i="4"/>
  <c r="GB58" i="4" s="1"/>
  <c r="FK58" i="4"/>
  <c r="FL58" i="4" s="1"/>
  <c r="EU58" i="4"/>
  <c r="EV58" i="4" s="1"/>
  <c r="GE58" i="4"/>
  <c r="GF58" i="4" s="1"/>
  <c r="FO58" i="4"/>
  <c r="FP58" i="4" s="1"/>
  <c r="EY58" i="4"/>
  <c r="EZ58" i="4" s="1"/>
  <c r="FW58" i="4"/>
  <c r="FX58" i="4" s="1"/>
  <c r="FG58" i="4"/>
  <c r="FH58" i="4" s="1"/>
  <c r="GG59" i="4"/>
  <c r="GH59" i="4" s="1"/>
  <c r="GA59" i="4"/>
  <c r="GB59" i="4" s="1"/>
  <c r="FQ59" i="4"/>
  <c r="FR59" i="4" s="1"/>
  <c r="FK59" i="4"/>
  <c r="FL59" i="4" s="1"/>
  <c r="FA59" i="4"/>
  <c r="FB59" i="4" s="1"/>
  <c r="EU59" i="4"/>
  <c r="EV59" i="4" s="1"/>
  <c r="GE59" i="4"/>
  <c r="GF59" i="4" s="1"/>
  <c r="FU59" i="4"/>
  <c r="FV59" i="4" s="1"/>
  <c r="FO59" i="4"/>
  <c r="FP59" i="4" s="1"/>
  <c r="FE59" i="4"/>
  <c r="FF59" i="4" s="1"/>
  <c r="EY59" i="4"/>
  <c r="EZ59" i="4" s="1"/>
  <c r="GC59" i="4"/>
  <c r="GD59" i="4" s="1"/>
  <c r="FW59" i="4"/>
  <c r="FX59" i="4" s="1"/>
  <c r="FM59" i="4"/>
  <c r="FN59" i="4" s="1"/>
  <c r="FG59" i="4"/>
  <c r="FH59" i="4" s="1"/>
  <c r="EW59" i="4"/>
  <c r="EX59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I155" i="4"/>
  <c r="BZ155" i="4"/>
  <c r="M18" i="4"/>
  <c r="N18" i="4" s="1"/>
  <c r="U18" i="4"/>
  <c r="V18" i="4" s="1"/>
  <c r="AC18" i="4"/>
  <c r="AD18" i="4" s="1"/>
  <c r="AG18" i="4"/>
  <c r="AH18" i="4" s="1"/>
  <c r="AK18" i="4"/>
  <c r="AL18" i="4" s="1"/>
  <c r="AO18" i="4"/>
  <c r="AP18" i="4" s="1"/>
  <c r="AS18" i="4"/>
  <c r="AT18" i="4" s="1"/>
  <c r="J20" i="4"/>
  <c r="M20" i="4"/>
  <c r="N20" i="4" s="1"/>
  <c r="Q20" i="4"/>
  <c r="R20" i="4" s="1"/>
  <c r="U20" i="4"/>
  <c r="V20" i="4" s="1"/>
  <c r="Y20" i="4"/>
  <c r="Z20" i="4" s="1"/>
  <c r="AC20" i="4"/>
  <c r="AD20" i="4" s="1"/>
  <c r="AG20" i="4"/>
  <c r="AH20" i="4" s="1"/>
  <c r="AK20" i="4"/>
  <c r="AL20" i="4" s="1"/>
  <c r="AO20" i="4"/>
  <c r="AP20" i="4" s="1"/>
  <c r="AS20" i="4"/>
  <c r="AT20" i="4" s="1"/>
  <c r="Q24" i="4"/>
  <c r="R24" i="4" s="1"/>
  <c r="AG24" i="4"/>
  <c r="AH24" i="4" s="1"/>
  <c r="J26" i="4"/>
  <c r="M26" i="4"/>
  <c r="N26" i="4" s="1"/>
  <c r="Q26" i="4"/>
  <c r="R26" i="4" s="1"/>
  <c r="U26" i="4"/>
  <c r="V26" i="4" s="1"/>
  <c r="Y26" i="4"/>
  <c r="Z26" i="4" s="1"/>
  <c r="AC26" i="4"/>
  <c r="AD26" i="4" s="1"/>
  <c r="AG26" i="4"/>
  <c r="AH26" i="4" s="1"/>
  <c r="AK26" i="4"/>
  <c r="AL26" i="4" s="1"/>
  <c r="AO26" i="4"/>
  <c r="AP26" i="4" s="1"/>
  <c r="AS26" i="4"/>
  <c r="AT26" i="4" s="1"/>
  <c r="J34" i="4"/>
  <c r="M34" i="4"/>
  <c r="N34" i="4" s="1"/>
  <c r="Q34" i="4"/>
  <c r="R34" i="4" s="1"/>
  <c r="U34" i="4"/>
  <c r="V34" i="4" s="1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CK34" i="4"/>
  <c r="CL34" i="4" s="1"/>
  <c r="DA34" i="4"/>
  <c r="DB34" i="4" s="1"/>
  <c r="EU34" i="4"/>
  <c r="EV34" i="4" s="1"/>
  <c r="FA34" i="4"/>
  <c r="FB34" i="4" s="1"/>
  <c r="FK34" i="4"/>
  <c r="FL34" i="4" s="1"/>
  <c r="FQ34" i="4"/>
  <c r="FR34" i="4" s="1"/>
  <c r="GA34" i="4"/>
  <c r="GB34" i="4" s="1"/>
  <c r="GG34" i="4"/>
  <c r="GH34" i="4" s="1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CC35" i="4"/>
  <c r="CD35" i="4" s="1"/>
  <c r="CS35" i="4"/>
  <c r="CT35" i="4" s="1"/>
  <c r="DI35" i="4"/>
  <c r="DJ35" i="4" s="1"/>
  <c r="K37" i="4"/>
  <c r="L37" i="4" s="1"/>
  <c r="AA37" i="4"/>
  <c r="AB37" i="4" s="1"/>
  <c r="AQ37" i="4"/>
  <c r="AR37" i="4" s="1"/>
  <c r="DC37" i="4"/>
  <c r="DD37" i="4" s="1"/>
  <c r="ET38" i="4"/>
  <c r="FI38" i="4"/>
  <c r="FJ38" i="4" s="1"/>
  <c r="FY38" i="4"/>
  <c r="FZ38" i="4" s="1"/>
  <c r="GG39" i="4"/>
  <c r="GH39" i="4" s="1"/>
  <c r="GC39" i="4"/>
  <c r="GD39" i="4" s="1"/>
  <c r="FY39" i="4"/>
  <c r="FZ39" i="4" s="1"/>
  <c r="FU39" i="4"/>
  <c r="FV39" i="4" s="1"/>
  <c r="FQ39" i="4"/>
  <c r="FR39" i="4" s="1"/>
  <c r="FM39" i="4"/>
  <c r="FN39" i="4" s="1"/>
  <c r="FI39" i="4"/>
  <c r="FJ39" i="4" s="1"/>
  <c r="FE39" i="4"/>
  <c r="FF39" i="4" s="1"/>
  <c r="FA39" i="4"/>
  <c r="FB39" i="4" s="1"/>
  <c r="EW39" i="4"/>
  <c r="EX39" i="4" s="1"/>
  <c r="ET39" i="4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Q46" i="4"/>
  <c r="R46" i="4" s="1"/>
  <c r="AG46" i="4"/>
  <c r="AH46" i="4" s="1"/>
  <c r="FA46" i="4"/>
  <c r="FB46" i="4" s="1"/>
  <c r="FQ46" i="4"/>
  <c r="FR46" i="4" s="1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I52" i="4"/>
  <c r="BZ52" i="4"/>
  <c r="DO53" i="4"/>
  <c r="DP53" i="4" s="1"/>
  <c r="DC53" i="4"/>
  <c r="DD53" i="4" s="1"/>
  <c r="CY53" i="4"/>
  <c r="CZ53" i="4" s="1"/>
  <c r="CM53" i="4"/>
  <c r="CN53" i="4" s="1"/>
  <c r="CI53" i="4"/>
  <c r="CJ53" i="4" s="1"/>
  <c r="DQ53" i="4"/>
  <c r="DR53" i="4" s="1"/>
  <c r="DM53" i="4"/>
  <c r="DN53" i="4" s="1"/>
  <c r="DA53" i="4"/>
  <c r="DB53" i="4" s="1"/>
  <c r="CW53" i="4"/>
  <c r="CX53" i="4" s="1"/>
  <c r="CK53" i="4"/>
  <c r="CL53" i="4" s="1"/>
  <c r="CG53" i="4"/>
  <c r="CH53" i="4" s="1"/>
  <c r="FC58" i="4"/>
  <c r="FD58" i="4" s="1"/>
  <c r="FC59" i="4"/>
  <c r="FD59" i="4" s="1"/>
  <c r="FY59" i="4"/>
  <c r="FZ59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I70" i="4"/>
  <c r="GJ70" i="4" s="1"/>
  <c r="GE70" i="4"/>
  <c r="GF70" i="4" s="1"/>
  <c r="GA70" i="4"/>
  <c r="GB70" i="4" s="1"/>
  <c r="FW70" i="4"/>
  <c r="FX70" i="4" s="1"/>
  <c r="FS70" i="4"/>
  <c r="FT70" i="4" s="1"/>
  <c r="FO70" i="4"/>
  <c r="FP70" i="4" s="1"/>
  <c r="FK70" i="4"/>
  <c r="FL70" i="4" s="1"/>
  <c r="FG70" i="4"/>
  <c r="FH70" i="4" s="1"/>
  <c r="FC70" i="4"/>
  <c r="FD70" i="4" s="1"/>
  <c r="EY70" i="4"/>
  <c r="EZ70" i="4" s="1"/>
  <c r="EU70" i="4"/>
  <c r="EV70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I74" i="4"/>
  <c r="GJ74" i="4" s="1"/>
  <c r="GE74" i="4"/>
  <c r="GF74" i="4" s="1"/>
  <c r="GA74" i="4"/>
  <c r="GB74" i="4" s="1"/>
  <c r="FW74" i="4"/>
  <c r="FX74" i="4" s="1"/>
  <c r="FS74" i="4"/>
  <c r="FT74" i="4" s="1"/>
  <c r="FO74" i="4"/>
  <c r="FP74" i="4" s="1"/>
  <c r="FK74" i="4"/>
  <c r="FL74" i="4" s="1"/>
  <c r="FG74" i="4"/>
  <c r="FH74" i="4" s="1"/>
  <c r="FC74" i="4"/>
  <c r="FD74" i="4" s="1"/>
  <c r="EY74" i="4"/>
  <c r="EZ74" i="4" s="1"/>
  <c r="EU74" i="4"/>
  <c r="EV74" i="4" s="1"/>
  <c r="FO34" i="4"/>
  <c r="FP34" i="4" s="1"/>
  <c r="AU37" i="4"/>
  <c r="AV37" i="4" s="1"/>
  <c r="DE37" i="4"/>
  <c r="DF37" i="4" s="1"/>
  <c r="CO37" i="4"/>
  <c r="CP37" i="4" s="1"/>
  <c r="FU38" i="4"/>
  <c r="FV38" i="4" s="1"/>
  <c r="I40" i="4"/>
  <c r="BZ40" i="4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GC73" i="4"/>
  <c r="GD73" i="4" s="1"/>
  <c r="FM73" i="4"/>
  <c r="FN73" i="4" s="1"/>
  <c r="EW73" i="4"/>
  <c r="EX73" i="4" s="1"/>
  <c r="FY73" i="4"/>
  <c r="FZ73" i="4" s="1"/>
  <c r="FI73" i="4"/>
  <c r="FJ73" i="4" s="1"/>
  <c r="ET73" i="4"/>
  <c r="GG73" i="4"/>
  <c r="GH73" i="4" s="1"/>
  <c r="FQ73" i="4"/>
  <c r="FR73" i="4" s="1"/>
  <c r="FA73" i="4"/>
  <c r="FB73" i="4" s="1"/>
  <c r="ER83" i="4"/>
  <c r="ES83" i="4" s="1"/>
  <c r="CA83" i="4"/>
  <c r="EW34" i="4"/>
  <c r="EX34" i="4" s="1"/>
  <c r="FG34" i="4"/>
  <c r="FH34" i="4" s="1"/>
  <c r="FM34" i="4"/>
  <c r="FN34" i="4" s="1"/>
  <c r="FW34" i="4"/>
  <c r="FX34" i="4" s="1"/>
  <c r="AK35" i="4"/>
  <c r="AL35" i="4" s="1"/>
  <c r="CO35" i="4"/>
  <c r="CP35" i="4" s="1"/>
  <c r="DE35" i="4"/>
  <c r="DF35" i="4" s="1"/>
  <c r="AK36" i="4"/>
  <c r="AL36" i="4" s="1"/>
  <c r="W37" i="4"/>
  <c r="X37" i="4" s="1"/>
  <c r="AM37" i="4"/>
  <c r="AN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G37" i="4"/>
  <c r="GH37" i="4" s="1"/>
  <c r="GC37" i="4"/>
  <c r="GD37" i="4" s="1"/>
  <c r="FY37" i="4"/>
  <c r="FZ37" i="4" s="1"/>
  <c r="FU37" i="4"/>
  <c r="FV37" i="4" s="1"/>
  <c r="FQ37" i="4"/>
  <c r="FR37" i="4" s="1"/>
  <c r="FM37" i="4"/>
  <c r="FN37" i="4" s="1"/>
  <c r="FI37" i="4"/>
  <c r="FJ37" i="4" s="1"/>
  <c r="FE37" i="4"/>
  <c r="FF37" i="4" s="1"/>
  <c r="FA37" i="4"/>
  <c r="FB37" i="4" s="1"/>
  <c r="EW37" i="4"/>
  <c r="EX37" i="4" s="1"/>
  <c r="ET37" i="4"/>
  <c r="EW38" i="4"/>
  <c r="EX38" i="4" s="1"/>
  <c r="FM38" i="4"/>
  <c r="FN38" i="4" s="1"/>
  <c r="GC38" i="4"/>
  <c r="GD38" i="4" s="1"/>
  <c r="AY38" i="4"/>
  <c r="AZ38" i="4" s="1"/>
  <c r="AU38" i="4"/>
  <c r="AV38" i="4" s="1"/>
  <c r="AQ38" i="4"/>
  <c r="AR38" i="4" s="1"/>
  <c r="AM38" i="4"/>
  <c r="AN38" i="4" s="1"/>
  <c r="AI38" i="4"/>
  <c r="AJ38" i="4" s="1"/>
  <c r="AE38" i="4"/>
  <c r="AF38" i="4" s="1"/>
  <c r="AA38" i="4"/>
  <c r="AB38" i="4" s="1"/>
  <c r="W38" i="4"/>
  <c r="X38" i="4" s="1"/>
  <c r="S38" i="4"/>
  <c r="T38" i="4" s="1"/>
  <c r="O38" i="4"/>
  <c r="P38" i="4" s="1"/>
  <c r="K38" i="4"/>
  <c r="L38" i="4" s="1"/>
  <c r="CA41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U46" i="4"/>
  <c r="V46" i="4" s="1"/>
  <c r="AK46" i="4"/>
  <c r="AL46" i="4" s="1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I48" i="4"/>
  <c r="BZ48" i="4"/>
  <c r="CA49" i="4"/>
  <c r="FI50" i="4"/>
  <c r="FJ50" i="4" s="1"/>
  <c r="FY50" i="4"/>
  <c r="FZ50" i="4" s="1"/>
  <c r="DO50" i="4"/>
  <c r="DP50" i="4" s="1"/>
  <c r="DK50" i="4"/>
  <c r="DL50" i="4" s="1"/>
  <c r="DG50" i="4"/>
  <c r="DH50" i="4" s="1"/>
  <c r="DC50" i="4"/>
  <c r="DD50" i="4" s="1"/>
  <c r="CY50" i="4"/>
  <c r="CZ50" i="4" s="1"/>
  <c r="CU50" i="4"/>
  <c r="CV50" i="4" s="1"/>
  <c r="CQ50" i="4"/>
  <c r="CR50" i="4" s="1"/>
  <c r="CM50" i="4"/>
  <c r="CN50" i="4" s="1"/>
  <c r="CI50" i="4"/>
  <c r="CJ50" i="4" s="1"/>
  <c r="CE50" i="4"/>
  <c r="CF50" i="4" s="1"/>
  <c r="CB50" i="4"/>
  <c r="AW57" i="4"/>
  <c r="AX57" i="4" s="1"/>
  <c r="AM57" i="4"/>
  <c r="AN57" i="4" s="1"/>
  <c r="AG57" i="4"/>
  <c r="AH57" i="4" s="1"/>
  <c r="W57" i="4"/>
  <c r="X57" i="4" s="1"/>
  <c r="AQ57" i="4"/>
  <c r="AR57" i="4" s="1"/>
  <c r="AK57" i="4"/>
  <c r="AL57" i="4" s="1"/>
  <c r="AA57" i="4"/>
  <c r="AB57" i="4" s="1"/>
  <c r="U57" i="4"/>
  <c r="V57" i="4" s="1"/>
  <c r="Q57" i="4"/>
  <c r="R57" i="4" s="1"/>
  <c r="M57" i="4"/>
  <c r="N57" i="4" s="1"/>
  <c r="J57" i="4"/>
  <c r="AY57" i="4"/>
  <c r="AZ57" i="4" s="1"/>
  <c r="AS57" i="4"/>
  <c r="AT57" i="4" s="1"/>
  <c r="AI57" i="4"/>
  <c r="AJ57" i="4" s="1"/>
  <c r="AC57" i="4"/>
  <c r="AD57" i="4" s="1"/>
  <c r="S57" i="4"/>
  <c r="T57" i="4" s="1"/>
  <c r="O57" i="4"/>
  <c r="P57" i="4" s="1"/>
  <c r="K57" i="4"/>
  <c r="L57" i="4" s="1"/>
  <c r="FI59" i="4"/>
  <c r="FJ59" i="4" s="1"/>
  <c r="DO64" i="4"/>
  <c r="DP64" i="4" s="1"/>
  <c r="DK64" i="4"/>
  <c r="DL64" i="4" s="1"/>
  <c r="DG64" i="4"/>
  <c r="DH64" i="4" s="1"/>
  <c r="DC64" i="4"/>
  <c r="DD64" i="4" s="1"/>
  <c r="CY64" i="4"/>
  <c r="CZ64" i="4" s="1"/>
  <c r="CU64" i="4"/>
  <c r="CV64" i="4" s="1"/>
  <c r="CQ64" i="4"/>
  <c r="CR64" i="4" s="1"/>
  <c r="CM64" i="4"/>
  <c r="CN64" i="4" s="1"/>
  <c r="CI64" i="4"/>
  <c r="CJ64" i="4" s="1"/>
  <c r="CE64" i="4"/>
  <c r="CF64" i="4" s="1"/>
  <c r="CB64" i="4"/>
  <c r="DQ64" i="4"/>
  <c r="DR64" i="4" s="1"/>
  <c r="DM64" i="4"/>
  <c r="DN64" i="4" s="1"/>
  <c r="DI64" i="4"/>
  <c r="DJ64" i="4" s="1"/>
  <c r="DE64" i="4"/>
  <c r="DF64" i="4" s="1"/>
  <c r="DA64" i="4"/>
  <c r="DB64" i="4" s="1"/>
  <c r="CW64" i="4"/>
  <c r="CX64" i="4" s="1"/>
  <c r="CS64" i="4"/>
  <c r="CT64" i="4" s="1"/>
  <c r="CO64" i="4"/>
  <c r="CP64" i="4" s="1"/>
  <c r="CK64" i="4"/>
  <c r="CL64" i="4" s="1"/>
  <c r="CG64" i="4"/>
  <c r="CH64" i="4" s="1"/>
  <c r="CC64" i="4"/>
  <c r="CD64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FG69" i="4"/>
  <c r="FH69" i="4" s="1"/>
  <c r="FC69" i="4"/>
  <c r="FD69" i="4" s="1"/>
  <c r="EY69" i="4"/>
  <c r="EZ69" i="4" s="1"/>
  <c r="EU69" i="4"/>
  <c r="EV69" i="4" s="1"/>
  <c r="GC69" i="4"/>
  <c r="GD69" i="4" s="1"/>
  <c r="FM69" i="4"/>
  <c r="FN69" i="4" s="1"/>
  <c r="EW69" i="4"/>
  <c r="EX69" i="4" s="1"/>
  <c r="FY69" i="4"/>
  <c r="FZ69" i="4" s="1"/>
  <c r="FI69" i="4"/>
  <c r="FJ69" i="4" s="1"/>
  <c r="ET69" i="4"/>
  <c r="GG69" i="4"/>
  <c r="GH69" i="4" s="1"/>
  <c r="FQ69" i="4"/>
  <c r="FR69" i="4" s="1"/>
  <c r="FA69" i="4"/>
  <c r="FB69" i="4" s="1"/>
  <c r="FE73" i="4"/>
  <c r="FF73" i="4" s="1"/>
  <c r="DQ96" i="4"/>
  <c r="DR96" i="4" s="1"/>
  <c r="DM96" i="4"/>
  <c r="DN96" i="4" s="1"/>
  <c r="DI96" i="4"/>
  <c r="DJ96" i="4" s="1"/>
  <c r="DO96" i="4"/>
  <c r="DP96" i="4" s="1"/>
  <c r="DE96" i="4"/>
  <c r="DF96" i="4" s="1"/>
  <c r="DA96" i="4"/>
  <c r="DB96" i="4" s="1"/>
  <c r="CW96" i="4"/>
  <c r="CX96" i="4" s="1"/>
  <c r="CS96" i="4"/>
  <c r="CT96" i="4" s="1"/>
  <c r="CO96" i="4"/>
  <c r="CP96" i="4" s="1"/>
  <c r="CK96" i="4"/>
  <c r="CL96" i="4" s="1"/>
  <c r="CG96" i="4"/>
  <c r="CH96" i="4" s="1"/>
  <c r="CC96" i="4"/>
  <c r="CD96" i="4" s="1"/>
  <c r="DK96" i="4"/>
  <c r="DL96" i="4" s="1"/>
  <c r="DG96" i="4"/>
  <c r="DH96" i="4" s="1"/>
  <c r="CQ96" i="4"/>
  <c r="CR96" i="4" s="1"/>
  <c r="CB96" i="4"/>
  <c r="DC96" i="4"/>
  <c r="DD96" i="4" s="1"/>
  <c r="CM96" i="4"/>
  <c r="CN96" i="4" s="1"/>
  <c r="CU96" i="4"/>
  <c r="CV96" i="4" s="1"/>
  <c r="CE96" i="4"/>
  <c r="CF96" i="4" s="1"/>
  <c r="CI96" i="4"/>
  <c r="CJ96" i="4" s="1"/>
  <c r="CY96" i="4"/>
  <c r="CZ96" i="4" s="1"/>
  <c r="CB39" i="4"/>
  <c r="CE39" i="4"/>
  <c r="CF39" i="4" s="1"/>
  <c r="CI39" i="4"/>
  <c r="CJ39" i="4" s="1"/>
  <c r="CM39" i="4"/>
  <c r="CN39" i="4" s="1"/>
  <c r="CQ39" i="4"/>
  <c r="CR39" i="4" s="1"/>
  <c r="CU39" i="4"/>
  <c r="CV39" i="4" s="1"/>
  <c r="CY39" i="4"/>
  <c r="CZ39" i="4" s="1"/>
  <c r="DC39" i="4"/>
  <c r="DD39" i="4" s="1"/>
  <c r="DG39" i="4"/>
  <c r="DH39" i="4" s="1"/>
  <c r="DK39" i="4"/>
  <c r="DL39" i="4" s="1"/>
  <c r="J41" i="4"/>
  <c r="M41" i="4"/>
  <c r="N41" i="4" s="1"/>
  <c r="Q41" i="4"/>
  <c r="R41" i="4" s="1"/>
  <c r="U41" i="4"/>
  <c r="V41" i="4" s="1"/>
  <c r="Y41" i="4"/>
  <c r="Z41" i="4" s="1"/>
  <c r="AC41" i="4"/>
  <c r="AD41" i="4" s="1"/>
  <c r="AG41" i="4"/>
  <c r="AH41" i="4" s="1"/>
  <c r="AK41" i="4"/>
  <c r="AL41" i="4" s="1"/>
  <c r="AO41" i="4"/>
  <c r="AP41" i="4" s="1"/>
  <c r="AS41" i="4"/>
  <c r="AT41" i="4" s="1"/>
  <c r="CB43" i="4"/>
  <c r="CE43" i="4"/>
  <c r="CF43" i="4" s="1"/>
  <c r="CI43" i="4"/>
  <c r="CJ43" i="4" s="1"/>
  <c r="CM43" i="4"/>
  <c r="CN43" i="4" s="1"/>
  <c r="CQ43" i="4"/>
  <c r="CR43" i="4" s="1"/>
  <c r="CU43" i="4"/>
  <c r="CV43" i="4" s="1"/>
  <c r="CY43" i="4"/>
  <c r="CZ43" i="4" s="1"/>
  <c r="DC43" i="4"/>
  <c r="DD43" i="4" s="1"/>
  <c r="DG43" i="4"/>
  <c r="DH43" i="4" s="1"/>
  <c r="DK43" i="4"/>
  <c r="DL43" i="4" s="1"/>
  <c r="J45" i="4"/>
  <c r="M45" i="4"/>
  <c r="N45" i="4" s="1"/>
  <c r="Q45" i="4"/>
  <c r="R45" i="4" s="1"/>
  <c r="U45" i="4"/>
  <c r="V45" i="4" s="1"/>
  <c r="Y45" i="4"/>
  <c r="Z45" i="4" s="1"/>
  <c r="AC45" i="4"/>
  <c r="AD45" i="4" s="1"/>
  <c r="AG45" i="4"/>
  <c r="AH45" i="4" s="1"/>
  <c r="AK45" i="4"/>
  <c r="AL45" i="4" s="1"/>
  <c r="AO45" i="4"/>
  <c r="AP45" i="4" s="1"/>
  <c r="AS45" i="4"/>
  <c r="AT45" i="4" s="1"/>
  <c r="J49" i="4"/>
  <c r="M49" i="4"/>
  <c r="N49" i="4" s="1"/>
  <c r="Q49" i="4"/>
  <c r="R49" i="4" s="1"/>
  <c r="U49" i="4"/>
  <c r="V49" i="4" s="1"/>
  <c r="Y49" i="4"/>
  <c r="Z49" i="4" s="1"/>
  <c r="AC49" i="4"/>
  <c r="AD49" i="4" s="1"/>
  <c r="AG49" i="4"/>
  <c r="AH49" i="4" s="1"/>
  <c r="AK49" i="4"/>
  <c r="AL49" i="4" s="1"/>
  <c r="AO49" i="4"/>
  <c r="AP49" i="4" s="1"/>
  <c r="AS49" i="4"/>
  <c r="AT49" i="4" s="1"/>
  <c r="AW49" i="4"/>
  <c r="AX49" i="4" s="1"/>
  <c r="I50" i="4"/>
  <c r="CB51" i="4"/>
  <c r="CE51" i="4"/>
  <c r="CF51" i="4" s="1"/>
  <c r="CI51" i="4"/>
  <c r="CJ51" i="4" s="1"/>
  <c r="CM51" i="4"/>
  <c r="CN51" i="4" s="1"/>
  <c r="CQ51" i="4"/>
  <c r="CR51" i="4" s="1"/>
  <c r="CU51" i="4"/>
  <c r="CV51" i="4" s="1"/>
  <c r="CY51" i="4"/>
  <c r="CZ51" i="4" s="1"/>
  <c r="DC51" i="4"/>
  <c r="DD51" i="4" s="1"/>
  <c r="DG51" i="4"/>
  <c r="DH51" i="4" s="1"/>
  <c r="DK51" i="4"/>
  <c r="DL51" i="4" s="1"/>
  <c r="DO51" i="4"/>
  <c r="DP51" i="4" s="1"/>
  <c r="J53" i="4"/>
  <c r="M53" i="4"/>
  <c r="N53" i="4" s="1"/>
  <c r="Q53" i="4"/>
  <c r="R53" i="4" s="1"/>
  <c r="U53" i="4"/>
  <c r="V53" i="4" s="1"/>
  <c r="Y53" i="4"/>
  <c r="Z53" i="4" s="1"/>
  <c r="AC53" i="4"/>
  <c r="AD53" i="4" s="1"/>
  <c r="AG53" i="4"/>
  <c r="AH53" i="4" s="1"/>
  <c r="AK53" i="4"/>
  <c r="AL53" i="4" s="1"/>
  <c r="AO53" i="4"/>
  <c r="AP53" i="4" s="1"/>
  <c r="AS53" i="4"/>
  <c r="AT53" i="4" s="1"/>
  <c r="AW53" i="4"/>
  <c r="AX53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CM58" i="4"/>
  <c r="CN58" i="4" s="1"/>
  <c r="DC58" i="4"/>
  <c r="DD58" i="4" s="1"/>
  <c r="CI59" i="4"/>
  <c r="CJ59" i="4" s="1"/>
  <c r="CO59" i="4"/>
  <c r="CP59" i="4" s="1"/>
  <c r="CY59" i="4"/>
  <c r="CZ59" i="4" s="1"/>
  <c r="DE59" i="4"/>
  <c r="DF59" i="4" s="1"/>
  <c r="U60" i="4"/>
  <c r="V60" i="4" s="1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GI60" i="4"/>
  <c r="GJ60" i="4" s="1"/>
  <c r="GE60" i="4"/>
  <c r="GF60" i="4" s="1"/>
  <c r="GA60" i="4"/>
  <c r="GB60" i="4" s="1"/>
  <c r="FW60" i="4"/>
  <c r="FX60" i="4" s="1"/>
  <c r="FS60" i="4"/>
  <c r="FT60" i="4" s="1"/>
  <c r="FO60" i="4"/>
  <c r="FP60" i="4" s="1"/>
  <c r="FK60" i="4"/>
  <c r="FL60" i="4" s="1"/>
  <c r="FG60" i="4"/>
  <c r="FH60" i="4" s="1"/>
  <c r="FC60" i="4"/>
  <c r="FD60" i="4" s="1"/>
  <c r="EY60" i="4"/>
  <c r="EZ60" i="4" s="1"/>
  <c r="EU60" i="4"/>
  <c r="EV60" i="4" s="1"/>
  <c r="M65" i="4"/>
  <c r="N65" i="4" s="1"/>
  <c r="AC65" i="4"/>
  <c r="AD65" i="4" s="1"/>
  <c r="GI65" i="4"/>
  <c r="GJ65" i="4" s="1"/>
  <c r="GE65" i="4"/>
  <c r="GF65" i="4" s="1"/>
  <c r="GA65" i="4"/>
  <c r="GB65" i="4" s="1"/>
  <c r="FW65" i="4"/>
  <c r="FX65" i="4" s="1"/>
  <c r="FS65" i="4"/>
  <c r="FT65" i="4" s="1"/>
  <c r="FO65" i="4"/>
  <c r="FP65" i="4" s="1"/>
  <c r="FK65" i="4"/>
  <c r="FL65" i="4" s="1"/>
  <c r="FG65" i="4"/>
  <c r="FH65" i="4" s="1"/>
  <c r="FC65" i="4"/>
  <c r="FD65" i="4" s="1"/>
  <c r="EY65" i="4"/>
  <c r="EZ65" i="4" s="1"/>
  <c r="EU65" i="4"/>
  <c r="EV65" i="4" s="1"/>
  <c r="I67" i="4"/>
  <c r="BZ67" i="4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GG68" i="4"/>
  <c r="GH68" i="4" s="1"/>
  <c r="GC68" i="4"/>
  <c r="GD68" i="4" s="1"/>
  <c r="FY68" i="4"/>
  <c r="FZ68" i="4" s="1"/>
  <c r="FU68" i="4"/>
  <c r="FV68" i="4" s="1"/>
  <c r="FQ68" i="4"/>
  <c r="FR68" i="4" s="1"/>
  <c r="FM68" i="4"/>
  <c r="FN68" i="4" s="1"/>
  <c r="FI68" i="4"/>
  <c r="FJ68" i="4" s="1"/>
  <c r="FE68" i="4"/>
  <c r="FF68" i="4" s="1"/>
  <c r="FA68" i="4"/>
  <c r="FB68" i="4" s="1"/>
  <c r="EW68" i="4"/>
  <c r="EX68" i="4" s="1"/>
  <c r="ET68" i="4"/>
  <c r="CO69" i="4"/>
  <c r="CP69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G72" i="4"/>
  <c r="GH72" i="4" s="1"/>
  <c r="GC72" i="4"/>
  <c r="GD72" i="4" s="1"/>
  <c r="FY72" i="4"/>
  <c r="FZ72" i="4" s="1"/>
  <c r="FU72" i="4"/>
  <c r="FV72" i="4" s="1"/>
  <c r="FQ72" i="4"/>
  <c r="FR72" i="4" s="1"/>
  <c r="FM72" i="4"/>
  <c r="FN72" i="4" s="1"/>
  <c r="FI72" i="4"/>
  <c r="FJ72" i="4" s="1"/>
  <c r="FE72" i="4"/>
  <c r="FF72" i="4" s="1"/>
  <c r="FA72" i="4"/>
  <c r="FB72" i="4" s="1"/>
  <c r="EW72" i="4"/>
  <c r="EX72" i="4" s="1"/>
  <c r="ET72" i="4"/>
  <c r="CO73" i="4"/>
  <c r="CP73" i="4" s="1"/>
  <c r="I75" i="4"/>
  <c r="BZ75" i="4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GG76" i="4"/>
  <c r="GH76" i="4" s="1"/>
  <c r="GC76" i="4"/>
  <c r="GD76" i="4" s="1"/>
  <c r="FY76" i="4"/>
  <c r="FZ76" i="4" s="1"/>
  <c r="FU76" i="4"/>
  <c r="FV76" i="4" s="1"/>
  <c r="FQ76" i="4"/>
  <c r="FR76" i="4" s="1"/>
  <c r="FM76" i="4"/>
  <c r="FN76" i="4" s="1"/>
  <c r="FI76" i="4"/>
  <c r="FJ76" i="4" s="1"/>
  <c r="FE76" i="4"/>
  <c r="FF76" i="4" s="1"/>
  <c r="FA76" i="4"/>
  <c r="FB76" i="4" s="1"/>
  <c r="EW76" i="4"/>
  <c r="EX76" i="4" s="1"/>
  <c r="ET76" i="4"/>
  <c r="CO77" i="4"/>
  <c r="CP77" i="4" s="1"/>
  <c r="FM78" i="4"/>
  <c r="FN78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FO89" i="4"/>
  <c r="FP89" i="4" s="1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CI93" i="4"/>
  <c r="CJ93" i="4" s="1"/>
  <c r="CE93" i="4"/>
  <c r="CF93" i="4" s="1"/>
  <c r="CB93" i="4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AU49" i="4"/>
  <c r="AV49" i="4" s="1"/>
  <c r="DM51" i="4"/>
  <c r="DN51" i="4" s="1"/>
  <c r="AU53" i="4"/>
  <c r="AV53" i="4" s="1"/>
  <c r="AW60" i="4"/>
  <c r="AX60" i="4" s="1"/>
  <c r="AS60" i="4"/>
  <c r="AT60" i="4" s="1"/>
  <c r="AO60" i="4"/>
  <c r="AP60" i="4" s="1"/>
  <c r="AK60" i="4"/>
  <c r="AL60" i="4" s="1"/>
  <c r="AG60" i="4"/>
  <c r="AH60" i="4" s="1"/>
  <c r="AY60" i="4"/>
  <c r="AZ60" i="4" s="1"/>
  <c r="AU60" i="4"/>
  <c r="AV60" i="4" s="1"/>
  <c r="AQ60" i="4"/>
  <c r="AR60" i="4" s="1"/>
  <c r="AM60" i="4"/>
  <c r="AN60" i="4" s="1"/>
  <c r="AI60" i="4"/>
  <c r="AJ60" i="4" s="1"/>
  <c r="AE60" i="4"/>
  <c r="AF60" i="4" s="1"/>
  <c r="AA60" i="4"/>
  <c r="AB60" i="4" s="1"/>
  <c r="W60" i="4"/>
  <c r="X60" i="4" s="1"/>
  <c r="S60" i="4"/>
  <c r="T60" i="4" s="1"/>
  <c r="O60" i="4"/>
  <c r="P60" i="4" s="1"/>
  <c r="K60" i="4"/>
  <c r="L60" i="4" s="1"/>
  <c r="AY65" i="4"/>
  <c r="AZ65" i="4" s="1"/>
  <c r="AU65" i="4"/>
  <c r="AV65" i="4" s="1"/>
  <c r="AQ65" i="4"/>
  <c r="AR65" i="4" s="1"/>
  <c r="AM65" i="4"/>
  <c r="AN65" i="4" s="1"/>
  <c r="AI65" i="4"/>
  <c r="AJ65" i="4" s="1"/>
  <c r="AE65" i="4"/>
  <c r="AF65" i="4" s="1"/>
  <c r="AA65" i="4"/>
  <c r="AB65" i="4" s="1"/>
  <c r="W65" i="4"/>
  <c r="X65" i="4" s="1"/>
  <c r="S65" i="4"/>
  <c r="T65" i="4" s="1"/>
  <c r="O65" i="4"/>
  <c r="P65" i="4" s="1"/>
  <c r="K65" i="4"/>
  <c r="L65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DQ68" i="4"/>
  <c r="DR68" i="4" s="1"/>
  <c r="DM68" i="4"/>
  <c r="DN68" i="4" s="1"/>
  <c r="DI68" i="4"/>
  <c r="DJ68" i="4" s="1"/>
  <c r="DE68" i="4"/>
  <c r="DF68" i="4" s="1"/>
  <c r="DA68" i="4"/>
  <c r="DB68" i="4" s="1"/>
  <c r="CW68" i="4"/>
  <c r="CX68" i="4" s="1"/>
  <c r="CS68" i="4"/>
  <c r="CT68" i="4" s="1"/>
  <c r="CO68" i="4"/>
  <c r="CP68" i="4" s="1"/>
  <c r="CK68" i="4"/>
  <c r="CL68" i="4" s="1"/>
  <c r="CG68" i="4"/>
  <c r="CH68" i="4" s="1"/>
  <c r="CC68" i="4"/>
  <c r="CD68" i="4" s="1"/>
  <c r="DO69" i="4"/>
  <c r="DP69" i="4" s="1"/>
  <c r="DK69" i="4"/>
  <c r="DL69" i="4" s="1"/>
  <c r="DG69" i="4"/>
  <c r="DH69" i="4" s="1"/>
  <c r="DC69" i="4"/>
  <c r="DD69" i="4" s="1"/>
  <c r="CY69" i="4"/>
  <c r="CZ69" i="4" s="1"/>
  <c r="CU69" i="4"/>
  <c r="CV69" i="4" s="1"/>
  <c r="CQ69" i="4"/>
  <c r="CR69" i="4" s="1"/>
  <c r="CM69" i="4"/>
  <c r="CN69" i="4" s="1"/>
  <c r="CI69" i="4"/>
  <c r="CJ69" i="4" s="1"/>
  <c r="CE69" i="4"/>
  <c r="CF69" i="4" s="1"/>
  <c r="CB69" i="4"/>
  <c r="I71" i="4"/>
  <c r="BZ71" i="4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DO73" i="4"/>
  <c r="DP73" i="4" s="1"/>
  <c r="DK73" i="4"/>
  <c r="DL73" i="4" s="1"/>
  <c r="DG73" i="4"/>
  <c r="DH73" i="4" s="1"/>
  <c r="DC73" i="4"/>
  <c r="DD73" i="4" s="1"/>
  <c r="CY73" i="4"/>
  <c r="CZ73" i="4" s="1"/>
  <c r="CU73" i="4"/>
  <c r="CV73" i="4" s="1"/>
  <c r="CQ73" i="4"/>
  <c r="CR73" i="4" s="1"/>
  <c r="CM73" i="4"/>
  <c r="CN73" i="4" s="1"/>
  <c r="CI73" i="4"/>
  <c r="CJ73" i="4" s="1"/>
  <c r="CE73" i="4"/>
  <c r="CF73" i="4" s="1"/>
  <c r="CB73" i="4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DQ76" i="4"/>
  <c r="DR76" i="4" s="1"/>
  <c r="DM76" i="4"/>
  <c r="DN76" i="4" s="1"/>
  <c r="DI76" i="4"/>
  <c r="DJ76" i="4" s="1"/>
  <c r="DE76" i="4"/>
  <c r="DF76" i="4" s="1"/>
  <c r="DA76" i="4"/>
  <c r="DB76" i="4" s="1"/>
  <c r="CW76" i="4"/>
  <c r="CX76" i="4" s="1"/>
  <c r="CS76" i="4"/>
  <c r="CT76" i="4" s="1"/>
  <c r="CO76" i="4"/>
  <c r="CP76" i="4" s="1"/>
  <c r="CK76" i="4"/>
  <c r="CL76" i="4" s="1"/>
  <c r="CG76" i="4"/>
  <c r="CH76" i="4" s="1"/>
  <c r="CC76" i="4"/>
  <c r="CD76" i="4" s="1"/>
  <c r="DO77" i="4"/>
  <c r="DP77" i="4" s="1"/>
  <c r="DK77" i="4"/>
  <c r="DL77" i="4" s="1"/>
  <c r="DG77" i="4"/>
  <c r="DH77" i="4" s="1"/>
  <c r="DC77" i="4"/>
  <c r="DD77" i="4" s="1"/>
  <c r="CY77" i="4"/>
  <c r="CZ77" i="4" s="1"/>
  <c r="CU77" i="4"/>
  <c r="CV77" i="4" s="1"/>
  <c r="CQ77" i="4"/>
  <c r="CR77" i="4" s="1"/>
  <c r="CM77" i="4"/>
  <c r="CN77" i="4" s="1"/>
  <c r="CI77" i="4"/>
  <c r="CJ77" i="4" s="1"/>
  <c r="CE77" i="4"/>
  <c r="CF77" i="4" s="1"/>
  <c r="CB77" i="4"/>
  <c r="EW78" i="4"/>
  <c r="EX78" i="4" s="1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GC80" i="4"/>
  <c r="GD80" i="4" s="1"/>
  <c r="FM80" i="4"/>
  <c r="FN80" i="4" s="1"/>
  <c r="EW80" i="4"/>
  <c r="EX80" i="4" s="1"/>
  <c r="FY80" i="4"/>
  <c r="FZ80" i="4" s="1"/>
  <c r="FI80" i="4"/>
  <c r="FJ80" i="4" s="1"/>
  <c r="ET80" i="4"/>
  <c r="GG80" i="4"/>
  <c r="GH80" i="4" s="1"/>
  <c r="FQ80" i="4"/>
  <c r="FR80" i="4" s="1"/>
  <c r="FA80" i="4"/>
  <c r="FB80" i="4" s="1"/>
  <c r="GI105" i="4"/>
  <c r="GJ105" i="4" s="1"/>
  <c r="GE105" i="4"/>
  <c r="GF105" i="4" s="1"/>
  <c r="GA105" i="4"/>
  <c r="GB105" i="4" s="1"/>
  <c r="FW105" i="4"/>
  <c r="FX105" i="4" s="1"/>
  <c r="FS105" i="4"/>
  <c r="FT105" i="4" s="1"/>
  <c r="FO105" i="4"/>
  <c r="FP105" i="4" s="1"/>
  <c r="FK105" i="4"/>
  <c r="FL105" i="4" s="1"/>
  <c r="FG105" i="4"/>
  <c r="FH105" i="4" s="1"/>
  <c r="FC105" i="4"/>
  <c r="FD105" i="4" s="1"/>
  <c r="EY105" i="4"/>
  <c r="EZ105" i="4" s="1"/>
  <c r="EU105" i="4"/>
  <c r="EV105" i="4" s="1"/>
  <c r="GC105" i="4"/>
  <c r="GD105" i="4" s="1"/>
  <c r="FM105" i="4"/>
  <c r="FN105" i="4" s="1"/>
  <c r="EW105" i="4"/>
  <c r="EX105" i="4" s="1"/>
  <c r="FY105" i="4"/>
  <c r="FZ105" i="4" s="1"/>
  <c r="FI105" i="4"/>
  <c r="FJ105" i="4" s="1"/>
  <c r="ET105" i="4"/>
  <c r="GG105" i="4"/>
  <c r="GH105" i="4" s="1"/>
  <c r="FQ105" i="4"/>
  <c r="FR105" i="4" s="1"/>
  <c r="FA105" i="4"/>
  <c r="FB105" i="4" s="1"/>
  <c r="FE105" i="4"/>
  <c r="FF105" i="4" s="1"/>
  <c r="FU105" i="4"/>
  <c r="FV105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CB38" i="4"/>
  <c r="CE38" i="4"/>
  <c r="CF38" i="4" s="1"/>
  <c r="CI38" i="4"/>
  <c r="CJ38" i="4" s="1"/>
  <c r="CM38" i="4"/>
  <c r="CN38" i="4" s="1"/>
  <c r="CQ38" i="4"/>
  <c r="CR38" i="4" s="1"/>
  <c r="CU38" i="4"/>
  <c r="CV38" i="4" s="1"/>
  <c r="CY38" i="4"/>
  <c r="CZ38" i="4" s="1"/>
  <c r="DC38" i="4"/>
  <c r="DD38" i="4" s="1"/>
  <c r="DG38" i="4"/>
  <c r="DH38" i="4" s="1"/>
  <c r="DK38" i="4"/>
  <c r="DL38" i="4" s="1"/>
  <c r="CU46" i="4"/>
  <c r="CV46" i="4" s="1"/>
  <c r="CY46" i="4"/>
  <c r="CZ46" i="4" s="1"/>
  <c r="DC46" i="4"/>
  <c r="DD46" i="4" s="1"/>
  <c r="DG46" i="4"/>
  <c r="DH46" i="4" s="1"/>
  <c r="DK46" i="4"/>
  <c r="DL46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I63" i="4"/>
  <c r="BZ63" i="4"/>
  <c r="GI64" i="4"/>
  <c r="GJ64" i="4" s="1"/>
  <c r="GE64" i="4"/>
  <c r="GF64" i="4" s="1"/>
  <c r="GA64" i="4"/>
  <c r="GB64" i="4" s="1"/>
  <c r="FW64" i="4"/>
  <c r="FX64" i="4" s="1"/>
  <c r="FS64" i="4"/>
  <c r="FT64" i="4" s="1"/>
  <c r="FO64" i="4"/>
  <c r="FP64" i="4" s="1"/>
  <c r="FK64" i="4"/>
  <c r="FL64" i="4" s="1"/>
  <c r="FG64" i="4"/>
  <c r="FH64" i="4" s="1"/>
  <c r="FC64" i="4"/>
  <c r="FD64" i="4" s="1"/>
  <c r="EY64" i="4"/>
  <c r="EZ64" i="4" s="1"/>
  <c r="EU64" i="4"/>
  <c r="EV64" i="4" s="1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Y66" i="4"/>
  <c r="AZ66" i="4" s="1"/>
  <c r="AU66" i="4"/>
  <c r="AV66" i="4" s="1"/>
  <c r="AQ66" i="4"/>
  <c r="AR66" i="4" s="1"/>
  <c r="AM66" i="4"/>
  <c r="AN66" i="4" s="1"/>
  <c r="AI66" i="4"/>
  <c r="AJ66" i="4" s="1"/>
  <c r="AE66" i="4"/>
  <c r="AF66" i="4" s="1"/>
  <c r="AA66" i="4"/>
  <c r="AB66" i="4" s="1"/>
  <c r="W66" i="4"/>
  <c r="X66" i="4" s="1"/>
  <c r="S66" i="4"/>
  <c r="T66" i="4" s="1"/>
  <c r="O66" i="4"/>
  <c r="P66" i="4" s="1"/>
  <c r="K66" i="4"/>
  <c r="L66" i="4" s="1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AY70" i="4"/>
  <c r="AZ70" i="4" s="1"/>
  <c r="AU70" i="4"/>
  <c r="AV70" i="4" s="1"/>
  <c r="AQ70" i="4"/>
  <c r="AR70" i="4" s="1"/>
  <c r="AM70" i="4"/>
  <c r="AN70" i="4" s="1"/>
  <c r="AI70" i="4"/>
  <c r="AJ70" i="4" s="1"/>
  <c r="AE70" i="4"/>
  <c r="AF70" i="4" s="1"/>
  <c r="AA70" i="4"/>
  <c r="AB70" i="4" s="1"/>
  <c r="W70" i="4"/>
  <c r="X70" i="4" s="1"/>
  <c r="S70" i="4"/>
  <c r="T70" i="4" s="1"/>
  <c r="O70" i="4"/>
  <c r="P70" i="4" s="1"/>
  <c r="K70" i="4"/>
  <c r="L70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Y74" i="4"/>
  <c r="AZ74" i="4" s="1"/>
  <c r="AU74" i="4"/>
  <c r="AV74" i="4" s="1"/>
  <c r="AQ74" i="4"/>
  <c r="AR74" i="4" s="1"/>
  <c r="AM74" i="4"/>
  <c r="AN74" i="4" s="1"/>
  <c r="AI74" i="4"/>
  <c r="AJ74" i="4" s="1"/>
  <c r="AE74" i="4"/>
  <c r="AF74" i="4" s="1"/>
  <c r="AA74" i="4"/>
  <c r="AB74" i="4" s="1"/>
  <c r="W74" i="4"/>
  <c r="X74" i="4" s="1"/>
  <c r="S74" i="4"/>
  <c r="T74" i="4" s="1"/>
  <c r="O74" i="4"/>
  <c r="P74" i="4" s="1"/>
  <c r="K74" i="4"/>
  <c r="L74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Y78" i="4"/>
  <c r="AZ78" i="4" s="1"/>
  <c r="AU78" i="4"/>
  <c r="AV78" i="4" s="1"/>
  <c r="AQ78" i="4"/>
  <c r="AR78" i="4" s="1"/>
  <c r="AM78" i="4"/>
  <c r="AN78" i="4" s="1"/>
  <c r="AI78" i="4"/>
  <c r="AJ78" i="4" s="1"/>
  <c r="AE78" i="4"/>
  <c r="AF78" i="4" s="1"/>
  <c r="AA78" i="4"/>
  <c r="AB78" i="4" s="1"/>
  <c r="W78" i="4"/>
  <c r="X78" i="4" s="1"/>
  <c r="S78" i="4"/>
  <c r="T78" i="4" s="1"/>
  <c r="O78" i="4"/>
  <c r="P78" i="4" s="1"/>
  <c r="K78" i="4"/>
  <c r="L78" i="4" s="1"/>
  <c r="GG78" i="4"/>
  <c r="GH78" i="4" s="1"/>
  <c r="FY78" i="4"/>
  <c r="FZ78" i="4" s="1"/>
  <c r="FQ78" i="4"/>
  <c r="FR78" i="4" s="1"/>
  <c r="FI78" i="4"/>
  <c r="FJ78" i="4" s="1"/>
  <c r="FA78" i="4"/>
  <c r="FB78" i="4" s="1"/>
  <c r="ET78" i="4"/>
  <c r="GE78" i="4"/>
  <c r="GF78" i="4" s="1"/>
  <c r="FW78" i="4"/>
  <c r="FX78" i="4" s="1"/>
  <c r="FO78" i="4"/>
  <c r="FP78" i="4" s="1"/>
  <c r="FG78" i="4"/>
  <c r="FH78" i="4" s="1"/>
  <c r="EY78" i="4"/>
  <c r="EZ78" i="4" s="1"/>
  <c r="GI78" i="4"/>
  <c r="GJ78" i="4" s="1"/>
  <c r="GA78" i="4"/>
  <c r="GB78" i="4" s="1"/>
  <c r="FS78" i="4"/>
  <c r="FT78" i="4" s="1"/>
  <c r="FK78" i="4"/>
  <c r="FL78" i="4" s="1"/>
  <c r="FC78" i="4"/>
  <c r="FD78" i="4" s="1"/>
  <c r="EU78" i="4"/>
  <c r="EV78" i="4" s="1"/>
  <c r="CA94" i="4"/>
  <c r="ER94" i="4"/>
  <c r="ES94" i="4" s="1"/>
  <c r="GI109" i="4"/>
  <c r="GJ109" i="4" s="1"/>
  <c r="GE109" i="4"/>
  <c r="GF109" i="4" s="1"/>
  <c r="GA109" i="4"/>
  <c r="GB109" i="4" s="1"/>
  <c r="FW109" i="4"/>
  <c r="FX109" i="4" s="1"/>
  <c r="FS109" i="4"/>
  <c r="FT109" i="4" s="1"/>
  <c r="FO109" i="4"/>
  <c r="FP109" i="4" s="1"/>
  <c r="FK109" i="4"/>
  <c r="FL109" i="4" s="1"/>
  <c r="FG109" i="4"/>
  <c r="FH109" i="4" s="1"/>
  <c r="FC109" i="4"/>
  <c r="FD109" i="4" s="1"/>
  <c r="EY109" i="4"/>
  <c r="EZ109" i="4" s="1"/>
  <c r="EU109" i="4"/>
  <c r="EV109" i="4" s="1"/>
  <c r="GC109" i="4"/>
  <c r="GD109" i="4" s="1"/>
  <c r="FM109" i="4"/>
  <c r="FN109" i="4" s="1"/>
  <c r="EW109" i="4"/>
  <c r="EX109" i="4" s="1"/>
  <c r="GG109" i="4"/>
  <c r="GH109" i="4" s="1"/>
  <c r="FQ109" i="4"/>
  <c r="FR109" i="4" s="1"/>
  <c r="FA109" i="4"/>
  <c r="FB109" i="4" s="1"/>
  <c r="FY109" i="4"/>
  <c r="FZ109" i="4" s="1"/>
  <c r="FI109" i="4"/>
  <c r="FJ109" i="4" s="1"/>
  <c r="ET109" i="4"/>
  <c r="FE109" i="4"/>
  <c r="FF109" i="4" s="1"/>
  <c r="FU109" i="4"/>
  <c r="FV109" i="4" s="1"/>
  <c r="CI60" i="4"/>
  <c r="CJ60" i="4" s="1"/>
  <c r="CY60" i="4"/>
  <c r="CZ60" i="4" s="1"/>
  <c r="J64" i="4"/>
  <c r="M64" i="4"/>
  <c r="N64" i="4" s="1"/>
  <c r="Q64" i="4"/>
  <c r="R64" i="4" s="1"/>
  <c r="U64" i="4"/>
  <c r="V64" i="4" s="1"/>
  <c r="Y64" i="4"/>
  <c r="Z64" i="4" s="1"/>
  <c r="AC64" i="4"/>
  <c r="AD64" i="4" s="1"/>
  <c r="AG64" i="4"/>
  <c r="AH64" i="4" s="1"/>
  <c r="AK64" i="4"/>
  <c r="AL64" i="4" s="1"/>
  <c r="AO64" i="4"/>
  <c r="AP64" i="4" s="1"/>
  <c r="AS64" i="4"/>
  <c r="AT64" i="4" s="1"/>
  <c r="CB66" i="4"/>
  <c r="CE66" i="4"/>
  <c r="CF66" i="4" s="1"/>
  <c r="CI66" i="4"/>
  <c r="CJ66" i="4" s="1"/>
  <c r="CM66" i="4"/>
  <c r="CN66" i="4" s="1"/>
  <c r="CQ66" i="4"/>
  <c r="CR66" i="4" s="1"/>
  <c r="CU66" i="4"/>
  <c r="CV66" i="4" s="1"/>
  <c r="CY66" i="4"/>
  <c r="CZ66" i="4" s="1"/>
  <c r="DC66" i="4"/>
  <c r="DD66" i="4" s="1"/>
  <c r="DG66" i="4"/>
  <c r="DH66" i="4" s="1"/>
  <c r="DK66" i="4"/>
  <c r="DL66" i="4" s="1"/>
  <c r="J68" i="4"/>
  <c r="M68" i="4"/>
  <c r="N68" i="4" s="1"/>
  <c r="Q68" i="4"/>
  <c r="R68" i="4" s="1"/>
  <c r="U68" i="4"/>
  <c r="V68" i="4" s="1"/>
  <c r="Y68" i="4"/>
  <c r="Z68" i="4" s="1"/>
  <c r="AC68" i="4"/>
  <c r="AD68" i="4" s="1"/>
  <c r="AG68" i="4"/>
  <c r="AH68" i="4" s="1"/>
  <c r="AK68" i="4"/>
  <c r="AL68" i="4" s="1"/>
  <c r="AO68" i="4"/>
  <c r="AP68" i="4" s="1"/>
  <c r="AS68" i="4"/>
  <c r="AT68" i="4" s="1"/>
  <c r="I69" i="4"/>
  <c r="CB70" i="4"/>
  <c r="CE70" i="4"/>
  <c r="CF70" i="4" s="1"/>
  <c r="CI70" i="4"/>
  <c r="CJ70" i="4" s="1"/>
  <c r="CM70" i="4"/>
  <c r="CN70" i="4" s="1"/>
  <c r="CQ70" i="4"/>
  <c r="CR70" i="4" s="1"/>
  <c r="CU70" i="4"/>
  <c r="CV70" i="4" s="1"/>
  <c r="CY70" i="4"/>
  <c r="CZ70" i="4" s="1"/>
  <c r="DC70" i="4"/>
  <c r="DD70" i="4" s="1"/>
  <c r="DG70" i="4"/>
  <c r="DH70" i="4" s="1"/>
  <c r="DK70" i="4"/>
  <c r="DL70" i="4" s="1"/>
  <c r="DO70" i="4"/>
  <c r="DP70" i="4" s="1"/>
  <c r="J72" i="4"/>
  <c r="M72" i="4"/>
  <c r="N72" i="4" s="1"/>
  <c r="Q72" i="4"/>
  <c r="R72" i="4" s="1"/>
  <c r="U72" i="4"/>
  <c r="V72" i="4" s="1"/>
  <c r="Y72" i="4"/>
  <c r="Z72" i="4" s="1"/>
  <c r="AC72" i="4"/>
  <c r="AD72" i="4" s="1"/>
  <c r="AG72" i="4"/>
  <c r="AH72" i="4" s="1"/>
  <c r="AK72" i="4"/>
  <c r="AL72" i="4" s="1"/>
  <c r="AO72" i="4"/>
  <c r="AP72" i="4" s="1"/>
  <c r="AS72" i="4"/>
  <c r="AT72" i="4" s="1"/>
  <c r="AW72" i="4"/>
  <c r="AX72" i="4" s="1"/>
  <c r="I73" i="4"/>
  <c r="CB74" i="4"/>
  <c r="CE74" i="4"/>
  <c r="CF74" i="4" s="1"/>
  <c r="CI74" i="4"/>
  <c r="CJ74" i="4" s="1"/>
  <c r="CM74" i="4"/>
  <c r="CN74" i="4" s="1"/>
  <c r="CQ74" i="4"/>
  <c r="CR74" i="4" s="1"/>
  <c r="CU74" i="4"/>
  <c r="CV74" i="4" s="1"/>
  <c r="CY74" i="4"/>
  <c r="CZ74" i="4" s="1"/>
  <c r="DC74" i="4"/>
  <c r="DD74" i="4" s="1"/>
  <c r="DG74" i="4"/>
  <c r="DH74" i="4" s="1"/>
  <c r="DK74" i="4"/>
  <c r="DL74" i="4" s="1"/>
  <c r="J76" i="4"/>
  <c r="M76" i="4"/>
  <c r="N76" i="4" s="1"/>
  <c r="Q76" i="4"/>
  <c r="R76" i="4" s="1"/>
  <c r="U76" i="4"/>
  <c r="V76" i="4" s="1"/>
  <c r="Y76" i="4"/>
  <c r="Z76" i="4" s="1"/>
  <c r="AC76" i="4"/>
  <c r="AD76" i="4" s="1"/>
  <c r="AG76" i="4"/>
  <c r="AH76" i="4" s="1"/>
  <c r="AK76" i="4"/>
  <c r="AL76" i="4" s="1"/>
  <c r="AO76" i="4"/>
  <c r="AP76" i="4" s="1"/>
  <c r="AS76" i="4"/>
  <c r="AT76" i="4" s="1"/>
  <c r="I77" i="4"/>
  <c r="CB78" i="4"/>
  <c r="CE78" i="4"/>
  <c r="CF78" i="4" s="1"/>
  <c r="CI78" i="4"/>
  <c r="CJ78" i="4" s="1"/>
  <c r="CM78" i="4"/>
  <c r="CN78" i="4" s="1"/>
  <c r="CS78" i="4"/>
  <c r="CT78" i="4" s="1"/>
  <c r="DA78" i="4"/>
  <c r="DB78" i="4" s="1"/>
  <c r="DI78" i="4"/>
  <c r="DJ78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GC79" i="4"/>
  <c r="GD79" i="4" s="1"/>
  <c r="FY79" i="4"/>
  <c r="FZ79" i="4" s="1"/>
  <c r="FU79" i="4"/>
  <c r="FV79" i="4" s="1"/>
  <c r="FQ79" i="4"/>
  <c r="FR79" i="4" s="1"/>
  <c r="FM79" i="4"/>
  <c r="FN79" i="4" s="1"/>
  <c r="FI79" i="4"/>
  <c r="FJ79" i="4" s="1"/>
  <c r="FE79" i="4"/>
  <c r="FF79" i="4" s="1"/>
  <c r="FA79" i="4"/>
  <c r="FB79" i="4" s="1"/>
  <c r="EW79" i="4"/>
  <c r="EX79" i="4" s="1"/>
  <c r="ET79" i="4"/>
  <c r="CO80" i="4"/>
  <c r="CP80" i="4" s="1"/>
  <c r="I82" i="4"/>
  <c r="BZ82" i="4"/>
  <c r="CK84" i="4"/>
  <c r="CL84" i="4" s="1"/>
  <c r="DA84" i="4"/>
  <c r="DB84" i="4" s="1"/>
  <c r="AS85" i="4"/>
  <c r="AT85" i="4" s="1"/>
  <c r="AO85" i="4"/>
  <c r="AP85" i="4" s="1"/>
  <c r="AC85" i="4"/>
  <c r="AD85" i="4" s="1"/>
  <c r="Y85" i="4"/>
  <c r="Z85" i="4" s="1"/>
  <c r="M85" i="4"/>
  <c r="N85" i="4" s="1"/>
  <c r="J85" i="4"/>
  <c r="AQ85" i="4"/>
  <c r="AR85" i="4" s="1"/>
  <c r="AM85" i="4"/>
  <c r="AN85" i="4" s="1"/>
  <c r="AA85" i="4"/>
  <c r="AB85" i="4" s="1"/>
  <c r="W85" i="4"/>
  <c r="X85" i="4" s="1"/>
  <c r="K85" i="4"/>
  <c r="L85" i="4" s="1"/>
  <c r="CA87" i="4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GG96" i="4"/>
  <c r="GH96" i="4" s="1"/>
  <c r="GC96" i="4"/>
  <c r="GD96" i="4" s="1"/>
  <c r="FY96" i="4"/>
  <c r="FZ96" i="4" s="1"/>
  <c r="FU96" i="4"/>
  <c r="FV96" i="4" s="1"/>
  <c r="FQ96" i="4"/>
  <c r="FR96" i="4" s="1"/>
  <c r="FM96" i="4"/>
  <c r="FN96" i="4" s="1"/>
  <c r="FI96" i="4"/>
  <c r="FJ96" i="4" s="1"/>
  <c r="FE96" i="4"/>
  <c r="FF96" i="4" s="1"/>
  <c r="FA96" i="4"/>
  <c r="FB96" i="4" s="1"/>
  <c r="EW96" i="4"/>
  <c r="EX96" i="4" s="1"/>
  <c r="ET96" i="4"/>
  <c r="GI96" i="4"/>
  <c r="GJ96" i="4" s="1"/>
  <c r="FS96" i="4"/>
  <c r="FT96" i="4" s="1"/>
  <c r="FC96" i="4"/>
  <c r="FD96" i="4" s="1"/>
  <c r="FW96" i="4"/>
  <c r="FX96" i="4" s="1"/>
  <c r="FG96" i="4"/>
  <c r="FH96" i="4" s="1"/>
  <c r="GE96" i="4"/>
  <c r="GF96" i="4" s="1"/>
  <c r="FO96" i="4"/>
  <c r="FP96" i="4" s="1"/>
  <c r="EY96" i="4"/>
  <c r="EZ96" i="4" s="1"/>
  <c r="ER98" i="4"/>
  <c r="ES98" i="4" s="1"/>
  <c r="CA98" i="4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GE102" i="4"/>
  <c r="GF102" i="4" s="1"/>
  <c r="GA102" i="4"/>
  <c r="GB102" i="4" s="1"/>
  <c r="FW102" i="4"/>
  <c r="FX102" i="4" s="1"/>
  <c r="FS102" i="4"/>
  <c r="FT102" i="4" s="1"/>
  <c r="FO102" i="4"/>
  <c r="FP102" i="4" s="1"/>
  <c r="FK102" i="4"/>
  <c r="FL102" i="4" s="1"/>
  <c r="FG102" i="4"/>
  <c r="FH102" i="4" s="1"/>
  <c r="FC102" i="4"/>
  <c r="FD102" i="4" s="1"/>
  <c r="EY102" i="4"/>
  <c r="EZ102" i="4" s="1"/>
  <c r="EU102" i="4"/>
  <c r="EV102" i="4" s="1"/>
  <c r="AU72" i="4"/>
  <c r="AV72" i="4" s="1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S79" i="4"/>
  <c r="AT79" i="4" s="1"/>
  <c r="AO79" i="4"/>
  <c r="AP79" i="4" s="1"/>
  <c r="AK79" i="4"/>
  <c r="AL79" i="4" s="1"/>
  <c r="AG79" i="4"/>
  <c r="AH79" i="4" s="1"/>
  <c r="AC79" i="4"/>
  <c r="AD79" i="4" s="1"/>
  <c r="Y79" i="4"/>
  <c r="Z79" i="4" s="1"/>
  <c r="U79" i="4"/>
  <c r="V79" i="4" s="1"/>
  <c r="Q79" i="4"/>
  <c r="R79" i="4" s="1"/>
  <c r="M79" i="4"/>
  <c r="N79" i="4" s="1"/>
  <c r="J79" i="4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Q79" i="4"/>
  <c r="DR79" i="4" s="1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ER84" i="4"/>
  <c r="ES84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I92" i="4"/>
  <c r="BZ92" i="4"/>
  <c r="AW95" i="4"/>
  <c r="AX95" i="4" s="1"/>
  <c r="AS95" i="4"/>
  <c r="AT95" i="4" s="1"/>
  <c r="AO95" i="4"/>
  <c r="AP95" i="4" s="1"/>
  <c r="AK95" i="4"/>
  <c r="AL95" i="4" s="1"/>
  <c r="AG95" i="4"/>
  <c r="AH95" i="4" s="1"/>
  <c r="AC95" i="4"/>
  <c r="AD95" i="4" s="1"/>
  <c r="Y95" i="4"/>
  <c r="Z95" i="4" s="1"/>
  <c r="U95" i="4"/>
  <c r="V95" i="4" s="1"/>
  <c r="Q95" i="4"/>
  <c r="R95" i="4" s="1"/>
  <c r="M95" i="4"/>
  <c r="N95" i="4" s="1"/>
  <c r="J95" i="4"/>
  <c r="AY95" i="4"/>
  <c r="AZ95" i="4" s="1"/>
  <c r="AU95" i="4"/>
  <c r="AV95" i="4" s="1"/>
  <c r="AQ95" i="4"/>
  <c r="AR95" i="4" s="1"/>
  <c r="AM95" i="4"/>
  <c r="AN95" i="4" s="1"/>
  <c r="AI95" i="4"/>
  <c r="AJ95" i="4" s="1"/>
  <c r="AE95" i="4"/>
  <c r="AF95" i="4" s="1"/>
  <c r="AA95" i="4"/>
  <c r="AB95" i="4" s="1"/>
  <c r="W95" i="4"/>
  <c r="X95" i="4" s="1"/>
  <c r="S95" i="4"/>
  <c r="T95" i="4" s="1"/>
  <c r="O95" i="4"/>
  <c r="P95" i="4" s="1"/>
  <c r="K95" i="4"/>
  <c r="L95" i="4" s="1"/>
  <c r="DO100" i="4"/>
  <c r="DP100" i="4" s="1"/>
  <c r="DK100" i="4"/>
  <c r="DL100" i="4" s="1"/>
  <c r="DG100" i="4"/>
  <c r="DH100" i="4" s="1"/>
  <c r="DC100" i="4"/>
  <c r="DD100" i="4" s="1"/>
  <c r="CY100" i="4"/>
  <c r="CZ100" i="4" s="1"/>
  <c r="CU100" i="4"/>
  <c r="CV100" i="4" s="1"/>
  <c r="CQ100" i="4"/>
  <c r="CR100" i="4" s="1"/>
  <c r="CM100" i="4"/>
  <c r="CN100" i="4" s="1"/>
  <c r="CI100" i="4"/>
  <c r="CJ100" i="4" s="1"/>
  <c r="CE100" i="4"/>
  <c r="CF100" i="4" s="1"/>
  <c r="CB100" i="4"/>
  <c r="DQ100" i="4"/>
  <c r="DR100" i="4" s="1"/>
  <c r="DM100" i="4"/>
  <c r="DN100" i="4" s="1"/>
  <c r="DI100" i="4"/>
  <c r="DJ100" i="4" s="1"/>
  <c r="DE100" i="4"/>
  <c r="DF100" i="4" s="1"/>
  <c r="DA100" i="4"/>
  <c r="DB100" i="4" s="1"/>
  <c r="CW100" i="4"/>
  <c r="CX100" i="4" s="1"/>
  <c r="CS100" i="4"/>
  <c r="CT100" i="4" s="1"/>
  <c r="CO100" i="4"/>
  <c r="CP100" i="4" s="1"/>
  <c r="CK100" i="4"/>
  <c r="CL100" i="4" s="1"/>
  <c r="CG100" i="4"/>
  <c r="CH100" i="4" s="1"/>
  <c r="CC100" i="4"/>
  <c r="CD100" i="4" s="1"/>
  <c r="GC108" i="4"/>
  <c r="GD108" i="4" s="1"/>
  <c r="FW108" i="4"/>
  <c r="FX108" i="4" s="1"/>
  <c r="FM108" i="4"/>
  <c r="FN108" i="4" s="1"/>
  <c r="FG108" i="4"/>
  <c r="FH108" i="4" s="1"/>
  <c r="EW108" i="4"/>
  <c r="EX108" i="4" s="1"/>
  <c r="GG108" i="4"/>
  <c r="GH108" i="4" s="1"/>
  <c r="GA108" i="4"/>
  <c r="GB108" i="4" s="1"/>
  <c r="FQ108" i="4"/>
  <c r="FR108" i="4" s="1"/>
  <c r="FK108" i="4"/>
  <c r="FL108" i="4" s="1"/>
  <c r="FA108" i="4"/>
  <c r="FB108" i="4" s="1"/>
  <c r="EU108" i="4"/>
  <c r="EV108" i="4" s="1"/>
  <c r="GI108" i="4"/>
  <c r="GJ108" i="4" s="1"/>
  <c r="FY108" i="4"/>
  <c r="FZ108" i="4" s="1"/>
  <c r="FS108" i="4"/>
  <c r="FT108" i="4" s="1"/>
  <c r="FI108" i="4"/>
  <c r="FJ108" i="4" s="1"/>
  <c r="FC108" i="4"/>
  <c r="FD108" i="4" s="1"/>
  <c r="ET108" i="4"/>
  <c r="FE108" i="4"/>
  <c r="FF108" i="4" s="1"/>
  <c r="FU108" i="4"/>
  <c r="FV108" i="4" s="1"/>
  <c r="EY108" i="4"/>
  <c r="EZ108" i="4" s="1"/>
  <c r="GE108" i="4"/>
  <c r="GF108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K112" i="4"/>
  <c r="AL112" i="4" s="1"/>
  <c r="U112" i="4"/>
  <c r="V112" i="4" s="1"/>
  <c r="AW112" i="4"/>
  <c r="AX112" i="4" s="1"/>
  <c r="AG112" i="4"/>
  <c r="AH112" i="4" s="1"/>
  <c r="Q112" i="4"/>
  <c r="R112" i="4" s="1"/>
  <c r="AO112" i="4"/>
  <c r="AP112" i="4" s="1"/>
  <c r="Y112" i="4"/>
  <c r="Z112" i="4" s="1"/>
  <c r="J112" i="4"/>
  <c r="AC112" i="4"/>
  <c r="AD112" i="4" s="1"/>
  <c r="M112" i="4"/>
  <c r="N112" i="4" s="1"/>
  <c r="AS112" i="4"/>
  <c r="AT112" i="4" s="1"/>
  <c r="AW119" i="4"/>
  <c r="AX119" i="4" s="1"/>
  <c r="AS119" i="4"/>
  <c r="AT119" i="4" s="1"/>
  <c r="AO119" i="4"/>
  <c r="AP119" i="4" s="1"/>
  <c r="AK119" i="4"/>
  <c r="AL119" i="4" s="1"/>
  <c r="AG119" i="4"/>
  <c r="AH119" i="4" s="1"/>
  <c r="AC119" i="4"/>
  <c r="AD119" i="4" s="1"/>
  <c r="Y119" i="4"/>
  <c r="Z119" i="4" s="1"/>
  <c r="U119" i="4"/>
  <c r="V119" i="4" s="1"/>
  <c r="Q119" i="4"/>
  <c r="R119" i="4" s="1"/>
  <c r="M119" i="4"/>
  <c r="N119" i="4" s="1"/>
  <c r="J119" i="4"/>
  <c r="AY119" i="4"/>
  <c r="AZ119" i="4" s="1"/>
  <c r="AU119" i="4"/>
  <c r="AV119" i="4" s="1"/>
  <c r="AQ119" i="4"/>
  <c r="AR119" i="4" s="1"/>
  <c r="AM119" i="4"/>
  <c r="AN119" i="4" s="1"/>
  <c r="AI119" i="4"/>
  <c r="AJ119" i="4" s="1"/>
  <c r="AE119" i="4"/>
  <c r="AF119" i="4" s="1"/>
  <c r="AA119" i="4"/>
  <c r="AB119" i="4" s="1"/>
  <c r="W119" i="4"/>
  <c r="X119" i="4" s="1"/>
  <c r="S119" i="4"/>
  <c r="T119" i="4" s="1"/>
  <c r="O119" i="4"/>
  <c r="P119" i="4" s="1"/>
  <c r="K119" i="4"/>
  <c r="L119" i="4" s="1"/>
  <c r="CY65" i="4"/>
  <c r="CZ65" i="4" s="1"/>
  <c r="DC65" i="4"/>
  <c r="DD65" i="4" s="1"/>
  <c r="DG65" i="4"/>
  <c r="DH65" i="4" s="1"/>
  <c r="DK65" i="4"/>
  <c r="DL65" i="4" s="1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Y81" i="4"/>
  <c r="AZ81" i="4" s="1"/>
  <c r="AU81" i="4"/>
  <c r="AV81" i="4" s="1"/>
  <c r="AQ81" i="4"/>
  <c r="AR81" i="4" s="1"/>
  <c r="AM81" i="4"/>
  <c r="AN81" i="4" s="1"/>
  <c r="AI81" i="4"/>
  <c r="AJ81" i="4" s="1"/>
  <c r="AE81" i="4"/>
  <c r="AF81" i="4" s="1"/>
  <c r="AA81" i="4"/>
  <c r="AB81" i="4" s="1"/>
  <c r="W81" i="4"/>
  <c r="X81" i="4" s="1"/>
  <c r="S81" i="4"/>
  <c r="T81" i="4" s="1"/>
  <c r="O81" i="4"/>
  <c r="P81" i="4" s="1"/>
  <c r="K81" i="4"/>
  <c r="L81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ER97" i="4"/>
  <c r="ES97" i="4" s="1"/>
  <c r="CA97" i="4"/>
  <c r="AY98" i="4"/>
  <c r="AZ98" i="4" s="1"/>
  <c r="AU98" i="4"/>
  <c r="AV98" i="4" s="1"/>
  <c r="AQ98" i="4"/>
  <c r="AR98" i="4" s="1"/>
  <c r="AM98" i="4"/>
  <c r="AN98" i="4" s="1"/>
  <c r="AI98" i="4"/>
  <c r="AJ98" i="4" s="1"/>
  <c r="AE98" i="4"/>
  <c r="AF98" i="4" s="1"/>
  <c r="AA98" i="4"/>
  <c r="AB98" i="4" s="1"/>
  <c r="W98" i="4"/>
  <c r="X98" i="4" s="1"/>
  <c r="S98" i="4"/>
  <c r="T98" i="4" s="1"/>
  <c r="O98" i="4"/>
  <c r="P98" i="4" s="1"/>
  <c r="K98" i="4"/>
  <c r="L98" i="4" s="1"/>
  <c r="AW98" i="4"/>
  <c r="AX98" i="4" s="1"/>
  <c r="AG98" i="4"/>
  <c r="AH98" i="4" s="1"/>
  <c r="Q98" i="4"/>
  <c r="R98" i="4" s="1"/>
  <c r="AK98" i="4"/>
  <c r="AL98" i="4" s="1"/>
  <c r="U98" i="4"/>
  <c r="V98" i="4" s="1"/>
  <c r="AS98" i="4"/>
  <c r="AT98" i="4" s="1"/>
  <c r="AC98" i="4"/>
  <c r="AD98" i="4" s="1"/>
  <c r="M98" i="4"/>
  <c r="N98" i="4" s="1"/>
  <c r="BZ121" i="4"/>
  <c r="I121" i="4"/>
  <c r="I80" i="4"/>
  <c r="CB81" i="4"/>
  <c r="CE81" i="4"/>
  <c r="CF81" i="4" s="1"/>
  <c r="CI81" i="4"/>
  <c r="CJ81" i="4" s="1"/>
  <c r="CM81" i="4"/>
  <c r="CN81" i="4" s="1"/>
  <c r="CQ81" i="4"/>
  <c r="CR81" i="4" s="1"/>
  <c r="CU81" i="4"/>
  <c r="CV81" i="4" s="1"/>
  <c r="CY81" i="4"/>
  <c r="CZ81" i="4" s="1"/>
  <c r="DC81" i="4"/>
  <c r="DD81" i="4" s="1"/>
  <c r="DG81" i="4"/>
  <c r="DH81" i="4" s="1"/>
  <c r="DK81" i="4"/>
  <c r="DL81" i="4" s="1"/>
  <c r="DO81" i="4"/>
  <c r="DP81" i="4" s="1"/>
  <c r="J83" i="4"/>
  <c r="M83" i="4"/>
  <c r="N83" i="4" s="1"/>
  <c r="Q83" i="4"/>
  <c r="R83" i="4" s="1"/>
  <c r="U83" i="4"/>
  <c r="V83" i="4" s="1"/>
  <c r="Y83" i="4"/>
  <c r="Z83" i="4" s="1"/>
  <c r="AC83" i="4"/>
  <c r="AD83" i="4" s="1"/>
  <c r="AG83" i="4"/>
  <c r="AH83" i="4" s="1"/>
  <c r="AK83" i="4"/>
  <c r="AL83" i="4" s="1"/>
  <c r="AO83" i="4"/>
  <c r="AP83" i="4" s="1"/>
  <c r="AS83" i="4"/>
  <c r="AT83" i="4" s="1"/>
  <c r="AW83" i="4"/>
  <c r="AX83" i="4" s="1"/>
  <c r="I84" i="4"/>
  <c r="CB85" i="4"/>
  <c r="CE85" i="4"/>
  <c r="CF85" i="4" s="1"/>
  <c r="CI85" i="4"/>
  <c r="CJ85" i="4" s="1"/>
  <c r="CM85" i="4"/>
  <c r="CN85" i="4" s="1"/>
  <c r="CQ85" i="4"/>
  <c r="CR85" i="4" s="1"/>
  <c r="CU85" i="4"/>
  <c r="CV85" i="4" s="1"/>
  <c r="CY85" i="4"/>
  <c r="CZ85" i="4" s="1"/>
  <c r="DC85" i="4"/>
  <c r="DD85" i="4" s="1"/>
  <c r="DG85" i="4"/>
  <c r="DH85" i="4" s="1"/>
  <c r="DK85" i="4"/>
  <c r="DL85" i="4" s="1"/>
  <c r="DO85" i="4"/>
  <c r="DP85" i="4" s="1"/>
  <c r="J87" i="4"/>
  <c r="M87" i="4"/>
  <c r="N87" i="4" s="1"/>
  <c r="Q87" i="4"/>
  <c r="R87" i="4" s="1"/>
  <c r="U87" i="4"/>
  <c r="V87" i="4" s="1"/>
  <c r="Y87" i="4"/>
  <c r="Z87" i="4" s="1"/>
  <c r="AC87" i="4"/>
  <c r="AD87" i="4" s="1"/>
  <c r="AG87" i="4"/>
  <c r="AH87" i="4" s="1"/>
  <c r="AK87" i="4"/>
  <c r="AL87" i="4" s="1"/>
  <c r="AO87" i="4"/>
  <c r="AP87" i="4" s="1"/>
  <c r="AS87" i="4"/>
  <c r="AT87" i="4" s="1"/>
  <c r="AW87" i="4"/>
  <c r="AX87" i="4" s="1"/>
  <c r="I88" i="4"/>
  <c r="J93" i="4"/>
  <c r="M93" i="4"/>
  <c r="N93" i="4" s="1"/>
  <c r="Q93" i="4"/>
  <c r="R93" i="4" s="1"/>
  <c r="U93" i="4"/>
  <c r="V93" i="4" s="1"/>
  <c r="Y93" i="4"/>
  <c r="Z93" i="4" s="1"/>
  <c r="AC93" i="4"/>
  <c r="AD93" i="4" s="1"/>
  <c r="AG93" i="4"/>
  <c r="AH93" i="4" s="1"/>
  <c r="AK93" i="4"/>
  <c r="AL93" i="4" s="1"/>
  <c r="AO93" i="4"/>
  <c r="AP93" i="4" s="1"/>
  <c r="AS93" i="4"/>
  <c r="AT93" i="4" s="1"/>
  <c r="AW93" i="4"/>
  <c r="AX93" i="4" s="1"/>
  <c r="I94" i="4"/>
  <c r="CB95" i="4"/>
  <c r="CE95" i="4"/>
  <c r="CF95" i="4" s="1"/>
  <c r="CI95" i="4"/>
  <c r="CJ95" i="4" s="1"/>
  <c r="CM95" i="4"/>
  <c r="CN95" i="4" s="1"/>
  <c r="CQ95" i="4"/>
  <c r="CR95" i="4" s="1"/>
  <c r="CU95" i="4"/>
  <c r="CV95" i="4" s="1"/>
  <c r="CY95" i="4"/>
  <c r="CZ95" i="4" s="1"/>
  <c r="DC95" i="4"/>
  <c r="DD95" i="4" s="1"/>
  <c r="DG95" i="4"/>
  <c r="DH95" i="4" s="1"/>
  <c r="DK95" i="4"/>
  <c r="DL95" i="4" s="1"/>
  <c r="DO95" i="4"/>
  <c r="DP95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I103" i="4"/>
  <c r="BZ103" i="4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J105" i="4"/>
  <c r="Y105" i="4"/>
  <c r="Z105" i="4" s="1"/>
  <c r="AO105" i="4"/>
  <c r="AP105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I126" i="4"/>
  <c r="BZ126" i="4"/>
  <c r="CC81" i="4"/>
  <c r="CD81" i="4" s="1"/>
  <c r="CG81" i="4"/>
  <c r="CH81" i="4" s="1"/>
  <c r="CK81" i="4"/>
  <c r="CL81" i="4" s="1"/>
  <c r="CO81" i="4"/>
  <c r="CP81" i="4" s="1"/>
  <c r="CS81" i="4"/>
  <c r="CT81" i="4" s="1"/>
  <c r="CW81" i="4"/>
  <c r="CX81" i="4" s="1"/>
  <c r="DA81" i="4"/>
  <c r="DB81" i="4" s="1"/>
  <c r="DE81" i="4"/>
  <c r="DF81" i="4" s="1"/>
  <c r="DI81" i="4"/>
  <c r="DJ81" i="4" s="1"/>
  <c r="DM81" i="4"/>
  <c r="DN81" i="4" s="1"/>
  <c r="K83" i="4"/>
  <c r="L83" i="4" s="1"/>
  <c r="O83" i="4"/>
  <c r="P83" i="4" s="1"/>
  <c r="S83" i="4"/>
  <c r="T83" i="4" s="1"/>
  <c r="W83" i="4"/>
  <c r="X83" i="4" s="1"/>
  <c r="AA83" i="4"/>
  <c r="AB83" i="4" s="1"/>
  <c r="AE83" i="4"/>
  <c r="AF83" i="4" s="1"/>
  <c r="AI83" i="4"/>
  <c r="AJ83" i="4" s="1"/>
  <c r="AM83" i="4"/>
  <c r="AN83" i="4" s="1"/>
  <c r="AQ83" i="4"/>
  <c r="AR83" i="4" s="1"/>
  <c r="AU83" i="4"/>
  <c r="AV83" i="4" s="1"/>
  <c r="CC85" i="4"/>
  <c r="CD85" i="4" s="1"/>
  <c r="CG85" i="4"/>
  <c r="CH85" i="4" s="1"/>
  <c r="CK85" i="4"/>
  <c r="CL85" i="4" s="1"/>
  <c r="CO85" i="4"/>
  <c r="CP85" i="4" s="1"/>
  <c r="CS85" i="4"/>
  <c r="CT85" i="4" s="1"/>
  <c r="CW85" i="4"/>
  <c r="CX85" i="4" s="1"/>
  <c r="DA85" i="4"/>
  <c r="DB85" i="4" s="1"/>
  <c r="DE85" i="4"/>
  <c r="DF85" i="4" s="1"/>
  <c r="DI85" i="4"/>
  <c r="DJ85" i="4" s="1"/>
  <c r="DM85" i="4"/>
  <c r="DN85" i="4" s="1"/>
  <c r="K87" i="4"/>
  <c r="L87" i="4" s="1"/>
  <c r="O87" i="4"/>
  <c r="P87" i="4" s="1"/>
  <c r="S87" i="4"/>
  <c r="T87" i="4" s="1"/>
  <c r="W87" i="4"/>
  <c r="X87" i="4" s="1"/>
  <c r="AA87" i="4"/>
  <c r="AB87" i="4" s="1"/>
  <c r="AE87" i="4"/>
  <c r="AF87" i="4" s="1"/>
  <c r="AI87" i="4"/>
  <c r="AJ87" i="4" s="1"/>
  <c r="AM87" i="4"/>
  <c r="AN87" i="4" s="1"/>
  <c r="AQ87" i="4"/>
  <c r="AR87" i="4" s="1"/>
  <c r="AU87" i="4"/>
  <c r="AV87" i="4" s="1"/>
  <c r="K93" i="4"/>
  <c r="L93" i="4" s="1"/>
  <c r="O93" i="4"/>
  <c r="P93" i="4" s="1"/>
  <c r="S93" i="4"/>
  <c r="T93" i="4" s="1"/>
  <c r="W93" i="4"/>
  <c r="X93" i="4" s="1"/>
  <c r="AA93" i="4"/>
  <c r="AB93" i="4" s="1"/>
  <c r="AE93" i="4"/>
  <c r="AF93" i="4" s="1"/>
  <c r="AI93" i="4"/>
  <c r="AJ93" i="4" s="1"/>
  <c r="AM93" i="4"/>
  <c r="AN93" i="4" s="1"/>
  <c r="AQ93" i="4"/>
  <c r="AR93" i="4" s="1"/>
  <c r="AU93" i="4"/>
  <c r="AV93" i="4" s="1"/>
  <c r="CC95" i="4"/>
  <c r="CD95" i="4" s="1"/>
  <c r="CG95" i="4"/>
  <c r="CH95" i="4" s="1"/>
  <c r="CK95" i="4"/>
  <c r="CL95" i="4" s="1"/>
  <c r="CO95" i="4"/>
  <c r="CP95" i="4" s="1"/>
  <c r="CS95" i="4"/>
  <c r="CT95" i="4" s="1"/>
  <c r="CW95" i="4"/>
  <c r="CX95" i="4" s="1"/>
  <c r="DA95" i="4"/>
  <c r="DB95" i="4" s="1"/>
  <c r="DE95" i="4"/>
  <c r="DF95" i="4" s="1"/>
  <c r="DI95" i="4"/>
  <c r="DJ95" i="4" s="1"/>
  <c r="DM95" i="4"/>
  <c r="DN95" i="4" s="1"/>
  <c r="EW101" i="4"/>
  <c r="EX101" i="4" s="1"/>
  <c r="FM101" i="4"/>
  <c r="FN101" i="4" s="1"/>
  <c r="GC101" i="4"/>
  <c r="GD101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CA104" i="4"/>
  <c r="Q105" i="4"/>
  <c r="R105" i="4" s="1"/>
  <c r="AG105" i="4"/>
  <c r="AH105" i="4" s="1"/>
  <c r="DO108" i="4"/>
  <c r="DP108" i="4" s="1"/>
  <c r="DE108" i="4"/>
  <c r="DF108" i="4" s="1"/>
  <c r="CY108" i="4"/>
  <c r="CZ108" i="4" s="1"/>
  <c r="CO108" i="4"/>
  <c r="CP108" i="4" s="1"/>
  <c r="CI108" i="4"/>
  <c r="CJ108" i="4" s="1"/>
  <c r="DI108" i="4"/>
  <c r="DJ108" i="4" s="1"/>
  <c r="DC108" i="4"/>
  <c r="DD108" i="4" s="1"/>
  <c r="CS108" i="4"/>
  <c r="CT108" i="4" s="1"/>
  <c r="CM108" i="4"/>
  <c r="CN108" i="4" s="1"/>
  <c r="CC108" i="4"/>
  <c r="CD108" i="4" s="1"/>
  <c r="DQ108" i="4"/>
  <c r="DR108" i="4" s="1"/>
  <c r="DK108" i="4"/>
  <c r="DL108" i="4" s="1"/>
  <c r="DA108" i="4"/>
  <c r="DB108" i="4" s="1"/>
  <c r="CU108" i="4"/>
  <c r="CV108" i="4" s="1"/>
  <c r="CK108" i="4"/>
  <c r="CL108" i="4" s="1"/>
  <c r="CE108" i="4"/>
  <c r="CF108" i="4" s="1"/>
  <c r="DO109" i="4"/>
  <c r="DP109" i="4" s="1"/>
  <c r="DK109" i="4"/>
  <c r="DL109" i="4" s="1"/>
  <c r="DG109" i="4"/>
  <c r="DH109" i="4" s="1"/>
  <c r="DC109" i="4"/>
  <c r="DD109" i="4" s="1"/>
  <c r="CY109" i="4"/>
  <c r="CZ109" i="4" s="1"/>
  <c r="CU109" i="4"/>
  <c r="CV109" i="4" s="1"/>
  <c r="CQ109" i="4"/>
  <c r="CR109" i="4" s="1"/>
  <c r="CM109" i="4"/>
  <c r="CN109" i="4" s="1"/>
  <c r="CI109" i="4"/>
  <c r="CJ109" i="4" s="1"/>
  <c r="CE109" i="4"/>
  <c r="CF109" i="4" s="1"/>
  <c r="CB109" i="4"/>
  <c r="DE109" i="4"/>
  <c r="DF109" i="4" s="1"/>
  <c r="CO109" i="4"/>
  <c r="CP109" i="4" s="1"/>
  <c r="DI109" i="4"/>
  <c r="DJ109" i="4" s="1"/>
  <c r="CS109" i="4"/>
  <c r="CT109" i="4" s="1"/>
  <c r="CC109" i="4"/>
  <c r="CD109" i="4" s="1"/>
  <c r="DQ109" i="4"/>
  <c r="DR109" i="4" s="1"/>
  <c r="DA109" i="4"/>
  <c r="DB109" i="4" s="1"/>
  <c r="CK109" i="4"/>
  <c r="CL109" i="4" s="1"/>
  <c r="I99" i="4"/>
  <c r="BZ99" i="4"/>
  <c r="GI100" i="4"/>
  <c r="GJ100" i="4" s="1"/>
  <c r="GE100" i="4"/>
  <c r="GF100" i="4" s="1"/>
  <c r="GA100" i="4"/>
  <c r="GB100" i="4" s="1"/>
  <c r="FW100" i="4"/>
  <c r="FX100" i="4" s="1"/>
  <c r="FS100" i="4"/>
  <c r="FT100" i="4" s="1"/>
  <c r="FO100" i="4"/>
  <c r="FP100" i="4" s="1"/>
  <c r="FK100" i="4"/>
  <c r="FL100" i="4" s="1"/>
  <c r="FG100" i="4"/>
  <c r="FH100" i="4" s="1"/>
  <c r="FC100" i="4"/>
  <c r="FD100" i="4" s="1"/>
  <c r="EY100" i="4"/>
  <c r="EZ100" i="4" s="1"/>
  <c r="EU100" i="4"/>
  <c r="EV100" i="4" s="1"/>
  <c r="GG100" i="4"/>
  <c r="GH100" i="4" s="1"/>
  <c r="GC100" i="4"/>
  <c r="GD100" i="4" s="1"/>
  <c r="FY100" i="4"/>
  <c r="FZ100" i="4" s="1"/>
  <c r="FU100" i="4"/>
  <c r="FV100" i="4" s="1"/>
  <c r="FQ100" i="4"/>
  <c r="FR100" i="4" s="1"/>
  <c r="FM100" i="4"/>
  <c r="FN100" i="4" s="1"/>
  <c r="FI100" i="4"/>
  <c r="FJ100" i="4" s="1"/>
  <c r="FE100" i="4"/>
  <c r="FF100" i="4" s="1"/>
  <c r="FA100" i="4"/>
  <c r="FB100" i="4" s="1"/>
  <c r="EW100" i="4"/>
  <c r="EX100" i="4" s="1"/>
  <c r="ET100" i="4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Y102" i="4"/>
  <c r="AZ102" i="4" s="1"/>
  <c r="AU102" i="4"/>
  <c r="AV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ER107" i="4"/>
  <c r="ES107" i="4" s="1"/>
  <c r="CA107" i="4"/>
  <c r="BZ110" i="4"/>
  <c r="I110" i="4"/>
  <c r="J100" i="4"/>
  <c r="M100" i="4"/>
  <c r="N100" i="4" s="1"/>
  <c r="Q100" i="4"/>
  <c r="R100" i="4" s="1"/>
  <c r="U100" i="4"/>
  <c r="V100" i="4" s="1"/>
  <c r="Y100" i="4"/>
  <c r="Z100" i="4" s="1"/>
  <c r="AC100" i="4"/>
  <c r="AD100" i="4" s="1"/>
  <c r="AG100" i="4"/>
  <c r="AH100" i="4" s="1"/>
  <c r="AK100" i="4"/>
  <c r="AL100" i="4" s="1"/>
  <c r="AO100" i="4"/>
  <c r="AP100" i="4" s="1"/>
  <c r="AS100" i="4"/>
  <c r="AT100" i="4" s="1"/>
  <c r="CB102" i="4"/>
  <c r="CE102" i="4"/>
  <c r="CF102" i="4" s="1"/>
  <c r="CI102" i="4"/>
  <c r="CJ102" i="4" s="1"/>
  <c r="CM102" i="4"/>
  <c r="CN102" i="4" s="1"/>
  <c r="CQ102" i="4"/>
  <c r="CR102" i="4" s="1"/>
  <c r="CU102" i="4"/>
  <c r="CV102" i="4" s="1"/>
  <c r="CY102" i="4"/>
  <c r="CZ102" i="4" s="1"/>
  <c r="DC102" i="4"/>
  <c r="DD102" i="4" s="1"/>
  <c r="DG102" i="4"/>
  <c r="DH102" i="4" s="1"/>
  <c r="DK102" i="4"/>
  <c r="DL102" i="4" s="1"/>
  <c r="J104" i="4"/>
  <c r="M104" i="4"/>
  <c r="N104" i="4" s="1"/>
  <c r="Q104" i="4"/>
  <c r="R104" i="4" s="1"/>
  <c r="U104" i="4"/>
  <c r="V104" i="4" s="1"/>
  <c r="Y104" i="4"/>
  <c r="Z104" i="4" s="1"/>
  <c r="AC104" i="4"/>
  <c r="AD104" i="4" s="1"/>
  <c r="AG104" i="4"/>
  <c r="AH104" i="4" s="1"/>
  <c r="AK104" i="4"/>
  <c r="AL104" i="4" s="1"/>
  <c r="AO104" i="4"/>
  <c r="AP104" i="4" s="1"/>
  <c r="AS104" i="4"/>
  <c r="AT104" i="4" s="1"/>
  <c r="CB106" i="4"/>
  <c r="CE106" i="4"/>
  <c r="CF106" i="4" s="1"/>
  <c r="CI106" i="4"/>
  <c r="CJ106" i="4" s="1"/>
  <c r="CM106" i="4"/>
  <c r="CN106" i="4" s="1"/>
  <c r="CQ106" i="4"/>
  <c r="CR106" i="4" s="1"/>
  <c r="CU106" i="4"/>
  <c r="CV106" i="4" s="1"/>
  <c r="CY106" i="4"/>
  <c r="CZ106" i="4" s="1"/>
  <c r="DC106" i="4"/>
  <c r="DD106" i="4" s="1"/>
  <c r="DG106" i="4"/>
  <c r="DH106" i="4" s="1"/>
  <c r="DK106" i="4"/>
  <c r="DL106" i="4" s="1"/>
  <c r="DO106" i="4"/>
  <c r="DP106" i="4" s="1"/>
  <c r="K108" i="4"/>
  <c r="L108" i="4" s="1"/>
  <c r="Q108" i="4"/>
  <c r="R108" i="4" s="1"/>
  <c r="AA108" i="4"/>
  <c r="AB108" i="4" s="1"/>
  <c r="AG108" i="4"/>
  <c r="AH108" i="4" s="1"/>
  <c r="AQ108" i="4"/>
  <c r="AR108" i="4" s="1"/>
  <c r="Q109" i="4"/>
  <c r="R109" i="4" s="1"/>
  <c r="AG109" i="4"/>
  <c r="AH109" i="4" s="1"/>
  <c r="GI111" i="4"/>
  <c r="GJ111" i="4" s="1"/>
  <c r="GE111" i="4"/>
  <c r="GF111" i="4" s="1"/>
  <c r="GA111" i="4"/>
  <c r="GB111" i="4" s="1"/>
  <c r="FW111" i="4"/>
  <c r="FX111" i="4" s="1"/>
  <c r="FS111" i="4"/>
  <c r="FT111" i="4" s="1"/>
  <c r="FO111" i="4"/>
  <c r="FP111" i="4" s="1"/>
  <c r="FK111" i="4"/>
  <c r="FL111" i="4" s="1"/>
  <c r="FG111" i="4"/>
  <c r="FH111" i="4" s="1"/>
  <c r="FC111" i="4"/>
  <c r="FD111" i="4" s="1"/>
  <c r="EY111" i="4"/>
  <c r="EZ111" i="4" s="1"/>
  <c r="EU111" i="4"/>
  <c r="EV111" i="4" s="1"/>
  <c r="GG111" i="4"/>
  <c r="GH111" i="4" s="1"/>
  <c r="GC111" i="4"/>
  <c r="GD111" i="4" s="1"/>
  <c r="FY111" i="4"/>
  <c r="FZ111" i="4" s="1"/>
  <c r="FU111" i="4"/>
  <c r="FV111" i="4" s="1"/>
  <c r="FQ111" i="4"/>
  <c r="FR111" i="4" s="1"/>
  <c r="FM111" i="4"/>
  <c r="FN111" i="4" s="1"/>
  <c r="FI111" i="4"/>
  <c r="FJ111" i="4" s="1"/>
  <c r="FE111" i="4"/>
  <c r="FF111" i="4" s="1"/>
  <c r="FA111" i="4"/>
  <c r="FB111" i="4" s="1"/>
  <c r="EW111" i="4"/>
  <c r="EX111" i="4" s="1"/>
  <c r="ET111" i="4"/>
  <c r="GG113" i="4"/>
  <c r="GH113" i="4" s="1"/>
  <c r="FQ113" i="4"/>
  <c r="FR113" i="4" s="1"/>
  <c r="FA113" i="4"/>
  <c r="FB113" i="4" s="1"/>
  <c r="GE113" i="4"/>
  <c r="GF113" i="4" s="1"/>
  <c r="FO113" i="4"/>
  <c r="FP113" i="4" s="1"/>
  <c r="EY113" i="4"/>
  <c r="EZ113" i="4" s="1"/>
  <c r="CA117" i="4"/>
  <c r="ET118" i="4"/>
  <c r="FI118" i="4"/>
  <c r="FJ118" i="4" s="1"/>
  <c r="FY118" i="4"/>
  <c r="FZ118" i="4" s="1"/>
  <c r="DO118" i="4"/>
  <c r="DP118" i="4" s="1"/>
  <c r="DK118" i="4"/>
  <c r="DL118" i="4" s="1"/>
  <c r="DG118" i="4"/>
  <c r="DH118" i="4" s="1"/>
  <c r="DC118" i="4"/>
  <c r="DD118" i="4" s="1"/>
  <c r="CY118" i="4"/>
  <c r="CZ118" i="4" s="1"/>
  <c r="CU118" i="4"/>
  <c r="CV118" i="4" s="1"/>
  <c r="CQ118" i="4"/>
  <c r="CR118" i="4" s="1"/>
  <c r="CM118" i="4"/>
  <c r="CN118" i="4" s="1"/>
  <c r="CI118" i="4"/>
  <c r="CJ118" i="4" s="1"/>
  <c r="CE118" i="4"/>
  <c r="CF118" i="4" s="1"/>
  <c r="CB118" i="4"/>
  <c r="ER120" i="4"/>
  <c r="ES120" i="4" s="1"/>
  <c r="CA120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DO111" i="4"/>
  <c r="DP111" i="4" s="1"/>
  <c r="DK111" i="4"/>
  <c r="DL111" i="4" s="1"/>
  <c r="DG111" i="4"/>
  <c r="DH111" i="4" s="1"/>
  <c r="DC111" i="4"/>
  <c r="DD111" i="4" s="1"/>
  <c r="CY111" i="4"/>
  <c r="CZ111" i="4" s="1"/>
  <c r="CU111" i="4"/>
  <c r="CV111" i="4" s="1"/>
  <c r="CQ111" i="4"/>
  <c r="CR111" i="4" s="1"/>
  <c r="CM111" i="4"/>
  <c r="CN111" i="4" s="1"/>
  <c r="CI111" i="4"/>
  <c r="CJ111" i="4" s="1"/>
  <c r="CE111" i="4"/>
  <c r="CF111" i="4" s="1"/>
  <c r="CB111" i="4"/>
  <c r="DQ111" i="4"/>
  <c r="DR111" i="4" s="1"/>
  <c r="DM111" i="4"/>
  <c r="DN111" i="4" s="1"/>
  <c r="DI111" i="4"/>
  <c r="DJ111" i="4" s="1"/>
  <c r="DE111" i="4"/>
  <c r="DF111" i="4" s="1"/>
  <c r="DA111" i="4"/>
  <c r="DB111" i="4" s="1"/>
  <c r="CW111" i="4"/>
  <c r="CX111" i="4" s="1"/>
  <c r="CS111" i="4"/>
  <c r="CT111" i="4" s="1"/>
  <c r="CO111" i="4"/>
  <c r="CP111" i="4" s="1"/>
  <c r="CK111" i="4"/>
  <c r="CL111" i="4" s="1"/>
  <c r="CG111" i="4"/>
  <c r="CH111" i="4" s="1"/>
  <c r="CC111" i="4"/>
  <c r="CD111" i="4" s="1"/>
  <c r="AW113" i="4"/>
  <c r="AX113" i="4" s="1"/>
  <c r="AS113" i="4"/>
  <c r="AT113" i="4" s="1"/>
  <c r="AO113" i="4"/>
  <c r="AP113" i="4" s="1"/>
  <c r="AK113" i="4"/>
  <c r="AL113" i="4" s="1"/>
  <c r="AG113" i="4"/>
  <c r="AH113" i="4" s="1"/>
  <c r="AC113" i="4"/>
  <c r="AD113" i="4" s="1"/>
  <c r="Y113" i="4"/>
  <c r="Z113" i="4" s="1"/>
  <c r="U113" i="4"/>
  <c r="V113" i="4" s="1"/>
  <c r="Q113" i="4"/>
  <c r="R113" i="4" s="1"/>
  <c r="M113" i="4"/>
  <c r="N113" i="4" s="1"/>
  <c r="J113" i="4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FQ118" i="4"/>
  <c r="FR118" i="4" s="1"/>
  <c r="CY101" i="4"/>
  <c r="CZ101" i="4" s="1"/>
  <c r="DC101" i="4"/>
  <c r="DD101" i="4" s="1"/>
  <c r="DG101" i="4"/>
  <c r="DH101" i="4" s="1"/>
  <c r="DK101" i="4"/>
  <c r="DL101" i="4" s="1"/>
  <c r="CY105" i="4"/>
  <c r="CZ105" i="4" s="1"/>
  <c r="DC105" i="4"/>
  <c r="DD105" i="4" s="1"/>
  <c r="DG105" i="4"/>
  <c r="DH105" i="4" s="1"/>
  <c r="DK105" i="4"/>
  <c r="DL105" i="4" s="1"/>
  <c r="AS107" i="4"/>
  <c r="AT107" i="4" s="1"/>
  <c r="AK109" i="4"/>
  <c r="AL109" i="4" s="1"/>
  <c r="I116" i="4"/>
  <c r="BZ116" i="4"/>
  <c r="GI118" i="4"/>
  <c r="GJ118" i="4" s="1"/>
  <c r="GE118" i="4"/>
  <c r="GF118" i="4" s="1"/>
  <c r="GA118" i="4"/>
  <c r="GB118" i="4" s="1"/>
  <c r="FW118" i="4"/>
  <c r="FX118" i="4" s="1"/>
  <c r="FS118" i="4"/>
  <c r="FT118" i="4" s="1"/>
  <c r="FO118" i="4"/>
  <c r="FP118" i="4" s="1"/>
  <c r="FK118" i="4"/>
  <c r="FL118" i="4" s="1"/>
  <c r="FG118" i="4"/>
  <c r="FH118" i="4" s="1"/>
  <c r="FC118" i="4"/>
  <c r="FD118" i="4" s="1"/>
  <c r="EY118" i="4"/>
  <c r="EZ118" i="4" s="1"/>
  <c r="EU118" i="4"/>
  <c r="EV118" i="4" s="1"/>
  <c r="ER119" i="4"/>
  <c r="ES119" i="4" s="1"/>
  <c r="CA119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G120" i="4"/>
  <c r="AH120" i="4" s="1"/>
  <c r="Q120" i="4"/>
  <c r="R120" i="4" s="1"/>
  <c r="AK120" i="4"/>
  <c r="AL120" i="4" s="1"/>
  <c r="U120" i="4"/>
  <c r="V120" i="4" s="1"/>
  <c r="AS120" i="4"/>
  <c r="AT120" i="4" s="1"/>
  <c r="AC120" i="4"/>
  <c r="AD120" i="4" s="1"/>
  <c r="M120" i="4"/>
  <c r="N120" i="4" s="1"/>
  <c r="J111" i="4"/>
  <c r="M111" i="4"/>
  <c r="N111" i="4" s="1"/>
  <c r="Q111" i="4"/>
  <c r="R111" i="4" s="1"/>
  <c r="U111" i="4"/>
  <c r="V111" i="4" s="1"/>
  <c r="Y111" i="4"/>
  <c r="Z111" i="4" s="1"/>
  <c r="AC111" i="4"/>
  <c r="AD111" i="4" s="1"/>
  <c r="AG111" i="4"/>
  <c r="AH111" i="4" s="1"/>
  <c r="AK111" i="4"/>
  <c r="AL111" i="4" s="1"/>
  <c r="AO111" i="4"/>
  <c r="AP111" i="4" s="1"/>
  <c r="AS111" i="4"/>
  <c r="AT111" i="4" s="1"/>
  <c r="AW111" i="4"/>
  <c r="AX111" i="4" s="1"/>
  <c r="J117" i="4"/>
  <c r="M117" i="4"/>
  <c r="N117" i="4" s="1"/>
  <c r="Q117" i="4"/>
  <c r="R117" i="4" s="1"/>
  <c r="U117" i="4"/>
  <c r="V117" i="4" s="1"/>
  <c r="Y117" i="4"/>
  <c r="Z117" i="4" s="1"/>
  <c r="AC117" i="4"/>
  <c r="AD117" i="4" s="1"/>
  <c r="AG117" i="4"/>
  <c r="AH117" i="4" s="1"/>
  <c r="AK117" i="4"/>
  <c r="AL117" i="4" s="1"/>
  <c r="AO117" i="4"/>
  <c r="AP117" i="4" s="1"/>
  <c r="AS117" i="4"/>
  <c r="AT117" i="4" s="1"/>
  <c r="AW117" i="4"/>
  <c r="AX117" i="4" s="1"/>
  <c r="I118" i="4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CM122" i="4"/>
  <c r="CN122" i="4" s="1"/>
  <c r="FG122" i="4"/>
  <c r="FH122" i="4" s="1"/>
  <c r="O123" i="4"/>
  <c r="P123" i="4" s="1"/>
  <c r="U123" i="4"/>
  <c r="V123" i="4" s="1"/>
  <c r="AE123" i="4"/>
  <c r="AF123" i="4" s="1"/>
  <c r="AK123" i="4"/>
  <c r="AL123" i="4" s="1"/>
  <c r="CI123" i="4"/>
  <c r="CJ123" i="4" s="1"/>
  <c r="CO123" i="4"/>
  <c r="CP123" i="4" s="1"/>
  <c r="CY123" i="4"/>
  <c r="CZ123" i="4" s="1"/>
  <c r="DE123" i="4"/>
  <c r="DF123" i="4" s="1"/>
  <c r="DO123" i="4"/>
  <c r="DP123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ER131" i="4"/>
  <c r="ES131" i="4" s="1"/>
  <c r="CA131" i="4"/>
  <c r="GG122" i="4"/>
  <c r="GH122" i="4" s="1"/>
  <c r="GC122" i="4"/>
  <c r="GD122" i="4" s="1"/>
  <c r="FY122" i="4"/>
  <c r="FZ122" i="4" s="1"/>
  <c r="FU122" i="4"/>
  <c r="FV122" i="4" s="1"/>
  <c r="FQ122" i="4"/>
  <c r="FR122" i="4" s="1"/>
  <c r="FM122" i="4"/>
  <c r="FN122" i="4" s="1"/>
  <c r="FI122" i="4"/>
  <c r="FJ122" i="4" s="1"/>
  <c r="FE122" i="4"/>
  <c r="FF122" i="4" s="1"/>
  <c r="FA122" i="4"/>
  <c r="FB122" i="4" s="1"/>
  <c r="EW122" i="4"/>
  <c r="EX122" i="4" s="1"/>
  <c r="ET122" i="4"/>
  <c r="I125" i="4"/>
  <c r="BZ125" i="4"/>
  <c r="GA127" i="4"/>
  <c r="GB127" i="4" s="1"/>
  <c r="FK127" i="4"/>
  <c r="FL127" i="4" s="1"/>
  <c r="EU127" i="4"/>
  <c r="EV127" i="4" s="1"/>
  <c r="FI127" i="4"/>
  <c r="FJ127" i="4" s="1"/>
  <c r="FA127" i="4"/>
  <c r="FB127" i="4" s="1"/>
  <c r="GA130" i="4"/>
  <c r="GB130" i="4" s="1"/>
  <c r="FU130" i="4"/>
  <c r="FV130" i="4" s="1"/>
  <c r="FK130" i="4"/>
  <c r="FL130" i="4" s="1"/>
  <c r="FE130" i="4"/>
  <c r="FF130" i="4" s="1"/>
  <c r="EU130" i="4"/>
  <c r="EV130" i="4" s="1"/>
  <c r="GE130" i="4"/>
  <c r="GF130" i="4" s="1"/>
  <c r="FY130" i="4"/>
  <c r="FZ130" i="4" s="1"/>
  <c r="FO130" i="4"/>
  <c r="FP130" i="4" s="1"/>
  <c r="FI130" i="4"/>
  <c r="FJ130" i="4" s="1"/>
  <c r="EY130" i="4"/>
  <c r="EZ130" i="4" s="1"/>
  <c r="ET130" i="4"/>
  <c r="GG130" i="4"/>
  <c r="GH130" i="4" s="1"/>
  <c r="FW130" i="4"/>
  <c r="FX130" i="4" s="1"/>
  <c r="FQ130" i="4"/>
  <c r="FR130" i="4" s="1"/>
  <c r="FG130" i="4"/>
  <c r="FH130" i="4" s="1"/>
  <c r="FA130" i="4"/>
  <c r="FB130" i="4" s="1"/>
  <c r="DQ122" i="4"/>
  <c r="DR122" i="4" s="1"/>
  <c r="DM122" i="4"/>
  <c r="DN122" i="4" s="1"/>
  <c r="DI122" i="4"/>
  <c r="DJ122" i="4" s="1"/>
  <c r="DE122" i="4"/>
  <c r="DF122" i="4" s="1"/>
  <c r="DA122" i="4"/>
  <c r="DB122" i="4" s="1"/>
  <c r="CW122" i="4"/>
  <c r="CX122" i="4" s="1"/>
  <c r="CS122" i="4"/>
  <c r="CT122" i="4" s="1"/>
  <c r="CO122" i="4"/>
  <c r="CP122" i="4" s="1"/>
  <c r="CK122" i="4"/>
  <c r="CL122" i="4" s="1"/>
  <c r="CG122" i="4"/>
  <c r="CH122" i="4" s="1"/>
  <c r="CC122" i="4"/>
  <c r="CD122" i="4" s="1"/>
  <c r="FK122" i="4"/>
  <c r="FL122" i="4" s="1"/>
  <c r="GA122" i="4"/>
  <c r="GB122" i="4" s="1"/>
  <c r="CS123" i="4"/>
  <c r="CT123" i="4" s="1"/>
  <c r="DC123" i="4"/>
  <c r="DD123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AY133" i="4"/>
  <c r="AZ133" i="4" s="1"/>
  <c r="AU133" i="4"/>
  <c r="AV133" i="4" s="1"/>
  <c r="AQ133" i="4"/>
  <c r="AR133" i="4" s="1"/>
  <c r="AM133" i="4"/>
  <c r="AN133" i="4" s="1"/>
  <c r="AI133" i="4"/>
  <c r="AJ133" i="4" s="1"/>
  <c r="AE133" i="4"/>
  <c r="AF133" i="4" s="1"/>
  <c r="AA133" i="4"/>
  <c r="AB133" i="4" s="1"/>
  <c r="W133" i="4"/>
  <c r="X133" i="4" s="1"/>
  <c r="S133" i="4"/>
  <c r="T133" i="4" s="1"/>
  <c r="O133" i="4"/>
  <c r="P133" i="4" s="1"/>
  <c r="K133" i="4"/>
  <c r="L133" i="4" s="1"/>
  <c r="CB124" i="4"/>
  <c r="CE124" i="4"/>
  <c r="CF124" i="4" s="1"/>
  <c r="CI124" i="4"/>
  <c r="CJ124" i="4" s="1"/>
  <c r="CM124" i="4"/>
  <c r="CN124" i="4" s="1"/>
  <c r="CQ124" i="4"/>
  <c r="CR124" i="4" s="1"/>
  <c r="CU124" i="4"/>
  <c r="CV124" i="4" s="1"/>
  <c r="CY124" i="4"/>
  <c r="CZ124" i="4" s="1"/>
  <c r="DC124" i="4"/>
  <c r="DD124" i="4" s="1"/>
  <c r="DG124" i="4"/>
  <c r="DH124" i="4" s="1"/>
  <c r="DK124" i="4"/>
  <c r="DL124" i="4" s="1"/>
  <c r="DO124" i="4"/>
  <c r="DP124" i="4" s="1"/>
  <c r="AU127" i="4"/>
  <c r="AV127" i="4" s="1"/>
  <c r="AE127" i="4"/>
  <c r="AF127" i="4" s="1"/>
  <c r="O127" i="4"/>
  <c r="P127" i="4" s="1"/>
  <c r="K131" i="4"/>
  <c r="L131" i="4" s="1"/>
  <c r="AA131" i="4"/>
  <c r="AB131" i="4" s="1"/>
  <c r="AQ131" i="4"/>
  <c r="AR131" i="4" s="1"/>
  <c r="EW132" i="4"/>
  <c r="EX132" i="4" s="1"/>
  <c r="FM132" i="4"/>
  <c r="FN132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GG133" i="4"/>
  <c r="GH133" i="4" s="1"/>
  <c r="FW133" i="4"/>
  <c r="FX133" i="4" s="1"/>
  <c r="FQ133" i="4"/>
  <c r="FR133" i="4" s="1"/>
  <c r="FG133" i="4"/>
  <c r="FH133" i="4" s="1"/>
  <c r="FA133" i="4"/>
  <c r="FB133" i="4" s="1"/>
  <c r="GA133" i="4"/>
  <c r="GB133" i="4" s="1"/>
  <c r="FU133" i="4"/>
  <c r="FV133" i="4" s="1"/>
  <c r="FK133" i="4"/>
  <c r="FL133" i="4" s="1"/>
  <c r="FE133" i="4"/>
  <c r="FF133" i="4" s="1"/>
  <c r="EU133" i="4"/>
  <c r="EV133" i="4" s="1"/>
  <c r="GI133" i="4"/>
  <c r="GJ133" i="4" s="1"/>
  <c r="GC133" i="4"/>
  <c r="GD133" i="4" s="1"/>
  <c r="FS133" i="4"/>
  <c r="FT133" i="4" s="1"/>
  <c r="FM133" i="4"/>
  <c r="FN133" i="4" s="1"/>
  <c r="FC133" i="4"/>
  <c r="FD133" i="4" s="1"/>
  <c r="EW133" i="4"/>
  <c r="EX133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GI134" i="4"/>
  <c r="GJ134" i="4" s="1"/>
  <c r="FS134" i="4"/>
  <c r="FT134" i="4" s="1"/>
  <c r="FC134" i="4"/>
  <c r="FD134" i="4" s="1"/>
  <c r="FW134" i="4"/>
  <c r="FX134" i="4" s="1"/>
  <c r="FG134" i="4"/>
  <c r="FH134" i="4" s="1"/>
  <c r="GE134" i="4"/>
  <c r="GF134" i="4" s="1"/>
  <c r="FO134" i="4"/>
  <c r="FP134" i="4" s="1"/>
  <c r="EY134" i="4"/>
  <c r="EZ134" i="4" s="1"/>
  <c r="ER135" i="4"/>
  <c r="ES135" i="4" s="1"/>
  <c r="CA135" i="4"/>
  <c r="AY136" i="4"/>
  <c r="AZ136" i="4" s="1"/>
  <c r="AU136" i="4"/>
  <c r="AV136" i="4" s="1"/>
  <c r="AQ136" i="4"/>
  <c r="AR136" i="4" s="1"/>
  <c r="AM136" i="4"/>
  <c r="AN136" i="4" s="1"/>
  <c r="AI136" i="4"/>
  <c r="AJ136" i="4" s="1"/>
  <c r="AE136" i="4"/>
  <c r="AF136" i="4" s="1"/>
  <c r="AA136" i="4"/>
  <c r="AB136" i="4" s="1"/>
  <c r="W136" i="4"/>
  <c r="X136" i="4" s="1"/>
  <c r="S136" i="4"/>
  <c r="T136" i="4" s="1"/>
  <c r="O136" i="4"/>
  <c r="P136" i="4" s="1"/>
  <c r="K136" i="4"/>
  <c r="L136" i="4" s="1"/>
  <c r="AW136" i="4"/>
  <c r="AX136" i="4" s="1"/>
  <c r="AG136" i="4"/>
  <c r="AH136" i="4" s="1"/>
  <c r="Q136" i="4"/>
  <c r="R136" i="4" s="1"/>
  <c r="AK136" i="4"/>
  <c r="AL136" i="4" s="1"/>
  <c r="U136" i="4"/>
  <c r="V136" i="4" s="1"/>
  <c r="AS136" i="4"/>
  <c r="AT136" i="4" s="1"/>
  <c r="AC136" i="4"/>
  <c r="AD136" i="4" s="1"/>
  <c r="M136" i="4"/>
  <c r="N136" i="4" s="1"/>
  <c r="GA139" i="4"/>
  <c r="GB139" i="4" s="1"/>
  <c r="FU139" i="4"/>
  <c r="FV139" i="4" s="1"/>
  <c r="FK139" i="4"/>
  <c r="FL139" i="4" s="1"/>
  <c r="FE139" i="4"/>
  <c r="FF139" i="4" s="1"/>
  <c r="EU139" i="4"/>
  <c r="EV139" i="4" s="1"/>
  <c r="GE139" i="4"/>
  <c r="GF139" i="4" s="1"/>
  <c r="FY139" i="4"/>
  <c r="FZ139" i="4" s="1"/>
  <c r="FO139" i="4"/>
  <c r="FP139" i="4" s="1"/>
  <c r="FI139" i="4"/>
  <c r="FJ139" i="4" s="1"/>
  <c r="EY139" i="4"/>
  <c r="EZ139" i="4" s="1"/>
  <c r="ET139" i="4"/>
  <c r="GG139" i="4"/>
  <c r="GH139" i="4" s="1"/>
  <c r="FW139" i="4"/>
  <c r="FX139" i="4" s="1"/>
  <c r="FQ139" i="4"/>
  <c r="FR139" i="4" s="1"/>
  <c r="FG139" i="4"/>
  <c r="FH139" i="4" s="1"/>
  <c r="FA139" i="4"/>
  <c r="FB139" i="4" s="1"/>
  <c r="GC139" i="4"/>
  <c r="GD139" i="4" s="1"/>
  <c r="FC139" i="4"/>
  <c r="FD139" i="4" s="1"/>
  <c r="GI139" i="4"/>
  <c r="GJ139" i="4" s="1"/>
  <c r="FM139" i="4"/>
  <c r="FN139" i="4" s="1"/>
  <c r="DK127" i="4"/>
  <c r="DL127" i="4" s="1"/>
  <c r="AW131" i="4"/>
  <c r="AX131" i="4" s="1"/>
  <c r="AS131" i="4"/>
  <c r="AT131" i="4" s="1"/>
  <c r="AO131" i="4"/>
  <c r="AP131" i="4" s="1"/>
  <c r="AK131" i="4"/>
  <c r="AL131" i="4" s="1"/>
  <c r="AG131" i="4"/>
  <c r="AH131" i="4" s="1"/>
  <c r="AC131" i="4"/>
  <c r="AD131" i="4" s="1"/>
  <c r="Y131" i="4"/>
  <c r="Z131" i="4" s="1"/>
  <c r="U131" i="4"/>
  <c r="V131" i="4" s="1"/>
  <c r="Q131" i="4"/>
  <c r="R131" i="4" s="1"/>
  <c r="M131" i="4"/>
  <c r="N131" i="4" s="1"/>
  <c r="J131" i="4"/>
  <c r="ET132" i="4"/>
  <c r="FI132" i="4"/>
  <c r="FJ132" i="4" s="1"/>
  <c r="FY132" i="4"/>
  <c r="FZ132" i="4" s="1"/>
  <c r="CA134" i="4"/>
  <c r="ER136" i="4"/>
  <c r="ES136" i="4" s="1"/>
  <c r="CA136" i="4"/>
  <c r="CB133" i="4"/>
  <c r="CE133" i="4"/>
  <c r="CF133" i="4" s="1"/>
  <c r="CI133" i="4"/>
  <c r="CJ133" i="4" s="1"/>
  <c r="CM133" i="4"/>
  <c r="CN133" i="4" s="1"/>
  <c r="CQ133" i="4"/>
  <c r="CR133" i="4" s="1"/>
  <c r="CU133" i="4"/>
  <c r="CV133" i="4" s="1"/>
  <c r="CY133" i="4"/>
  <c r="CZ133" i="4" s="1"/>
  <c r="DI133" i="4"/>
  <c r="DJ133" i="4" s="1"/>
  <c r="W134" i="4"/>
  <c r="X134" i="4" s="1"/>
  <c r="M135" i="4"/>
  <c r="N135" i="4" s="1"/>
  <c r="W135" i="4"/>
  <c r="X135" i="4" s="1"/>
  <c r="AC135" i="4"/>
  <c r="AD135" i="4" s="1"/>
  <c r="AM135" i="4"/>
  <c r="AN135" i="4" s="1"/>
  <c r="AS135" i="4"/>
  <c r="AT135" i="4" s="1"/>
  <c r="AW134" i="4"/>
  <c r="AX134" i="4" s="1"/>
  <c r="AS134" i="4"/>
  <c r="AT134" i="4" s="1"/>
  <c r="AO134" i="4"/>
  <c r="AP134" i="4" s="1"/>
  <c r="AK134" i="4"/>
  <c r="AL134" i="4" s="1"/>
  <c r="AG134" i="4"/>
  <c r="AH134" i="4" s="1"/>
  <c r="AC134" i="4"/>
  <c r="AD134" i="4" s="1"/>
  <c r="Y134" i="4"/>
  <c r="Z134" i="4" s="1"/>
  <c r="U134" i="4"/>
  <c r="V134" i="4" s="1"/>
  <c r="Q134" i="4"/>
  <c r="R134" i="4" s="1"/>
  <c r="M134" i="4"/>
  <c r="N134" i="4" s="1"/>
  <c r="J134" i="4"/>
  <c r="I137" i="4"/>
  <c r="BZ137" i="4"/>
  <c r="ER140" i="4"/>
  <c r="ES140" i="4" s="1"/>
  <c r="CA140" i="4"/>
  <c r="AW144" i="4"/>
  <c r="AX144" i="4" s="1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AK144" i="4"/>
  <c r="AL144" i="4" s="1"/>
  <c r="U144" i="4"/>
  <c r="V144" i="4" s="1"/>
  <c r="AO144" i="4"/>
  <c r="AP144" i="4" s="1"/>
  <c r="Y144" i="4"/>
  <c r="Z144" i="4" s="1"/>
  <c r="J144" i="4"/>
  <c r="AG144" i="4"/>
  <c r="AH144" i="4" s="1"/>
  <c r="Q144" i="4"/>
  <c r="R144" i="4" s="1"/>
  <c r="CB132" i="4"/>
  <c r="CE132" i="4"/>
  <c r="CF132" i="4" s="1"/>
  <c r="CI132" i="4"/>
  <c r="CJ132" i="4" s="1"/>
  <c r="CM132" i="4"/>
  <c r="CN132" i="4" s="1"/>
  <c r="CQ132" i="4"/>
  <c r="CR132" i="4" s="1"/>
  <c r="CU132" i="4"/>
  <c r="CV132" i="4" s="1"/>
  <c r="CY132" i="4"/>
  <c r="CZ132" i="4" s="1"/>
  <c r="DC132" i="4"/>
  <c r="DD132" i="4" s="1"/>
  <c r="DG132" i="4"/>
  <c r="DH132" i="4" s="1"/>
  <c r="DK132" i="4"/>
  <c r="DL132" i="4" s="1"/>
  <c r="K134" i="4"/>
  <c r="L134" i="4" s="1"/>
  <c r="AA134" i="4"/>
  <c r="AB134" i="4" s="1"/>
  <c r="AQ134" i="4"/>
  <c r="AR134" i="4" s="1"/>
  <c r="AQ135" i="4"/>
  <c r="AR135" i="4" s="1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M144" i="4"/>
  <c r="N144" i="4" s="1"/>
  <c r="BZ147" i="4"/>
  <c r="I147" i="4"/>
  <c r="J138" i="4"/>
  <c r="M138" i="4"/>
  <c r="N138" i="4" s="1"/>
  <c r="Q138" i="4"/>
  <c r="R138" i="4" s="1"/>
  <c r="U138" i="4"/>
  <c r="V138" i="4" s="1"/>
  <c r="Y138" i="4"/>
  <c r="Z138" i="4" s="1"/>
  <c r="AC138" i="4"/>
  <c r="AD138" i="4" s="1"/>
  <c r="AG138" i="4"/>
  <c r="AH138" i="4" s="1"/>
  <c r="AK138" i="4"/>
  <c r="AL138" i="4" s="1"/>
  <c r="AO138" i="4"/>
  <c r="AP138" i="4" s="1"/>
  <c r="AS138" i="4"/>
  <c r="AT138" i="4" s="1"/>
  <c r="AW138" i="4"/>
  <c r="AX138" i="4" s="1"/>
  <c r="K143" i="4"/>
  <c r="L143" i="4" s="1"/>
  <c r="Q143" i="4"/>
  <c r="R143" i="4" s="1"/>
  <c r="AA143" i="4"/>
  <c r="AB143" i="4" s="1"/>
  <c r="AG143" i="4"/>
  <c r="AH143" i="4" s="1"/>
  <c r="AQ143" i="4"/>
  <c r="AR143" i="4" s="1"/>
  <c r="AW143" i="4"/>
  <c r="AX143" i="4" s="1"/>
  <c r="FC145" i="4"/>
  <c r="FD145" i="4" s="1"/>
  <c r="FU145" i="4"/>
  <c r="FV145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GI146" i="4"/>
  <c r="GJ146" i="4" s="1"/>
  <c r="GC146" i="4"/>
  <c r="GD146" i="4" s="1"/>
  <c r="FS146" i="4"/>
  <c r="FT146" i="4" s="1"/>
  <c r="FM146" i="4"/>
  <c r="FN146" i="4" s="1"/>
  <c r="FC146" i="4"/>
  <c r="FD146" i="4" s="1"/>
  <c r="EW146" i="4"/>
  <c r="EX146" i="4" s="1"/>
  <c r="GG146" i="4"/>
  <c r="GH146" i="4" s="1"/>
  <c r="FW146" i="4"/>
  <c r="FX146" i="4" s="1"/>
  <c r="FQ146" i="4"/>
  <c r="FR146" i="4" s="1"/>
  <c r="FG146" i="4"/>
  <c r="FH146" i="4" s="1"/>
  <c r="FA146" i="4"/>
  <c r="FB146" i="4" s="1"/>
  <c r="GE146" i="4"/>
  <c r="GF146" i="4" s="1"/>
  <c r="FY146" i="4"/>
  <c r="FZ146" i="4" s="1"/>
  <c r="FO146" i="4"/>
  <c r="FP146" i="4" s="1"/>
  <c r="FI146" i="4"/>
  <c r="FJ146" i="4" s="1"/>
  <c r="EY146" i="4"/>
  <c r="EZ146" i="4" s="1"/>
  <c r="ET146" i="4"/>
  <c r="CO151" i="4"/>
  <c r="CP151" i="4" s="1"/>
  <c r="K138" i="4"/>
  <c r="L138" i="4" s="1"/>
  <c r="O138" i="4"/>
  <c r="P138" i="4" s="1"/>
  <c r="S138" i="4"/>
  <c r="T138" i="4" s="1"/>
  <c r="W138" i="4"/>
  <c r="X138" i="4" s="1"/>
  <c r="AA138" i="4"/>
  <c r="AB138" i="4" s="1"/>
  <c r="AE138" i="4"/>
  <c r="AF138" i="4" s="1"/>
  <c r="AI138" i="4"/>
  <c r="AJ138" i="4" s="1"/>
  <c r="AM138" i="4"/>
  <c r="AN138" i="4" s="1"/>
  <c r="AQ138" i="4"/>
  <c r="AR138" i="4" s="1"/>
  <c r="AU138" i="4"/>
  <c r="AV138" i="4" s="1"/>
  <c r="J143" i="4"/>
  <c r="S143" i="4"/>
  <c r="T143" i="4" s="1"/>
  <c r="Y143" i="4"/>
  <c r="Z143" i="4" s="1"/>
  <c r="AI143" i="4"/>
  <c r="AJ143" i="4" s="1"/>
  <c r="AO143" i="4"/>
  <c r="AP143" i="4" s="1"/>
  <c r="BZ143" i="4"/>
  <c r="EU145" i="4"/>
  <c r="EV145" i="4" s="1"/>
  <c r="GG151" i="4"/>
  <c r="GH151" i="4" s="1"/>
  <c r="GA151" i="4"/>
  <c r="GB151" i="4" s="1"/>
  <c r="FQ151" i="4"/>
  <c r="FR151" i="4" s="1"/>
  <c r="FK151" i="4"/>
  <c r="FL151" i="4" s="1"/>
  <c r="FA151" i="4"/>
  <c r="FB151" i="4" s="1"/>
  <c r="EU151" i="4"/>
  <c r="EV151" i="4" s="1"/>
  <c r="GC151" i="4"/>
  <c r="GD151" i="4" s="1"/>
  <c r="FW151" i="4"/>
  <c r="FX151" i="4" s="1"/>
  <c r="FM151" i="4"/>
  <c r="FN151" i="4" s="1"/>
  <c r="FG151" i="4"/>
  <c r="FH151" i="4" s="1"/>
  <c r="EW151" i="4"/>
  <c r="EX151" i="4" s="1"/>
  <c r="GE151" i="4"/>
  <c r="GF151" i="4" s="1"/>
  <c r="FU151" i="4"/>
  <c r="FV151" i="4" s="1"/>
  <c r="EY151" i="4"/>
  <c r="EZ151" i="4" s="1"/>
  <c r="FS151" i="4"/>
  <c r="FT151" i="4" s="1"/>
  <c r="FI151" i="4"/>
  <c r="FJ151" i="4" s="1"/>
  <c r="GI151" i="4"/>
  <c r="GJ151" i="4" s="1"/>
  <c r="FY151" i="4"/>
  <c r="FZ151" i="4" s="1"/>
  <c r="FC151" i="4"/>
  <c r="FD151" i="4" s="1"/>
  <c r="ET151" i="4"/>
  <c r="AO140" i="4"/>
  <c r="AP140" i="4" s="1"/>
  <c r="Y140" i="4"/>
  <c r="Z140" i="4" s="1"/>
  <c r="J140" i="4"/>
  <c r="GI145" i="4"/>
  <c r="GJ145" i="4" s="1"/>
  <c r="GE145" i="4"/>
  <c r="GF145" i="4" s="1"/>
  <c r="GA145" i="4"/>
  <c r="GB145" i="4" s="1"/>
  <c r="FW145" i="4"/>
  <c r="FX145" i="4" s="1"/>
  <c r="FS145" i="4"/>
  <c r="FT145" i="4" s="1"/>
  <c r="FO145" i="4"/>
  <c r="FP145" i="4" s="1"/>
  <c r="GC145" i="4"/>
  <c r="GD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G145" i="4"/>
  <c r="GH145" i="4" s="1"/>
  <c r="FQ145" i="4"/>
  <c r="FR145" i="4" s="1"/>
  <c r="FY145" i="4"/>
  <c r="FZ145" i="4" s="1"/>
  <c r="DI151" i="4"/>
  <c r="DJ151" i="4" s="1"/>
  <c r="DC151" i="4"/>
  <c r="DD151" i="4" s="1"/>
  <c r="DO151" i="4"/>
  <c r="DP151" i="4" s="1"/>
  <c r="DE151" i="4"/>
  <c r="DF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DM151" i="4"/>
  <c r="DN151" i="4" s="1"/>
  <c r="CS151" i="4"/>
  <c r="CT151" i="4" s="1"/>
  <c r="CK151" i="4"/>
  <c r="CL151" i="4" s="1"/>
  <c r="CC151" i="4"/>
  <c r="CD151" i="4" s="1"/>
  <c r="DK151" i="4"/>
  <c r="DL151" i="4" s="1"/>
  <c r="DA151" i="4"/>
  <c r="DB151" i="4" s="1"/>
  <c r="DQ151" i="4"/>
  <c r="DR151" i="4" s="1"/>
  <c r="Q146" i="4"/>
  <c r="R146" i="4" s="1"/>
  <c r="W146" i="4"/>
  <c r="X146" i="4" s="1"/>
  <c r="AG146" i="4"/>
  <c r="AH146" i="4" s="1"/>
  <c r="AM146" i="4"/>
  <c r="AN146" i="4" s="1"/>
  <c r="CE146" i="4"/>
  <c r="CF146" i="4" s="1"/>
  <c r="CO146" i="4"/>
  <c r="CP146" i="4" s="1"/>
  <c r="CU146" i="4"/>
  <c r="CV146" i="4" s="1"/>
  <c r="DE146" i="4"/>
  <c r="DF146" i="4" s="1"/>
  <c r="J148" i="4"/>
  <c r="S148" i="4"/>
  <c r="T148" i="4" s="1"/>
  <c r="Y148" i="4"/>
  <c r="Z148" i="4" s="1"/>
  <c r="AI148" i="4"/>
  <c r="AJ148" i="4" s="1"/>
  <c r="AO148" i="4"/>
  <c r="AP148" i="4" s="1"/>
  <c r="AY148" i="4"/>
  <c r="AZ148" i="4" s="1"/>
  <c r="CS148" i="4"/>
  <c r="CT148" i="4" s="1"/>
  <c r="M151" i="4"/>
  <c r="N151" i="4" s="1"/>
  <c r="U151" i="4"/>
  <c r="V151" i="4" s="1"/>
  <c r="AC151" i="4"/>
  <c r="AD151" i="4" s="1"/>
  <c r="AK151" i="4"/>
  <c r="AL151" i="4" s="1"/>
  <c r="AS151" i="4"/>
  <c r="AT151" i="4" s="1"/>
  <c r="K148" i="4"/>
  <c r="L148" i="4" s="1"/>
  <c r="Q148" i="4"/>
  <c r="R148" i="4" s="1"/>
  <c r="AA148" i="4"/>
  <c r="AB148" i="4" s="1"/>
  <c r="AG148" i="4"/>
  <c r="AH148" i="4" s="1"/>
  <c r="AQ148" i="4"/>
  <c r="AR148" i="4" s="1"/>
  <c r="DA148" i="4"/>
  <c r="DB148" i="4" s="1"/>
  <c r="J151" i="4"/>
  <c r="Q151" i="4"/>
  <c r="R151" i="4" s="1"/>
  <c r="Y151" i="4"/>
  <c r="Z151" i="4" s="1"/>
  <c r="AG151" i="4"/>
  <c r="AH151" i="4" s="1"/>
  <c r="AO151" i="4"/>
  <c r="AP151" i="4" s="1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U152" i="4"/>
  <c r="V152" i="4" s="1"/>
  <c r="CO152" i="4"/>
  <c r="CP152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CA153" i="4"/>
  <c r="ER153" i="4"/>
  <c r="ES153" i="4" s="1"/>
  <c r="CA154" i="4"/>
  <c r="ER154" i="4"/>
  <c r="ES154" i="4" s="1"/>
  <c r="AY152" i="4"/>
  <c r="AZ152" i="4" s="1"/>
  <c r="AU152" i="4"/>
  <c r="AV152" i="4" s="1"/>
  <c r="AQ152" i="4"/>
  <c r="AR152" i="4" s="1"/>
  <c r="AM152" i="4"/>
  <c r="AN152" i="4" s="1"/>
  <c r="AI152" i="4"/>
  <c r="AJ152" i="4" s="1"/>
  <c r="AE152" i="4"/>
  <c r="AF152" i="4" s="1"/>
  <c r="AA152" i="4"/>
  <c r="AB152" i="4" s="1"/>
  <c r="W152" i="4"/>
  <c r="X152" i="4" s="1"/>
  <c r="S152" i="4"/>
  <c r="T152" i="4" s="1"/>
  <c r="O152" i="4"/>
  <c r="P152" i="4" s="1"/>
  <c r="K152" i="4"/>
  <c r="L152" i="4" s="1"/>
  <c r="CC152" i="4"/>
  <c r="CD152" i="4" s="1"/>
  <c r="CS152" i="4"/>
  <c r="CT152" i="4" s="1"/>
  <c r="DI152" i="4"/>
  <c r="DJ152" i="4" s="1"/>
  <c r="GG152" i="4"/>
  <c r="GH152" i="4" s="1"/>
  <c r="GC152" i="4"/>
  <c r="GD152" i="4" s="1"/>
  <c r="FY152" i="4"/>
  <c r="FZ152" i="4" s="1"/>
  <c r="FU152" i="4"/>
  <c r="FV152" i="4" s="1"/>
  <c r="FQ152" i="4"/>
  <c r="FR152" i="4" s="1"/>
  <c r="FM152" i="4"/>
  <c r="FN152" i="4" s="1"/>
  <c r="FI152" i="4"/>
  <c r="FJ152" i="4" s="1"/>
  <c r="FE152" i="4"/>
  <c r="FF152" i="4" s="1"/>
  <c r="FA152" i="4"/>
  <c r="FB152" i="4" s="1"/>
  <c r="EW152" i="4"/>
  <c r="EX152" i="4" s="1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U154" i="4"/>
  <c r="AV154" i="4" s="1"/>
  <c r="AQ154" i="4"/>
  <c r="AR154" i="4" s="1"/>
  <c r="AM154" i="4"/>
  <c r="AN154" i="4" s="1"/>
  <c r="AI154" i="4"/>
  <c r="AJ154" i="4" s="1"/>
  <c r="AE154" i="4"/>
  <c r="AF154" i="4" s="1"/>
  <c r="AA154" i="4"/>
  <c r="AB154" i="4" s="1"/>
  <c r="W154" i="4"/>
  <c r="X154" i="4" s="1"/>
  <c r="S154" i="4"/>
  <c r="T154" i="4" s="1"/>
  <c r="O154" i="4"/>
  <c r="P154" i="4" s="1"/>
  <c r="K154" i="4"/>
  <c r="L154" i="4" s="1"/>
  <c r="U140" i="4" l="1"/>
  <c r="V140" i="4" s="1"/>
  <c r="AK140" i="4"/>
  <c r="AL140" i="4" s="1"/>
  <c r="S140" i="4"/>
  <c r="T140" i="4" s="1"/>
  <c r="K140" i="4"/>
  <c r="L140" i="4" s="1"/>
  <c r="AK24" i="4"/>
  <c r="AL24" i="4" s="1"/>
  <c r="U24" i="4"/>
  <c r="V24" i="4" s="1"/>
  <c r="AM24" i="4"/>
  <c r="AN24" i="4" s="1"/>
  <c r="W24" i="4"/>
  <c r="X24" i="4" s="1"/>
  <c r="W140" i="4"/>
  <c r="X140" i="4" s="1"/>
  <c r="EW130" i="4"/>
  <c r="EX130" i="4" s="1"/>
  <c r="M140" i="4"/>
  <c r="N140" i="4" s="1"/>
  <c r="AC140" i="4"/>
  <c r="AD140" i="4" s="1"/>
  <c r="AS140" i="4"/>
  <c r="AT140" i="4" s="1"/>
  <c r="AQ140" i="4"/>
  <c r="AR140" i="4" s="1"/>
  <c r="AS24" i="4"/>
  <c r="AT24" i="4" s="1"/>
  <c r="AC24" i="4"/>
  <c r="AD24" i="4" s="1"/>
  <c r="M24" i="4"/>
  <c r="N24" i="4" s="1"/>
  <c r="AU24" i="4"/>
  <c r="AV24" i="4" s="1"/>
  <c r="AE24" i="4"/>
  <c r="AF24" i="4" s="1"/>
  <c r="K24" i="4"/>
  <c r="L24" i="4" s="1"/>
  <c r="O140" i="4"/>
  <c r="P140" i="4" s="1"/>
  <c r="AE140" i="4"/>
  <c r="AF140" i="4" s="1"/>
  <c r="Q140" i="4"/>
  <c r="R140" i="4" s="1"/>
  <c r="AG140" i="4"/>
  <c r="AH140" i="4" s="1"/>
  <c r="AW140" i="4"/>
  <c r="AX140" i="4" s="1"/>
  <c r="AI140" i="4"/>
  <c r="AJ140" i="4" s="1"/>
  <c r="AA140" i="4"/>
  <c r="AB140" i="4" s="1"/>
  <c r="AO24" i="4"/>
  <c r="AP24" i="4" s="1"/>
  <c r="Y24" i="4"/>
  <c r="Z24" i="4" s="1"/>
  <c r="J24" i="4"/>
  <c r="AQ24" i="4"/>
  <c r="AR24" i="4" s="1"/>
  <c r="AA24" i="4"/>
  <c r="AB24" i="4" s="1"/>
  <c r="AM140" i="4"/>
  <c r="AN140" i="4" s="1"/>
  <c r="AI127" i="4"/>
  <c r="AJ127" i="4" s="1"/>
  <c r="CE127" i="4"/>
  <c r="CF127" i="4" s="1"/>
  <c r="CS127" i="4"/>
  <c r="CT127" i="4" s="1"/>
  <c r="W127" i="4"/>
  <c r="X127" i="4" s="1"/>
  <c r="AM127" i="4"/>
  <c r="AN127" i="4" s="1"/>
  <c r="S127" i="4"/>
  <c r="T127" i="4" s="1"/>
  <c r="AY127" i="4"/>
  <c r="AZ127" i="4" s="1"/>
  <c r="CU127" i="4"/>
  <c r="CV127" i="4" s="1"/>
  <c r="K127" i="4"/>
  <c r="L127" i="4" s="1"/>
  <c r="AA127" i="4"/>
  <c r="AB127" i="4" s="1"/>
  <c r="AQ127" i="4"/>
  <c r="AR127" i="4" s="1"/>
  <c r="CB127" i="4"/>
  <c r="CQ127" i="4"/>
  <c r="CR127" i="4" s="1"/>
  <c r="DG127" i="4"/>
  <c r="DH127" i="4" s="1"/>
  <c r="DI127" i="4"/>
  <c r="DJ127" i="4" s="1"/>
  <c r="CI127" i="4"/>
  <c r="CJ127" i="4" s="1"/>
  <c r="CY127" i="4"/>
  <c r="CZ127" i="4" s="1"/>
  <c r="DO127" i="4"/>
  <c r="DP127" i="4" s="1"/>
  <c r="CC127" i="4"/>
  <c r="CD127" i="4" s="1"/>
  <c r="CM127" i="4"/>
  <c r="CN127" i="4" s="1"/>
  <c r="CO53" i="4"/>
  <c r="CP53" i="4" s="1"/>
  <c r="DE53" i="4"/>
  <c r="DF53" i="4" s="1"/>
  <c r="CB53" i="4"/>
  <c r="CQ53" i="4"/>
  <c r="CR53" i="4" s="1"/>
  <c r="DG53" i="4"/>
  <c r="DH53" i="4" s="1"/>
  <c r="CC53" i="4"/>
  <c r="CD53" i="4" s="1"/>
  <c r="CS53" i="4"/>
  <c r="CT53" i="4" s="1"/>
  <c r="DI53" i="4"/>
  <c r="DJ53" i="4" s="1"/>
  <c r="CE53" i="4"/>
  <c r="CF53" i="4" s="1"/>
  <c r="CU53" i="4"/>
  <c r="CV53" i="4" s="1"/>
  <c r="DO46" i="4"/>
  <c r="DP46" i="4" s="1"/>
  <c r="DQ46" i="4"/>
  <c r="DR46" i="4" s="1"/>
  <c r="DA46" i="4"/>
  <c r="DB46" i="4" s="1"/>
  <c r="CK46" i="4"/>
  <c r="CL46" i="4" s="1"/>
  <c r="CE46" i="4"/>
  <c r="CF46" i="4" s="1"/>
  <c r="DM46" i="4"/>
  <c r="DN46" i="4" s="1"/>
  <c r="CW46" i="4"/>
  <c r="CX46" i="4" s="1"/>
  <c r="CO46" i="4"/>
  <c r="CP46" i="4" s="1"/>
  <c r="CI46" i="4"/>
  <c r="CJ46" i="4" s="1"/>
  <c r="CS46" i="4"/>
  <c r="CT46" i="4" s="1"/>
  <c r="DE46" i="4"/>
  <c r="DF46" i="4" s="1"/>
  <c r="CQ46" i="4"/>
  <c r="CR46" i="4" s="1"/>
  <c r="CG46" i="4"/>
  <c r="CH46" i="4" s="1"/>
  <c r="CB46" i="4"/>
  <c r="DI46" i="4"/>
  <c r="DJ46" i="4" s="1"/>
  <c r="CM46" i="4"/>
  <c r="CN46" i="4" s="1"/>
  <c r="CC46" i="4"/>
  <c r="CD46" i="4" s="1"/>
  <c r="AW19" i="4"/>
  <c r="AX19" i="4" s="1"/>
  <c r="AQ19" i="4"/>
  <c r="AR19" i="4" s="1"/>
  <c r="U19" i="4"/>
  <c r="V19" i="4" s="1"/>
  <c r="M19" i="4"/>
  <c r="N19" i="4" s="1"/>
  <c r="ER47" i="4"/>
  <c r="ES47" i="4" s="1"/>
  <c r="CA47" i="4"/>
  <c r="ER45" i="4"/>
  <c r="ES45" i="4" s="1"/>
  <c r="CA45" i="4"/>
  <c r="DO43" i="4"/>
  <c r="DP43" i="4" s="1"/>
  <c r="DQ43" i="4"/>
  <c r="DR43" i="4" s="1"/>
  <c r="DI43" i="4"/>
  <c r="DJ43" i="4" s="1"/>
  <c r="DA43" i="4"/>
  <c r="DB43" i="4" s="1"/>
  <c r="CS43" i="4"/>
  <c r="CT43" i="4" s="1"/>
  <c r="CK43" i="4"/>
  <c r="CL43" i="4" s="1"/>
  <c r="CC43" i="4"/>
  <c r="CD43" i="4" s="1"/>
  <c r="DM43" i="4"/>
  <c r="DN43" i="4" s="1"/>
  <c r="CW43" i="4"/>
  <c r="CX43" i="4" s="1"/>
  <c r="CO43" i="4"/>
  <c r="CP43" i="4" s="1"/>
  <c r="DE43" i="4"/>
  <c r="DF43" i="4" s="1"/>
  <c r="CG43" i="4"/>
  <c r="CH43" i="4" s="1"/>
  <c r="AM19" i="4"/>
  <c r="AN19" i="4" s="1"/>
  <c r="AO19" i="4"/>
  <c r="AP19" i="4" s="1"/>
  <c r="Q19" i="4"/>
  <c r="R19" i="4" s="1"/>
  <c r="AU19" i="4"/>
  <c r="AV19" i="4" s="1"/>
  <c r="AG19" i="4"/>
  <c r="AH19" i="4" s="1"/>
  <c r="ER42" i="4"/>
  <c r="ES42" i="4" s="1"/>
  <c r="CA42" i="4"/>
  <c r="AS19" i="4"/>
  <c r="AT19" i="4" s="1"/>
  <c r="AC19" i="4"/>
  <c r="AD19" i="4" s="1"/>
  <c r="CK37" i="4"/>
  <c r="CL37" i="4" s="1"/>
  <c r="DA37" i="4"/>
  <c r="DB37" i="4" s="1"/>
  <c r="DQ37" i="4"/>
  <c r="DR37" i="4" s="1"/>
  <c r="CY37" i="4"/>
  <c r="CZ37" i="4" s="1"/>
  <c r="Y19" i="4"/>
  <c r="Z19" i="4" s="1"/>
  <c r="O37" i="4"/>
  <c r="P37" i="4" s="1"/>
  <c r="CC37" i="4"/>
  <c r="CD37" i="4" s="1"/>
  <c r="CS37" i="4"/>
  <c r="CT37" i="4" s="1"/>
  <c r="DI37" i="4"/>
  <c r="DJ37" i="4" s="1"/>
  <c r="CU37" i="4"/>
  <c r="CV37" i="4" s="1"/>
  <c r="DO37" i="4"/>
  <c r="DP37" i="4" s="1"/>
  <c r="CB37" i="4"/>
  <c r="CE37" i="4"/>
  <c r="CF37" i="4" s="1"/>
  <c r="CG37" i="4"/>
  <c r="CH37" i="4" s="1"/>
  <c r="CW37" i="4"/>
  <c r="CX37" i="4" s="1"/>
  <c r="DM37" i="4"/>
  <c r="DN37" i="4" s="1"/>
  <c r="CI37" i="4"/>
  <c r="CJ37" i="4" s="1"/>
  <c r="DK37" i="4"/>
  <c r="DL37" i="4" s="1"/>
  <c r="CM37" i="4"/>
  <c r="CN37" i="4" s="1"/>
  <c r="AY19" i="4"/>
  <c r="AZ19" i="4" s="1"/>
  <c r="S19" i="4"/>
  <c r="T19" i="4" s="1"/>
  <c r="AI19" i="4"/>
  <c r="AJ19" i="4" s="1"/>
  <c r="AA19" i="4"/>
  <c r="AB19" i="4" s="1"/>
  <c r="O19" i="4"/>
  <c r="P19" i="4" s="1"/>
  <c r="AE19" i="4"/>
  <c r="AF19" i="4" s="1"/>
  <c r="K19" i="4"/>
  <c r="L19" i="4" s="1"/>
  <c r="W19" i="4"/>
  <c r="X19" i="4" s="1"/>
  <c r="DI34" i="4"/>
  <c r="DJ34" i="4" s="1"/>
  <c r="CS34" i="4"/>
  <c r="CT34" i="4" s="1"/>
  <c r="CC34" i="4"/>
  <c r="CD34" i="4" s="1"/>
  <c r="DK34" i="4"/>
  <c r="DL34" i="4" s="1"/>
  <c r="CU34" i="4"/>
  <c r="CV34" i="4" s="1"/>
  <c r="CE34" i="4"/>
  <c r="CF34" i="4" s="1"/>
  <c r="DE34" i="4"/>
  <c r="DF34" i="4" s="1"/>
  <c r="CO34" i="4"/>
  <c r="CP34" i="4" s="1"/>
  <c r="DG34" i="4"/>
  <c r="DH34" i="4" s="1"/>
  <c r="CQ34" i="4"/>
  <c r="CR34" i="4" s="1"/>
  <c r="CA54" i="4"/>
  <c r="ER54" i="4"/>
  <c r="ES54" i="4" s="1"/>
  <c r="DO34" i="4"/>
  <c r="DP34" i="4" s="1"/>
  <c r="DM34" i="4"/>
  <c r="DN34" i="4" s="1"/>
  <c r="CW34" i="4"/>
  <c r="CX34" i="4" s="1"/>
  <c r="CG34" i="4"/>
  <c r="CH34" i="4" s="1"/>
  <c r="DQ34" i="4"/>
  <c r="DR34" i="4" s="1"/>
  <c r="CY34" i="4"/>
  <c r="CZ34" i="4" s="1"/>
  <c r="CI34" i="4"/>
  <c r="CJ34" i="4" s="1"/>
  <c r="GC34" i="4"/>
  <c r="GD34" i="4" s="1"/>
  <c r="EY34" i="4"/>
  <c r="EZ34" i="4" s="1"/>
  <c r="FE34" i="4"/>
  <c r="FF34" i="4" s="1"/>
  <c r="ER18" i="4"/>
  <c r="ES18" i="4" s="1"/>
  <c r="CE18" i="4"/>
  <c r="CF18" i="4" s="1"/>
  <c r="CU18" i="4"/>
  <c r="CV18" i="4" s="1"/>
  <c r="DK18" i="4"/>
  <c r="DL18" i="4" s="1"/>
  <c r="CK18" i="4"/>
  <c r="CL18" i="4" s="1"/>
  <c r="DA18" i="4"/>
  <c r="DB18" i="4" s="1"/>
  <c r="DQ18" i="4"/>
  <c r="DR18" i="4" s="1"/>
  <c r="CI18" i="4"/>
  <c r="CJ18" i="4" s="1"/>
  <c r="CY18" i="4"/>
  <c r="CZ18" i="4" s="1"/>
  <c r="DO18" i="4"/>
  <c r="DP18" i="4" s="1"/>
  <c r="CO18" i="4"/>
  <c r="CP18" i="4" s="1"/>
  <c r="DE18" i="4"/>
  <c r="DF18" i="4" s="1"/>
  <c r="CM18" i="4"/>
  <c r="CN18" i="4" s="1"/>
  <c r="DC18" i="4"/>
  <c r="DD18" i="4" s="1"/>
  <c r="CC18" i="4"/>
  <c r="CD18" i="4" s="1"/>
  <c r="CS18" i="4"/>
  <c r="CT18" i="4" s="1"/>
  <c r="DK148" i="4"/>
  <c r="DL148" i="4" s="1"/>
  <c r="CE148" i="4"/>
  <c r="CF148" i="4" s="1"/>
  <c r="DC148" i="4"/>
  <c r="DD148" i="4" s="1"/>
  <c r="CG148" i="4"/>
  <c r="CH148" i="4" s="1"/>
  <c r="DO148" i="4"/>
  <c r="DP148" i="4" s="1"/>
  <c r="CQ148" i="4"/>
  <c r="CR148" i="4" s="1"/>
  <c r="CU148" i="4"/>
  <c r="CV148" i="4" s="1"/>
  <c r="CM148" i="4"/>
  <c r="CN148" i="4" s="1"/>
  <c r="ER148" i="4"/>
  <c r="ES148" i="4" s="1"/>
  <c r="FU148" i="4" s="1"/>
  <c r="FV148" i="4" s="1"/>
  <c r="DM148" i="4"/>
  <c r="DN148" i="4" s="1"/>
  <c r="DE148" i="4"/>
  <c r="DF148" i="4" s="1"/>
  <c r="DQ148" i="4"/>
  <c r="DR148" i="4" s="1"/>
  <c r="CK148" i="4"/>
  <c r="CL148" i="4" s="1"/>
  <c r="DI148" i="4"/>
  <c r="DJ148" i="4" s="1"/>
  <c r="CC148" i="4"/>
  <c r="CD148" i="4" s="1"/>
  <c r="CY148" i="4"/>
  <c r="CZ148" i="4" s="1"/>
  <c r="CI148" i="4"/>
  <c r="CJ148" i="4" s="1"/>
  <c r="ER144" i="4"/>
  <c r="ES144" i="4" s="1"/>
  <c r="CA144" i="4"/>
  <c r="FM148" i="4"/>
  <c r="FN148" i="4" s="1"/>
  <c r="FG148" i="4"/>
  <c r="FH148" i="4" s="1"/>
  <c r="DO60" i="4"/>
  <c r="DP60" i="4" s="1"/>
  <c r="DM60" i="4"/>
  <c r="DN60" i="4" s="1"/>
  <c r="DE60" i="4"/>
  <c r="DF60" i="4" s="1"/>
  <c r="CW60" i="4"/>
  <c r="CX60" i="4" s="1"/>
  <c r="CO60" i="4"/>
  <c r="CP60" i="4" s="1"/>
  <c r="CG60" i="4"/>
  <c r="CH60" i="4" s="1"/>
  <c r="DA60" i="4"/>
  <c r="DB60" i="4" s="1"/>
  <c r="CC60" i="4"/>
  <c r="CD60" i="4" s="1"/>
  <c r="DQ60" i="4"/>
  <c r="DR60" i="4" s="1"/>
  <c r="CS60" i="4"/>
  <c r="CT60" i="4" s="1"/>
  <c r="DI60" i="4"/>
  <c r="DJ60" i="4" s="1"/>
  <c r="CK60" i="4"/>
  <c r="CL60" i="4" s="1"/>
  <c r="DK60" i="4"/>
  <c r="DL60" i="4" s="1"/>
  <c r="CU60" i="4"/>
  <c r="CV60" i="4" s="1"/>
  <c r="CE60" i="4"/>
  <c r="CF60" i="4" s="1"/>
  <c r="FC20" i="4"/>
  <c r="FD20" i="4" s="1"/>
  <c r="FS20" i="4"/>
  <c r="FT20" i="4" s="1"/>
  <c r="GI20" i="4"/>
  <c r="GJ20" i="4" s="1"/>
  <c r="FE20" i="4"/>
  <c r="FF20" i="4" s="1"/>
  <c r="DG60" i="4"/>
  <c r="DH60" i="4" s="1"/>
  <c r="CQ60" i="4"/>
  <c r="CR60" i="4" s="1"/>
  <c r="CB60" i="4"/>
  <c r="DO20" i="4"/>
  <c r="DP20" i="4" s="1"/>
  <c r="DQ20" i="4"/>
  <c r="DR20" i="4" s="1"/>
  <c r="DI20" i="4"/>
  <c r="DJ20" i="4" s="1"/>
  <c r="DA20" i="4"/>
  <c r="DB20" i="4" s="1"/>
  <c r="CS20" i="4"/>
  <c r="CT20" i="4" s="1"/>
  <c r="CK20" i="4"/>
  <c r="CL20" i="4" s="1"/>
  <c r="CC20" i="4"/>
  <c r="CD20" i="4" s="1"/>
  <c r="DM20" i="4"/>
  <c r="DN20" i="4" s="1"/>
  <c r="DE20" i="4"/>
  <c r="DF20" i="4" s="1"/>
  <c r="CW20" i="4"/>
  <c r="CX20" i="4" s="1"/>
  <c r="CO20" i="4"/>
  <c r="CP20" i="4" s="1"/>
  <c r="CG20" i="4"/>
  <c r="CH20" i="4" s="1"/>
  <c r="DC60" i="4"/>
  <c r="DD60" i="4" s="1"/>
  <c r="CM60" i="4"/>
  <c r="CN60" i="4" s="1"/>
  <c r="EY88" i="4"/>
  <c r="EZ88" i="4" s="1"/>
  <c r="U89" i="4"/>
  <c r="V89" i="4" s="1"/>
  <c r="FE80" i="4"/>
  <c r="FF80" i="4" s="1"/>
  <c r="FU80" i="4"/>
  <c r="FV80" i="4" s="1"/>
  <c r="AY89" i="4"/>
  <c r="AZ89" i="4" s="1"/>
  <c r="FO88" i="4"/>
  <c r="FP88" i="4" s="1"/>
  <c r="S89" i="4"/>
  <c r="T89" i="4" s="1"/>
  <c r="AK89" i="4"/>
  <c r="AL89" i="4" s="1"/>
  <c r="GE88" i="4"/>
  <c r="GF88" i="4" s="1"/>
  <c r="AI89" i="4"/>
  <c r="AJ89" i="4" s="1"/>
  <c r="DO89" i="4"/>
  <c r="DP89" i="4" s="1"/>
  <c r="O85" i="4"/>
  <c r="P85" i="4" s="1"/>
  <c r="AE85" i="4"/>
  <c r="AF85" i="4" s="1"/>
  <c r="AU85" i="4"/>
  <c r="AV85" i="4" s="1"/>
  <c r="Q85" i="4"/>
  <c r="R85" i="4" s="1"/>
  <c r="AG85" i="4"/>
  <c r="AH85" i="4" s="1"/>
  <c r="AW85" i="4"/>
  <c r="AX85" i="4" s="1"/>
  <c r="GG89" i="4"/>
  <c r="GH89" i="4" s="1"/>
  <c r="CC89" i="4"/>
  <c r="CD89" i="4" s="1"/>
  <c r="S85" i="4"/>
  <c r="T85" i="4" s="1"/>
  <c r="AI85" i="4"/>
  <c r="AJ85" i="4" s="1"/>
  <c r="AY85" i="4"/>
  <c r="AZ85" i="4" s="1"/>
  <c r="U85" i="4"/>
  <c r="V85" i="4" s="1"/>
  <c r="CS89" i="4"/>
  <c r="CT89" i="4" s="1"/>
  <c r="EU88" i="4"/>
  <c r="EV88" i="4" s="1"/>
  <c r="FK88" i="4"/>
  <c r="FL88" i="4" s="1"/>
  <c r="GA88" i="4"/>
  <c r="GB88" i="4" s="1"/>
  <c r="O89" i="4"/>
  <c r="P89" i="4" s="1"/>
  <c r="AE89" i="4"/>
  <c r="AF89" i="4" s="1"/>
  <c r="AU89" i="4"/>
  <c r="AV89" i="4" s="1"/>
  <c r="Q89" i="4"/>
  <c r="R89" i="4" s="1"/>
  <c r="AG89" i="4"/>
  <c r="AH89" i="4" s="1"/>
  <c r="AW89" i="4"/>
  <c r="AX89" i="4" s="1"/>
  <c r="FU88" i="4"/>
  <c r="FV88" i="4" s="1"/>
  <c r="CY89" i="4"/>
  <c r="CZ89" i="4" s="1"/>
  <c r="FC88" i="4"/>
  <c r="FD88" i="4" s="1"/>
  <c r="FS88" i="4"/>
  <c r="FT88" i="4" s="1"/>
  <c r="GI88" i="4"/>
  <c r="GJ88" i="4" s="1"/>
  <c r="W89" i="4"/>
  <c r="X89" i="4" s="1"/>
  <c r="AM89" i="4"/>
  <c r="AN89" i="4" s="1"/>
  <c r="J89" i="4"/>
  <c r="Y89" i="4"/>
  <c r="Z89" i="4" s="1"/>
  <c r="AO89" i="4"/>
  <c r="AP89" i="4" s="1"/>
  <c r="FY88" i="4"/>
  <c r="FZ88" i="4" s="1"/>
  <c r="GC88" i="4"/>
  <c r="GD88" i="4" s="1"/>
  <c r="FA88" i="4"/>
  <c r="FB88" i="4" s="1"/>
  <c r="FQ88" i="4"/>
  <c r="FR88" i="4" s="1"/>
  <c r="EW88" i="4"/>
  <c r="EX88" i="4" s="1"/>
  <c r="FM88" i="4"/>
  <c r="FN88" i="4" s="1"/>
  <c r="FE88" i="4"/>
  <c r="FF88" i="4" s="1"/>
  <c r="DI89" i="4"/>
  <c r="DJ89" i="4" s="1"/>
  <c r="CI89" i="4"/>
  <c r="CJ89" i="4" s="1"/>
  <c r="FG88" i="4"/>
  <c r="FH88" i="4" s="1"/>
  <c r="FW88" i="4"/>
  <c r="FX88" i="4" s="1"/>
  <c r="ET88" i="4"/>
  <c r="K89" i="4"/>
  <c r="L89" i="4" s="1"/>
  <c r="AA89" i="4"/>
  <c r="AB89" i="4" s="1"/>
  <c r="AQ89" i="4"/>
  <c r="AR89" i="4" s="1"/>
  <c r="M89" i="4"/>
  <c r="N89" i="4" s="1"/>
  <c r="AC89" i="4"/>
  <c r="AD89" i="4" s="1"/>
  <c r="GG88" i="4"/>
  <c r="GH88" i="4" s="1"/>
  <c r="GE89" i="4"/>
  <c r="GF89" i="4" s="1"/>
  <c r="FA89" i="4"/>
  <c r="FB89" i="4" s="1"/>
  <c r="EY89" i="4"/>
  <c r="EZ89" i="4" s="1"/>
  <c r="FQ89" i="4"/>
  <c r="FR89" i="4" s="1"/>
  <c r="EU89" i="4"/>
  <c r="EV89" i="4" s="1"/>
  <c r="FK89" i="4"/>
  <c r="FL89" i="4" s="1"/>
  <c r="GA89" i="4"/>
  <c r="GB89" i="4" s="1"/>
  <c r="EW89" i="4"/>
  <c r="EX89" i="4" s="1"/>
  <c r="FM89" i="4"/>
  <c r="FN89" i="4" s="1"/>
  <c r="GC89" i="4"/>
  <c r="GD89" i="4" s="1"/>
  <c r="FC89" i="4"/>
  <c r="FD89" i="4" s="1"/>
  <c r="FS89" i="4"/>
  <c r="FT89" i="4" s="1"/>
  <c r="GI89" i="4"/>
  <c r="GJ89" i="4" s="1"/>
  <c r="FE89" i="4"/>
  <c r="FF89" i="4" s="1"/>
  <c r="FU89" i="4"/>
  <c r="FV89" i="4" s="1"/>
  <c r="FG89" i="4"/>
  <c r="FH89" i="4" s="1"/>
  <c r="FW89" i="4"/>
  <c r="FX89" i="4" s="1"/>
  <c r="ET89" i="4"/>
  <c r="FI89" i="4"/>
  <c r="FJ89" i="4" s="1"/>
  <c r="DA89" i="4"/>
  <c r="DB89" i="4" s="1"/>
  <c r="CK89" i="4"/>
  <c r="CL89" i="4" s="1"/>
  <c r="DG89" i="4"/>
  <c r="DH89" i="4" s="1"/>
  <c r="CQ89" i="4"/>
  <c r="CR89" i="4" s="1"/>
  <c r="CB89" i="4"/>
  <c r="DM89" i="4"/>
  <c r="DN89" i="4" s="1"/>
  <c r="CW89" i="4"/>
  <c r="CX89" i="4" s="1"/>
  <c r="CG89" i="4"/>
  <c r="CH89" i="4" s="1"/>
  <c r="DC89" i="4"/>
  <c r="DD89" i="4" s="1"/>
  <c r="CM89" i="4"/>
  <c r="CN89" i="4" s="1"/>
  <c r="DE89" i="4"/>
  <c r="DF89" i="4" s="1"/>
  <c r="CO89" i="4"/>
  <c r="CP89" i="4" s="1"/>
  <c r="DK89" i="4"/>
  <c r="DL89" i="4" s="1"/>
  <c r="CU89" i="4"/>
  <c r="CV89" i="4" s="1"/>
  <c r="CE89" i="4"/>
  <c r="CF89" i="4" s="1"/>
  <c r="AK22" i="4"/>
  <c r="AL22" i="4" s="1"/>
  <c r="AU96" i="4"/>
  <c r="AV96" i="4" s="1"/>
  <c r="AM96" i="4"/>
  <c r="AN96" i="4" s="1"/>
  <c r="AE96" i="4"/>
  <c r="AF96" i="4" s="1"/>
  <c r="W96" i="4"/>
  <c r="X96" i="4" s="1"/>
  <c r="O96" i="4"/>
  <c r="P96" i="4" s="1"/>
  <c r="AG96" i="4"/>
  <c r="AH96" i="4" s="1"/>
  <c r="AS96" i="4"/>
  <c r="AT96" i="4" s="1"/>
  <c r="AK96" i="4"/>
  <c r="AL96" i="4" s="1"/>
  <c r="AC96" i="4"/>
  <c r="AD96" i="4" s="1"/>
  <c r="U96" i="4"/>
  <c r="V96" i="4" s="1"/>
  <c r="M96" i="4"/>
  <c r="N96" i="4" s="1"/>
  <c r="AW96" i="4"/>
  <c r="AX96" i="4" s="1"/>
  <c r="Y96" i="4"/>
  <c r="Z96" i="4" s="1"/>
  <c r="J96" i="4"/>
  <c r="AY96" i="4"/>
  <c r="AZ96" i="4" s="1"/>
  <c r="AQ96" i="4"/>
  <c r="AR96" i="4" s="1"/>
  <c r="AI96" i="4"/>
  <c r="AJ96" i="4" s="1"/>
  <c r="AA96" i="4"/>
  <c r="AB96" i="4" s="1"/>
  <c r="S96" i="4"/>
  <c r="T96" i="4" s="1"/>
  <c r="K96" i="4"/>
  <c r="L96" i="4" s="1"/>
  <c r="AO96" i="4"/>
  <c r="AP96" i="4" s="1"/>
  <c r="Q96" i="4"/>
  <c r="R96" i="4" s="1"/>
  <c r="GA96" i="4"/>
  <c r="GB96" i="4" s="1"/>
  <c r="FK96" i="4"/>
  <c r="FL96" i="4" s="1"/>
  <c r="EU96" i="4"/>
  <c r="EV96" i="4" s="1"/>
  <c r="EU113" i="4"/>
  <c r="EV113" i="4" s="1"/>
  <c r="FK113" i="4"/>
  <c r="FL113" i="4" s="1"/>
  <c r="GA113" i="4"/>
  <c r="GB113" i="4" s="1"/>
  <c r="EW113" i="4"/>
  <c r="EX113" i="4" s="1"/>
  <c r="FM113" i="4"/>
  <c r="FN113" i="4" s="1"/>
  <c r="GC113" i="4"/>
  <c r="GD113" i="4" s="1"/>
  <c r="FC113" i="4"/>
  <c r="FD113" i="4" s="1"/>
  <c r="FS113" i="4"/>
  <c r="FT113" i="4" s="1"/>
  <c r="GI113" i="4"/>
  <c r="GJ113" i="4" s="1"/>
  <c r="FE113" i="4"/>
  <c r="FF113" i="4" s="1"/>
  <c r="FU113" i="4"/>
  <c r="FV113" i="4" s="1"/>
  <c r="FG113" i="4"/>
  <c r="FH113" i="4" s="1"/>
  <c r="FW113" i="4"/>
  <c r="FX113" i="4" s="1"/>
  <c r="ET113" i="4"/>
  <c r="FI113" i="4"/>
  <c r="FJ113" i="4" s="1"/>
  <c r="U22" i="4"/>
  <c r="V22" i="4" s="1"/>
  <c r="AM22" i="4"/>
  <c r="AN22" i="4" s="1"/>
  <c r="AS22" i="4"/>
  <c r="AT22" i="4" s="1"/>
  <c r="AC22" i="4"/>
  <c r="AD22" i="4" s="1"/>
  <c r="M22" i="4"/>
  <c r="N22" i="4" s="1"/>
  <c r="AU22" i="4"/>
  <c r="AV22" i="4" s="1"/>
  <c r="AE22" i="4"/>
  <c r="AF22" i="4" s="1"/>
  <c r="O22" i="4"/>
  <c r="P22" i="4" s="1"/>
  <c r="CA113" i="4"/>
  <c r="DI113" i="4" s="1"/>
  <c r="DJ113" i="4" s="1"/>
  <c r="AO22" i="4"/>
  <c r="AP22" i="4" s="1"/>
  <c r="Y22" i="4"/>
  <c r="Z22" i="4" s="1"/>
  <c r="J22" i="4"/>
  <c r="AQ22" i="4"/>
  <c r="AR22" i="4" s="1"/>
  <c r="AA22" i="4"/>
  <c r="AB22" i="4" s="1"/>
  <c r="K22" i="4"/>
  <c r="L22" i="4" s="1"/>
  <c r="AG22" i="4"/>
  <c r="AH22" i="4" s="1"/>
  <c r="Q22" i="4"/>
  <c r="R22" i="4" s="1"/>
  <c r="AY22" i="4"/>
  <c r="AZ22" i="4" s="1"/>
  <c r="AI22" i="4"/>
  <c r="AJ22" i="4" s="1"/>
  <c r="S22" i="4"/>
  <c r="T22" i="4" s="1"/>
  <c r="ER112" i="4"/>
  <c r="ES112" i="4" s="1"/>
  <c r="CA112" i="4"/>
  <c r="AY111" i="4"/>
  <c r="AZ111" i="4" s="1"/>
  <c r="AM111" i="4"/>
  <c r="AN111" i="4" s="1"/>
  <c r="O111" i="4"/>
  <c r="P111" i="4" s="1"/>
  <c r="AQ111" i="4"/>
  <c r="AR111" i="4" s="1"/>
  <c r="AI111" i="4"/>
  <c r="AJ111" i="4" s="1"/>
  <c r="AA111" i="4"/>
  <c r="AB111" i="4" s="1"/>
  <c r="S111" i="4"/>
  <c r="T111" i="4" s="1"/>
  <c r="K111" i="4"/>
  <c r="L111" i="4" s="1"/>
  <c r="AE111" i="4"/>
  <c r="AF111" i="4" s="1"/>
  <c r="AU111" i="4"/>
  <c r="AV111" i="4" s="1"/>
  <c r="W111" i="4"/>
  <c r="X111" i="4" s="1"/>
  <c r="S24" i="4"/>
  <c r="T24" i="4" s="1"/>
  <c r="BZ27" i="4"/>
  <c r="CA27" i="4" s="1"/>
  <c r="D28" i="4"/>
  <c r="CA24" i="4"/>
  <c r="ER24" i="4"/>
  <c r="ES24" i="4" s="1"/>
  <c r="E28" i="4"/>
  <c r="H28" i="4" s="1"/>
  <c r="I28" i="4" s="1"/>
  <c r="AG28" i="4" s="1"/>
  <c r="AH28" i="4" s="1"/>
  <c r="ET127" i="4"/>
  <c r="FU127" i="4"/>
  <c r="FV127" i="4" s="1"/>
  <c r="FG127" i="4"/>
  <c r="FH127" i="4" s="1"/>
  <c r="FW127" i="4"/>
  <c r="FX127" i="4" s="1"/>
  <c r="FQ127" i="4"/>
  <c r="FR127" i="4" s="1"/>
  <c r="FY127" i="4"/>
  <c r="FZ127" i="4" s="1"/>
  <c r="EY127" i="4"/>
  <c r="EZ127" i="4" s="1"/>
  <c r="FO127" i="4"/>
  <c r="FP127" i="4" s="1"/>
  <c r="GE127" i="4"/>
  <c r="GF127" i="4" s="1"/>
  <c r="GG127" i="4"/>
  <c r="GH127" i="4" s="1"/>
  <c r="FE127" i="4"/>
  <c r="FF127" i="4" s="1"/>
  <c r="FC127" i="4"/>
  <c r="FD127" i="4" s="1"/>
  <c r="FS127" i="4"/>
  <c r="FT127" i="4" s="1"/>
  <c r="J120" i="4"/>
  <c r="Y120" i="4"/>
  <c r="Z120" i="4" s="1"/>
  <c r="AO120" i="4"/>
  <c r="AP120" i="4" s="1"/>
  <c r="AW127" i="4"/>
  <c r="AX127" i="4" s="1"/>
  <c r="AO127" i="4"/>
  <c r="AP127" i="4" s="1"/>
  <c r="Y127" i="4"/>
  <c r="Z127" i="4" s="1"/>
  <c r="M127" i="4"/>
  <c r="N127" i="4" s="1"/>
  <c r="Q127" i="4"/>
  <c r="R127" i="4" s="1"/>
  <c r="AK127" i="4"/>
  <c r="AL127" i="4" s="1"/>
  <c r="U127" i="4"/>
  <c r="V127" i="4" s="1"/>
  <c r="J127" i="4"/>
  <c r="AG127" i="4"/>
  <c r="AH127" i="4" s="1"/>
  <c r="AC127" i="4"/>
  <c r="AD127" i="4" s="1"/>
  <c r="AO27" i="4"/>
  <c r="AP27" i="4" s="1"/>
  <c r="Y27" i="4"/>
  <c r="Z27" i="4" s="1"/>
  <c r="J27" i="4"/>
  <c r="AK27" i="4"/>
  <c r="AL27" i="4" s="1"/>
  <c r="AG27" i="4"/>
  <c r="AH27" i="4" s="1"/>
  <c r="DQ127" i="4"/>
  <c r="DR127" i="4" s="1"/>
  <c r="DE127" i="4"/>
  <c r="DF127" i="4" s="1"/>
  <c r="DM127" i="4"/>
  <c r="DN127" i="4" s="1"/>
  <c r="CW127" i="4"/>
  <c r="CX127" i="4" s="1"/>
  <c r="CG127" i="4"/>
  <c r="CH127" i="4" s="1"/>
  <c r="DA127" i="4"/>
  <c r="DB127" i="4" s="1"/>
  <c r="CK127" i="4"/>
  <c r="CL127" i="4" s="1"/>
  <c r="CO127" i="4"/>
  <c r="CP127" i="4" s="1"/>
  <c r="AW27" i="4"/>
  <c r="AX27" i="4" s="1"/>
  <c r="AY27" i="4"/>
  <c r="AZ27" i="4" s="1"/>
  <c r="AQ27" i="4"/>
  <c r="AR27" i="4" s="1"/>
  <c r="AI27" i="4"/>
  <c r="AJ27" i="4" s="1"/>
  <c r="AA27" i="4"/>
  <c r="AB27" i="4" s="1"/>
  <c r="S27" i="4"/>
  <c r="T27" i="4" s="1"/>
  <c r="K27" i="4"/>
  <c r="L27" i="4" s="1"/>
  <c r="AE27" i="4"/>
  <c r="AF27" i="4" s="1"/>
  <c r="AM27" i="4"/>
  <c r="AN27" i="4" s="1"/>
  <c r="O27" i="4"/>
  <c r="P27" i="4" s="1"/>
  <c r="AU27" i="4"/>
  <c r="AV27" i="4" s="1"/>
  <c r="W27" i="4"/>
  <c r="X27" i="4" s="1"/>
  <c r="U27" i="4"/>
  <c r="V27" i="4" s="1"/>
  <c r="BZ23" i="4"/>
  <c r="I23" i="4"/>
  <c r="AS27" i="4"/>
  <c r="AT27" i="4" s="1"/>
  <c r="AC27" i="4"/>
  <c r="AD27" i="4" s="1"/>
  <c r="M27" i="4"/>
  <c r="N27" i="4" s="1"/>
  <c r="GC127" i="4"/>
  <c r="GD127" i="4" s="1"/>
  <c r="EW127" i="4"/>
  <c r="EX127" i="4" s="1"/>
  <c r="FM127" i="4"/>
  <c r="FN127" i="4" s="1"/>
  <c r="ER137" i="4"/>
  <c r="ES137" i="4" s="1"/>
  <c r="CA137" i="4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U116" i="4"/>
  <c r="AV116" i="4" s="1"/>
  <c r="AE116" i="4"/>
  <c r="AF116" i="4" s="1"/>
  <c r="O116" i="4"/>
  <c r="P116" i="4" s="1"/>
  <c r="AQ116" i="4"/>
  <c r="AR116" i="4" s="1"/>
  <c r="AA116" i="4"/>
  <c r="AB116" i="4" s="1"/>
  <c r="K116" i="4"/>
  <c r="L116" i="4" s="1"/>
  <c r="AY116" i="4"/>
  <c r="AZ116" i="4" s="1"/>
  <c r="AI116" i="4"/>
  <c r="AJ116" i="4" s="1"/>
  <c r="S116" i="4"/>
  <c r="T116" i="4" s="1"/>
  <c r="W116" i="4"/>
  <c r="X116" i="4" s="1"/>
  <c r="AM116" i="4"/>
  <c r="AN116" i="4" s="1"/>
  <c r="ER103" i="4"/>
  <c r="ES103" i="4" s="1"/>
  <c r="CA103" i="4"/>
  <c r="AY69" i="4"/>
  <c r="AZ69" i="4" s="1"/>
  <c r="AU69" i="4"/>
  <c r="AV69" i="4" s="1"/>
  <c r="AQ69" i="4"/>
  <c r="AR69" i="4" s="1"/>
  <c r="AM69" i="4"/>
  <c r="AN69" i="4" s="1"/>
  <c r="AI69" i="4"/>
  <c r="AJ69" i="4" s="1"/>
  <c r="AE69" i="4"/>
  <c r="AF69" i="4" s="1"/>
  <c r="AA69" i="4"/>
  <c r="AB69" i="4" s="1"/>
  <c r="W69" i="4"/>
  <c r="X69" i="4" s="1"/>
  <c r="S69" i="4"/>
  <c r="T69" i="4" s="1"/>
  <c r="O69" i="4"/>
  <c r="P69" i="4" s="1"/>
  <c r="K69" i="4"/>
  <c r="L69" i="4" s="1"/>
  <c r="AK69" i="4"/>
  <c r="AL69" i="4" s="1"/>
  <c r="U69" i="4"/>
  <c r="V69" i="4" s="1"/>
  <c r="AW69" i="4"/>
  <c r="AX69" i="4" s="1"/>
  <c r="AG69" i="4"/>
  <c r="AH69" i="4" s="1"/>
  <c r="Q69" i="4"/>
  <c r="R69" i="4" s="1"/>
  <c r="AO69" i="4"/>
  <c r="AP69" i="4" s="1"/>
  <c r="Y69" i="4"/>
  <c r="Z69" i="4" s="1"/>
  <c r="J69" i="4"/>
  <c r="AS69" i="4"/>
  <c r="AT69" i="4" s="1"/>
  <c r="AC69" i="4"/>
  <c r="AD69" i="4" s="1"/>
  <c r="M69" i="4"/>
  <c r="N69" i="4" s="1"/>
  <c r="ER25" i="4"/>
  <c r="ES25" i="4" s="1"/>
  <c r="CA25" i="4"/>
  <c r="ER147" i="4"/>
  <c r="ES147" i="4" s="1"/>
  <c r="CA147" i="4"/>
  <c r="AS137" i="4"/>
  <c r="AT137" i="4" s="1"/>
  <c r="AK137" i="4"/>
  <c r="AL137" i="4" s="1"/>
  <c r="AC137" i="4"/>
  <c r="AD137" i="4" s="1"/>
  <c r="W137" i="4"/>
  <c r="X137" i="4" s="1"/>
  <c r="Q137" i="4"/>
  <c r="R137" i="4" s="1"/>
  <c r="AY137" i="4"/>
  <c r="AZ137" i="4" s="1"/>
  <c r="AQ137" i="4"/>
  <c r="AR137" i="4" s="1"/>
  <c r="AI137" i="4"/>
  <c r="AJ137" i="4" s="1"/>
  <c r="AA137" i="4"/>
  <c r="AB137" i="4" s="1"/>
  <c r="U137" i="4"/>
  <c r="V137" i="4" s="1"/>
  <c r="K137" i="4"/>
  <c r="L137" i="4" s="1"/>
  <c r="AU137" i="4"/>
  <c r="AV137" i="4" s="1"/>
  <c r="AM137" i="4"/>
  <c r="AN137" i="4" s="1"/>
  <c r="AE137" i="4"/>
  <c r="AF137" i="4" s="1"/>
  <c r="S137" i="4"/>
  <c r="T137" i="4" s="1"/>
  <c r="M137" i="4"/>
  <c r="N137" i="4" s="1"/>
  <c r="AG137" i="4"/>
  <c r="AH137" i="4" s="1"/>
  <c r="J137" i="4"/>
  <c r="Y137" i="4"/>
  <c r="Z137" i="4" s="1"/>
  <c r="AO137" i="4"/>
  <c r="AP137" i="4" s="1"/>
  <c r="O137" i="4"/>
  <c r="P137" i="4" s="1"/>
  <c r="AW137" i="4"/>
  <c r="AX137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C140" i="4"/>
  <c r="DD140" i="4" s="1"/>
  <c r="CM140" i="4"/>
  <c r="CN140" i="4" s="1"/>
  <c r="DG140" i="4"/>
  <c r="DH140" i="4" s="1"/>
  <c r="CQ140" i="4"/>
  <c r="CR140" i="4" s="1"/>
  <c r="CB140" i="4"/>
  <c r="DO140" i="4"/>
  <c r="DP140" i="4" s="1"/>
  <c r="CY140" i="4"/>
  <c r="CZ140" i="4" s="1"/>
  <c r="CI140" i="4"/>
  <c r="CJ140" i="4" s="1"/>
  <c r="CE140" i="4"/>
  <c r="CF140" i="4" s="1"/>
  <c r="CU140" i="4"/>
  <c r="CV140" i="4" s="1"/>
  <c r="DK140" i="4"/>
  <c r="DL140" i="4" s="1"/>
  <c r="DQ135" i="4"/>
  <c r="DR135" i="4" s="1"/>
  <c r="DK135" i="4"/>
  <c r="DL135" i="4" s="1"/>
  <c r="DA135" i="4"/>
  <c r="DB135" i="4" s="1"/>
  <c r="CU135" i="4"/>
  <c r="CV135" i="4" s="1"/>
  <c r="CK135" i="4"/>
  <c r="CL135" i="4" s="1"/>
  <c r="CE135" i="4"/>
  <c r="CF135" i="4" s="1"/>
  <c r="DO135" i="4"/>
  <c r="DP135" i="4" s="1"/>
  <c r="DE135" i="4"/>
  <c r="DF135" i="4" s="1"/>
  <c r="CY135" i="4"/>
  <c r="CZ135" i="4" s="1"/>
  <c r="CO135" i="4"/>
  <c r="CP135" i="4" s="1"/>
  <c r="CI135" i="4"/>
  <c r="CJ135" i="4" s="1"/>
  <c r="DM135" i="4"/>
  <c r="DN135" i="4" s="1"/>
  <c r="DG135" i="4"/>
  <c r="DH135" i="4" s="1"/>
  <c r="CW135" i="4"/>
  <c r="CX135" i="4" s="1"/>
  <c r="CQ135" i="4"/>
  <c r="CR135" i="4" s="1"/>
  <c r="CG135" i="4"/>
  <c r="CH135" i="4" s="1"/>
  <c r="CB135" i="4"/>
  <c r="CS135" i="4"/>
  <c r="CT135" i="4" s="1"/>
  <c r="DI135" i="4"/>
  <c r="DJ135" i="4" s="1"/>
  <c r="CM135" i="4"/>
  <c r="CN135" i="4" s="1"/>
  <c r="CC135" i="4"/>
  <c r="CD135" i="4" s="1"/>
  <c r="DC135" i="4"/>
  <c r="DD135" i="4" s="1"/>
  <c r="AY118" i="4"/>
  <c r="AZ118" i="4" s="1"/>
  <c r="AU118" i="4"/>
  <c r="AV118" i="4" s="1"/>
  <c r="AQ118" i="4"/>
  <c r="AR118" i="4" s="1"/>
  <c r="AM118" i="4"/>
  <c r="AN118" i="4" s="1"/>
  <c r="AI118" i="4"/>
  <c r="AJ118" i="4" s="1"/>
  <c r="AE118" i="4"/>
  <c r="AF118" i="4" s="1"/>
  <c r="AA118" i="4"/>
  <c r="AB118" i="4" s="1"/>
  <c r="W118" i="4"/>
  <c r="X118" i="4" s="1"/>
  <c r="S118" i="4"/>
  <c r="T118" i="4" s="1"/>
  <c r="O118" i="4"/>
  <c r="P118" i="4" s="1"/>
  <c r="K118" i="4"/>
  <c r="L118" i="4" s="1"/>
  <c r="AS118" i="4"/>
  <c r="AT118" i="4" s="1"/>
  <c r="AC118" i="4"/>
  <c r="AD118" i="4" s="1"/>
  <c r="M118" i="4"/>
  <c r="N118" i="4" s="1"/>
  <c r="AO118" i="4"/>
  <c r="AP118" i="4" s="1"/>
  <c r="Y118" i="4"/>
  <c r="Z118" i="4" s="1"/>
  <c r="J118" i="4"/>
  <c r="AW118" i="4"/>
  <c r="AX118" i="4" s="1"/>
  <c r="AG118" i="4"/>
  <c r="AH118" i="4" s="1"/>
  <c r="Q118" i="4"/>
  <c r="R118" i="4" s="1"/>
  <c r="U118" i="4"/>
  <c r="V118" i="4" s="1"/>
  <c r="AK118" i="4"/>
  <c r="AL118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FW140" i="4"/>
  <c r="FX140" i="4" s="1"/>
  <c r="FG140" i="4"/>
  <c r="FH140" i="4" s="1"/>
  <c r="GA140" i="4"/>
  <c r="GB140" i="4" s="1"/>
  <c r="FK140" i="4"/>
  <c r="FL140" i="4" s="1"/>
  <c r="EU140" i="4"/>
  <c r="EV140" i="4" s="1"/>
  <c r="GI140" i="4"/>
  <c r="GJ140" i="4" s="1"/>
  <c r="FS140" i="4"/>
  <c r="FT140" i="4" s="1"/>
  <c r="FC140" i="4"/>
  <c r="FD140" i="4" s="1"/>
  <c r="EY140" i="4"/>
  <c r="EZ140" i="4" s="1"/>
  <c r="GE140" i="4"/>
  <c r="GF140" i="4" s="1"/>
  <c r="FO140" i="4"/>
  <c r="FP140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A136" i="4"/>
  <c r="DB136" i="4" s="1"/>
  <c r="CK136" i="4"/>
  <c r="CL136" i="4" s="1"/>
  <c r="DE136" i="4"/>
  <c r="DF136" i="4" s="1"/>
  <c r="CO136" i="4"/>
  <c r="CP136" i="4" s="1"/>
  <c r="DM136" i="4"/>
  <c r="DN136" i="4" s="1"/>
  <c r="CW136" i="4"/>
  <c r="CX136" i="4" s="1"/>
  <c r="CG136" i="4"/>
  <c r="CH136" i="4" s="1"/>
  <c r="DI136" i="4"/>
  <c r="DJ136" i="4" s="1"/>
  <c r="CS136" i="4"/>
  <c r="CT136" i="4" s="1"/>
  <c r="CC136" i="4"/>
  <c r="CD136" i="4" s="1"/>
  <c r="GI135" i="4"/>
  <c r="GJ135" i="4" s="1"/>
  <c r="FY135" i="4"/>
  <c r="FZ135" i="4" s="1"/>
  <c r="FS135" i="4"/>
  <c r="FT135" i="4" s="1"/>
  <c r="FI135" i="4"/>
  <c r="FJ135" i="4" s="1"/>
  <c r="FC135" i="4"/>
  <c r="FD135" i="4" s="1"/>
  <c r="ET135" i="4"/>
  <c r="GC135" i="4"/>
  <c r="GD135" i="4" s="1"/>
  <c r="FW135" i="4"/>
  <c r="FX135" i="4" s="1"/>
  <c r="FM135" i="4"/>
  <c r="FN135" i="4" s="1"/>
  <c r="FG135" i="4"/>
  <c r="FH135" i="4" s="1"/>
  <c r="EW135" i="4"/>
  <c r="EX135" i="4" s="1"/>
  <c r="GE135" i="4"/>
  <c r="GF135" i="4" s="1"/>
  <c r="FU135" i="4"/>
  <c r="FV135" i="4" s="1"/>
  <c r="FO135" i="4"/>
  <c r="FP135" i="4" s="1"/>
  <c r="FE135" i="4"/>
  <c r="FF135" i="4" s="1"/>
  <c r="EY135" i="4"/>
  <c r="EZ135" i="4" s="1"/>
  <c r="FA135" i="4"/>
  <c r="FB135" i="4" s="1"/>
  <c r="FQ135" i="4"/>
  <c r="FR135" i="4" s="1"/>
  <c r="EU135" i="4"/>
  <c r="EV135" i="4" s="1"/>
  <c r="GA135" i="4"/>
  <c r="GB135" i="4" s="1"/>
  <c r="FK135" i="4"/>
  <c r="FL135" i="4" s="1"/>
  <c r="GG135" i="4"/>
  <c r="GH135" i="4" s="1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AY125" i="4"/>
  <c r="AZ125" i="4" s="1"/>
  <c r="AI125" i="4"/>
  <c r="AJ125" i="4" s="1"/>
  <c r="S125" i="4"/>
  <c r="T125" i="4" s="1"/>
  <c r="AU125" i="4"/>
  <c r="AV125" i="4" s="1"/>
  <c r="AE125" i="4"/>
  <c r="AF125" i="4" s="1"/>
  <c r="O125" i="4"/>
  <c r="P125" i="4" s="1"/>
  <c r="AM125" i="4"/>
  <c r="AN125" i="4" s="1"/>
  <c r="W125" i="4"/>
  <c r="X125" i="4" s="1"/>
  <c r="AQ125" i="4"/>
  <c r="AR125" i="4" s="1"/>
  <c r="AA125" i="4"/>
  <c r="AB125" i="4" s="1"/>
  <c r="K125" i="4"/>
  <c r="L125" i="4" s="1"/>
  <c r="DQ131" i="4"/>
  <c r="DR131" i="4" s="1"/>
  <c r="DM131" i="4"/>
  <c r="DN131" i="4" s="1"/>
  <c r="DI131" i="4"/>
  <c r="DJ131" i="4" s="1"/>
  <c r="DE131" i="4"/>
  <c r="DF131" i="4" s="1"/>
  <c r="DA131" i="4"/>
  <c r="DB131" i="4" s="1"/>
  <c r="CW131" i="4"/>
  <c r="CX131" i="4" s="1"/>
  <c r="CS131" i="4"/>
  <c r="CT131" i="4" s="1"/>
  <c r="CO131" i="4"/>
  <c r="CP131" i="4" s="1"/>
  <c r="CK131" i="4"/>
  <c r="CL131" i="4" s="1"/>
  <c r="CG131" i="4"/>
  <c r="CH131" i="4" s="1"/>
  <c r="CC131" i="4"/>
  <c r="CD131" i="4" s="1"/>
  <c r="DC131" i="4"/>
  <c r="DD131" i="4" s="1"/>
  <c r="CM131" i="4"/>
  <c r="CN131" i="4" s="1"/>
  <c r="DG131" i="4"/>
  <c r="DH131" i="4" s="1"/>
  <c r="CQ131" i="4"/>
  <c r="CR131" i="4" s="1"/>
  <c r="CB131" i="4"/>
  <c r="DO131" i="4"/>
  <c r="DP131" i="4" s="1"/>
  <c r="CY131" i="4"/>
  <c r="CZ131" i="4" s="1"/>
  <c r="CI131" i="4"/>
  <c r="CJ131" i="4" s="1"/>
  <c r="CE131" i="4"/>
  <c r="CF131" i="4" s="1"/>
  <c r="DK131" i="4"/>
  <c r="DL131" i="4" s="1"/>
  <c r="CU131" i="4"/>
  <c r="CV131" i="4" s="1"/>
  <c r="GI119" i="4"/>
  <c r="GJ119" i="4" s="1"/>
  <c r="FY119" i="4"/>
  <c r="FZ119" i="4" s="1"/>
  <c r="FS119" i="4"/>
  <c r="FT119" i="4" s="1"/>
  <c r="FI119" i="4"/>
  <c r="FJ119" i="4" s="1"/>
  <c r="FC119" i="4"/>
  <c r="FD119" i="4" s="1"/>
  <c r="ET119" i="4"/>
  <c r="GC119" i="4"/>
  <c r="GD119" i="4" s="1"/>
  <c r="FW119" i="4"/>
  <c r="FX119" i="4" s="1"/>
  <c r="FM119" i="4"/>
  <c r="FN119" i="4" s="1"/>
  <c r="FG119" i="4"/>
  <c r="FH119" i="4" s="1"/>
  <c r="EW119" i="4"/>
  <c r="EX119" i="4" s="1"/>
  <c r="GE119" i="4"/>
  <c r="GF119" i="4" s="1"/>
  <c r="FU119" i="4"/>
  <c r="FV119" i="4" s="1"/>
  <c r="FO119" i="4"/>
  <c r="FP119" i="4" s="1"/>
  <c r="FE119" i="4"/>
  <c r="FF119" i="4" s="1"/>
  <c r="EY119" i="4"/>
  <c r="EZ119" i="4" s="1"/>
  <c r="FQ119" i="4"/>
  <c r="FR119" i="4" s="1"/>
  <c r="EU119" i="4"/>
  <c r="EV119" i="4" s="1"/>
  <c r="GG119" i="4"/>
  <c r="GH119" i="4" s="1"/>
  <c r="FK119" i="4"/>
  <c r="FL119" i="4" s="1"/>
  <c r="FA119" i="4"/>
  <c r="FB119" i="4" s="1"/>
  <c r="GA119" i="4"/>
  <c r="GB119" i="4" s="1"/>
  <c r="ER116" i="4"/>
  <c r="ES116" i="4" s="1"/>
  <c r="CA116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FY120" i="4"/>
  <c r="FZ120" i="4" s="1"/>
  <c r="FI120" i="4"/>
  <c r="FJ120" i="4" s="1"/>
  <c r="ET120" i="4"/>
  <c r="GC120" i="4"/>
  <c r="GD120" i="4" s="1"/>
  <c r="FM120" i="4"/>
  <c r="FN120" i="4" s="1"/>
  <c r="EW120" i="4"/>
  <c r="EX120" i="4" s="1"/>
  <c r="FU120" i="4"/>
  <c r="FV120" i="4" s="1"/>
  <c r="FE120" i="4"/>
  <c r="FF120" i="4" s="1"/>
  <c r="GG120" i="4"/>
  <c r="GH120" i="4" s="1"/>
  <c r="FQ120" i="4"/>
  <c r="FR120" i="4" s="1"/>
  <c r="FA120" i="4"/>
  <c r="FB120" i="4" s="1"/>
  <c r="ER110" i="4"/>
  <c r="ES110" i="4" s="1"/>
  <c r="CA110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AS88" i="4"/>
  <c r="AT88" i="4" s="1"/>
  <c r="AC88" i="4"/>
  <c r="AD88" i="4" s="1"/>
  <c r="M88" i="4"/>
  <c r="N88" i="4" s="1"/>
  <c r="AO88" i="4"/>
  <c r="AP88" i="4" s="1"/>
  <c r="Y88" i="4"/>
  <c r="Z88" i="4" s="1"/>
  <c r="J88" i="4"/>
  <c r="AW88" i="4"/>
  <c r="AX88" i="4" s="1"/>
  <c r="AG88" i="4"/>
  <c r="AH88" i="4" s="1"/>
  <c r="Q88" i="4"/>
  <c r="R88" i="4" s="1"/>
  <c r="AK88" i="4"/>
  <c r="AL88" i="4" s="1"/>
  <c r="U88" i="4"/>
  <c r="V88" i="4" s="1"/>
  <c r="CA121" i="4"/>
  <c r="ER121" i="4"/>
  <c r="ES121" i="4" s="1"/>
  <c r="DQ97" i="4"/>
  <c r="DR97" i="4" s="1"/>
  <c r="DK97" i="4"/>
  <c r="DL97" i="4" s="1"/>
  <c r="DA97" i="4"/>
  <c r="DB97" i="4" s="1"/>
  <c r="CU97" i="4"/>
  <c r="CV97" i="4" s="1"/>
  <c r="CK97" i="4"/>
  <c r="CL97" i="4" s="1"/>
  <c r="CE97" i="4"/>
  <c r="CF97" i="4" s="1"/>
  <c r="DO97" i="4"/>
  <c r="DP97" i="4" s="1"/>
  <c r="DE97" i="4"/>
  <c r="DF97" i="4" s="1"/>
  <c r="CY97" i="4"/>
  <c r="CZ97" i="4" s="1"/>
  <c r="CO97" i="4"/>
  <c r="CP97" i="4" s="1"/>
  <c r="CI97" i="4"/>
  <c r="CJ97" i="4" s="1"/>
  <c r="DM97" i="4"/>
  <c r="DN97" i="4" s="1"/>
  <c r="DG97" i="4"/>
  <c r="DH97" i="4" s="1"/>
  <c r="CW97" i="4"/>
  <c r="CX97" i="4" s="1"/>
  <c r="CQ97" i="4"/>
  <c r="CR97" i="4" s="1"/>
  <c r="CG97" i="4"/>
  <c r="CH97" i="4" s="1"/>
  <c r="CB97" i="4"/>
  <c r="DI97" i="4"/>
  <c r="DJ97" i="4" s="1"/>
  <c r="CM97" i="4"/>
  <c r="CN97" i="4" s="1"/>
  <c r="DC97" i="4"/>
  <c r="DD97" i="4" s="1"/>
  <c r="CS97" i="4"/>
  <c r="CT97" i="4" s="1"/>
  <c r="CC97" i="4"/>
  <c r="CD97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I92" i="4"/>
  <c r="AJ92" i="4" s="1"/>
  <c r="S92" i="4"/>
  <c r="T92" i="4" s="1"/>
  <c r="AU92" i="4"/>
  <c r="AV92" i="4" s="1"/>
  <c r="AE92" i="4"/>
  <c r="AF92" i="4" s="1"/>
  <c r="O92" i="4"/>
  <c r="P92" i="4" s="1"/>
  <c r="AM92" i="4"/>
  <c r="AN92" i="4" s="1"/>
  <c r="W92" i="4"/>
  <c r="X92" i="4" s="1"/>
  <c r="AQ92" i="4"/>
  <c r="AR92" i="4" s="1"/>
  <c r="K92" i="4"/>
  <c r="L92" i="4" s="1"/>
  <c r="AA92" i="4"/>
  <c r="AB92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GG94" i="4"/>
  <c r="GH94" i="4" s="1"/>
  <c r="FQ94" i="4"/>
  <c r="FR94" i="4" s="1"/>
  <c r="FA94" i="4"/>
  <c r="FB94" i="4" s="1"/>
  <c r="GC94" i="4"/>
  <c r="GD94" i="4" s="1"/>
  <c r="FM94" i="4"/>
  <c r="FN94" i="4" s="1"/>
  <c r="EW94" i="4"/>
  <c r="EX94" i="4" s="1"/>
  <c r="FU94" i="4"/>
  <c r="FV94" i="4" s="1"/>
  <c r="FE94" i="4"/>
  <c r="FF94" i="4" s="1"/>
  <c r="FY94" i="4"/>
  <c r="FZ94" i="4" s="1"/>
  <c r="ET94" i="4"/>
  <c r="FI94" i="4"/>
  <c r="FJ94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AQ75" i="4"/>
  <c r="AR75" i="4" s="1"/>
  <c r="AA75" i="4"/>
  <c r="AB75" i="4" s="1"/>
  <c r="K75" i="4"/>
  <c r="L75" i="4" s="1"/>
  <c r="AM75" i="4"/>
  <c r="AN75" i="4" s="1"/>
  <c r="W75" i="4"/>
  <c r="X75" i="4" s="1"/>
  <c r="AU75" i="4"/>
  <c r="AV75" i="4" s="1"/>
  <c r="AE75" i="4"/>
  <c r="AF75" i="4" s="1"/>
  <c r="O75" i="4"/>
  <c r="P75" i="4" s="1"/>
  <c r="AY75" i="4"/>
  <c r="AZ75" i="4" s="1"/>
  <c r="AI75" i="4"/>
  <c r="AJ75" i="4" s="1"/>
  <c r="S75" i="4"/>
  <c r="T75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AQ67" i="4"/>
  <c r="AR67" i="4" s="1"/>
  <c r="AA67" i="4"/>
  <c r="AB67" i="4" s="1"/>
  <c r="K67" i="4"/>
  <c r="L67" i="4" s="1"/>
  <c r="AM67" i="4"/>
  <c r="AN67" i="4" s="1"/>
  <c r="W67" i="4"/>
  <c r="X67" i="4" s="1"/>
  <c r="AU67" i="4"/>
  <c r="AV67" i="4" s="1"/>
  <c r="AE67" i="4"/>
  <c r="AF67" i="4" s="1"/>
  <c r="O67" i="4"/>
  <c r="P67" i="4" s="1"/>
  <c r="S67" i="4"/>
  <c r="T67" i="4" s="1"/>
  <c r="AY67" i="4"/>
  <c r="AZ67" i="4" s="1"/>
  <c r="AI67" i="4"/>
  <c r="AJ67" i="4" s="1"/>
  <c r="AY50" i="4"/>
  <c r="AZ50" i="4" s="1"/>
  <c r="AU50" i="4"/>
  <c r="AV50" i="4" s="1"/>
  <c r="AQ50" i="4"/>
  <c r="AR50" i="4" s="1"/>
  <c r="AM50" i="4"/>
  <c r="AN50" i="4" s="1"/>
  <c r="AI50" i="4"/>
  <c r="AJ50" i="4" s="1"/>
  <c r="AE50" i="4"/>
  <c r="AF50" i="4" s="1"/>
  <c r="AA50" i="4"/>
  <c r="AB50" i="4" s="1"/>
  <c r="W50" i="4"/>
  <c r="X50" i="4" s="1"/>
  <c r="S50" i="4"/>
  <c r="T50" i="4" s="1"/>
  <c r="O50" i="4"/>
  <c r="P50" i="4" s="1"/>
  <c r="K50" i="4"/>
  <c r="L50" i="4" s="1"/>
  <c r="AW50" i="4"/>
  <c r="AX50" i="4" s="1"/>
  <c r="AG50" i="4"/>
  <c r="AH50" i="4" s="1"/>
  <c r="Q50" i="4"/>
  <c r="R50" i="4" s="1"/>
  <c r="AO50" i="4"/>
  <c r="AP50" i="4" s="1"/>
  <c r="J50" i="4"/>
  <c r="AS50" i="4"/>
  <c r="AT50" i="4" s="1"/>
  <c r="AC50" i="4"/>
  <c r="AD50" i="4" s="1"/>
  <c r="M50" i="4"/>
  <c r="N50" i="4" s="1"/>
  <c r="AK50" i="4"/>
  <c r="AL50" i="4" s="1"/>
  <c r="U50" i="4"/>
  <c r="V50" i="4" s="1"/>
  <c r="Y50" i="4"/>
  <c r="Z5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AU48" i="4"/>
  <c r="AV48" i="4" s="1"/>
  <c r="AE48" i="4"/>
  <c r="AF48" i="4" s="1"/>
  <c r="O48" i="4"/>
  <c r="P48" i="4" s="1"/>
  <c r="AM48" i="4"/>
  <c r="AN48" i="4" s="1"/>
  <c r="AQ48" i="4"/>
  <c r="AR48" i="4" s="1"/>
  <c r="AA48" i="4"/>
  <c r="AB48" i="4" s="1"/>
  <c r="K48" i="4"/>
  <c r="L48" i="4" s="1"/>
  <c r="AY48" i="4"/>
  <c r="AZ48" i="4" s="1"/>
  <c r="AI48" i="4"/>
  <c r="AJ48" i="4" s="1"/>
  <c r="S48" i="4"/>
  <c r="T48" i="4" s="1"/>
  <c r="W48" i="4"/>
  <c r="X48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AW155" i="4"/>
  <c r="AX155" i="4" s="1"/>
  <c r="AS155" i="4"/>
  <c r="AT155" i="4" s="1"/>
  <c r="AO155" i="4"/>
  <c r="AP155" i="4" s="1"/>
  <c r="AK155" i="4"/>
  <c r="AL155" i="4" s="1"/>
  <c r="AG155" i="4"/>
  <c r="AH155" i="4" s="1"/>
  <c r="AC155" i="4"/>
  <c r="AD155" i="4" s="1"/>
  <c r="Y155" i="4"/>
  <c r="Z155" i="4" s="1"/>
  <c r="U155" i="4"/>
  <c r="V155" i="4" s="1"/>
  <c r="Q155" i="4"/>
  <c r="R155" i="4" s="1"/>
  <c r="M155" i="4"/>
  <c r="N155" i="4" s="1"/>
  <c r="J155" i="4"/>
  <c r="AY155" i="4"/>
  <c r="AZ155" i="4" s="1"/>
  <c r="AI155" i="4"/>
  <c r="AJ155" i="4" s="1"/>
  <c r="S155" i="4"/>
  <c r="T155" i="4" s="1"/>
  <c r="AQ155" i="4"/>
  <c r="AR155" i="4" s="1"/>
  <c r="AA155" i="4"/>
  <c r="AB155" i="4" s="1"/>
  <c r="K155" i="4"/>
  <c r="L155" i="4" s="1"/>
  <c r="AE155" i="4"/>
  <c r="AF155" i="4" s="1"/>
  <c r="W155" i="4"/>
  <c r="X155" i="4" s="1"/>
  <c r="AM155" i="4"/>
  <c r="AN155" i="4" s="1"/>
  <c r="O155" i="4"/>
  <c r="P155" i="4" s="1"/>
  <c r="AU155" i="4"/>
  <c r="AV155" i="4" s="1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M86" i="4"/>
  <c r="AN86" i="4" s="1"/>
  <c r="W86" i="4"/>
  <c r="X86" i="4" s="1"/>
  <c r="AY86" i="4"/>
  <c r="AZ86" i="4" s="1"/>
  <c r="AI86" i="4"/>
  <c r="AJ86" i="4" s="1"/>
  <c r="S86" i="4"/>
  <c r="T86" i="4" s="1"/>
  <c r="AQ86" i="4"/>
  <c r="AR86" i="4" s="1"/>
  <c r="AA86" i="4"/>
  <c r="AB86" i="4" s="1"/>
  <c r="K86" i="4"/>
  <c r="L86" i="4" s="1"/>
  <c r="AU86" i="4"/>
  <c r="AV86" i="4" s="1"/>
  <c r="AE86" i="4"/>
  <c r="AF86" i="4" s="1"/>
  <c r="O86" i="4"/>
  <c r="P86" i="4" s="1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Q44" i="4"/>
  <c r="AR44" i="4" s="1"/>
  <c r="AA44" i="4"/>
  <c r="AB44" i="4" s="1"/>
  <c r="K44" i="4"/>
  <c r="L44" i="4" s="1"/>
  <c r="S44" i="4"/>
  <c r="T44" i="4" s="1"/>
  <c r="AM44" i="4"/>
  <c r="AN44" i="4" s="1"/>
  <c r="W44" i="4"/>
  <c r="X44" i="4" s="1"/>
  <c r="AY44" i="4"/>
  <c r="AZ44" i="4" s="1"/>
  <c r="AU44" i="4"/>
  <c r="AV44" i="4" s="1"/>
  <c r="AE44" i="4"/>
  <c r="AF44" i="4" s="1"/>
  <c r="O44" i="4"/>
  <c r="P44" i="4" s="1"/>
  <c r="AI44" i="4"/>
  <c r="AJ44" i="4" s="1"/>
  <c r="GG22" i="4"/>
  <c r="GH22" i="4" s="1"/>
  <c r="GC22" i="4"/>
  <c r="GD22" i="4" s="1"/>
  <c r="FY22" i="4"/>
  <c r="FZ22" i="4" s="1"/>
  <c r="FU22" i="4"/>
  <c r="FV22" i="4" s="1"/>
  <c r="FQ22" i="4"/>
  <c r="FR22" i="4" s="1"/>
  <c r="FM22" i="4"/>
  <c r="FN22" i="4" s="1"/>
  <c r="FI22" i="4"/>
  <c r="FJ22" i="4" s="1"/>
  <c r="FE22" i="4"/>
  <c r="FF22" i="4" s="1"/>
  <c r="FA22" i="4"/>
  <c r="FB22" i="4" s="1"/>
  <c r="EW22" i="4"/>
  <c r="EX22" i="4" s="1"/>
  <c r="ET22" i="4"/>
  <c r="GI22" i="4"/>
  <c r="GJ22" i="4" s="1"/>
  <c r="GE22" i="4"/>
  <c r="GF22" i="4" s="1"/>
  <c r="GA22" i="4"/>
  <c r="GB22" i="4" s="1"/>
  <c r="FW22" i="4"/>
  <c r="FX22" i="4" s="1"/>
  <c r="FS22" i="4"/>
  <c r="FT22" i="4" s="1"/>
  <c r="FO22" i="4"/>
  <c r="FP22" i="4" s="1"/>
  <c r="FK22" i="4"/>
  <c r="FL22" i="4" s="1"/>
  <c r="FG22" i="4"/>
  <c r="FH22" i="4" s="1"/>
  <c r="FC22" i="4"/>
  <c r="FD22" i="4" s="1"/>
  <c r="EY22" i="4"/>
  <c r="EZ22" i="4" s="1"/>
  <c r="EU22" i="4"/>
  <c r="EV22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M147" i="4"/>
  <c r="AN147" i="4" s="1"/>
  <c r="W147" i="4"/>
  <c r="X147" i="4" s="1"/>
  <c r="AQ147" i="4"/>
  <c r="AR147" i="4" s="1"/>
  <c r="AA147" i="4"/>
  <c r="AB147" i="4" s="1"/>
  <c r="K147" i="4"/>
  <c r="L147" i="4" s="1"/>
  <c r="AY147" i="4"/>
  <c r="AZ147" i="4" s="1"/>
  <c r="AI147" i="4"/>
  <c r="AJ147" i="4" s="1"/>
  <c r="S147" i="4"/>
  <c r="T147" i="4" s="1"/>
  <c r="AU147" i="4"/>
  <c r="AV147" i="4" s="1"/>
  <c r="AE147" i="4"/>
  <c r="AF147" i="4" s="1"/>
  <c r="O147" i="4"/>
  <c r="P147" i="4" s="1"/>
  <c r="AY94" i="4"/>
  <c r="AZ94" i="4" s="1"/>
  <c r="AU94" i="4"/>
  <c r="AV94" i="4" s="1"/>
  <c r="AQ94" i="4"/>
  <c r="AR94" i="4" s="1"/>
  <c r="AM94" i="4"/>
  <c r="AN94" i="4" s="1"/>
  <c r="AI94" i="4"/>
  <c r="AJ94" i="4" s="1"/>
  <c r="AE94" i="4"/>
  <c r="AF94" i="4" s="1"/>
  <c r="AA94" i="4"/>
  <c r="AB94" i="4" s="1"/>
  <c r="W94" i="4"/>
  <c r="X94" i="4" s="1"/>
  <c r="S94" i="4"/>
  <c r="T94" i="4" s="1"/>
  <c r="O94" i="4"/>
  <c r="P94" i="4" s="1"/>
  <c r="K94" i="4"/>
  <c r="L94" i="4" s="1"/>
  <c r="AO94" i="4"/>
  <c r="AP94" i="4" s="1"/>
  <c r="Y94" i="4"/>
  <c r="Z94" i="4" s="1"/>
  <c r="J94" i="4"/>
  <c r="AK94" i="4"/>
  <c r="AL94" i="4" s="1"/>
  <c r="U94" i="4"/>
  <c r="V94" i="4" s="1"/>
  <c r="AS94" i="4"/>
  <c r="AT94" i="4" s="1"/>
  <c r="AC94" i="4"/>
  <c r="AD94" i="4" s="1"/>
  <c r="M94" i="4"/>
  <c r="N94" i="4" s="1"/>
  <c r="AG94" i="4"/>
  <c r="AH94" i="4" s="1"/>
  <c r="Q94" i="4"/>
  <c r="R94" i="4" s="1"/>
  <c r="AW94" i="4"/>
  <c r="AX94" i="4" s="1"/>
  <c r="GI97" i="4"/>
  <c r="GJ97" i="4" s="1"/>
  <c r="FY97" i="4"/>
  <c r="FZ97" i="4" s="1"/>
  <c r="FS97" i="4"/>
  <c r="FT97" i="4" s="1"/>
  <c r="FI97" i="4"/>
  <c r="FJ97" i="4" s="1"/>
  <c r="FC97" i="4"/>
  <c r="FD97" i="4" s="1"/>
  <c r="ET97" i="4"/>
  <c r="GC97" i="4"/>
  <c r="GD97" i="4" s="1"/>
  <c r="FW97" i="4"/>
  <c r="FX97" i="4" s="1"/>
  <c r="FM97" i="4"/>
  <c r="FN97" i="4" s="1"/>
  <c r="FG97" i="4"/>
  <c r="FH97" i="4" s="1"/>
  <c r="EW97" i="4"/>
  <c r="EX97" i="4" s="1"/>
  <c r="GE97" i="4"/>
  <c r="GF97" i="4" s="1"/>
  <c r="FU97" i="4"/>
  <c r="FV97" i="4" s="1"/>
  <c r="FO97" i="4"/>
  <c r="FP97" i="4" s="1"/>
  <c r="FE97" i="4"/>
  <c r="FF97" i="4" s="1"/>
  <c r="EY97" i="4"/>
  <c r="EZ97" i="4" s="1"/>
  <c r="FQ97" i="4"/>
  <c r="FR97" i="4" s="1"/>
  <c r="EU97" i="4"/>
  <c r="EV97" i="4" s="1"/>
  <c r="GG97" i="4"/>
  <c r="GH97" i="4" s="1"/>
  <c r="FK97" i="4"/>
  <c r="FL97" i="4" s="1"/>
  <c r="FA97" i="4"/>
  <c r="FB97" i="4" s="1"/>
  <c r="GA97" i="4"/>
  <c r="GB97" i="4" s="1"/>
  <c r="ER82" i="4"/>
  <c r="ES82" i="4" s="1"/>
  <c r="CA82" i="4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DE94" i="4"/>
  <c r="DF94" i="4" s="1"/>
  <c r="CO94" i="4"/>
  <c r="CP94" i="4" s="1"/>
  <c r="DQ94" i="4"/>
  <c r="DR94" i="4" s="1"/>
  <c r="DA94" i="4"/>
  <c r="DB94" i="4" s="1"/>
  <c r="CK94" i="4"/>
  <c r="CL94" i="4" s="1"/>
  <c r="DI94" i="4"/>
  <c r="DJ94" i="4" s="1"/>
  <c r="CS94" i="4"/>
  <c r="CT94" i="4" s="1"/>
  <c r="CC94" i="4"/>
  <c r="CD94" i="4" s="1"/>
  <c r="CG94" i="4"/>
  <c r="CH94" i="4" s="1"/>
  <c r="CW94" i="4"/>
  <c r="CX94" i="4" s="1"/>
  <c r="DM94" i="4"/>
  <c r="DN94" i="4" s="1"/>
  <c r="ER40" i="4"/>
  <c r="ES40" i="4" s="1"/>
  <c r="CA40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AS31" i="4"/>
  <c r="AT31" i="4" s="1"/>
  <c r="AC31" i="4"/>
  <c r="AD31" i="4" s="1"/>
  <c r="Q31" i="4"/>
  <c r="R31" i="4" s="1"/>
  <c r="AW31" i="4"/>
  <c r="AX31" i="4" s="1"/>
  <c r="AK31" i="4"/>
  <c r="AL31" i="4" s="1"/>
  <c r="U31" i="4"/>
  <c r="V31" i="4" s="1"/>
  <c r="J31" i="4"/>
  <c r="AO31" i="4"/>
  <c r="AP31" i="4" s="1"/>
  <c r="AG31" i="4"/>
  <c r="AH31" i="4" s="1"/>
  <c r="Y31" i="4"/>
  <c r="Z31" i="4" s="1"/>
  <c r="M31" i="4"/>
  <c r="N31" i="4" s="1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GC31" i="4"/>
  <c r="GD31" i="4" s="1"/>
  <c r="FQ31" i="4"/>
  <c r="FR31" i="4" s="1"/>
  <c r="FI31" i="4"/>
  <c r="FJ31" i="4" s="1"/>
  <c r="EW31" i="4"/>
  <c r="EX31" i="4" s="1"/>
  <c r="FU31" i="4"/>
  <c r="FV31" i="4" s="1"/>
  <c r="FE31" i="4"/>
  <c r="FF31" i="4" s="1"/>
  <c r="ET31" i="4"/>
  <c r="GG31" i="4"/>
  <c r="GH31" i="4" s="1"/>
  <c r="FY31" i="4"/>
  <c r="FZ31" i="4" s="1"/>
  <c r="FM31" i="4"/>
  <c r="FN31" i="4" s="1"/>
  <c r="FA31" i="4"/>
  <c r="FB31" i="4" s="1"/>
  <c r="GI19" i="4"/>
  <c r="GJ19" i="4" s="1"/>
  <c r="GE19" i="4"/>
  <c r="GF19" i="4" s="1"/>
  <c r="GA19" i="4"/>
  <c r="GB19" i="4" s="1"/>
  <c r="FW19" i="4"/>
  <c r="FX19" i="4" s="1"/>
  <c r="FS19" i="4"/>
  <c r="FT19" i="4" s="1"/>
  <c r="FO19" i="4"/>
  <c r="FP19" i="4" s="1"/>
  <c r="FK19" i="4"/>
  <c r="FL19" i="4" s="1"/>
  <c r="FG19" i="4"/>
  <c r="FH19" i="4" s="1"/>
  <c r="FC19" i="4"/>
  <c r="FD19" i="4" s="1"/>
  <c r="EY19" i="4"/>
  <c r="EZ19" i="4" s="1"/>
  <c r="EU19" i="4"/>
  <c r="EV19" i="4" s="1"/>
  <c r="GG19" i="4"/>
  <c r="GH19" i="4" s="1"/>
  <c r="GC19" i="4"/>
  <c r="GD19" i="4" s="1"/>
  <c r="FY19" i="4"/>
  <c r="FZ19" i="4" s="1"/>
  <c r="FU19" i="4"/>
  <c r="FV19" i="4" s="1"/>
  <c r="FQ19" i="4"/>
  <c r="FR19" i="4" s="1"/>
  <c r="FM19" i="4"/>
  <c r="FN19" i="4" s="1"/>
  <c r="FI19" i="4"/>
  <c r="FJ19" i="4" s="1"/>
  <c r="FE19" i="4"/>
  <c r="FF19" i="4" s="1"/>
  <c r="FA19" i="4"/>
  <c r="FB19" i="4" s="1"/>
  <c r="EW19" i="4"/>
  <c r="EX19" i="4" s="1"/>
  <c r="ET19" i="4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DQ153" i="4"/>
  <c r="DR153" i="4" s="1"/>
  <c r="DA153" i="4"/>
  <c r="DB153" i="4" s="1"/>
  <c r="DI153" i="4"/>
  <c r="DJ153" i="4" s="1"/>
  <c r="CW153" i="4"/>
  <c r="CX153" i="4" s="1"/>
  <c r="CM153" i="4"/>
  <c r="CN153" i="4" s="1"/>
  <c r="CE153" i="4"/>
  <c r="CF153" i="4" s="1"/>
  <c r="CS153" i="4"/>
  <c r="CT153" i="4" s="1"/>
  <c r="CK153" i="4"/>
  <c r="CL153" i="4" s="1"/>
  <c r="CC153" i="4"/>
  <c r="CD153" i="4" s="1"/>
  <c r="DE153" i="4"/>
  <c r="DF153" i="4" s="1"/>
  <c r="CO153" i="4"/>
  <c r="CP153" i="4" s="1"/>
  <c r="CG153" i="4"/>
  <c r="CH153" i="4" s="1"/>
  <c r="CB153" i="4"/>
  <c r="DM153" i="4"/>
  <c r="DN153" i="4" s="1"/>
  <c r="CI153" i="4"/>
  <c r="CJ153" i="4" s="1"/>
  <c r="CQ153" i="4"/>
  <c r="CR153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A107" i="4"/>
  <c r="GB107" i="4" s="1"/>
  <c r="FK107" i="4"/>
  <c r="FL107" i="4" s="1"/>
  <c r="EU107" i="4"/>
  <c r="EV107" i="4" s="1"/>
  <c r="GI107" i="4"/>
  <c r="GJ107" i="4" s="1"/>
  <c r="FS107" i="4"/>
  <c r="FT107" i="4" s="1"/>
  <c r="FC107" i="4"/>
  <c r="FD107" i="4" s="1"/>
  <c r="EY107" i="4"/>
  <c r="EZ107" i="4" s="1"/>
  <c r="FO107" i="4"/>
  <c r="FP107" i="4" s="1"/>
  <c r="GE107" i="4"/>
  <c r="GF107" i="4" s="1"/>
  <c r="ER99" i="4"/>
  <c r="ES99" i="4" s="1"/>
  <c r="CA99" i="4"/>
  <c r="ER126" i="4"/>
  <c r="ES126" i="4" s="1"/>
  <c r="CA126" i="4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AQ103" i="4"/>
  <c r="AR103" i="4" s="1"/>
  <c r="AA103" i="4"/>
  <c r="AB103" i="4" s="1"/>
  <c r="K103" i="4"/>
  <c r="L103" i="4" s="1"/>
  <c r="AM103" i="4"/>
  <c r="AN103" i="4" s="1"/>
  <c r="W103" i="4"/>
  <c r="X103" i="4" s="1"/>
  <c r="AU103" i="4"/>
  <c r="AV103" i="4" s="1"/>
  <c r="AE103" i="4"/>
  <c r="AF103" i="4" s="1"/>
  <c r="O103" i="4"/>
  <c r="P103" i="4" s="1"/>
  <c r="AI103" i="4"/>
  <c r="AJ103" i="4" s="1"/>
  <c r="S103" i="4"/>
  <c r="T103" i="4" s="1"/>
  <c r="AY103" i="4"/>
  <c r="AZ103" i="4" s="1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AK80" i="4"/>
  <c r="AL80" i="4" s="1"/>
  <c r="U80" i="4"/>
  <c r="V80" i="4" s="1"/>
  <c r="AW80" i="4"/>
  <c r="AX80" i="4" s="1"/>
  <c r="AG80" i="4"/>
  <c r="AH80" i="4" s="1"/>
  <c r="Q80" i="4"/>
  <c r="R80" i="4" s="1"/>
  <c r="AO80" i="4"/>
  <c r="AP80" i="4" s="1"/>
  <c r="Y80" i="4"/>
  <c r="Z80" i="4" s="1"/>
  <c r="J80" i="4"/>
  <c r="AS80" i="4"/>
  <c r="AT80" i="4" s="1"/>
  <c r="M80" i="4"/>
  <c r="N80" i="4" s="1"/>
  <c r="AC80" i="4"/>
  <c r="AD80" i="4" s="1"/>
  <c r="DO98" i="4"/>
  <c r="DP98" i="4" s="1"/>
  <c r="DK98" i="4"/>
  <c r="DL98" i="4" s="1"/>
  <c r="DG98" i="4"/>
  <c r="DH98" i="4" s="1"/>
  <c r="DC98" i="4"/>
  <c r="DD98" i="4" s="1"/>
  <c r="CY98" i="4"/>
  <c r="CZ98" i="4" s="1"/>
  <c r="CU98" i="4"/>
  <c r="CV98" i="4" s="1"/>
  <c r="CQ98" i="4"/>
  <c r="CR98" i="4" s="1"/>
  <c r="CM98" i="4"/>
  <c r="CN98" i="4" s="1"/>
  <c r="CI98" i="4"/>
  <c r="CJ98" i="4" s="1"/>
  <c r="CE98" i="4"/>
  <c r="CF98" i="4" s="1"/>
  <c r="CB98" i="4"/>
  <c r="DQ98" i="4"/>
  <c r="DR98" i="4" s="1"/>
  <c r="DA98" i="4"/>
  <c r="DB98" i="4" s="1"/>
  <c r="CK98" i="4"/>
  <c r="CL98" i="4" s="1"/>
  <c r="DE98" i="4"/>
  <c r="DF98" i="4" s="1"/>
  <c r="CO98" i="4"/>
  <c r="CP98" i="4" s="1"/>
  <c r="DM98" i="4"/>
  <c r="DN98" i="4" s="1"/>
  <c r="CW98" i="4"/>
  <c r="CX98" i="4" s="1"/>
  <c r="CG98" i="4"/>
  <c r="CH98" i="4" s="1"/>
  <c r="CC98" i="4"/>
  <c r="CD98" i="4" s="1"/>
  <c r="DI98" i="4"/>
  <c r="DJ98" i="4" s="1"/>
  <c r="CS98" i="4"/>
  <c r="CT98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Q82" i="4"/>
  <c r="AR82" i="4" s="1"/>
  <c r="AA82" i="4"/>
  <c r="AB82" i="4" s="1"/>
  <c r="K82" i="4"/>
  <c r="L82" i="4" s="1"/>
  <c r="AM82" i="4"/>
  <c r="AN82" i="4" s="1"/>
  <c r="W82" i="4"/>
  <c r="X82" i="4" s="1"/>
  <c r="AU82" i="4"/>
  <c r="AV82" i="4" s="1"/>
  <c r="AE82" i="4"/>
  <c r="AF82" i="4" s="1"/>
  <c r="O82" i="4"/>
  <c r="P82" i="4" s="1"/>
  <c r="AY82" i="4"/>
  <c r="AZ82" i="4" s="1"/>
  <c r="S82" i="4"/>
  <c r="T82" i="4" s="1"/>
  <c r="AI82" i="4"/>
  <c r="AJ82" i="4" s="1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AK73" i="4"/>
  <c r="AL73" i="4" s="1"/>
  <c r="U73" i="4"/>
  <c r="V73" i="4" s="1"/>
  <c r="AW73" i="4"/>
  <c r="AX73" i="4" s="1"/>
  <c r="AG73" i="4"/>
  <c r="AH73" i="4" s="1"/>
  <c r="Q73" i="4"/>
  <c r="R73" i="4" s="1"/>
  <c r="AO73" i="4"/>
  <c r="AP73" i="4" s="1"/>
  <c r="Y73" i="4"/>
  <c r="Z73" i="4" s="1"/>
  <c r="J73" i="4"/>
  <c r="M73" i="4"/>
  <c r="N73" i="4" s="1"/>
  <c r="AS73" i="4"/>
  <c r="AT73" i="4" s="1"/>
  <c r="AC73" i="4"/>
  <c r="AD73" i="4" s="1"/>
  <c r="AW63" i="4"/>
  <c r="AX63" i="4" s="1"/>
  <c r="AS63" i="4"/>
  <c r="AT63" i="4" s="1"/>
  <c r="AO63" i="4"/>
  <c r="AP63" i="4" s="1"/>
  <c r="AK63" i="4"/>
  <c r="AL63" i="4" s="1"/>
  <c r="AG63" i="4"/>
  <c r="AH63" i="4" s="1"/>
  <c r="AC63" i="4"/>
  <c r="AD63" i="4" s="1"/>
  <c r="Y63" i="4"/>
  <c r="Z63" i="4" s="1"/>
  <c r="U63" i="4"/>
  <c r="V63" i="4" s="1"/>
  <c r="Q63" i="4"/>
  <c r="R63" i="4" s="1"/>
  <c r="M63" i="4"/>
  <c r="N63" i="4" s="1"/>
  <c r="J63" i="4"/>
  <c r="AU63" i="4"/>
  <c r="AV63" i="4" s="1"/>
  <c r="AE63" i="4"/>
  <c r="AF63" i="4" s="1"/>
  <c r="O63" i="4"/>
  <c r="P63" i="4" s="1"/>
  <c r="AQ63" i="4"/>
  <c r="AR63" i="4" s="1"/>
  <c r="AA63" i="4"/>
  <c r="AB63" i="4" s="1"/>
  <c r="K63" i="4"/>
  <c r="L63" i="4" s="1"/>
  <c r="AY63" i="4"/>
  <c r="AZ63" i="4" s="1"/>
  <c r="AI63" i="4"/>
  <c r="AJ63" i="4" s="1"/>
  <c r="S63" i="4"/>
  <c r="T63" i="4" s="1"/>
  <c r="AM63" i="4"/>
  <c r="AN63" i="4" s="1"/>
  <c r="W63" i="4"/>
  <c r="X63" i="4" s="1"/>
  <c r="ER71" i="4"/>
  <c r="ES71" i="4" s="1"/>
  <c r="CA71" i="4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AM40" i="4"/>
  <c r="AN40" i="4" s="1"/>
  <c r="W40" i="4"/>
  <c r="X40" i="4" s="1"/>
  <c r="O40" i="4"/>
  <c r="P40" i="4" s="1"/>
  <c r="AY40" i="4"/>
  <c r="AZ40" i="4" s="1"/>
  <c r="AI40" i="4"/>
  <c r="AJ40" i="4" s="1"/>
  <c r="S40" i="4"/>
  <c r="T40" i="4" s="1"/>
  <c r="AU40" i="4"/>
  <c r="AV40" i="4" s="1"/>
  <c r="AQ40" i="4"/>
  <c r="AR40" i="4" s="1"/>
  <c r="AA40" i="4"/>
  <c r="AB40" i="4" s="1"/>
  <c r="K40" i="4"/>
  <c r="L40" i="4" s="1"/>
  <c r="AE40" i="4"/>
  <c r="AF40" i="4" s="1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AY52" i="4"/>
  <c r="AZ52" i="4" s="1"/>
  <c r="AI52" i="4"/>
  <c r="AJ52" i="4" s="1"/>
  <c r="S52" i="4"/>
  <c r="T52" i="4" s="1"/>
  <c r="AA52" i="4"/>
  <c r="AB52" i="4" s="1"/>
  <c r="AU52" i="4"/>
  <c r="AV52" i="4" s="1"/>
  <c r="AE52" i="4"/>
  <c r="AF52" i="4" s="1"/>
  <c r="O52" i="4"/>
  <c r="P52" i="4" s="1"/>
  <c r="K52" i="4"/>
  <c r="L52" i="4" s="1"/>
  <c r="AM52" i="4"/>
  <c r="AN52" i="4" s="1"/>
  <c r="W52" i="4"/>
  <c r="X52" i="4" s="1"/>
  <c r="AQ52" i="4"/>
  <c r="AR52" i="4" s="1"/>
  <c r="GE57" i="4"/>
  <c r="GF57" i="4" s="1"/>
  <c r="FY57" i="4"/>
  <c r="FZ57" i="4" s="1"/>
  <c r="FO57" i="4"/>
  <c r="FP57" i="4" s="1"/>
  <c r="FI57" i="4"/>
  <c r="FJ57" i="4" s="1"/>
  <c r="EY57" i="4"/>
  <c r="EZ57" i="4" s="1"/>
  <c r="ET57" i="4"/>
  <c r="GI57" i="4"/>
  <c r="GJ57" i="4" s="1"/>
  <c r="GC57" i="4"/>
  <c r="GD57" i="4" s="1"/>
  <c r="FS57" i="4"/>
  <c r="FT57" i="4" s="1"/>
  <c r="FM57" i="4"/>
  <c r="FN57" i="4" s="1"/>
  <c r="FC57" i="4"/>
  <c r="FD57" i="4" s="1"/>
  <c r="EW57" i="4"/>
  <c r="EX57" i="4" s="1"/>
  <c r="GA57" i="4"/>
  <c r="GB57" i="4" s="1"/>
  <c r="FU57" i="4"/>
  <c r="FV57" i="4" s="1"/>
  <c r="FK57" i="4"/>
  <c r="FL57" i="4" s="1"/>
  <c r="FE57" i="4"/>
  <c r="FF57" i="4" s="1"/>
  <c r="EU57" i="4"/>
  <c r="EV57" i="4" s="1"/>
  <c r="GG57" i="4"/>
  <c r="GH57" i="4" s="1"/>
  <c r="FA57" i="4"/>
  <c r="FB57" i="4" s="1"/>
  <c r="FG57" i="4"/>
  <c r="FH57" i="4" s="1"/>
  <c r="FW57" i="4"/>
  <c r="FX57" i="4" s="1"/>
  <c r="FQ57" i="4"/>
  <c r="FR57" i="4" s="1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DM31" i="4"/>
  <c r="DN31" i="4" s="1"/>
  <c r="DA31" i="4"/>
  <c r="DB31" i="4" s="1"/>
  <c r="CO31" i="4"/>
  <c r="CP31" i="4" s="1"/>
  <c r="CC31" i="4"/>
  <c r="CD31" i="4" s="1"/>
  <c r="DI31" i="4"/>
  <c r="DJ31" i="4" s="1"/>
  <c r="CW31" i="4"/>
  <c r="CX31" i="4" s="1"/>
  <c r="CG31" i="4"/>
  <c r="CH31" i="4" s="1"/>
  <c r="DQ31" i="4"/>
  <c r="DR31" i="4" s="1"/>
  <c r="DE31" i="4"/>
  <c r="DF31" i="4" s="1"/>
  <c r="CS31" i="4"/>
  <c r="CT31" i="4" s="1"/>
  <c r="CK31" i="4"/>
  <c r="CL31" i="4" s="1"/>
  <c r="DO19" i="4"/>
  <c r="DP19" i="4" s="1"/>
  <c r="DK19" i="4"/>
  <c r="DL19" i="4" s="1"/>
  <c r="DG19" i="4"/>
  <c r="DH19" i="4" s="1"/>
  <c r="DC19" i="4"/>
  <c r="DD19" i="4" s="1"/>
  <c r="CY19" i="4"/>
  <c r="CZ19" i="4" s="1"/>
  <c r="CU19" i="4"/>
  <c r="CV19" i="4" s="1"/>
  <c r="CQ19" i="4"/>
  <c r="CR19" i="4" s="1"/>
  <c r="CM19" i="4"/>
  <c r="CN19" i="4" s="1"/>
  <c r="CI19" i="4"/>
  <c r="CJ19" i="4" s="1"/>
  <c r="CE19" i="4"/>
  <c r="CF19" i="4" s="1"/>
  <c r="CB19" i="4"/>
  <c r="DQ19" i="4"/>
  <c r="DR19" i="4" s="1"/>
  <c r="DM19" i="4"/>
  <c r="DN19" i="4" s="1"/>
  <c r="DI19" i="4"/>
  <c r="DJ19" i="4" s="1"/>
  <c r="DE19" i="4"/>
  <c r="DF19" i="4" s="1"/>
  <c r="DA19" i="4"/>
  <c r="DB19" i="4" s="1"/>
  <c r="CW19" i="4"/>
  <c r="CX19" i="4" s="1"/>
  <c r="CS19" i="4"/>
  <c r="CT19" i="4" s="1"/>
  <c r="CO19" i="4"/>
  <c r="CP19" i="4" s="1"/>
  <c r="CK19" i="4"/>
  <c r="CL19" i="4" s="1"/>
  <c r="CG19" i="4"/>
  <c r="CH19" i="4" s="1"/>
  <c r="CC19" i="4"/>
  <c r="CD19" i="4" s="1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C153" i="4"/>
  <c r="GD153" i="4" s="1"/>
  <c r="FM153" i="4"/>
  <c r="FN153" i="4" s="1"/>
  <c r="EW153" i="4"/>
  <c r="EX153" i="4" s="1"/>
  <c r="FU153" i="4"/>
  <c r="FV153" i="4" s="1"/>
  <c r="FE153" i="4"/>
  <c r="FF153" i="4" s="1"/>
  <c r="FQ153" i="4"/>
  <c r="FR153" i="4" s="1"/>
  <c r="FI153" i="4"/>
  <c r="FJ153" i="4" s="1"/>
  <c r="FY153" i="4"/>
  <c r="FZ153" i="4" s="1"/>
  <c r="ET153" i="4"/>
  <c r="GG153" i="4"/>
  <c r="GH153" i="4" s="1"/>
  <c r="FA153" i="4"/>
  <c r="FB153" i="4" s="1"/>
  <c r="ER143" i="4"/>
  <c r="ES143" i="4" s="1"/>
  <c r="CA143" i="4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FY136" i="4"/>
  <c r="FZ136" i="4" s="1"/>
  <c r="FI136" i="4"/>
  <c r="FJ136" i="4" s="1"/>
  <c r="ET136" i="4"/>
  <c r="GC136" i="4"/>
  <c r="GD136" i="4" s="1"/>
  <c r="FM136" i="4"/>
  <c r="FN136" i="4" s="1"/>
  <c r="EW136" i="4"/>
  <c r="EX136" i="4" s="1"/>
  <c r="FU136" i="4"/>
  <c r="FV136" i="4" s="1"/>
  <c r="FE136" i="4"/>
  <c r="FF136" i="4" s="1"/>
  <c r="FQ136" i="4"/>
  <c r="FR136" i="4" s="1"/>
  <c r="GG136" i="4"/>
  <c r="GH136" i="4" s="1"/>
  <c r="FA136" i="4"/>
  <c r="FB136" i="4" s="1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FW131" i="4"/>
  <c r="FX131" i="4" s="1"/>
  <c r="FG131" i="4"/>
  <c r="FH131" i="4" s="1"/>
  <c r="GA131" i="4"/>
  <c r="GB131" i="4" s="1"/>
  <c r="FK131" i="4"/>
  <c r="FL131" i="4" s="1"/>
  <c r="EU131" i="4"/>
  <c r="EV131" i="4" s="1"/>
  <c r="GI131" i="4"/>
  <c r="GJ131" i="4" s="1"/>
  <c r="FS131" i="4"/>
  <c r="FT131" i="4" s="1"/>
  <c r="FC131" i="4"/>
  <c r="FD131" i="4" s="1"/>
  <c r="GE131" i="4"/>
  <c r="GF131" i="4" s="1"/>
  <c r="FO131" i="4"/>
  <c r="FP131" i="4" s="1"/>
  <c r="EY131" i="4"/>
  <c r="EZ131" i="4" s="1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O107" i="4"/>
  <c r="DP107" i="4" s="1"/>
  <c r="CY107" i="4"/>
  <c r="CZ107" i="4" s="1"/>
  <c r="CI107" i="4"/>
  <c r="CJ107" i="4" s="1"/>
  <c r="DK107" i="4"/>
  <c r="DL107" i="4" s="1"/>
  <c r="CU107" i="4"/>
  <c r="CV107" i="4" s="1"/>
  <c r="CE107" i="4"/>
  <c r="CF107" i="4" s="1"/>
  <c r="DC107" i="4"/>
  <c r="DD107" i="4" s="1"/>
  <c r="CM107" i="4"/>
  <c r="CN107" i="4" s="1"/>
  <c r="DG107" i="4"/>
  <c r="DH107" i="4" s="1"/>
  <c r="CQ107" i="4"/>
  <c r="CR107" i="4" s="1"/>
  <c r="CB107" i="4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AK77" i="4"/>
  <c r="AL77" i="4" s="1"/>
  <c r="U77" i="4"/>
  <c r="V77" i="4" s="1"/>
  <c r="AW77" i="4"/>
  <c r="AX77" i="4" s="1"/>
  <c r="AG77" i="4"/>
  <c r="AH77" i="4" s="1"/>
  <c r="Q77" i="4"/>
  <c r="R77" i="4" s="1"/>
  <c r="AO77" i="4"/>
  <c r="AP77" i="4" s="1"/>
  <c r="Y77" i="4"/>
  <c r="Z77" i="4" s="1"/>
  <c r="J77" i="4"/>
  <c r="AC77" i="4"/>
  <c r="AD77" i="4" s="1"/>
  <c r="M77" i="4"/>
  <c r="N77" i="4" s="1"/>
  <c r="AS77" i="4"/>
  <c r="AT77" i="4" s="1"/>
  <c r="ER63" i="4"/>
  <c r="ES63" i="4" s="1"/>
  <c r="CA63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ER52" i="4"/>
  <c r="ES52" i="4" s="1"/>
  <c r="CA52" i="4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DO134" i="4"/>
  <c r="DP134" i="4" s="1"/>
  <c r="CY134" i="4"/>
  <c r="CZ134" i="4" s="1"/>
  <c r="CI134" i="4"/>
  <c r="CJ134" i="4" s="1"/>
  <c r="DC134" i="4"/>
  <c r="DD134" i="4" s="1"/>
  <c r="CM134" i="4"/>
  <c r="CN134" i="4" s="1"/>
  <c r="DK134" i="4"/>
  <c r="DL134" i="4" s="1"/>
  <c r="CU134" i="4"/>
  <c r="CV134" i="4" s="1"/>
  <c r="CE134" i="4"/>
  <c r="CF134" i="4" s="1"/>
  <c r="CB134" i="4"/>
  <c r="CQ134" i="4"/>
  <c r="CR134" i="4" s="1"/>
  <c r="DG134" i="4"/>
  <c r="DH134" i="4" s="1"/>
  <c r="ER125" i="4"/>
  <c r="ES125" i="4" s="1"/>
  <c r="CA125" i="4"/>
  <c r="DQ119" i="4"/>
  <c r="DR119" i="4" s="1"/>
  <c r="DK119" i="4"/>
  <c r="DL119" i="4" s="1"/>
  <c r="DA119" i="4"/>
  <c r="DB119" i="4" s="1"/>
  <c r="CU119" i="4"/>
  <c r="CV119" i="4" s="1"/>
  <c r="DO119" i="4"/>
  <c r="DP119" i="4" s="1"/>
  <c r="DE119" i="4"/>
  <c r="DF119" i="4" s="1"/>
  <c r="CY119" i="4"/>
  <c r="CZ119" i="4" s="1"/>
  <c r="CO119" i="4"/>
  <c r="CP119" i="4" s="1"/>
  <c r="CK119" i="4"/>
  <c r="CL119" i="4" s="1"/>
  <c r="CG119" i="4"/>
  <c r="CH119" i="4" s="1"/>
  <c r="CC119" i="4"/>
  <c r="CD119" i="4" s="1"/>
  <c r="DM119" i="4"/>
  <c r="DN119" i="4" s="1"/>
  <c r="DG119" i="4"/>
  <c r="DH119" i="4" s="1"/>
  <c r="CW119" i="4"/>
  <c r="CX119" i="4" s="1"/>
  <c r="CQ119" i="4"/>
  <c r="CR119" i="4" s="1"/>
  <c r="CM119" i="4"/>
  <c r="CN119" i="4" s="1"/>
  <c r="CI119" i="4"/>
  <c r="CJ119" i="4" s="1"/>
  <c r="CE119" i="4"/>
  <c r="CF119" i="4" s="1"/>
  <c r="CB119" i="4"/>
  <c r="DI119" i="4"/>
  <c r="DJ119" i="4" s="1"/>
  <c r="DC119" i="4"/>
  <c r="DD119" i="4" s="1"/>
  <c r="CS119" i="4"/>
  <c r="CT119" i="4" s="1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A120" i="4"/>
  <c r="DB120" i="4" s="1"/>
  <c r="CK120" i="4"/>
  <c r="CL120" i="4" s="1"/>
  <c r="DE120" i="4"/>
  <c r="DF120" i="4" s="1"/>
  <c r="CO120" i="4"/>
  <c r="CP120" i="4" s="1"/>
  <c r="DM120" i="4"/>
  <c r="DN120" i="4" s="1"/>
  <c r="CW120" i="4"/>
  <c r="CX120" i="4" s="1"/>
  <c r="CG120" i="4"/>
  <c r="CH120" i="4" s="1"/>
  <c r="CC120" i="4"/>
  <c r="CD120" i="4" s="1"/>
  <c r="DI120" i="4"/>
  <c r="DJ120" i="4" s="1"/>
  <c r="CS120" i="4"/>
  <c r="CT120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AQ110" i="4"/>
  <c r="AR110" i="4" s="1"/>
  <c r="AK110" i="4"/>
  <c r="AL110" i="4" s="1"/>
  <c r="AA110" i="4"/>
  <c r="AB110" i="4" s="1"/>
  <c r="U110" i="4"/>
  <c r="V110" i="4" s="1"/>
  <c r="K110" i="4"/>
  <c r="L110" i="4" s="1"/>
  <c r="AU110" i="4"/>
  <c r="AV110" i="4" s="1"/>
  <c r="AO110" i="4"/>
  <c r="AP110" i="4" s="1"/>
  <c r="AE110" i="4"/>
  <c r="AF110" i="4" s="1"/>
  <c r="Y110" i="4"/>
  <c r="Z110" i="4" s="1"/>
  <c r="O110" i="4"/>
  <c r="P110" i="4" s="1"/>
  <c r="J110" i="4"/>
  <c r="AW110" i="4"/>
  <c r="AX110" i="4" s="1"/>
  <c r="AM110" i="4"/>
  <c r="AN110" i="4" s="1"/>
  <c r="AG110" i="4"/>
  <c r="AH110" i="4" s="1"/>
  <c r="W110" i="4"/>
  <c r="X110" i="4" s="1"/>
  <c r="Q110" i="4"/>
  <c r="R110" i="4" s="1"/>
  <c r="S110" i="4"/>
  <c r="T110" i="4" s="1"/>
  <c r="AI110" i="4"/>
  <c r="AJ110" i="4" s="1"/>
  <c r="M110" i="4"/>
  <c r="N110" i="4" s="1"/>
  <c r="AS110" i="4"/>
  <c r="AT110" i="4" s="1"/>
  <c r="AY110" i="4"/>
  <c r="AZ110" i="4" s="1"/>
  <c r="AC110" i="4"/>
  <c r="AD110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AU99" i="4"/>
  <c r="AV99" i="4" s="1"/>
  <c r="AM99" i="4"/>
  <c r="AN99" i="4" s="1"/>
  <c r="AE99" i="4"/>
  <c r="AF99" i="4" s="1"/>
  <c r="W99" i="4"/>
  <c r="X99" i="4" s="1"/>
  <c r="K99" i="4"/>
  <c r="L99" i="4" s="1"/>
  <c r="AY99" i="4"/>
  <c r="AZ99" i="4" s="1"/>
  <c r="AQ99" i="4"/>
  <c r="AR99" i="4" s="1"/>
  <c r="AI99" i="4"/>
  <c r="AJ99" i="4" s="1"/>
  <c r="AA99" i="4"/>
  <c r="AB99" i="4" s="1"/>
  <c r="S99" i="4"/>
  <c r="T99" i="4" s="1"/>
  <c r="M99" i="4"/>
  <c r="N99" i="4" s="1"/>
  <c r="J99" i="4"/>
  <c r="O99" i="4"/>
  <c r="P99" i="4" s="1"/>
  <c r="AS126" i="4"/>
  <c r="AT126" i="4" s="1"/>
  <c r="AM126" i="4"/>
  <c r="AN126" i="4" s="1"/>
  <c r="AC126" i="4"/>
  <c r="AD126" i="4" s="1"/>
  <c r="W126" i="4"/>
  <c r="X126" i="4" s="1"/>
  <c r="M126" i="4"/>
  <c r="N126" i="4" s="1"/>
  <c r="AW126" i="4"/>
  <c r="AX126" i="4" s="1"/>
  <c r="AQ126" i="4"/>
  <c r="AR126" i="4" s="1"/>
  <c r="AG126" i="4"/>
  <c r="AH126" i="4" s="1"/>
  <c r="AA126" i="4"/>
  <c r="AB126" i="4" s="1"/>
  <c r="Q126" i="4"/>
  <c r="R126" i="4" s="1"/>
  <c r="K126" i="4"/>
  <c r="L126" i="4" s="1"/>
  <c r="AY126" i="4"/>
  <c r="AZ126" i="4" s="1"/>
  <c r="AO126" i="4"/>
  <c r="AP126" i="4" s="1"/>
  <c r="AI126" i="4"/>
  <c r="AJ126" i="4" s="1"/>
  <c r="Y126" i="4"/>
  <c r="Z126" i="4" s="1"/>
  <c r="S126" i="4"/>
  <c r="T126" i="4" s="1"/>
  <c r="J126" i="4"/>
  <c r="U126" i="4"/>
  <c r="V126" i="4" s="1"/>
  <c r="AK126" i="4"/>
  <c r="AL126" i="4" s="1"/>
  <c r="O126" i="4"/>
  <c r="P126" i="4" s="1"/>
  <c r="AU126" i="4"/>
  <c r="AV126" i="4" s="1"/>
  <c r="AE126" i="4"/>
  <c r="AF126" i="4" s="1"/>
  <c r="AY84" i="4"/>
  <c r="AZ84" i="4" s="1"/>
  <c r="AU84" i="4"/>
  <c r="AV84" i="4" s="1"/>
  <c r="AQ84" i="4"/>
  <c r="AR84" i="4" s="1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W84" i="4"/>
  <c r="AX84" i="4" s="1"/>
  <c r="AG84" i="4"/>
  <c r="AH84" i="4" s="1"/>
  <c r="Q84" i="4"/>
  <c r="R84" i="4" s="1"/>
  <c r="AS84" i="4"/>
  <c r="AT84" i="4" s="1"/>
  <c r="AC84" i="4"/>
  <c r="AD84" i="4" s="1"/>
  <c r="M84" i="4"/>
  <c r="N84" i="4" s="1"/>
  <c r="AK84" i="4"/>
  <c r="AL84" i="4" s="1"/>
  <c r="U84" i="4"/>
  <c r="V84" i="4" s="1"/>
  <c r="AO84" i="4"/>
  <c r="AP84" i="4" s="1"/>
  <c r="Y84" i="4"/>
  <c r="Z84" i="4" s="1"/>
  <c r="J84" i="4"/>
  <c r="AW121" i="4"/>
  <c r="AX121" i="4" s="1"/>
  <c r="AM121" i="4"/>
  <c r="AN121" i="4" s="1"/>
  <c r="AG121" i="4"/>
  <c r="AH121" i="4" s="1"/>
  <c r="W121" i="4"/>
  <c r="X121" i="4" s="1"/>
  <c r="Q121" i="4"/>
  <c r="R121" i="4" s="1"/>
  <c r="AQ121" i="4"/>
  <c r="AR121" i="4" s="1"/>
  <c r="AK121" i="4"/>
  <c r="AL121" i="4" s="1"/>
  <c r="AA121" i="4"/>
  <c r="AB121" i="4" s="1"/>
  <c r="U121" i="4"/>
  <c r="V121" i="4" s="1"/>
  <c r="K121" i="4"/>
  <c r="L121" i="4" s="1"/>
  <c r="AY121" i="4"/>
  <c r="AZ121" i="4" s="1"/>
  <c r="AS121" i="4"/>
  <c r="AT121" i="4" s="1"/>
  <c r="AI121" i="4"/>
  <c r="AJ121" i="4" s="1"/>
  <c r="AC121" i="4"/>
  <c r="AD121" i="4" s="1"/>
  <c r="S121" i="4"/>
  <c r="T121" i="4" s="1"/>
  <c r="M121" i="4"/>
  <c r="N121" i="4" s="1"/>
  <c r="AU121" i="4"/>
  <c r="AV121" i="4" s="1"/>
  <c r="Y121" i="4"/>
  <c r="Z121" i="4" s="1"/>
  <c r="AO121" i="4"/>
  <c r="AP121" i="4" s="1"/>
  <c r="AE121" i="4"/>
  <c r="AF121" i="4" s="1"/>
  <c r="J121" i="4"/>
  <c r="O121" i="4"/>
  <c r="P121" i="4" s="1"/>
  <c r="ER92" i="4"/>
  <c r="ES92" i="4" s="1"/>
  <c r="CA92" i="4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FY84" i="4"/>
  <c r="FZ84" i="4" s="1"/>
  <c r="FI84" i="4"/>
  <c r="FJ84" i="4" s="1"/>
  <c r="ET84" i="4"/>
  <c r="FU84" i="4"/>
  <c r="FV84" i="4" s="1"/>
  <c r="FE84" i="4"/>
  <c r="FF84" i="4" s="1"/>
  <c r="GC84" i="4"/>
  <c r="GD84" i="4" s="1"/>
  <c r="FM84" i="4"/>
  <c r="FN84" i="4" s="1"/>
  <c r="EW84" i="4"/>
  <c r="EX84" i="4" s="1"/>
  <c r="GG84" i="4"/>
  <c r="GH84" i="4" s="1"/>
  <c r="FA84" i="4"/>
  <c r="FB84" i="4" s="1"/>
  <c r="FQ84" i="4"/>
  <c r="FR84" i="4" s="1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FY98" i="4"/>
  <c r="FZ98" i="4" s="1"/>
  <c r="FI98" i="4"/>
  <c r="FJ98" i="4" s="1"/>
  <c r="ET98" i="4"/>
  <c r="GC98" i="4"/>
  <c r="GD98" i="4" s="1"/>
  <c r="FM98" i="4"/>
  <c r="FN98" i="4" s="1"/>
  <c r="EW98" i="4"/>
  <c r="EX98" i="4" s="1"/>
  <c r="FU98" i="4"/>
  <c r="FV98" i="4" s="1"/>
  <c r="FE98" i="4"/>
  <c r="FF98" i="4" s="1"/>
  <c r="GG98" i="4"/>
  <c r="GH98" i="4" s="1"/>
  <c r="FQ98" i="4"/>
  <c r="FR98" i="4" s="1"/>
  <c r="FA98" i="4"/>
  <c r="FB98" i="4" s="1"/>
  <c r="AW71" i="4"/>
  <c r="AX71" i="4" s="1"/>
  <c r="AS71" i="4"/>
  <c r="AT71" i="4" s="1"/>
  <c r="AO71" i="4"/>
  <c r="AP71" i="4" s="1"/>
  <c r="AK71" i="4"/>
  <c r="AL71" i="4" s="1"/>
  <c r="AG71" i="4"/>
  <c r="AH71" i="4" s="1"/>
  <c r="AC71" i="4"/>
  <c r="AD71" i="4" s="1"/>
  <c r="Y71" i="4"/>
  <c r="Z71" i="4" s="1"/>
  <c r="U71" i="4"/>
  <c r="V71" i="4" s="1"/>
  <c r="Q71" i="4"/>
  <c r="R71" i="4" s="1"/>
  <c r="M71" i="4"/>
  <c r="N71" i="4" s="1"/>
  <c r="J71" i="4"/>
  <c r="AY71" i="4"/>
  <c r="AZ71" i="4" s="1"/>
  <c r="AI71" i="4"/>
  <c r="AJ71" i="4" s="1"/>
  <c r="S71" i="4"/>
  <c r="T71" i="4" s="1"/>
  <c r="AU71" i="4"/>
  <c r="AV71" i="4" s="1"/>
  <c r="AE71" i="4"/>
  <c r="AF71" i="4" s="1"/>
  <c r="O71" i="4"/>
  <c r="P71" i="4" s="1"/>
  <c r="AM71" i="4"/>
  <c r="AN71" i="4" s="1"/>
  <c r="W71" i="4"/>
  <c r="X71" i="4" s="1"/>
  <c r="AA71" i="4"/>
  <c r="AB71" i="4" s="1"/>
  <c r="K71" i="4"/>
  <c r="L71" i="4" s="1"/>
  <c r="AQ71" i="4"/>
  <c r="AR71" i="4" s="1"/>
  <c r="ER75" i="4"/>
  <c r="ES75" i="4" s="1"/>
  <c r="CA75" i="4"/>
  <c r="ER67" i="4"/>
  <c r="ES67" i="4" s="1"/>
  <c r="CA67" i="4"/>
  <c r="ER48" i="4"/>
  <c r="ES48" i="4" s="1"/>
  <c r="CA48" i="4"/>
  <c r="ER155" i="4"/>
  <c r="ES155" i="4" s="1"/>
  <c r="CA155" i="4"/>
  <c r="ER86" i="4"/>
  <c r="ES86" i="4" s="1"/>
  <c r="CA86" i="4"/>
  <c r="DK57" i="4"/>
  <c r="DL57" i="4" s="1"/>
  <c r="DE57" i="4"/>
  <c r="DF57" i="4" s="1"/>
  <c r="CU57" i="4"/>
  <c r="CV57" i="4" s="1"/>
  <c r="CO57" i="4"/>
  <c r="CP57" i="4" s="1"/>
  <c r="CE57" i="4"/>
  <c r="CF57" i="4" s="1"/>
  <c r="DO57" i="4"/>
  <c r="DP57" i="4" s="1"/>
  <c r="DI57" i="4"/>
  <c r="DJ57" i="4" s="1"/>
  <c r="CY57" i="4"/>
  <c r="CZ57" i="4" s="1"/>
  <c r="CS57" i="4"/>
  <c r="CT57" i="4" s="1"/>
  <c r="CI57" i="4"/>
  <c r="CJ57" i="4" s="1"/>
  <c r="CC57" i="4"/>
  <c r="CD57" i="4" s="1"/>
  <c r="DQ57" i="4"/>
  <c r="DR57" i="4" s="1"/>
  <c r="DG57" i="4"/>
  <c r="DH57" i="4" s="1"/>
  <c r="DA57" i="4"/>
  <c r="DB57" i="4" s="1"/>
  <c r="CQ57" i="4"/>
  <c r="CR57" i="4" s="1"/>
  <c r="CK57" i="4"/>
  <c r="CL57" i="4" s="1"/>
  <c r="CB57" i="4"/>
  <c r="DC57" i="4"/>
  <c r="DD57" i="4" s="1"/>
  <c r="CG57" i="4"/>
  <c r="CH57" i="4" s="1"/>
  <c r="DM57" i="4"/>
  <c r="DN57" i="4" s="1"/>
  <c r="CW57" i="4"/>
  <c r="CX57" i="4" s="1"/>
  <c r="CM57" i="4"/>
  <c r="CN57" i="4" s="1"/>
  <c r="ER44" i="4"/>
  <c r="ES44" i="4" s="1"/>
  <c r="CA44" i="4"/>
  <c r="ER21" i="4"/>
  <c r="ES21" i="4" s="1"/>
  <c r="CA21" i="4"/>
  <c r="DO47" i="4" l="1"/>
  <c r="DP47" i="4" s="1"/>
  <c r="DQ47" i="4"/>
  <c r="DR47" i="4" s="1"/>
  <c r="DI47" i="4"/>
  <c r="DJ47" i="4" s="1"/>
  <c r="DA47" i="4"/>
  <c r="DB47" i="4" s="1"/>
  <c r="CS47" i="4"/>
  <c r="CT47" i="4" s="1"/>
  <c r="CK47" i="4"/>
  <c r="CL47" i="4" s="1"/>
  <c r="CC47" i="4"/>
  <c r="CD47" i="4" s="1"/>
  <c r="DM47" i="4"/>
  <c r="DN47" i="4" s="1"/>
  <c r="DE47" i="4"/>
  <c r="DF47" i="4" s="1"/>
  <c r="CW47" i="4"/>
  <c r="CX47" i="4" s="1"/>
  <c r="CO47" i="4"/>
  <c r="CP47" i="4" s="1"/>
  <c r="CG47" i="4"/>
  <c r="CH47" i="4" s="1"/>
  <c r="CI47" i="4"/>
  <c r="CJ47" i="4" s="1"/>
  <c r="CY47" i="4"/>
  <c r="CZ47" i="4" s="1"/>
  <c r="CQ47" i="4"/>
  <c r="CR47" i="4" s="1"/>
  <c r="CM47" i="4"/>
  <c r="CN47" i="4" s="1"/>
  <c r="DC47" i="4"/>
  <c r="DD47" i="4" s="1"/>
  <c r="CB47" i="4"/>
  <c r="CE47" i="4"/>
  <c r="CF47" i="4" s="1"/>
  <c r="CU47" i="4"/>
  <c r="CV47" i="4" s="1"/>
  <c r="DK47" i="4"/>
  <c r="DL47" i="4" s="1"/>
  <c r="DG47" i="4"/>
  <c r="DH47" i="4" s="1"/>
  <c r="GG47" i="4"/>
  <c r="GH47" i="4" s="1"/>
  <c r="FQ47" i="4"/>
  <c r="FR47" i="4" s="1"/>
  <c r="FA47" i="4"/>
  <c r="FB47" i="4" s="1"/>
  <c r="GE47" i="4"/>
  <c r="GF47" i="4" s="1"/>
  <c r="FO47" i="4"/>
  <c r="FP47" i="4" s="1"/>
  <c r="EY47" i="4"/>
  <c r="EZ47" i="4" s="1"/>
  <c r="ET47" i="4"/>
  <c r="GC47" i="4"/>
  <c r="GD47" i="4" s="1"/>
  <c r="FM47" i="4"/>
  <c r="FN47" i="4" s="1"/>
  <c r="EW47" i="4"/>
  <c r="EX47" i="4" s="1"/>
  <c r="GA47" i="4"/>
  <c r="GB47" i="4" s="1"/>
  <c r="FK47" i="4"/>
  <c r="FL47" i="4" s="1"/>
  <c r="EU47" i="4"/>
  <c r="EV47" i="4" s="1"/>
  <c r="FI47" i="4"/>
  <c r="FJ47" i="4" s="1"/>
  <c r="FU47" i="4"/>
  <c r="FV47" i="4" s="1"/>
  <c r="FE47" i="4"/>
  <c r="FF47" i="4" s="1"/>
  <c r="GI47" i="4"/>
  <c r="GJ47" i="4" s="1"/>
  <c r="FS47" i="4"/>
  <c r="FT47" i="4" s="1"/>
  <c r="FC47" i="4"/>
  <c r="FD47" i="4" s="1"/>
  <c r="FY47" i="4"/>
  <c r="FZ47" i="4" s="1"/>
  <c r="FW47" i="4"/>
  <c r="FX47" i="4" s="1"/>
  <c r="FG47" i="4"/>
  <c r="FH47" i="4" s="1"/>
  <c r="DC45" i="4"/>
  <c r="DD45" i="4" s="1"/>
  <c r="CM45" i="4"/>
  <c r="CN45" i="4" s="1"/>
  <c r="DQ45" i="4"/>
  <c r="DR45" i="4" s="1"/>
  <c r="DA45" i="4"/>
  <c r="DB45" i="4" s="1"/>
  <c r="CK45" i="4"/>
  <c r="CL45" i="4" s="1"/>
  <c r="CE45" i="4"/>
  <c r="CF45" i="4" s="1"/>
  <c r="DI45" i="4"/>
  <c r="DJ45" i="4" s="1"/>
  <c r="DO45" i="4"/>
  <c r="DP45" i="4" s="1"/>
  <c r="CY45" i="4"/>
  <c r="CZ45" i="4" s="1"/>
  <c r="CI45" i="4"/>
  <c r="CJ45" i="4" s="1"/>
  <c r="DM45" i="4"/>
  <c r="DN45" i="4" s="1"/>
  <c r="CW45" i="4"/>
  <c r="CX45" i="4" s="1"/>
  <c r="CG45" i="4"/>
  <c r="CH45" i="4" s="1"/>
  <c r="DK45" i="4"/>
  <c r="DL45" i="4" s="1"/>
  <c r="CS45" i="4"/>
  <c r="CT45" i="4" s="1"/>
  <c r="DG45" i="4"/>
  <c r="DH45" i="4" s="1"/>
  <c r="CQ45" i="4"/>
  <c r="CR45" i="4" s="1"/>
  <c r="CB45" i="4"/>
  <c r="DE45" i="4"/>
  <c r="DF45" i="4" s="1"/>
  <c r="CO45" i="4"/>
  <c r="CP45" i="4" s="1"/>
  <c r="CU45" i="4"/>
  <c r="CV45" i="4" s="1"/>
  <c r="CC45" i="4"/>
  <c r="CD45" i="4" s="1"/>
  <c r="FW45" i="4"/>
  <c r="FX45" i="4" s="1"/>
  <c r="FG45" i="4"/>
  <c r="FH45" i="4" s="1"/>
  <c r="GG45" i="4"/>
  <c r="GH45" i="4" s="1"/>
  <c r="FQ45" i="4"/>
  <c r="FR45" i="4" s="1"/>
  <c r="FA45" i="4"/>
  <c r="FB45" i="4" s="1"/>
  <c r="FO45" i="4"/>
  <c r="FP45" i="4" s="1"/>
  <c r="FI45" i="4"/>
  <c r="FJ45" i="4" s="1"/>
  <c r="GI45" i="4"/>
  <c r="GJ45" i="4" s="1"/>
  <c r="FS45" i="4"/>
  <c r="FT45" i="4" s="1"/>
  <c r="FC45" i="4"/>
  <c r="FD45" i="4" s="1"/>
  <c r="GC45" i="4"/>
  <c r="GD45" i="4" s="1"/>
  <c r="FM45" i="4"/>
  <c r="FN45" i="4" s="1"/>
  <c r="EW45" i="4"/>
  <c r="EX45" i="4" s="1"/>
  <c r="EY45" i="4"/>
  <c r="EZ45" i="4" s="1"/>
  <c r="ET45" i="4"/>
  <c r="GA45" i="4"/>
  <c r="GB45" i="4" s="1"/>
  <c r="FK45" i="4"/>
  <c r="FL45" i="4" s="1"/>
  <c r="EU45" i="4"/>
  <c r="EV45" i="4" s="1"/>
  <c r="FU45" i="4"/>
  <c r="FV45" i="4" s="1"/>
  <c r="FE45" i="4"/>
  <c r="FF45" i="4" s="1"/>
  <c r="GE45" i="4"/>
  <c r="GF45" i="4" s="1"/>
  <c r="FY45" i="4"/>
  <c r="FZ45" i="4" s="1"/>
  <c r="FY42" i="4"/>
  <c r="FZ42" i="4" s="1"/>
  <c r="FI42" i="4"/>
  <c r="FJ42" i="4" s="1"/>
  <c r="ET42" i="4"/>
  <c r="FQ42" i="4"/>
  <c r="FR42" i="4" s="1"/>
  <c r="FU42" i="4"/>
  <c r="FV42" i="4" s="1"/>
  <c r="FE42" i="4"/>
  <c r="FF42" i="4" s="1"/>
  <c r="FA42" i="4"/>
  <c r="FB42" i="4" s="1"/>
  <c r="GC42" i="4"/>
  <c r="GD42" i="4" s="1"/>
  <c r="FM42" i="4"/>
  <c r="FN42" i="4" s="1"/>
  <c r="EW42" i="4"/>
  <c r="EX42" i="4" s="1"/>
  <c r="GG42" i="4"/>
  <c r="GH42" i="4" s="1"/>
  <c r="GI42" i="4"/>
  <c r="GJ42" i="4" s="1"/>
  <c r="FS42" i="4"/>
  <c r="FT42" i="4" s="1"/>
  <c r="FC42" i="4"/>
  <c r="FD42" i="4" s="1"/>
  <c r="GE42" i="4"/>
  <c r="GF42" i="4" s="1"/>
  <c r="FO42" i="4"/>
  <c r="FP42" i="4" s="1"/>
  <c r="EY42" i="4"/>
  <c r="EZ42" i="4" s="1"/>
  <c r="GA42" i="4"/>
  <c r="GB42" i="4" s="1"/>
  <c r="FK42" i="4"/>
  <c r="FL42" i="4" s="1"/>
  <c r="EU42" i="4"/>
  <c r="EV42" i="4" s="1"/>
  <c r="FW42" i="4"/>
  <c r="FX42" i="4" s="1"/>
  <c r="FG42" i="4"/>
  <c r="FH42" i="4" s="1"/>
  <c r="DO42" i="4"/>
  <c r="DP42" i="4" s="1"/>
  <c r="DQ42" i="4"/>
  <c r="DR42" i="4" s="1"/>
  <c r="DA42" i="4"/>
  <c r="DB42" i="4" s="1"/>
  <c r="CK42" i="4"/>
  <c r="CL42" i="4" s="1"/>
  <c r="CS42" i="4"/>
  <c r="CT42" i="4" s="1"/>
  <c r="DM42" i="4"/>
  <c r="DN42" i="4" s="1"/>
  <c r="CW42" i="4"/>
  <c r="CX42" i="4" s="1"/>
  <c r="CG42" i="4"/>
  <c r="CH42" i="4" s="1"/>
  <c r="DI42" i="4"/>
  <c r="DJ42" i="4" s="1"/>
  <c r="DE42" i="4"/>
  <c r="DF42" i="4" s="1"/>
  <c r="CO42" i="4"/>
  <c r="CP42" i="4" s="1"/>
  <c r="CB42" i="4"/>
  <c r="CC42" i="4"/>
  <c r="CD42" i="4" s="1"/>
  <c r="CQ42" i="4"/>
  <c r="CR42" i="4" s="1"/>
  <c r="DG42" i="4"/>
  <c r="DH42" i="4" s="1"/>
  <c r="CE42" i="4"/>
  <c r="CF42" i="4" s="1"/>
  <c r="CU42" i="4"/>
  <c r="CV42" i="4" s="1"/>
  <c r="DK42" i="4"/>
  <c r="DL42" i="4" s="1"/>
  <c r="CI42" i="4"/>
  <c r="CJ42" i="4" s="1"/>
  <c r="CY42" i="4"/>
  <c r="CZ42" i="4" s="1"/>
  <c r="CM42" i="4"/>
  <c r="CN42" i="4" s="1"/>
  <c r="DC42" i="4"/>
  <c r="DD42" i="4" s="1"/>
  <c r="DO54" i="4"/>
  <c r="DP54" i="4" s="1"/>
  <c r="DM54" i="4"/>
  <c r="DN54" i="4" s="1"/>
  <c r="DE54" i="4"/>
  <c r="DF54" i="4" s="1"/>
  <c r="CY54" i="4"/>
  <c r="CZ54" i="4" s="1"/>
  <c r="CS54" i="4"/>
  <c r="CT54" i="4" s="1"/>
  <c r="CK54" i="4"/>
  <c r="CL54" i="4" s="1"/>
  <c r="CC54" i="4"/>
  <c r="CD54" i="4" s="1"/>
  <c r="CW54" i="4"/>
  <c r="CX54" i="4" s="1"/>
  <c r="DI54" i="4"/>
  <c r="DJ54" i="4" s="1"/>
  <c r="DC54" i="4"/>
  <c r="DD54" i="4" s="1"/>
  <c r="CQ54" i="4"/>
  <c r="CR54" i="4" s="1"/>
  <c r="CI54" i="4"/>
  <c r="CJ54" i="4" s="1"/>
  <c r="CB54" i="4"/>
  <c r="CG54" i="4"/>
  <c r="CH54" i="4" s="1"/>
  <c r="DQ54" i="4"/>
  <c r="DR54" i="4" s="1"/>
  <c r="DA54" i="4"/>
  <c r="DB54" i="4" s="1"/>
  <c r="CU54" i="4"/>
  <c r="CV54" i="4" s="1"/>
  <c r="CM54" i="4"/>
  <c r="CN54" i="4" s="1"/>
  <c r="CE54" i="4"/>
  <c r="CF54" i="4" s="1"/>
  <c r="DG54" i="4"/>
  <c r="DH54" i="4" s="1"/>
  <c r="CO54" i="4"/>
  <c r="CP54" i="4" s="1"/>
  <c r="DK54" i="4"/>
  <c r="DL54" i="4" s="1"/>
  <c r="GC54" i="4"/>
  <c r="GD54" i="4" s="1"/>
  <c r="FU54" i="4"/>
  <c r="FV54" i="4" s="1"/>
  <c r="FQ54" i="4"/>
  <c r="FR54" i="4" s="1"/>
  <c r="FE54" i="4"/>
  <c r="FF54" i="4" s="1"/>
  <c r="GG54" i="4"/>
  <c r="GH54" i="4" s="1"/>
  <c r="FA54" i="4"/>
  <c r="FB54" i="4" s="1"/>
  <c r="FM54" i="4"/>
  <c r="FN54" i="4" s="1"/>
  <c r="FW54" i="4"/>
  <c r="FX54" i="4" s="1"/>
  <c r="FG54" i="4"/>
  <c r="FH54" i="4" s="1"/>
  <c r="FI54" i="4"/>
  <c r="FJ54" i="4" s="1"/>
  <c r="GI54" i="4"/>
  <c r="GJ54" i="4" s="1"/>
  <c r="GE54" i="4"/>
  <c r="GF54" i="4" s="1"/>
  <c r="FO54" i="4"/>
  <c r="FP54" i="4" s="1"/>
  <c r="EY54" i="4"/>
  <c r="EZ54" i="4" s="1"/>
  <c r="FS54" i="4"/>
  <c r="FT54" i="4" s="1"/>
  <c r="EW54" i="4"/>
  <c r="EX54" i="4" s="1"/>
  <c r="GA54" i="4"/>
  <c r="GB54" i="4" s="1"/>
  <c r="FK54" i="4"/>
  <c r="FL54" i="4" s="1"/>
  <c r="EU54" i="4"/>
  <c r="EV54" i="4" s="1"/>
  <c r="ET54" i="4"/>
  <c r="FC54" i="4"/>
  <c r="FD54" i="4" s="1"/>
  <c r="FY54" i="4"/>
  <c r="FZ54" i="4" s="1"/>
  <c r="GC148" i="4"/>
  <c r="GD148" i="4" s="1"/>
  <c r="GI148" i="4"/>
  <c r="GJ148" i="4" s="1"/>
  <c r="FS148" i="4"/>
  <c r="FT148" i="4" s="1"/>
  <c r="FQ148" i="4"/>
  <c r="FR148" i="4" s="1"/>
  <c r="FC148" i="4"/>
  <c r="FD148" i="4" s="1"/>
  <c r="EU148" i="4"/>
  <c r="EV148" i="4" s="1"/>
  <c r="EY148" i="4"/>
  <c r="EZ148" i="4" s="1"/>
  <c r="GE148" i="4"/>
  <c r="GF148" i="4" s="1"/>
  <c r="FO148" i="4"/>
  <c r="FP148" i="4" s="1"/>
  <c r="FE148" i="4"/>
  <c r="FF148" i="4" s="1"/>
  <c r="ET148" i="4"/>
  <c r="GG148" i="4"/>
  <c r="GH148" i="4" s="1"/>
  <c r="EW148" i="4"/>
  <c r="EX148" i="4" s="1"/>
  <c r="FW148" i="4"/>
  <c r="FX148" i="4" s="1"/>
  <c r="FY148" i="4"/>
  <c r="FZ148" i="4" s="1"/>
  <c r="FI148" i="4"/>
  <c r="FJ148" i="4" s="1"/>
  <c r="FA148" i="4"/>
  <c r="FB148" i="4" s="1"/>
  <c r="GA148" i="4"/>
  <c r="GB148" i="4" s="1"/>
  <c r="FK148" i="4"/>
  <c r="FL148" i="4" s="1"/>
  <c r="DQ144" i="4"/>
  <c r="DR144" i="4" s="1"/>
  <c r="DA144" i="4"/>
  <c r="DB144" i="4" s="1"/>
  <c r="CK144" i="4"/>
  <c r="CL144" i="4" s="1"/>
  <c r="DK144" i="4"/>
  <c r="DL144" i="4" s="1"/>
  <c r="CU144" i="4"/>
  <c r="CV144" i="4" s="1"/>
  <c r="CE144" i="4"/>
  <c r="CF144" i="4" s="1"/>
  <c r="CY144" i="4"/>
  <c r="CZ144" i="4" s="1"/>
  <c r="DM144" i="4"/>
  <c r="DN144" i="4" s="1"/>
  <c r="CW144" i="4"/>
  <c r="CX144" i="4" s="1"/>
  <c r="CG144" i="4"/>
  <c r="CH144" i="4" s="1"/>
  <c r="DG144" i="4"/>
  <c r="DH144" i="4" s="1"/>
  <c r="CQ144" i="4"/>
  <c r="CR144" i="4" s="1"/>
  <c r="CB144" i="4"/>
  <c r="DE144" i="4"/>
  <c r="DF144" i="4" s="1"/>
  <c r="DO144" i="4"/>
  <c r="DP144" i="4" s="1"/>
  <c r="DI144" i="4"/>
  <c r="DJ144" i="4" s="1"/>
  <c r="CS144" i="4"/>
  <c r="CT144" i="4" s="1"/>
  <c r="CC144" i="4"/>
  <c r="CD144" i="4" s="1"/>
  <c r="DC144" i="4"/>
  <c r="DD144" i="4" s="1"/>
  <c r="CM144" i="4"/>
  <c r="CN144" i="4" s="1"/>
  <c r="CO144" i="4"/>
  <c r="CP144" i="4" s="1"/>
  <c r="CI144" i="4"/>
  <c r="CJ144" i="4" s="1"/>
  <c r="FY144" i="4"/>
  <c r="FZ144" i="4" s="1"/>
  <c r="FI144" i="4"/>
  <c r="FJ144" i="4" s="1"/>
  <c r="ET144" i="4"/>
  <c r="FW144" i="4"/>
  <c r="FX144" i="4" s="1"/>
  <c r="FG144" i="4"/>
  <c r="FH144" i="4" s="1"/>
  <c r="EW144" i="4"/>
  <c r="EX144" i="4" s="1"/>
  <c r="EU144" i="4"/>
  <c r="EV144" i="4" s="1"/>
  <c r="FU144" i="4"/>
  <c r="FV144" i="4" s="1"/>
  <c r="FE144" i="4"/>
  <c r="FF144" i="4" s="1"/>
  <c r="GI144" i="4"/>
  <c r="GJ144" i="4" s="1"/>
  <c r="FS144" i="4"/>
  <c r="FT144" i="4" s="1"/>
  <c r="FC144" i="4"/>
  <c r="FD144" i="4" s="1"/>
  <c r="GC144" i="4"/>
  <c r="GD144" i="4" s="1"/>
  <c r="GA144" i="4"/>
  <c r="GB144" i="4" s="1"/>
  <c r="GG144" i="4"/>
  <c r="GH144" i="4" s="1"/>
  <c r="FQ144" i="4"/>
  <c r="FR144" i="4" s="1"/>
  <c r="FA144" i="4"/>
  <c r="FB144" i="4" s="1"/>
  <c r="GE144" i="4"/>
  <c r="GF144" i="4" s="1"/>
  <c r="FO144" i="4"/>
  <c r="FP144" i="4" s="1"/>
  <c r="EY144" i="4"/>
  <c r="EZ144" i="4" s="1"/>
  <c r="FM144" i="4"/>
  <c r="FN144" i="4" s="1"/>
  <c r="FK144" i="4"/>
  <c r="FL144" i="4" s="1"/>
  <c r="J28" i="4"/>
  <c r="AE28" i="4"/>
  <c r="AF28" i="4" s="1"/>
  <c r="ER27" i="4"/>
  <c r="ES27" i="4" s="1"/>
  <c r="FG27" i="4" s="1"/>
  <c r="FH27" i="4" s="1"/>
  <c r="AI28" i="4"/>
  <c r="AJ28" i="4" s="1"/>
  <c r="AU28" i="4"/>
  <c r="AV28" i="4" s="1"/>
  <c r="S28" i="4"/>
  <c r="T28" i="4" s="1"/>
  <c r="DC113" i="4"/>
  <c r="DD113" i="4" s="1"/>
  <c r="CB113" i="4"/>
  <c r="M28" i="4"/>
  <c r="N28" i="4" s="1"/>
  <c r="BZ28" i="4"/>
  <c r="CA28" i="4" s="1"/>
  <c r="DI28" i="4" s="1"/>
  <c r="DJ28" i="4" s="1"/>
  <c r="AM28" i="4"/>
  <c r="AN28" i="4" s="1"/>
  <c r="AQ28" i="4"/>
  <c r="AR28" i="4" s="1"/>
  <c r="DM113" i="4"/>
  <c r="DN113" i="4" s="1"/>
  <c r="DQ113" i="4"/>
  <c r="DR113" i="4" s="1"/>
  <c r="CM113" i="4"/>
  <c r="CN113" i="4" s="1"/>
  <c r="CO113" i="4"/>
  <c r="CP113" i="4" s="1"/>
  <c r="CC113" i="4"/>
  <c r="CD113" i="4" s="1"/>
  <c r="DK113" i="4"/>
  <c r="DL113" i="4" s="1"/>
  <c r="CE113" i="4"/>
  <c r="CF113" i="4" s="1"/>
  <c r="CU113" i="4"/>
  <c r="CV113" i="4" s="1"/>
  <c r="Y28" i="4"/>
  <c r="Z28" i="4" s="1"/>
  <c r="W28" i="4"/>
  <c r="X28" i="4" s="1"/>
  <c r="CI113" i="4"/>
  <c r="CJ113" i="4" s="1"/>
  <c r="CQ113" i="4"/>
  <c r="CR113" i="4" s="1"/>
  <c r="CG113" i="4"/>
  <c r="CH113" i="4" s="1"/>
  <c r="CS113" i="4"/>
  <c r="CT113" i="4" s="1"/>
  <c r="CW113" i="4"/>
  <c r="CX113" i="4" s="1"/>
  <c r="CK113" i="4"/>
  <c r="CL113" i="4" s="1"/>
  <c r="CY113" i="4"/>
  <c r="CZ113" i="4" s="1"/>
  <c r="DG113" i="4"/>
  <c r="DH113" i="4" s="1"/>
  <c r="DE113" i="4"/>
  <c r="DF113" i="4" s="1"/>
  <c r="DA113" i="4"/>
  <c r="DB113" i="4" s="1"/>
  <c r="DO113" i="4"/>
  <c r="DP113" i="4" s="1"/>
  <c r="O28" i="4"/>
  <c r="P28" i="4" s="1"/>
  <c r="K28" i="4"/>
  <c r="L28" i="4" s="1"/>
  <c r="AO28" i="4"/>
  <c r="AP28" i="4" s="1"/>
  <c r="AC28" i="4"/>
  <c r="AD28" i="4" s="1"/>
  <c r="Q28" i="4"/>
  <c r="R28" i="4" s="1"/>
  <c r="AS28" i="4"/>
  <c r="AT28" i="4" s="1"/>
  <c r="DO112" i="4"/>
  <c r="DP112" i="4" s="1"/>
  <c r="DI112" i="4"/>
  <c r="DJ112" i="4" s="1"/>
  <c r="CS112" i="4"/>
  <c r="CT112" i="4" s="1"/>
  <c r="CC112" i="4"/>
  <c r="CD112" i="4" s="1"/>
  <c r="DA112" i="4"/>
  <c r="DB112" i="4" s="1"/>
  <c r="DE112" i="4"/>
  <c r="DF112" i="4" s="1"/>
  <c r="CO112" i="4"/>
  <c r="CP112" i="4" s="1"/>
  <c r="CG112" i="4"/>
  <c r="CH112" i="4" s="1"/>
  <c r="CB112" i="4"/>
  <c r="CK112" i="4"/>
  <c r="CL112" i="4" s="1"/>
  <c r="DM112" i="4"/>
  <c r="DN112" i="4" s="1"/>
  <c r="CW112" i="4"/>
  <c r="CX112" i="4" s="1"/>
  <c r="CI112" i="4"/>
  <c r="CJ112" i="4" s="1"/>
  <c r="DQ112" i="4"/>
  <c r="DR112" i="4" s="1"/>
  <c r="CE112" i="4"/>
  <c r="CF112" i="4" s="1"/>
  <c r="CM112" i="4"/>
  <c r="CN112" i="4" s="1"/>
  <c r="DC112" i="4"/>
  <c r="DD112" i="4" s="1"/>
  <c r="DK112" i="4"/>
  <c r="DL112" i="4" s="1"/>
  <c r="CQ112" i="4"/>
  <c r="CR112" i="4" s="1"/>
  <c r="DG112" i="4"/>
  <c r="DH112" i="4" s="1"/>
  <c r="CU112" i="4"/>
  <c r="CV112" i="4" s="1"/>
  <c r="CY112" i="4"/>
  <c r="CZ112" i="4" s="1"/>
  <c r="GG112" i="4"/>
  <c r="GH112" i="4" s="1"/>
  <c r="FM112" i="4"/>
  <c r="FN112" i="4" s="1"/>
  <c r="GC112" i="4"/>
  <c r="GD112" i="4" s="1"/>
  <c r="FE112" i="4"/>
  <c r="FF112" i="4" s="1"/>
  <c r="EW112" i="4"/>
  <c r="EX112" i="4" s="1"/>
  <c r="FU112" i="4"/>
  <c r="FV112" i="4" s="1"/>
  <c r="ET112" i="4"/>
  <c r="FQ112" i="4"/>
  <c r="FR112" i="4" s="1"/>
  <c r="GI112" i="4"/>
  <c r="GJ112" i="4" s="1"/>
  <c r="FS112" i="4"/>
  <c r="FT112" i="4" s="1"/>
  <c r="FC112" i="4"/>
  <c r="FD112" i="4" s="1"/>
  <c r="FY112" i="4"/>
  <c r="FZ112" i="4" s="1"/>
  <c r="FK112" i="4"/>
  <c r="FL112" i="4" s="1"/>
  <c r="FI112" i="4"/>
  <c r="FJ112" i="4" s="1"/>
  <c r="GE112" i="4"/>
  <c r="GF112" i="4" s="1"/>
  <c r="FO112" i="4"/>
  <c r="FP112" i="4" s="1"/>
  <c r="EY112" i="4"/>
  <c r="EZ112" i="4" s="1"/>
  <c r="GA112" i="4"/>
  <c r="GB112" i="4" s="1"/>
  <c r="EU112" i="4"/>
  <c r="EV112" i="4" s="1"/>
  <c r="FA112" i="4"/>
  <c r="FB112" i="4" s="1"/>
  <c r="FW112" i="4"/>
  <c r="FX112" i="4" s="1"/>
  <c r="FG112" i="4"/>
  <c r="FH112" i="4" s="1"/>
  <c r="DO24" i="4"/>
  <c r="DP24" i="4" s="1"/>
  <c r="DQ24" i="4"/>
  <c r="DR24" i="4" s="1"/>
  <c r="CS24" i="4"/>
  <c r="CT24" i="4" s="1"/>
  <c r="DM24" i="4"/>
  <c r="DN24" i="4" s="1"/>
  <c r="DE24" i="4"/>
  <c r="DF24" i="4" s="1"/>
  <c r="CW24" i="4"/>
  <c r="CX24" i="4" s="1"/>
  <c r="CO24" i="4"/>
  <c r="CP24" i="4" s="1"/>
  <c r="CG24" i="4"/>
  <c r="CH24" i="4" s="1"/>
  <c r="DA24" i="4"/>
  <c r="DB24" i="4" s="1"/>
  <c r="CK24" i="4"/>
  <c r="CL24" i="4" s="1"/>
  <c r="DI24" i="4"/>
  <c r="DJ24" i="4" s="1"/>
  <c r="CC24" i="4"/>
  <c r="CD24" i="4" s="1"/>
  <c r="CB24" i="4"/>
  <c r="CQ24" i="4"/>
  <c r="CR24" i="4" s="1"/>
  <c r="DG24" i="4"/>
  <c r="DH24" i="4" s="1"/>
  <c r="CI24" i="4"/>
  <c r="CJ24" i="4" s="1"/>
  <c r="CE24" i="4"/>
  <c r="CF24" i="4" s="1"/>
  <c r="CU24" i="4"/>
  <c r="CV24" i="4" s="1"/>
  <c r="DK24" i="4"/>
  <c r="DL24" i="4" s="1"/>
  <c r="CY24" i="4"/>
  <c r="CZ24" i="4" s="1"/>
  <c r="CM24" i="4"/>
  <c r="CN24" i="4" s="1"/>
  <c r="DC24" i="4"/>
  <c r="DD24" i="4" s="1"/>
  <c r="AW28" i="4"/>
  <c r="AX28" i="4" s="1"/>
  <c r="AA28" i="4"/>
  <c r="AB28" i="4" s="1"/>
  <c r="AY28" i="4"/>
  <c r="AZ28" i="4" s="1"/>
  <c r="AK28" i="4"/>
  <c r="AL28" i="4" s="1"/>
  <c r="U28" i="4"/>
  <c r="V28" i="4" s="1"/>
  <c r="GG24" i="4"/>
  <c r="GH24" i="4" s="1"/>
  <c r="FC24" i="4"/>
  <c r="FD24" i="4" s="1"/>
  <c r="FS24" i="4"/>
  <c r="FT24" i="4" s="1"/>
  <c r="GI24" i="4"/>
  <c r="GJ24" i="4" s="1"/>
  <c r="FA24" i="4"/>
  <c r="FB24" i="4" s="1"/>
  <c r="FQ24" i="4"/>
  <c r="FR24" i="4" s="1"/>
  <c r="EU24" i="4"/>
  <c r="EV24" i="4" s="1"/>
  <c r="GA24" i="4"/>
  <c r="GB24" i="4" s="1"/>
  <c r="FG24" i="4"/>
  <c r="FH24" i="4" s="1"/>
  <c r="FW24" i="4"/>
  <c r="FX24" i="4" s="1"/>
  <c r="FE24" i="4"/>
  <c r="FF24" i="4" s="1"/>
  <c r="FU24" i="4"/>
  <c r="FV24" i="4" s="1"/>
  <c r="FK24" i="4"/>
  <c r="FL24" i="4" s="1"/>
  <c r="FY24" i="4"/>
  <c r="FZ24" i="4" s="1"/>
  <c r="EY24" i="4"/>
  <c r="EZ24" i="4" s="1"/>
  <c r="FO24" i="4"/>
  <c r="FP24" i="4" s="1"/>
  <c r="GE24" i="4"/>
  <c r="GF24" i="4" s="1"/>
  <c r="EW24" i="4"/>
  <c r="EX24" i="4" s="1"/>
  <c r="FM24" i="4"/>
  <c r="FN24" i="4" s="1"/>
  <c r="GC24" i="4"/>
  <c r="GD24" i="4" s="1"/>
  <c r="ET24" i="4"/>
  <c r="FI24" i="4"/>
  <c r="FJ24" i="4" s="1"/>
  <c r="AW23" i="4"/>
  <c r="AX23" i="4" s="1"/>
  <c r="AY23" i="4"/>
  <c r="AZ23" i="4" s="1"/>
  <c r="AQ23" i="4"/>
  <c r="AR23" i="4" s="1"/>
  <c r="AI23" i="4"/>
  <c r="AJ23" i="4" s="1"/>
  <c r="AA23" i="4"/>
  <c r="AB23" i="4" s="1"/>
  <c r="S23" i="4"/>
  <c r="T23" i="4" s="1"/>
  <c r="K23" i="4"/>
  <c r="L23" i="4" s="1"/>
  <c r="AU23" i="4"/>
  <c r="AV23" i="4" s="1"/>
  <c r="AM23" i="4"/>
  <c r="AN23" i="4" s="1"/>
  <c r="AE23" i="4"/>
  <c r="AF23" i="4" s="1"/>
  <c r="W23" i="4"/>
  <c r="X23" i="4" s="1"/>
  <c r="O23" i="4"/>
  <c r="P23" i="4" s="1"/>
  <c r="Q23" i="4"/>
  <c r="R23" i="4" s="1"/>
  <c r="AG23" i="4"/>
  <c r="AH23" i="4" s="1"/>
  <c r="J23" i="4"/>
  <c r="AO23" i="4"/>
  <c r="AP23" i="4" s="1"/>
  <c r="U23" i="4"/>
  <c r="V23" i="4" s="1"/>
  <c r="AK23" i="4"/>
  <c r="AL23" i="4" s="1"/>
  <c r="Y23" i="4"/>
  <c r="Z23" i="4" s="1"/>
  <c r="M23" i="4"/>
  <c r="N23" i="4" s="1"/>
  <c r="AC23" i="4"/>
  <c r="AD23" i="4" s="1"/>
  <c r="AS23" i="4"/>
  <c r="AT23" i="4" s="1"/>
  <c r="FW27" i="4"/>
  <c r="FX27" i="4" s="1"/>
  <c r="CA23" i="4"/>
  <c r="ER23" i="4"/>
  <c r="ES23" i="4" s="1"/>
  <c r="DO27" i="4"/>
  <c r="DP27" i="4" s="1"/>
  <c r="CO27" i="4"/>
  <c r="CP27" i="4" s="1"/>
  <c r="DE27" i="4"/>
  <c r="DF27" i="4" s="1"/>
  <c r="CE27" i="4"/>
  <c r="CF27" i="4" s="1"/>
  <c r="CU27" i="4"/>
  <c r="CV27" i="4" s="1"/>
  <c r="DK27" i="4"/>
  <c r="DL27" i="4" s="1"/>
  <c r="CW27" i="4"/>
  <c r="CX27" i="4" s="1"/>
  <c r="DM27" i="4"/>
  <c r="DN27" i="4" s="1"/>
  <c r="CM27" i="4"/>
  <c r="CN27" i="4" s="1"/>
  <c r="CC27" i="4"/>
  <c r="CD27" i="4" s="1"/>
  <c r="CS27" i="4"/>
  <c r="CT27" i="4" s="1"/>
  <c r="DI27" i="4"/>
  <c r="DJ27" i="4" s="1"/>
  <c r="CI27" i="4"/>
  <c r="CJ27" i="4" s="1"/>
  <c r="CY27" i="4"/>
  <c r="CZ27" i="4" s="1"/>
  <c r="CG27" i="4"/>
  <c r="CH27" i="4" s="1"/>
  <c r="DC27" i="4"/>
  <c r="DD27" i="4" s="1"/>
  <c r="CK27" i="4"/>
  <c r="CL27" i="4" s="1"/>
  <c r="DA27" i="4"/>
  <c r="DB27" i="4" s="1"/>
  <c r="DQ27" i="4"/>
  <c r="DR27" i="4" s="1"/>
  <c r="CB27" i="4"/>
  <c r="CQ27" i="4"/>
  <c r="CR27" i="4" s="1"/>
  <c r="DG27" i="4"/>
  <c r="DH27" i="4" s="1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E125" i="4"/>
  <c r="GF125" i="4" s="1"/>
  <c r="FO125" i="4"/>
  <c r="FP125" i="4" s="1"/>
  <c r="EY125" i="4"/>
  <c r="EZ125" i="4" s="1"/>
  <c r="GI125" i="4"/>
  <c r="GJ125" i="4" s="1"/>
  <c r="FS125" i="4"/>
  <c r="FT125" i="4" s="1"/>
  <c r="FC125" i="4"/>
  <c r="FD125" i="4" s="1"/>
  <c r="GA125" i="4"/>
  <c r="GB125" i="4" s="1"/>
  <c r="FK125" i="4"/>
  <c r="FL125" i="4" s="1"/>
  <c r="EU125" i="4"/>
  <c r="EV125" i="4" s="1"/>
  <c r="FW125" i="4"/>
  <c r="FX125" i="4" s="1"/>
  <c r="FG125" i="4"/>
  <c r="FH125" i="4" s="1"/>
  <c r="GC143" i="4"/>
  <c r="GD143" i="4" s="1"/>
  <c r="FW143" i="4"/>
  <c r="FX143" i="4" s="1"/>
  <c r="FM143" i="4"/>
  <c r="FN143" i="4" s="1"/>
  <c r="FG143" i="4"/>
  <c r="FH143" i="4" s="1"/>
  <c r="EW143" i="4"/>
  <c r="EX143" i="4" s="1"/>
  <c r="GG143" i="4"/>
  <c r="GH143" i="4" s="1"/>
  <c r="GA143" i="4"/>
  <c r="GB143" i="4" s="1"/>
  <c r="FQ143" i="4"/>
  <c r="FR143" i="4" s="1"/>
  <c r="FK143" i="4"/>
  <c r="FL143" i="4" s="1"/>
  <c r="FA143" i="4"/>
  <c r="FB143" i="4" s="1"/>
  <c r="EU143" i="4"/>
  <c r="EV143" i="4" s="1"/>
  <c r="GI143" i="4"/>
  <c r="GJ143" i="4" s="1"/>
  <c r="FY143" i="4"/>
  <c r="FZ143" i="4" s="1"/>
  <c r="FS143" i="4"/>
  <c r="FT143" i="4" s="1"/>
  <c r="FI143" i="4"/>
  <c r="FJ143" i="4" s="1"/>
  <c r="FC143" i="4"/>
  <c r="FD143" i="4" s="1"/>
  <c r="ET143" i="4"/>
  <c r="FO143" i="4"/>
  <c r="FP143" i="4" s="1"/>
  <c r="GE143" i="4"/>
  <c r="GF143" i="4" s="1"/>
  <c r="FU143" i="4"/>
  <c r="FV143" i="4" s="1"/>
  <c r="EY143" i="4"/>
  <c r="EZ143" i="4" s="1"/>
  <c r="FE143" i="4"/>
  <c r="FF143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C44" i="4"/>
  <c r="DD44" i="4" s="1"/>
  <c r="CM44" i="4"/>
  <c r="CN44" i="4" s="1"/>
  <c r="CU44" i="4"/>
  <c r="CV44" i="4" s="1"/>
  <c r="DO44" i="4"/>
  <c r="DP44" i="4" s="1"/>
  <c r="CY44" i="4"/>
  <c r="CZ44" i="4" s="1"/>
  <c r="CI44" i="4"/>
  <c r="CJ44" i="4" s="1"/>
  <c r="CE44" i="4"/>
  <c r="CF44" i="4" s="1"/>
  <c r="DG44" i="4"/>
  <c r="DH44" i="4" s="1"/>
  <c r="CQ44" i="4"/>
  <c r="CR44" i="4" s="1"/>
  <c r="CB44" i="4"/>
  <c r="DK44" i="4"/>
  <c r="DL44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O86" i="4"/>
  <c r="DP86" i="4" s="1"/>
  <c r="CY86" i="4"/>
  <c r="CZ86" i="4" s="1"/>
  <c r="CI86" i="4"/>
  <c r="CJ86" i="4" s="1"/>
  <c r="DK86" i="4"/>
  <c r="DL86" i="4" s="1"/>
  <c r="CU86" i="4"/>
  <c r="CV86" i="4" s="1"/>
  <c r="CE86" i="4"/>
  <c r="CF86" i="4" s="1"/>
  <c r="DC86" i="4"/>
  <c r="DD86" i="4" s="1"/>
  <c r="CM86" i="4"/>
  <c r="CN86" i="4" s="1"/>
  <c r="CQ86" i="4"/>
  <c r="CR86" i="4" s="1"/>
  <c r="CB86" i="4"/>
  <c r="DG86" i="4"/>
  <c r="DH86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G48" i="4"/>
  <c r="DH48" i="4" s="1"/>
  <c r="CQ48" i="4"/>
  <c r="CR48" i="4" s="1"/>
  <c r="CB48" i="4"/>
  <c r="CI48" i="4"/>
  <c r="CJ48" i="4" s="1"/>
  <c r="DC48" i="4"/>
  <c r="DD48" i="4" s="1"/>
  <c r="CM48" i="4"/>
  <c r="CN48" i="4" s="1"/>
  <c r="CY48" i="4"/>
  <c r="CZ48" i="4" s="1"/>
  <c r="DK48" i="4"/>
  <c r="DL48" i="4" s="1"/>
  <c r="CU48" i="4"/>
  <c r="CV48" i="4" s="1"/>
  <c r="CE48" i="4"/>
  <c r="CF48" i="4" s="1"/>
  <c r="DO48" i="4"/>
  <c r="DP48" i="4" s="1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I44" i="4"/>
  <c r="GJ44" i="4" s="1"/>
  <c r="FS44" i="4"/>
  <c r="FT44" i="4" s="1"/>
  <c r="FC44" i="4"/>
  <c r="FD44" i="4" s="1"/>
  <c r="EU44" i="4"/>
  <c r="EV44" i="4" s="1"/>
  <c r="GE44" i="4"/>
  <c r="GF44" i="4" s="1"/>
  <c r="FO44" i="4"/>
  <c r="FP44" i="4" s="1"/>
  <c r="EY44" i="4"/>
  <c r="EZ44" i="4" s="1"/>
  <c r="GA44" i="4"/>
  <c r="GB44" i="4" s="1"/>
  <c r="FW44" i="4"/>
  <c r="FX44" i="4" s="1"/>
  <c r="FG44" i="4"/>
  <c r="FH44" i="4" s="1"/>
  <c r="FK44" i="4"/>
  <c r="FL44" i="4" s="1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E86" i="4"/>
  <c r="GF86" i="4" s="1"/>
  <c r="FO86" i="4"/>
  <c r="FP86" i="4" s="1"/>
  <c r="EY86" i="4"/>
  <c r="EZ86" i="4" s="1"/>
  <c r="GA86" i="4"/>
  <c r="GB86" i="4" s="1"/>
  <c r="FK86" i="4"/>
  <c r="FL86" i="4" s="1"/>
  <c r="EU86" i="4"/>
  <c r="EV86" i="4" s="1"/>
  <c r="GI86" i="4"/>
  <c r="GJ86" i="4" s="1"/>
  <c r="FS86" i="4"/>
  <c r="FT86" i="4" s="1"/>
  <c r="FC86" i="4"/>
  <c r="FD86" i="4" s="1"/>
  <c r="FG86" i="4"/>
  <c r="FH86" i="4" s="1"/>
  <c r="FW86" i="4"/>
  <c r="FX86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FW48" i="4"/>
  <c r="FX48" i="4" s="1"/>
  <c r="FG48" i="4"/>
  <c r="FH48" i="4" s="1"/>
  <c r="EY48" i="4"/>
  <c r="EZ48" i="4" s="1"/>
  <c r="GI48" i="4"/>
  <c r="GJ48" i="4" s="1"/>
  <c r="FS48" i="4"/>
  <c r="FT48" i="4" s="1"/>
  <c r="FC48" i="4"/>
  <c r="FD48" i="4" s="1"/>
  <c r="FO48" i="4"/>
  <c r="FP48" i="4" s="1"/>
  <c r="GA48" i="4"/>
  <c r="GB48" i="4" s="1"/>
  <c r="FK48" i="4"/>
  <c r="FL48" i="4" s="1"/>
  <c r="EU48" i="4"/>
  <c r="EV48" i="4" s="1"/>
  <c r="GE48" i="4"/>
  <c r="GF48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A92" i="4"/>
  <c r="GB92" i="4" s="1"/>
  <c r="FK92" i="4"/>
  <c r="FL92" i="4" s="1"/>
  <c r="EU92" i="4"/>
  <c r="EV92" i="4" s="1"/>
  <c r="FW92" i="4"/>
  <c r="FX92" i="4" s="1"/>
  <c r="FG92" i="4"/>
  <c r="FH92" i="4" s="1"/>
  <c r="GE92" i="4"/>
  <c r="GF92" i="4" s="1"/>
  <c r="FO92" i="4"/>
  <c r="FP92" i="4" s="1"/>
  <c r="EY92" i="4"/>
  <c r="EZ92" i="4" s="1"/>
  <c r="GI92" i="4"/>
  <c r="GJ92" i="4" s="1"/>
  <c r="FS92" i="4"/>
  <c r="FT92" i="4" s="1"/>
  <c r="FC92" i="4"/>
  <c r="FD92" i="4" s="1"/>
  <c r="DO21" i="4"/>
  <c r="DP21" i="4" s="1"/>
  <c r="DK21" i="4"/>
  <c r="DL21" i="4" s="1"/>
  <c r="DG21" i="4"/>
  <c r="DH21" i="4" s="1"/>
  <c r="DC21" i="4"/>
  <c r="DD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DQ21" i="4"/>
  <c r="DR21" i="4" s="1"/>
  <c r="DM21" i="4"/>
  <c r="DN21" i="4" s="1"/>
  <c r="DI21" i="4"/>
  <c r="DJ21" i="4" s="1"/>
  <c r="DE21" i="4"/>
  <c r="DF21" i="4" s="1"/>
  <c r="DA21" i="4"/>
  <c r="DB21" i="4" s="1"/>
  <c r="CW21" i="4"/>
  <c r="CX21" i="4" s="1"/>
  <c r="CS21" i="4"/>
  <c r="CT21" i="4" s="1"/>
  <c r="CO21" i="4"/>
  <c r="CP21" i="4" s="1"/>
  <c r="CK21" i="4"/>
  <c r="CL21" i="4" s="1"/>
  <c r="CG21" i="4"/>
  <c r="CH21" i="4" s="1"/>
  <c r="CC21" i="4"/>
  <c r="CD21" i="4" s="1"/>
  <c r="DQ155" i="4"/>
  <c r="DR155" i="4" s="1"/>
  <c r="DM155" i="4"/>
  <c r="DN155" i="4" s="1"/>
  <c r="DI155" i="4"/>
  <c r="DJ155" i="4" s="1"/>
  <c r="DE155" i="4"/>
  <c r="DF155" i="4" s="1"/>
  <c r="DA155" i="4"/>
  <c r="DB155" i="4" s="1"/>
  <c r="CW155" i="4"/>
  <c r="CX155" i="4" s="1"/>
  <c r="CS155" i="4"/>
  <c r="CT155" i="4" s="1"/>
  <c r="CO155" i="4"/>
  <c r="CP155" i="4" s="1"/>
  <c r="CK155" i="4"/>
  <c r="CL155" i="4" s="1"/>
  <c r="CG155" i="4"/>
  <c r="CH155" i="4" s="1"/>
  <c r="CC155" i="4"/>
  <c r="CD155" i="4" s="1"/>
  <c r="DK155" i="4"/>
  <c r="DL155" i="4" s="1"/>
  <c r="CU155" i="4"/>
  <c r="CV155" i="4" s="1"/>
  <c r="CE155" i="4"/>
  <c r="CF155" i="4" s="1"/>
  <c r="DC155" i="4"/>
  <c r="DD155" i="4" s="1"/>
  <c r="CM155" i="4"/>
  <c r="CN155" i="4" s="1"/>
  <c r="CY155" i="4"/>
  <c r="CZ155" i="4" s="1"/>
  <c r="CQ155" i="4"/>
  <c r="CR155" i="4" s="1"/>
  <c r="DG155" i="4"/>
  <c r="DH155" i="4" s="1"/>
  <c r="CB155" i="4"/>
  <c r="CI155" i="4"/>
  <c r="CJ155" i="4" s="1"/>
  <c r="DO155" i="4"/>
  <c r="DP155" i="4" s="1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DC67" i="4"/>
  <c r="DD67" i="4" s="1"/>
  <c r="CM67" i="4"/>
  <c r="CN67" i="4" s="1"/>
  <c r="DO67" i="4"/>
  <c r="DP67" i="4" s="1"/>
  <c r="CY67" i="4"/>
  <c r="CZ67" i="4" s="1"/>
  <c r="CI67" i="4"/>
  <c r="CJ67" i="4" s="1"/>
  <c r="DG67" i="4"/>
  <c r="DH67" i="4" s="1"/>
  <c r="CQ67" i="4"/>
  <c r="CR67" i="4" s="1"/>
  <c r="CB67" i="4"/>
  <c r="DK67" i="4"/>
  <c r="DL67" i="4" s="1"/>
  <c r="CE67" i="4"/>
  <c r="CF67" i="4" s="1"/>
  <c r="CU67" i="4"/>
  <c r="CV67" i="4" s="1"/>
  <c r="DQ125" i="4"/>
  <c r="DR125" i="4" s="1"/>
  <c r="DM125" i="4"/>
  <c r="DN125" i="4" s="1"/>
  <c r="DI125" i="4"/>
  <c r="DJ125" i="4" s="1"/>
  <c r="DE125" i="4"/>
  <c r="DF125" i="4" s="1"/>
  <c r="DK125" i="4"/>
  <c r="DL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G125" i="4"/>
  <c r="DH125" i="4" s="1"/>
  <c r="CU125" i="4"/>
  <c r="CV125" i="4" s="1"/>
  <c r="CE125" i="4"/>
  <c r="CF125" i="4" s="1"/>
  <c r="CQ125" i="4"/>
  <c r="CR125" i="4" s="1"/>
  <c r="CB125" i="4"/>
  <c r="CY125" i="4"/>
  <c r="CZ125" i="4" s="1"/>
  <c r="CI125" i="4"/>
  <c r="CJ125" i="4" s="1"/>
  <c r="DC125" i="4"/>
  <c r="DD125" i="4" s="1"/>
  <c r="CM125" i="4"/>
  <c r="CN125" i="4" s="1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DK52" i="4"/>
  <c r="DL52" i="4" s="1"/>
  <c r="CU52" i="4"/>
  <c r="CV52" i="4" s="1"/>
  <c r="CE52" i="4"/>
  <c r="CF52" i="4" s="1"/>
  <c r="DC52" i="4"/>
  <c r="DD52" i="4" s="1"/>
  <c r="DG52" i="4"/>
  <c r="DH52" i="4" s="1"/>
  <c r="CQ52" i="4"/>
  <c r="CR52" i="4" s="1"/>
  <c r="CB52" i="4"/>
  <c r="DO52" i="4"/>
  <c r="DP52" i="4" s="1"/>
  <c r="CY52" i="4"/>
  <c r="CZ52" i="4" s="1"/>
  <c r="CI52" i="4"/>
  <c r="CJ52" i="4" s="1"/>
  <c r="CM52" i="4"/>
  <c r="CN52" i="4" s="1"/>
  <c r="DQ63" i="4"/>
  <c r="DR63" i="4" s="1"/>
  <c r="DM63" i="4"/>
  <c r="DN63" i="4" s="1"/>
  <c r="DI63" i="4"/>
  <c r="DJ63" i="4" s="1"/>
  <c r="DE63" i="4"/>
  <c r="DF63" i="4" s="1"/>
  <c r="DA63" i="4"/>
  <c r="DB63" i="4" s="1"/>
  <c r="CW63" i="4"/>
  <c r="CX63" i="4" s="1"/>
  <c r="CS63" i="4"/>
  <c r="CT63" i="4" s="1"/>
  <c r="CO63" i="4"/>
  <c r="CP63" i="4" s="1"/>
  <c r="CK63" i="4"/>
  <c r="CL63" i="4" s="1"/>
  <c r="CG63" i="4"/>
  <c r="CH63" i="4" s="1"/>
  <c r="CC63" i="4"/>
  <c r="CD63" i="4" s="1"/>
  <c r="DG63" i="4"/>
  <c r="DH63" i="4" s="1"/>
  <c r="CQ63" i="4"/>
  <c r="CR63" i="4" s="1"/>
  <c r="CB63" i="4"/>
  <c r="DC63" i="4"/>
  <c r="DD63" i="4" s="1"/>
  <c r="CM63" i="4"/>
  <c r="CN63" i="4" s="1"/>
  <c r="DK63" i="4"/>
  <c r="DL63" i="4" s="1"/>
  <c r="CU63" i="4"/>
  <c r="CV63" i="4" s="1"/>
  <c r="CE63" i="4"/>
  <c r="CF63" i="4" s="1"/>
  <c r="DO63" i="4"/>
  <c r="DP63" i="4" s="1"/>
  <c r="CY63" i="4"/>
  <c r="CZ63" i="4" s="1"/>
  <c r="CI63" i="4"/>
  <c r="CJ63" i="4" s="1"/>
  <c r="DO143" i="4"/>
  <c r="DP143" i="4" s="1"/>
  <c r="DE143" i="4"/>
  <c r="DF143" i="4" s="1"/>
  <c r="CY143" i="4"/>
  <c r="CZ143" i="4" s="1"/>
  <c r="CO143" i="4"/>
  <c r="CP143" i="4" s="1"/>
  <c r="CI143" i="4"/>
  <c r="CJ143" i="4" s="1"/>
  <c r="DI143" i="4"/>
  <c r="DJ143" i="4" s="1"/>
  <c r="DC143" i="4"/>
  <c r="DD143" i="4" s="1"/>
  <c r="CS143" i="4"/>
  <c r="CT143" i="4" s="1"/>
  <c r="CM143" i="4"/>
  <c r="CN143" i="4" s="1"/>
  <c r="CC143" i="4"/>
  <c r="CD143" i="4" s="1"/>
  <c r="DQ143" i="4"/>
  <c r="DR143" i="4" s="1"/>
  <c r="DK143" i="4"/>
  <c r="DL143" i="4" s="1"/>
  <c r="DA143" i="4"/>
  <c r="DB143" i="4" s="1"/>
  <c r="CU143" i="4"/>
  <c r="CV143" i="4" s="1"/>
  <c r="CK143" i="4"/>
  <c r="CL143" i="4" s="1"/>
  <c r="CE143" i="4"/>
  <c r="CF143" i="4" s="1"/>
  <c r="DM143" i="4"/>
  <c r="DN143" i="4" s="1"/>
  <c r="CQ143" i="4"/>
  <c r="CR143" i="4" s="1"/>
  <c r="DG143" i="4"/>
  <c r="DH143" i="4" s="1"/>
  <c r="CW143" i="4"/>
  <c r="CX143" i="4" s="1"/>
  <c r="CB143" i="4"/>
  <c r="CG143" i="4"/>
  <c r="CH143" i="4" s="1"/>
  <c r="DM126" i="4"/>
  <c r="DN126" i="4" s="1"/>
  <c r="DG126" i="4"/>
  <c r="DH126" i="4" s="1"/>
  <c r="CW126" i="4"/>
  <c r="CX126" i="4" s="1"/>
  <c r="CQ126" i="4"/>
  <c r="CR126" i="4" s="1"/>
  <c r="CG126" i="4"/>
  <c r="CH126" i="4" s="1"/>
  <c r="CB126" i="4"/>
  <c r="DQ126" i="4"/>
  <c r="DR126" i="4" s="1"/>
  <c r="DK126" i="4"/>
  <c r="DL126" i="4" s="1"/>
  <c r="DA126" i="4"/>
  <c r="DB126" i="4" s="1"/>
  <c r="CU126" i="4"/>
  <c r="CV126" i="4" s="1"/>
  <c r="CK126" i="4"/>
  <c r="CL126" i="4" s="1"/>
  <c r="CE126" i="4"/>
  <c r="CF126" i="4" s="1"/>
  <c r="DI126" i="4"/>
  <c r="DJ126" i="4" s="1"/>
  <c r="DC126" i="4"/>
  <c r="DD126" i="4" s="1"/>
  <c r="CS126" i="4"/>
  <c r="CT126" i="4" s="1"/>
  <c r="CM126" i="4"/>
  <c r="CN126" i="4" s="1"/>
  <c r="CC126" i="4"/>
  <c r="CD126" i="4" s="1"/>
  <c r="CY126" i="4"/>
  <c r="CZ126" i="4" s="1"/>
  <c r="DO126" i="4"/>
  <c r="DP126" i="4" s="1"/>
  <c r="DE126" i="4"/>
  <c r="DF126" i="4" s="1"/>
  <c r="CI126" i="4"/>
  <c r="CJ126" i="4" s="1"/>
  <c r="CO126" i="4"/>
  <c r="CP126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K147" i="4"/>
  <c r="DL147" i="4" s="1"/>
  <c r="CU147" i="4"/>
  <c r="CV147" i="4" s="1"/>
  <c r="CE147" i="4"/>
  <c r="CF147" i="4" s="1"/>
  <c r="DO147" i="4"/>
  <c r="DP147" i="4" s="1"/>
  <c r="CY147" i="4"/>
  <c r="CZ147" i="4" s="1"/>
  <c r="CI147" i="4"/>
  <c r="CJ147" i="4" s="1"/>
  <c r="DG147" i="4"/>
  <c r="DH147" i="4" s="1"/>
  <c r="CQ147" i="4"/>
  <c r="CR147" i="4" s="1"/>
  <c r="CB147" i="4"/>
  <c r="DC147" i="4"/>
  <c r="DD147" i="4" s="1"/>
  <c r="CM147" i="4"/>
  <c r="CN147" i="4" s="1"/>
  <c r="GI21" i="4"/>
  <c r="GJ21" i="4" s="1"/>
  <c r="GE21" i="4"/>
  <c r="GF21" i="4" s="1"/>
  <c r="GA21" i="4"/>
  <c r="GB21" i="4" s="1"/>
  <c r="FW21" i="4"/>
  <c r="FX21" i="4" s="1"/>
  <c r="FS21" i="4"/>
  <c r="FT21" i="4" s="1"/>
  <c r="FO21" i="4"/>
  <c r="FP21" i="4" s="1"/>
  <c r="FK21" i="4"/>
  <c r="FL21" i="4" s="1"/>
  <c r="FG21" i="4"/>
  <c r="FH21" i="4" s="1"/>
  <c r="FC21" i="4"/>
  <c r="FD21" i="4" s="1"/>
  <c r="EY21" i="4"/>
  <c r="EZ21" i="4" s="1"/>
  <c r="EU21" i="4"/>
  <c r="EV21" i="4" s="1"/>
  <c r="GG21" i="4"/>
  <c r="GH21" i="4" s="1"/>
  <c r="GC21" i="4"/>
  <c r="GD21" i="4" s="1"/>
  <c r="FY21" i="4"/>
  <c r="FZ21" i="4" s="1"/>
  <c r="FU21" i="4"/>
  <c r="FV21" i="4" s="1"/>
  <c r="FQ21" i="4"/>
  <c r="FR21" i="4" s="1"/>
  <c r="FM21" i="4"/>
  <c r="FN21" i="4" s="1"/>
  <c r="FI21" i="4"/>
  <c r="FJ21" i="4" s="1"/>
  <c r="FE21" i="4"/>
  <c r="FF21" i="4" s="1"/>
  <c r="FA21" i="4"/>
  <c r="FB21" i="4" s="1"/>
  <c r="EW21" i="4"/>
  <c r="EX21" i="4" s="1"/>
  <c r="ET21" i="4"/>
  <c r="GG155" i="4"/>
  <c r="GH155" i="4" s="1"/>
  <c r="GC155" i="4"/>
  <c r="GD155" i="4" s="1"/>
  <c r="FY155" i="4"/>
  <c r="FZ155" i="4" s="1"/>
  <c r="FU155" i="4"/>
  <c r="FV155" i="4" s="1"/>
  <c r="FQ155" i="4"/>
  <c r="FR155" i="4" s="1"/>
  <c r="FM155" i="4"/>
  <c r="FN155" i="4" s="1"/>
  <c r="FI155" i="4"/>
  <c r="FJ155" i="4" s="1"/>
  <c r="FE155" i="4"/>
  <c r="FF155" i="4" s="1"/>
  <c r="FA155" i="4"/>
  <c r="FB155" i="4" s="1"/>
  <c r="EW155" i="4"/>
  <c r="EX155" i="4" s="1"/>
  <c r="ET155" i="4"/>
  <c r="GA155" i="4"/>
  <c r="GB155" i="4" s="1"/>
  <c r="FK155" i="4"/>
  <c r="FL155" i="4" s="1"/>
  <c r="EU155" i="4"/>
  <c r="EV155" i="4" s="1"/>
  <c r="GI155" i="4"/>
  <c r="GJ155" i="4" s="1"/>
  <c r="FS155" i="4"/>
  <c r="FT155" i="4" s="1"/>
  <c r="FC155" i="4"/>
  <c r="FD155" i="4" s="1"/>
  <c r="FW155" i="4"/>
  <c r="FX155" i="4" s="1"/>
  <c r="FO155" i="4"/>
  <c r="FP155" i="4" s="1"/>
  <c r="GE155" i="4"/>
  <c r="GF155" i="4" s="1"/>
  <c r="EY155" i="4"/>
  <c r="EZ155" i="4" s="1"/>
  <c r="FG155" i="4"/>
  <c r="FH155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GA52" i="4"/>
  <c r="GB52" i="4" s="1"/>
  <c r="FK52" i="4"/>
  <c r="FL52" i="4" s="1"/>
  <c r="EU52" i="4"/>
  <c r="EV52" i="4" s="1"/>
  <c r="FC52" i="4"/>
  <c r="FD52" i="4" s="1"/>
  <c r="FW52" i="4"/>
  <c r="FX52" i="4" s="1"/>
  <c r="FG52" i="4"/>
  <c r="FH52" i="4" s="1"/>
  <c r="FS52" i="4"/>
  <c r="FT52" i="4" s="1"/>
  <c r="GE52" i="4"/>
  <c r="GF52" i="4" s="1"/>
  <c r="FO52" i="4"/>
  <c r="FP52" i="4" s="1"/>
  <c r="EY52" i="4"/>
  <c r="EZ52" i="4" s="1"/>
  <c r="GI52" i="4"/>
  <c r="GJ52" i="4" s="1"/>
  <c r="GG63" i="4"/>
  <c r="GH63" i="4" s="1"/>
  <c r="GC63" i="4"/>
  <c r="GD63" i="4" s="1"/>
  <c r="FY63" i="4"/>
  <c r="FZ63" i="4" s="1"/>
  <c r="FU63" i="4"/>
  <c r="FV63" i="4" s="1"/>
  <c r="FQ63" i="4"/>
  <c r="FR63" i="4" s="1"/>
  <c r="FM63" i="4"/>
  <c r="FN63" i="4" s="1"/>
  <c r="FI63" i="4"/>
  <c r="FJ63" i="4" s="1"/>
  <c r="FE63" i="4"/>
  <c r="FF63" i="4" s="1"/>
  <c r="FA63" i="4"/>
  <c r="FB63" i="4" s="1"/>
  <c r="EW63" i="4"/>
  <c r="EX63" i="4" s="1"/>
  <c r="ET63" i="4"/>
  <c r="FW63" i="4"/>
  <c r="FX63" i="4" s="1"/>
  <c r="FG63" i="4"/>
  <c r="FH63" i="4" s="1"/>
  <c r="GI63" i="4"/>
  <c r="GJ63" i="4" s="1"/>
  <c r="FS63" i="4"/>
  <c r="FT63" i="4" s="1"/>
  <c r="FC63" i="4"/>
  <c r="FD63" i="4" s="1"/>
  <c r="GA63" i="4"/>
  <c r="GB63" i="4" s="1"/>
  <c r="FK63" i="4"/>
  <c r="FL63" i="4" s="1"/>
  <c r="EU63" i="4"/>
  <c r="EV63" i="4" s="1"/>
  <c r="FO63" i="4"/>
  <c r="FP63" i="4" s="1"/>
  <c r="EY63" i="4"/>
  <c r="EZ63" i="4" s="1"/>
  <c r="GE63" i="4"/>
  <c r="GF63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I18" i="4"/>
  <c r="GJ18" i="4" s="1"/>
  <c r="GE18" i="4"/>
  <c r="GF18" i="4" s="1"/>
  <c r="GA18" i="4"/>
  <c r="GB18" i="4" s="1"/>
  <c r="FW18" i="4"/>
  <c r="FX18" i="4" s="1"/>
  <c r="FS18" i="4"/>
  <c r="FT18" i="4" s="1"/>
  <c r="FO18" i="4"/>
  <c r="FP18" i="4" s="1"/>
  <c r="FK18" i="4"/>
  <c r="FL18" i="4" s="1"/>
  <c r="FG18" i="4"/>
  <c r="FH18" i="4" s="1"/>
  <c r="FC18" i="4"/>
  <c r="FD18" i="4" s="1"/>
  <c r="EY18" i="4"/>
  <c r="EZ18" i="4" s="1"/>
  <c r="EU18" i="4"/>
  <c r="EV18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GE147" i="4"/>
  <c r="GF147" i="4" s="1"/>
  <c r="FO147" i="4"/>
  <c r="FP147" i="4" s="1"/>
  <c r="EY147" i="4"/>
  <c r="EZ147" i="4" s="1"/>
  <c r="GI147" i="4"/>
  <c r="GJ147" i="4" s="1"/>
  <c r="FS147" i="4"/>
  <c r="FT147" i="4" s="1"/>
  <c r="FC147" i="4"/>
  <c r="FD147" i="4" s="1"/>
  <c r="GA147" i="4"/>
  <c r="GB147" i="4" s="1"/>
  <c r="FK147" i="4"/>
  <c r="FL147" i="4" s="1"/>
  <c r="EU147" i="4"/>
  <c r="EV147" i="4" s="1"/>
  <c r="FG147" i="4"/>
  <c r="FH147" i="4" s="1"/>
  <c r="FW147" i="4"/>
  <c r="FX147" i="4" s="1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C75" i="4"/>
  <c r="DD75" i="4" s="1"/>
  <c r="CM75" i="4"/>
  <c r="CN75" i="4" s="1"/>
  <c r="DO75" i="4"/>
  <c r="DP75" i="4" s="1"/>
  <c r="CY75" i="4"/>
  <c r="CZ75" i="4" s="1"/>
  <c r="CI75" i="4"/>
  <c r="CJ75" i="4" s="1"/>
  <c r="DG75" i="4"/>
  <c r="DH75" i="4" s="1"/>
  <c r="CQ75" i="4"/>
  <c r="CR75" i="4" s="1"/>
  <c r="CB75" i="4"/>
  <c r="DK75" i="4"/>
  <c r="DL75" i="4" s="1"/>
  <c r="CU75" i="4"/>
  <c r="CV75" i="4" s="1"/>
  <c r="CE75" i="4"/>
  <c r="CF75" i="4" s="1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DK92" i="4"/>
  <c r="DL92" i="4" s="1"/>
  <c r="CU92" i="4"/>
  <c r="CV92" i="4" s="1"/>
  <c r="CE92" i="4"/>
  <c r="CF92" i="4" s="1"/>
  <c r="DG92" i="4"/>
  <c r="DH92" i="4" s="1"/>
  <c r="CQ92" i="4"/>
  <c r="CR92" i="4" s="1"/>
  <c r="CB92" i="4"/>
  <c r="DO92" i="4"/>
  <c r="DP92" i="4" s="1"/>
  <c r="CY92" i="4"/>
  <c r="CZ92" i="4" s="1"/>
  <c r="CI92" i="4"/>
  <c r="CJ92" i="4" s="1"/>
  <c r="DC92" i="4"/>
  <c r="DD92" i="4" s="1"/>
  <c r="CM92" i="4"/>
  <c r="CN92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G99" i="4"/>
  <c r="DH99" i="4" s="1"/>
  <c r="CQ99" i="4"/>
  <c r="CR99" i="4" s="1"/>
  <c r="CB99" i="4"/>
  <c r="DC99" i="4"/>
  <c r="DD99" i="4" s="1"/>
  <c r="CM99" i="4"/>
  <c r="CN99" i="4" s="1"/>
  <c r="DK99" i="4"/>
  <c r="DL99" i="4" s="1"/>
  <c r="CU99" i="4"/>
  <c r="CV99" i="4" s="1"/>
  <c r="CE99" i="4"/>
  <c r="CF99" i="4" s="1"/>
  <c r="DO99" i="4"/>
  <c r="DP99" i="4" s="1"/>
  <c r="CI99" i="4"/>
  <c r="CJ99" i="4" s="1"/>
  <c r="CY99" i="4"/>
  <c r="CZ99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DO40" i="4"/>
  <c r="DP40" i="4" s="1"/>
  <c r="CY40" i="4"/>
  <c r="CZ40" i="4" s="1"/>
  <c r="CI40" i="4"/>
  <c r="CJ40" i="4" s="1"/>
  <c r="CQ40" i="4"/>
  <c r="CR40" i="4" s="1"/>
  <c r="DK40" i="4"/>
  <c r="DL40" i="4" s="1"/>
  <c r="CU40" i="4"/>
  <c r="CV40" i="4" s="1"/>
  <c r="CE40" i="4"/>
  <c r="CF40" i="4" s="1"/>
  <c r="DG40" i="4"/>
  <c r="DH40" i="4" s="1"/>
  <c r="DC40" i="4"/>
  <c r="DD40" i="4" s="1"/>
  <c r="CM40" i="4"/>
  <c r="CN40" i="4" s="1"/>
  <c r="CB40" i="4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C82" i="4"/>
  <c r="DD82" i="4" s="1"/>
  <c r="CM82" i="4"/>
  <c r="CN82" i="4" s="1"/>
  <c r="DO82" i="4"/>
  <c r="DP82" i="4" s="1"/>
  <c r="CY82" i="4"/>
  <c r="CZ82" i="4" s="1"/>
  <c r="CI82" i="4"/>
  <c r="CJ82" i="4" s="1"/>
  <c r="DG82" i="4"/>
  <c r="DH82" i="4" s="1"/>
  <c r="CQ82" i="4"/>
  <c r="CR82" i="4" s="1"/>
  <c r="CB82" i="4"/>
  <c r="DK82" i="4"/>
  <c r="DL82" i="4" s="1"/>
  <c r="CU82" i="4"/>
  <c r="CV82" i="4" s="1"/>
  <c r="CE82" i="4"/>
  <c r="CF82" i="4" s="1"/>
  <c r="GE121" i="4"/>
  <c r="GF121" i="4" s="1"/>
  <c r="FY121" i="4"/>
  <c r="FZ121" i="4" s="1"/>
  <c r="FO121" i="4"/>
  <c r="FP121" i="4" s="1"/>
  <c r="FI121" i="4"/>
  <c r="FJ121" i="4" s="1"/>
  <c r="EY121" i="4"/>
  <c r="EZ121" i="4" s="1"/>
  <c r="ET121" i="4"/>
  <c r="GI121" i="4"/>
  <c r="GJ121" i="4" s="1"/>
  <c r="GC121" i="4"/>
  <c r="GD121" i="4" s="1"/>
  <c r="FS121" i="4"/>
  <c r="FT121" i="4" s="1"/>
  <c r="FM121" i="4"/>
  <c r="FN121" i="4" s="1"/>
  <c r="FC121" i="4"/>
  <c r="FD121" i="4" s="1"/>
  <c r="EW121" i="4"/>
  <c r="EX121" i="4" s="1"/>
  <c r="GA121" i="4"/>
  <c r="GB121" i="4" s="1"/>
  <c r="FU121" i="4"/>
  <c r="FV121" i="4" s="1"/>
  <c r="FK121" i="4"/>
  <c r="FL121" i="4" s="1"/>
  <c r="FE121" i="4"/>
  <c r="FF121" i="4" s="1"/>
  <c r="EU121" i="4"/>
  <c r="EV121" i="4" s="1"/>
  <c r="FG121" i="4"/>
  <c r="FH121" i="4" s="1"/>
  <c r="FW121" i="4"/>
  <c r="FX121" i="4" s="1"/>
  <c r="FA121" i="4"/>
  <c r="FB121" i="4" s="1"/>
  <c r="GG121" i="4"/>
  <c r="GH121" i="4" s="1"/>
  <c r="FQ121" i="4"/>
  <c r="FR121" i="4" s="1"/>
  <c r="DO110" i="4"/>
  <c r="DP110" i="4" s="1"/>
  <c r="DI110" i="4"/>
  <c r="DJ110" i="4" s="1"/>
  <c r="CY110" i="4"/>
  <c r="CZ110" i="4" s="1"/>
  <c r="CS110" i="4"/>
  <c r="CT110" i="4" s="1"/>
  <c r="CI110" i="4"/>
  <c r="CJ110" i="4" s="1"/>
  <c r="CC110" i="4"/>
  <c r="CD110" i="4" s="1"/>
  <c r="DM110" i="4"/>
  <c r="DN110" i="4" s="1"/>
  <c r="DC110" i="4"/>
  <c r="DD110" i="4" s="1"/>
  <c r="CW110" i="4"/>
  <c r="CX110" i="4" s="1"/>
  <c r="CM110" i="4"/>
  <c r="CN110" i="4" s="1"/>
  <c r="CG110" i="4"/>
  <c r="CH110" i="4" s="1"/>
  <c r="DK110" i="4"/>
  <c r="DL110" i="4" s="1"/>
  <c r="DE110" i="4"/>
  <c r="DF110" i="4" s="1"/>
  <c r="CU110" i="4"/>
  <c r="CV110" i="4" s="1"/>
  <c r="CO110" i="4"/>
  <c r="CP110" i="4" s="1"/>
  <c r="CE110" i="4"/>
  <c r="CF110" i="4" s="1"/>
  <c r="CQ110" i="4"/>
  <c r="CR110" i="4" s="1"/>
  <c r="DG110" i="4"/>
  <c r="DH110" i="4" s="1"/>
  <c r="CK110" i="4"/>
  <c r="CL110" i="4" s="1"/>
  <c r="DQ110" i="4"/>
  <c r="DR110" i="4" s="1"/>
  <c r="CB110" i="4"/>
  <c r="DA110" i="4"/>
  <c r="DB110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G116" i="4"/>
  <c r="DH116" i="4" s="1"/>
  <c r="CQ116" i="4"/>
  <c r="CR116" i="4" s="1"/>
  <c r="CB116" i="4"/>
  <c r="DC116" i="4"/>
  <c r="DD116" i="4" s="1"/>
  <c r="CM116" i="4"/>
  <c r="CN116" i="4" s="1"/>
  <c r="DK116" i="4"/>
  <c r="DL116" i="4" s="1"/>
  <c r="CU116" i="4"/>
  <c r="CV116" i="4" s="1"/>
  <c r="CE116" i="4"/>
  <c r="CF116" i="4" s="1"/>
  <c r="CI116" i="4"/>
  <c r="CJ116" i="4" s="1"/>
  <c r="CY116" i="4"/>
  <c r="CZ116" i="4" s="1"/>
  <c r="DO116" i="4"/>
  <c r="DP116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DQ25" i="4"/>
  <c r="DR25" i="4" s="1"/>
  <c r="DM25" i="4"/>
  <c r="DN25" i="4" s="1"/>
  <c r="DI25" i="4"/>
  <c r="DJ25" i="4" s="1"/>
  <c r="DE25" i="4"/>
  <c r="DF25" i="4" s="1"/>
  <c r="DA25" i="4"/>
  <c r="DB25" i="4" s="1"/>
  <c r="CW25" i="4"/>
  <c r="CX25" i="4" s="1"/>
  <c r="CS25" i="4"/>
  <c r="CT25" i="4" s="1"/>
  <c r="CO25" i="4"/>
  <c r="CP25" i="4" s="1"/>
  <c r="CK25" i="4"/>
  <c r="CL25" i="4" s="1"/>
  <c r="CG25" i="4"/>
  <c r="CH25" i="4" s="1"/>
  <c r="CC25" i="4"/>
  <c r="CD25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DC103" i="4"/>
  <c r="DD103" i="4" s="1"/>
  <c r="CM103" i="4"/>
  <c r="CN103" i="4" s="1"/>
  <c r="DO103" i="4"/>
  <c r="DP103" i="4" s="1"/>
  <c r="CY103" i="4"/>
  <c r="CZ103" i="4" s="1"/>
  <c r="CI103" i="4"/>
  <c r="CJ103" i="4" s="1"/>
  <c r="DG103" i="4"/>
  <c r="DH103" i="4" s="1"/>
  <c r="CQ103" i="4"/>
  <c r="CR103" i="4" s="1"/>
  <c r="CB103" i="4"/>
  <c r="CE103" i="4"/>
  <c r="CF103" i="4" s="1"/>
  <c r="CU103" i="4"/>
  <c r="CV103" i="4" s="1"/>
  <c r="DK103" i="4"/>
  <c r="DL103" i="4" s="1"/>
  <c r="DK137" i="4"/>
  <c r="DL137" i="4" s="1"/>
  <c r="DC137" i="4"/>
  <c r="DD137" i="4" s="1"/>
  <c r="CU137" i="4"/>
  <c r="CV137" i="4" s="1"/>
  <c r="CM137" i="4"/>
  <c r="CN137" i="4" s="1"/>
  <c r="CE137" i="4"/>
  <c r="CF137" i="4" s="1"/>
  <c r="DQ137" i="4"/>
  <c r="DR137" i="4" s="1"/>
  <c r="DI137" i="4"/>
  <c r="DJ137" i="4" s="1"/>
  <c r="DA137" i="4"/>
  <c r="DB137" i="4" s="1"/>
  <c r="CS137" i="4"/>
  <c r="CT137" i="4" s="1"/>
  <c r="CK137" i="4"/>
  <c r="CL137" i="4" s="1"/>
  <c r="CC137" i="4"/>
  <c r="CD137" i="4" s="1"/>
  <c r="DM137" i="4"/>
  <c r="DN137" i="4" s="1"/>
  <c r="DE137" i="4"/>
  <c r="DF137" i="4" s="1"/>
  <c r="CW137" i="4"/>
  <c r="CX137" i="4" s="1"/>
  <c r="CO137" i="4"/>
  <c r="CP137" i="4" s="1"/>
  <c r="CG137" i="4"/>
  <c r="CH137" i="4" s="1"/>
  <c r="CY137" i="4"/>
  <c r="CZ137" i="4" s="1"/>
  <c r="CQ137" i="4"/>
  <c r="CR137" i="4" s="1"/>
  <c r="DG137" i="4"/>
  <c r="DH137" i="4" s="1"/>
  <c r="CB137" i="4"/>
  <c r="DO137" i="4"/>
  <c r="DP137" i="4" s="1"/>
  <c r="CI137" i="4"/>
  <c r="CJ13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GI67" i="4"/>
  <c r="GJ67" i="4" s="1"/>
  <c r="FS67" i="4"/>
  <c r="FT67" i="4" s="1"/>
  <c r="FC67" i="4"/>
  <c r="FD67" i="4" s="1"/>
  <c r="GE67" i="4"/>
  <c r="GF67" i="4" s="1"/>
  <c r="FO67" i="4"/>
  <c r="FP67" i="4" s="1"/>
  <c r="EY67" i="4"/>
  <c r="EZ67" i="4" s="1"/>
  <c r="FW67" i="4"/>
  <c r="FX67" i="4" s="1"/>
  <c r="FG67" i="4"/>
  <c r="FH67" i="4" s="1"/>
  <c r="GA67" i="4"/>
  <c r="GB67" i="4" s="1"/>
  <c r="EU67" i="4"/>
  <c r="EV67" i="4" s="1"/>
  <c r="FK67" i="4"/>
  <c r="FL67" i="4" s="1"/>
  <c r="GE126" i="4"/>
  <c r="GF126" i="4" s="1"/>
  <c r="FU126" i="4"/>
  <c r="FV126" i="4" s="1"/>
  <c r="FO126" i="4"/>
  <c r="FP126" i="4" s="1"/>
  <c r="FE126" i="4"/>
  <c r="FF126" i="4" s="1"/>
  <c r="EY126" i="4"/>
  <c r="EZ126" i="4" s="1"/>
  <c r="GI126" i="4"/>
  <c r="GJ126" i="4" s="1"/>
  <c r="FY126" i="4"/>
  <c r="FZ126" i="4" s="1"/>
  <c r="FS126" i="4"/>
  <c r="FT126" i="4" s="1"/>
  <c r="FI126" i="4"/>
  <c r="FJ126" i="4" s="1"/>
  <c r="FC126" i="4"/>
  <c r="FD126" i="4" s="1"/>
  <c r="ET126" i="4"/>
  <c r="GG126" i="4"/>
  <c r="GH126" i="4" s="1"/>
  <c r="GA126" i="4"/>
  <c r="GB126" i="4" s="1"/>
  <c r="FQ126" i="4"/>
  <c r="FR126" i="4" s="1"/>
  <c r="FK126" i="4"/>
  <c r="FL126" i="4" s="1"/>
  <c r="FA126" i="4"/>
  <c r="FB126" i="4" s="1"/>
  <c r="EU126" i="4"/>
  <c r="EV126" i="4" s="1"/>
  <c r="GC126" i="4"/>
  <c r="GD126" i="4" s="1"/>
  <c r="FG126" i="4"/>
  <c r="FH126" i="4" s="1"/>
  <c r="FW126" i="4"/>
  <c r="FX126" i="4" s="1"/>
  <c r="FM126" i="4"/>
  <c r="FN126" i="4" s="1"/>
  <c r="EW126" i="4"/>
  <c r="EX126" i="4" s="1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DK71" i="4"/>
  <c r="DL71" i="4" s="1"/>
  <c r="CU71" i="4"/>
  <c r="CV71" i="4" s="1"/>
  <c r="CE71" i="4"/>
  <c r="CF71" i="4" s="1"/>
  <c r="DG71" i="4"/>
  <c r="DH71" i="4" s="1"/>
  <c r="CQ71" i="4"/>
  <c r="CR71" i="4" s="1"/>
  <c r="CB71" i="4"/>
  <c r="DO71" i="4"/>
  <c r="DP71" i="4" s="1"/>
  <c r="CY71" i="4"/>
  <c r="CZ71" i="4" s="1"/>
  <c r="CI71" i="4"/>
  <c r="CJ71" i="4" s="1"/>
  <c r="CM71" i="4"/>
  <c r="CN71" i="4" s="1"/>
  <c r="DC71" i="4"/>
  <c r="DD71" i="4" s="1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GI75" i="4"/>
  <c r="GJ75" i="4" s="1"/>
  <c r="FS75" i="4"/>
  <c r="FT75" i="4" s="1"/>
  <c r="FC75" i="4"/>
  <c r="FD75" i="4" s="1"/>
  <c r="GE75" i="4"/>
  <c r="GF75" i="4" s="1"/>
  <c r="FO75" i="4"/>
  <c r="FP75" i="4" s="1"/>
  <c r="EY75" i="4"/>
  <c r="EZ75" i="4" s="1"/>
  <c r="FW75" i="4"/>
  <c r="FX75" i="4" s="1"/>
  <c r="FG75" i="4"/>
  <c r="FH75" i="4" s="1"/>
  <c r="FK75" i="4"/>
  <c r="FL75" i="4" s="1"/>
  <c r="EU75" i="4"/>
  <c r="EV75" i="4" s="1"/>
  <c r="GA75" i="4"/>
  <c r="GB75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GA71" i="4"/>
  <c r="GB71" i="4" s="1"/>
  <c r="FK71" i="4"/>
  <c r="FL71" i="4" s="1"/>
  <c r="EU71" i="4"/>
  <c r="EV71" i="4" s="1"/>
  <c r="FW71" i="4"/>
  <c r="FX71" i="4" s="1"/>
  <c r="FG71" i="4"/>
  <c r="FH71" i="4" s="1"/>
  <c r="GE71" i="4"/>
  <c r="GF71" i="4" s="1"/>
  <c r="FO71" i="4"/>
  <c r="FP71" i="4" s="1"/>
  <c r="EY71" i="4"/>
  <c r="EZ71" i="4" s="1"/>
  <c r="FC71" i="4"/>
  <c r="FD71" i="4" s="1"/>
  <c r="GI71" i="4"/>
  <c r="GJ71" i="4" s="1"/>
  <c r="FS71" i="4"/>
  <c r="FT71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FW99" i="4"/>
  <c r="FX99" i="4" s="1"/>
  <c r="FG99" i="4"/>
  <c r="FH99" i="4" s="1"/>
  <c r="GI99" i="4"/>
  <c r="GJ99" i="4" s="1"/>
  <c r="FS99" i="4"/>
  <c r="FT99" i="4" s="1"/>
  <c r="FC99" i="4"/>
  <c r="FD99" i="4" s="1"/>
  <c r="GA99" i="4"/>
  <c r="GB99" i="4" s="1"/>
  <c r="FK99" i="4"/>
  <c r="FL99" i="4" s="1"/>
  <c r="EU99" i="4"/>
  <c r="EV99" i="4" s="1"/>
  <c r="GE99" i="4"/>
  <c r="GF99" i="4" s="1"/>
  <c r="FO99" i="4"/>
  <c r="FP99" i="4" s="1"/>
  <c r="EY99" i="4"/>
  <c r="EZ99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GE40" i="4"/>
  <c r="GF40" i="4" s="1"/>
  <c r="FO40" i="4"/>
  <c r="FP40" i="4" s="1"/>
  <c r="EY40" i="4"/>
  <c r="EZ40" i="4" s="1"/>
  <c r="GA40" i="4"/>
  <c r="GB40" i="4" s="1"/>
  <c r="FK40" i="4"/>
  <c r="FL40" i="4" s="1"/>
  <c r="EU40" i="4"/>
  <c r="EV40" i="4" s="1"/>
  <c r="FW40" i="4"/>
  <c r="FX40" i="4" s="1"/>
  <c r="GI40" i="4"/>
  <c r="GJ40" i="4" s="1"/>
  <c r="FS40" i="4"/>
  <c r="FT40" i="4" s="1"/>
  <c r="FC40" i="4"/>
  <c r="FD40" i="4" s="1"/>
  <c r="FG40" i="4"/>
  <c r="FH40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I82" i="4"/>
  <c r="GJ82" i="4" s="1"/>
  <c r="FS82" i="4"/>
  <c r="FT82" i="4" s="1"/>
  <c r="FC82" i="4"/>
  <c r="FD82" i="4" s="1"/>
  <c r="GE82" i="4"/>
  <c r="GF82" i="4" s="1"/>
  <c r="FO82" i="4"/>
  <c r="FP82" i="4" s="1"/>
  <c r="EY82" i="4"/>
  <c r="EZ82" i="4" s="1"/>
  <c r="FW82" i="4"/>
  <c r="FX82" i="4" s="1"/>
  <c r="FG82" i="4"/>
  <c r="FH82" i="4" s="1"/>
  <c r="FK82" i="4"/>
  <c r="FL82" i="4" s="1"/>
  <c r="EU82" i="4"/>
  <c r="EV82" i="4" s="1"/>
  <c r="GA82" i="4"/>
  <c r="GB82" i="4" s="1"/>
  <c r="DK121" i="4"/>
  <c r="DL121" i="4" s="1"/>
  <c r="DE121" i="4"/>
  <c r="DF121" i="4" s="1"/>
  <c r="CU121" i="4"/>
  <c r="CV121" i="4" s="1"/>
  <c r="CO121" i="4"/>
  <c r="CP121" i="4" s="1"/>
  <c r="CE121" i="4"/>
  <c r="CF121" i="4" s="1"/>
  <c r="DO121" i="4"/>
  <c r="DP121" i="4" s="1"/>
  <c r="DI121" i="4"/>
  <c r="DJ121" i="4" s="1"/>
  <c r="CY121" i="4"/>
  <c r="CZ121" i="4" s="1"/>
  <c r="CS121" i="4"/>
  <c r="CT121" i="4" s="1"/>
  <c r="CI121" i="4"/>
  <c r="CJ121" i="4" s="1"/>
  <c r="CC121" i="4"/>
  <c r="CD121" i="4" s="1"/>
  <c r="DQ121" i="4"/>
  <c r="DR121" i="4" s="1"/>
  <c r="DG121" i="4"/>
  <c r="DH121" i="4" s="1"/>
  <c r="DA121" i="4"/>
  <c r="DB121" i="4" s="1"/>
  <c r="CQ121" i="4"/>
  <c r="CR121" i="4" s="1"/>
  <c r="CK121" i="4"/>
  <c r="CL121" i="4" s="1"/>
  <c r="CB121" i="4"/>
  <c r="CW121" i="4"/>
  <c r="CX121" i="4" s="1"/>
  <c r="DM121" i="4"/>
  <c r="DN121" i="4" s="1"/>
  <c r="DC121" i="4"/>
  <c r="DD121" i="4" s="1"/>
  <c r="CG121" i="4"/>
  <c r="CH121" i="4" s="1"/>
  <c r="CM121" i="4"/>
  <c r="CN121" i="4" s="1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GE110" i="4"/>
  <c r="GF110" i="4" s="1"/>
  <c r="FO110" i="4"/>
  <c r="FP110" i="4" s="1"/>
  <c r="FC110" i="4"/>
  <c r="FD110" i="4" s="1"/>
  <c r="EW110" i="4"/>
  <c r="EX110" i="4" s="1"/>
  <c r="GA110" i="4"/>
  <c r="GB110" i="4" s="1"/>
  <c r="FK110" i="4"/>
  <c r="FL110" i="4" s="1"/>
  <c r="FA110" i="4"/>
  <c r="FB110" i="4" s="1"/>
  <c r="GI110" i="4"/>
  <c r="GJ110" i="4" s="1"/>
  <c r="FS110" i="4"/>
  <c r="FT110" i="4" s="1"/>
  <c r="FE110" i="4"/>
  <c r="FF110" i="4" s="1"/>
  <c r="EY110" i="4"/>
  <c r="EZ110" i="4" s="1"/>
  <c r="ET110" i="4"/>
  <c r="EU110" i="4"/>
  <c r="EV110" i="4" s="1"/>
  <c r="FW110" i="4"/>
  <c r="FX110" i="4" s="1"/>
  <c r="FG110" i="4"/>
  <c r="FH110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FW116" i="4"/>
  <c r="FX116" i="4" s="1"/>
  <c r="FG116" i="4"/>
  <c r="FH116" i="4" s="1"/>
  <c r="GI116" i="4"/>
  <c r="GJ116" i="4" s="1"/>
  <c r="FS116" i="4"/>
  <c r="FT116" i="4" s="1"/>
  <c r="FC116" i="4"/>
  <c r="FD116" i="4" s="1"/>
  <c r="GA116" i="4"/>
  <c r="GB116" i="4" s="1"/>
  <c r="FK116" i="4"/>
  <c r="FL116" i="4" s="1"/>
  <c r="EU116" i="4"/>
  <c r="EV116" i="4" s="1"/>
  <c r="GE116" i="4"/>
  <c r="GF116" i="4" s="1"/>
  <c r="EY116" i="4"/>
  <c r="EZ116" i="4" s="1"/>
  <c r="FO116" i="4"/>
  <c r="FP116" i="4" s="1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I103" i="4"/>
  <c r="GJ103" i="4" s="1"/>
  <c r="FS103" i="4"/>
  <c r="FT103" i="4" s="1"/>
  <c r="FC103" i="4"/>
  <c r="FD103" i="4" s="1"/>
  <c r="GE103" i="4"/>
  <c r="GF103" i="4" s="1"/>
  <c r="FO103" i="4"/>
  <c r="FP103" i="4" s="1"/>
  <c r="EY103" i="4"/>
  <c r="EZ103" i="4" s="1"/>
  <c r="FW103" i="4"/>
  <c r="FX103" i="4" s="1"/>
  <c r="FG103" i="4"/>
  <c r="FH103" i="4" s="1"/>
  <c r="GA103" i="4"/>
  <c r="GB103" i="4" s="1"/>
  <c r="EU103" i="4"/>
  <c r="EV103" i="4" s="1"/>
  <c r="FK103" i="4"/>
  <c r="FL103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GA137" i="4"/>
  <c r="GB137" i="4" s="1"/>
  <c r="FK137" i="4"/>
  <c r="FL137" i="4" s="1"/>
  <c r="EW137" i="4"/>
  <c r="EX137" i="4" s="1"/>
  <c r="FW137" i="4"/>
  <c r="FX137" i="4" s="1"/>
  <c r="FG137" i="4"/>
  <c r="FH137" i="4" s="1"/>
  <c r="EU137" i="4"/>
  <c r="EV137" i="4" s="1"/>
  <c r="GE137" i="4"/>
  <c r="GF137" i="4" s="1"/>
  <c r="FO137" i="4"/>
  <c r="FP137" i="4" s="1"/>
  <c r="EY137" i="4"/>
  <c r="EZ137" i="4" s="1"/>
  <c r="GI137" i="4"/>
  <c r="GJ137" i="4" s="1"/>
  <c r="FS137" i="4"/>
  <c r="FT137" i="4" s="1"/>
  <c r="ET137" i="4"/>
  <c r="FC137" i="4"/>
  <c r="FD137" i="4" s="1"/>
  <c r="CO28" i="4" l="1"/>
  <c r="CP28" i="4" s="1"/>
  <c r="DM28" i="4"/>
  <c r="DN28" i="4" s="1"/>
  <c r="CE28" i="4"/>
  <c r="CF28" i="4" s="1"/>
  <c r="FC27" i="4"/>
  <c r="FD27" i="4" s="1"/>
  <c r="DK28" i="4"/>
  <c r="DL28" i="4" s="1"/>
  <c r="FK27" i="4"/>
  <c r="FL27" i="4" s="1"/>
  <c r="FU27" i="4"/>
  <c r="FV27" i="4" s="1"/>
  <c r="EW27" i="4"/>
  <c r="EX27" i="4" s="1"/>
  <c r="GG27" i="4"/>
  <c r="GH27" i="4" s="1"/>
  <c r="ET27" i="4"/>
  <c r="GI27" i="4"/>
  <c r="GJ27" i="4" s="1"/>
  <c r="FE27" i="4"/>
  <c r="FF27" i="4" s="1"/>
  <c r="GE27" i="4"/>
  <c r="GF27" i="4" s="1"/>
  <c r="EY27" i="4"/>
  <c r="EZ27" i="4" s="1"/>
  <c r="CB28" i="4"/>
  <c r="CI28" i="4"/>
  <c r="CJ28" i="4" s="1"/>
  <c r="CU28" i="4"/>
  <c r="CV28" i="4" s="1"/>
  <c r="CW28" i="4"/>
  <c r="CX28" i="4" s="1"/>
  <c r="DQ28" i="4"/>
  <c r="DR28" i="4" s="1"/>
  <c r="GA27" i="4"/>
  <c r="GB27" i="4" s="1"/>
  <c r="FM27" i="4"/>
  <c r="FN27" i="4" s="1"/>
  <c r="FA27" i="4"/>
  <c r="FB27" i="4" s="1"/>
  <c r="CG28" i="4"/>
  <c r="CH28" i="4" s="1"/>
  <c r="CM28" i="4"/>
  <c r="CN28" i="4" s="1"/>
  <c r="CQ28" i="4"/>
  <c r="CR28" i="4" s="1"/>
  <c r="DA28" i="4"/>
  <c r="DB28" i="4" s="1"/>
  <c r="CY28" i="4"/>
  <c r="CZ28" i="4" s="1"/>
  <c r="DO28" i="4"/>
  <c r="DP28" i="4" s="1"/>
  <c r="CK28" i="4"/>
  <c r="CL28" i="4" s="1"/>
  <c r="DE28" i="4"/>
  <c r="DF28" i="4" s="1"/>
  <c r="EU27" i="4"/>
  <c r="EV27" i="4" s="1"/>
  <c r="FY27" i="4"/>
  <c r="FZ27" i="4" s="1"/>
  <c r="GC27" i="4"/>
  <c r="GD27" i="4" s="1"/>
  <c r="FI27" i="4"/>
  <c r="FJ27" i="4" s="1"/>
  <c r="FQ27" i="4"/>
  <c r="FR27" i="4" s="1"/>
  <c r="FS27" i="4"/>
  <c r="FT27" i="4" s="1"/>
  <c r="FO27" i="4"/>
  <c r="FP27" i="4" s="1"/>
  <c r="DG28" i="4"/>
  <c r="DH28" i="4" s="1"/>
  <c r="DC28" i="4"/>
  <c r="DD28" i="4" s="1"/>
  <c r="CC28" i="4"/>
  <c r="CD28" i="4" s="1"/>
  <c r="CS28" i="4"/>
  <c r="CT28" i="4" s="1"/>
  <c r="ER28" i="4"/>
  <c r="ES28" i="4" s="1"/>
  <c r="GE28" i="4" s="1"/>
  <c r="GF28" i="4" s="1"/>
  <c r="GI23" i="4"/>
  <c r="GJ23" i="4" s="1"/>
  <c r="FS23" i="4"/>
  <c r="FT23" i="4" s="1"/>
  <c r="FC23" i="4"/>
  <c r="FD23" i="4" s="1"/>
  <c r="GC23" i="4"/>
  <c r="GD23" i="4" s="1"/>
  <c r="FM23" i="4"/>
  <c r="FN23" i="4" s="1"/>
  <c r="EW23" i="4"/>
  <c r="EX23" i="4" s="1"/>
  <c r="FK23" i="4"/>
  <c r="FL23" i="4" s="1"/>
  <c r="EU23" i="4"/>
  <c r="EV23" i="4" s="1"/>
  <c r="FE23" i="4"/>
  <c r="FF23" i="4" s="1"/>
  <c r="GE23" i="4"/>
  <c r="GF23" i="4" s="1"/>
  <c r="FO23" i="4"/>
  <c r="FP23" i="4" s="1"/>
  <c r="EY23" i="4"/>
  <c r="EZ23" i="4" s="1"/>
  <c r="FY23" i="4"/>
  <c r="FZ23" i="4" s="1"/>
  <c r="FI23" i="4"/>
  <c r="FJ23" i="4" s="1"/>
  <c r="ET23" i="4"/>
  <c r="GA23" i="4"/>
  <c r="GB23" i="4" s="1"/>
  <c r="FU23" i="4"/>
  <c r="FV23" i="4" s="1"/>
  <c r="FW23" i="4"/>
  <c r="FX23" i="4" s="1"/>
  <c r="FG23" i="4"/>
  <c r="FH23" i="4" s="1"/>
  <c r="GG23" i="4"/>
  <c r="GH23" i="4" s="1"/>
  <c r="FQ23" i="4"/>
  <c r="FR23" i="4" s="1"/>
  <c r="FA23" i="4"/>
  <c r="FB23" i="4" s="1"/>
  <c r="DC23" i="4"/>
  <c r="DD23" i="4" s="1"/>
  <c r="CM23" i="4"/>
  <c r="CN23" i="4" s="1"/>
  <c r="DQ23" i="4"/>
  <c r="DR23" i="4" s="1"/>
  <c r="DA23" i="4"/>
  <c r="DB23" i="4" s="1"/>
  <c r="CK23" i="4"/>
  <c r="CL23" i="4" s="1"/>
  <c r="DK23" i="4"/>
  <c r="DL23" i="4" s="1"/>
  <c r="CE23" i="4"/>
  <c r="CF23" i="4" s="1"/>
  <c r="CS23" i="4"/>
  <c r="CT23" i="4" s="1"/>
  <c r="DG23" i="4"/>
  <c r="DH23" i="4" s="1"/>
  <c r="DE23" i="4"/>
  <c r="DF23" i="4" s="1"/>
  <c r="DO23" i="4"/>
  <c r="DP23" i="4" s="1"/>
  <c r="CY23" i="4"/>
  <c r="CZ23" i="4" s="1"/>
  <c r="CI23" i="4"/>
  <c r="CJ23" i="4" s="1"/>
  <c r="DM23" i="4"/>
  <c r="DN23" i="4" s="1"/>
  <c r="CW23" i="4"/>
  <c r="CX23" i="4" s="1"/>
  <c r="CG23" i="4"/>
  <c r="CH23" i="4" s="1"/>
  <c r="CU23" i="4"/>
  <c r="CV23" i="4" s="1"/>
  <c r="DI23" i="4"/>
  <c r="DJ23" i="4" s="1"/>
  <c r="CC23" i="4"/>
  <c r="CD23" i="4" s="1"/>
  <c r="CQ23" i="4"/>
  <c r="CR23" i="4" s="1"/>
  <c r="CB23" i="4"/>
  <c r="CO23" i="4"/>
  <c r="CP23" i="4" s="1"/>
  <c r="GI28" i="4" l="1"/>
  <c r="GJ28" i="4" s="1"/>
  <c r="EU28" i="4"/>
  <c r="EV28" i="4" s="1"/>
  <c r="EW28" i="4"/>
  <c r="EX28" i="4" s="1"/>
  <c r="GG28" i="4"/>
  <c r="GH28" i="4" s="1"/>
  <c r="FM28" i="4"/>
  <c r="FN28" i="4" s="1"/>
  <c r="FK28" i="4"/>
  <c r="FL28" i="4" s="1"/>
  <c r="FQ28" i="4"/>
  <c r="FR28" i="4" s="1"/>
  <c r="FS28" i="4"/>
  <c r="FT28" i="4" s="1"/>
  <c r="FA28" i="4"/>
  <c r="FB28" i="4" s="1"/>
  <c r="FU28" i="4"/>
  <c r="FV28" i="4" s="1"/>
  <c r="FC28" i="4"/>
  <c r="FD28" i="4" s="1"/>
  <c r="FW28" i="4"/>
  <c r="FX28" i="4" s="1"/>
  <c r="FE28" i="4"/>
  <c r="FF28" i="4" s="1"/>
  <c r="GC28" i="4"/>
  <c r="GD28" i="4" s="1"/>
  <c r="FG28" i="4"/>
  <c r="FH28" i="4" s="1"/>
  <c r="GA28" i="4"/>
  <c r="GB28" i="4" s="1"/>
  <c r="ET28" i="4"/>
  <c r="FI28" i="4"/>
  <c r="FJ28" i="4" s="1"/>
  <c r="FY28" i="4"/>
  <c r="FZ28" i="4" s="1"/>
  <c r="EY28" i="4"/>
  <c r="EZ28" i="4" s="1"/>
  <c r="FO28" i="4"/>
  <c r="FP28" i="4" s="1"/>
</calcChain>
</file>

<file path=xl/sharedStrings.xml><?xml version="1.0" encoding="utf-8"?>
<sst xmlns="http://schemas.openxmlformats.org/spreadsheetml/2006/main" count="718" uniqueCount="319">
  <si>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</si>
  <si>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</si>
  <si>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</si>
  <si>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</si>
  <si>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</si>
  <si>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</si>
  <si>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</si>
  <si>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</si>
  <si>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</si>
  <si>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</si>
  <si>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</si>
  <si>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</si>
  <si>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</si>
  <si>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</si>
  <si>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</si>
  <si>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</si>
  <si>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</si>
  <si>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</si>
  <si>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</si>
  <si>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</si>
  <si>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</si>
  <si>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</si>
  <si>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</si>
  <si>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</si>
  <si>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</si>
  <si>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</si>
  <si>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</si>
  <si>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</si>
  <si>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</si>
  <si>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</si>
  <si>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</si>
  <si>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</si>
  <si>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</si>
  <si>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</si>
  <si>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</si>
  <si>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</si>
  <si>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</si>
  <si>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</si>
  <si>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</si>
  <si>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</si>
  <si>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</si>
  <si>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</si>
  <si>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</si>
  <si>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</si>
  <si>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</si>
  <si>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</si>
  <si>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</si>
  <si>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</si>
  <si>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</si>
  <si>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</si>
  <si>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</si>
  <si>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</si>
  <si>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</si>
  <si>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</si>
  <si>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</si>
  <si>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</si>
  <si>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</si>
  <si>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</si>
  <si>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</si>
  <si>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</si>
  <si>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</si>
  <si>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</si>
  <si>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</si>
  <si>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</si>
  <si>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</si>
  <si>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</si>
  <si>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</si>
  <si>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</si>
  <si>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</si>
  <si>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</si>
  <si>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</si>
  <si>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</si>
  <si>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</si>
  <si>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</si>
  <si>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</si>
  <si>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</si>
  <si>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</si>
  <si>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</si>
  <si>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</si>
  <si>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</si>
  <si>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</si>
  <si>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</si>
  <si>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</si>
  <si>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</si>
  <si>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</si>
  <si>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</si>
  <si>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</si>
  <si>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</si>
  <si>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</si>
  <si>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</si>
  <si>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</si>
  <si>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</si>
  <si>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</si>
  <si>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</si>
  <si>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</si>
  <si>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</si>
  <si>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</si>
  <si>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</si>
  <si>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</si>
  <si>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</si>
  <si>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</si>
  <si>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</si>
  <si>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</si>
  <si>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</si>
  <si>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</si>
  <si>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</si>
  <si>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</si>
  <si>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</si>
  <si>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</si>
  <si>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</si>
  <si>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</si>
  <si>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</si>
  <si>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</si>
  <si>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</si>
  <si>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</si>
  <si>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</si>
  <si>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</si>
  <si>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</si>
  <si>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</si>
  <si>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</si>
  <si>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</si>
  <si>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</si>
  <si>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</si>
  <si>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</si>
  <si>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</si>
  <si>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</si>
  <si>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</si>
  <si>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</si>
  <si>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</si>
  <si>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</si>
  <si>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</si>
  <si>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</si>
  <si>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</si>
  <si>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</si>
  <si>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</si>
  <si>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</si>
  <si>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</si>
  <si>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</si>
  <si>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</si>
  <si>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</si>
  <si>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</si>
  <si>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</si>
  <si>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</si>
  <si>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</si>
  <si>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</si>
  <si>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</si>
  <si>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</si>
  <si>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</si>
  <si>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</si>
  <si>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</si>
  <si>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</si>
  <si>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</si>
  <si>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</si>
  <si>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</si>
  <si>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</si>
  <si>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</si>
  <si>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</si>
  <si>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</si>
  <si>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</si>
  <si>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</si>
  <si>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</si>
  <si>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</si>
  <si>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</si>
  <si>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</si>
  <si>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</si>
  <si>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</si>
  <si>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</si>
  <si>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</si>
  <si>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</si>
  <si>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</si>
  <si>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</si>
  <si>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</si>
  <si>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</si>
  <si>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</si>
  <si>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</si>
  <si>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</si>
  <si>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</si>
  <si>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</si>
  <si>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</si>
  <si>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</si>
  <si>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</si>
  <si>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</si>
  <si>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</si>
  <si>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</si>
  <si>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</si>
  <si>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</si>
  <si>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</si>
  <si>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</si>
  <si>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</si>
  <si>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</si>
  <si>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</si>
  <si>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</si>
  <si>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</si>
  <si>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</si>
  <si>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</si>
  <si>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</si>
  <si>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</si>
  <si>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</si>
  <si>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</si>
  <si>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</si>
  <si>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</si>
  <si>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</si>
  <si>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</si>
  <si>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</si>
  <si>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</si>
  <si>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</si>
  <si>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</si>
  <si>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</si>
  <si>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</si>
  <si>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</si>
  <si>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</si>
  <si>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</si>
  <si>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</si>
  <si>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</si>
  <si>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</si>
  <si>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</si>
  <si>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</si>
  <si>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</si>
  <si>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</si>
  <si>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</si>
  <si>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</si>
  <si>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</si>
  <si>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</si>
  <si>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</si>
  <si>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</si>
  <si>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</si>
  <si>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</si>
  <si>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</si>
  <si>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</si>
  <si>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</si>
  <si>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</si>
  <si>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</si>
  <si>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</si>
  <si>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</si>
  <si>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</si>
  <si>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</si>
  <si>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</si>
  <si>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</si>
  <si>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</si>
  <si>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</si>
  <si>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</si>
  <si>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</si>
  <si>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</si>
  <si>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</si>
  <si>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</si>
  <si>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</si>
  <si>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</si>
  <si>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</si>
  <si>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</si>
  <si>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</si>
  <si>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</si>
  <si>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</si>
  <si>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</si>
  <si>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</si>
  <si>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</si>
  <si>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</si>
  <si>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</si>
  <si>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</si>
  <si>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</si>
  <si>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</si>
  <si>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</si>
  <si>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</si>
  <si>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</si>
  <si>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</si>
  <si>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</si>
  <si>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</si>
  <si>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</si>
  <si>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</si>
  <si>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</si>
  <si>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</si>
  <si>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</si>
  <si>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</si>
  <si>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</si>
  <si>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</si>
  <si>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</si>
  <si>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</si>
  <si>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</si>
  <si>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</si>
  <si>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</si>
  <si>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</si>
  <si>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</si>
  <si>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</si>
  <si>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</si>
  <si>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</si>
  <si>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</si>
  <si>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</si>
  <si>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</si>
  <si>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</si>
  <si>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</si>
  <si>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</si>
  <si>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</si>
  <si>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</si>
  <si>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</si>
  <si>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</si>
  <si>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</si>
  <si>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</si>
  <si>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</si>
  <si>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</si>
  <si>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</si>
  <si>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</si>
  <si>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</si>
  <si>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</si>
  <si>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</si>
  <si>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</si>
  <si>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00체육관 신축공사</t>
  </si>
  <si>
    <t>문화및집회</t>
  </si>
  <si>
    <t>충청도</t>
  </si>
  <si>
    <t>옥외방송공사</t>
  </si>
  <si>
    <t>특고압인입 및 외선공사,외등공사,경관조명배관공사,동력배관공사(소방용),동력배관공사(일반동력용),주방동력배관공사,전기간선공사,체육관내동력배관공사,B동전기공사</t>
    <phoneticPr fontId="2" type="noConversion"/>
  </si>
  <si>
    <t>전기실 변전공사</t>
  </si>
  <si>
    <t>전기실 접지공사,피뢰침공사</t>
    <phoneticPr fontId="2" type="noConversion"/>
  </si>
  <si>
    <t>전등공사,전등제어센서 및 음향자동제어</t>
    <phoneticPr fontId="2" type="noConversion"/>
  </si>
  <si>
    <t>우오수공</t>
  </si>
  <si>
    <t>상수도공,조경공,부대공,사급자재비,폐기물처리비</t>
    <phoneticPr fontId="2" type="noConversion"/>
  </si>
  <si>
    <t>토및지정공사,골재대,운반공사,부산물공제,사급자재,옥외시설</t>
    <phoneticPr fontId="2" type="noConversion"/>
  </si>
  <si>
    <t>통기관배관공사,체육관닥트배관공사,기타공사</t>
    <phoneticPr fontId="2" type="noConversion"/>
  </si>
  <si>
    <t>환기배관공사</t>
    <phoneticPr fontId="2" type="noConversion"/>
  </si>
  <si>
    <t>통신인입공사</t>
    <phoneticPr fontId="2" type="noConversion"/>
  </si>
  <si>
    <t>전화.TV 공사,LAN 배관공사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</si>
</sst>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158</v>
      </c>
      <c r="B2" s="80" t="s">
        <v>0</v>
      </c>
      <c r="C2" s="81"/>
      <c r="D2" s="80" t="s">
        <v>1</v>
      </c>
      <c r="E2" s="81"/>
      <c r="F2" s="80" t="s">
        <v>159</v>
      </c>
      <c r="G2" s="81"/>
      <c r="H2" s="80" t="s">
        <v>2</v>
      </c>
      <c r="I2" s="81"/>
      <c r="J2" s="80" t="s">
        <v>3</v>
      </c>
      <c r="K2" s="81"/>
      <c r="L2" s="80" t="s">
        <v>160</v>
      </c>
      <c r="M2" s="81"/>
      <c r="N2" s="80" t="s">
        <v>161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304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305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292</v>
      </c>
    </row>
    <row r="7" spans="1:216" ht="17.25" thickBot="1" x14ac:dyDescent="0.35">
      <c r="C7" s="37">
        <v>5306</v>
      </c>
      <c r="D7" s="36">
        <f>+C7/3.3058</f>
        <v>1605.0577772400025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306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188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87" t="s">
        <v>237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239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240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238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241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238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242</v>
      </c>
      <c r="I16" s="55" t="s">
        <v>243</v>
      </c>
      <c r="J16" s="55"/>
      <c r="K16" s="55" t="s">
        <v>244</v>
      </c>
      <c r="M16" s="55" t="s">
        <v>245</v>
      </c>
      <c r="O16" s="55" t="s">
        <v>246</v>
      </c>
      <c r="Q16" s="57" t="s">
        <v>247</v>
      </c>
      <c r="R16" s="56"/>
      <c r="S16" s="58" t="s">
        <v>248</v>
      </c>
      <c r="U16" s="57" t="s">
        <v>249</v>
      </c>
      <c r="W16" s="55" t="s">
        <v>250</v>
      </c>
      <c r="Y16" s="57" t="s">
        <v>251</v>
      </c>
      <c r="AA16" s="55" t="s">
        <v>252</v>
      </c>
      <c r="AC16" s="55" t="s">
        <v>253</v>
      </c>
      <c r="AE16" s="55" t="s">
        <v>254</v>
      </c>
      <c r="AG16" s="55" t="s">
        <v>255</v>
      </c>
      <c r="AH16" s="56"/>
      <c r="AI16" s="58" t="s">
        <v>256</v>
      </c>
      <c r="AK16" s="55" t="s">
        <v>257</v>
      </c>
      <c r="AM16" s="55" t="s">
        <v>258</v>
      </c>
      <c r="AO16" s="55" t="s">
        <v>259</v>
      </c>
      <c r="AQ16" s="55" t="s">
        <v>260</v>
      </c>
      <c r="AR16" s="56"/>
      <c r="AS16" s="58" t="s">
        <v>261</v>
      </c>
      <c r="AU16" s="55" t="s">
        <v>262</v>
      </c>
      <c r="AW16" s="55" t="s">
        <v>263</v>
      </c>
      <c r="AY16" s="55" t="s">
        <v>264</v>
      </c>
      <c r="BC16" s="55" t="s">
        <v>265</v>
      </c>
      <c r="BD16" s="55" t="s">
        <v>244</v>
      </c>
      <c r="BE16" s="55" t="s">
        <v>210</v>
      </c>
      <c r="BF16" s="55" t="s">
        <v>209</v>
      </c>
      <c r="BG16" s="55" t="s">
        <v>207</v>
      </c>
      <c r="BH16" s="55" t="s">
        <v>204</v>
      </c>
      <c r="BI16" s="55" t="s">
        <v>203</v>
      </c>
      <c r="BJ16" s="55" t="s">
        <v>201</v>
      </c>
      <c r="BK16" s="55" t="s">
        <v>200</v>
      </c>
      <c r="BL16" s="55" t="s">
        <v>199</v>
      </c>
      <c r="BM16" s="55" t="s">
        <v>196</v>
      </c>
      <c r="BN16" s="55" t="s">
        <v>193</v>
      </c>
      <c r="BO16" s="55" t="s">
        <v>190</v>
      </c>
      <c r="BP16" s="55" t="s">
        <v>188</v>
      </c>
      <c r="BQ16" s="55" t="s">
        <v>182</v>
      </c>
      <c r="BR16" s="55" t="s">
        <v>179</v>
      </c>
      <c r="BS16" s="55" t="s">
        <v>266</v>
      </c>
      <c r="BT16" s="55" t="s">
        <v>267</v>
      </c>
      <c r="BU16" s="55" t="s">
        <v>268</v>
      </c>
      <c r="BV16" s="55" t="s">
        <v>269</v>
      </c>
      <c r="BW16" s="55" t="s">
        <v>270</v>
      </c>
      <c r="BX16" s="55" t="s">
        <v>271</v>
      </c>
      <c r="BZ16" s="55" t="s">
        <v>242</v>
      </c>
      <c r="CA16" s="55" t="s">
        <v>243</v>
      </c>
      <c r="CC16" s="55" t="s">
        <v>244</v>
      </c>
      <c r="CE16" s="55" t="s">
        <v>245</v>
      </c>
      <c r="CG16" s="55" t="s">
        <v>246</v>
      </c>
      <c r="CI16" s="55" t="s">
        <v>247</v>
      </c>
      <c r="CJ16" s="56"/>
      <c r="CK16" s="58" t="s">
        <v>248</v>
      </c>
      <c r="CM16" s="55" t="s">
        <v>249</v>
      </c>
      <c r="CO16" s="55" t="s">
        <v>250</v>
      </c>
      <c r="CQ16" s="55" t="s">
        <v>251</v>
      </c>
      <c r="CS16" s="55" t="s">
        <v>252</v>
      </c>
      <c r="CU16" s="55" t="s">
        <v>253</v>
      </c>
      <c r="CW16" s="55" t="s">
        <v>254</v>
      </c>
      <c r="CY16" s="55" t="s">
        <v>255</v>
      </c>
      <c r="CZ16" s="56"/>
      <c r="DA16" s="58" t="s">
        <v>256</v>
      </c>
      <c r="DC16" s="55" t="s">
        <v>257</v>
      </c>
      <c r="DE16" s="55" t="s">
        <v>258</v>
      </c>
      <c r="DG16" s="55" t="s">
        <v>259</v>
      </c>
      <c r="DI16" s="55" t="s">
        <v>260</v>
      </c>
      <c r="DJ16" s="56"/>
      <c r="DK16" s="58" t="s">
        <v>261</v>
      </c>
      <c r="DM16" s="55" t="s">
        <v>262</v>
      </c>
      <c r="DO16" s="55" t="s">
        <v>263</v>
      </c>
      <c r="DQ16" s="55" t="s">
        <v>264</v>
      </c>
      <c r="DU16" s="55" t="s">
        <v>265</v>
      </c>
      <c r="DV16" s="55" t="s">
        <v>244</v>
      </c>
      <c r="DW16" s="55" t="s">
        <v>210</v>
      </c>
      <c r="DX16" s="55" t="s">
        <v>209</v>
      </c>
      <c r="DY16" s="55" t="s">
        <v>207</v>
      </c>
      <c r="DZ16" s="55" t="s">
        <v>204</v>
      </c>
      <c r="EA16" s="55" t="s">
        <v>203</v>
      </c>
      <c r="EB16" s="55" t="s">
        <v>201</v>
      </c>
      <c r="EC16" s="55" t="s">
        <v>200</v>
      </c>
      <c r="ED16" s="55" t="s">
        <v>199</v>
      </c>
      <c r="EE16" s="55" t="s">
        <v>196</v>
      </c>
      <c r="EF16" s="55" t="s">
        <v>193</v>
      </c>
      <c r="EG16" s="55" t="s">
        <v>190</v>
      </c>
      <c r="EH16" s="55" t="s">
        <v>188</v>
      </c>
      <c r="EI16" s="55" t="s">
        <v>182</v>
      </c>
      <c r="EJ16" s="55" t="s">
        <v>179</v>
      </c>
      <c r="EK16" s="55" t="s">
        <v>266</v>
      </c>
      <c r="EL16" s="55" t="s">
        <v>267</v>
      </c>
      <c r="EM16" s="55" t="s">
        <v>268</v>
      </c>
      <c r="EN16" s="55" t="s">
        <v>269</v>
      </c>
      <c r="EO16" s="55" t="s">
        <v>270</v>
      </c>
      <c r="EP16" s="55" t="s">
        <v>271</v>
      </c>
      <c r="ER16" s="55" t="s">
        <v>242</v>
      </c>
      <c r="ES16" s="55" t="s">
        <v>243</v>
      </c>
      <c r="ET16" s="55"/>
      <c r="EU16" s="55" t="s">
        <v>244</v>
      </c>
      <c r="EV16" s="55"/>
      <c r="EW16" s="55" t="s">
        <v>245</v>
      </c>
      <c r="EX16" s="55"/>
      <c r="EY16" s="55" t="s">
        <v>246</v>
      </c>
      <c r="EZ16" s="55"/>
      <c r="FA16" s="55" t="s">
        <v>247</v>
      </c>
      <c r="FB16" s="56"/>
      <c r="FC16" s="58" t="s">
        <v>248</v>
      </c>
      <c r="FD16" s="55"/>
      <c r="FE16" s="55" t="s">
        <v>249</v>
      </c>
      <c r="FF16" s="55"/>
      <c r="FG16" s="55" t="s">
        <v>250</v>
      </c>
      <c r="FH16" s="55"/>
      <c r="FI16" s="55" t="s">
        <v>251</v>
      </c>
      <c r="FJ16" s="55"/>
      <c r="FK16" s="55" t="s">
        <v>252</v>
      </c>
      <c r="FL16" s="55"/>
      <c r="FM16" s="55" t="s">
        <v>253</v>
      </c>
      <c r="FN16" s="55"/>
      <c r="FO16" s="55" t="s">
        <v>254</v>
      </c>
      <c r="FP16" s="55"/>
      <c r="FQ16" s="55" t="s">
        <v>255</v>
      </c>
      <c r="FR16" s="56"/>
      <c r="FS16" s="58" t="s">
        <v>256</v>
      </c>
      <c r="FT16" s="55"/>
      <c r="FU16" s="55" t="s">
        <v>257</v>
      </c>
      <c r="FV16" s="55"/>
      <c r="FW16" s="55" t="s">
        <v>258</v>
      </c>
      <c r="FX16" s="55"/>
      <c r="FY16" s="55" t="s">
        <v>259</v>
      </c>
      <c r="FZ16" s="55"/>
      <c r="GA16" s="55" t="s">
        <v>260</v>
      </c>
      <c r="GB16" s="56"/>
      <c r="GC16" s="58" t="s">
        <v>261</v>
      </c>
      <c r="GD16" s="55"/>
      <c r="GE16" s="55" t="s">
        <v>262</v>
      </c>
      <c r="GF16" s="55"/>
      <c r="GG16" s="55" t="s">
        <v>263</v>
      </c>
      <c r="GH16" s="55"/>
      <c r="GI16" s="55" t="s">
        <v>264</v>
      </c>
      <c r="GJ16" s="55"/>
      <c r="GK16" s="55"/>
      <c r="GL16" s="55"/>
      <c r="GM16" s="55" t="s">
        <v>265</v>
      </c>
      <c r="GN16" s="55" t="s">
        <v>244</v>
      </c>
      <c r="GO16" s="55" t="s">
        <v>210</v>
      </c>
      <c r="GP16" s="55" t="s">
        <v>209</v>
      </c>
      <c r="GQ16" s="55" t="s">
        <v>207</v>
      </c>
      <c r="GR16" s="55" t="s">
        <v>204</v>
      </c>
      <c r="GS16" s="55" t="s">
        <v>203</v>
      </c>
      <c r="GT16" s="55" t="s">
        <v>201</v>
      </c>
      <c r="GU16" s="55" t="s">
        <v>200</v>
      </c>
      <c r="GV16" s="55" t="s">
        <v>199</v>
      </c>
      <c r="GW16" s="55" t="s">
        <v>196</v>
      </c>
      <c r="GX16" s="55" t="s">
        <v>193</v>
      </c>
      <c r="GY16" s="55" t="s">
        <v>190</v>
      </c>
      <c r="GZ16" s="55" t="s">
        <v>188</v>
      </c>
      <c r="HA16" s="55" t="s">
        <v>182</v>
      </c>
      <c r="HB16" s="55" t="s">
        <v>179</v>
      </c>
      <c r="HC16" s="55" t="s">
        <v>266</v>
      </c>
      <c r="HD16" s="55" t="s">
        <v>267</v>
      </c>
      <c r="HE16" s="55" t="s">
        <v>268</v>
      </c>
      <c r="HF16" s="55" t="s">
        <v>269</v>
      </c>
      <c r="HG16" s="55" t="s">
        <v>270</v>
      </c>
      <c r="HH16" s="55" t="s">
        <v>271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293</v>
      </c>
      <c r="E17" s="35" t="s">
        <v>155</v>
      </c>
      <c r="I17" s="55" t="s">
        <v>272</v>
      </c>
      <c r="J17" s="55" t="s">
        <v>273</v>
      </c>
      <c r="K17" s="55" t="s">
        <v>272</v>
      </c>
      <c r="L17" s="55" t="s">
        <v>273</v>
      </c>
      <c r="M17" s="55" t="s">
        <v>272</v>
      </c>
      <c r="N17" s="55" t="s">
        <v>273</v>
      </c>
      <c r="O17" s="55" t="s">
        <v>272</v>
      </c>
      <c r="P17" s="55" t="s">
        <v>273</v>
      </c>
      <c r="Q17" s="57" t="s">
        <v>272</v>
      </c>
      <c r="R17" s="55" t="s">
        <v>273</v>
      </c>
      <c r="S17" s="55" t="s">
        <v>272</v>
      </c>
      <c r="T17" s="55" t="s">
        <v>273</v>
      </c>
      <c r="U17" s="57" t="s">
        <v>272</v>
      </c>
      <c r="V17" s="55" t="s">
        <v>273</v>
      </c>
      <c r="W17" s="55" t="s">
        <v>272</v>
      </c>
      <c r="X17" s="55" t="s">
        <v>273</v>
      </c>
      <c r="Y17" s="57" t="s">
        <v>272</v>
      </c>
      <c r="Z17" s="55" t="s">
        <v>273</v>
      </c>
      <c r="AA17" s="55" t="s">
        <v>272</v>
      </c>
      <c r="AB17" s="55" t="s">
        <v>273</v>
      </c>
      <c r="AC17" s="55" t="s">
        <v>272</v>
      </c>
      <c r="AD17" s="55" t="s">
        <v>273</v>
      </c>
      <c r="AE17" s="55" t="s">
        <v>272</v>
      </c>
      <c r="AF17" s="55" t="s">
        <v>273</v>
      </c>
      <c r="AG17" s="55" t="s">
        <v>272</v>
      </c>
      <c r="AH17" s="55" t="s">
        <v>273</v>
      </c>
      <c r="AI17" s="55" t="s">
        <v>272</v>
      </c>
      <c r="AJ17" s="55" t="s">
        <v>273</v>
      </c>
      <c r="AK17" s="55" t="s">
        <v>272</v>
      </c>
      <c r="AL17" s="55" t="s">
        <v>273</v>
      </c>
      <c r="AM17" s="55" t="s">
        <v>272</v>
      </c>
      <c r="AN17" s="55" t="s">
        <v>273</v>
      </c>
      <c r="AO17" s="55" t="s">
        <v>272</v>
      </c>
      <c r="AP17" s="55" t="s">
        <v>273</v>
      </c>
      <c r="AQ17" s="55" t="s">
        <v>272</v>
      </c>
      <c r="AR17" s="55" t="s">
        <v>273</v>
      </c>
      <c r="AS17" s="55" t="s">
        <v>272</v>
      </c>
      <c r="AT17" s="55" t="s">
        <v>273</v>
      </c>
      <c r="AU17" s="55" t="s">
        <v>272</v>
      </c>
      <c r="AV17" s="55" t="s">
        <v>273</v>
      </c>
      <c r="AW17" s="55" t="s">
        <v>272</v>
      </c>
      <c r="AX17" s="55" t="s">
        <v>273</v>
      </c>
      <c r="AY17" s="55" t="s">
        <v>272</v>
      </c>
      <c r="AZ17" s="55" t="s">
        <v>273</v>
      </c>
      <c r="CA17" s="55" t="s">
        <v>272</v>
      </c>
      <c r="CB17" s="55" t="s">
        <v>273</v>
      </c>
      <c r="CC17" s="55" t="s">
        <v>272</v>
      </c>
      <c r="CD17" s="55" t="s">
        <v>273</v>
      </c>
      <c r="CE17" s="55" t="s">
        <v>272</v>
      </c>
      <c r="CF17" s="55" t="s">
        <v>273</v>
      </c>
      <c r="CG17" s="55" t="s">
        <v>272</v>
      </c>
      <c r="CH17" s="55" t="s">
        <v>273</v>
      </c>
      <c r="CI17" s="55" t="s">
        <v>272</v>
      </c>
      <c r="CJ17" s="55" t="s">
        <v>273</v>
      </c>
      <c r="CK17" s="55" t="s">
        <v>272</v>
      </c>
      <c r="CL17" s="55" t="s">
        <v>273</v>
      </c>
      <c r="CM17" s="55" t="s">
        <v>272</v>
      </c>
      <c r="CN17" s="55" t="s">
        <v>273</v>
      </c>
      <c r="CO17" s="55" t="s">
        <v>272</v>
      </c>
      <c r="CP17" s="55" t="s">
        <v>273</v>
      </c>
      <c r="CQ17" s="55" t="s">
        <v>272</v>
      </c>
      <c r="CR17" s="55" t="s">
        <v>273</v>
      </c>
      <c r="CS17" s="55" t="s">
        <v>272</v>
      </c>
      <c r="CT17" s="55" t="s">
        <v>273</v>
      </c>
      <c r="CU17" s="55" t="s">
        <v>272</v>
      </c>
      <c r="CV17" s="55" t="s">
        <v>273</v>
      </c>
      <c r="CW17" s="55" t="s">
        <v>272</v>
      </c>
      <c r="CX17" s="55" t="s">
        <v>273</v>
      </c>
      <c r="CY17" s="55" t="s">
        <v>272</v>
      </c>
      <c r="CZ17" s="55" t="s">
        <v>273</v>
      </c>
      <c r="DA17" s="55" t="s">
        <v>272</v>
      </c>
      <c r="DB17" s="55" t="s">
        <v>273</v>
      </c>
      <c r="DC17" s="55" t="s">
        <v>272</v>
      </c>
      <c r="DD17" s="55" t="s">
        <v>273</v>
      </c>
      <c r="DE17" s="55" t="s">
        <v>272</v>
      </c>
      <c r="DF17" s="55" t="s">
        <v>273</v>
      </c>
      <c r="DG17" s="55" t="s">
        <v>272</v>
      </c>
      <c r="DH17" s="55" t="s">
        <v>273</v>
      </c>
      <c r="DI17" s="55" t="s">
        <v>272</v>
      </c>
      <c r="DJ17" s="55" t="s">
        <v>273</v>
      </c>
      <c r="DK17" s="55" t="s">
        <v>272</v>
      </c>
      <c r="DL17" s="55" t="s">
        <v>273</v>
      </c>
      <c r="DM17" s="55" t="s">
        <v>272</v>
      </c>
      <c r="DN17" s="55" t="s">
        <v>273</v>
      </c>
      <c r="DO17" s="55" t="s">
        <v>272</v>
      </c>
      <c r="DP17" s="55" t="s">
        <v>273</v>
      </c>
      <c r="DQ17" s="55" t="s">
        <v>272</v>
      </c>
      <c r="DR17" s="55" t="s">
        <v>273</v>
      </c>
      <c r="ER17" s="55"/>
      <c r="ES17" s="55" t="s">
        <v>272</v>
      </c>
      <c r="ET17" s="55" t="s">
        <v>273</v>
      </c>
      <c r="EU17" s="55" t="s">
        <v>272</v>
      </c>
      <c r="EV17" s="55" t="s">
        <v>273</v>
      </c>
      <c r="EW17" s="55" t="s">
        <v>272</v>
      </c>
      <c r="EX17" s="55" t="s">
        <v>273</v>
      </c>
      <c r="EY17" s="55" t="s">
        <v>272</v>
      </c>
      <c r="EZ17" s="55" t="s">
        <v>273</v>
      </c>
      <c r="FA17" s="55" t="s">
        <v>272</v>
      </c>
      <c r="FB17" s="55" t="s">
        <v>273</v>
      </c>
      <c r="FC17" s="55" t="s">
        <v>272</v>
      </c>
      <c r="FD17" s="55" t="s">
        <v>273</v>
      </c>
      <c r="FE17" s="55" t="s">
        <v>272</v>
      </c>
      <c r="FF17" s="55" t="s">
        <v>273</v>
      </c>
      <c r="FG17" s="55" t="s">
        <v>272</v>
      </c>
      <c r="FH17" s="55" t="s">
        <v>273</v>
      </c>
      <c r="FI17" s="55" t="s">
        <v>272</v>
      </c>
      <c r="FJ17" s="55" t="s">
        <v>273</v>
      </c>
      <c r="FK17" s="55" t="s">
        <v>272</v>
      </c>
      <c r="FL17" s="55" t="s">
        <v>273</v>
      </c>
      <c r="FM17" s="55" t="s">
        <v>272</v>
      </c>
      <c r="FN17" s="55" t="s">
        <v>273</v>
      </c>
      <c r="FO17" s="55" t="s">
        <v>272</v>
      </c>
      <c r="FP17" s="55" t="s">
        <v>273</v>
      </c>
      <c r="FQ17" s="55" t="s">
        <v>272</v>
      </c>
      <c r="FR17" s="55" t="s">
        <v>273</v>
      </c>
      <c r="FS17" s="55" t="s">
        <v>272</v>
      </c>
      <c r="FT17" s="55" t="s">
        <v>273</v>
      </c>
      <c r="FU17" s="55" t="s">
        <v>272</v>
      </c>
      <c r="FV17" s="55" t="s">
        <v>273</v>
      </c>
      <c r="FW17" s="55" t="s">
        <v>272</v>
      </c>
      <c r="FX17" s="55" t="s">
        <v>273</v>
      </c>
      <c r="FY17" s="55" t="s">
        <v>272</v>
      </c>
      <c r="FZ17" s="55" t="s">
        <v>273</v>
      </c>
      <c r="GA17" s="55" t="s">
        <v>272</v>
      </c>
      <c r="GB17" s="55" t="s">
        <v>273</v>
      </c>
      <c r="GC17" s="55" t="s">
        <v>272</v>
      </c>
      <c r="GD17" s="55" t="s">
        <v>273</v>
      </c>
      <c r="GE17" s="55" t="s">
        <v>272</v>
      </c>
      <c r="GF17" s="55" t="s">
        <v>273</v>
      </c>
      <c r="GG17" s="55" t="s">
        <v>272</v>
      </c>
      <c r="GH17" s="55" t="s">
        <v>273</v>
      </c>
      <c r="GI17" s="55" t="s">
        <v>272</v>
      </c>
      <c r="GJ17" s="55" t="s">
        <v>273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4160</v>
      </c>
      <c r="E18" s="66">
        <f t="shared" ref="E18:E27" si="0">TRUNC(+D18*3.3058,-1)</f>
        <v>13750</v>
      </c>
      <c r="H18" s="55">
        <f>+E18*1.1</f>
        <v>15125.000000000002</v>
      </c>
      <c r="I18" s="55">
        <f>+H18</f>
        <v>15125.000000000002</v>
      </c>
      <c r="J18" s="59">
        <f>+I18*3.3058</f>
        <v>50000.225000000006</v>
      </c>
      <c r="K18" s="55">
        <f>+I18*BD18</f>
        <v>14671.250000000002</v>
      </c>
      <c r="L18" s="59">
        <f>+K18*3.3058</f>
        <v>48500.218250000005</v>
      </c>
      <c r="M18" s="55">
        <f>+I18*BE18</f>
        <v>14368.750000000002</v>
      </c>
      <c r="N18" s="59">
        <f>+M18*3.3058</f>
        <v>47500.21375000001</v>
      </c>
      <c r="O18" s="55">
        <f t="shared" ref="O18:O28" si="1">+I18*BF18</f>
        <v>14066.250000000002</v>
      </c>
      <c r="P18" s="59">
        <f>+O18*3.3058</f>
        <v>46500.209250000007</v>
      </c>
      <c r="Q18" s="57">
        <f t="shared" ref="Q18:Q28" si="2">+I18*BG18</f>
        <v>13763.750000000002</v>
      </c>
      <c r="R18" s="59">
        <f>+Q18*3.3058</f>
        <v>45500.204750000004</v>
      </c>
      <c r="S18" s="55">
        <f t="shared" ref="S18:S28" si="3">+I18*BH18</f>
        <v>13461.250000000002</v>
      </c>
      <c r="T18" s="59">
        <f>+S18*3.3058</f>
        <v>44500.200250000009</v>
      </c>
      <c r="U18" s="57">
        <f t="shared" ref="U18:U28" si="4">+I18*BI18</f>
        <v>13158.750000000002</v>
      </c>
      <c r="V18" s="59">
        <f>+U18*3.3058</f>
        <v>43500.195750000006</v>
      </c>
      <c r="W18" s="60">
        <f t="shared" ref="W18:W28" si="5">+I18*BJ18</f>
        <v>12856.250000000002</v>
      </c>
      <c r="X18" s="59">
        <f>+W18*3.3058</f>
        <v>42500.191250000003</v>
      </c>
      <c r="Y18" s="57">
        <f t="shared" ref="Y18:Y28" si="6">+I18*BK18</f>
        <v>12553.75</v>
      </c>
      <c r="Z18" s="59">
        <f>+Y18*3.3058</f>
        <v>41500.186750000001</v>
      </c>
      <c r="AA18" s="55">
        <f t="shared" ref="AA18:AA28" si="7">+I18*BL18</f>
        <v>12251.25</v>
      </c>
      <c r="AB18" s="59">
        <f>+AA18*3.3058</f>
        <v>40500.182249999998</v>
      </c>
      <c r="AC18" s="60">
        <f t="shared" ref="AC18:AC28" si="8">+I18*BM18</f>
        <v>11948.75</v>
      </c>
      <c r="AD18" s="59">
        <f>+AC18*3.3058</f>
        <v>39500.177750000003</v>
      </c>
      <c r="AE18" s="60">
        <f t="shared" ref="AE18:AE28" si="9">+I18*BN18</f>
        <v>11646.25</v>
      </c>
      <c r="AF18" s="59">
        <f>+AE18*3.3058</f>
        <v>38500.17325</v>
      </c>
      <c r="AG18" s="60">
        <f t="shared" ref="AG18:AG28" si="10">+I18*BO18</f>
        <v>11343.75</v>
      </c>
      <c r="AH18" s="59">
        <f>+AG18*3.3058</f>
        <v>37500.168750000004</v>
      </c>
      <c r="AI18" s="55">
        <f t="shared" ref="AI18:AI28" si="11">+I18*BP18</f>
        <v>11041.25</v>
      </c>
      <c r="AJ18" s="59">
        <f>+AI18*3.3058</f>
        <v>36500.164250000002</v>
      </c>
      <c r="AK18" s="60">
        <f t="shared" ref="AK18:AK28" si="12">+I18*BQ18</f>
        <v>10738.749999999998</v>
      </c>
      <c r="AL18" s="59">
        <f>+AK18*3.3058</f>
        <v>35500.159749999992</v>
      </c>
      <c r="AM18" s="60">
        <f t="shared" ref="AM18:AM28" si="13">+I18*BR18</f>
        <v>10436.249999999998</v>
      </c>
      <c r="AN18" s="59">
        <f>+AM18*3.3058</f>
        <v>34500.155249999996</v>
      </c>
      <c r="AO18" s="60">
        <f t="shared" ref="AO18:AO28" si="14">+I18*BS18</f>
        <v>10133.749999999998</v>
      </c>
      <c r="AP18" s="59">
        <f>+AO18*3.3058</f>
        <v>33500.150749999993</v>
      </c>
      <c r="AQ18" s="60">
        <f t="shared" ref="AQ18:AQ28" si="15">+I18*BT18</f>
        <v>9831.2499999999982</v>
      </c>
      <c r="AR18" s="59">
        <f>+AQ18*3.3058</f>
        <v>32500.146249999994</v>
      </c>
      <c r="AS18" s="55">
        <f t="shared" ref="AS18:AS28" si="16">+I18*BU18</f>
        <v>9528.7499999999982</v>
      </c>
      <c r="AT18" s="59">
        <f>+AS18*3.3058</f>
        <v>31500.141749999995</v>
      </c>
      <c r="AU18" s="60">
        <f t="shared" ref="AU18:AU28" si="17">+I18*BV18</f>
        <v>9226.2499999999982</v>
      </c>
      <c r="AV18" s="59">
        <f>+AU18*3.3058</f>
        <v>30500.137249999996</v>
      </c>
      <c r="AW18" s="60">
        <f t="shared" ref="AW18:AW28" si="18">+I18*BW18</f>
        <v>8923.7499999999964</v>
      </c>
      <c r="AX18" s="59">
        <f>+AW18*3.3058</f>
        <v>29500.13274999999</v>
      </c>
      <c r="AY18" s="55">
        <f t="shared" ref="AY18:AY28" si="19">+I18*BX18</f>
        <v>8621.2499999999964</v>
      </c>
      <c r="AZ18" s="59">
        <f>+AY18*3.3058</f>
        <v>28500.128249999987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13763.750000000002</v>
      </c>
      <c r="CA18" s="55">
        <f>+BZ18</f>
        <v>13763.750000000002</v>
      </c>
      <c r="CB18" s="59">
        <f>+CA18*3.3058</f>
        <v>45500.204750000004</v>
      </c>
      <c r="CC18" s="55">
        <f>+CA18*DV18</f>
        <v>13350.837500000001</v>
      </c>
      <c r="CD18" s="59">
        <f>+CC18*3.3058</f>
        <v>44135.198607500002</v>
      </c>
      <c r="CE18" s="55">
        <f>+CA18*DW18</f>
        <v>13075.562500000002</v>
      </c>
      <c r="CF18" s="59">
        <f>+CE18*3.3058</f>
        <v>43225.194512500006</v>
      </c>
      <c r="CG18" s="55">
        <f t="shared" ref="CG18:CG28" si="21">+CA18*DX18</f>
        <v>12800.287500000002</v>
      </c>
      <c r="CH18" s="59">
        <f>+CG18*3.3058</f>
        <v>42315.190417500009</v>
      </c>
      <c r="CI18" s="57">
        <f t="shared" ref="CI18:CI28" si="22">+CA18*DY18</f>
        <v>12525.012500000003</v>
      </c>
      <c r="CJ18" s="59">
        <f>+CI18*3.3058</f>
        <v>41405.186322500012</v>
      </c>
      <c r="CK18" s="55">
        <f t="shared" ref="CK18:CK28" si="23">+CA18*DZ18</f>
        <v>12249.737500000001</v>
      </c>
      <c r="CL18" s="59">
        <f>+CK18*3.3058</f>
        <v>40495.182227500001</v>
      </c>
      <c r="CM18" s="57">
        <f t="shared" ref="CM18:CM28" si="24">+CA18*EA18</f>
        <v>11974.462500000001</v>
      </c>
      <c r="CN18" s="59">
        <f>+CM18*3.3058</f>
        <v>39585.178132500005</v>
      </c>
      <c r="CO18" s="60">
        <f t="shared" ref="CO18:CO28" si="25">+CA18*EB18</f>
        <v>11699.187500000002</v>
      </c>
      <c r="CP18" s="59">
        <f>+CO18*3.3058</f>
        <v>38675.174037500008</v>
      </c>
      <c r="CQ18" s="57">
        <f t="shared" ref="CQ18:CQ28" si="26">+CA18*EC18</f>
        <v>11423.9125</v>
      </c>
      <c r="CR18" s="59">
        <f>+CQ18*3.3058</f>
        <v>37765.169942500004</v>
      </c>
      <c r="CS18" s="55">
        <f t="shared" ref="CS18:CS28" si="27">+CA18*ED18</f>
        <v>11148.637500000001</v>
      </c>
      <c r="CT18" s="59">
        <f>+CS18*3.3058</f>
        <v>36855.1658475</v>
      </c>
      <c r="CU18" s="60">
        <f t="shared" ref="CU18:CU28" si="28">+CA18*EE18</f>
        <v>10873.362500000001</v>
      </c>
      <c r="CV18" s="59">
        <f>+CU18*3.3058</f>
        <v>35945.161752500004</v>
      </c>
      <c r="CW18" s="60">
        <f t="shared" ref="CW18:CW28" si="29">+CA18*EF18</f>
        <v>10598.0875</v>
      </c>
      <c r="CX18" s="59">
        <f>+CW18*3.3058</f>
        <v>35035.1576575</v>
      </c>
      <c r="CY18" s="60">
        <f t="shared" ref="CY18:CY28" si="30">+CA18*EG18</f>
        <v>10322.8125</v>
      </c>
      <c r="CZ18" s="59">
        <f>+CY18*3.3058</f>
        <v>34125.153562500003</v>
      </c>
      <c r="DA18" s="55">
        <f t="shared" ref="DA18:DA28" si="31">+CA18*EH18</f>
        <v>10047.5375</v>
      </c>
      <c r="DB18" s="59">
        <f>+DA18*3.3058</f>
        <v>33215.149467499999</v>
      </c>
      <c r="DC18" s="60">
        <f t="shared" ref="DC18:DC28" si="32">+CA18*EI18</f>
        <v>9772.2624999999989</v>
      </c>
      <c r="DD18" s="59">
        <f>+DC18*3.3058</f>
        <v>32305.145372499996</v>
      </c>
      <c r="DE18" s="60">
        <f t="shared" ref="DE18:DE28" si="33">+CA18*EJ18</f>
        <v>9496.9874999999993</v>
      </c>
      <c r="DF18" s="59">
        <f>+DE18*3.3058</f>
        <v>31395.141277499999</v>
      </c>
      <c r="DG18" s="60">
        <f t="shared" ref="DG18:DG28" si="34">+CA18*EK18</f>
        <v>9221.7124999999978</v>
      </c>
      <c r="DH18" s="59">
        <f>+DG18*3.3058</f>
        <v>30485.137182499995</v>
      </c>
      <c r="DI18" s="60">
        <f t="shared" ref="DI18:DI28" si="35">+CA18*EL18</f>
        <v>8946.4374999999982</v>
      </c>
      <c r="DJ18" s="59">
        <f>+DI18*3.3058</f>
        <v>29575.133087499995</v>
      </c>
      <c r="DK18" s="55">
        <f t="shared" ref="DK18:DK28" si="36">+CA18*EM18</f>
        <v>8671.1624999999985</v>
      </c>
      <c r="DL18" s="59">
        <f>+DK18*3.3058</f>
        <v>28665.128992499995</v>
      </c>
      <c r="DM18" s="60">
        <f t="shared" ref="DM18:DM28" si="37">+CA18*EN18</f>
        <v>8395.8874999999971</v>
      </c>
      <c r="DN18" s="59">
        <f>+DM18*3.3058</f>
        <v>27755.124897499991</v>
      </c>
      <c r="DO18" s="60">
        <f t="shared" ref="DO18:DO28" si="38">+CA18*EO18</f>
        <v>8120.6124999999975</v>
      </c>
      <c r="DP18" s="59">
        <f>+DO18*3.3058</f>
        <v>26845.120802499991</v>
      </c>
      <c r="DQ18" s="55">
        <f t="shared" ref="DQ18:DQ28" si="39">+CA18*EP18</f>
        <v>7845.3374999999969</v>
      </c>
      <c r="DR18" s="59">
        <f>+DQ18*3.3058</f>
        <v>25935.11670749999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12525.012500000003</v>
      </c>
      <c r="ES18" s="55">
        <f>+ER18</f>
        <v>12525.012500000003</v>
      </c>
      <c r="ET18" s="59">
        <f>+ES18*3.3058</f>
        <v>41405.186322500012</v>
      </c>
      <c r="EU18" s="55">
        <f>+ES18*GN18</f>
        <v>12149.262125000003</v>
      </c>
      <c r="EV18" s="59">
        <f>+EU18*3.3058</f>
        <v>40163.030732825013</v>
      </c>
      <c r="EW18" s="55">
        <f>+ES18*GO18</f>
        <v>11898.761875000002</v>
      </c>
      <c r="EX18" s="59">
        <f>+EW18*3.3058</f>
        <v>39334.927006375008</v>
      </c>
      <c r="EY18" s="55">
        <f t="shared" ref="EY18:EY28" si="41">+ES18*GP18</f>
        <v>11648.261625000003</v>
      </c>
      <c r="EZ18" s="59">
        <f>+EY18*3.3058</f>
        <v>38506.823279925011</v>
      </c>
      <c r="FA18" s="57">
        <f t="shared" ref="FA18:FA28" si="42">+ES18*GQ18</f>
        <v>11397.761375000002</v>
      </c>
      <c r="FB18" s="59">
        <f>+FA18*3.3058</f>
        <v>37678.719553475006</v>
      </c>
      <c r="FC18" s="55">
        <f t="shared" ref="FC18:FC28" si="43">+ES18*GR18</f>
        <v>11147.261125000003</v>
      </c>
      <c r="FD18" s="59">
        <f>+FC18*3.3058</f>
        <v>36850.615827025009</v>
      </c>
      <c r="FE18" s="57">
        <f t="shared" ref="FE18:FE28" si="44">+ES18*GS18</f>
        <v>10896.760875000002</v>
      </c>
      <c r="FF18" s="59">
        <f>+FE18*3.3058</f>
        <v>36022.512100575004</v>
      </c>
      <c r="FG18" s="60">
        <f t="shared" ref="FG18:FG28" si="45">+ES18*GT18</f>
        <v>10646.260625000003</v>
      </c>
      <c r="FH18" s="59">
        <f>+FG18*3.3058</f>
        <v>35194.408374125007</v>
      </c>
      <c r="FI18" s="57">
        <f t="shared" ref="FI18:FI28" si="46">+ES18*GU18</f>
        <v>10395.760375000002</v>
      </c>
      <c r="FJ18" s="59">
        <f>+FI18*3.3058</f>
        <v>34366.30464767501</v>
      </c>
      <c r="FK18" s="55">
        <f t="shared" ref="FK18:FK28" si="47">+ES18*GV18</f>
        <v>10145.260125000001</v>
      </c>
      <c r="FL18" s="59">
        <f>+FK18*3.3058</f>
        <v>33538.200921225005</v>
      </c>
      <c r="FM18" s="60">
        <f t="shared" ref="FM18:FM28" si="48">+ES18*GW18</f>
        <v>9894.7598750000016</v>
      </c>
      <c r="FN18" s="59">
        <f>+FM18*3.3058</f>
        <v>32710.097194775008</v>
      </c>
      <c r="FO18" s="60">
        <f t="shared" ref="FO18:FO28" si="49">+ES18*GX18</f>
        <v>9644.2596250000006</v>
      </c>
      <c r="FP18" s="59">
        <f>+FO18*3.3058</f>
        <v>31881.993468325003</v>
      </c>
      <c r="FQ18" s="60">
        <f t="shared" ref="FQ18:FQ28" si="50">+ES18*GY18</f>
        <v>9393.7593749999996</v>
      </c>
      <c r="FR18" s="59">
        <f>+FQ18*3.3058</f>
        <v>31053.889741874998</v>
      </c>
      <c r="FS18" s="55">
        <f t="shared" ref="FS18:FS28" si="51">+ES18*GZ18</f>
        <v>9143.2591250000005</v>
      </c>
      <c r="FT18" s="59">
        <f>+FS18*3.3058</f>
        <v>30225.786015425001</v>
      </c>
      <c r="FU18" s="60">
        <f t="shared" ref="FU18:FU28" si="52">+ES18*HA18</f>
        <v>8892.7588749999995</v>
      </c>
      <c r="FV18" s="59">
        <f>+FU18*3.3058</f>
        <v>29397.682288975</v>
      </c>
      <c r="FW18" s="60">
        <f t="shared" ref="FW18:FW28" si="53">+ES18*HB18</f>
        <v>8642.2586250000004</v>
      </c>
      <c r="FX18" s="59">
        <f>+FW18*3.3058</f>
        <v>28569.578562525003</v>
      </c>
      <c r="FY18" s="60">
        <f t="shared" ref="FY18:FY28" si="54">+ES18*HC18</f>
        <v>8391.7583749999994</v>
      </c>
      <c r="FZ18" s="59">
        <f>+FY18*3.3058</f>
        <v>27741.474836074998</v>
      </c>
      <c r="GA18" s="60">
        <f t="shared" ref="GA18:GA28" si="55">+ES18*HD18</f>
        <v>8141.2581249999994</v>
      </c>
      <c r="GB18" s="59">
        <f>+GA18*3.3058</f>
        <v>26913.371109624997</v>
      </c>
      <c r="GC18" s="55">
        <f t="shared" ref="GC18:GC28" si="56">+ES18*HE18</f>
        <v>7890.7578749999993</v>
      </c>
      <c r="GD18" s="59">
        <f>+GC18*3.3058</f>
        <v>26085.267383175</v>
      </c>
      <c r="GE18" s="60">
        <f t="shared" ref="GE18:GE28" si="57">+ES18*HF18</f>
        <v>7640.2576249999984</v>
      </c>
      <c r="GF18" s="59">
        <f>+GE18*3.3058</f>
        <v>25257.163656724995</v>
      </c>
      <c r="GG18" s="60">
        <f t="shared" ref="GG18:GG28" si="58">+ES18*HG18</f>
        <v>7389.7573749999983</v>
      </c>
      <c r="GH18" s="59">
        <f>+GG18*3.3058</f>
        <v>24429.059930274994</v>
      </c>
      <c r="GI18" s="55">
        <f t="shared" ref="GI18:GI28" si="59">+ES18*HH18</f>
        <v>7139.2571249999983</v>
      </c>
      <c r="GJ18" s="59">
        <f>+GI18*3.3058</f>
        <v>23600.956203824993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1057270</v>
      </c>
      <c r="E19" s="67">
        <f t="shared" si="0"/>
        <v>3495120</v>
      </c>
      <c r="H19" s="55">
        <f t="shared" ref="H19:H83" si="61">+E19*1.1</f>
        <v>3844632.0000000005</v>
      </c>
      <c r="I19" s="55">
        <f t="shared" ref="I19:I83" si="62">+H19</f>
        <v>3844632.0000000005</v>
      </c>
      <c r="J19" s="59">
        <f t="shared" ref="J19:J83" si="63">+I19*3.3058</f>
        <v>12709584.465600003</v>
      </c>
      <c r="K19" s="55">
        <f t="shared" ref="K19:K28" si="64">+I19*BD19</f>
        <v>3729293.0400000005</v>
      </c>
      <c r="L19" s="59">
        <f t="shared" ref="L19:L28" si="65">+K19*3.3058</f>
        <v>12328296.931632003</v>
      </c>
      <c r="M19" s="55">
        <f t="shared" ref="M19:M28" si="66">+I19*BE19</f>
        <v>3652400.4000000004</v>
      </c>
      <c r="N19" s="59">
        <f t="shared" ref="N19:N28" si="67">+M19*3.3058</f>
        <v>12074105.242320001</v>
      </c>
      <c r="O19" s="55">
        <f t="shared" si="1"/>
        <v>3575507.7600000007</v>
      </c>
      <c r="P19" s="59">
        <f t="shared" ref="P19:P28" si="68">+O19*3.3058</f>
        <v>11819913.553008003</v>
      </c>
      <c r="Q19" s="57">
        <f t="shared" si="2"/>
        <v>3498615.1200000006</v>
      </c>
      <c r="R19" s="59">
        <f t="shared" ref="R19:R28" si="69">+Q19*3.3058</f>
        <v>11565721.863696001</v>
      </c>
      <c r="S19" s="55">
        <f t="shared" si="3"/>
        <v>3421722.4800000004</v>
      </c>
      <c r="T19" s="59">
        <f t="shared" ref="T19:T28" si="70">+S19*3.3058</f>
        <v>11311530.174384002</v>
      </c>
      <c r="U19" s="57">
        <f t="shared" si="4"/>
        <v>3344829.8400000003</v>
      </c>
      <c r="V19" s="59">
        <f t="shared" ref="V19:V28" si="71">+U19*3.3058</f>
        <v>11057338.485072002</v>
      </c>
      <c r="W19" s="60">
        <f t="shared" si="5"/>
        <v>3267937.2</v>
      </c>
      <c r="X19" s="59">
        <f t="shared" ref="X19:X28" si="72">+W19*3.3058</f>
        <v>10803146.79576</v>
      </c>
      <c r="Y19" s="57">
        <f t="shared" si="6"/>
        <v>3191044.56</v>
      </c>
      <c r="Z19" s="59">
        <f t="shared" ref="Z19:Z28" si="73">+Y19*3.3058</f>
        <v>10548955.106448</v>
      </c>
      <c r="AA19" s="55">
        <f t="shared" si="7"/>
        <v>3114151.92</v>
      </c>
      <c r="AB19" s="59">
        <f t="shared" ref="AB19:AB28" si="74">+AA19*3.3058</f>
        <v>10294763.417136</v>
      </c>
      <c r="AC19" s="60">
        <f t="shared" si="8"/>
        <v>3037259.2800000003</v>
      </c>
      <c r="AD19" s="59">
        <f t="shared" ref="AD19:AD28" si="75">+AC19*3.3058</f>
        <v>10040571.727824001</v>
      </c>
      <c r="AE19" s="60">
        <f t="shared" si="9"/>
        <v>2960366.64</v>
      </c>
      <c r="AF19" s="59">
        <f t="shared" ref="AF19:AF28" si="76">+AE19*3.3058</f>
        <v>9786380.0385120008</v>
      </c>
      <c r="AG19" s="60">
        <f t="shared" si="10"/>
        <v>2883474</v>
      </c>
      <c r="AH19" s="59">
        <f t="shared" ref="AH19:AH28" si="77">+AG19*3.3058</f>
        <v>9532188.349200001</v>
      </c>
      <c r="AI19" s="55">
        <f t="shared" si="11"/>
        <v>2806581.36</v>
      </c>
      <c r="AJ19" s="59">
        <f t="shared" ref="AJ19:AJ28" si="78">+AI19*3.3058</f>
        <v>9277996.6598879993</v>
      </c>
      <c r="AK19" s="60">
        <f t="shared" si="12"/>
        <v>2729688.7199999997</v>
      </c>
      <c r="AL19" s="59">
        <f t="shared" ref="AL19:AL28" si="79">+AK19*3.3058</f>
        <v>9023804.9705759995</v>
      </c>
      <c r="AM19" s="60">
        <f t="shared" si="13"/>
        <v>2652796.0799999996</v>
      </c>
      <c r="AN19" s="59">
        <f t="shared" ref="AN19:AN28" si="80">+AM19*3.3058</f>
        <v>8769613.2812639996</v>
      </c>
      <c r="AO19" s="60">
        <f t="shared" si="14"/>
        <v>2575903.4399999995</v>
      </c>
      <c r="AP19" s="59">
        <f t="shared" ref="AP19:AP28" si="81">+AO19*3.3058</f>
        <v>8515421.591951998</v>
      </c>
      <c r="AQ19" s="60">
        <f t="shared" si="15"/>
        <v>2499010.7999999993</v>
      </c>
      <c r="AR19" s="59">
        <f t="shared" ref="AR19:AR28" si="82">+AQ19*3.3058</f>
        <v>8261229.9026399981</v>
      </c>
      <c r="AS19" s="55">
        <f t="shared" si="16"/>
        <v>2422118.1599999997</v>
      </c>
      <c r="AT19" s="59">
        <f t="shared" ref="AT19:AT28" si="83">+AS19*3.3058</f>
        <v>8007038.2133279992</v>
      </c>
      <c r="AU19" s="60">
        <f t="shared" si="17"/>
        <v>2345225.5199999996</v>
      </c>
      <c r="AV19" s="59">
        <f t="shared" ref="AV19:AV28" si="84">+AU19*3.3058</f>
        <v>7752846.5240159985</v>
      </c>
      <c r="AW19" s="60">
        <f t="shared" si="18"/>
        <v>2268332.8799999994</v>
      </c>
      <c r="AX19" s="59">
        <f t="shared" ref="AX19:AX28" si="85">+AW19*3.3058</f>
        <v>7498654.8347039986</v>
      </c>
      <c r="AY19" s="55">
        <f t="shared" si="19"/>
        <v>2191440.2399999993</v>
      </c>
      <c r="AZ19" s="59">
        <f t="shared" ref="AZ19:AZ28" si="86">+AY19*3.3058</f>
        <v>7244463.1453919979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3498615.1200000006</v>
      </c>
      <c r="CA19" s="55">
        <f t="shared" ref="CA19:CA83" si="89">+BZ19</f>
        <v>3498615.1200000006</v>
      </c>
      <c r="CB19" s="59">
        <f t="shared" ref="CB19:CB28" si="90">+CA19*3.3058</f>
        <v>11565721.863696001</v>
      </c>
      <c r="CC19" s="55">
        <f t="shared" ref="CC19:CC28" si="91">+CA19*DV19</f>
        <v>3393656.6664000005</v>
      </c>
      <c r="CD19" s="59">
        <f t="shared" ref="CD19:CD28" si="92">+CC19*3.3058</f>
        <v>11218750.207785122</v>
      </c>
      <c r="CE19" s="55">
        <f t="shared" ref="CE19:CE28" si="93">+CA19*DW19</f>
        <v>3323684.3640000005</v>
      </c>
      <c r="CF19" s="59">
        <f t="shared" ref="CF19:CF28" si="94">+CE19*3.3058</f>
        <v>10987435.770511203</v>
      </c>
      <c r="CG19" s="55">
        <f t="shared" si="21"/>
        <v>3253712.0616000006</v>
      </c>
      <c r="CH19" s="59">
        <f t="shared" ref="CH19:CH28" si="95">+CG19*3.3058</f>
        <v>10756121.333237283</v>
      </c>
      <c r="CI19" s="57">
        <f t="shared" si="22"/>
        <v>3183739.7592000007</v>
      </c>
      <c r="CJ19" s="59">
        <f t="shared" ref="CJ19:CJ28" si="96">+CI19*3.3058</f>
        <v>10524806.895963363</v>
      </c>
      <c r="CK19" s="55">
        <f t="shared" si="23"/>
        <v>3113767.4568000007</v>
      </c>
      <c r="CL19" s="59">
        <f t="shared" ref="CL19:CL28" si="97">+CK19*3.3058</f>
        <v>10293492.458689442</v>
      </c>
      <c r="CM19" s="57">
        <f t="shared" si="24"/>
        <v>3043795.1544000003</v>
      </c>
      <c r="CN19" s="59">
        <f t="shared" ref="CN19:CN28" si="98">+CM19*3.3058</f>
        <v>10062178.02141552</v>
      </c>
      <c r="CO19" s="60">
        <f t="shared" si="25"/>
        <v>2973822.8520000004</v>
      </c>
      <c r="CP19" s="59">
        <f t="shared" ref="CP19:CP28" si="99">+CO19*3.3058</f>
        <v>9830863.5841416009</v>
      </c>
      <c r="CQ19" s="57">
        <f t="shared" si="26"/>
        <v>2903850.5496000005</v>
      </c>
      <c r="CR19" s="59">
        <f t="shared" ref="CR19:CR28" si="100">+CQ19*3.3058</f>
        <v>9599549.1468676813</v>
      </c>
      <c r="CS19" s="55">
        <f t="shared" si="27"/>
        <v>2833878.2472000001</v>
      </c>
      <c r="CT19" s="59">
        <f t="shared" ref="CT19:CT28" si="101">+CS19*3.3058</f>
        <v>9368234.7095937598</v>
      </c>
      <c r="CU19" s="60">
        <f t="shared" si="28"/>
        <v>2763905.9448000002</v>
      </c>
      <c r="CV19" s="59">
        <f t="shared" ref="CV19:CV28" si="102">+CU19*3.3058</f>
        <v>9136920.2723198403</v>
      </c>
      <c r="CW19" s="60">
        <f t="shared" si="29"/>
        <v>2693933.6424000002</v>
      </c>
      <c r="CX19" s="59">
        <f t="shared" ref="CX19:CX28" si="103">+CW19*3.3058</f>
        <v>8905605.8350459207</v>
      </c>
      <c r="CY19" s="60">
        <f t="shared" si="30"/>
        <v>2623961.34</v>
      </c>
      <c r="CZ19" s="59">
        <f t="shared" ref="CZ19:CZ28" si="104">+CY19*3.3058</f>
        <v>8674291.3977719992</v>
      </c>
      <c r="DA19" s="55">
        <f t="shared" si="31"/>
        <v>2553989.0375999999</v>
      </c>
      <c r="DB19" s="59">
        <f t="shared" ref="DB19:DB28" si="105">+DA19*3.3058</f>
        <v>8442976.9604980797</v>
      </c>
      <c r="DC19" s="60">
        <f t="shared" si="32"/>
        <v>2484016.7352</v>
      </c>
      <c r="DD19" s="59">
        <f t="shared" ref="DD19:DD28" si="106">+DC19*3.3058</f>
        <v>8211662.5232241601</v>
      </c>
      <c r="DE19" s="60">
        <f t="shared" si="33"/>
        <v>2414044.4327999996</v>
      </c>
      <c r="DF19" s="59">
        <f t="shared" ref="DF19:DF28" si="107">+DE19*3.3058</f>
        <v>7980348.0859502386</v>
      </c>
      <c r="DG19" s="60">
        <f t="shared" si="34"/>
        <v>2344072.1303999997</v>
      </c>
      <c r="DH19" s="59">
        <f t="shared" ref="DH19:DH28" si="108">+DG19*3.3058</f>
        <v>7749033.648676319</v>
      </c>
      <c r="DI19" s="60">
        <f t="shared" si="35"/>
        <v>2274099.8279999997</v>
      </c>
      <c r="DJ19" s="59">
        <f t="shared" ref="DJ19:DJ28" si="109">+DI19*3.3058</f>
        <v>7517719.2114023995</v>
      </c>
      <c r="DK19" s="55">
        <f t="shared" si="36"/>
        <v>2204127.5255999998</v>
      </c>
      <c r="DL19" s="59">
        <f t="shared" ref="DL19:DL28" si="110">+DK19*3.3058</f>
        <v>7286404.7741284799</v>
      </c>
      <c r="DM19" s="60">
        <f t="shared" si="37"/>
        <v>2134155.2231999994</v>
      </c>
      <c r="DN19" s="59">
        <f t="shared" ref="DN19:DN28" si="111">+DM19*3.3058</f>
        <v>7055090.3368545584</v>
      </c>
      <c r="DO19" s="60">
        <f t="shared" si="38"/>
        <v>2064182.9207999995</v>
      </c>
      <c r="DP19" s="59">
        <f t="shared" ref="DP19:DP28" si="112">+DO19*3.3058</f>
        <v>6823775.8995806389</v>
      </c>
      <c r="DQ19" s="55">
        <f t="shared" si="39"/>
        <v>1994210.6183999993</v>
      </c>
      <c r="DR19" s="59">
        <f t="shared" ref="DR19:DR28" si="113">+DQ19*3.3058</f>
        <v>6592461.4623067183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3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3183739.7592000007</v>
      </c>
      <c r="ES19" s="55">
        <f t="shared" ref="ES19:ES83" si="116">+ER19</f>
        <v>3183739.7592000007</v>
      </c>
      <c r="ET19" s="59">
        <f t="shared" ref="ET19:ET28" si="117">+ES19*3.3058</f>
        <v>10524806.895963363</v>
      </c>
      <c r="EU19" s="55">
        <f t="shared" ref="EU19:EU28" si="118">+ES19*GN19</f>
        <v>3088227.5664240005</v>
      </c>
      <c r="EV19" s="59">
        <f t="shared" ref="EV19:EV28" si="119">+EU19*3.3058</f>
        <v>10209062.689084461</v>
      </c>
      <c r="EW19" s="55">
        <f t="shared" ref="EW19:EW28" si="120">+ES19*GO19</f>
        <v>3024552.7712400006</v>
      </c>
      <c r="EX19" s="59">
        <f t="shared" ref="EX19:EX28" si="121">+EW19*3.3058</f>
        <v>9998566.5511651933</v>
      </c>
      <c r="EY19" s="55">
        <f t="shared" si="41"/>
        <v>2960877.9760560007</v>
      </c>
      <c r="EZ19" s="59">
        <f t="shared" ref="EZ19:EZ28" si="122">+EY19*3.3058</f>
        <v>9788070.4132459275</v>
      </c>
      <c r="FA19" s="57">
        <f t="shared" si="42"/>
        <v>2897203.1808720008</v>
      </c>
      <c r="FB19" s="59">
        <f t="shared" ref="FB19:FB28" si="123">+FA19*3.3058</f>
        <v>9577574.2753266599</v>
      </c>
      <c r="FC19" s="55">
        <f t="shared" si="43"/>
        <v>2833528.3856880008</v>
      </c>
      <c r="FD19" s="59">
        <f t="shared" ref="FD19:FD28" si="124">+FC19*3.3058</f>
        <v>9367078.1374073941</v>
      </c>
      <c r="FE19" s="57">
        <f t="shared" si="44"/>
        <v>2769853.5905040004</v>
      </c>
      <c r="FF19" s="59">
        <f t="shared" ref="FF19:FF28" si="125">+FE19*3.3058</f>
        <v>9156581.9994881246</v>
      </c>
      <c r="FG19" s="60">
        <f t="shared" si="45"/>
        <v>2706178.7953200005</v>
      </c>
      <c r="FH19" s="59">
        <f t="shared" ref="FH19:FH28" si="126">+FG19*3.3058</f>
        <v>8946085.861568857</v>
      </c>
      <c r="FI19" s="57">
        <f t="shared" si="46"/>
        <v>2642504.0001360006</v>
      </c>
      <c r="FJ19" s="59">
        <f t="shared" ref="FJ19:FJ28" si="127">+FI19*3.3058</f>
        <v>8735589.7236495912</v>
      </c>
      <c r="FK19" s="55">
        <f t="shared" si="47"/>
        <v>2578829.2049520002</v>
      </c>
      <c r="FL19" s="59">
        <f t="shared" ref="FL19:FL28" si="128">+FK19*3.3058</f>
        <v>8525093.5857303217</v>
      </c>
      <c r="FM19" s="60">
        <f t="shared" si="48"/>
        <v>2515154.4097680002</v>
      </c>
      <c r="FN19" s="59">
        <f t="shared" ref="FN19:FN28" si="129">+FM19*3.3058</f>
        <v>8314597.447811055</v>
      </c>
      <c r="FO19" s="60">
        <f t="shared" si="49"/>
        <v>2451479.6145840003</v>
      </c>
      <c r="FP19" s="59">
        <f t="shared" ref="FP19:FP28" si="130">+FO19*3.3058</f>
        <v>8104101.3098917883</v>
      </c>
      <c r="FQ19" s="60">
        <f t="shared" si="50"/>
        <v>2387804.8193999999</v>
      </c>
      <c r="FR19" s="59">
        <f t="shared" ref="FR19:FR28" si="131">+FQ19*3.3058</f>
        <v>7893605.1719725197</v>
      </c>
      <c r="FS19" s="55">
        <f t="shared" si="51"/>
        <v>2324130.024216</v>
      </c>
      <c r="FT19" s="59">
        <f t="shared" ref="FT19:FT28" si="132">+FS19*3.3058</f>
        <v>7683109.034053253</v>
      </c>
      <c r="FU19" s="60">
        <f t="shared" si="52"/>
        <v>2260455.2290320001</v>
      </c>
      <c r="FV19" s="59">
        <f t="shared" ref="FV19:FV28" si="133">+FU19*3.3058</f>
        <v>7472612.8961339863</v>
      </c>
      <c r="FW19" s="60">
        <f t="shared" si="53"/>
        <v>2196780.4338480001</v>
      </c>
      <c r="FX19" s="59">
        <f t="shared" ref="FX19:FX28" si="134">+FW19*3.3058</f>
        <v>7262116.7582147187</v>
      </c>
      <c r="FY19" s="60">
        <f t="shared" si="54"/>
        <v>2133105.6386639997</v>
      </c>
      <c r="FZ19" s="59">
        <f t="shared" ref="FZ19:FZ28" si="135">+FY19*3.3058</f>
        <v>7051620.6202954501</v>
      </c>
      <c r="GA19" s="60">
        <f t="shared" si="55"/>
        <v>2069430.8434799998</v>
      </c>
      <c r="GB19" s="59">
        <f t="shared" ref="GB19:GB28" si="136">+GA19*3.3058</f>
        <v>6841124.4823761834</v>
      </c>
      <c r="GC19" s="55">
        <f t="shared" si="56"/>
        <v>2005756.0482959996</v>
      </c>
      <c r="GD19" s="59">
        <f t="shared" ref="GD19:GD28" si="137">+GC19*3.3058</f>
        <v>6630628.3444569157</v>
      </c>
      <c r="GE19" s="60">
        <f t="shared" si="57"/>
        <v>1942081.2531119997</v>
      </c>
      <c r="GF19" s="59">
        <f t="shared" ref="GF19:GF28" si="138">+GE19*3.3058</f>
        <v>6420132.206537649</v>
      </c>
      <c r="GG19" s="60">
        <f t="shared" si="58"/>
        <v>1878406.4579279996</v>
      </c>
      <c r="GH19" s="59">
        <f t="shared" ref="GH19:GH28" si="139">+GG19*3.3058</f>
        <v>6209636.0686183814</v>
      </c>
      <c r="GI19" s="55">
        <f t="shared" si="59"/>
        <v>1814731.6627439996</v>
      </c>
      <c r="GJ19" s="59">
        <f t="shared" ref="GJ19:GJ28" si="140">+GI19*3.3058</f>
        <v>5999139.9306991138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3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21330</v>
      </c>
      <c r="E20" s="67">
        <f t="shared" si="0"/>
        <v>70510</v>
      </c>
      <c r="H20" s="55">
        <f t="shared" si="61"/>
        <v>77561</v>
      </c>
      <c r="I20" s="55">
        <f t="shared" si="62"/>
        <v>77561</v>
      </c>
      <c r="J20" s="59">
        <f t="shared" si="63"/>
        <v>256401.1538</v>
      </c>
      <c r="K20" s="55">
        <f t="shared" si="64"/>
        <v>75234.17</v>
      </c>
      <c r="L20" s="59">
        <f t="shared" si="65"/>
        <v>248709.119186</v>
      </c>
      <c r="M20" s="55">
        <f t="shared" si="66"/>
        <v>73682.95</v>
      </c>
      <c r="N20" s="59">
        <f t="shared" si="67"/>
        <v>243581.09610999998</v>
      </c>
      <c r="O20" s="55">
        <f t="shared" si="1"/>
        <v>72131.73000000001</v>
      </c>
      <c r="P20" s="59">
        <f t="shared" si="68"/>
        <v>238453.07303400003</v>
      </c>
      <c r="Q20" s="57">
        <f t="shared" si="2"/>
        <v>70580.510000000009</v>
      </c>
      <c r="R20" s="59">
        <f t="shared" si="69"/>
        <v>233325.04995800005</v>
      </c>
      <c r="S20" s="55">
        <f t="shared" si="3"/>
        <v>69029.290000000008</v>
      </c>
      <c r="T20" s="59">
        <f t="shared" si="70"/>
        <v>228197.02688200003</v>
      </c>
      <c r="U20" s="57">
        <f t="shared" si="4"/>
        <v>67478.069999999992</v>
      </c>
      <c r="V20" s="59">
        <f t="shared" si="71"/>
        <v>223069.00380599999</v>
      </c>
      <c r="W20" s="60">
        <f t="shared" si="5"/>
        <v>65926.849999999991</v>
      </c>
      <c r="X20" s="59">
        <f t="shared" si="72"/>
        <v>217940.98072999998</v>
      </c>
      <c r="Y20" s="57">
        <f t="shared" si="6"/>
        <v>64375.63</v>
      </c>
      <c r="Z20" s="59">
        <f t="shared" si="73"/>
        <v>212812.957654</v>
      </c>
      <c r="AA20" s="55">
        <f t="shared" si="7"/>
        <v>62824.409999999996</v>
      </c>
      <c r="AB20" s="59">
        <f t="shared" si="74"/>
        <v>207684.93457799999</v>
      </c>
      <c r="AC20" s="60">
        <f t="shared" si="8"/>
        <v>61273.189999999995</v>
      </c>
      <c r="AD20" s="59">
        <f t="shared" si="75"/>
        <v>202556.91150199997</v>
      </c>
      <c r="AE20" s="60">
        <f t="shared" si="9"/>
        <v>59721.969999999994</v>
      </c>
      <c r="AF20" s="59">
        <f t="shared" si="76"/>
        <v>197428.88842599999</v>
      </c>
      <c r="AG20" s="60">
        <f t="shared" si="10"/>
        <v>58170.749999999993</v>
      </c>
      <c r="AH20" s="59">
        <f t="shared" si="77"/>
        <v>192300.86534999998</v>
      </c>
      <c r="AI20" s="55">
        <f t="shared" si="11"/>
        <v>56619.529999999992</v>
      </c>
      <c r="AJ20" s="59">
        <f t="shared" si="78"/>
        <v>187172.84227399997</v>
      </c>
      <c r="AK20" s="60">
        <f t="shared" si="12"/>
        <v>55068.30999999999</v>
      </c>
      <c r="AL20" s="59">
        <f t="shared" si="79"/>
        <v>182044.81919799998</v>
      </c>
      <c r="AM20" s="60">
        <f t="shared" si="13"/>
        <v>53517.089999999989</v>
      </c>
      <c r="AN20" s="59">
        <f t="shared" si="80"/>
        <v>176916.79612199997</v>
      </c>
      <c r="AO20" s="60">
        <f t="shared" si="14"/>
        <v>51965.869999999988</v>
      </c>
      <c r="AP20" s="59">
        <f t="shared" si="81"/>
        <v>171788.77304599996</v>
      </c>
      <c r="AQ20" s="60">
        <f t="shared" si="15"/>
        <v>50414.649999999987</v>
      </c>
      <c r="AR20" s="59">
        <f t="shared" si="82"/>
        <v>166660.74996999995</v>
      </c>
      <c r="AS20" s="55">
        <f t="shared" si="16"/>
        <v>48863.429999999986</v>
      </c>
      <c r="AT20" s="59">
        <f t="shared" si="83"/>
        <v>161532.72689399996</v>
      </c>
      <c r="AU20" s="60">
        <f t="shared" si="17"/>
        <v>47312.209999999985</v>
      </c>
      <c r="AV20" s="59">
        <f t="shared" si="84"/>
        <v>156404.70381799995</v>
      </c>
      <c r="AW20" s="60">
        <f t="shared" si="18"/>
        <v>45760.989999999983</v>
      </c>
      <c r="AX20" s="59">
        <f t="shared" si="85"/>
        <v>151276.68074199994</v>
      </c>
      <c r="AY20" s="55">
        <f t="shared" si="19"/>
        <v>44209.769999999982</v>
      </c>
      <c r="AZ20" s="59">
        <f t="shared" si="86"/>
        <v>146148.65766599996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70580.510000000009</v>
      </c>
      <c r="CA20" s="55">
        <f t="shared" si="89"/>
        <v>70580.510000000009</v>
      </c>
      <c r="CB20" s="59">
        <f t="shared" si="90"/>
        <v>233325.04995800005</v>
      </c>
      <c r="CC20" s="55">
        <f t="shared" si="91"/>
        <v>68463.094700000001</v>
      </c>
      <c r="CD20" s="59">
        <f t="shared" si="92"/>
        <v>226325.29845926</v>
      </c>
      <c r="CE20" s="55">
        <f t="shared" si="93"/>
        <v>67051.484500000006</v>
      </c>
      <c r="CF20" s="59">
        <f t="shared" si="94"/>
        <v>221658.79746010003</v>
      </c>
      <c r="CG20" s="55">
        <f t="shared" si="21"/>
        <v>65639.87430000001</v>
      </c>
      <c r="CH20" s="59">
        <f t="shared" si="95"/>
        <v>216992.29646094004</v>
      </c>
      <c r="CI20" s="57">
        <f t="shared" si="22"/>
        <v>64228.264100000008</v>
      </c>
      <c r="CJ20" s="59">
        <f t="shared" si="96"/>
        <v>212325.79546178004</v>
      </c>
      <c r="CK20" s="55">
        <f t="shared" si="23"/>
        <v>62816.653900000012</v>
      </c>
      <c r="CL20" s="59">
        <f t="shared" si="97"/>
        <v>207659.29446262005</v>
      </c>
      <c r="CM20" s="57">
        <f t="shared" si="24"/>
        <v>61405.043700000009</v>
      </c>
      <c r="CN20" s="59">
        <f t="shared" si="98"/>
        <v>202992.79346346002</v>
      </c>
      <c r="CO20" s="60">
        <f t="shared" si="25"/>
        <v>59993.433500000006</v>
      </c>
      <c r="CP20" s="59">
        <f t="shared" si="99"/>
        <v>198326.29246430003</v>
      </c>
      <c r="CQ20" s="57">
        <f t="shared" si="26"/>
        <v>58581.823300000004</v>
      </c>
      <c r="CR20" s="59">
        <f t="shared" si="100"/>
        <v>193659.79146514001</v>
      </c>
      <c r="CS20" s="55">
        <f t="shared" si="27"/>
        <v>57170.213100000001</v>
      </c>
      <c r="CT20" s="59">
        <f t="shared" si="101"/>
        <v>188993.29046598001</v>
      </c>
      <c r="CU20" s="60">
        <f t="shared" si="28"/>
        <v>55758.602900000005</v>
      </c>
      <c r="CV20" s="59">
        <f t="shared" si="102"/>
        <v>184326.78946682002</v>
      </c>
      <c r="CW20" s="60">
        <f t="shared" si="29"/>
        <v>54346.992700000003</v>
      </c>
      <c r="CX20" s="59">
        <f t="shared" si="103"/>
        <v>179660.28846766002</v>
      </c>
      <c r="CY20" s="60">
        <f t="shared" si="30"/>
        <v>52935.3825</v>
      </c>
      <c r="CZ20" s="59">
        <f t="shared" si="104"/>
        <v>174993.7874685</v>
      </c>
      <c r="DA20" s="55">
        <f t="shared" si="31"/>
        <v>51523.772299999997</v>
      </c>
      <c r="DB20" s="59">
        <f t="shared" si="105"/>
        <v>170327.28646934</v>
      </c>
      <c r="DC20" s="60">
        <f t="shared" si="32"/>
        <v>50112.162099999994</v>
      </c>
      <c r="DD20" s="59">
        <f t="shared" si="106"/>
        <v>165660.78547017998</v>
      </c>
      <c r="DE20" s="60">
        <f t="shared" si="33"/>
        <v>48700.551899999991</v>
      </c>
      <c r="DF20" s="59">
        <f t="shared" si="107"/>
        <v>160994.28447101999</v>
      </c>
      <c r="DG20" s="60">
        <f t="shared" si="34"/>
        <v>47288.941699999996</v>
      </c>
      <c r="DH20" s="59">
        <f t="shared" si="108"/>
        <v>156327.78347185999</v>
      </c>
      <c r="DI20" s="60">
        <f t="shared" si="35"/>
        <v>45877.331499999993</v>
      </c>
      <c r="DJ20" s="59">
        <f t="shared" si="109"/>
        <v>151661.28247269997</v>
      </c>
      <c r="DK20" s="55">
        <f t="shared" si="36"/>
        <v>44465.72129999999</v>
      </c>
      <c r="DL20" s="59">
        <f t="shared" si="110"/>
        <v>146994.78147353997</v>
      </c>
      <c r="DM20" s="60">
        <f t="shared" si="37"/>
        <v>43054.111099999987</v>
      </c>
      <c r="DN20" s="59">
        <f t="shared" si="111"/>
        <v>142328.28047437995</v>
      </c>
      <c r="DO20" s="60">
        <f t="shared" si="38"/>
        <v>41642.500899999985</v>
      </c>
      <c r="DP20" s="59">
        <f t="shared" si="112"/>
        <v>137661.77947521996</v>
      </c>
      <c r="DQ20" s="55">
        <f t="shared" si="39"/>
        <v>40230.890699999989</v>
      </c>
      <c r="DR20" s="59">
        <f t="shared" si="113"/>
        <v>132995.27847605996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64228.264100000008</v>
      </c>
      <c r="ES20" s="55">
        <f t="shared" si="116"/>
        <v>64228.264100000008</v>
      </c>
      <c r="ET20" s="59">
        <f t="shared" si="117"/>
        <v>212325.79546178004</v>
      </c>
      <c r="EU20" s="55">
        <f t="shared" si="118"/>
        <v>62301.416177000006</v>
      </c>
      <c r="EV20" s="59">
        <f t="shared" si="119"/>
        <v>205956.02159792662</v>
      </c>
      <c r="EW20" s="55">
        <f t="shared" si="120"/>
        <v>61016.850895000003</v>
      </c>
      <c r="EX20" s="59">
        <f t="shared" si="121"/>
        <v>201709.50568869102</v>
      </c>
      <c r="EY20" s="55">
        <f t="shared" si="41"/>
        <v>59732.285613000007</v>
      </c>
      <c r="EZ20" s="59">
        <f t="shared" si="122"/>
        <v>197462.98977945544</v>
      </c>
      <c r="FA20" s="57">
        <f t="shared" si="42"/>
        <v>58447.720331000011</v>
      </c>
      <c r="FB20" s="59">
        <f t="shared" si="123"/>
        <v>193216.47387021984</v>
      </c>
      <c r="FC20" s="55">
        <f t="shared" si="43"/>
        <v>57163.155049000008</v>
      </c>
      <c r="FD20" s="59">
        <f t="shared" si="124"/>
        <v>188969.95796098423</v>
      </c>
      <c r="FE20" s="57">
        <f t="shared" si="44"/>
        <v>55878.589767000005</v>
      </c>
      <c r="FF20" s="59">
        <f t="shared" si="125"/>
        <v>184723.44205174863</v>
      </c>
      <c r="FG20" s="60">
        <f t="shared" si="45"/>
        <v>54594.024485000002</v>
      </c>
      <c r="FH20" s="59">
        <f t="shared" si="126"/>
        <v>180476.926142513</v>
      </c>
      <c r="FI20" s="57">
        <f t="shared" si="46"/>
        <v>53309.459203000006</v>
      </c>
      <c r="FJ20" s="59">
        <f t="shared" si="127"/>
        <v>176230.41023327742</v>
      </c>
      <c r="FK20" s="55">
        <f t="shared" si="47"/>
        <v>52024.893921000003</v>
      </c>
      <c r="FL20" s="59">
        <f t="shared" si="128"/>
        <v>171983.89432404182</v>
      </c>
      <c r="FM20" s="60">
        <f t="shared" si="48"/>
        <v>50740.328638999999</v>
      </c>
      <c r="FN20" s="59">
        <f t="shared" si="129"/>
        <v>167737.37841480621</v>
      </c>
      <c r="FO20" s="60">
        <f t="shared" si="49"/>
        <v>49455.763357000003</v>
      </c>
      <c r="FP20" s="59">
        <f t="shared" si="130"/>
        <v>163490.86250557061</v>
      </c>
      <c r="FQ20" s="60">
        <f t="shared" si="50"/>
        <v>48171.198075</v>
      </c>
      <c r="FR20" s="59">
        <f t="shared" si="131"/>
        <v>159244.346596335</v>
      </c>
      <c r="FS20" s="55">
        <f t="shared" si="51"/>
        <v>46886.632792999997</v>
      </c>
      <c r="FT20" s="59">
        <f t="shared" si="132"/>
        <v>154997.8306870994</v>
      </c>
      <c r="FU20" s="60">
        <f t="shared" si="52"/>
        <v>45602.067510999994</v>
      </c>
      <c r="FV20" s="59">
        <f t="shared" si="133"/>
        <v>150751.31477786379</v>
      </c>
      <c r="FW20" s="60">
        <f t="shared" si="53"/>
        <v>44317.502228999998</v>
      </c>
      <c r="FX20" s="59">
        <f t="shared" si="134"/>
        <v>146504.79886862819</v>
      </c>
      <c r="FY20" s="60">
        <f t="shared" si="54"/>
        <v>43032.936946999995</v>
      </c>
      <c r="FZ20" s="59">
        <f t="shared" si="135"/>
        <v>142258.28295939259</v>
      </c>
      <c r="GA20" s="60">
        <f t="shared" si="55"/>
        <v>41748.371664999991</v>
      </c>
      <c r="GB20" s="59">
        <f t="shared" si="136"/>
        <v>138011.76705015698</v>
      </c>
      <c r="GC20" s="55">
        <f t="shared" si="56"/>
        <v>40463.806382999988</v>
      </c>
      <c r="GD20" s="59">
        <f t="shared" si="137"/>
        <v>133765.25114092138</v>
      </c>
      <c r="GE20" s="60">
        <f t="shared" si="57"/>
        <v>39179.241100999992</v>
      </c>
      <c r="GF20" s="59">
        <f t="shared" si="138"/>
        <v>129518.73523168577</v>
      </c>
      <c r="GG20" s="60">
        <f t="shared" si="58"/>
        <v>37894.675818999989</v>
      </c>
      <c r="GH20" s="59">
        <f t="shared" si="139"/>
        <v>125272.21932245017</v>
      </c>
      <c r="GI20" s="55">
        <f t="shared" si="59"/>
        <v>36610.110536999986</v>
      </c>
      <c r="GJ20" s="59">
        <f t="shared" si="140"/>
        <v>121025.70341321455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185370</v>
      </c>
      <c r="E21" s="67">
        <f t="shared" si="0"/>
        <v>612790</v>
      </c>
      <c r="H21" s="55">
        <f t="shared" si="61"/>
        <v>674069</v>
      </c>
      <c r="I21" s="55">
        <f t="shared" si="62"/>
        <v>674069</v>
      </c>
      <c r="J21" s="59">
        <f t="shared" si="63"/>
        <v>2228337.3001999999</v>
      </c>
      <c r="K21" s="55">
        <f t="shared" si="64"/>
        <v>653846.92999999993</v>
      </c>
      <c r="L21" s="59">
        <f t="shared" si="65"/>
        <v>2161487.1811939999</v>
      </c>
      <c r="M21" s="55">
        <f t="shared" si="66"/>
        <v>640365.54999999993</v>
      </c>
      <c r="N21" s="59">
        <f t="shared" si="67"/>
        <v>2116920.4351899996</v>
      </c>
      <c r="O21" s="55">
        <f t="shared" si="1"/>
        <v>626884.17000000004</v>
      </c>
      <c r="P21" s="59">
        <f t="shared" si="68"/>
        <v>2072353.6891860003</v>
      </c>
      <c r="Q21" s="57">
        <f t="shared" si="2"/>
        <v>613402.79</v>
      </c>
      <c r="R21" s="59">
        <f t="shared" si="69"/>
        <v>2027786.9431820002</v>
      </c>
      <c r="S21" s="55">
        <f t="shared" si="3"/>
        <v>599921.41</v>
      </c>
      <c r="T21" s="59">
        <f t="shared" si="70"/>
        <v>1983220.1971780001</v>
      </c>
      <c r="U21" s="57">
        <f t="shared" si="4"/>
        <v>586440.03</v>
      </c>
      <c r="V21" s="59">
        <f t="shared" si="71"/>
        <v>1938653.451174</v>
      </c>
      <c r="W21" s="60">
        <f t="shared" si="5"/>
        <v>572958.65</v>
      </c>
      <c r="X21" s="59">
        <f t="shared" si="72"/>
        <v>1894086.7051700002</v>
      </c>
      <c r="Y21" s="57">
        <f t="shared" si="6"/>
        <v>559477.27</v>
      </c>
      <c r="Z21" s="59">
        <f t="shared" si="73"/>
        <v>1849519.9591660001</v>
      </c>
      <c r="AA21" s="55">
        <f t="shared" si="7"/>
        <v>545995.89</v>
      </c>
      <c r="AB21" s="59">
        <f t="shared" si="74"/>
        <v>1804953.2131620001</v>
      </c>
      <c r="AC21" s="60">
        <f t="shared" si="8"/>
        <v>532514.50999999989</v>
      </c>
      <c r="AD21" s="59">
        <f t="shared" si="75"/>
        <v>1760386.4671579998</v>
      </c>
      <c r="AE21" s="60">
        <f t="shared" si="9"/>
        <v>519033.12999999995</v>
      </c>
      <c r="AF21" s="59">
        <f t="shared" si="76"/>
        <v>1715819.7211539999</v>
      </c>
      <c r="AG21" s="60">
        <f t="shared" si="10"/>
        <v>505551.74999999994</v>
      </c>
      <c r="AH21" s="59">
        <f t="shared" si="77"/>
        <v>1671252.9751499998</v>
      </c>
      <c r="AI21" s="55">
        <f t="shared" si="11"/>
        <v>492070.36999999994</v>
      </c>
      <c r="AJ21" s="59">
        <f t="shared" si="78"/>
        <v>1626686.2291459998</v>
      </c>
      <c r="AK21" s="60">
        <f t="shared" si="12"/>
        <v>478588.98999999987</v>
      </c>
      <c r="AL21" s="59">
        <f t="shared" si="79"/>
        <v>1582119.4831419997</v>
      </c>
      <c r="AM21" s="60">
        <f t="shared" si="13"/>
        <v>465107.60999999987</v>
      </c>
      <c r="AN21" s="59">
        <f t="shared" si="80"/>
        <v>1537552.7371379996</v>
      </c>
      <c r="AO21" s="60">
        <f t="shared" si="14"/>
        <v>451626.22999999986</v>
      </c>
      <c r="AP21" s="59">
        <f t="shared" si="81"/>
        <v>1492985.9911339995</v>
      </c>
      <c r="AQ21" s="60">
        <f t="shared" si="15"/>
        <v>438144.84999999986</v>
      </c>
      <c r="AR21" s="59">
        <f t="shared" si="82"/>
        <v>1448419.2451299995</v>
      </c>
      <c r="AS21" s="55">
        <f t="shared" si="16"/>
        <v>424663.46999999986</v>
      </c>
      <c r="AT21" s="59">
        <f t="shared" si="83"/>
        <v>1403852.4991259996</v>
      </c>
      <c r="AU21" s="60">
        <f t="shared" si="17"/>
        <v>411182.08999999985</v>
      </c>
      <c r="AV21" s="59">
        <f t="shared" si="84"/>
        <v>1359285.7531219996</v>
      </c>
      <c r="AW21" s="60">
        <f t="shared" si="18"/>
        <v>397700.70999999985</v>
      </c>
      <c r="AX21" s="59">
        <f t="shared" si="85"/>
        <v>1314719.0071179995</v>
      </c>
      <c r="AY21" s="55">
        <f t="shared" si="19"/>
        <v>384219.32999999984</v>
      </c>
      <c r="AZ21" s="59">
        <f t="shared" si="86"/>
        <v>1270152.2611139994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613402.79</v>
      </c>
      <c r="CA21" s="55">
        <f t="shared" si="89"/>
        <v>613402.79</v>
      </c>
      <c r="CB21" s="59">
        <f t="shared" si="90"/>
        <v>2027786.9431820002</v>
      </c>
      <c r="CC21" s="55">
        <f t="shared" si="91"/>
        <v>595000.70629999996</v>
      </c>
      <c r="CD21" s="59">
        <f t="shared" si="92"/>
        <v>1966953.33488654</v>
      </c>
      <c r="CE21" s="55">
        <f t="shared" si="93"/>
        <v>582732.65049999999</v>
      </c>
      <c r="CF21" s="59">
        <f t="shared" si="94"/>
        <v>1926397.5960229</v>
      </c>
      <c r="CG21" s="55">
        <f t="shared" si="21"/>
        <v>570464.59470000002</v>
      </c>
      <c r="CH21" s="59">
        <f t="shared" si="95"/>
        <v>1885841.8571592602</v>
      </c>
      <c r="CI21" s="57">
        <f t="shared" si="22"/>
        <v>558196.53890000004</v>
      </c>
      <c r="CJ21" s="59">
        <f t="shared" si="96"/>
        <v>1845286.1182956202</v>
      </c>
      <c r="CK21" s="55">
        <f t="shared" si="23"/>
        <v>545928.48310000007</v>
      </c>
      <c r="CL21" s="59">
        <f t="shared" si="97"/>
        <v>1804730.3794319802</v>
      </c>
      <c r="CM21" s="57">
        <f t="shared" si="24"/>
        <v>533660.42729999998</v>
      </c>
      <c r="CN21" s="59">
        <f t="shared" si="98"/>
        <v>1764174.64056834</v>
      </c>
      <c r="CO21" s="60">
        <f t="shared" si="25"/>
        <v>521392.37150000001</v>
      </c>
      <c r="CP21" s="59">
        <f t="shared" si="99"/>
        <v>1723618.9017047</v>
      </c>
      <c r="CQ21" s="57">
        <f t="shared" si="26"/>
        <v>509124.31569999998</v>
      </c>
      <c r="CR21" s="59">
        <f t="shared" si="100"/>
        <v>1683063.16284106</v>
      </c>
      <c r="CS21" s="55">
        <f t="shared" si="27"/>
        <v>496856.2599</v>
      </c>
      <c r="CT21" s="59">
        <f t="shared" si="101"/>
        <v>1642507.42397742</v>
      </c>
      <c r="CU21" s="60">
        <f t="shared" si="28"/>
        <v>484588.20409999997</v>
      </c>
      <c r="CV21" s="59">
        <f t="shared" si="102"/>
        <v>1601951.68511378</v>
      </c>
      <c r="CW21" s="60">
        <f t="shared" si="29"/>
        <v>472320.14829999994</v>
      </c>
      <c r="CX21" s="59">
        <f t="shared" si="103"/>
        <v>1561395.9462501397</v>
      </c>
      <c r="CY21" s="60">
        <f t="shared" si="30"/>
        <v>460052.09249999997</v>
      </c>
      <c r="CZ21" s="59">
        <f t="shared" si="104"/>
        <v>1520840.2073865</v>
      </c>
      <c r="DA21" s="55">
        <f t="shared" si="31"/>
        <v>447784.03669999994</v>
      </c>
      <c r="DB21" s="59">
        <f t="shared" si="105"/>
        <v>1480284.4685228597</v>
      </c>
      <c r="DC21" s="60">
        <f t="shared" si="32"/>
        <v>435515.98089999991</v>
      </c>
      <c r="DD21" s="59">
        <f t="shared" si="106"/>
        <v>1439728.7296592197</v>
      </c>
      <c r="DE21" s="60">
        <f t="shared" si="33"/>
        <v>423247.92509999993</v>
      </c>
      <c r="DF21" s="59">
        <f t="shared" si="107"/>
        <v>1399172.9907955797</v>
      </c>
      <c r="DG21" s="60">
        <f t="shared" si="34"/>
        <v>410979.8692999999</v>
      </c>
      <c r="DH21" s="59">
        <f t="shared" si="108"/>
        <v>1358617.2519319397</v>
      </c>
      <c r="DI21" s="60">
        <f t="shared" si="35"/>
        <v>398711.81349999987</v>
      </c>
      <c r="DJ21" s="59">
        <f t="shared" si="109"/>
        <v>1318061.5130682995</v>
      </c>
      <c r="DK21" s="55">
        <f t="shared" si="36"/>
        <v>386443.7576999999</v>
      </c>
      <c r="DL21" s="59">
        <f t="shared" si="110"/>
        <v>1277505.7742046597</v>
      </c>
      <c r="DM21" s="60">
        <f t="shared" si="37"/>
        <v>374175.70189999987</v>
      </c>
      <c r="DN21" s="59">
        <f t="shared" si="111"/>
        <v>1236950.0353410195</v>
      </c>
      <c r="DO21" s="60">
        <f t="shared" si="38"/>
        <v>361907.64609999984</v>
      </c>
      <c r="DP21" s="59">
        <f t="shared" si="112"/>
        <v>1196394.2964773795</v>
      </c>
      <c r="DQ21" s="55">
        <f t="shared" si="39"/>
        <v>349639.59029999987</v>
      </c>
      <c r="DR21" s="59">
        <f t="shared" si="113"/>
        <v>1155838.5576137395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558196.53890000004</v>
      </c>
      <c r="ES21" s="55">
        <f t="shared" si="116"/>
        <v>558196.53890000004</v>
      </c>
      <c r="ET21" s="59">
        <f t="shared" si="117"/>
        <v>1845286.1182956202</v>
      </c>
      <c r="EU21" s="55">
        <f t="shared" si="118"/>
        <v>541450.64273299999</v>
      </c>
      <c r="EV21" s="59">
        <f t="shared" si="119"/>
        <v>1789927.5347467514</v>
      </c>
      <c r="EW21" s="55">
        <f t="shared" si="120"/>
        <v>530286.71195500006</v>
      </c>
      <c r="EX21" s="59">
        <f t="shared" si="121"/>
        <v>1753021.8123808391</v>
      </c>
      <c r="EY21" s="55">
        <f t="shared" si="41"/>
        <v>519122.78117700008</v>
      </c>
      <c r="EZ21" s="59">
        <f t="shared" si="122"/>
        <v>1716116.0900149269</v>
      </c>
      <c r="FA21" s="57">
        <f t="shared" si="42"/>
        <v>507958.85039900005</v>
      </c>
      <c r="FB21" s="59">
        <f t="shared" si="123"/>
        <v>1679210.3676490143</v>
      </c>
      <c r="FC21" s="55">
        <f t="shared" si="43"/>
        <v>496794.91962100007</v>
      </c>
      <c r="FD21" s="59">
        <f t="shared" si="124"/>
        <v>1642304.6452831021</v>
      </c>
      <c r="FE21" s="57">
        <f t="shared" si="44"/>
        <v>485630.98884300003</v>
      </c>
      <c r="FF21" s="59">
        <f t="shared" si="125"/>
        <v>1605398.9229171895</v>
      </c>
      <c r="FG21" s="60">
        <f t="shared" si="45"/>
        <v>474467.05806500005</v>
      </c>
      <c r="FH21" s="59">
        <f t="shared" si="126"/>
        <v>1568493.2005512773</v>
      </c>
      <c r="FI21" s="57">
        <f t="shared" si="46"/>
        <v>463303.12728700001</v>
      </c>
      <c r="FJ21" s="59">
        <f t="shared" si="127"/>
        <v>1531587.4781853647</v>
      </c>
      <c r="FK21" s="55">
        <f t="shared" si="47"/>
        <v>452139.19650900003</v>
      </c>
      <c r="FL21" s="59">
        <f t="shared" si="128"/>
        <v>1494681.7558194522</v>
      </c>
      <c r="FM21" s="60">
        <f t="shared" si="48"/>
        <v>440975.26573099999</v>
      </c>
      <c r="FN21" s="59">
        <f t="shared" si="129"/>
        <v>1457776.0334535397</v>
      </c>
      <c r="FO21" s="60">
        <f t="shared" si="49"/>
        <v>429811.33495299995</v>
      </c>
      <c r="FP21" s="59">
        <f t="shared" si="130"/>
        <v>1420870.3110876272</v>
      </c>
      <c r="FQ21" s="60">
        <f t="shared" si="50"/>
        <v>418647.40417499997</v>
      </c>
      <c r="FR21" s="59">
        <f t="shared" si="131"/>
        <v>1383964.5887217149</v>
      </c>
      <c r="FS21" s="55">
        <f t="shared" si="51"/>
        <v>407483.47339699994</v>
      </c>
      <c r="FT21" s="59">
        <f t="shared" si="132"/>
        <v>1347058.8663558024</v>
      </c>
      <c r="FU21" s="60">
        <f t="shared" si="52"/>
        <v>396319.54261899996</v>
      </c>
      <c r="FV21" s="59">
        <f t="shared" si="133"/>
        <v>1310153.1439898901</v>
      </c>
      <c r="FW21" s="60">
        <f t="shared" si="53"/>
        <v>385155.61184099992</v>
      </c>
      <c r="FX21" s="59">
        <f t="shared" si="134"/>
        <v>1273247.4216239776</v>
      </c>
      <c r="FY21" s="60">
        <f t="shared" si="54"/>
        <v>373991.68106299994</v>
      </c>
      <c r="FZ21" s="59">
        <f t="shared" si="135"/>
        <v>1236341.6992580653</v>
      </c>
      <c r="GA21" s="60">
        <f t="shared" si="55"/>
        <v>362827.7502849999</v>
      </c>
      <c r="GB21" s="59">
        <f t="shared" si="136"/>
        <v>1199435.9768921528</v>
      </c>
      <c r="GC21" s="55">
        <f t="shared" si="56"/>
        <v>351663.81950699992</v>
      </c>
      <c r="GD21" s="59">
        <f t="shared" si="137"/>
        <v>1162530.2545262403</v>
      </c>
      <c r="GE21" s="60">
        <f t="shared" si="57"/>
        <v>340499.88872899988</v>
      </c>
      <c r="GF21" s="59">
        <f t="shared" si="138"/>
        <v>1125624.5321603278</v>
      </c>
      <c r="GG21" s="60">
        <f t="shared" si="58"/>
        <v>329335.9579509999</v>
      </c>
      <c r="GH21" s="59">
        <f t="shared" si="139"/>
        <v>1088718.8097944155</v>
      </c>
      <c r="GI21" s="55">
        <f t="shared" si="59"/>
        <v>318172.02717299986</v>
      </c>
      <c r="GJ21" s="59">
        <f t="shared" si="140"/>
        <v>1051813.087428503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238440</v>
      </c>
      <c r="E22" s="67">
        <f t="shared" si="0"/>
        <v>788230</v>
      </c>
      <c r="H22" s="55">
        <f t="shared" si="61"/>
        <v>867053.00000000012</v>
      </c>
      <c r="I22" s="55">
        <f t="shared" si="62"/>
        <v>867053.00000000012</v>
      </c>
      <c r="J22" s="59">
        <f t="shared" si="63"/>
        <v>2866303.8074000003</v>
      </c>
      <c r="K22" s="55">
        <f t="shared" si="64"/>
        <v>841041.41</v>
      </c>
      <c r="L22" s="59">
        <f t="shared" si="65"/>
        <v>2780314.6931780004</v>
      </c>
      <c r="M22" s="55">
        <f t="shared" si="66"/>
        <v>823700.35000000009</v>
      </c>
      <c r="N22" s="59">
        <f t="shared" si="67"/>
        <v>2722988.6170300003</v>
      </c>
      <c r="O22" s="55">
        <f t="shared" si="1"/>
        <v>806359.29000000015</v>
      </c>
      <c r="P22" s="59">
        <f t="shared" si="68"/>
        <v>2665662.5408820007</v>
      </c>
      <c r="Q22" s="57">
        <f t="shared" si="2"/>
        <v>789018.2300000001</v>
      </c>
      <c r="R22" s="59">
        <f t="shared" si="69"/>
        <v>2608336.4647340002</v>
      </c>
      <c r="S22" s="55">
        <f t="shared" si="3"/>
        <v>771677.17000000016</v>
      </c>
      <c r="T22" s="59">
        <f t="shared" si="70"/>
        <v>2551010.3885860005</v>
      </c>
      <c r="U22" s="57">
        <f t="shared" si="4"/>
        <v>754336.1100000001</v>
      </c>
      <c r="V22" s="59">
        <f t="shared" si="71"/>
        <v>2493684.3124380005</v>
      </c>
      <c r="W22" s="60">
        <f t="shared" si="5"/>
        <v>736995.05</v>
      </c>
      <c r="X22" s="59">
        <f t="shared" si="72"/>
        <v>2436358.2362900004</v>
      </c>
      <c r="Y22" s="57">
        <f t="shared" si="6"/>
        <v>719653.99000000011</v>
      </c>
      <c r="Z22" s="59">
        <f t="shared" si="73"/>
        <v>2379032.1601420003</v>
      </c>
      <c r="AA22" s="55">
        <f t="shared" si="7"/>
        <v>702312.93</v>
      </c>
      <c r="AB22" s="59">
        <f t="shared" si="74"/>
        <v>2321706.0839940002</v>
      </c>
      <c r="AC22" s="60">
        <f t="shared" si="8"/>
        <v>684971.87</v>
      </c>
      <c r="AD22" s="59">
        <f t="shared" si="75"/>
        <v>2264380.0078460001</v>
      </c>
      <c r="AE22" s="60">
        <f t="shared" si="9"/>
        <v>667630.81000000006</v>
      </c>
      <c r="AF22" s="59">
        <f t="shared" si="76"/>
        <v>2207053.9316980001</v>
      </c>
      <c r="AG22" s="60">
        <f t="shared" si="10"/>
        <v>650289.75</v>
      </c>
      <c r="AH22" s="59">
        <f t="shared" si="77"/>
        <v>2149727.85555</v>
      </c>
      <c r="AI22" s="55">
        <f t="shared" si="11"/>
        <v>632948.68999999994</v>
      </c>
      <c r="AJ22" s="59">
        <f t="shared" si="78"/>
        <v>2092401.7794019999</v>
      </c>
      <c r="AK22" s="60">
        <f t="shared" si="12"/>
        <v>615607.63</v>
      </c>
      <c r="AL22" s="59">
        <f t="shared" si="79"/>
        <v>2035075.7032540001</v>
      </c>
      <c r="AM22" s="60">
        <f t="shared" si="13"/>
        <v>598266.56999999995</v>
      </c>
      <c r="AN22" s="59">
        <f t="shared" si="80"/>
        <v>1977749.627106</v>
      </c>
      <c r="AO22" s="60">
        <f t="shared" si="14"/>
        <v>580925.50999999989</v>
      </c>
      <c r="AP22" s="59">
        <f t="shared" si="81"/>
        <v>1920423.5509579997</v>
      </c>
      <c r="AQ22" s="60">
        <f t="shared" si="15"/>
        <v>563584.44999999995</v>
      </c>
      <c r="AR22" s="59">
        <f t="shared" si="82"/>
        <v>1863097.4748099998</v>
      </c>
      <c r="AS22" s="55">
        <f t="shared" si="16"/>
        <v>546243.3899999999</v>
      </c>
      <c r="AT22" s="59">
        <f t="shared" si="83"/>
        <v>1805771.3986619997</v>
      </c>
      <c r="AU22" s="60">
        <f t="shared" si="17"/>
        <v>528902.32999999984</v>
      </c>
      <c r="AV22" s="59">
        <f t="shared" si="84"/>
        <v>1748445.3225139994</v>
      </c>
      <c r="AW22" s="60">
        <f t="shared" si="18"/>
        <v>511561.26999999984</v>
      </c>
      <c r="AX22" s="59">
        <f t="shared" si="85"/>
        <v>1691119.2463659996</v>
      </c>
      <c r="AY22" s="55">
        <f t="shared" si="19"/>
        <v>494220.20999999985</v>
      </c>
      <c r="AZ22" s="59">
        <f t="shared" si="86"/>
        <v>1633793.1702179995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789018.2300000001</v>
      </c>
      <c r="CA22" s="55">
        <f t="shared" si="89"/>
        <v>789018.2300000001</v>
      </c>
      <c r="CB22" s="59">
        <f t="shared" si="90"/>
        <v>2608336.4647340002</v>
      </c>
      <c r="CC22" s="55">
        <f t="shared" si="91"/>
        <v>765347.68310000002</v>
      </c>
      <c r="CD22" s="59">
        <f t="shared" si="92"/>
        <v>2530086.3707919801</v>
      </c>
      <c r="CE22" s="55">
        <f t="shared" si="93"/>
        <v>749567.31850000005</v>
      </c>
      <c r="CF22" s="59">
        <f t="shared" si="94"/>
        <v>2477919.6414973</v>
      </c>
      <c r="CG22" s="55">
        <f t="shared" si="21"/>
        <v>733786.95390000008</v>
      </c>
      <c r="CH22" s="59">
        <f t="shared" si="95"/>
        <v>2425752.9122026204</v>
      </c>
      <c r="CI22" s="57">
        <f t="shared" si="22"/>
        <v>718006.58930000011</v>
      </c>
      <c r="CJ22" s="59">
        <f t="shared" si="96"/>
        <v>2373586.1829079404</v>
      </c>
      <c r="CK22" s="55">
        <f t="shared" si="23"/>
        <v>702226.22470000014</v>
      </c>
      <c r="CL22" s="59">
        <f t="shared" si="97"/>
        <v>2321419.4536132603</v>
      </c>
      <c r="CM22" s="57">
        <f t="shared" si="24"/>
        <v>686445.86010000005</v>
      </c>
      <c r="CN22" s="59">
        <f t="shared" si="98"/>
        <v>2269252.7243185802</v>
      </c>
      <c r="CO22" s="60">
        <f t="shared" si="25"/>
        <v>670665.49550000008</v>
      </c>
      <c r="CP22" s="59">
        <f t="shared" si="99"/>
        <v>2217085.9950239002</v>
      </c>
      <c r="CQ22" s="57">
        <f t="shared" si="26"/>
        <v>654885.13090000011</v>
      </c>
      <c r="CR22" s="59">
        <f t="shared" si="100"/>
        <v>2164919.2657292206</v>
      </c>
      <c r="CS22" s="55">
        <f t="shared" si="27"/>
        <v>639104.76630000002</v>
      </c>
      <c r="CT22" s="59">
        <f t="shared" si="101"/>
        <v>2112752.5364345401</v>
      </c>
      <c r="CU22" s="60">
        <f t="shared" si="28"/>
        <v>623324.40170000005</v>
      </c>
      <c r="CV22" s="59">
        <f t="shared" si="102"/>
        <v>2060585.8071398602</v>
      </c>
      <c r="CW22" s="60">
        <f t="shared" si="29"/>
        <v>607544.03709999996</v>
      </c>
      <c r="CX22" s="59">
        <f t="shared" si="103"/>
        <v>2008419.0778451799</v>
      </c>
      <c r="CY22" s="60">
        <f t="shared" si="30"/>
        <v>591763.67249999999</v>
      </c>
      <c r="CZ22" s="59">
        <f t="shared" si="104"/>
        <v>1956252.3485504999</v>
      </c>
      <c r="DA22" s="55">
        <f t="shared" si="31"/>
        <v>575983.30790000001</v>
      </c>
      <c r="DB22" s="59">
        <f t="shared" si="105"/>
        <v>1904085.6192558201</v>
      </c>
      <c r="DC22" s="60">
        <f t="shared" si="32"/>
        <v>560202.94329999993</v>
      </c>
      <c r="DD22" s="59">
        <f t="shared" si="106"/>
        <v>1851918.8899611398</v>
      </c>
      <c r="DE22" s="60">
        <f t="shared" si="33"/>
        <v>544422.57869999995</v>
      </c>
      <c r="DF22" s="59">
        <f t="shared" si="107"/>
        <v>1799752.1606664599</v>
      </c>
      <c r="DG22" s="60">
        <f t="shared" si="34"/>
        <v>528642.21409999987</v>
      </c>
      <c r="DH22" s="59">
        <f t="shared" si="108"/>
        <v>1747585.4313717796</v>
      </c>
      <c r="DI22" s="60">
        <f t="shared" si="35"/>
        <v>512861.84949999989</v>
      </c>
      <c r="DJ22" s="59">
        <f t="shared" si="109"/>
        <v>1695418.7020770996</v>
      </c>
      <c r="DK22" s="55">
        <f t="shared" si="36"/>
        <v>497081.48489999986</v>
      </c>
      <c r="DL22" s="59">
        <f t="shared" si="110"/>
        <v>1643251.9727824195</v>
      </c>
      <c r="DM22" s="60">
        <f t="shared" si="37"/>
        <v>481301.12029999989</v>
      </c>
      <c r="DN22" s="59">
        <f t="shared" si="111"/>
        <v>1591085.2434877397</v>
      </c>
      <c r="DO22" s="60">
        <f t="shared" si="38"/>
        <v>465520.75569999986</v>
      </c>
      <c r="DP22" s="59">
        <f t="shared" si="112"/>
        <v>1538918.5141930596</v>
      </c>
      <c r="DQ22" s="55">
        <f t="shared" si="39"/>
        <v>449740.39109999983</v>
      </c>
      <c r="DR22" s="59">
        <f t="shared" si="113"/>
        <v>1486751.7848983796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718006.58930000011</v>
      </c>
      <c r="ES22" s="55">
        <f t="shared" si="116"/>
        <v>718006.58930000011</v>
      </c>
      <c r="ET22" s="59">
        <f t="shared" si="117"/>
        <v>2373586.1829079404</v>
      </c>
      <c r="EU22" s="55">
        <f t="shared" si="118"/>
        <v>696466.39162100013</v>
      </c>
      <c r="EV22" s="59">
        <f t="shared" si="119"/>
        <v>2302378.5974207022</v>
      </c>
      <c r="EW22" s="55">
        <f t="shared" si="120"/>
        <v>682106.25983500003</v>
      </c>
      <c r="EX22" s="59">
        <f t="shared" si="121"/>
        <v>2254906.8737625433</v>
      </c>
      <c r="EY22" s="55">
        <f t="shared" si="41"/>
        <v>667746.12804900017</v>
      </c>
      <c r="EZ22" s="59">
        <f t="shared" si="122"/>
        <v>2207435.1501043849</v>
      </c>
      <c r="FA22" s="57">
        <f t="shared" si="42"/>
        <v>653385.99626300007</v>
      </c>
      <c r="FB22" s="59">
        <f t="shared" si="123"/>
        <v>2159963.4264462255</v>
      </c>
      <c r="FC22" s="55">
        <f t="shared" si="43"/>
        <v>639025.86447700008</v>
      </c>
      <c r="FD22" s="59">
        <f t="shared" si="124"/>
        <v>2112491.7027880671</v>
      </c>
      <c r="FE22" s="57">
        <f t="shared" si="44"/>
        <v>624665.7326910001</v>
      </c>
      <c r="FF22" s="59">
        <f t="shared" si="125"/>
        <v>2065019.9791299081</v>
      </c>
      <c r="FG22" s="60">
        <f t="shared" si="45"/>
        <v>610305.60090500012</v>
      </c>
      <c r="FH22" s="59">
        <f t="shared" si="126"/>
        <v>2017548.2554717495</v>
      </c>
      <c r="FI22" s="57">
        <f t="shared" si="46"/>
        <v>595945.46911900002</v>
      </c>
      <c r="FJ22" s="59">
        <f t="shared" si="127"/>
        <v>1970076.5318135903</v>
      </c>
      <c r="FK22" s="55">
        <f t="shared" si="47"/>
        <v>581585.33733300003</v>
      </c>
      <c r="FL22" s="59">
        <f t="shared" si="128"/>
        <v>1922604.8081554316</v>
      </c>
      <c r="FM22" s="60">
        <f t="shared" si="48"/>
        <v>567225.20554700005</v>
      </c>
      <c r="FN22" s="59">
        <f t="shared" si="129"/>
        <v>1875133.0844972727</v>
      </c>
      <c r="FO22" s="60">
        <f t="shared" si="49"/>
        <v>552865.07376100007</v>
      </c>
      <c r="FP22" s="59">
        <f t="shared" si="130"/>
        <v>1827661.3608391141</v>
      </c>
      <c r="FQ22" s="60">
        <f t="shared" si="50"/>
        <v>538504.94197499997</v>
      </c>
      <c r="FR22" s="59">
        <f t="shared" si="131"/>
        <v>1780189.6371809549</v>
      </c>
      <c r="FS22" s="55">
        <f t="shared" si="51"/>
        <v>524144.81018899998</v>
      </c>
      <c r="FT22" s="59">
        <f t="shared" si="132"/>
        <v>1732717.9135227962</v>
      </c>
      <c r="FU22" s="60">
        <f t="shared" si="52"/>
        <v>509784.678403</v>
      </c>
      <c r="FV22" s="59">
        <f t="shared" si="133"/>
        <v>1685246.1898646373</v>
      </c>
      <c r="FW22" s="60">
        <f t="shared" si="53"/>
        <v>495424.54661699996</v>
      </c>
      <c r="FX22" s="59">
        <f t="shared" si="134"/>
        <v>1637774.4662064784</v>
      </c>
      <c r="FY22" s="60">
        <f t="shared" si="54"/>
        <v>481064.41483099991</v>
      </c>
      <c r="FZ22" s="59">
        <f t="shared" si="135"/>
        <v>1590302.7425483195</v>
      </c>
      <c r="GA22" s="60">
        <f t="shared" si="55"/>
        <v>466704.28304499993</v>
      </c>
      <c r="GB22" s="59">
        <f t="shared" si="136"/>
        <v>1542831.0188901608</v>
      </c>
      <c r="GC22" s="55">
        <f t="shared" si="56"/>
        <v>452344.15125899989</v>
      </c>
      <c r="GD22" s="59">
        <f t="shared" si="137"/>
        <v>1495359.2952320019</v>
      </c>
      <c r="GE22" s="60">
        <f t="shared" si="57"/>
        <v>437984.01947299991</v>
      </c>
      <c r="GF22" s="59">
        <f t="shared" si="138"/>
        <v>1447887.571573843</v>
      </c>
      <c r="GG22" s="60">
        <f t="shared" si="58"/>
        <v>423623.88768699986</v>
      </c>
      <c r="GH22" s="59">
        <f t="shared" si="139"/>
        <v>1400415.8479156841</v>
      </c>
      <c r="GI22" s="55">
        <f t="shared" si="59"/>
        <v>409263.75590099988</v>
      </c>
      <c r="GJ22" s="59">
        <f t="shared" si="140"/>
        <v>1352944.1242575254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67700</v>
      </c>
      <c r="E23" s="67">
        <f t="shared" si="0"/>
        <v>223800</v>
      </c>
      <c r="H23" s="55">
        <f t="shared" si="61"/>
        <v>246180.00000000003</v>
      </c>
      <c r="I23" s="55">
        <f t="shared" si="62"/>
        <v>246180.00000000003</v>
      </c>
      <c r="J23" s="59">
        <f t="shared" si="63"/>
        <v>813821.84400000016</v>
      </c>
      <c r="K23" s="55">
        <f t="shared" si="64"/>
        <v>238794.60000000003</v>
      </c>
      <c r="L23" s="59">
        <f t="shared" si="65"/>
        <v>789407.18868000014</v>
      </c>
      <c r="M23" s="55">
        <f t="shared" si="66"/>
        <v>233871.00000000003</v>
      </c>
      <c r="N23" s="59">
        <f t="shared" si="67"/>
        <v>773130.75180000009</v>
      </c>
      <c r="O23" s="55">
        <f t="shared" si="1"/>
        <v>228947.40000000005</v>
      </c>
      <c r="P23" s="59">
        <f t="shared" si="68"/>
        <v>756854.31492000015</v>
      </c>
      <c r="Q23" s="57">
        <f t="shared" si="2"/>
        <v>224023.80000000005</v>
      </c>
      <c r="R23" s="59">
        <f t="shared" si="69"/>
        <v>740577.87804000021</v>
      </c>
      <c r="S23" s="55">
        <f t="shared" si="3"/>
        <v>219100.20000000004</v>
      </c>
      <c r="T23" s="59">
        <f t="shared" si="70"/>
        <v>724301.44116000016</v>
      </c>
      <c r="U23" s="57">
        <f t="shared" si="4"/>
        <v>214176.60000000003</v>
      </c>
      <c r="V23" s="59">
        <f t="shared" si="71"/>
        <v>708025.00428000011</v>
      </c>
      <c r="W23" s="60">
        <f t="shared" si="5"/>
        <v>209253.00000000003</v>
      </c>
      <c r="X23" s="59">
        <f t="shared" si="72"/>
        <v>691748.56740000006</v>
      </c>
      <c r="Y23" s="57">
        <f t="shared" si="6"/>
        <v>204329.40000000002</v>
      </c>
      <c r="Z23" s="59">
        <f t="shared" si="73"/>
        <v>675472.13052000012</v>
      </c>
      <c r="AA23" s="55">
        <f t="shared" si="7"/>
        <v>199405.80000000002</v>
      </c>
      <c r="AB23" s="59">
        <f t="shared" si="74"/>
        <v>659195.69364000007</v>
      </c>
      <c r="AC23" s="60">
        <f t="shared" si="8"/>
        <v>194482.2</v>
      </c>
      <c r="AD23" s="59">
        <f t="shared" si="75"/>
        <v>642919.25676000002</v>
      </c>
      <c r="AE23" s="60">
        <f t="shared" si="9"/>
        <v>189558.6</v>
      </c>
      <c r="AF23" s="59">
        <f t="shared" si="76"/>
        <v>626642.81988000008</v>
      </c>
      <c r="AG23" s="60">
        <f t="shared" si="10"/>
        <v>184635</v>
      </c>
      <c r="AH23" s="59">
        <f t="shared" si="77"/>
        <v>610366.38300000003</v>
      </c>
      <c r="AI23" s="55">
        <f t="shared" si="11"/>
        <v>179711.4</v>
      </c>
      <c r="AJ23" s="59">
        <f t="shared" si="78"/>
        <v>594089.94611999998</v>
      </c>
      <c r="AK23" s="60">
        <f t="shared" si="12"/>
        <v>174787.8</v>
      </c>
      <c r="AL23" s="59">
        <f t="shared" si="79"/>
        <v>577813.50923999993</v>
      </c>
      <c r="AM23" s="60">
        <f t="shared" si="13"/>
        <v>169864.19999999998</v>
      </c>
      <c r="AN23" s="59">
        <f t="shared" si="80"/>
        <v>561537.07235999999</v>
      </c>
      <c r="AO23" s="60">
        <f t="shared" si="14"/>
        <v>164940.59999999998</v>
      </c>
      <c r="AP23" s="59">
        <f t="shared" si="81"/>
        <v>545260.63547999994</v>
      </c>
      <c r="AQ23" s="60">
        <f t="shared" si="15"/>
        <v>160016.99999999997</v>
      </c>
      <c r="AR23" s="59">
        <f t="shared" si="82"/>
        <v>528984.19859999989</v>
      </c>
      <c r="AS23" s="55">
        <f t="shared" si="16"/>
        <v>155093.39999999997</v>
      </c>
      <c r="AT23" s="59">
        <f t="shared" si="83"/>
        <v>512707.76171999989</v>
      </c>
      <c r="AU23" s="60">
        <f t="shared" si="17"/>
        <v>150169.79999999996</v>
      </c>
      <c r="AV23" s="59">
        <f t="shared" si="84"/>
        <v>496431.3248399999</v>
      </c>
      <c r="AW23" s="60">
        <f t="shared" si="18"/>
        <v>145246.19999999995</v>
      </c>
      <c r="AX23" s="59">
        <f t="shared" si="85"/>
        <v>480154.88795999985</v>
      </c>
      <c r="AY23" s="55">
        <f t="shared" si="19"/>
        <v>140322.59999999995</v>
      </c>
      <c r="AZ23" s="59">
        <f t="shared" si="86"/>
        <v>463878.45107999985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224023.80000000005</v>
      </c>
      <c r="CA23" s="55">
        <f t="shared" si="89"/>
        <v>224023.80000000005</v>
      </c>
      <c r="CB23" s="59">
        <f t="shared" si="90"/>
        <v>740577.87804000021</v>
      </c>
      <c r="CC23" s="55">
        <f t="shared" si="91"/>
        <v>217303.08600000004</v>
      </c>
      <c r="CD23" s="59">
        <f t="shared" si="92"/>
        <v>718360.54169880017</v>
      </c>
      <c r="CE23" s="55">
        <f t="shared" si="93"/>
        <v>212822.61000000004</v>
      </c>
      <c r="CF23" s="59">
        <f t="shared" si="94"/>
        <v>703548.98413800017</v>
      </c>
      <c r="CG23" s="55">
        <f t="shared" si="21"/>
        <v>208342.13400000005</v>
      </c>
      <c r="CH23" s="59">
        <f t="shared" si="95"/>
        <v>688737.42657720018</v>
      </c>
      <c r="CI23" s="57">
        <f t="shared" si="22"/>
        <v>203861.65800000005</v>
      </c>
      <c r="CJ23" s="59">
        <f t="shared" si="96"/>
        <v>673925.86901640019</v>
      </c>
      <c r="CK23" s="55">
        <f t="shared" si="23"/>
        <v>199381.18200000006</v>
      </c>
      <c r="CL23" s="59">
        <f t="shared" si="97"/>
        <v>659114.3114556002</v>
      </c>
      <c r="CM23" s="57">
        <f t="shared" si="24"/>
        <v>194900.70600000003</v>
      </c>
      <c r="CN23" s="59">
        <f t="shared" si="98"/>
        <v>644302.75389480009</v>
      </c>
      <c r="CO23" s="60">
        <f t="shared" si="25"/>
        <v>190420.23000000004</v>
      </c>
      <c r="CP23" s="59">
        <f t="shared" si="99"/>
        <v>629491.19633400009</v>
      </c>
      <c r="CQ23" s="57">
        <f t="shared" si="26"/>
        <v>185939.75400000002</v>
      </c>
      <c r="CR23" s="59">
        <f t="shared" si="100"/>
        <v>614679.6387732001</v>
      </c>
      <c r="CS23" s="55">
        <f t="shared" si="27"/>
        <v>181459.27800000002</v>
      </c>
      <c r="CT23" s="59">
        <f t="shared" si="101"/>
        <v>599868.08121240011</v>
      </c>
      <c r="CU23" s="60">
        <f t="shared" si="28"/>
        <v>176978.80200000003</v>
      </c>
      <c r="CV23" s="59">
        <f t="shared" si="102"/>
        <v>585056.52365160012</v>
      </c>
      <c r="CW23" s="60">
        <f t="shared" si="29"/>
        <v>172498.326</v>
      </c>
      <c r="CX23" s="59">
        <f t="shared" si="103"/>
        <v>570244.96609080001</v>
      </c>
      <c r="CY23" s="60">
        <f t="shared" si="30"/>
        <v>168017.85</v>
      </c>
      <c r="CZ23" s="59">
        <f t="shared" si="104"/>
        <v>555433.40853000002</v>
      </c>
      <c r="DA23" s="55">
        <f t="shared" si="31"/>
        <v>163537.37400000001</v>
      </c>
      <c r="DB23" s="59">
        <f t="shared" si="105"/>
        <v>540621.85096920002</v>
      </c>
      <c r="DC23" s="60">
        <f t="shared" si="32"/>
        <v>159056.89799999999</v>
      </c>
      <c r="DD23" s="59">
        <f t="shared" si="106"/>
        <v>525810.29340839991</v>
      </c>
      <c r="DE23" s="60">
        <f t="shared" si="33"/>
        <v>154576.42199999999</v>
      </c>
      <c r="DF23" s="59">
        <f t="shared" si="107"/>
        <v>510998.73584759998</v>
      </c>
      <c r="DG23" s="60">
        <f t="shared" si="34"/>
        <v>150095.946</v>
      </c>
      <c r="DH23" s="59">
        <f t="shared" si="108"/>
        <v>496187.17828679999</v>
      </c>
      <c r="DI23" s="60">
        <f t="shared" si="35"/>
        <v>145615.46999999997</v>
      </c>
      <c r="DJ23" s="59">
        <f t="shared" si="109"/>
        <v>481375.62072599994</v>
      </c>
      <c r="DK23" s="55">
        <f t="shared" si="36"/>
        <v>141134.99399999998</v>
      </c>
      <c r="DL23" s="59">
        <f t="shared" si="110"/>
        <v>466564.06316519994</v>
      </c>
      <c r="DM23" s="60">
        <f t="shared" si="37"/>
        <v>136654.51799999998</v>
      </c>
      <c r="DN23" s="59">
        <f t="shared" si="111"/>
        <v>451752.50560439995</v>
      </c>
      <c r="DO23" s="60">
        <f t="shared" si="38"/>
        <v>132174.04199999996</v>
      </c>
      <c r="DP23" s="59">
        <f t="shared" si="112"/>
        <v>436940.94804359984</v>
      </c>
      <c r="DQ23" s="55">
        <f t="shared" si="39"/>
        <v>127693.56599999996</v>
      </c>
      <c r="DR23" s="59">
        <f t="shared" si="113"/>
        <v>422129.39048279991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203861.65800000005</v>
      </c>
      <c r="ES23" s="55">
        <f t="shared" si="116"/>
        <v>203861.65800000005</v>
      </c>
      <c r="ET23" s="59">
        <f t="shared" si="117"/>
        <v>673925.86901640019</v>
      </c>
      <c r="EU23" s="55">
        <f t="shared" si="118"/>
        <v>197745.80826000005</v>
      </c>
      <c r="EV23" s="59">
        <f t="shared" si="119"/>
        <v>653708.0929459082</v>
      </c>
      <c r="EW23" s="55">
        <f t="shared" si="120"/>
        <v>193668.57510000005</v>
      </c>
      <c r="EX23" s="59">
        <f t="shared" si="121"/>
        <v>640229.57556558016</v>
      </c>
      <c r="EY23" s="55">
        <f t="shared" si="41"/>
        <v>189591.34194000007</v>
      </c>
      <c r="EZ23" s="59">
        <f t="shared" si="122"/>
        <v>626751.05818525224</v>
      </c>
      <c r="FA23" s="57">
        <f t="shared" si="42"/>
        <v>185514.10878000007</v>
      </c>
      <c r="FB23" s="59">
        <f t="shared" si="123"/>
        <v>613272.54080492421</v>
      </c>
      <c r="FC23" s="55">
        <f t="shared" si="43"/>
        <v>181436.87562000006</v>
      </c>
      <c r="FD23" s="59">
        <f t="shared" si="124"/>
        <v>599794.02342459618</v>
      </c>
      <c r="FE23" s="57">
        <f t="shared" si="44"/>
        <v>177359.64246000003</v>
      </c>
      <c r="FF23" s="59">
        <f t="shared" si="125"/>
        <v>586315.50604426814</v>
      </c>
      <c r="FG23" s="60">
        <f t="shared" si="45"/>
        <v>173282.40930000003</v>
      </c>
      <c r="FH23" s="59">
        <f t="shared" si="126"/>
        <v>572836.98866394011</v>
      </c>
      <c r="FI23" s="57">
        <f t="shared" si="46"/>
        <v>169205.17614000003</v>
      </c>
      <c r="FJ23" s="59">
        <f t="shared" si="127"/>
        <v>559358.47128361207</v>
      </c>
      <c r="FK23" s="55">
        <f t="shared" si="47"/>
        <v>165127.94298000002</v>
      </c>
      <c r="FL23" s="59">
        <f t="shared" si="128"/>
        <v>545879.95390328404</v>
      </c>
      <c r="FM23" s="60">
        <f t="shared" si="48"/>
        <v>161050.70982000002</v>
      </c>
      <c r="FN23" s="59">
        <f t="shared" si="129"/>
        <v>532401.43652295612</v>
      </c>
      <c r="FO23" s="60">
        <f t="shared" si="49"/>
        <v>156973.47666000001</v>
      </c>
      <c r="FP23" s="59">
        <f t="shared" si="130"/>
        <v>518922.91914262809</v>
      </c>
      <c r="FQ23" s="60">
        <f t="shared" si="50"/>
        <v>152896.24350000001</v>
      </c>
      <c r="FR23" s="59">
        <f t="shared" si="131"/>
        <v>505444.40176230005</v>
      </c>
      <c r="FS23" s="55">
        <f t="shared" si="51"/>
        <v>148819.01034000001</v>
      </c>
      <c r="FT23" s="59">
        <f t="shared" si="132"/>
        <v>491965.88438197202</v>
      </c>
      <c r="FU23" s="60">
        <f t="shared" si="52"/>
        <v>144741.77718</v>
      </c>
      <c r="FV23" s="59">
        <f t="shared" si="133"/>
        <v>478487.36700164404</v>
      </c>
      <c r="FW23" s="60">
        <f t="shared" si="53"/>
        <v>140664.54402</v>
      </c>
      <c r="FX23" s="59">
        <f t="shared" si="134"/>
        <v>465008.84962131601</v>
      </c>
      <c r="FY23" s="60">
        <f t="shared" si="54"/>
        <v>136587.31086</v>
      </c>
      <c r="FZ23" s="59">
        <f t="shared" si="135"/>
        <v>451530.33224098798</v>
      </c>
      <c r="GA23" s="60">
        <f t="shared" si="55"/>
        <v>132510.07769999999</v>
      </c>
      <c r="GB23" s="59">
        <f t="shared" si="136"/>
        <v>438051.81486066</v>
      </c>
      <c r="GC23" s="55">
        <f t="shared" si="56"/>
        <v>128432.84453999999</v>
      </c>
      <c r="GD23" s="59">
        <f t="shared" si="137"/>
        <v>424573.29748033197</v>
      </c>
      <c r="GE23" s="60">
        <f t="shared" si="57"/>
        <v>124355.61137999999</v>
      </c>
      <c r="GF23" s="59">
        <f t="shared" si="138"/>
        <v>411094.78010000399</v>
      </c>
      <c r="GG23" s="60">
        <f t="shared" si="58"/>
        <v>120278.37821999998</v>
      </c>
      <c r="GH23" s="59">
        <f t="shared" si="139"/>
        <v>397616.26271967596</v>
      </c>
      <c r="GI23" s="55">
        <f t="shared" si="59"/>
        <v>116201.14505999998</v>
      </c>
      <c r="GJ23" s="59">
        <f t="shared" si="140"/>
        <v>384137.74533934792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35490</v>
      </c>
      <c r="E24" s="67">
        <f t="shared" si="0"/>
        <v>117320</v>
      </c>
      <c r="H24" s="55">
        <f t="shared" si="61"/>
        <v>129052.00000000001</v>
      </c>
      <c r="I24" s="55">
        <f t="shared" si="62"/>
        <v>129052.00000000001</v>
      </c>
      <c r="J24" s="59">
        <f t="shared" si="63"/>
        <v>426620.10160000005</v>
      </c>
      <c r="K24" s="55">
        <f t="shared" si="64"/>
        <v>125180.44000000002</v>
      </c>
      <c r="L24" s="59">
        <f t="shared" si="65"/>
        <v>413821.49855200009</v>
      </c>
      <c r="M24" s="55">
        <f t="shared" si="66"/>
        <v>122599.40000000001</v>
      </c>
      <c r="N24" s="59">
        <f t="shared" si="67"/>
        <v>405289.09652000002</v>
      </c>
      <c r="O24" s="55">
        <f t="shared" si="1"/>
        <v>120018.36000000002</v>
      </c>
      <c r="P24" s="59">
        <f t="shared" si="68"/>
        <v>396756.69448800007</v>
      </c>
      <c r="Q24" s="57">
        <f t="shared" si="2"/>
        <v>117437.32000000002</v>
      </c>
      <c r="R24" s="59">
        <f t="shared" si="69"/>
        <v>388224.29245600005</v>
      </c>
      <c r="S24" s="55">
        <f t="shared" si="3"/>
        <v>114856.28000000001</v>
      </c>
      <c r="T24" s="59">
        <f t="shared" si="70"/>
        <v>379691.89042400004</v>
      </c>
      <c r="U24" s="57">
        <f t="shared" si="4"/>
        <v>112275.24</v>
      </c>
      <c r="V24" s="59">
        <f t="shared" si="71"/>
        <v>371159.48839200003</v>
      </c>
      <c r="W24" s="60">
        <f t="shared" si="5"/>
        <v>109694.20000000001</v>
      </c>
      <c r="X24" s="59">
        <f t="shared" si="72"/>
        <v>362627.08636000007</v>
      </c>
      <c r="Y24" s="57">
        <f t="shared" si="6"/>
        <v>107113.16</v>
      </c>
      <c r="Z24" s="59">
        <f t="shared" si="73"/>
        <v>354094.684328</v>
      </c>
      <c r="AA24" s="55">
        <f t="shared" si="7"/>
        <v>104532.12000000001</v>
      </c>
      <c r="AB24" s="59">
        <f t="shared" si="74"/>
        <v>345562.28229600005</v>
      </c>
      <c r="AC24" s="60">
        <f t="shared" si="8"/>
        <v>101951.08</v>
      </c>
      <c r="AD24" s="59">
        <f t="shared" si="75"/>
        <v>337029.88026400004</v>
      </c>
      <c r="AE24" s="60">
        <f t="shared" si="9"/>
        <v>99370.04</v>
      </c>
      <c r="AF24" s="59">
        <f t="shared" si="76"/>
        <v>328497.47823199996</v>
      </c>
      <c r="AG24" s="60">
        <f t="shared" si="10"/>
        <v>96789</v>
      </c>
      <c r="AH24" s="59">
        <f t="shared" si="77"/>
        <v>319965.07620000001</v>
      </c>
      <c r="AI24" s="55">
        <f t="shared" si="11"/>
        <v>94207.959999999992</v>
      </c>
      <c r="AJ24" s="59">
        <f t="shared" si="78"/>
        <v>311432.674168</v>
      </c>
      <c r="AK24" s="60">
        <f t="shared" si="12"/>
        <v>91626.92</v>
      </c>
      <c r="AL24" s="59">
        <f t="shared" si="79"/>
        <v>302900.27213599999</v>
      </c>
      <c r="AM24" s="60">
        <f t="shared" si="13"/>
        <v>89045.87999999999</v>
      </c>
      <c r="AN24" s="59">
        <f t="shared" si="80"/>
        <v>294367.87010399997</v>
      </c>
      <c r="AO24" s="60">
        <f t="shared" si="14"/>
        <v>86464.839999999982</v>
      </c>
      <c r="AP24" s="59">
        <f t="shared" si="81"/>
        <v>285835.46807199996</v>
      </c>
      <c r="AQ24" s="60">
        <f t="shared" si="15"/>
        <v>83883.799999999988</v>
      </c>
      <c r="AR24" s="59">
        <f t="shared" si="82"/>
        <v>277303.06603999995</v>
      </c>
      <c r="AS24" s="55">
        <f t="shared" si="16"/>
        <v>81302.75999999998</v>
      </c>
      <c r="AT24" s="59">
        <f t="shared" si="83"/>
        <v>268770.66400799993</v>
      </c>
      <c r="AU24" s="60">
        <f t="shared" si="17"/>
        <v>78721.719999999972</v>
      </c>
      <c r="AV24" s="59">
        <f t="shared" si="84"/>
        <v>260238.26197599992</v>
      </c>
      <c r="AW24" s="60">
        <f t="shared" si="18"/>
        <v>76140.679999999978</v>
      </c>
      <c r="AX24" s="59">
        <f t="shared" si="85"/>
        <v>251705.85994399994</v>
      </c>
      <c r="AY24" s="55">
        <f t="shared" si="19"/>
        <v>73559.63999999997</v>
      </c>
      <c r="AZ24" s="59">
        <f t="shared" si="86"/>
        <v>243173.4579119999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117437.32000000002</v>
      </c>
      <c r="CA24" s="55">
        <f t="shared" si="89"/>
        <v>117437.32000000002</v>
      </c>
      <c r="CB24" s="59">
        <f t="shared" si="90"/>
        <v>388224.29245600005</v>
      </c>
      <c r="CC24" s="55">
        <f t="shared" si="91"/>
        <v>113914.20040000002</v>
      </c>
      <c r="CD24" s="59">
        <f t="shared" si="92"/>
        <v>376577.56368232006</v>
      </c>
      <c r="CE24" s="55">
        <f t="shared" si="93"/>
        <v>111565.45400000001</v>
      </c>
      <c r="CF24" s="59">
        <f t="shared" si="94"/>
        <v>368813.07783320005</v>
      </c>
      <c r="CG24" s="55">
        <f t="shared" si="21"/>
        <v>109216.70760000002</v>
      </c>
      <c r="CH24" s="59">
        <f t="shared" si="95"/>
        <v>361048.59198408009</v>
      </c>
      <c r="CI24" s="57">
        <f t="shared" si="22"/>
        <v>106867.96120000002</v>
      </c>
      <c r="CJ24" s="59">
        <f t="shared" si="96"/>
        <v>353284.10613496008</v>
      </c>
      <c r="CK24" s="55">
        <f t="shared" si="23"/>
        <v>104519.21480000002</v>
      </c>
      <c r="CL24" s="59">
        <f t="shared" si="97"/>
        <v>345519.62028584006</v>
      </c>
      <c r="CM24" s="57">
        <f t="shared" si="24"/>
        <v>102170.46840000001</v>
      </c>
      <c r="CN24" s="59">
        <f t="shared" si="98"/>
        <v>337755.13443672005</v>
      </c>
      <c r="CO24" s="60">
        <f t="shared" si="25"/>
        <v>99821.722000000009</v>
      </c>
      <c r="CP24" s="59">
        <f t="shared" si="99"/>
        <v>329990.64858760004</v>
      </c>
      <c r="CQ24" s="57">
        <f t="shared" si="26"/>
        <v>97472.97560000002</v>
      </c>
      <c r="CR24" s="59">
        <f t="shared" si="100"/>
        <v>322226.16273848008</v>
      </c>
      <c r="CS24" s="55">
        <f t="shared" si="27"/>
        <v>95124.229200000016</v>
      </c>
      <c r="CT24" s="59">
        <f t="shared" si="101"/>
        <v>314461.67688936007</v>
      </c>
      <c r="CU24" s="60">
        <f t="shared" si="28"/>
        <v>92775.482800000013</v>
      </c>
      <c r="CV24" s="59">
        <f t="shared" si="102"/>
        <v>306697.19104024005</v>
      </c>
      <c r="CW24" s="60">
        <f t="shared" si="29"/>
        <v>90426.736400000009</v>
      </c>
      <c r="CX24" s="59">
        <f t="shared" si="103"/>
        <v>298932.70519112004</v>
      </c>
      <c r="CY24" s="60">
        <f t="shared" si="30"/>
        <v>88077.99</v>
      </c>
      <c r="CZ24" s="59">
        <f t="shared" si="104"/>
        <v>291168.21934200003</v>
      </c>
      <c r="DA24" s="55">
        <f t="shared" si="31"/>
        <v>85729.243600000002</v>
      </c>
      <c r="DB24" s="59">
        <f t="shared" si="105"/>
        <v>283403.73349288001</v>
      </c>
      <c r="DC24" s="60">
        <f t="shared" si="32"/>
        <v>83380.497199999998</v>
      </c>
      <c r="DD24" s="59">
        <f t="shared" si="106"/>
        <v>275639.24764376</v>
      </c>
      <c r="DE24" s="60">
        <f t="shared" si="33"/>
        <v>81031.750799999994</v>
      </c>
      <c r="DF24" s="59">
        <f t="shared" si="107"/>
        <v>267874.76179463998</v>
      </c>
      <c r="DG24" s="60">
        <f t="shared" si="34"/>
        <v>78683.004399999991</v>
      </c>
      <c r="DH24" s="59">
        <f t="shared" si="108"/>
        <v>260110.27594551997</v>
      </c>
      <c r="DI24" s="60">
        <f t="shared" si="35"/>
        <v>76334.257999999987</v>
      </c>
      <c r="DJ24" s="59">
        <f t="shared" si="109"/>
        <v>252345.79009639996</v>
      </c>
      <c r="DK24" s="55">
        <f t="shared" si="36"/>
        <v>73985.511599999983</v>
      </c>
      <c r="DL24" s="59">
        <f t="shared" si="110"/>
        <v>244581.30424727994</v>
      </c>
      <c r="DM24" s="60">
        <f t="shared" si="37"/>
        <v>71636.76519999998</v>
      </c>
      <c r="DN24" s="59">
        <f t="shared" si="111"/>
        <v>236816.81839815993</v>
      </c>
      <c r="DO24" s="60">
        <f t="shared" si="38"/>
        <v>69288.018799999976</v>
      </c>
      <c r="DP24" s="59">
        <f t="shared" si="112"/>
        <v>229052.33254903991</v>
      </c>
      <c r="DQ24" s="55">
        <f t="shared" si="39"/>
        <v>66939.272399999987</v>
      </c>
      <c r="DR24" s="59">
        <f t="shared" si="113"/>
        <v>221287.84669991996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106867.96120000002</v>
      </c>
      <c r="ES24" s="55">
        <f t="shared" si="116"/>
        <v>106867.96120000002</v>
      </c>
      <c r="ET24" s="59">
        <f t="shared" si="117"/>
        <v>353284.10613496008</v>
      </c>
      <c r="EU24" s="55">
        <f t="shared" si="118"/>
        <v>103661.92236400001</v>
      </c>
      <c r="EV24" s="59">
        <f t="shared" si="119"/>
        <v>342685.58295091125</v>
      </c>
      <c r="EW24" s="55">
        <f t="shared" si="120"/>
        <v>101524.56314000001</v>
      </c>
      <c r="EX24" s="59">
        <f t="shared" si="121"/>
        <v>335619.90082821203</v>
      </c>
      <c r="EY24" s="55">
        <f t="shared" si="41"/>
        <v>99387.203916000028</v>
      </c>
      <c r="EZ24" s="59">
        <f t="shared" si="122"/>
        <v>328554.21870551287</v>
      </c>
      <c r="FA24" s="57">
        <f t="shared" si="42"/>
        <v>97249.844692000028</v>
      </c>
      <c r="FB24" s="59">
        <f t="shared" si="123"/>
        <v>321488.53658281371</v>
      </c>
      <c r="FC24" s="55">
        <f t="shared" si="43"/>
        <v>95112.485468000013</v>
      </c>
      <c r="FD24" s="59">
        <f t="shared" si="124"/>
        <v>314422.85446011444</v>
      </c>
      <c r="FE24" s="57">
        <f t="shared" si="44"/>
        <v>92975.126244000014</v>
      </c>
      <c r="FF24" s="59">
        <f t="shared" si="125"/>
        <v>307357.17233741528</v>
      </c>
      <c r="FG24" s="60">
        <f t="shared" si="45"/>
        <v>90837.767020000014</v>
      </c>
      <c r="FH24" s="59">
        <f t="shared" si="126"/>
        <v>300291.49021471606</v>
      </c>
      <c r="FI24" s="57">
        <f t="shared" si="46"/>
        <v>88700.407796000014</v>
      </c>
      <c r="FJ24" s="59">
        <f t="shared" si="127"/>
        <v>293225.80809201684</v>
      </c>
      <c r="FK24" s="55">
        <f t="shared" si="47"/>
        <v>86563.048572000014</v>
      </c>
      <c r="FL24" s="59">
        <f t="shared" si="128"/>
        <v>286160.12596931763</v>
      </c>
      <c r="FM24" s="60">
        <f t="shared" si="48"/>
        <v>84425.689348000014</v>
      </c>
      <c r="FN24" s="59">
        <f t="shared" si="129"/>
        <v>279094.44384661847</v>
      </c>
      <c r="FO24" s="60">
        <f t="shared" si="49"/>
        <v>82288.330124</v>
      </c>
      <c r="FP24" s="59">
        <f t="shared" si="130"/>
        <v>272028.76172391919</v>
      </c>
      <c r="FQ24" s="60">
        <f t="shared" si="50"/>
        <v>80150.9709</v>
      </c>
      <c r="FR24" s="59">
        <f t="shared" si="131"/>
        <v>264963.07960122003</v>
      </c>
      <c r="FS24" s="55">
        <f t="shared" si="51"/>
        <v>78013.611676</v>
      </c>
      <c r="FT24" s="59">
        <f t="shared" si="132"/>
        <v>257897.39747852081</v>
      </c>
      <c r="FU24" s="60">
        <f t="shared" si="52"/>
        <v>75876.252452000001</v>
      </c>
      <c r="FV24" s="59">
        <f t="shared" si="133"/>
        <v>250831.71535582159</v>
      </c>
      <c r="FW24" s="60">
        <f t="shared" si="53"/>
        <v>73738.893228000001</v>
      </c>
      <c r="FX24" s="59">
        <f t="shared" si="134"/>
        <v>243766.03323312241</v>
      </c>
      <c r="FY24" s="60">
        <f t="shared" si="54"/>
        <v>71601.534004000001</v>
      </c>
      <c r="FZ24" s="59">
        <f t="shared" si="135"/>
        <v>236700.35111042322</v>
      </c>
      <c r="GA24" s="60">
        <f t="shared" si="55"/>
        <v>69464.174779999987</v>
      </c>
      <c r="GB24" s="59">
        <f t="shared" si="136"/>
        <v>229634.66898772397</v>
      </c>
      <c r="GC24" s="55">
        <f t="shared" si="56"/>
        <v>67326.815555999987</v>
      </c>
      <c r="GD24" s="59">
        <f t="shared" si="137"/>
        <v>222568.98686502475</v>
      </c>
      <c r="GE24" s="60">
        <f t="shared" si="57"/>
        <v>65189.456331999987</v>
      </c>
      <c r="GF24" s="59">
        <f t="shared" si="138"/>
        <v>215503.30474232556</v>
      </c>
      <c r="GG24" s="60">
        <f t="shared" si="58"/>
        <v>63052.097107999987</v>
      </c>
      <c r="GH24" s="59">
        <f t="shared" si="139"/>
        <v>208437.62261962637</v>
      </c>
      <c r="GI24" s="55">
        <f t="shared" si="59"/>
        <v>60914.73788399998</v>
      </c>
      <c r="GJ24" s="59">
        <f t="shared" si="140"/>
        <v>201371.94049692713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206880</v>
      </c>
      <c r="E25" s="67">
        <f t="shared" si="0"/>
        <v>683900</v>
      </c>
      <c r="H25" s="55">
        <f t="shared" si="61"/>
        <v>752290.00000000012</v>
      </c>
      <c r="I25" s="55">
        <f t="shared" si="62"/>
        <v>752290.00000000012</v>
      </c>
      <c r="J25" s="59">
        <f t="shared" si="63"/>
        <v>2486920.2820000006</v>
      </c>
      <c r="K25" s="55">
        <f t="shared" si="64"/>
        <v>729721.3</v>
      </c>
      <c r="L25" s="59">
        <f t="shared" si="65"/>
        <v>2412312.6735400003</v>
      </c>
      <c r="M25" s="55">
        <f t="shared" si="66"/>
        <v>714675.50000000012</v>
      </c>
      <c r="N25" s="59">
        <f t="shared" si="67"/>
        <v>2362574.2679000003</v>
      </c>
      <c r="O25" s="55">
        <f t="shared" si="1"/>
        <v>699629.70000000019</v>
      </c>
      <c r="P25" s="59">
        <f t="shared" si="68"/>
        <v>2312835.8622600008</v>
      </c>
      <c r="Q25" s="57">
        <f t="shared" si="2"/>
        <v>684583.90000000014</v>
      </c>
      <c r="R25" s="59">
        <f t="shared" si="69"/>
        <v>2263097.4566200003</v>
      </c>
      <c r="S25" s="55">
        <f t="shared" si="3"/>
        <v>669538.10000000009</v>
      </c>
      <c r="T25" s="59">
        <f t="shared" si="70"/>
        <v>2213359.0509800003</v>
      </c>
      <c r="U25" s="57">
        <f t="shared" si="4"/>
        <v>654492.30000000005</v>
      </c>
      <c r="V25" s="59">
        <f t="shared" si="71"/>
        <v>2163620.6453400003</v>
      </c>
      <c r="W25" s="60">
        <f t="shared" si="5"/>
        <v>639446.50000000012</v>
      </c>
      <c r="X25" s="59">
        <f t="shared" si="72"/>
        <v>2113882.2397000003</v>
      </c>
      <c r="Y25" s="57">
        <f t="shared" si="6"/>
        <v>624400.70000000007</v>
      </c>
      <c r="Z25" s="59">
        <f t="shared" si="73"/>
        <v>2064143.8340600003</v>
      </c>
      <c r="AA25" s="55">
        <f t="shared" si="7"/>
        <v>609354.9</v>
      </c>
      <c r="AB25" s="59">
        <f t="shared" si="74"/>
        <v>2014405.42842</v>
      </c>
      <c r="AC25" s="60">
        <f t="shared" si="8"/>
        <v>594309.10000000009</v>
      </c>
      <c r="AD25" s="59">
        <f t="shared" si="75"/>
        <v>1964667.0227800005</v>
      </c>
      <c r="AE25" s="60">
        <f t="shared" si="9"/>
        <v>579263.30000000005</v>
      </c>
      <c r="AF25" s="59">
        <f t="shared" si="76"/>
        <v>1914928.6171400002</v>
      </c>
      <c r="AG25" s="60">
        <f t="shared" si="10"/>
        <v>564217.5</v>
      </c>
      <c r="AH25" s="59">
        <f t="shared" si="77"/>
        <v>1865190.2115</v>
      </c>
      <c r="AI25" s="55">
        <f t="shared" si="11"/>
        <v>549171.69999999995</v>
      </c>
      <c r="AJ25" s="59">
        <f t="shared" si="78"/>
        <v>1815451.80586</v>
      </c>
      <c r="AK25" s="60">
        <f t="shared" si="12"/>
        <v>534125.9</v>
      </c>
      <c r="AL25" s="59">
        <f t="shared" si="79"/>
        <v>1765713.4002200002</v>
      </c>
      <c r="AM25" s="60">
        <f t="shared" si="13"/>
        <v>519080.1</v>
      </c>
      <c r="AN25" s="59">
        <f t="shared" si="80"/>
        <v>1715974.9945799999</v>
      </c>
      <c r="AO25" s="60">
        <f t="shared" si="14"/>
        <v>504034.29999999993</v>
      </c>
      <c r="AP25" s="59">
        <f t="shared" si="81"/>
        <v>1666236.5889399997</v>
      </c>
      <c r="AQ25" s="60">
        <f t="shared" si="15"/>
        <v>488988.49999999994</v>
      </c>
      <c r="AR25" s="59">
        <f t="shared" si="82"/>
        <v>1616498.1832999999</v>
      </c>
      <c r="AS25" s="55">
        <f t="shared" si="16"/>
        <v>473942.6999999999</v>
      </c>
      <c r="AT25" s="59">
        <f t="shared" si="83"/>
        <v>1566759.7776599997</v>
      </c>
      <c r="AU25" s="60">
        <f t="shared" si="17"/>
        <v>458896.89999999991</v>
      </c>
      <c r="AV25" s="59">
        <f t="shared" si="84"/>
        <v>1517021.3720199997</v>
      </c>
      <c r="AW25" s="60">
        <f t="shared" si="18"/>
        <v>443851.09999999986</v>
      </c>
      <c r="AX25" s="59">
        <f t="shared" si="85"/>
        <v>1467282.9663799996</v>
      </c>
      <c r="AY25" s="55">
        <f t="shared" si="19"/>
        <v>428805.29999999987</v>
      </c>
      <c r="AZ25" s="59">
        <f t="shared" si="86"/>
        <v>1417544.5607399996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684583.90000000014</v>
      </c>
      <c r="CA25" s="55">
        <f t="shared" si="89"/>
        <v>684583.90000000014</v>
      </c>
      <c r="CB25" s="59">
        <f t="shared" si="90"/>
        <v>2263097.4566200003</v>
      </c>
      <c r="CC25" s="55">
        <f t="shared" si="91"/>
        <v>664046.38300000015</v>
      </c>
      <c r="CD25" s="59">
        <f t="shared" si="92"/>
        <v>2195204.5329214004</v>
      </c>
      <c r="CE25" s="55">
        <f t="shared" si="93"/>
        <v>650354.70500000007</v>
      </c>
      <c r="CF25" s="59">
        <f t="shared" si="94"/>
        <v>2149942.5837890003</v>
      </c>
      <c r="CG25" s="55">
        <f t="shared" si="21"/>
        <v>636663.02700000012</v>
      </c>
      <c r="CH25" s="59">
        <f t="shared" si="95"/>
        <v>2104680.6346566007</v>
      </c>
      <c r="CI25" s="57">
        <f t="shared" si="22"/>
        <v>622971.34900000016</v>
      </c>
      <c r="CJ25" s="59">
        <f t="shared" si="96"/>
        <v>2059418.6855242006</v>
      </c>
      <c r="CK25" s="55">
        <f t="shared" si="23"/>
        <v>609279.67100000009</v>
      </c>
      <c r="CL25" s="59">
        <f t="shared" si="97"/>
        <v>2014156.7363918005</v>
      </c>
      <c r="CM25" s="57">
        <f t="shared" si="24"/>
        <v>595587.99300000013</v>
      </c>
      <c r="CN25" s="59">
        <f t="shared" si="98"/>
        <v>1968894.7872594006</v>
      </c>
      <c r="CO25" s="60">
        <f t="shared" si="25"/>
        <v>581896.31500000006</v>
      </c>
      <c r="CP25" s="59">
        <f t="shared" si="99"/>
        <v>1923632.8381270003</v>
      </c>
      <c r="CQ25" s="57">
        <f t="shared" si="26"/>
        <v>568204.6370000001</v>
      </c>
      <c r="CR25" s="59">
        <f t="shared" si="100"/>
        <v>1878370.8889946004</v>
      </c>
      <c r="CS25" s="55">
        <f t="shared" si="27"/>
        <v>554512.95900000003</v>
      </c>
      <c r="CT25" s="59">
        <f t="shared" si="101"/>
        <v>1833108.9398622001</v>
      </c>
      <c r="CU25" s="60">
        <f t="shared" si="28"/>
        <v>540821.28100000008</v>
      </c>
      <c r="CV25" s="59">
        <f t="shared" si="102"/>
        <v>1787846.9907298002</v>
      </c>
      <c r="CW25" s="60">
        <f t="shared" si="29"/>
        <v>527129.603</v>
      </c>
      <c r="CX25" s="59">
        <f t="shared" si="103"/>
        <v>1742585.0415974001</v>
      </c>
      <c r="CY25" s="60">
        <f t="shared" si="30"/>
        <v>513437.92500000005</v>
      </c>
      <c r="CZ25" s="59">
        <f t="shared" si="104"/>
        <v>1697323.0924650002</v>
      </c>
      <c r="DA25" s="55">
        <f t="shared" si="31"/>
        <v>499746.24700000003</v>
      </c>
      <c r="DB25" s="59">
        <f t="shared" si="105"/>
        <v>1652061.1433326001</v>
      </c>
      <c r="DC25" s="60">
        <f t="shared" si="32"/>
        <v>486054.56900000002</v>
      </c>
      <c r="DD25" s="59">
        <f t="shared" si="106"/>
        <v>1606799.1942002</v>
      </c>
      <c r="DE25" s="60">
        <f t="shared" si="33"/>
        <v>472362.891</v>
      </c>
      <c r="DF25" s="59">
        <f t="shared" si="107"/>
        <v>1561537.2450677999</v>
      </c>
      <c r="DG25" s="60">
        <f t="shared" si="34"/>
        <v>458671.21299999999</v>
      </c>
      <c r="DH25" s="59">
        <f t="shared" si="108"/>
        <v>1516275.2959354001</v>
      </c>
      <c r="DI25" s="60">
        <f t="shared" si="35"/>
        <v>444979.53499999997</v>
      </c>
      <c r="DJ25" s="59">
        <f t="shared" si="109"/>
        <v>1471013.346803</v>
      </c>
      <c r="DK25" s="55">
        <f t="shared" si="36"/>
        <v>431287.85699999996</v>
      </c>
      <c r="DL25" s="59">
        <f t="shared" si="110"/>
        <v>1425751.3976705999</v>
      </c>
      <c r="DM25" s="60">
        <f t="shared" si="37"/>
        <v>417596.17899999995</v>
      </c>
      <c r="DN25" s="59">
        <f t="shared" si="111"/>
        <v>1380489.4485381998</v>
      </c>
      <c r="DO25" s="60">
        <f t="shared" si="38"/>
        <v>403904.50099999993</v>
      </c>
      <c r="DP25" s="59">
        <f t="shared" si="112"/>
        <v>1335227.4994057999</v>
      </c>
      <c r="DQ25" s="55">
        <f t="shared" si="39"/>
        <v>390212.82299999992</v>
      </c>
      <c r="DR25" s="59">
        <f t="shared" si="113"/>
        <v>1289965.5502733998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622971.34900000016</v>
      </c>
      <c r="ES25" s="55">
        <f t="shared" si="116"/>
        <v>622971.34900000016</v>
      </c>
      <c r="ET25" s="59">
        <f t="shared" si="117"/>
        <v>2059418.6855242006</v>
      </c>
      <c r="EU25" s="55">
        <f t="shared" si="118"/>
        <v>604282.20853000018</v>
      </c>
      <c r="EV25" s="59">
        <f t="shared" si="119"/>
        <v>1997636.1249584747</v>
      </c>
      <c r="EW25" s="55">
        <f t="shared" si="120"/>
        <v>591822.78155000007</v>
      </c>
      <c r="EX25" s="59">
        <f t="shared" si="121"/>
        <v>1956447.7512479902</v>
      </c>
      <c r="EY25" s="55">
        <f t="shared" si="41"/>
        <v>579363.3545700002</v>
      </c>
      <c r="EZ25" s="59">
        <f t="shared" si="122"/>
        <v>1915259.3775375066</v>
      </c>
      <c r="FA25" s="57">
        <f t="shared" si="42"/>
        <v>566903.92759000021</v>
      </c>
      <c r="FB25" s="59">
        <f t="shared" si="123"/>
        <v>1874071.0038270226</v>
      </c>
      <c r="FC25" s="55">
        <f t="shared" si="43"/>
        <v>554444.5006100001</v>
      </c>
      <c r="FD25" s="59">
        <f t="shared" si="124"/>
        <v>1832882.6301165384</v>
      </c>
      <c r="FE25" s="57">
        <f t="shared" si="44"/>
        <v>541985.07363000012</v>
      </c>
      <c r="FF25" s="59">
        <f t="shared" si="125"/>
        <v>1791694.2564060544</v>
      </c>
      <c r="FG25" s="60">
        <f t="shared" si="45"/>
        <v>529525.64665000013</v>
      </c>
      <c r="FH25" s="59">
        <f t="shared" si="126"/>
        <v>1750505.8826955704</v>
      </c>
      <c r="FI25" s="57">
        <f t="shared" si="46"/>
        <v>517066.21967000014</v>
      </c>
      <c r="FJ25" s="59">
        <f t="shared" si="127"/>
        <v>1709317.5089850866</v>
      </c>
      <c r="FK25" s="55">
        <f t="shared" si="47"/>
        <v>504606.79269000009</v>
      </c>
      <c r="FL25" s="59">
        <f t="shared" si="128"/>
        <v>1668129.1352746023</v>
      </c>
      <c r="FM25" s="60">
        <f t="shared" si="48"/>
        <v>492147.3657100001</v>
      </c>
      <c r="FN25" s="59">
        <f t="shared" si="129"/>
        <v>1626940.7615641183</v>
      </c>
      <c r="FO25" s="60">
        <f t="shared" si="49"/>
        <v>479687.93873000005</v>
      </c>
      <c r="FP25" s="59">
        <f t="shared" si="130"/>
        <v>1585752.3878536343</v>
      </c>
      <c r="FQ25" s="60">
        <f t="shared" si="50"/>
        <v>467228.51175000006</v>
      </c>
      <c r="FR25" s="59">
        <f t="shared" si="131"/>
        <v>1544564.0141431503</v>
      </c>
      <c r="FS25" s="55">
        <f t="shared" si="51"/>
        <v>454769.08477000002</v>
      </c>
      <c r="FT25" s="59">
        <f t="shared" si="132"/>
        <v>1503375.6404326661</v>
      </c>
      <c r="FU25" s="60">
        <f t="shared" si="52"/>
        <v>442309.65779000003</v>
      </c>
      <c r="FV25" s="59">
        <f t="shared" si="133"/>
        <v>1462187.266722182</v>
      </c>
      <c r="FW25" s="60">
        <f t="shared" si="53"/>
        <v>429850.23081000004</v>
      </c>
      <c r="FX25" s="59">
        <f t="shared" si="134"/>
        <v>1420998.8930116983</v>
      </c>
      <c r="FY25" s="60">
        <f t="shared" si="54"/>
        <v>417390.80382999999</v>
      </c>
      <c r="FZ25" s="59">
        <f t="shared" si="135"/>
        <v>1379810.519301214</v>
      </c>
      <c r="GA25" s="60">
        <f t="shared" si="55"/>
        <v>404931.37685</v>
      </c>
      <c r="GB25" s="59">
        <f t="shared" si="136"/>
        <v>1338622.14559073</v>
      </c>
      <c r="GC25" s="55">
        <f t="shared" si="56"/>
        <v>392471.94986999995</v>
      </c>
      <c r="GD25" s="59">
        <f t="shared" si="137"/>
        <v>1297433.7718802458</v>
      </c>
      <c r="GE25" s="60">
        <f t="shared" si="57"/>
        <v>380012.52288999996</v>
      </c>
      <c r="GF25" s="59">
        <f t="shared" si="138"/>
        <v>1256245.398169762</v>
      </c>
      <c r="GG25" s="60">
        <f t="shared" si="58"/>
        <v>367553.09590999992</v>
      </c>
      <c r="GH25" s="59">
        <f t="shared" si="139"/>
        <v>1215057.0244592777</v>
      </c>
      <c r="GI25" s="55">
        <f t="shared" si="59"/>
        <v>355093.66892999993</v>
      </c>
      <c r="GJ25" s="59">
        <f t="shared" si="140"/>
        <v>1173868.6507487937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0</v>
      </c>
      <c r="E26" s="67">
        <f t="shared" si="0"/>
        <v>0</v>
      </c>
      <c r="H26" s="55">
        <f t="shared" si="61"/>
        <v>0</v>
      </c>
      <c r="I26" s="55">
        <f t="shared" si="62"/>
        <v>0</v>
      </c>
      <c r="J26" s="59">
        <f t="shared" si="63"/>
        <v>0</v>
      </c>
      <c r="K26" s="55">
        <f t="shared" si="64"/>
        <v>0</v>
      </c>
      <c r="L26" s="59">
        <f t="shared" si="65"/>
        <v>0</v>
      </c>
      <c r="M26" s="55">
        <f t="shared" si="66"/>
        <v>0</v>
      </c>
      <c r="N26" s="59">
        <f t="shared" si="67"/>
        <v>0</v>
      </c>
      <c r="O26" s="55">
        <f t="shared" si="1"/>
        <v>0</v>
      </c>
      <c r="P26" s="59">
        <f t="shared" si="68"/>
        <v>0</v>
      </c>
      <c r="Q26" s="57">
        <f t="shared" si="2"/>
        <v>0</v>
      </c>
      <c r="R26" s="59">
        <f t="shared" si="69"/>
        <v>0</v>
      </c>
      <c r="S26" s="55">
        <f t="shared" si="3"/>
        <v>0</v>
      </c>
      <c r="T26" s="59">
        <f t="shared" si="70"/>
        <v>0</v>
      </c>
      <c r="U26" s="57">
        <f t="shared" si="4"/>
        <v>0</v>
      </c>
      <c r="V26" s="59">
        <f t="shared" si="71"/>
        <v>0</v>
      </c>
      <c r="W26" s="60">
        <f t="shared" si="5"/>
        <v>0</v>
      </c>
      <c r="X26" s="59">
        <f t="shared" si="72"/>
        <v>0</v>
      </c>
      <c r="Y26" s="57">
        <f t="shared" si="6"/>
        <v>0</v>
      </c>
      <c r="Z26" s="59">
        <f t="shared" si="73"/>
        <v>0</v>
      </c>
      <c r="AA26" s="55">
        <f t="shared" si="7"/>
        <v>0</v>
      </c>
      <c r="AB26" s="59">
        <f t="shared" si="74"/>
        <v>0</v>
      </c>
      <c r="AC26" s="60">
        <f t="shared" si="8"/>
        <v>0</v>
      </c>
      <c r="AD26" s="59">
        <f t="shared" si="75"/>
        <v>0</v>
      </c>
      <c r="AE26" s="60">
        <f t="shared" si="9"/>
        <v>0</v>
      </c>
      <c r="AF26" s="59">
        <f t="shared" si="76"/>
        <v>0</v>
      </c>
      <c r="AG26" s="60">
        <f t="shared" si="10"/>
        <v>0</v>
      </c>
      <c r="AH26" s="59">
        <f t="shared" si="77"/>
        <v>0</v>
      </c>
      <c r="AI26" s="55">
        <f t="shared" si="11"/>
        <v>0</v>
      </c>
      <c r="AJ26" s="59">
        <f t="shared" si="78"/>
        <v>0</v>
      </c>
      <c r="AK26" s="60">
        <f t="shared" si="12"/>
        <v>0</v>
      </c>
      <c r="AL26" s="59">
        <f t="shared" si="79"/>
        <v>0</v>
      </c>
      <c r="AM26" s="60">
        <f t="shared" si="13"/>
        <v>0</v>
      </c>
      <c r="AN26" s="59">
        <f t="shared" si="80"/>
        <v>0</v>
      </c>
      <c r="AO26" s="60">
        <f t="shared" si="14"/>
        <v>0</v>
      </c>
      <c r="AP26" s="59">
        <f t="shared" si="81"/>
        <v>0</v>
      </c>
      <c r="AQ26" s="60">
        <f t="shared" si="15"/>
        <v>0</v>
      </c>
      <c r="AR26" s="59">
        <f t="shared" si="82"/>
        <v>0</v>
      </c>
      <c r="AS26" s="55">
        <f t="shared" si="16"/>
        <v>0</v>
      </c>
      <c r="AT26" s="59">
        <f t="shared" si="83"/>
        <v>0</v>
      </c>
      <c r="AU26" s="60">
        <f t="shared" si="17"/>
        <v>0</v>
      </c>
      <c r="AV26" s="59">
        <f t="shared" si="84"/>
        <v>0</v>
      </c>
      <c r="AW26" s="60">
        <f t="shared" si="18"/>
        <v>0</v>
      </c>
      <c r="AX26" s="59">
        <f t="shared" si="85"/>
        <v>0</v>
      </c>
      <c r="AY26" s="55">
        <f t="shared" si="19"/>
        <v>0</v>
      </c>
      <c r="AZ26" s="59">
        <f t="shared" si="86"/>
        <v>0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0</v>
      </c>
      <c r="CA26" s="55">
        <f t="shared" si="89"/>
        <v>0</v>
      </c>
      <c r="CB26" s="59">
        <f t="shared" si="90"/>
        <v>0</v>
      </c>
      <c r="CC26" s="55">
        <f t="shared" si="91"/>
        <v>0</v>
      </c>
      <c r="CD26" s="59">
        <f t="shared" si="92"/>
        <v>0</v>
      </c>
      <c r="CE26" s="55">
        <f t="shared" si="93"/>
        <v>0</v>
      </c>
      <c r="CF26" s="59">
        <f t="shared" si="94"/>
        <v>0</v>
      </c>
      <c r="CG26" s="55">
        <f t="shared" si="21"/>
        <v>0</v>
      </c>
      <c r="CH26" s="59">
        <f t="shared" si="95"/>
        <v>0</v>
      </c>
      <c r="CI26" s="57">
        <f t="shared" si="22"/>
        <v>0</v>
      </c>
      <c r="CJ26" s="59">
        <f t="shared" si="96"/>
        <v>0</v>
      </c>
      <c r="CK26" s="55">
        <f t="shared" si="23"/>
        <v>0</v>
      </c>
      <c r="CL26" s="59">
        <f t="shared" si="97"/>
        <v>0</v>
      </c>
      <c r="CM26" s="57">
        <f t="shared" si="24"/>
        <v>0</v>
      </c>
      <c r="CN26" s="59">
        <f t="shared" si="98"/>
        <v>0</v>
      </c>
      <c r="CO26" s="60">
        <f t="shared" si="25"/>
        <v>0</v>
      </c>
      <c r="CP26" s="59">
        <f t="shared" si="99"/>
        <v>0</v>
      </c>
      <c r="CQ26" s="57">
        <f t="shared" si="26"/>
        <v>0</v>
      </c>
      <c r="CR26" s="59">
        <f t="shared" si="100"/>
        <v>0</v>
      </c>
      <c r="CS26" s="55">
        <f t="shared" si="27"/>
        <v>0</v>
      </c>
      <c r="CT26" s="59">
        <f t="shared" si="101"/>
        <v>0</v>
      </c>
      <c r="CU26" s="60">
        <f t="shared" si="28"/>
        <v>0</v>
      </c>
      <c r="CV26" s="59">
        <f t="shared" si="102"/>
        <v>0</v>
      </c>
      <c r="CW26" s="60">
        <f t="shared" si="29"/>
        <v>0</v>
      </c>
      <c r="CX26" s="59">
        <f t="shared" si="103"/>
        <v>0</v>
      </c>
      <c r="CY26" s="60">
        <f t="shared" si="30"/>
        <v>0</v>
      </c>
      <c r="CZ26" s="59">
        <f t="shared" si="104"/>
        <v>0</v>
      </c>
      <c r="DA26" s="55">
        <f t="shared" si="31"/>
        <v>0</v>
      </c>
      <c r="DB26" s="59">
        <f t="shared" si="105"/>
        <v>0</v>
      </c>
      <c r="DC26" s="60">
        <f t="shared" si="32"/>
        <v>0</v>
      </c>
      <c r="DD26" s="59">
        <f t="shared" si="106"/>
        <v>0</v>
      </c>
      <c r="DE26" s="60">
        <f t="shared" si="33"/>
        <v>0</v>
      </c>
      <c r="DF26" s="59">
        <f t="shared" si="107"/>
        <v>0</v>
      </c>
      <c r="DG26" s="60">
        <f t="shared" si="34"/>
        <v>0</v>
      </c>
      <c r="DH26" s="59">
        <f t="shared" si="108"/>
        <v>0</v>
      </c>
      <c r="DI26" s="60">
        <f t="shared" si="35"/>
        <v>0</v>
      </c>
      <c r="DJ26" s="59">
        <f t="shared" si="109"/>
        <v>0</v>
      </c>
      <c r="DK26" s="55">
        <f t="shared" si="36"/>
        <v>0</v>
      </c>
      <c r="DL26" s="59">
        <f t="shared" si="110"/>
        <v>0</v>
      </c>
      <c r="DM26" s="60">
        <f t="shared" si="37"/>
        <v>0</v>
      </c>
      <c r="DN26" s="59">
        <f t="shared" si="111"/>
        <v>0</v>
      </c>
      <c r="DO26" s="60">
        <f t="shared" si="38"/>
        <v>0</v>
      </c>
      <c r="DP26" s="59">
        <f t="shared" si="112"/>
        <v>0</v>
      </c>
      <c r="DQ26" s="55">
        <f t="shared" si="39"/>
        <v>0</v>
      </c>
      <c r="DR26" s="59">
        <f t="shared" si="113"/>
        <v>0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0</v>
      </c>
      <c r="ES26" s="55">
        <f t="shared" si="116"/>
        <v>0</v>
      </c>
      <c r="ET26" s="59">
        <f t="shared" si="117"/>
        <v>0</v>
      </c>
      <c r="EU26" s="55">
        <f t="shared" si="118"/>
        <v>0</v>
      </c>
      <c r="EV26" s="59">
        <f t="shared" si="119"/>
        <v>0</v>
      </c>
      <c r="EW26" s="55">
        <f t="shared" si="120"/>
        <v>0</v>
      </c>
      <c r="EX26" s="59">
        <f t="shared" si="121"/>
        <v>0</v>
      </c>
      <c r="EY26" s="55">
        <f t="shared" si="41"/>
        <v>0</v>
      </c>
      <c r="EZ26" s="59">
        <f t="shared" si="122"/>
        <v>0</v>
      </c>
      <c r="FA26" s="57">
        <f t="shared" si="42"/>
        <v>0</v>
      </c>
      <c r="FB26" s="59">
        <f t="shared" si="123"/>
        <v>0</v>
      </c>
      <c r="FC26" s="55">
        <f t="shared" si="43"/>
        <v>0</v>
      </c>
      <c r="FD26" s="59">
        <f t="shared" si="124"/>
        <v>0</v>
      </c>
      <c r="FE26" s="57">
        <f t="shared" si="44"/>
        <v>0</v>
      </c>
      <c r="FF26" s="59">
        <f t="shared" si="125"/>
        <v>0</v>
      </c>
      <c r="FG26" s="60">
        <f t="shared" si="45"/>
        <v>0</v>
      </c>
      <c r="FH26" s="59">
        <f t="shared" si="126"/>
        <v>0</v>
      </c>
      <c r="FI26" s="57">
        <f t="shared" si="46"/>
        <v>0</v>
      </c>
      <c r="FJ26" s="59">
        <f t="shared" si="127"/>
        <v>0</v>
      </c>
      <c r="FK26" s="55">
        <f t="shared" si="47"/>
        <v>0</v>
      </c>
      <c r="FL26" s="59">
        <f t="shared" si="128"/>
        <v>0</v>
      </c>
      <c r="FM26" s="60">
        <f t="shared" si="48"/>
        <v>0</v>
      </c>
      <c r="FN26" s="59">
        <f t="shared" si="129"/>
        <v>0</v>
      </c>
      <c r="FO26" s="60">
        <f t="shared" si="49"/>
        <v>0</v>
      </c>
      <c r="FP26" s="59">
        <f t="shared" si="130"/>
        <v>0</v>
      </c>
      <c r="FQ26" s="60">
        <f t="shared" si="50"/>
        <v>0</v>
      </c>
      <c r="FR26" s="59">
        <f t="shared" si="131"/>
        <v>0</v>
      </c>
      <c r="FS26" s="55">
        <f t="shared" si="51"/>
        <v>0</v>
      </c>
      <c r="FT26" s="59">
        <f t="shared" si="132"/>
        <v>0</v>
      </c>
      <c r="FU26" s="60">
        <f t="shared" si="52"/>
        <v>0</v>
      </c>
      <c r="FV26" s="59">
        <f t="shared" si="133"/>
        <v>0</v>
      </c>
      <c r="FW26" s="60">
        <f t="shared" si="53"/>
        <v>0</v>
      </c>
      <c r="FX26" s="59">
        <f t="shared" si="134"/>
        <v>0</v>
      </c>
      <c r="FY26" s="60">
        <f t="shared" si="54"/>
        <v>0</v>
      </c>
      <c r="FZ26" s="59">
        <f t="shared" si="135"/>
        <v>0</v>
      </c>
      <c r="GA26" s="60">
        <f t="shared" si="55"/>
        <v>0</v>
      </c>
      <c r="GB26" s="59">
        <f t="shared" si="136"/>
        <v>0</v>
      </c>
      <c r="GC26" s="55">
        <f t="shared" si="56"/>
        <v>0</v>
      </c>
      <c r="GD26" s="59">
        <f t="shared" si="137"/>
        <v>0</v>
      </c>
      <c r="GE26" s="60">
        <f t="shared" si="57"/>
        <v>0</v>
      </c>
      <c r="GF26" s="59">
        <f t="shared" si="138"/>
        <v>0</v>
      </c>
      <c r="GG26" s="60">
        <f t="shared" si="58"/>
        <v>0</v>
      </c>
      <c r="GH26" s="59">
        <f t="shared" si="139"/>
        <v>0</v>
      </c>
      <c r="GI26" s="55">
        <f t="shared" si="59"/>
        <v>0</v>
      </c>
      <c r="GJ26" s="59">
        <f t="shared" si="140"/>
        <v>0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156</v>
      </c>
      <c r="D27" s="53">
        <f>TRUNC(SUM(D18:D26)*0.275,-1)</f>
        <v>499570</v>
      </c>
      <c r="E27" s="68">
        <f t="shared" si="0"/>
        <v>1651470</v>
      </c>
      <c r="H27" s="55">
        <f t="shared" si="61"/>
        <v>1816617.0000000002</v>
      </c>
      <c r="I27" s="55">
        <f t="shared" si="62"/>
        <v>1816617.0000000002</v>
      </c>
      <c r="J27" s="59">
        <f t="shared" si="63"/>
        <v>6005372.478600001</v>
      </c>
      <c r="K27" s="55">
        <f t="shared" si="64"/>
        <v>1762118.4900000002</v>
      </c>
      <c r="L27" s="59">
        <f t="shared" si="65"/>
        <v>5825211.3042420009</v>
      </c>
      <c r="M27" s="55">
        <f t="shared" si="66"/>
        <v>1725786.1500000001</v>
      </c>
      <c r="N27" s="59">
        <f t="shared" si="67"/>
        <v>5705103.8546700003</v>
      </c>
      <c r="O27" s="55">
        <f t="shared" si="1"/>
        <v>1689453.8100000003</v>
      </c>
      <c r="P27" s="59">
        <f t="shared" si="68"/>
        <v>5584996.4050980015</v>
      </c>
      <c r="Q27" s="57">
        <f t="shared" si="2"/>
        <v>1653121.4700000002</v>
      </c>
      <c r="R27" s="59">
        <f t="shared" si="69"/>
        <v>5464888.9555260008</v>
      </c>
      <c r="S27" s="55">
        <f t="shared" si="3"/>
        <v>1616789.1300000001</v>
      </c>
      <c r="T27" s="59">
        <f t="shared" si="70"/>
        <v>5344781.5059540002</v>
      </c>
      <c r="U27" s="57">
        <f t="shared" si="4"/>
        <v>1580456.7900000003</v>
      </c>
      <c r="V27" s="59">
        <f t="shared" si="71"/>
        <v>5224674.0563820014</v>
      </c>
      <c r="W27" s="60">
        <f t="shared" si="5"/>
        <v>1544124.4500000002</v>
      </c>
      <c r="X27" s="59">
        <f t="shared" si="72"/>
        <v>5104566.6068100007</v>
      </c>
      <c r="Y27" s="57">
        <f t="shared" si="6"/>
        <v>1507792.11</v>
      </c>
      <c r="Z27" s="59">
        <f t="shared" si="73"/>
        <v>4984459.1572380001</v>
      </c>
      <c r="AA27" s="55">
        <f t="shared" si="7"/>
        <v>1471459.77</v>
      </c>
      <c r="AB27" s="59">
        <f t="shared" si="74"/>
        <v>4864351.7076660004</v>
      </c>
      <c r="AC27" s="60">
        <f t="shared" si="8"/>
        <v>1435127.43</v>
      </c>
      <c r="AD27" s="59">
        <f t="shared" si="75"/>
        <v>4744244.2580939997</v>
      </c>
      <c r="AE27" s="60">
        <f t="shared" si="9"/>
        <v>1398795.09</v>
      </c>
      <c r="AF27" s="59">
        <f t="shared" si="76"/>
        <v>4624136.808522</v>
      </c>
      <c r="AG27" s="60">
        <f t="shared" si="10"/>
        <v>1362462.75</v>
      </c>
      <c r="AH27" s="59">
        <f t="shared" si="77"/>
        <v>4504029.3589500003</v>
      </c>
      <c r="AI27" s="55">
        <f t="shared" si="11"/>
        <v>1326130.4099999999</v>
      </c>
      <c r="AJ27" s="59">
        <f t="shared" si="78"/>
        <v>4383921.9093779996</v>
      </c>
      <c r="AK27" s="60">
        <f t="shared" si="12"/>
        <v>1289798.0699999998</v>
      </c>
      <c r="AL27" s="59">
        <f t="shared" si="79"/>
        <v>4263814.4598059999</v>
      </c>
      <c r="AM27" s="60">
        <f t="shared" si="13"/>
        <v>1253465.7299999997</v>
      </c>
      <c r="AN27" s="59">
        <f t="shared" si="80"/>
        <v>4143707.0102339992</v>
      </c>
      <c r="AO27" s="60">
        <f t="shared" si="14"/>
        <v>1217133.3899999999</v>
      </c>
      <c r="AP27" s="59">
        <f t="shared" si="81"/>
        <v>4023599.560662</v>
      </c>
      <c r="AQ27" s="60">
        <f t="shared" si="15"/>
        <v>1180801.0499999998</v>
      </c>
      <c r="AR27" s="59">
        <f t="shared" si="82"/>
        <v>3903492.1110899993</v>
      </c>
      <c r="AS27" s="55">
        <f t="shared" si="16"/>
        <v>1144468.7099999997</v>
      </c>
      <c r="AT27" s="59">
        <f t="shared" si="83"/>
        <v>3783384.6615179991</v>
      </c>
      <c r="AU27" s="60">
        <f t="shared" si="17"/>
        <v>1108136.3699999996</v>
      </c>
      <c r="AV27" s="59">
        <f t="shared" si="84"/>
        <v>3663277.2119459989</v>
      </c>
      <c r="AW27" s="60">
        <f t="shared" si="18"/>
        <v>1071804.0299999996</v>
      </c>
      <c r="AX27" s="59">
        <f t="shared" si="85"/>
        <v>3543169.7623739988</v>
      </c>
      <c r="AY27" s="55">
        <f t="shared" si="19"/>
        <v>1035471.6899999996</v>
      </c>
      <c r="AZ27" s="59">
        <f t="shared" si="86"/>
        <v>3423062.3128019986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1271631.9000000001</v>
      </c>
      <c r="CA27" s="55">
        <f t="shared" si="89"/>
        <v>1271631.9000000001</v>
      </c>
      <c r="CB27" s="59">
        <f t="shared" si="90"/>
        <v>4203760.7350200005</v>
      </c>
      <c r="CC27" s="55">
        <f t="shared" si="91"/>
        <v>1233482.9430000002</v>
      </c>
      <c r="CD27" s="59">
        <f t="shared" si="92"/>
        <v>4077647.9129694006</v>
      </c>
      <c r="CE27" s="55">
        <f t="shared" si="93"/>
        <v>1208050.3050000002</v>
      </c>
      <c r="CF27" s="59">
        <f t="shared" si="94"/>
        <v>3993572.6982690007</v>
      </c>
      <c r="CG27" s="55">
        <f t="shared" si="21"/>
        <v>1182617.6670000001</v>
      </c>
      <c r="CH27" s="59">
        <f t="shared" si="95"/>
        <v>3909497.4835686004</v>
      </c>
      <c r="CI27" s="57">
        <f t="shared" si="22"/>
        <v>1157185.0290000001</v>
      </c>
      <c r="CJ27" s="59">
        <f t="shared" si="96"/>
        <v>3825422.2688682005</v>
      </c>
      <c r="CK27" s="55">
        <f t="shared" si="23"/>
        <v>1131752.3910000001</v>
      </c>
      <c r="CL27" s="59">
        <f t="shared" si="97"/>
        <v>3741347.0541678001</v>
      </c>
      <c r="CM27" s="57">
        <f t="shared" si="24"/>
        <v>1106319.753</v>
      </c>
      <c r="CN27" s="59">
        <f t="shared" si="98"/>
        <v>3657271.8394674002</v>
      </c>
      <c r="CO27" s="60">
        <f t="shared" si="25"/>
        <v>1080887.115</v>
      </c>
      <c r="CP27" s="59">
        <f t="shared" si="99"/>
        <v>3573196.6247669999</v>
      </c>
      <c r="CQ27" s="57">
        <f t="shared" si="26"/>
        <v>1055454.477</v>
      </c>
      <c r="CR27" s="59">
        <f t="shared" si="100"/>
        <v>3489121.4100666</v>
      </c>
      <c r="CS27" s="55">
        <f t="shared" si="27"/>
        <v>1030021.839</v>
      </c>
      <c r="CT27" s="59">
        <f t="shared" si="101"/>
        <v>3405046.1953662001</v>
      </c>
      <c r="CU27" s="60">
        <f t="shared" si="28"/>
        <v>1004589.201</v>
      </c>
      <c r="CV27" s="59">
        <f t="shared" si="102"/>
        <v>3320970.9806658002</v>
      </c>
      <c r="CW27" s="60">
        <f t="shared" si="29"/>
        <v>979156.56299999997</v>
      </c>
      <c r="CX27" s="59">
        <f t="shared" si="103"/>
        <v>3236895.7659653998</v>
      </c>
      <c r="CY27" s="60">
        <f t="shared" si="30"/>
        <v>953723.92499999993</v>
      </c>
      <c r="CZ27" s="59">
        <f t="shared" si="104"/>
        <v>3152820.5512649999</v>
      </c>
      <c r="DA27" s="55">
        <f t="shared" si="31"/>
        <v>928291.28699999989</v>
      </c>
      <c r="DB27" s="59">
        <f t="shared" si="105"/>
        <v>3068745.3365645995</v>
      </c>
      <c r="DC27" s="60">
        <f t="shared" si="32"/>
        <v>902858.64899999986</v>
      </c>
      <c r="DD27" s="59">
        <f t="shared" si="106"/>
        <v>2984670.1218641996</v>
      </c>
      <c r="DE27" s="60">
        <f t="shared" si="33"/>
        <v>877426.01099999994</v>
      </c>
      <c r="DF27" s="59">
        <f t="shared" si="107"/>
        <v>2900594.9071637997</v>
      </c>
      <c r="DG27" s="60">
        <f t="shared" si="34"/>
        <v>851993.37299999991</v>
      </c>
      <c r="DH27" s="59">
        <f t="shared" si="108"/>
        <v>2816519.6924633998</v>
      </c>
      <c r="DI27" s="60">
        <f t="shared" si="35"/>
        <v>826560.73499999987</v>
      </c>
      <c r="DJ27" s="59">
        <f t="shared" si="109"/>
        <v>2732444.4777629995</v>
      </c>
      <c r="DK27" s="55">
        <f t="shared" si="36"/>
        <v>801128.09699999983</v>
      </c>
      <c r="DL27" s="59">
        <f t="shared" si="110"/>
        <v>2648369.2630625996</v>
      </c>
      <c r="DM27" s="60">
        <f t="shared" si="37"/>
        <v>775695.4589999998</v>
      </c>
      <c r="DN27" s="59">
        <f t="shared" si="111"/>
        <v>2564294.0483621992</v>
      </c>
      <c r="DO27" s="60">
        <f t="shared" si="38"/>
        <v>750262.82099999976</v>
      </c>
      <c r="DP27" s="59">
        <f t="shared" si="112"/>
        <v>2480218.8336617993</v>
      </c>
      <c r="DQ27" s="55">
        <f t="shared" si="39"/>
        <v>724830.18299999973</v>
      </c>
      <c r="DR27" s="59">
        <f t="shared" si="113"/>
        <v>2396143.618961399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890142.33000000007</v>
      </c>
      <c r="ES27" s="55">
        <f t="shared" si="116"/>
        <v>890142.33000000007</v>
      </c>
      <c r="ET27" s="59">
        <f t="shared" si="117"/>
        <v>2942632.5145140002</v>
      </c>
      <c r="EU27" s="55">
        <f t="shared" si="118"/>
        <v>863438.0601</v>
      </c>
      <c r="EV27" s="59">
        <f t="shared" si="119"/>
        <v>2854353.5390785802</v>
      </c>
      <c r="EW27" s="55">
        <f t="shared" si="120"/>
        <v>845635.21350000007</v>
      </c>
      <c r="EX27" s="59">
        <f t="shared" si="121"/>
        <v>2795500.8887883001</v>
      </c>
      <c r="EY27" s="55">
        <f t="shared" si="41"/>
        <v>827832.36690000014</v>
      </c>
      <c r="EZ27" s="59">
        <f t="shared" si="122"/>
        <v>2736648.2384980205</v>
      </c>
      <c r="FA27" s="57">
        <f t="shared" si="42"/>
        <v>810029.52030000009</v>
      </c>
      <c r="FB27" s="59">
        <f t="shared" si="123"/>
        <v>2677795.5882077403</v>
      </c>
      <c r="FC27" s="55">
        <f t="shared" si="43"/>
        <v>792226.67370000004</v>
      </c>
      <c r="FD27" s="59">
        <f t="shared" si="124"/>
        <v>2618942.9379174602</v>
      </c>
      <c r="FE27" s="57">
        <f t="shared" si="44"/>
        <v>774423.82710000011</v>
      </c>
      <c r="FF27" s="59">
        <f t="shared" si="125"/>
        <v>2560090.2876271806</v>
      </c>
      <c r="FG27" s="60">
        <f t="shared" si="45"/>
        <v>756620.98050000006</v>
      </c>
      <c r="FH27" s="59">
        <f t="shared" si="126"/>
        <v>2501237.6373369005</v>
      </c>
      <c r="FI27" s="57">
        <f t="shared" si="46"/>
        <v>738818.13390000002</v>
      </c>
      <c r="FJ27" s="59">
        <f t="shared" si="127"/>
        <v>2442384.9870466199</v>
      </c>
      <c r="FK27" s="55">
        <f t="shared" si="47"/>
        <v>721015.28729999997</v>
      </c>
      <c r="FL27" s="59">
        <f t="shared" si="128"/>
        <v>2383532.3367563398</v>
      </c>
      <c r="FM27" s="60">
        <f t="shared" si="48"/>
        <v>703212.44070000004</v>
      </c>
      <c r="FN27" s="59">
        <f t="shared" si="129"/>
        <v>2324679.6864660601</v>
      </c>
      <c r="FO27" s="60">
        <f t="shared" si="49"/>
        <v>685409.59409999999</v>
      </c>
      <c r="FP27" s="59">
        <f t="shared" si="130"/>
        <v>2265827.03617578</v>
      </c>
      <c r="FQ27" s="60">
        <f t="shared" si="50"/>
        <v>667606.74749999994</v>
      </c>
      <c r="FR27" s="59">
        <f t="shared" si="131"/>
        <v>2206974.3858854999</v>
      </c>
      <c r="FS27" s="55">
        <f t="shared" si="51"/>
        <v>649803.90089999989</v>
      </c>
      <c r="FT27" s="59">
        <f t="shared" si="132"/>
        <v>2148121.7355952198</v>
      </c>
      <c r="FU27" s="60">
        <f t="shared" si="52"/>
        <v>632001.05429999996</v>
      </c>
      <c r="FV27" s="59">
        <f t="shared" si="133"/>
        <v>2089269.0853049399</v>
      </c>
      <c r="FW27" s="60">
        <f t="shared" si="53"/>
        <v>614198.20769999991</v>
      </c>
      <c r="FX27" s="59">
        <f t="shared" si="134"/>
        <v>2030416.4350146598</v>
      </c>
      <c r="FY27" s="60">
        <f t="shared" si="54"/>
        <v>596395.36109999986</v>
      </c>
      <c r="FZ27" s="59">
        <f t="shared" si="135"/>
        <v>1971563.7847243797</v>
      </c>
      <c r="GA27" s="60">
        <f t="shared" si="55"/>
        <v>578592.51449999982</v>
      </c>
      <c r="GB27" s="59">
        <f t="shared" si="136"/>
        <v>1912711.1344340995</v>
      </c>
      <c r="GC27" s="55">
        <f t="shared" si="56"/>
        <v>560789.66789999988</v>
      </c>
      <c r="GD27" s="59">
        <f t="shared" si="137"/>
        <v>1853858.4841438197</v>
      </c>
      <c r="GE27" s="60">
        <f t="shared" si="57"/>
        <v>542986.82129999984</v>
      </c>
      <c r="GF27" s="59">
        <f t="shared" si="138"/>
        <v>1795005.8338535395</v>
      </c>
      <c r="GG27" s="60">
        <f t="shared" si="58"/>
        <v>525183.97469999979</v>
      </c>
      <c r="GH27" s="59">
        <f t="shared" si="139"/>
        <v>1736153.1835632594</v>
      </c>
      <c r="GI27" s="55">
        <f t="shared" si="59"/>
        <v>507381.1280999998</v>
      </c>
      <c r="GJ27" s="59">
        <f t="shared" si="140"/>
        <v>1677300.5332729793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2316210</v>
      </c>
      <c r="E28" s="44">
        <f>SUM(E18:E27)</f>
        <v>7656890</v>
      </c>
      <c r="H28" s="55">
        <f t="shared" si="61"/>
        <v>8422579</v>
      </c>
      <c r="I28" s="55">
        <f t="shared" si="62"/>
        <v>8422579</v>
      </c>
      <c r="J28" s="59">
        <f t="shared" si="63"/>
        <v>27843361.658199999</v>
      </c>
      <c r="K28" s="55">
        <f t="shared" si="64"/>
        <v>8169901.6299999999</v>
      </c>
      <c r="L28" s="59">
        <f t="shared" si="65"/>
        <v>27008060.808453999</v>
      </c>
      <c r="M28" s="55">
        <f t="shared" si="66"/>
        <v>8001450.0499999998</v>
      </c>
      <c r="N28" s="59">
        <f t="shared" si="67"/>
        <v>26451193.575289998</v>
      </c>
      <c r="O28" s="55">
        <f t="shared" si="1"/>
        <v>7832998.4700000007</v>
      </c>
      <c r="P28" s="59">
        <f t="shared" si="68"/>
        <v>25894326.342126004</v>
      </c>
      <c r="Q28" s="57">
        <f t="shared" si="2"/>
        <v>7664546.8900000006</v>
      </c>
      <c r="R28" s="59">
        <f t="shared" si="69"/>
        <v>25337459.108962003</v>
      </c>
      <c r="S28" s="55">
        <f t="shared" si="3"/>
        <v>7496095.3100000005</v>
      </c>
      <c r="T28" s="59">
        <f t="shared" si="70"/>
        <v>24780591.875798002</v>
      </c>
      <c r="U28" s="57">
        <f t="shared" si="4"/>
        <v>7327643.7299999995</v>
      </c>
      <c r="V28" s="59">
        <f t="shared" si="71"/>
        <v>24223724.642634001</v>
      </c>
      <c r="W28" s="60">
        <f t="shared" si="5"/>
        <v>7159192.1499999994</v>
      </c>
      <c r="X28" s="59">
        <f t="shared" si="72"/>
        <v>23666857.409469999</v>
      </c>
      <c r="Y28" s="57">
        <f t="shared" si="6"/>
        <v>6990740.5699999994</v>
      </c>
      <c r="Z28" s="59">
        <f t="shared" si="73"/>
        <v>23109990.176305998</v>
      </c>
      <c r="AA28" s="55">
        <f t="shared" si="7"/>
        <v>6822288.9899999993</v>
      </c>
      <c r="AB28" s="59">
        <f t="shared" si="74"/>
        <v>22553122.943141997</v>
      </c>
      <c r="AC28" s="60">
        <f t="shared" si="8"/>
        <v>6653837.4099999992</v>
      </c>
      <c r="AD28" s="59">
        <f t="shared" si="75"/>
        <v>21996255.709977999</v>
      </c>
      <c r="AE28" s="60">
        <f t="shared" si="9"/>
        <v>6485385.8299999991</v>
      </c>
      <c r="AF28" s="59">
        <f t="shared" si="76"/>
        <v>21439388.476813998</v>
      </c>
      <c r="AG28" s="60">
        <f t="shared" si="10"/>
        <v>6316934.2499999991</v>
      </c>
      <c r="AH28" s="59">
        <f t="shared" si="77"/>
        <v>20882521.243649997</v>
      </c>
      <c r="AI28" s="55">
        <f t="shared" si="11"/>
        <v>6148482.669999999</v>
      </c>
      <c r="AJ28" s="59">
        <f t="shared" si="78"/>
        <v>20325654.010485996</v>
      </c>
      <c r="AK28" s="60">
        <f t="shared" si="12"/>
        <v>5980031.0899999989</v>
      </c>
      <c r="AL28" s="59">
        <f t="shared" si="79"/>
        <v>19768786.777321998</v>
      </c>
      <c r="AM28" s="60">
        <f t="shared" si="13"/>
        <v>5811579.5099999988</v>
      </c>
      <c r="AN28" s="59">
        <f t="shared" si="80"/>
        <v>19211919.544157997</v>
      </c>
      <c r="AO28" s="60">
        <f t="shared" si="14"/>
        <v>5643127.9299999988</v>
      </c>
      <c r="AP28" s="59">
        <f t="shared" si="81"/>
        <v>18655052.310993996</v>
      </c>
      <c r="AQ28" s="60">
        <f t="shared" si="15"/>
        <v>5474676.3499999987</v>
      </c>
      <c r="AR28" s="59">
        <f t="shared" si="82"/>
        <v>18098185.077829994</v>
      </c>
      <c r="AS28" s="55">
        <f t="shared" si="16"/>
        <v>5306224.7699999986</v>
      </c>
      <c r="AT28" s="59">
        <f t="shared" si="83"/>
        <v>17541317.844665997</v>
      </c>
      <c r="AU28" s="60">
        <f t="shared" si="17"/>
        <v>5137773.1899999976</v>
      </c>
      <c r="AV28" s="59">
        <f t="shared" si="84"/>
        <v>16984450.611501992</v>
      </c>
      <c r="AW28" s="60">
        <f t="shared" si="18"/>
        <v>4969321.6099999975</v>
      </c>
      <c r="AX28" s="59">
        <f t="shared" si="85"/>
        <v>16427583.378337992</v>
      </c>
      <c r="AY28" s="55">
        <f t="shared" si="19"/>
        <v>4800870.0299999975</v>
      </c>
      <c r="AZ28" s="59">
        <f t="shared" si="86"/>
        <v>15870716.145173991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7283057.3200000022</v>
      </c>
      <c r="CA28" s="55">
        <f t="shared" si="89"/>
        <v>7283057.3200000022</v>
      </c>
      <c r="CB28" s="59">
        <f t="shared" si="90"/>
        <v>24076330.888456009</v>
      </c>
      <c r="CC28" s="55">
        <f t="shared" si="91"/>
        <v>7064565.6004000017</v>
      </c>
      <c r="CD28" s="59">
        <f t="shared" si="92"/>
        <v>23354040.961802326</v>
      </c>
      <c r="CE28" s="55">
        <f t="shared" si="93"/>
        <v>6918904.4540000018</v>
      </c>
      <c r="CF28" s="59">
        <f t="shared" si="94"/>
        <v>22872514.344033208</v>
      </c>
      <c r="CG28" s="55">
        <f t="shared" si="21"/>
        <v>6773243.3076000027</v>
      </c>
      <c r="CH28" s="59">
        <f t="shared" si="95"/>
        <v>22390987.726264089</v>
      </c>
      <c r="CI28" s="57">
        <f t="shared" si="22"/>
        <v>6627582.1612000018</v>
      </c>
      <c r="CJ28" s="59">
        <f t="shared" si="96"/>
        <v>21909461.108494967</v>
      </c>
      <c r="CK28" s="55">
        <f t="shared" si="23"/>
        <v>6481921.0148000019</v>
      </c>
      <c r="CL28" s="59">
        <f t="shared" si="97"/>
        <v>21427934.490725845</v>
      </c>
      <c r="CM28" s="57">
        <f t="shared" si="24"/>
        <v>6336259.8684000019</v>
      </c>
      <c r="CN28" s="59">
        <f t="shared" si="98"/>
        <v>20946407.872956727</v>
      </c>
      <c r="CO28" s="60">
        <f t="shared" si="25"/>
        <v>6190598.7220000019</v>
      </c>
      <c r="CP28" s="59">
        <f t="shared" si="99"/>
        <v>20464881.255187608</v>
      </c>
      <c r="CQ28" s="57">
        <f t="shared" si="26"/>
        <v>6044937.575600002</v>
      </c>
      <c r="CR28" s="59">
        <f t="shared" si="100"/>
        <v>19983354.637418486</v>
      </c>
      <c r="CS28" s="55">
        <f t="shared" si="27"/>
        <v>5899276.4292000011</v>
      </c>
      <c r="CT28" s="59">
        <f t="shared" si="101"/>
        <v>19501828.019649364</v>
      </c>
      <c r="CU28" s="60">
        <f t="shared" si="28"/>
        <v>5753615.2828000011</v>
      </c>
      <c r="CV28" s="59">
        <f t="shared" si="102"/>
        <v>19020301.401880246</v>
      </c>
      <c r="CW28" s="60">
        <f t="shared" si="29"/>
        <v>5607954.1364000011</v>
      </c>
      <c r="CX28" s="59">
        <f t="shared" si="103"/>
        <v>18538774.784111124</v>
      </c>
      <c r="CY28" s="60">
        <f t="shared" si="30"/>
        <v>5462292.9900000012</v>
      </c>
      <c r="CZ28" s="59">
        <f t="shared" si="104"/>
        <v>18057248.166342005</v>
      </c>
      <c r="DA28" s="55">
        <f t="shared" si="31"/>
        <v>5316631.8436000003</v>
      </c>
      <c r="DB28" s="59">
        <f t="shared" si="105"/>
        <v>17575721.548572883</v>
      </c>
      <c r="DC28" s="60">
        <f t="shared" si="32"/>
        <v>5170970.6972000003</v>
      </c>
      <c r="DD28" s="59">
        <f t="shared" si="106"/>
        <v>17094194.930803761</v>
      </c>
      <c r="DE28" s="60">
        <f t="shared" si="33"/>
        <v>5025309.5508000003</v>
      </c>
      <c r="DF28" s="59">
        <f t="shared" si="107"/>
        <v>16612668.313034641</v>
      </c>
      <c r="DG28" s="60">
        <f t="shared" si="34"/>
        <v>4879648.4044000003</v>
      </c>
      <c r="DH28" s="59">
        <f t="shared" si="108"/>
        <v>16131141.695265522</v>
      </c>
      <c r="DI28" s="60">
        <f t="shared" si="35"/>
        <v>4733987.2580000004</v>
      </c>
      <c r="DJ28" s="59">
        <f t="shared" si="109"/>
        <v>15649615.077496402</v>
      </c>
      <c r="DK28" s="55">
        <f t="shared" si="36"/>
        <v>4588326.1115999995</v>
      </c>
      <c r="DL28" s="59">
        <f t="shared" si="110"/>
        <v>15168088.459727278</v>
      </c>
      <c r="DM28" s="60">
        <f t="shared" si="37"/>
        <v>4442664.9651999995</v>
      </c>
      <c r="DN28" s="59">
        <f t="shared" si="111"/>
        <v>14686561.84195816</v>
      </c>
      <c r="DO28" s="60">
        <f t="shared" si="38"/>
        <v>4297003.8187999995</v>
      </c>
      <c r="DP28" s="59">
        <f t="shared" si="112"/>
        <v>14205035.224189039</v>
      </c>
      <c r="DQ28" s="55">
        <f t="shared" si="39"/>
        <v>4151342.6723999991</v>
      </c>
      <c r="DR28" s="59">
        <f t="shared" si="113"/>
        <v>13723508.606419917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6360539.4622000009</v>
      </c>
      <c r="ES28" s="55">
        <f t="shared" si="116"/>
        <v>6360539.4622000009</v>
      </c>
      <c r="ET28" s="59">
        <f t="shared" si="117"/>
        <v>21026671.354140762</v>
      </c>
      <c r="EU28" s="55">
        <f t="shared" si="118"/>
        <v>6169723.2783340011</v>
      </c>
      <c r="EV28" s="59">
        <f t="shared" si="119"/>
        <v>20395871.213516541</v>
      </c>
      <c r="EW28" s="55">
        <f t="shared" si="120"/>
        <v>6042512.4890900003</v>
      </c>
      <c r="EX28" s="59">
        <f t="shared" si="121"/>
        <v>19975337.786433723</v>
      </c>
      <c r="EY28" s="55">
        <f t="shared" si="41"/>
        <v>5915301.6998460013</v>
      </c>
      <c r="EZ28" s="59">
        <f t="shared" si="122"/>
        <v>19554804.359350912</v>
      </c>
      <c r="FA28" s="57">
        <f t="shared" si="42"/>
        <v>5788090.9106020005</v>
      </c>
      <c r="FB28" s="59">
        <f t="shared" si="123"/>
        <v>19134270.932268094</v>
      </c>
      <c r="FC28" s="55">
        <f t="shared" si="43"/>
        <v>5660880.1213580007</v>
      </c>
      <c r="FD28" s="59">
        <f t="shared" si="124"/>
        <v>18713737.50518528</v>
      </c>
      <c r="FE28" s="57">
        <f t="shared" si="44"/>
        <v>5533669.3321140008</v>
      </c>
      <c r="FF28" s="59">
        <f t="shared" si="125"/>
        <v>18293204.078102466</v>
      </c>
      <c r="FG28" s="60">
        <f t="shared" si="45"/>
        <v>5406458.5428700009</v>
      </c>
      <c r="FH28" s="59">
        <f t="shared" si="126"/>
        <v>17872670.651019648</v>
      </c>
      <c r="FI28" s="57">
        <f t="shared" si="46"/>
        <v>5279247.7536260001</v>
      </c>
      <c r="FJ28" s="59">
        <f t="shared" si="127"/>
        <v>17452137.223936833</v>
      </c>
      <c r="FK28" s="55">
        <f t="shared" si="47"/>
        <v>5152036.9643820003</v>
      </c>
      <c r="FL28" s="59">
        <f t="shared" si="128"/>
        <v>17031603.796854015</v>
      </c>
      <c r="FM28" s="60">
        <f t="shared" si="48"/>
        <v>5024826.1751380004</v>
      </c>
      <c r="FN28" s="59">
        <f t="shared" si="129"/>
        <v>16611070.369771201</v>
      </c>
      <c r="FO28" s="60">
        <f t="shared" si="49"/>
        <v>4897615.3858940005</v>
      </c>
      <c r="FP28" s="59">
        <f t="shared" si="130"/>
        <v>16190536.942688387</v>
      </c>
      <c r="FQ28" s="60">
        <f t="shared" si="50"/>
        <v>4770404.5966499997</v>
      </c>
      <c r="FR28" s="59">
        <f t="shared" si="131"/>
        <v>15770003.515605569</v>
      </c>
      <c r="FS28" s="55">
        <f t="shared" si="51"/>
        <v>4643193.8074059999</v>
      </c>
      <c r="FT28" s="59">
        <f t="shared" si="132"/>
        <v>15349470.088522755</v>
      </c>
      <c r="FU28" s="60">
        <f t="shared" si="52"/>
        <v>4515983.018162</v>
      </c>
      <c r="FV28" s="59">
        <f t="shared" si="133"/>
        <v>14928936.66143994</v>
      </c>
      <c r="FW28" s="60">
        <f t="shared" si="53"/>
        <v>4388772.2289179992</v>
      </c>
      <c r="FX28" s="59">
        <f t="shared" si="134"/>
        <v>14508403.234357122</v>
      </c>
      <c r="FY28" s="60">
        <f t="shared" si="54"/>
        <v>4261561.4396739993</v>
      </c>
      <c r="FZ28" s="59">
        <f t="shared" si="135"/>
        <v>14087869.807274308</v>
      </c>
      <c r="GA28" s="60">
        <f t="shared" si="55"/>
        <v>4134350.6504299995</v>
      </c>
      <c r="GB28" s="59">
        <f t="shared" si="136"/>
        <v>13667336.380191492</v>
      </c>
      <c r="GC28" s="55">
        <f t="shared" si="56"/>
        <v>4007139.8611859991</v>
      </c>
      <c r="GD28" s="59">
        <f t="shared" si="137"/>
        <v>13246802.953108676</v>
      </c>
      <c r="GE28" s="60">
        <f t="shared" si="57"/>
        <v>3879929.0719419993</v>
      </c>
      <c r="GF28" s="59">
        <f t="shared" si="138"/>
        <v>12826269.526025862</v>
      </c>
      <c r="GG28" s="60">
        <f t="shared" si="58"/>
        <v>3752718.2826979989</v>
      </c>
      <c r="GH28" s="59">
        <f t="shared" si="139"/>
        <v>12405736.098943045</v>
      </c>
      <c r="GI28" s="55">
        <f t="shared" si="59"/>
        <v>3625507.4934539986</v>
      </c>
      <c r="GJ28" s="59">
        <f t="shared" si="140"/>
        <v>11985202.671860229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274</v>
      </c>
      <c r="R29" s="61"/>
      <c r="S29" s="61" t="s">
        <v>275</v>
      </c>
      <c r="T29" s="62"/>
      <c r="U29" s="61" t="s">
        <v>276</v>
      </c>
      <c r="V29" s="63"/>
      <c r="W29" s="61" t="s">
        <v>277</v>
      </c>
      <c r="X29" s="62"/>
      <c r="Y29" s="61" t="s">
        <v>278</v>
      </c>
      <c r="Z29" s="61"/>
      <c r="AA29" s="61" t="s">
        <v>279</v>
      </c>
      <c r="AB29" s="63"/>
      <c r="AC29" s="61" t="s">
        <v>280</v>
      </c>
      <c r="AD29" s="63"/>
      <c r="AE29" s="61" t="s">
        <v>281</v>
      </c>
      <c r="AF29" s="63"/>
      <c r="AG29" s="61" t="s">
        <v>282</v>
      </c>
      <c r="AH29" s="61"/>
      <c r="AI29" s="61" t="s">
        <v>283</v>
      </c>
      <c r="AJ29" s="63"/>
      <c r="AK29" s="61" t="s">
        <v>284</v>
      </c>
      <c r="AL29" s="63"/>
      <c r="AM29" s="61" t="s">
        <v>285</v>
      </c>
      <c r="AN29" s="63"/>
      <c r="AO29" s="61" t="s">
        <v>286</v>
      </c>
      <c r="AP29" s="63"/>
      <c r="AQ29" s="61" t="s">
        <v>287</v>
      </c>
      <c r="AR29" s="61"/>
      <c r="AS29" s="61" t="s">
        <v>288</v>
      </c>
      <c r="AT29" s="63"/>
      <c r="AU29" s="61" t="s">
        <v>289</v>
      </c>
      <c r="AV29" s="63"/>
      <c r="AW29" s="61" t="s">
        <v>290</v>
      </c>
      <c r="AX29" s="61"/>
      <c r="AY29" s="61" t="s">
        <v>291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274</v>
      </c>
      <c r="CJ29" s="61"/>
      <c r="CK29" s="61" t="s">
        <v>275</v>
      </c>
      <c r="CL29" s="62"/>
      <c r="CM29" s="61" t="s">
        <v>276</v>
      </c>
      <c r="CN29" s="63"/>
      <c r="CO29" s="61" t="s">
        <v>277</v>
      </c>
      <c r="CP29" s="62"/>
      <c r="CQ29" s="61" t="s">
        <v>278</v>
      </c>
      <c r="CR29" s="61"/>
      <c r="CS29" s="61" t="s">
        <v>279</v>
      </c>
      <c r="CT29" s="63"/>
      <c r="CU29" s="61" t="s">
        <v>280</v>
      </c>
      <c r="CV29" s="63"/>
      <c r="CW29" s="61" t="s">
        <v>281</v>
      </c>
      <c r="CX29" s="63"/>
      <c r="CY29" s="61" t="s">
        <v>282</v>
      </c>
      <c r="CZ29" s="61"/>
      <c r="DA29" s="61" t="s">
        <v>283</v>
      </c>
      <c r="DB29" s="63"/>
      <c r="DC29" s="61" t="s">
        <v>284</v>
      </c>
      <c r="DD29" s="63"/>
      <c r="DE29" s="61" t="s">
        <v>285</v>
      </c>
      <c r="DF29" s="63"/>
      <c r="DG29" s="61" t="s">
        <v>286</v>
      </c>
      <c r="DH29" s="63"/>
      <c r="DI29" s="61" t="s">
        <v>287</v>
      </c>
      <c r="DJ29" s="61"/>
      <c r="DK29" s="61" t="s">
        <v>288</v>
      </c>
      <c r="DL29" s="63"/>
      <c r="DM29" s="61" t="s">
        <v>289</v>
      </c>
      <c r="DN29" s="63"/>
      <c r="DO29" s="61" t="s">
        <v>290</v>
      </c>
      <c r="DP29" s="61"/>
      <c r="DQ29" s="61" t="s">
        <v>291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274</v>
      </c>
      <c r="FB29" s="61"/>
      <c r="FC29" s="61" t="s">
        <v>275</v>
      </c>
      <c r="FD29" s="62"/>
      <c r="FE29" s="61" t="s">
        <v>276</v>
      </c>
      <c r="FF29" s="63"/>
      <c r="FG29" s="61" t="s">
        <v>277</v>
      </c>
      <c r="FH29" s="62"/>
      <c r="FI29" s="61" t="s">
        <v>278</v>
      </c>
      <c r="FJ29" s="61"/>
      <c r="FK29" s="61" t="s">
        <v>279</v>
      </c>
      <c r="FL29" s="63"/>
      <c r="FM29" s="61" t="s">
        <v>280</v>
      </c>
      <c r="FN29" s="63"/>
      <c r="FO29" s="61" t="s">
        <v>281</v>
      </c>
      <c r="FP29" s="63"/>
      <c r="FQ29" s="61" t="s">
        <v>282</v>
      </c>
      <c r="FR29" s="61"/>
      <c r="FS29" s="61" t="s">
        <v>283</v>
      </c>
      <c r="FT29" s="63"/>
      <c r="FU29" s="61" t="s">
        <v>284</v>
      </c>
      <c r="FV29" s="63"/>
      <c r="FW29" s="61" t="s">
        <v>285</v>
      </c>
      <c r="FX29" s="63"/>
      <c r="FY29" s="61" t="s">
        <v>286</v>
      </c>
      <c r="FZ29" s="63"/>
      <c r="GA29" s="61" t="s">
        <v>287</v>
      </c>
      <c r="GB29" s="61"/>
      <c r="GC29" s="61" t="s">
        <v>288</v>
      </c>
      <c r="GD29" s="63"/>
      <c r="GE29" s="61" t="s">
        <v>289</v>
      </c>
      <c r="GF29" s="63"/>
      <c r="GG29" s="61" t="s">
        <v>290</v>
      </c>
      <c r="GH29" s="61"/>
      <c r="GI29" s="61" t="s">
        <v>291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294</v>
      </c>
      <c r="D30" s="65" t="s">
        <v>272</v>
      </c>
      <c r="E30" s="65" t="s">
        <v>155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f>TRUNC(4160.41142103279,-1)</f>
        <v>4160</v>
      </c>
      <c r="E31" s="69">
        <f>TRUNC(+D31*3.3058,-1)</f>
        <v>13750</v>
      </c>
      <c r="H31" s="55">
        <f t="shared" si="61"/>
        <v>15125.000000000002</v>
      </c>
      <c r="I31" s="55">
        <f t="shared" si="62"/>
        <v>15125.000000000002</v>
      </c>
      <c r="J31" s="59">
        <f t="shared" si="63"/>
        <v>50000.225000000006</v>
      </c>
      <c r="K31" s="55">
        <f>+I31*BD31</f>
        <v>14671.250000000002</v>
      </c>
      <c r="L31" s="59">
        <f>+K31*3.3058</f>
        <v>48500.218250000005</v>
      </c>
      <c r="M31" s="55">
        <f>+I31*BE31</f>
        <v>14368.750000000002</v>
      </c>
      <c r="N31" s="59">
        <f>+M31*3.3058</f>
        <v>47500.21375000001</v>
      </c>
      <c r="O31" s="55">
        <f>+I31*BF31</f>
        <v>14066.250000000002</v>
      </c>
      <c r="P31" s="59">
        <f>+O31*3.3058</f>
        <v>46500.209250000007</v>
      </c>
      <c r="Q31" s="57">
        <f>+I31*BG31</f>
        <v>13763.750000000002</v>
      </c>
      <c r="R31" s="59">
        <f>+Q31*3.3058</f>
        <v>45500.204750000004</v>
      </c>
      <c r="S31" s="55">
        <f>+I31*BH31</f>
        <v>13461.250000000002</v>
      </c>
      <c r="T31" s="59">
        <f>+S31*3.3058</f>
        <v>44500.200250000009</v>
      </c>
      <c r="U31" s="57">
        <f>+I31*BI31</f>
        <v>13158.750000000002</v>
      </c>
      <c r="V31" s="59">
        <f>+U31*3.3058</f>
        <v>43500.195750000006</v>
      </c>
      <c r="W31" s="60">
        <f>+I31*BJ31</f>
        <v>12856.250000000002</v>
      </c>
      <c r="X31" s="59">
        <f>+W31*3.3058</f>
        <v>42500.191250000003</v>
      </c>
      <c r="Y31" s="57">
        <f>+I31*BK31</f>
        <v>12553.75</v>
      </c>
      <c r="Z31" s="59">
        <f>+Y31*3.3058</f>
        <v>41500.186750000001</v>
      </c>
      <c r="AA31" s="55">
        <f>+I31*BL31</f>
        <v>12251.25</v>
      </c>
      <c r="AB31" s="59">
        <f>+AA31*3.3058</f>
        <v>40500.182249999998</v>
      </c>
      <c r="AC31" s="60">
        <f>+I31*BM31</f>
        <v>11948.75</v>
      </c>
      <c r="AD31" s="59">
        <f>+AC31*3.3058</f>
        <v>39500.177750000003</v>
      </c>
      <c r="AE31" s="60">
        <f>+I31*BN31</f>
        <v>11646.25</v>
      </c>
      <c r="AF31" s="59">
        <f>+AE31*3.3058</f>
        <v>38500.17325</v>
      </c>
      <c r="AG31" s="60">
        <f>+I31*BO31</f>
        <v>11343.75</v>
      </c>
      <c r="AH31" s="59">
        <f>+AG31*3.3058</f>
        <v>37500.168750000004</v>
      </c>
      <c r="AI31" s="55">
        <f>+I31*BP31</f>
        <v>11041.25</v>
      </c>
      <c r="AJ31" s="59">
        <f>+AI31*3.3058</f>
        <v>36500.164250000002</v>
      </c>
      <c r="AK31" s="60">
        <f>+I31*BQ31</f>
        <v>10738.749999999998</v>
      </c>
      <c r="AL31" s="59">
        <f>+AK31*3.3058</f>
        <v>35500.159749999992</v>
      </c>
      <c r="AM31" s="60">
        <f>+I31*BR31</f>
        <v>10436.249999999998</v>
      </c>
      <c r="AN31" s="59">
        <f>+AM31*3.3058</f>
        <v>34500.155249999996</v>
      </c>
      <c r="AO31" s="60">
        <f>+I31*BS31</f>
        <v>10133.749999999998</v>
      </c>
      <c r="AP31" s="59">
        <f>+AO31*3.3058</f>
        <v>33500.150749999993</v>
      </c>
      <c r="AQ31" s="60">
        <f>+I31*BT31</f>
        <v>9831.2499999999982</v>
      </c>
      <c r="AR31" s="59">
        <f>+AQ31*3.3058</f>
        <v>32500.146249999994</v>
      </c>
      <c r="AS31" s="55">
        <f>+I31*BU31</f>
        <v>9528.7499999999982</v>
      </c>
      <c r="AT31" s="59">
        <f>+AS31*3.3058</f>
        <v>31500.141749999995</v>
      </c>
      <c r="AU31" s="60">
        <f>+I31*BV31</f>
        <v>9226.2499999999982</v>
      </c>
      <c r="AV31" s="59">
        <f>+AU31*3.3058</f>
        <v>30500.137249999996</v>
      </c>
      <c r="AW31" s="60">
        <f>+I31*BW31</f>
        <v>8923.7499999999964</v>
      </c>
      <c r="AX31" s="59">
        <f>+AW31*3.3058</f>
        <v>29500.13274999999</v>
      </c>
      <c r="AY31" s="55">
        <f>+I31*BX31</f>
        <v>8621.2499999999964</v>
      </c>
      <c r="AZ31" s="59">
        <f>+AY31*3.3058</f>
        <v>28500.128249999987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3">+BF31-0.02</f>
        <v>0.91</v>
      </c>
      <c r="BH31" s="55">
        <f t="shared" si="143"/>
        <v>0.89</v>
      </c>
      <c r="BI31" s="55">
        <f t="shared" si="143"/>
        <v>0.87</v>
      </c>
      <c r="BJ31" s="55">
        <f t="shared" si="143"/>
        <v>0.85</v>
      </c>
      <c r="BK31" s="55">
        <f t="shared" si="143"/>
        <v>0.83</v>
      </c>
      <c r="BL31" s="55">
        <f t="shared" si="143"/>
        <v>0.80999999999999994</v>
      </c>
      <c r="BM31" s="55">
        <f t="shared" si="143"/>
        <v>0.78999999999999992</v>
      </c>
      <c r="BN31" s="55">
        <f t="shared" si="143"/>
        <v>0.76999999999999991</v>
      </c>
      <c r="BO31" s="55">
        <f t="shared" si="143"/>
        <v>0.74999999999999989</v>
      </c>
      <c r="BP31" s="55">
        <f t="shared" si="143"/>
        <v>0.72999999999999987</v>
      </c>
      <c r="BQ31" s="55">
        <f t="shared" si="143"/>
        <v>0.70999999999999985</v>
      </c>
      <c r="BR31" s="55">
        <f t="shared" si="143"/>
        <v>0.68999999999999984</v>
      </c>
      <c r="BS31" s="55">
        <f t="shared" si="143"/>
        <v>0.66999999999999982</v>
      </c>
      <c r="BT31" s="55">
        <f t="shared" si="143"/>
        <v>0.6499999999999998</v>
      </c>
      <c r="BU31" s="55">
        <f t="shared" si="143"/>
        <v>0.62999999999999978</v>
      </c>
      <c r="BV31" s="55">
        <f t="shared" si="143"/>
        <v>0.60999999999999976</v>
      </c>
      <c r="BW31" s="55">
        <f t="shared" si="143"/>
        <v>0.58999999999999975</v>
      </c>
      <c r="BX31" s="55">
        <f t="shared" si="143"/>
        <v>0.56999999999999973</v>
      </c>
      <c r="BZ31" s="55">
        <f t="shared" si="88"/>
        <v>13763.750000000002</v>
      </c>
      <c r="CA31" s="55">
        <f t="shared" si="89"/>
        <v>13763.750000000002</v>
      </c>
      <c r="CB31" s="59">
        <f t="shared" ref="CB31" si="144">+CA31*3.3058</f>
        <v>45500.204750000004</v>
      </c>
      <c r="CC31" s="55">
        <f>+CA31*DV31</f>
        <v>13350.837500000001</v>
      </c>
      <c r="CD31" s="59">
        <f>+CC31*3.3058</f>
        <v>44135.198607500002</v>
      </c>
      <c r="CE31" s="55">
        <f>+CA31*DW31</f>
        <v>13075.562500000002</v>
      </c>
      <c r="CF31" s="59">
        <f>+CE31*3.3058</f>
        <v>43225.194512500006</v>
      </c>
      <c r="CG31" s="55">
        <f>+CA31*DX31</f>
        <v>12800.287500000002</v>
      </c>
      <c r="CH31" s="59">
        <f>+CG31*3.3058</f>
        <v>42315.190417500009</v>
      </c>
      <c r="CI31" s="57">
        <f>+CA31*DY31</f>
        <v>12525.012500000003</v>
      </c>
      <c r="CJ31" s="59">
        <f>+CI31*3.3058</f>
        <v>41405.186322500012</v>
      </c>
      <c r="CK31" s="55">
        <f>+CA31*DZ31</f>
        <v>12249.737500000001</v>
      </c>
      <c r="CL31" s="59">
        <f>+CK31*3.3058</f>
        <v>40495.182227500001</v>
      </c>
      <c r="CM31" s="57">
        <f>+CA31*EA31</f>
        <v>11974.462500000001</v>
      </c>
      <c r="CN31" s="59">
        <f>+CM31*3.3058</f>
        <v>39585.178132500005</v>
      </c>
      <c r="CO31" s="60">
        <f>+CA31*EB31</f>
        <v>11699.187500000002</v>
      </c>
      <c r="CP31" s="59">
        <f>+CO31*3.3058</f>
        <v>38675.174037500008</v>
      </c>
      <c r="CQ31" s="57">
        <f>+CA31*EC31</f>
        <v>11423.9125</v>
      </c>
      <c r="CR31" s="59">
        <f>+CQ31*3.3058</f>
        <v>37765.169942500004</v>
      </c>
      <c r="CS31" s="55">
        <f>+CA31*ED31</f>
        <v>11148.637500000001</v>
      </c>
      <c r="CT31" s="59">
        <f>+CS31*3.3058</f>
        <v>36855.1658475</v>
      </c>
      <c r="CU31" s="60">
        <f>+CA31*EE31</f>
        <v>10873.362500000001</v>
      </c>
      <c r="CV31" s="59">
        <f>+CU31*3.3058</f>
        <v>35945.161752500004</v>
      </c>
      <c r="CW31" s="60">
        <f>+CA31*EF31</f>
        <v>10598.0875</v>
      </c>
      <c r="CX31" s="59">
        <f>+CW31*3.3058</f>
        <v>35035.1576575</v>
      </c>
      <c r="CY31" s="60">
        <f>+CA31*EG31</f>
        <v>10322.8125</v>
      </c>
      <c r="CZ31" s="59">
        <f>+CY31*3.3058</f>
        <v>34125.153562500003</v>
      </c>
      <c r="DA31" s="55">
        <f>+CA31*EH31</f>
        <v>10047.5375</v>
      </c>
      <c r="DB31" s="59">
        <f>+DA31*3.3058</f>
        <v>33215.149467499999</v>
      </c>
      <c r="DC31" s="60">
        <f>+CA31*EI31</f>
        <v>9772.2624999999989</v>
      </c>
      <c r="DD31" s="59">
        <f>+DC31*3.3058</f>
        <v>32305.145372499996</v>
      </c>
      <c r="DE31" s="60">
        <f>+CA31*EJ31</f>
        <v>9496.9874999999993</v>
      </c>
      <c r="DF31" s="59">
        <f>+DE31*3.3058</f>
        <v>31395.141277499999</v>
      </c>
      <c r="DG31" s="60">
        <f>+CA31*EK31</f>
        <v>9221.7124999999978</v>
      </c>
      <c r="DH31" s="59">
        <f>+DG31*3.3058</f>
        <v>30485.137182499995</v>
      </c>
      <c r="DI31" s="60">
        <f>+CA31*EL31</f>
        <v>8946.4374999999982</v>
      </c>
      <c r="DJ31" s="59">
        <f>+DI31*3.3058</f>
        <v>29575.133087499995</v>
      </c>
      <c r="DK31" s="55">
        <f>+CA31*EM31</f>
        <v>8671.1624999999985</v>
      </c>
      <c r="DL31" s="59">
        <f>+DK31*3.3058</f>
        <v>28665.128992499995</v>
      </c>
      <c r="DM31" s="60">
        <f>+CA31*EN31</f>
        <v>8395.8874999999971</v>
      </c>
      <c r="DN31" s="59">
        <f>+DM31*3.3058</f>
        <v>27755.124897499991</v>
      </c>
      <c r="DO31" s="60">
        <f>+CA31*EO31</f>
        <v>8120.6124999999975</v>
      </c>
      <c r="DP31" s="59">
        <f>+DO31*3.3058</f>
        <v>26845.120802499991</v>
      </c>
      <c r="DQ31" s="55">
        <f>+CA31*EP31</f>
        <v>7845.3374999999969</v>
      </c>
      <c r="DR31" s="59">
        <f>+DQ31*3.3058</f>
        <v>25935.11670749999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12525.012500000003</v>
      </c>
      <c r="ES31" s="55">
        <f t="shared" si="116"/>
        <v>12525.012500000003</v>
      </c>
      <c r="ET31" s="59">
        <f t="shared" ref="ET31" si="145">+ES31*3.3058</f>
        <v>41405.186322500012</v>
      </c>
      <c r="EU31" s="55">
        <f>+ES31*GN31</f>
        <v>12149.262125000003</v>
      </c>
      <c r="EV31" s="59">
        <f>+EU31*3.3058</f>
        <v>40163.030732825013</v>
      </c>
      <c r="EW31" s="55">
        <f>+ES31*GO31</f>
        <v>11898.761875000002</v>
      </c>
      <c r="EX31" s="59">
        <f>+EW31*3.3058</f>
        <v>39334.927006375008</v>
      </c>
      <c r="EY31" s="55">
        <f>+ES31*GP31</f>
        <v>11648.261625000003</v>
      </c>
      <c r="EZ31" s="59">
        <f>+EY31*3.3058</f>
        <v>38506.823279925011</v>
      </c>
      <c r="FA31" s="57">
        <f>+ES31*GQ31</f>
        <v>11397.761375000002</v>
      </c>
      <c r="FB31" s="59">
        <f>+FA31*3.3058</f>
        <v>37678.719553475006</v>
      </c>
      <c r="FC31" s="55">
        <f>+ES31*GR31</f>
        <v>11147.261125000003</v>
      </c>
      <c r="FD31" s="59">
        <f>+FC31*3.3058</f>
        <v>36850.615827025009</v>
      </c>
      <c r="FE31" s="57">
        <f>+ES31*GS31</f>
        <v>10896.760875000002</v>
      </c>
      <c r="FF31" s="59">
        <f>+FE31*3.3058</f>
        <v>36022.512100575004</v>
      </c>
      <c r="FG31" s="60">
        <f>+ES31*GT31</f>
        <v>10646.260625000003</v>
      </c>
      <c r="FH31" s="59">
        <f>+FG31*3.3058</f>
        <v>35194.408374125007</v>
      </c>
      <c r="FI31" s="57">
        <f>+ES31*GU31</f>
        <v>10395.760375000002</v>
      </c>
      <c r="FJ31" s="59">
        <f>+FI31*3.3058</f>
        <v>34366.30464767501</v>
      </c>
      <c r="FK31" s="55">
        <f>+ES31*GV31</f>
        <v>10145.260125000001</v>
      </c>
      <c r="FL31" s="59">
        <f>+FK31*3.3058</f>
        <v>33538.200921225005</v>
      </c>
      <c r="FM31" s="60">
        <f>+ES31*GW31</f>
        <v>9894.7598750000016</v>
      </c>
      <c r="FN31" s="59">
        <f>+FM31*3.3058</f>
        <v>32710.097194775008</v>
      </c>
      <c r="FO31" s="60">
        <f>+ES31*GX31</f>
        <v>9644.2596250000006</v>
      </c>
      <c r="FP31" s="59">
        <f>+FO31*3.3058</f>
        <v>31881.993468325003</v>
      </c>
      <c r="FQ31" s="60">
        <f>+ES31*GY31</f>
        <v>9393.7593749999996</v>
      </c>
      <c r="FR31" s="59">
        <f>+FQ31*3.3058</f>
        <v>31053.889741874998</v>
      </c>
      <c r="FS31" s="55">
        <f>+ES31*GZ31</f>
        <v>9143.2591250000005</v>
      </c>
      <c r="FT31" s="59">
        <f>+FS31*3.3058</f>
        <v>30225.786015425001</v>
      </c>
      <c r="FU31" s="60">
        <f>+ES31*HA31</f>
        <v>8892.7588749999995</v>
      </c>
      <c r="FV31" s="59">
        <f>+FU31*3.3058</f>
        <v>29397.682288975</v>
      </c>
      <c r="FW31" s="60">
        <f>+ES31*HB31</f>
        <v>8642.2586250000004</v>
      </c>
      <c r="FX31" s="59">
        <f>+FW31*3.3058</f>
        <v>28569.578562525003</v>
      </c>
      <c r="FY31" s="60">
        <f>+ES31*HC31</f>
        <v>8391.7583749999994</v>
      </c>
      <c r="FZ31" s="59">
        <f>+FY31*3.3058</f>
        <v>27741.474836074998</v>
      </c>
      <c r="GA31" s="60">
        <f>+ES31*HD31</f>
        <v>8141.2581249999994</v>
      </c>
      <c r="GB31" s="59">
        <f>+GA31*3.3058</f>
        <v>26913.371109624997</v>
      </c>
      <c r="GC31" s="55">
        <f>+ES31*HE31</f>
        <v>7890.7578749999993</v>
      </c>
      <c r="GD31" s="59">
        <f>+GC31*3.3058</f>
        <v>26085.267383175</v>
      </c>
      <c r="GE31" s="60">
        <f>+ES31*HF31</f>
        <v>7640.2576249999984</v>
      </c>
      <c r="GF31" s="59">
        <f>+GE31*3.3058</f>
        <v>25257.163656724995</v>
      </c>
      <c r="GG31" s="60">
        <f>+ES31*HG31</f>
        <v>7389.7573749999983</v>
      </c>
      <c r="GH31" s="59">
        <f>+GG31*3.3058</f>
        <v>24429.059930274994</v>
      </c>
      <c r="GI31" s="55">
        <f>+ES31*HH31</f>
        <v>7139.2571249999983</v>
      </c>
      <c r="GJ31" s="59">
        <f>+GI31*3.3058</f>
        <v>23600.956203824993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x14ac:dyDescent="0.3">
      <c r="J32" s="55"/>
      <c r="W32" s="60"/>
      <c r="AC32" s="60"/>
      <c r="AE32" s="60"/>
      <c r="AG32" s="60"/>
      <c r="AK32" s="60"/>
      <c r="AM32" s="60"/>
      <c r="AO32" s="60"/>
      <c r="AQ32" s="60"/>
      <c r="AU32" s="60"/>
      <c r="AW32" s="60"/>
      <c r="BC32" s="55">
        <v>1</v>
      </c>
      <c r="BD32" s="55">
        <v>0.97</v>
      </c>
      <c r="BE32" s="55">
        <v>0.95</v>
      </c>
      <c r="BF32" s="55">
        <v>0.93</v>
      </c>
      <c r="BG32" s="55">
        <f t="shared" si="143"/>
        <v>0.91</v>
      </c>
      <c r="BH32" s="55">
        <f t="shared" si="143"/>
        <v>0.89</v>
      </c>
      <c r="BI32" s="55">
        <f t="shared" si="143"/>
        <v>0.87</v>
      </c>
      <c r="BJ32" s="55">
        <f t="shared" si="143"/>
        <v>0.85</v>
      </c>
      <c r="BK32" s="55">
        <f t="shared" si="143"/>
        <v>0.83</v>
      </c>
      <c r="BL32" s="55">
        <f t="shared" si="143"/>
        <v>0.80999999999999994</v>
      </c>
      <c r="BM32" s="55">
        <f t="shared" si="143"/>
        <v>0.78999999999999992</v>
      </c>
      <c r="BN32" s="55">
        <f t="shared" si="143"/>
        <v>0.76999999999999991</v>
      </c>
      <c r="BO32" s="55">
        <f t="shared" si="143"/>
        <v>0.74999999999999989</v>
      </c>
      <c r="BP32" s="55">
        <f t="shared" si="143"/>
        <v>0.72999999999999987</v>
      </c>
      <c r="BQ32" s="55">
        <f t="shared" si="143"/>
        <v>0.70999999999999985</v>
      </c>
      <c r="BR32" s="55">
        <f t="shared" si="143"/>
        <v>0.68999999999999984</v>
      </c>
      <c r="BS32" s="55">
        <f t="shared" si="143"/>
        <v>0.66999999999999982</v>
      </c>
      <c r="BT32" s="55">
        <f t="shared" si="143"/>
        <v>0.6499999999999998</v>
      </c>
      <c r="BU32" s="55">
        <f t="shared" si="143"/>
        <v>0.62999999999999978</v>
      </c>
      <c r="BV32" s="55">
        <f t="shared" si="143"/>
        <v>0.60999999999999976</v>
      </c>
      <c r="BW32" s="55">
        <f t="shared" si="143"/>
        <v>0.58999999999999975</v>
      </c>
      <c r="BX32" s="55">
        <f t="shared" si="143"/>
        <v>0.56999999999999973</v>
      </c>
      <c r="BZ32" s="55">
        <f t="shared" si="88"/>
        <v>0</v>
      </c>
      <c r="CI32" s="57"/>
      <c r="CM32" s="57"/>
      <c r="CO32" s="60"/>
      <c r="CQ32" s="57"/>
      <c r="CU32" s="60"/>
      <c r="CW32" s="60"/>
      <c r="CY32" s="60"/>
      <c r="DC32" s="60"/>
      <c r="DE32" s="60"/>
      <c r="DG32" s="60"/>
      <c r="DI32" s="60"/>
      <c r="DM32" s="60"/>
      <c r="DO32" s="60"/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4"/>
        <v>0.91</v>
      </c>
      <c r="DZ32" s="55">
        <f t="shared" si="114"/>
        <v>0.89</v>
      </c>
      <c r="EA32" s="55">
        <f t="shared" si="114"/>
        <v>0.87</v>
      </c>
      <c r="EB32" s="55">
        <f t="shared" si="114"/>
        <v>0.85</v>
      </c>
      <c r="EC32" s="55">
        <f t="shared" si="114"/>
        <v>0.83</v>
      </c>
      <c r="ED32" s="55">
        <f t="shared" si="114"/>
        <v>0.80999999999999994</v>
      </c>
      <c r="EE32" s="55">
        <f t="shared" si="114"/>
        <v>0.78999999999999992</v>
      </c>
      <c r="EF32" s="55">
        <f t="shared" si="114"/>
        <v>0.76999999999999991</v>
      </c>
      <c r="EG32" s="55">
        <f t="shared" si="114"/>
        <v>0.74999999999999989</v>
      </c>
      <c r="EH32" s="55">
        <f t="shared" si="114"/>
        <v>0.72999999999999987</v>
      </c>
      <c r="EI32" s="55">
        <f t="shared" si="114"/>
        <v>0.70999999999999985</v>
      </c>
      <c r="EJ32" s="55">
        <f t="shared" si="114"/>
        <v>0.68999999999999984</v>
      </c>
      <c r="EK32" s="55">
        <f t="shared" si="114"/>
        <v>0.66999999999999982</v>
      </c>
      <c r="EL32" s="55">
        <f t="shared" si="114"/>
        <v>0.6499999999999998</v>
      </c>
      <c r="EM32" s="55">
        <f t="shared" si="114"/>
        <v>0.62999999999999978</v>
      </c>
      <c r="EN32" s="55">
        <f t="shared" si="114"/>
        <v>0.60999999999999976</v>
      </c>
      <c r="EO32" s="55">
        <f t="shared" si="114"/>
        <v>0.58999999999999975</v>
      </c>
      <c r="EP32" s="55">
        <f t="shared" si="114"/>
        <v>0.56999999999999973</v>
      </c>
      <c r="ER32" s="55">
        <f t="shared" si="142"/>
        <v>0</v>
      </c>
      <c r="ES32" s="55"/>
      <c r="ET32" s="55"/>
      <c r="EU32" s="55"/>
      <c r="EV32" s="55"/>
      <c r="EW32" s="55"/>
      <c r="EX32" s="55"/>
      <c r="EY32" s="55"/>
      <c r="EZ32" s="55"/>
      <c r="FA32" s="57"/>
      <c r="FB32" s="55"/>
      <c r="FC32" s="55"/>
      <c r="FD32" s="55"/>
      <c r="FE32" s="57"/>
      <c r="FF32" s="55"/>
      <c r="FG32" s="60"/>
      <c r="FH32" s="55"/>
      <c r="FI32" s="57"/>
      <c r="FJ32" s="55"/>
      <c r="FK32" s="55"/>
      <c r="FL32" s="55"/>
      <c r="FM32" s="60"/>
      <c r="FN32" s="55"/>
      <c r="FO32" s="60"/>
      <c r="FP32" s="55"/>
      <c r="FQ32" s="60"/>
      <c r="FR32" s="55"/>
      <c r="FS32" s="55"/>
      <c r="FT32" s="55"/>
      <c r="FU32" s="60"/>
      <c r="FV32" s="55"/>
      <c r="FW32" s="60"/>
      <c r="FX32" s="55"/>
      <c r="FY32" s="60"/>
      <c r="FZ32" s="55"/>
      <c r="GA32" s="60"/>
      <c r="GB32" s="55"/>
      <c r="GC32" s="55"/>
      <c r="GD32" s="55"/>
      <c r="GE32" s="60"/>
      <c r="GF32" s="55"/>
      <c r="GG32" s="60"/>
      <c r="GH32" s="55"/>
      <c r="GI32" s="55"/>
      <c r="GJ32" s="55"/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1"/>
        <v>0.91</v>
      </c>
      <c r="GR32" s="55">
        <f t="shared" si="141"/>
        <v>0.89</v>
      </c>
      <c r="GS32" s="55">
        <f t="shared" si="141"/>
        <v>0.87</v>
      </c>
      <c r="GT32" s="55">
        <f t="shared" si="141"/>
        <v>0.85</v>
      </c>
      <c r="GU32" s="55">
        <f t="shared" si="141"/>
        <v>0.83</v>
      </c>
      <c r="GV32" s="55">
        <f t="shared" si="141"/>
        <v>0.80999999999999994</v>
      </c>
      <c r="GW32" s="55">
        <f t="shared" si="141"/>
        <v>0.78999999999999992</v>
      </c>
      <c r="GX32" s="55">
        <f t="shared" si="141"/>
        <v>0.76999999999999991</v>
      </c>
      <c r="GY32" s="55">
        <f t="shared" si="141"/>
        <v>0.74999999999999989</v>
      </c>
      <c r="GZ32" s="55">
        <f t="shared" si="141"/>
        <v>0.72999999999999987</v>
      </c>
      <c r="HA32" s="55">
        <f t="shared" si="141"/>
        <v>0.70999999999999985</v>
      </c>
      <c r="HB32" s="55">
        <f t="shared" si="141"/>
        <v>0.68999999999999984</v>
      </c>
      <c r="HC32" s="55">
        <f t="shared" si="141"/>
        <v>0.66999999999999982</v>
      </c>
      <c r="HD32" s="55">
        <f t="shared" si="141"/>
        <v>0.6499999999999998</v>
      </c>
      <c r="HE32" s="55">
        <f t="shared" si="141"/>
        <v>0.62999999999999978</v>
      </c>
      <c r="HF32" s="55">
        <f t="shared" si="141"/>
        <v>0.60999999999999976</v>
      </c>
      <c r="HG32" s="55">
        <f t="shared" si="141"/>
        <v>0.58999999999999975</v>
      </c>
      <c r="HH32" s="55">
        <f t="shared" si="141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293</v>
      </c>
      <c r="E33" s="35" t="s">
        <v>155</v>
      </c>
      <c r="J33" s="55"/>
      <c r="W33" s="60"/>
      <c r="AC33" s="60"/>
      <c r="AE33" s="60"/>
      <c r="AG33" s="60"/>
      <c r="AK33" s="60"/>
      <c r="AM33" s="60"/>
      <c r="AO33" s="60"/>
      <c r="AQ33" s="60"/>
      <c r="AU33" s="60"/>
      <c r="AW33" s="60"/>
      <c r="BC33" s="55">
        <v>1</v>
      </c>
      <c r="BD33" s="55">
        <v>0.97</v>
      </c>
      <c r="BE33" s="55">
        <v>0.95</v>
      </c>
      <c r="BF33" s="55">
        <v>0.93</v>
      </c>
      <c r="BG33" s="55">
        <f t="shared" si="143"/>
        <v>0.91</v>
      </c>
      <c r="BH33" s="55">
        <f t="shared" si="143"/>
        <v>0.89</v>
      </c>
      <c r="BI33" s="55">
        <f t="shared" si="143"/>
        <v>0.87</v>
      </c>
      <c r="BJ33" s="55">
        <f t="shared" si="143"/>
        <v>0.85</v>
      </c>
      <c r="BK33" s="55">
        <f t="shared" si="143"/>
        <v>0.83</v>
      </c>
      <c r="BL33" s="55">
        <f t="shared" si="143"/>
        <v>0.80999999999999994</v>
      </c>
      <c r="BM33" s="55">
        <f t="shared" si="143"/>
        <v>0.78999999999999992</v>
      </c>
      <c r="BN33" s="55">
        <f t="shared" si="143"/>
        <v>0.76999999999999991</v>
      </c>
      <c r="BO33" s="55">
        <f t="shared" si="143"/>
        <v>0.74999999999999989</v>
      </c>
      <c r="BP33" s="55">
        <f t="shared" si="143"/>
        <v>0.72999999999999987</v>
      </c>
      <c r="BQ33" s="55">
        <f t="shared" si="143"/>
        <v>0.70999999999999985</v>
      </c>
      <c r="BR33" s="55">
        <f t="shared" si="143"/>
        <v>0.68999999999999984</v>
      </c>
      <c r="BS33" s="55">
        <f t="shared" si="143"/>
        <v>0.66999999999999982</v>
      </c>
      <c r="BT33" s="55">
        <f t="shared" si="143"/>
        <v>0.6499999999999998</v>
      </c>
      <c r="BU33" s="55">
        <f t="shared" si="143"/>
        <v>0.62999999999999978</v>
      </c>
      <c r="BV33" s="55">
        <f t="shared" si="143"/>
        <v>0.60999999999999976</v>
      </c>
      <c r="BW33" s="55">
        <f t="shared" si="143"/>
        <v>0.58999999999999975</v>
      </c>
      <c r="BX33" s="55">
        <f t="shared" si="143"/>
        <v>0.56999999999999973</v>
      </c>
      <c r="BZ33" s="55">
        <f t="shared" si="88"/>
        <v>0</v>
      </c>
      <c r="CI33" s="57"/>
      <c r="CM33" s="57"/>
      <c r="CO33" s="60"/>
      <c r="CQ33" s="57"/>
      <c r="CU33" s="60"/>
      <c r="CW33" s="60"/>
      <c r="CY33" s="60"/>
      <c r="DC33" s="60"/>
      <c r="DE33" s="60"/>
      <c r="DG33" s="60"/>
      <c r="DI33" s="60"/>
      <c r="DM33" s="60"/>
      <c r="DO33" s="60"/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4"/>
        <v>0.91</v>
      </c>
      <c r="DZ33" s="55">
        <f t="shared" si="114"/>
        <v>0.89</v>
      </c>
      <c r="EA33" s="55">
        <f t="shared" si="114"/>
        <v>0.87</v>
      </c>
      <c r="EB33" s="55">
        <f t="shared" ref="EB33:EP33" si="146">+EA33-0.02</f>
        <v>0.85</v>
      </c>
      <c r="EC33" s="55">
        <f t="shared" si="146"/>
        <v>0.83</v>
      </c>
      <c r="ED33" s="55">
        <f t="shared" si="146"/>
        <v>0.80999999999999994</v>
      </c>
      <c r="EE33" s="55">
        <f t="shared" si="146"/>
        <v>0.78999999999999992</v>
      </c>
      <c r="EF33" s="55">
        <f t="shared" si="146"/>
        <v>0.76999999999999991</v>
      </c>
      <c r="EG33" s="55">
        <f t="shared" si="146"/>
        <v>0.74999999999999989</v>
      </c>
      <c r="EH33" s="55">
        <f t="shared" si="146"/>
        <v>0.72999999999999987</v>
      </c>
      <c r="EI33" s="55">
        <f t="shared" si="146"/>
        <v>0.70999999999999985</v>
      </c>
      <c r="EJ33" s="55">
        <f t="shared" si="146"/>
        <v>0.68999999999999984</v>
      </c>
      <c r="EK33" s="55">
        <f t="shared" si="146"/>
        <v>0.66999999999999982</v>
      </c>
      <c r="EL33" s="55">
        <f t="shared" si="146"/>
        <v>0.6499999999999998</v>
      </c>
      <c r="EM33" s="55">
        <f t="shared" si="146"/>
        <v>0.62999999999999978</v>
      </c>
      <c r="EN33" s="55">
        <f t="shared" si="146"/>
        <v>0.60999999999999976</v>
      </c>
      <c r="EO33" s="55">
        <f t="shared" si="146"/>
        <v>0.58999999999999975</v>
      </c>
      <c r="EP33" s="55">
        <f t="shared" si="146"/>
        <v>0.56999999999999973</v>
      </c>
      <c r="ER33" s="55">
        <f t="shared" si="142"/>
        <v>0</v>
      </c>
      <c r="ES33" s="55"/>
      <c r="ET33" s="55"/>
      <c r="EU33" s="55"/>
      <c r="EV33" s="55"/>
      <c r="EW33" s="55"/>
      <c r="EX33" s="55"/>
      <c r="EY33" s="55"/>
      <c r="EZ33" s="55"/>
      <c r="FA33" s="57"/>
      <c r="FB33" s="55"/>
      <c r="FC33" s="55"/>
      <c r="FD33" s="55"/>
      <c r="FE33" s="57"/>
      <c r="FF33" s="55"/>
      <c r="FG33" s="60"/>
      <c r="FH33" s="55"/>
      <c r="FI33" s="57"/>
      <c r="FJ33" s="55"/>
      <c r="FK33" s="55"/>
      <c r="FL33" s="55"/>
      <c r="FM33" s="60"/>
      <c r="FN33" s="55"/>
      <c r="FO33" s="60"/>
      <c r="FP33" s="55"/>
      <c r="FQ33" s="60"/>
      <c r="FR33" s="55"/>
      <c r="FS33" s="55"/>
      <c r="FT33" s="55"/>
      <c r="FU33" s="60"/>
      <c r="FV33" s="55"/>
      <c r="FW33" s="60"/>
      <c r="FX33" s="55"/>
      <c r="FY33" s="60"/>
      <c r="FZ33" s="55"/>
      <c r="GA33" s="60"/>
      <c r="GB33" s="55"/>
      <c r="GC33" s="55"/>
      <c r="GD33" s="55"/>
      <c r="GE33" s="60"/>
      <c r="GF33" s="55"/>
      <c r="GG33" s="60"/>
      <c r="GH33" s="55"/>
      <c r="GI33" s="55"/>
      <c r="GJ33" s="55"/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1"/>
        <v>0.91</v>
      </c>
      <c r="GR33" s="55">
        <f t="shared" si="141"/>
        <v>0.89</v>
      </c>
      <c r="GS33" s="55">
        <f t="shared" si="141"/>
        <v>0.87</v>
      </c>
      <c r="GT33" s="55">
        <f t="shared" ref="GT33:HH33" si="147">+GS33-0.02</f>
        <v>0.85</v>
      </c>
      <c r="GU33" s="55">
        <f t="shared" si="147"/>
        <v>0.83</v>
      </c>
      <c r="GV33" s="55">
        <f t="shared" si="147"/>
        <v>0.80999999999999994</v>
      </c>
      <c r="GW33" s="55">
        <f t="shared" si="147"/>
        <v>0.78999999999999992</v>
      </c>
      <c r="GX33" s="55">
        <f t="shared" si="147"/>
        <v>0.76999999999999991</v>
      </c>
      <c r="GY33" s="55">
        <f t="shared" si="147"/>
        <v>0.74999999999999989</v>
      </c>
      <c r="GZ33" s="55">
        <f t="shared" si="147"/>
        <v>0.72999999999999987</v>
      </c>
      <c r="HA33" s="55">
        <f t="shared" si="147"/>
        <v>0.70999999999999985</v>
      </c>
      <c r="HB33" s="55">
        <f t="shared" si="147"/>
        <v>0.68999999999999984</v>
      </c>
      <c r="HC33" s="55">
        <f t="shared" si="147"/>
        <v>0.66999999999999982</v>
      </c>
      <c r="HD33" s="55">
        <f t="shared" si="147"/>
        <v>0.6499999999999998</v>
      </c>
      <c r="HE33" s="55">
        <f t="shared" si="147"/>
        <v>0.62999999999999978</v>
      </c>
      <c r="HF33" s="55">
        <f t="shared" si="147"/>
        <v>0.60999999999999976</v>
      </c>
      <c r="HG33" s="55">
        <f t="shared" si="147"/>
        <v>0.58999999999999975</v>
      </c>
      <c r="HH33" s="55">
        <f t="shared" si="147"/>
        <v>0.56999999999999973</v>
      </c>
    </row>
    <row r="34" spans="1:216" x14ac:dyDescent="0.3">
      <c r="A34" s="2">
        <v>1</v>
      </c>
      <c r="C34" s="38" t="s">
        <v>15</v>
      </c>
      <c r="D34" s="40">
        <f>TRUNC(43371.2542404825,-1)</f>
        <v>43370</v>
      </c>
      <c r="E34" s="70">
        <f t="shared" ref="E34:E53" si="148">TRUNC(+D34*3.3058,-1)</f>
        <v>143370</v>
      </c>
      <c r="H34" s="55">
        <f t="shared" si="61"/>
        <v>157707</v>
      </c>
      <c r="I34" s="55">
        <f t="shared" si="62"/>
        <v>157707</v>
      </c>
      <c r="J34" s="59">
        <f t="shared" si="63"/>
        <v>521347.80060000002</v>
      </c>
      <c r="K34" s="55">
        <f t="shared" ref="K34:K54" si="149">+I34*BD34</f>
        <v>152975.79</v>
      </c>
      <c r="L34" s="59">
        <f t="shared" ref="L34:L54" si="150">+K34*3.3058</f>
        <v>505707.36658200005</v>
      </c>
      <c r="M34" s="55">
        <f t="shared" ref="M34:M54" si="151">+I34*BE34</f>
        <v>149821.65</v>
      </c>
      <c r="N34" s="59">
        <f t="shared" ref="N34:N54" si="152">+M34*3.3058</f>
        <v>495280.41057000001</v>
      </c>
      <c r="O34" s="55">
        <f t="shared" ref="O34:O54" si="153">+I34*BF34</f>
        <v>146667.51</v>
      </c>
      <c r="P34" s="59">
        <f t="shared" ref="P34:P54" si="154">+O34*3.3058</f>
        <v>484853.45455800003</v>
      </c>
      <c r="Q34" s="57">
        <f t="shared" ref="Q34:Q54" si="155">+I34*BG34</f>
        <v>143513.37</v>
      </c>
      <c r="R34" s="59">
        <f t="shared" ref="R34:R54" si="156">+Q34*3.3058</f>
        <v>474426.49854599999</v>
      </c>
      <c r="S34" s="55">
        <f t="shared" ref="S34:S54" si="157">+I34*BH34</f>
        <v>140359.23000000001</v>
      </c>
      <c r="T34" s="59">
        <f t="shared" ref="T34:T54" si="158">+S34*3.3058</f>
        <v>463999.54253400007</v>
      </c>
      <c r="U34" s="57">
        <f t="shared" ref="U34:U54" si="159">+I34*BI34</f>
        <v>137205.09</v>
      </c>
      <c r="V34" s="59">
        <f t="shared" ref="V34:V54" si="160">+U34*3.3058</f>
        <v>453572.58652200003</v>
      </c>
      <c r="W34" s="60">
        <f t="shared" ref="W34:W54" si="161">+I34*BJ34</f>
        <v>134050.94999999998</v>
      </c>
      <c r="X34" s="59">
        <f t="shared" ref="X34:X54" si="162">+W34*3.3058</f>
        <v>443145.63050999993</v>
      </c>
      <c r="Y34" s="57">
        <f t="shared" ref="Y34:Y54" si="163">+I34*BK34</f>
        <v>130896.81</v>
      </c>
      <c r="Z34" s="59">
        <f t="shared" ref="Z34:Z54" si="164">+Y34*3.3058</f>
        <v>432718.67449800001</v>
      </c>
      <c r="AA34" s="55">
        <f t="shared" ref="AA34:AA54" si="165">+I34*BL34</f>
        <v>127742.66999999998</v>
      </c>
      <c r="AB34" s="59">
        <f t="shared" ref="AB34:AB54" si="166">+AA34*3.3058</f>
        <v>422291.71848599997</v>
      </c>
      <c r="AC34" s="60">
        <f t="shared" ref="AC34:AC54" si="167">+I34*BM34</f>
        <v>124588.52999999998</v>
      </c>
      <c r="AD34" s="59">
        <f t="shared" ref="AD34:AD54" si="168">+AC34*3.3058</f>
        <v>411864.76247399993</v>
      </c>
      <c r="AE34" s="60">
        <f t="shared" ref="AE34:AE54" si="169">+I34*BN34</f>
        <v>121434.38999999998</v>
      </c>
      <c r="AF34" s="59">
        <f t="shared" ref="AF34:AF54" si="170">+AE34*3.3058</f>
        <v>401437.80646199995</v>
      </c>
      <c r="AG34" s="60">
        <f t="shared" ref="AG34:AG54" si="171">+I34*BO34</f>
        <v>118280.24999999999</v>
      </c>
      <c r="AH34" s="59">
        <f t="shared" ref="AH34:AH54" si="172">+AG34*3.3058</f>
        <v>391010.85044999997</v>
      </c>
      <c r="AI34" s="55">
        <f t="shared" ref="AI34:AI54" si="173">+I34*BP34</f>
        <v>115126.10999999999</v>
      </c>
      <c r="AJ34" s="59">
        <f t="shared" ref="AJ34:AJ54" si="174">+AI34*3.3058</f>
        <v>380583.89443799999</v>
      </c>
      <c r="AK34" s="60">
        <f t="shared" ref="AK34:AK54" si="175">+I34*BQ34</f>
        <v>111971.96999999997</v>
      </c>
      <c r="AL34" s="59">
        <f t="shared" ref="AL34:AL54" si="176">+AK34*3.3058</f>
        <v>370156.93842599989</v>
      </c>
      <c r="AM34" s="60">
        <f t="shared" ref="AM34:AM54" si="177">+I34*BR34</f>
        <v>108817.82999999997</v>
      </c>
      <c r="AN34" s="59">
        <f t="shared" ref="AN34:AN54" si="178">+AM34*3.3058</f>
        <v>359729.98241399991</v>
      </c>
      <c r="AO34" s="60">
        <f t="shared" ref="AO34:AO54" si="179">+I34*BS34</f>
        <v>105663.68999999997</v>
      </c>
      <c r="AP34" s="59">
        <f t="shared" ref="AP34:AP54" si="180">+AO34*3.3058</f>
        <v>349303.02640199993</v>
      </c>
      <c r="AQ34" s="60">
        <f t="shared" ref="AQ34:AQ54" si="181">+I34*BT34</f>
        <v>102509.54999999997</v>
      </c>
      <c r="AR34" s="59">
        <f t="shared" ref="AR34:AR54" si="182">+AQ34*3.3058</f>
        <v>338876.07038999995</v>
      </c>
      <c r="AS34" s="55">
        <f t="shared" ref="AS34:AS54" si="183">+I34*BU34</f>
        <v>99355.40999999996</v>
      </c>
      <c r="AT34" s="59">
        <f t="shared" ref="AT34:AT54" si="184">+AS34*3.3058</f>
        <v>328449.11437799985</v>
      </c>
      <c r="AU34" s="60">
        <f t="shared" ref="AU34:AU54" si="185">+I34*BV34</f>
        <v>96201.26999999996</v>
      </c>
      <c r="AV34" s="59">
        <f t="shared" ref="AV34:AV54" si="186">+AU34*3.3058</f>
        <v>318022.15836599987</v>
      </c>
      <c r="AW34" s="60">
        <f t="shared" ref="AW34:AW54" si="187">+I34*BW34</f>
        <v>93047.129999999961</v>
      </c>
      <c r="AX34" s="59">
        <f t="shared" ref="AX34:AX54" si="188">+AW34*3.3058</f>
        <v>307595.20235399989</v>
      </c>
      <c r="AY34" s="55">
        <f t="shared" ref="AY34:AY54" si="189">+I34*BX34</f>
        <v>89892.989999999962</v>
      </c>
      <c r="AZ34" s="59">
        <f t="shared" ref="AZ34:AZ54" si="190">+AY34*3.3058</f>
        <v>297168.24634199985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3"/>
        <v>0.91</v>
      </c>
      <c r="BH34" s="55">
        <f t="shared" si="143"/>
        <v>0.89</v>
      </c>
      <c r="BI34" s="55">
        <f t="shared" si="143"/>
        <v>0.87</v>
      </c>
      <c r="BJ34" s="55">
        <f t="shared" si="143"/>
        <v>0.85</v>
      </c>
      <c r="BK34" s="55">
        <f t="shared" si="143"/>
        <v>0.83</v>
      </c>
      <c r="BL34" s="55">
        <f t="shared" si="143"/>
        <v>0.80999999999999994</v>
      </c>
      <c r="BM34" s="55">
        <f t="shared" si="143"/>
        <v>0.78999999999999992</v>
      </c>
      <c r="BN34" s="55">
        <f t="shared" si="143"/>
        <v>0.76999999999999991</v>
      </c>
      <c r="BO34" s="55">
        <f t="shared" si="143"/>
        <v>0.74999999999999989</v>
      </c>
      <c r="BP34" s="55">
        <f t="shared" si="143"/>
        <v>0.72999999999999987</v>
      </c>
      <c r="BQ34" s="55">
        <f t="shared" si="143"/>
        <v>0.70999999999999985</v>
      </c>
      <c r="BR34" s="55">
        <f t="shared" si="143"/>
        <v>0.68999999999999984</v>
      </c>
      <c r="BS34" s="55">
        <f t="shared" si="143"/>
        <v>0.66999999999999982</v>
      </c>
      <c r="BT34" s="55">
        <f t="shared" si="143"/>
        <v>0.6499999999999998</v>
      </c>
      <c r="BU34" s="55">
        <f t="shared" si="143"/>
        <v>0.62999999999999978</v>
      </c>
      <c r="BV34" s="55">
        <f t="shared" si="143"/>
        <v>0.60999999999999976</v>
      </c>
      <c r="BW34" s="55">
        <f t="shared" si="143"/>
        <v>0.58999999999999975</v>
      </c>
      <c r="BX34" s="55">
        <f t="shared" si="143"/>
        <v>0.56999999999999973</v>
      </c>
      <c r="BZ34" s="55">
        <f t="shared" si="88"/>
        <v>143513.37</v>
      </c>
      <c r="CA34" s="55">
        <f t="shared" si="89"/>
        <v>143513.37</v>
      </c>
      <c r="CB34" s="59">
        <f t="shared" ref="CB34:CB54" si="191">+CA34*3.3058</f>
        <v>474426.49854599999</v>
      </c>
      <c r="CC34" s="55">
        <f t="shared" ref="CC34:CC54" si="192">+CA34*DV34</f>
        <v>139207.96889999998</v>
      </c>
      <c r="CD34" s="59">
        <f t="shared" ref="CD34:CD54" si="193">+CC34*3.3058</f>
        <v>460193.70358961995</v>
      </c>
      <c r="CE34" s="55">
        <f t="shared" ref="CE34:CE54" si="194">+CA34*DW34</f>
        <v>136337.7015</v>
      </c>
      <c r="CF34" s="59">
        <f t="shared" ref="CF34:CF54" si="195">+CE34*3.3058</f>
        <v>450705.17361870001</v>
      </c>
      <c r="CG34" s="55">
        <f t="shared" ref="CG34:CG54" si="196">+CA34*DX34</f>
        <v>133467.43410000001</v>
      </c>
      <c r="CH34" s="59">
        <f t="shared" ref="CH34:CH54" si="197">+CG34*3.3058</f>
        <v>441216.64364778006</v>
      </c>
      <c r="CI34" s="57">
        <f t="shared" ref="CI34:CI54" si="198">+CA34*DY34</f>
        <v>130597.1667</v>
      </c>
      <c r="CJ34" s="59">
        <f t="shared" ref="CJ34:CJ54" si="199">+CI34*3.3058</f>
        <v>431728.11367686</v>
      </c>
      <c r="CK34" s="55">
        <f t="shared" ref="CK34:CK54" si="200">+CA34*DZ34</f>
        <v>127726.8993</v>
      </c>
      <c r="CL34" s="59">
        <f t="shared" ref="CL34:CL54" si="201">+CK34*3.3058</f>
        <v>422239.58370594005</v>
      </c>
      <c r="CM34" s="57">
        <f t="shared" ref="CM34:CM54" si="202">+CA34*EA34</f>
        <v>124856.63189999999</v>
      </c>
      <c r="CN34" s="59">
        <f t="shared" ref="CN34:CN54" si="203">+CM34*3.3058</f>
        <v>412751.05373501999</v>
      </c>
      <c r="CO34" s="60">
        <f t="shared" ref="CO34:CO54" si="204">+CA34*EB34</f>
        <v>121986.3645</v>
      </c>
      <c r="CP34" s="59">
        <f t="shared" ref="CP34:CP54" si="205">+CO34*3.3058</f>
        <v>403262.52376409998</v>
      </c>
      <c r="CQ34" s="57">
        <f t="shared" ref="CQ34:CQ54" si="206">+CA34*EC34</f>
        <v>119116.09709999998</v>
      </c>
      <c r="CR34" s="59">
        <f t="shared" ref="CR34:CR54" si="207">+CQ34*3.3058</f>
        <v>393773.99379317998</v>
      </c>
      <c r="CS34" s="55">
        <f t="shared" ref="CS34:CS54" si="208">+CA34*ED34</f>
        <v>116245.82969999999</v>
      </c>
      <c r="CT34" s="59">
        <f t="shared" ref="CT34:CT54" si="209">+CS34*3.3058</f>
        <v>384285.46382225998</v>
      </c>
      <c r="CU34" s="60">
        <f t="shared" ref="CU34:CU54" si="210">+CA34*EE34</f>
        <v>113375.56229999999</v>
      </c>
      <c r="CV34" s="59">
        <f t="shared" ref="CV34:CV54" si="211">+CU34*3.3058</f>
        <v>374796.93385133997</v>
      </c>
      <c r="CW34" s="60">
        <f t="shared" ref="CW34:CW54" si="212">+CA34*EF34</f>
        <v>110505.29489999998</v>
      </c>
      <c r="CX34" s="59">
        <f t="shared" ref="CX34:CX54" si="213">+CW34*3.3058</f>
        <v>365308.40388041997</v>
      </c>
      <c r="CY34" s="60">
        <f t="shared" ref="CY34:CY54" si="214">+CA34*EG34</f>
        <v>107635.02749999998</v>
      </c>
      <c r="CZ34" s="59">
        <f t="shared" ref="CZ34:CZ54" si="215">+CY34*3.3058</f>
        <v>355819.87390949996</v>
      </c>
      <c r="DA34" s="55">
        <f t="shared" ref="DA34:DA54" si="216">+CA34*EH34</f>
        <v>104764.76009999998</v>
      </c>
      <c r="DB34" s="59">
        <f t="shared" ref="DB34:DB54" si="217">+DA34*3.3058</f>
        <v>346331.34393857996</v>
      </c>
      <c r="DC34" s="60">
        <f t="shared" ref="DC34:DC54" si="218">+CA34*EI34</f>
        <v>101894.49269999997</v>
      </c>
      <c r="DD34" s="59">
        <f t="shared" ref="DD34:DD54" si="219">+DC34*3.3058</f>
        <v>336842.81396765989</v>
      </c>
      <c r="DE34" s="60">
        <f t="shared" ref="DE34:DE54" si="220">+CA34*EJ34</f>
        <v>99024.225299999976</v>
      </c>
      <c r="DF34" s="59">
        <f t="shared" ref="DF34:DF54" si="221">+DE34*3.3058</f>
        <v>327354.28399673995</v>
      </c>
      <c r="DG34" s="60">
        <f t="shared" ref="DG34:DG54" si="222">+CA34*EK34</f>
        <v>96153.957899999965</v>
      </c>
      <c r="DH34" s="59">
        <f t="shared" ref="DH34:DH54" si="223">+DG34*3.3058</f>
        <v>317865.75402581989</v>
      </c>
      <c r="DI34" s="60">
        <f t="shared" ref="DI34:DI54" si="224">+CA34*EL34</f>
        <v>93283.690499999968</v>
      </c>
      <c r="DJ34" s="59">
        <f t="shared" ref="DJ34:DJ54" si="225">+DI34*3.3058</f>
        <v>308377.22405489988</v>
      </c>
      <c r="DK34" s="55">
        <f t="shared" ref="DK34:DK54" si="226">+CA34*EM34</f>
        <v>90413.423099999971</v>
      </c>
      <c r="DL34" s="59">
        <f t="shared" ref="DL34:DL54" si="227">+DK34*3.3058</f>
        <v>298888.69408397994</v>
      </c>
      <c r="DM34" s="60">
        <f t="shared" ref="DM34:DM54" si="228">+CA34*EN34</f>
        <v>87543.155699999959</v>
      </c>
      <c r="DN34" s="59">
        <f t="shared" ref="DN34:DN54" si="229">+DM34*3.3058</f>
        <v>289400.16411305987</v>
      </c>
      <c r="DO34" s="60">
        <f t="shared" ref="DO34:DO54" si="230">+CA34*EO34</f>
        <v>84672.888299999962</v>
      </c>
      <c r="DP34" s="59">
        <f t="shared" ref="DP34:DP54" si="231">+DO34*3.3058</f>
        <v>279911.63414213987</v>
      </c>
      <c r="DQ34" s="55">
        <f t="shared" ref="DQ34:DQ54" si="232">+CA34*EP34</f>
        <v>81802.620899999965</v>
      </c>
      <c r="DR34" s="59">
        <f t="shared" ref="DR34:DR54" si="233">+DQ34*3.3058</f>
        <v>270423.10417121986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4">+DX34-0.02</f>
        <v>0.91</v>
      </c>
      <c r="DZ34" s="55">
        <f t="shared" si="234"/>
        <v>0.89</v>
      </c>
      <c r="EA34" s="55">
        <f t="shared" si="234"/>
        <v>0.87</v>
      </c>
      <c r="EB34" s="55">
        <f t="shared" si="234"/>
        <v>0.85</v>
      </c>
      <c r="EC34" s="55">
        <f t="shared" si="234"/>
        <v>0.83</v>
      </c>
      <c r="ED34" s="55">
        <f t="shared" si="234"/>
        <v>0.80999999999999994</v>
      </c>
      <c r="EE34" s="55">
        <f t="shared" si="234"/>
        <v>0.78999999999999992</v>
      </c>
      <c r="EF34" s="55">
        <f t="shared" si="234"/>
        <v>0.76999999999999991</v>
      </c>
      <c r="EG34" s="55">
        <f t="shared" si="234"/>
        <v>0.74999999999999989</v>
      </c>
      <c r="EH34" s="55">
        <f t="shared" si="234"/>
        <v>0.72999999999999987</v>
      </c>
      <c r="EI34" s="55">
        <f t="shared" si="234"/>
        <v>0.70999999999999985</v>
      </c>
      <c r="EJ34" s="55">
        <f t="shared" si="234"/>
        <v>0.68999999999999984</v>
      </c>
      <c r="EK34" s="55">
        <f t="shared" si="234"/>
        <v>0.66999999999999982</v>
      </c>
      <c r="EL34" s="55">
        <f t="shared" si="234"/>
        <v>0.6499999999999998</v>
      </c>
      <c r="EM34" s="55">
        <f t="shared" si="234"/>
        <v>0.62999999999999978</v>
      </c>
      <c r="EN34" s="55">
        <f t="shared" si="234"/>
        <v>0.60999999999999976</v>
      </c>
      <c r="EO34" s="55">
        <f t="shared" si="234"/>
        <v>0.58999999999999975</v>
      </c>
      <c r="EP34" s="55">
        <f t="shared" si="234"/>
        <v>0.56999999999999973</v>
      </c>
      <c r="ER34" s="55">
        <f t="shared" si="142"/>
        <v>130597.1667</v>
      </c>
      <c r="ES34" s="55">
        <f t="shared" si="116"/>
        <v>130597.1667</v>
      </c>
      <c r="ET34" s="59">
        <f t="shared" ref="ET34:ET54" si="235">+ES34*3.3058</f>
        <v>431728.11367686</v>
      </c>
      <c r="EU34" s="55">
        <f t="shared" ref="EU34:EU54" si="236">+ES34*GN34</f>
        <v>126679.251699</v>
      </c>
      <c r="EV34" s="59">
        <f t="shared" ref="EV34:EV54" si="237">+EU34*3.3058</f>
        <v>418776.2702665542</v>
      </c>
      <c r="EW34" s="55">
        <f t="shared" ref="EW34:EW54" si="238">+ES34*GO34</f>
        <v>124067.30836499999</v>
      </c>
      <c r="EX34" s="59">
        <f t="shared" ref="EX34:EX54" si="239">+EW34*3.3058</f>
        <v>410141.70799301699</v>
      </c>
      <c r="EY34" s="55">
        <f t="shared" ref="EY34:EY54" si="240">+ES34*GP34</f>
        <v>121455.36503100001</v>
      </c>
      <c r="EZ34" s="59">
        <f t="shared" ref="EZ34:EZ54" si="241">+EY34*3.3058</f>
        <v>401507.14571947983</v>
      </c>
      <c r="FA34" s="57">
        <f t="shared" ref="FA34:FA54" si="242">+ES34*GQ34</f>
        <v>118843.42169700001</v>
      </c>
      <c r="FB34" s="59">
        <f t="shared" ref="FB34:FB54" si="243">+FA34*3.3058</f>
        <v>392872.58344594267</v>
      </c>
      <c r="FC34" s="55">
        <f t="shared" ref="FC34:FC54" si="244">+ES34*GR34</f>
        <v>116231.478363</v>
      </c>
      <c r="FD34" s="59">
        <f t="shared" ref="FD34:FD54" si="245">+FC34*3.3058</f>
        <v>384238.0211724054</v>
      </c>
      <c r="FE34" s="57">
        <f t="shared" ref="FE34:FE54" si="246">+ES34*GS34</f>
        <v>113619.53502900001</v>
      </c>
      <c r="FF34" s="59">
        <f t="shared" ref="FF34:FF54" si="247">+FE34*3.3058</f>
        <v>375603.45889886824</v>
      </c>
      <c r="FG34" s="60">
        <f t="shared" ref="FG34:FG54" si="248">+ES34*GT34</f>
        <v>111007.591695</v>
      </c>
      <c r="FH34" s="59">
        <f t="shared" ref="FH34:FH54" si="249">+FG34*3.3058</f>
        <v>366968.89662533102</v>
      </c>
      <c r="FI34" s="57">
        <f t="shared" ref="FI34:FI54" si="250">+ES34*GU34</f>
        <v>108395.648361</v>
      </c>
      <c r="FJ34" s="59">
        <f t="shared" ref="FJ34:FJ54" si="251">+FI34*3.3058</f>
        <v>358334.3343517938</v>
      </c>
      <c r="FK34" s="55">
        <f t="shared" ref="FK34:FK54" si="252">+ES34*GV34</f>
        <v>105783.70502699999</v>
      </c>
      <c r="FL34" s="59">
        <f t="shared" ref="FL34:FL54" si="253">+FK34*3.3058</f>
        <v>349699.77207825659</v>
      </c>
      <c r="FM34" s="60">
        <f t="shared" ref="FM34:FM54" si="254">+ES34*GW34</f>
        <v>103171.76169299999</v>
      </c>
      <c r="FN34" s="59">
        <f t="shared" ref="FN34:FN54" si="255">+FM34*3.3058</f>
        <v>341065.20980471937</v>
      </c>
      <c r="FO34" s="60">
        <f t="shared" ref="FO34:FO54" si="256">+ES34*GX34</f>
        <v>100559.81835899998</v>
      </c>
      <c r="FP34" s="59">
        <f t="shared" ref="FP34:FP54" si="257">+FO34*3.3058</f>
        <v>332430.64753118216</v>
      </c>
      <c r="FQ34" s="60">
        <f t="shared" ref="FQ34:FQ54" si="258">+ES34*GY34</f>
        <v>97947.875024999987</v>
      </c>
      <c r="FR34" s="59">
        <f t="shared" ref="FR34:FR54" si="259">+FQ34*3.3058</f>
        <v>323796.08525764494</v>
      </c>
      <c r="FS34" s="55">
        <f t="shared" ref="FS34:FS54" si="260">+ES34*GZ34</f>
        <v>95335.931690999991</v>
      </c>
      <c r="FT34" s="59">
        <f t="shared" ref="FT34:FT54" si="261">+FS34*3.3058</f>
        <v>315161.52298410778</v>
      </c>
      <c r="FU34" s="60">
        <f t="shared" ref="FU34:FU54" si="262">+ES34*HA34</f>
        <v>92723.98835699998</v>
      </c>
      <c r="FV34" s="59">
        <f t="shared" ref="FV34:FV54" si="263">+FU34*3.3058</f>
        <v>306526.96071057057</v>
      </c>
      <c r="FW34" s="60">
        <f t="shared" ref="FW34:FW54" si="264">+ES34*HB34</f>
        <v>90112.045022999984</v>
      </c>
      <c r="FX34" s="59">
        <f t="shared" ref="FX34:FX54" si="265">+FW34*3.3058</f>
        <v>297892.39843703335</v>
      </c>
      <c r="FY34" s="60">
        <f t="shared" ref="FY34:FY54" si="266">+ES34*HC34</f>
        <v>87500.101688999974</v>
      </c>
      <c r="FZ34" s="59">
        <f t="shared" ref="FZ34:FZ54" si="267">+FY34*3.3058</f>
        <v>289257.83616349613</v>
      </c>
      <c r="GA34" s="60">
        <f t="shared" ref="GA34:GA54" si="268">+ES34*HD34</f>
        <v>84888.158354999978</v>
      </c>
      <c r="GB34" s="59">
        <f t="shared" ref="GB34:GB54" si="269">+GA34*3.3058</f>
        <v>280623.27388995892</v>
      </c>
      <c r="GC34" s="55">
        <f t="shared" ref="GC34:GC54" si="270">+ES34*HE34</f>
        <v>82276.215020999967</v>
      </c>
      <c r="GD34" s="59">
        <f t="shared" ref="GD34:GD54" si="271">+GC34*3.3058</f>
        <v>271988.7116164217</v>
      </c>
      <c r="GE34" s="60">
        <f t="shared" ref="GE34:GE54" si="272">+ES34*HF34</f>
        <v>79664.271686999971</v>
      </c>
      <c r="GF34" s="59">
        <f t="shared" ref="GF34:GF54" si="273">+GE34*3.3058</f>
        <v>263354.14934288448</v>
      </c>
      <c r="GG34" s="60">
        <f t="shared" ref="GG34:GG54" si="274">+ES34*HG34</f>
        <v>77052.328352999961</v>
      </c>
      <c r="GH34" s="59">
        <f t="shared" ref="GH34:GH54" si="275">+GG34*3.3058</f>
        <v>254719.58706934727</v>
      </c>
      <c r="GI34" s="55">
        <f t="shared" ref="GI34:GI54" si="276">+ES34*HH34</f>
        <v>74440.385018999965</v>
      </c>
      <c r="GJ34" s="59">
        <f t="shared" ref="GJ34:GJ54" si="277">+GI34*3.3058</f>
        <v>246085.02479581008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78">+GP34-0.02</f>
        <v>0.91</v>
      </c>
      <c r="GR34" s="55">
        <f t="shared" si="278"/>
        <v>0.89</v>
      </c>
      <c r="GS34" s="55">
        <f t="shared" si="278"/>
        <v>0.87</v>
      </c>
      <c r="GT34" s="55">
        <f t="shared" si="278"/>
        <v>0.85</v>
      </c>
      <c r="GU34" s="55">
        <f t="shared" si="278"/>
        <v>0.83</v>
      </c>
      <c r="GV34" s="55">
        <f t="shared" si="278"/>
        <v>0.80999999999999994</v>
      </c>
      <c r="GW34" s="55">
        <f t="shared" si="278"/>
        <v>0.78999999999999992</v>
      </c>
      <c r="GX34" s="55">
        <f t="shared" si="278"/>
        <v>0.76999999999999991</v>
      </c>
      <c r="GY34" s="55">
        <f t="shared" si="278"/>
        <v>0.74999999999999989</v>
      </c>
      <c r="GZ34" s="55">
        <f t="shared" si="278"/>
        <v>0.72999999999999987</v>
      </c>
      <c r="HA34" s="55">
        <f t="shared" si="278"/>
        <v>0.70999999999999985</v>
      </c>
      <c r="HB34" s="55">
        <f t="shared" si="278"/>
        <v>0.68999999999999984</v>
      </c>
      <c r="HC34" s="55">
        <f t="shared" si="278"/>
        <v>0.66999999999999982</v>
      </c>
      <c r="HD34" s="55">
        <f t="shared" si="278"/>
        <v>0.6499999999999998</v>
      </c>
      <c r="HE34" s="55">
        <f t="shared" si="278"/>
        <v>0.62999999999999978</v>
      </c>
      <c r="HF34" s="55">
        <f t="shared" si="278"/>
        <v>0.60999999999999976</v>
      </c>
      <c r="HG34" s="55">
        <f t="shared" si="278"/>
        <v>0.58999999999999975</v>
      </c>
      <c r="HH34" s="55">
        <f t="shared" si="278"/>
        <v>0.56999999999999973</v>
      </c>
    </row>
    <row r="35" spans="1:216" x14ac:dyDescent="0.3">
      <c r="A35" s="2">
        <v>2</v>
      </c>
      <c r="C35" s="38" t="s">
        <v>13</v>
      </c>
      <c r="D35" s="42">
        <f>TRUNC(140504.646437995,-1)</f>
        <v>140500</v>
      </c>
      <c r="E35" s="71">
        <f t="shared" si="148"/>
        <v>464460</v>
      </c>
      <c r="H35" s="55">
        <f t="shared" si="61"/>
        <v>510906.00000000006</v>
      </c>
      <c r="I35" s="55">
        <f t="shared" si="62"/>
        <v>510906.00000000006</v>
      </c>
      <c r="J35" s="59">
        <f t="shared" si="63"/>
        <v>1688953.0548000003</v>
      </c>
      <c r="K35" s="55">
        <f t="shared" si="149"/>
        <v>495578.82000000007</v>
      </c>
      <c r="L35" s="59">
        <f t="shared" si="150"/>
        <v>1638284.4631560002</v>
      </c>
      <c r="M35" s="55">
        <f t="shared" si="151"/>
        <v>485360.7</v>
      </c>
      <c r="N35" s="59">
        <f t="shared" si="152"/>
        <v>1604505.40206</v>
      </c>
      <c r="O35" s="55">
        <f t="shared" si="153"/>
        <v>475142.58000000007</v>
      </c>
      <c r="P35" s="59">
        <f t="shared" si="154"/>
        <v>1570726.3409640002</v>
      </c>
      <c r="Q35" s="57">
        <f t="shared" si="155"/>
        <v>464924.46000000008</v>
      </c>
      <c r="R35" s="59">
        <f t="shared" si="156"/>
        <v>1536947.2798680002</v>
      </c>
      <c r="S35" s="55">
        <f t="shared" si="157"/>
        <v>454706.34000000008</v>
      </c>
      <c r="T35" s="59">
        <f t="shared" si="158"/>
        <v>1503168.2187720004</v>
      </c>
      <c r="U35" s="57">
        <f t="shared" si="159"/>
        <v>444488.22000000003</v>
      </c>
      <c r="V35" s="59">
        <f t="shared" si="160"/>
        <v>1469389.1576760001</v>
      </c>
      <c r="W35" s="60">
        <f t="shared" si="161"/>
        <v>434270.10000000003</v>
      </c>
      <c r="X35" s="59">
        <f t="shared" si="162"/>
        <v>1435610.0965800001</v>
      </c>
      <c r="Y35" s="57">
        <f t="shared" si="163"/>
        <v>424051.98000000004</v>
      </c>
      <c r="Z35" s="59">
        <f t="shared" si="164"/>
        <v>1401831.0354840001</v>
      </c>
      <c r="AA35" s="55">
        <f t="shared" si="165"/>
        <v>413833.86000000004</v>
      </c>
      <c r="AB35" s="59">
        <f t="shared" si="166"/>
        <v>1368051.9743880001</v>
      </c>
      <c r="AC35" s="60">
        <f t="shared" si="167"/>
        <v>403615.74</v>
      </c>
      <c r="AD35" s="59">
        <f t="shared" si="168"/>
        <v>1334272.9132920001</v>
      </c>
      <c r="AE35" s="60">
        <f t="shared" si="169"/>
        <v>393397.62</v>
      </c>
      <c r="AF35" s="59">
        <f t="shared" si="170"/>
        <v>1300493.8521960001</v>
      </c>
      <c r="AG35" s="60">
        <f t="shared" si="171"/>
        <v>383179.5</v>
      </c>
      <c r="AH35" s="59">
        <f t="shared" si="172"/>
        <v>1266714.7911</v>
      </c>
      <c r="AI35" s="55">
        <f t="shared" si="173"/>
        <v>372961.38</v>
      </c>
      <c r="AJ35" s="59">
        <f t="shared" si="174"/>
        <v>1232935.730004</v>
      </c>
      <c r="AK35" s="60">
        <f t="shared" si="175"/>
        <v>362743.25999999995</v>
      </c>
      <c r="AL35" s="59">
        <f t="shared" si="176"/>
        <v>1199156.6689079998</v>
      </c>
      <c r="AM35" s="60">
        <f t="shared" si="177"/>
        <v>352525.13999999996</v>
      </c>
      <c r="AN35" s="59">
        <f t="shared" si="178"/>
        <v>1165377.607812</v>
      </c>
      <c r="AO35" s="60">
        <f t="shared" si="179"/>
        <v>342307.01999999996</v>
      </c>
      <c r="AP35" s="59">
        <f t="shared" si="180"/>
        <v>1131598.546716</v>
      </c>
      <c r="AQ35" s="60">
        <f t="shared" si="181"/>
        <v>332088.89999999991</v>
      </c>
      <c r="AR35" s="59">
        <f t="shared" si="182"/>
        <v>1097819.4856199997</v>
      </c>
      <c r="AS35" s="55">
        <f t="shared" si="183"/>
        <v>321870.77999999991</v>
      </c>
      <c r="AT35" s="59">
        <f t="shared" si="184"/>
        <v>1064040.4245239997</v>
      </c>
      <c r="AU35" s="60">
        <f t="shared" si="185"/>
        <v>311652.65999999992</v>
      </c>
      <c r="AV35" s="59">
        <f t="shared" si="186"/>
        <v>1030261.3634279998</v>
      </c>
      <c r="AW35" s="60">
        <f t="shared" si="187"/>
        <v>301434.53999999992</v>
      </c>
      <c r="AX35" s="59">
        <f t="shared" si="188"/>
        <v>996482.30233199976</v>
      </c>
      <c r="AY35" s="55">
        <f t="shared" si="189"/>
        <v>291216.41999999987</v>
      </c>
      <c r="AZ35" s="59">
        <f t="shared" si="190"/>
        <v>962703.24123599962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3"/>
        <v>0.91</v>
      </c>
      <c r="BH35" s="55">
        <f t="shared" si="143"/>
        <v>0.89</v>
      </c>
      <c r="BI35" s="55">
        <f t="shared" si="143"/>
        <v>0.87</v>
      </c>
      <c r="BJ35" s="55">
        <f t="shared" si="143"/>
        <v>0.85</v>
      </c>
      <c r="BK35" s="55">
        <f t="shared" si="143"/>
        <v>0.83</v>
      </c>
      <c r="BL35" s="55">
        <f t="shared" si="143"/>
        <v>0.80999999999999994</v>
      </c>
      <c r="BM35" s="55">
        <f t="shared" si="143"/>
        <v>0.78999999999999992</v>
      </c>
      <c r="BN35" s="55">
        <f t="shared" si="143"/>
        <v>0.76999999999999991</v>
      </c>
      <c r="BO35" s="55">
        <f t="shared" si="143"/>
        <v>0.74999999999999989</v>
      </c>
      <c r="BP35" s="55">
        <f t="shared" si="143"/>
        <v>0.72999999999999987</v>
      </c>
      <c r="BQ35" s="55">
        <f t="shared" si="143"/>
        <v>0.70999999999999985</v>
      </c>
      <c r="BR35" s="55">
        <f t="shared" si="143"/>
        <v>0.68999999999999984</v>
      </c>
      <c r="BS35" s="55">
        <f t="shared" si="143"/>
        <v>0.66999999999999982</v>
      </c>
      <c r="BT35" s="55">
        <f t="shared" si="143"/>
        <v>0.6499999999999998</v>
      </c>
      <c r="BU35" s="55">
        <f t="shared" si="143"/>
        <v>0.62999999999999978</v>
      </c>
      <c r="BV35" s="55">
        <f t="shared" si="143"/>
        <v>0.60999999999999976</v>
      </c>
      <c r="BW35" s="55">
        <f t="shared" si="143"/>
        <v>0.58999999999999975</v>
      </c>
      <c r="BX35" s="55">
        <f t="shared" si="143"/>
        <v>0.56999999999999973</v>
      </c>
      <c r="BZ35" s="55">
        <f t="shared" si="88"/>
        <v>464924.46000000008</v>
      </c>
      <c r="CA35" s="55">
        <f t="shared" si="89"/>
        <v>464924.46000000008</v>
      </c>
      <c r="CB35" s="59">
        <f t="shared" si="191"/>
        <v>1536947.2798680002</v>
      </c>
      <c r="CC35" s="55">
        <f t="shared" si="192"/>
        <v>450976.72620000009</v>
      </c>
      <c r="CD35" s="59">
        <f t="shared" si="193"/>
        <v>1490838.8614719603</v>
      </c>
      <c r="CE35" s="55">
        <f t="shared" si="194"/>
        <v>441678.23700000008</v>
      </c>
      <c r="CF35" s="59">
        <f t="shared" si="195"/>
        <v>1460099.9158746004</v>
      </c>
      <c r="CG35" s="55">
        <f t="shared" si="196"/>
        <v>432379.74780000007</v>
      </c>
      <c r="CH35" s="59">
        <f t="shared" si="197"/>
        <v>1429360.9702772403</v>
      </c>
      <c r="CI35" s="57">
        <f t="shared" si="198"/>
        <v>423081.25860000006</v>
      </c>
      <c r="CJ35" s="59">
        <f t="shared" si="199"/>
        <v>1398622.0246798801</v>
      </c>
      <c r="CK35" s="55">
        <f t="shared" si="200"/>
        <v>413782.76940000005</v>
      </c>
      <c r="CL35" s="59">
        <f t="shared" si="201"/>
        <v>1367883.0790825202</v>
      </c>
      <c r="CM35" s="57">
        <f t="shared" si="202"/>
        <v>404484.2802000001</v>
      </c>
      <c r="CN35" s="59">
        <f t="shared" si="203"/>
        <v>1337144.1334851603</v>
      </c>
      <c r="CO35" s="60">
        <f t="shared" si="204"/>
        <v>395185.79100000008</v>
      </c>
      <c r="CP35" s="59">
        <f t="shared" si="205"/>
        <v>1306405.1878878004</v>
      </c>
      <c r="CQ35" s="57">
        <f t="shared" si="206"/>
        <v>385887.30180000007</v>
      </c>
      <c r="CR35" s="59">
        <f t="shared" si="207"/>
        <v>1275666.2422904402</v>
      </c>
      <c r="CS35" s="55">
        <f t="shared" si="208"/>
        <v>376588.81260000006</v>
      </c>
      <c r="CT35" s="59">
        <f t="shared" si="209"/>
        <v>1244927.2966930803</v>
      </c>
      <c r="CU35" s="60">
        <f t="shared" si="210"/>
        <v>367290.32340000005</v>
      </c>
      <c r="CV35" s="59">
        <f t="shared" si="211"/>
        <v>1214188.3510957202</v>
      </c>
      <c r="CW35" s="60">
        <f t="shared" si="212"/>
        <v>357991.83420000004</v>
      </c>
      <c r="CX35" s="59">
        <f t="shared" si="213"/>
        <v>1183449.4054983601</v>
      </c>
      <c r="CY35" s="60">
        <f t="shared" si="214"/>
        <v>348693.34500000003</v>
      </c>
      <c r="CZ35" s="59">
        <f t="shared" si="215"/>
        <v>1152710.4599010001</v>
      </c>
      <c r="DA35" s="55">
        <f t="shared" si="216"/>
        <v>339394.85580000002</v>
      </c>
      <c r="DB35" s="59">
        <f t="shared" si="217"/>
        <v>1121971.51430364</v>
      </c>
      <c r="DC35" s="60">
        <f t="shared" si="218"/>
        <v>330096.36660000001</v>
      </c>
      <c r="DD35" s="59">
        <f t="shared" si="219"/>
        <v>1091232.5687062801</v>
      </c>
      <c r="DE35" s="60">
        <f t="shared" si="220"/>
        <v>320797.8774</v>
      </c>
      <c r="DF35" s="59">
        <f t="shared" si="221"/>
        <v>1060493.6231089199</v>
      </c>
      <c r="DG35" s="60">
        <f t="shared" si="222"/>
        <v>311499.38819999999</v>
      </c>
      <c r="DH35" s="59">
        <f t="shared" si="223"/>
        <v>1029754.67751156</v>
      </c>
      <c r="DI35" s="60">
        <f t="shared" si="224"/>
        <v>302200.89899999998</v>
      </c>
      <c r="DJ35" s="59">
        <f t="shared" si="225"/>
        <v>999015.73191419989</v>
      </c>
      <c r="DK35" s="55">
        <f t="shared" si="226"/>
        <v>292902.40979999996</v>
      </c>
      <c r="DL35" s="59">
        <f t="shared" si="227"/>
        <v>968276.78631683986</v>
      </c>
      <c r="DM35" s="60">
        <f t="shared" si="228"/>
        <v>283603.92059999995</v>
      </c>
      <c r="DN35" s="59">
        <f t="shared" si="229"/>
        <v>937537.84071947983</v>
      </c>
      <c r="DO35" s="60">
        <f t="shared" si="230"/>
        <v>274305.43139999994</v>
      </c>
      <c r="DP35" s="59">
        <f t="shared" si="231"/>
        <v>906798.89512211981</v>
      </c>
      <c r="DQ35" s="55">
        <f t="shared" si="232"/>
        <v>265006.94219999993</v>
      </c>
      <c r="DR35" s="59">
        <f t="shared" si="233"/>
        <v>876059.94952475978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4"/>
        <v>0.91</v>
      </c>
      <c r="DZ35" s="55">
        <f t="shared" si="234"/>
        <v>0.89</v>
      </c>
      <c r="EA35" s="55">
        <f t="shared" si="234"/>
        <v>0.87</v>
      </c>
      <c r="EB35" s="55">
        <f t="shared" si="234"/>
        <v>0.85</v>
      </c>
      <c r="EC35" s="55">
        <f t="shared" si="234"/>
        <v>0.83</v>
      </c>
      <c r="ED35" s="55">
        <f t="shared" si="234"/>
        <v>0.80999999999999994</v>
      </c>
      <c r="EE35" s="55">
        <f t="shared" si="234"/>
        <v>0.78999999999999992</v>
      </c>
      <c r="EF35" s="55">
        <f t="shared" si="234"/>
        <v>0.76999999999999991</v>
      </c>
      <c r="EG35" s="55">
        <f t="shared" si="234"/>
        <v>0.74999999999999989</v>
      </c>
      <c r="EH35" s="55">
        <f t="shared" si="234"/>
        <v>0.72999999999999987</v>
      </c>
      <c r="EI35" s="55">
        <f t="shared" si="234"/>
        <v>0.70999999999999985</v>
      </c>
      <c r="EJ35" s="55">
        <f t="shared" si="234"/>
        <v>0.68999999999999984</v>
      </c>
      <c r="EK35" s="55">
        <f t="shared" si="234"/>
        <v>0.66999999999999982</v>
      </c>
      <c r="EL35" s="55">
        <f t="shared" si="234"/>
        <v>0.6499999999999998</v>
      </c>
      <c r="EM35" s="55">
        <f t="shared" si="234"/>
        <v>0.62999999999999978</v>
      </c>
      <c r="EN35" s="55">
        <f t="shared" si="234"/>
        <v>0.60999999999999976</v>
      </c>
      <c r="EO35" s="55">
        <f t="shared" si="234"/>
        <v>0.58999999999999975</v>
      </c>
      <c r="EP35" s="55">
        <f t="shared" si="234"/>
        <v>0.56999999999999973</v>
      </c>
      <c r="ER35" s="55">
        <f t="shared" si="142"/>
        <v>423081.25860000006</v>
      </c>
      <c r="ES35" s="55">
        <f t="shared" si="116"/>
        <v>423081.25860000006</v>
      </c>
      <c r="ET35" s="59">
        <f t="shared" si="235"/>
        <v>1398622.0246798801</v>
      </c>
      <c r="EU35" s="55">
        <f t="shared" si="236"/>
        <v>410388.82084200007</v>
      </c>
      <c r="EV35" s="59">
        <f t="shared" si="237"/>
        <v>1356663.3639394839</v>
      </c>
      <c r="EW35" s="55">
        <f t="shared" si="238"/>
        <v>401927.19567000004</v>
      </c>
      <c r="EX35" s="59">
        <f t="shared" si="239"/>
        <v>1328690.9234458862</v>
      </c>
      <c r="EY35" s="55">
        <f t="shared" si="240"/>
        <v>393465.57049800007</v>
      </c>
      <c r="EZ35" s="59">
        <f t="shared" si="241"/>
        <v>1300718.4829522886</v>
      </c>
      <c r="FA35" s="57">
        <f t="shared" si="242"/>
        <v>385003.94532600004</v>
      </c>
      <c r="FB35" s="59">
        <f t="shared" si="243"/>
        <v>1272746.0424586909</v>
      </c>
      <c r="FC35" s="55">
        <f t="shared" si="244"/>
        <v>376542.32015400007</v>
      </c>
      <c r="FD35" s="59">
        <f t="shared" si="245"/>
        <v>1244773.6019650935</v>
      </c>
      <c r="FE35" s="57">
        <f t="shared" si="246"/>
        <v>368080.69498200004</v>
      </c>
      <c r="FF35" s="59">
        <f t="shared" si="247"/>
        <v>1216801.1614714959</v>
      </c>
      <c r="FG35" s="60">
        <f t="shared" si="248"/>
        <v>359619.06981000002</v>
      </c>
      <c r="FH35" s="59">
        <f t="shared" si="249"/>
        <v>1188828.720977898</v>
      </c>
      <c r="FI35" s="57">
        <f t="shared" si="250"/>
        <v>351157.44463800004</v>
      </c>
      <c r="FJ35" s="59">
        <f t="shared" si="251"/>
        <v>1160856.2804843006</v>
      </c>
      <c r="FK35" s="55">
        <f t="shared" si="252"/>
        <v>342695.81946600002</v>
      </c>
      <c r="FL35" s="59">
        <f t="shared" si="253"/>
        <v>1132883.8399907029</v>
      </c>
      <c r="FM35" s="60">
        <f t="shared" si="254"/>
        <v>334234.19429399999</v>
      </c>
      <c r="FN35" s="59">
        <f t="shared" si="255"/>
        <v>1104911.3994971053</v>
      </c>
      <c r="FO35" s="60">
        <f t="shared" si="256"/>
        <v>325772.56912200002</v>
      </c>
      <c r="FP35" s="59">
        <f t="shared" si="257"/>
        <v>1076938.9590035076</v>
      </c>
      <c r="FQ35" s="60">
        <f t="shared" si="258"/>
        <v>317310.94394999999</v>
      </c>
      <c r="FR35" s="59">
        <f t="shared" si="259"/>
        <v>1048966.51850991</v>
      </c>
      <c r="FS35" s="55">
        <f t="shared" si="260"/>
        <v>308849.31877800002</v>
      </c>
      <c r="FT35" s="59">
        <f t="shared" si="261"/>
        <v>1020994.0780163124</v>
      </c>
      <c r="FU35" s="60">
        <f t="shared" si="262"/>
        <v>300387.69360599999</v>
      </c>
      <c r="FV35" s="59">
        <f t="shared" si="263"/>
        <v>993021.63752271479</v>
      </c>
      <c r="FW35" s="60">
        <f t="shared" si="264"/>
        <v>291926.06843399996</v>
      </c>
      <c r="FX35" s="59">
        <f t="shared" si="265"/>
        <v>965049.19702911703</v>
      </c>
      <c r="FY35" s="60">
        <f t="shared" si="266"/>
        <v>283464.44326199999</v>
      </c>
      <c r="FZ35" s="59">
        <f t="shared" si="267"/>
        <v>937076.75653551961</v>
      </c>
      <c r="GA35" s="60">
        <f t="shared" si="268"/>
        <v>275002.81808999996</v>
      </c>
      <c r="GB35" s="59">
        <f t="shared" si="269"/>
        <v>909104.31604192185</v>
      </c>
      <c r="GC35" s="55">
        <f t="shared" si="270"/>
        <v>266541.19291799993</v>
      </c>
      <c r="GD35" s="59">
        <f t="shared" si="271"/>
        <v>881131.8755483242</v>
      </c>
      <c r="GE35" s="60">
        <f t="shared" si="272"/>
        <v>258079.56774599993</v>
      </c>
      <c r="GF35" s="59">
        <f t="shared" si="273"/>
        <v>853159.43505472655</v>
      </c>
      <c r="GG35" s="60">
        <f t="shared" si="274"/>
        <v>249617.94257399993</v>
      </c>
      <c r="GH35" s="59">
        <f t="shared" si="275"/>
        <v>825186.99456112902</v>
      </c>
      <c r="GI35" s="55">
        <f t="shared" si="276"/>
        <v>241156.31740199993</v>
      </c>
      <c r="GJ35" s="59">
        <f t="shared" si="277"/>
        <v>797214.55406753137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78"/>
        <v>0.91</v>
      </c>
      <c r="GR35" s="55">
        <f t="shared" si="278"/>
        <v>0.89</v>
      </c>
      <c r="GS35" s="55">
        <f t="shared" si="278"/>
        <v>0.87</v>
      </c>
      <c r="GT35" s="55">
        <f t="shared" si="278"/>
        <v>0.85</v>
      </c>
      <c r="GU35" s="55">
        <f t="shared" si="278"/>
        <v>0.83</v>
      </c>
      <c r="GV35" s="55">
        <f t="shared" si="278"/>
        <v>0.80999999999999994</v>
      </c>
      <c r="GW35" s="55">
        <f t="shared" si="278"/>
        <v>0.78999999999999992</v>
      </c>
      <c r="GX35" s="55">
        <f t="shared" si="278"/>
        <v>0.76999999999999991</v>
      </c>
      <c r="GY35" s="55">
        <f t="shared" si="278"/>
        <v>0.74999999999999989</v>
      </c>
      <c r="GZ35" s="55">
        <f t="shared" si="278"/>
        <v>0.72999999999999987</v>
      </c>
      <c r="HA35" s="55">
        <f t="shared" si="278"/>
        <v>0.70999999999999985</v>
      </c>
      <c r="HB35" s="55">
        <f t="shared" si="278"/>
        <v>0.68999999999999984</v>
      </c>
      <c r="HC35" s="55">
        <f t="shared" si="278"/>
        <v>0.66999999999999982</v>
      </c>
      <c r="HD35" s="55">
        <f t="shared" si="278"/>
        <v>0.6499999999999998</v>
      </c>
      <c r="HE35" s="55">
        <f t="shared" si="278"/>
        <v>0.62999999999999978</v>
      </c>
      <c r="HF35" s="55">
        <f t="shared" si="278"/>
        <v>0.60999999999999976</v>
      </c>
      <c r="HG35" s="55">
        <f t="shared" si="278"/>
        <v>0.58999999999999975</v>
      </c>
      <c r="HH35" s="55">
        <f t="shared" si="278"/>
        <v>0.56999999999999973</v>
      </c>
    </row>
    <row r="36" spans="1:216" x14ac:dyDescent="0.3">
      <c r="A36" s="2">
        <v>3</v>
      </c>
      <c r="C36" s="38" t="s">
        <v>14</v>
      </c>
      <c r="D36" s="42">
        <f>TRUNC(67213.3560120618,-1)</f>
        <v>67210</v>
      </c>
      <c r="E36" s="71">
        <f t="shared" si="148"/>
        <v>222180</v>
      </c>
      <c r="H36" s="55">
        <f t="shared" si="61"/>
        <v>244398.00000000003</v>
      </c>
      <c r="I36" s="55">
        <f t="shared" si="62"/>
        <v>244398.00000000003</v>
      </c>
      <c r="J36" s="59">
        <f t="shared" si="63"/>
        <v>807930.90840000007</v>
      </c>
      <c r="K36" s="55">
        <f t="shared" si="149"/>
        <v>237066.06000000003</v>
      </c>
      <c r="L36" s="59">
        <f t="shared" si="150"/>
        <v>783692.98114800011</v>
      </c>
      <c r="M36" s="55">
        <f t="shared" si="151"/>
        <v>232178.1</v>
      </c>
      <c r="N36" s="59">
        <f t="shared" si="152"/>
        <v>767534.36298000009</v>
      </c>
      <c r="O36" s="55">
        <f t="shared" si="153"/>
        <v>227290.14000000004</v>
      </c>
      <c r="P36" s="59">
        <f t="shared" si="154"/>
        <v>751375.74481200019</v>
      </c>
      <c r="Q36" s="57">
        <f t="shared" si="155"/>
        <v>222402.18000000002</v>
      </c>
      <c r="R36" s="59">
        <f t="shared" si="156"/>
        <v>735217.12664400006</v>
      </c>
      <c r="S36" s="55">
        <f t="shared" si="157"/>
        <v>217514.22000000003</v>
      </c>
      <c r="T36" s="59">
        <f t="shared" si="158"/>
        <v>719058.50847600016</v>
      </c>
      <c r="U36" s="57">
        <f t="shared" si="159"/>
        <v>212626.26000000004</v>
      </c>
      <c r="V36" s="59">
        <f t="shared" si="160"/>
        <v>702899.89030800015</v>
      </c>
      <c r="W36" s="60">
        <f t="shared" si="161"/>
        <v>207738.30000000002</v>
      </c>
      <c r="X36" s="59">
        <f t="shared" si="162"/>
        <v>686741.27214000002</v>
      </c>
      <c r="Y36" s="57">
        <f t="shared" si="163"/>
        <v>202850.34000000003</v>
      </c>
      <c r="Z36" s="59">
        <f t="shared" si="164"/>
        <v>670582.65397200012</v>
      </c>
      <c r="AA36" s="55">
        <f t="shared" si="165"/>
        <v>197962.38</v>
      </c>
      <c r="AB36" s="59">
        <f t="shared" si="166"/>
        <v>654424.03580399998</v>
      </c>
      <c r="AC36" s="60">
        <f t="shared" si="167"/>
        <v>193074.42</v>
      </c>
      <c r="AD36" s="59">
        <f t="shared" si="168"/>
        <v>638265.41763600009</v>
      </c>
      <c r="AE36" s="60">
        <f t="shared" si="169"/>
        <v>188186.46</v>
      </c>
      <c r="AF36" s="59">
        <f t="shared" si="170"/>
        <v>622106.79946799995</v>
      </c>
      <c r="AG36" s="60">
        <f t="shared" si="171"/>
        <v>183298.5</v>
      </c>
      <c r="AH36" s="59">
        <f t="shared" si="172"/>
        <v>605948.18130000005</v>
      </c>
      <c r="AI36" s="55">
        <f t="shared" si="173"/>
        <v>178410.53999999998</v>
      </c>
      <c r="AJ36" s="59">
        <f t="shared" si="174"/>
        <v>589789.56313199992</v>
      </c>
      <c r="AK36" s="60">
        <f t="shared" si="175"/>
        <v>173522.58</v>
      </c>
      <c r="AL36" s="59">
        <f t="shared" si="176"/>
        <v>573630.94496400002</v>
      </c>
      <c r="AM36" s="60">
        <f t="shared" si="177"/>
        <v>168634.61999999997</v>
      </c>
      <c r="AN36" s="59">
        <f t="shared" si="178"/>
        <v>557472.32679599989</v>
      </c>
      <c r="AO36" s="60">
        <f t="shared" si="179"/>
        <v>163746.65999999997</v>
      </c>
      <c r="AP36" s="59">
        <f t="shared" si="180"/>
        <v>541313.70862799988</v>
      </c>
      <c r="AQ36" s="60">
        <f t="shared" si="181"/>
        <v>158858.69999999998</v>
      </c>
      <c r="AR36" s="59">
        <f t="shared" si="182"/>
        <v>525155.09045999998</v>
      </c>
      <c r="AS36" s="55">
        <f t="shared" si="183"/>
        <v>153970.73999999996</v>
      </c>
      <c r="AT36" s="59">
        <f t="shared" si="184"/>
        <v>508996.4722919999</v>
      </c>
      <c r="AU36" s="60">
        <f t="shared" si="185"/>
        <v>149082.77999999997</v>
      </c>
      <c r="AV36" s="59">
        <f t="shared" si="186"/>
        <v>492837.85412399989</v>
      </c>
      <c r="AW36" s="60">
        <f t="shared" si="187"/>
        <v>144194.81999999995</v>
      </c>
      <c r="AX36" s="59">
        <f t="shared" si="188"/>
        <v>476679.23595599981</v>
      </c>
      <c r="AY36" s="55">
        <f t="shared" si="189"/>
        <v>139306.85999999996</v>
      </c>
      <c r="AZ36" s="59">
        <f t="shared" si="190"/>
        <v>460520.61778799986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3"/>
        <v>0.91</v>
      </c>
      <c r="BH36" s="55">
        <f t="shared" si="143"/>
        <v>0.89</v>
      </c>
      <c r="BI36" s="55">
        <f t="shared" si="143"/>
        <v>0.87</v>
      </c>
      <c r="BJ36" s="55">
        <f t="shared" si="143"/>
        <v>0.85</v>
      </c>
      <c r="BK36" s="55">
        <f t="shared" si="143"/>
        <v>0.83</v>
      </c>
      <c r="BL36" s="55">
        <f t="shared" si="143"/>
        <v>0.80999999999999994</v>
      </c>
      <c r="BM36" s="55">
        <f t="shared" si="143"/>
        <v>0.78999999999999992</v>
      </c>
      <c r="BN36" s="55">
        <f t="shared" si="143"/>
        <v>0.76999999999999991</v>
      </c>
      <c r="BO36" s="55">
        <f t="shared" si="143"/>
        <v>0.74999999999999989</v>
      </c>
      <c r="BP36" s="55">
        <f t="shared" si="143"/>
        <v>0.72999999999999987</v>
      </c>
      <c r="BQ36" s="55">
        <f t="shared" si="143"/>
        <v>0.70999999999999985</v>
      </c>
      <c r="BR36" s="55">
        <f t="shared" si="143"/>
        <v>0.68999999999999984</v>
      </c>
      <c r="BS36" s="55">
        <f t="shared" si="143"/>
        <v>0.66999999999999982</v>
      </c>
      <c r="BT36" s="55">
        <f t="shared" si="143"/>
        <v>0.6499999999999998</v>
      </c>
      <c r="BU36" s="55">
        <f t="shared" si="143"/>
        <v>0.62999999999999978</v>
      </c>
      <c r="BV36" s="55">
        <f t="shared" si="143"/>
        <v>0.60999999999999976</v>
      </c>
      <c r="BW36" s="55">
        <f t="shared" si="143"/>
        <v>0.58999999999999975</v>
      </c>
      <c r="BX36" s="55">
        <f t="shared" si="143"/>
        <v>0.56999999999999973</v>
      </c>
      <c r="BZ36" s="55">
        <f t="shared" si="88"/>
        <v>222402.18000000002</v>
      </c>
      <c r="CA36" s="55">
        <f t="shared" si="89"/>
        <v>222402.18000000002</v>
      </c>
      <c r="CB36" s="59">
        <f t="shared" si="191"/>
        <v>735217.12664400006</v>
      </c>
      <c r="CC36" s="55">
        <f t="shared" si="192"/>
        <v>215730.11460000003</v>
      </c>
      <c r="CD36" s="59">
        <f t="shared" si="193"/>
        <v>713160.61284468009</v>
      </c>
      <c r="CE36" s="55">
        <f t="shared" si="194"/>
        <v>211282.07100000003</v>
      </c>
      <c r="CF36" s="59">
        <f t="shared" si="195"/>
        <v>698456.27031180006</v>
      </c>
      <c r="CG36" s="55">
        <f t="shared" si="196"/>
        <v>206834.02740000002</v>
      </c>
      <c r="CH36" s="59">
        <f t="shared" si="197"/>
        <v>683751.92777892004</v>
      </c>
      <c r="CI36" s="57">
        <f t="shared" si="198"/>
        <v>202385.98380000002</v>
      </c>
      <c r="CJ36" s="59">
        <f t="shared" si="199"/>
        <v>669047.58524604002</v>
      </c>
      <c r="CK36" s="55">
        <f t="shared" si="200"/>
        <v>197937.94020000001</v>
      </c>
      <c r="CL36" s="59">
        <f t="shared" si="201"/>
        <v>654343.24271316</v>
      </c>
      <c r="CM36" s="57">
        <f t="shared" si="202"/>
        <v>193489.89660000001</v>
      </c>
      <c r="CN36" s="59">
        <f t="shared" si="203"/>
        <v>639638.90018028009</v>
      </c>
      <c r="CO36" s="60">
        <f t="shared" si="204"/>
        <v>189041.853</v>
      </c>
      <c r="CP36" s="59">
        <f t="shared" si="205"/>
        <v>624934.55764740007</v>
      </c>
      <c r="CQ36" s="57">
        <f t="shared" si="206"/>
        <v>184593.8094</v>
      </c>
      <c r="CR36" s="59">
        <f t="shared" si="207"/>
        <v>610230.21511452005</v>
      </c>
      <c r="CS36" s="55">
        <f t="shared" si="208"/>
        <v>180145.76579999999</v>
      </c>
      <c r="CT36" s="59">
        <f t="shared" si="209"/>
        <v>595525.87258164003</v>
      </c>
      <c r="CU36" s="60">
        <f t="shared" si="210"/>
        <v>175697.72219999999</v>
      </c>
      <c r="CV36" s="59">
        <f t="shared" si="211"/>
        <v>580821.53004876</v>
      </c>
      <c r="CW36" s="60">
        <f t="shared" si="212"/>
        <v>171249.67859999998</v>
      </c>
      <c r="CX36" s="59">
        <f t="shared" si="213"/>
        <v>566117.18751587998</v>
      </c>
      <c r="CY36" s="60">
        <f t="shared" si="214"/>
        <v>166801.63499999998</v>
      </c>
      <c r="CZ36" s="59">
        <f t="shared" si="215"/>
        <v>551412.84498299996</v>
      </c>
      <c r="DA36" s="55">
        <f t="shared" si="216"/>
        <v>162353.59139999998</v>
      </c>
      <c r="DB36" s="59">
        <f t="shared" si="217"/>
        <v>536708.50245011994</v>
      </c>
      <c r="DC36" s="60">
        <f t="shared" si="218"/>
        <v>157905.54779999997</v>
      </c>
      <c r="DD36" s="59">
        <f t="shared" si="219"/>
        <v>522004.15991723991</v>
      </c>
      <c r="DE36" s="60">
        <f t="shared" si="220"/>
        <v>153457.50419999997</v>
      </c>
      <c r="DF36" s="59">
        <f t="shared" si="221"/>
        <v>507299.81738435989</v>
      </c>
      <c r="DG36" s="60">
        <f t="shared" si="222"/>
        <v>149009.46059999996</v>
      </c>
      <c r="DH36" s="59">
        <f t="shared" si="223"/>
        <v>492595.47485147987</v>
      </c>
      <c r="DI36" s="60">
        <f t="shared" si="224"/>
        <v>144561.41699999996</v>
      </c>
      <c r="DJ36" s="59">
        <f t="shared" si="225"/>
        <v>477891.13231859985</v>
      </c>
      <c r="DK36" s="55">
        <f t="shared" si="226"/>
        <v>140113.37339999995</v>
      </c>
      <c r="DL36" s="59">
        <f t="shared" si="227"/>
        <v>463186.78978571988</v>
      </c>
      <c r="DM36" s="60">
        <f t="shared" si="228"/>
        <v>135665.32979999995</v>
      </c>
      <c r="DN36" s="59">
        <f t="shared" si="229"/>
        <v>448482.44725283986</v>
      </c>
      <c r="DO36" s="60">
        <f t="shared" si="230"/>
        <v>131217.28619999994</v>
      </c>
      <c r="DP36" s="59">
        <f t="shared" si="231"/>
        <v>433778.10471995984</v>
      </c>
      <c r="DQ36" s="55">
        <f t="shared" si="232"/>
        <v>126769.24259999995</v>
      </c>
      <c r="DR36" s="59">
        <f t="shared" si="233"/>
        <v>419073.76218707988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4"/>
        <v>0.91</v>
      </c>
      <c r="DZ36" s="55">
        <f t="shared" si="234"/>
        <v>0.89</v>
      </c>
      <c r="EA36" s="55">
        <f t="shared" si="234"/>
        <v>0.87</v>
      </c>
      <c r="EB36" s="55">
        <f t="shared" si="234"/>
        <v>0.85</v>
      </c>
      <c r="EC36" s="55">
        <f t="shared" si="234"/>
        <v>0.83</v>
      </c>
      <c r="ED36" s="55">
        <f t="shared" si="234"/>
        <v>0.80999999999999994</v>
      </c>
      <c r="EE36" s="55">
        <f t="shared" si="234"/>
        <v>0.78999999999999992</v>
      </c>
      <c r="EF36" s="55">
        <f t="shared" si="234"/>
        <v>0.76999999999999991</v>
      </c>
      <c r="EG36" s="55">
        <f t="shared" si="234"/>
        <v>0.74999999999999989</v>
      </c>
      <c r="EH36" s="55">
        <f t="shared" si="234"/>
        <v>0.72999999999999987</v>
      </c>
      <c r="EI36" s="55">
        <f t="shared" si="234"/>
        <v>0.70999999999999985</v>
      </c>
      <c r="EJ36" s="55">
        <f t="shared" si="234"/>
        <v>0.68999999999999984</v>
      </c>
      <c r="EK36" s="55">
        <f t="shared" si="234"/>
        <v>0.66999999999999982</v>
      </c>
      <c r="EL36" s="55">
        <f t="shared" si="234"/>
        <v>0.6499999999999998</v>
      </c>
      <c r="EM36" s="55">
        <f t="shared" si="234"/>
        <v>0.62999999999999978</v>
      </c>
      <c r="EN36" s="55">
        <f t="shared" si="234"/>
        <v>0.60999999999999976</v>
      </c>
      <c r="EO36" s="55">
        <f t="shared" si="234"/>
        <v>0.58999999999999975</v>
      </c>
      <c r="EP36" s="55">
        <f t="shared" si="234"/>
        <v>0.56999999999999973</v>
      </c>
      <c r="ER36" s="55">
        <f t="shared" si="142"/>
        <v>202385.98380000002</v>
      </c>
      <c r="ES36" s="55">
        <f t="shared" si="116"/>
        <v>202385.98380000002</v>
      </c>
      <c r="ET36" s="59">
        <f t="shared" si="235"/>
        <v>669047.58524604002</v>
      </c>
      <c r="EU36" s="55">
        <f t="shared" si="236"/>
        <v>196314.404286</v>
      </c>
      <c r="EV36" s="59">
        <f t="shared" si="237"/>
        <v>648976.1576886588</v>
      </c>
      <c r="EW36" s="55">
        <f t="shared" si="238"/>
        <v>192266.68461</v>
      </c>
      <c r="EX36" s="59">
        <f t="shared" si="239"/>
        <v>635595.20598373795</v>
      </c>
      <c r="EY36" s="55">
        <f t="shared" si="240"/>
        <v>188218.96493400002</v>
      </c>
      <c r="EZ36" s="59">
        <f t="shared" si="241"/>
        <v>622214.25427881733</v>
      </c>
      <c r="FA36" s="57">
        <f t="shared" si="242"/>
        <v>184171.24525800001</v>
      </c>
      <c r="FB36" s="59">
        <f t="shared" si="243"/>
        <v>608833.30257389648</v>
      </c>
      <c r="FC36" s="55">
        <f t="shared" si="244"/>
        <v>180123.52558200003</v>
      </c>
      <c r="FD36" s="59">
        <f t="shared" si="245"/>
        <v>595452.35086897574</v>
      </c>
      <c r="FE36" s="57">
        <f t="shared" si="246"/>
        <v>176075.80590600002</v>
      </c>
      <c r="FF36" s="59">
        <f t="shared" si="247"/>
        <v>582071.39916405489</v>
      </c>
      <c r="FG36" s="60">
        <f t="shared" si="248"/>
        <v>172028.08623000002</v>
      </c>
      <c r="FH36" s="59">
        <f t="shared" si="249"/>
        <v>568690.44745913404</v>
      </c>
      <c r="FI36" s="57">
        <f t="shared" si="250"/>
        <v>167980.36655400001</v>
      </c>
      <c r="FJ36" s="59">
        <f t="shared" si="251"/>
        <v>555309.49575421319</v>
      </c>
      <c r="FK36" s="55">
        <f t="shared" si="252"/>
        <v>163932.646878</v>
      </c>
      <c r="FL36" s="59">
        <f t="shared" si="253"/>
        <v>541928.54404929245</v>
      </c>
      <c r="FM36" s="60">
        <f t="shared" si="254"/>
        <v>159884.92720199999</v>
      </c>
      <c r="FN36" s="59">
        <f t="shared" si="255"/>
        <v>528547.5923443716</v>
      </c>
      <c r="FO36" s="60">
        <f t="shared" si="256"/>
        <v>155837.20752599998</v>
      </c>
      <c r="FP36" s="59">
        <f t="shared" si="257"/>
        <v>515166.64063945075</v>
      </c>
      <c r="FQ36" s="60">
        <f t="shared" si="258"/>
        <v>151789.48784999998</v>
      </c>
      <c r="FR36" s="59">
        <f t="shared" si="259"/>
        <v>501785.68893452996</v>
      </c>
      <c r="FS36" s="55">
        <f t="shared" si="260"/>
        <v>147741.768174</v>
      </c>
      <c r="FT36" s="59">
        <f t="shared" si="261"/>
        <v>488404.73722960922</v>
      </c>
      <c r="FU36" s="60">
        <f t="shared" si="262"/>
        <v>143694.04849799999</v>
      </c>
      <c r="FV36" s="59">
        <f t="shared" si="263"/>
        <v>475023.78552468837</v>
      </c>
      <c r="FW36" s="60">
        <f t="shared" si="264"/>
        <v>139646.32882199998</v>
      </c>
      <c r="FX36" s="59">
        <f t="shared" si="265"/>
        <v>461642.83381976758</v>
      </c>
      <c r="FY36" s="60">
        <f t="shared" si="266"/>
        <v>135598.60914599997</v>
      </c>
      <c r="FZ36" s="59">
        <f t="shared" si="267"/>
        <v>448261.88211484673</v>
      </c>
      <c r="GA36" s="60">
        <f t="shared" si="268"/>
        <v>131550.88946999997</v>
      </c>
      <c r="GB36" s="59">
        <f t="shared" si="269"/>
        <v>434880.93040992587</v>
      </c>
      <c r="GC36" s="55">
        <f t="shared" si="270"/>
        <v>127503.16979399997</v>
      </c>
      <c r="GD36" s="59">
        <f t="shared" si="271"/>
        <v>421499.97870500514</v>
      </c>
      <c r="GE36" s="60">
        <f t="shared" si="272"/>
        <v>123455.45011799996</v>
      </c>
      <c r="GF36" s="59">
        <f t="shared" si="273"/>
        <v>408119.02700008429</v>
      </c>
      <c r="GG36" s="60">
        <f t="shared" si="274"/>
        <v>119407.73044199996</v>
      </c>
      <c r="GH36" s="59">
        <f t="shared" si="275"/>
        <v>394738.07529516349</v>
      </c>
      <c r="GI36" s="55">
        <f t="shared" si="276"/>
        <v>115360.01076599995</v>
      </c>
      <c r="GJ36" s="59">
        <f t="shared" si="277"/>
        <v>381357.12359024264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78"/>
        <v>0.91</v>
      </c>
      <c r="GR36" s="55">
        <f t="shared" si="278"/>
        <v>0.89</v>
      </c>
      <c r="GS36" s="55">
        <f t="shared" si="278"/>
        <v>0.87</v>
      </c>
      <c r="GT36" s="55">
        <f t="shared" si="278"/>
        <v>0.85</v>
      </c>
      <c r="GU36" s="55">
        <f t="shared" si="278"/>
        <v>0.83</v>
      </c>
      <c r="GV36" s="55">
        <f t="shared" si="278"/>
        <v>0.80999999999999994</v>
      </c>
      <c r="GW36" s="55">
        <f t="shared" si="278"/>
        <v>0.78999999999999992</v>
      </c>
      <c r="GX36" s="55">
        <f t="shared" si="278"/>
        <v>0.76999999999999991</v>
      </c>
      <c r="GY36" s="55">
        <f t="shared" si="278"/>
        <v>0.74999999999999989</v>
      </c>
      <c r="GZ36" s="55">
        <f t="shared" si="278"/>
        <v>0.72999999999999987</v>
      </c>
      <c r="HA36" s="55">
        <f t="shared" si="278"/>
        <v>0.70999999999999985</v>
      </c>
      <c r="HB36" s="55">
        <f t="shared" si="278"/>
        <v>0.68999999999999984</v>
      </c>
      <c r="HC36" s="55">
        <f t="shared" si="278"/>
        <v>0.66999999999999982</v>
      </c>
      <c r="HD36" s="55">
        <f t="shared" si="278"/>
        <v>0.6499999999999998</v>
      </c>
      <c r="HE36" s="55">
        <f t="shared" si="278"/>
        <v>0.62999999999999978</v>
      </c>
      <c r="HF36" s="55">
        <f t="shared" si="278"/>
        <v>0.60999999999999976</v>
      </c>
      <c r="HG36" s="55">
        <f t="shared" si="278"/>
        <v>0.58999999999999975</v>
      </c>
      <c r="HH36" s="55">
        <f t="shared" si="278"/>
        <v>0.56999999999999973</v>
      </c>
    </row>
    <row r="37" spans="1:216" x14ac:dyDescent="0.3">
      <c r="A37" s="2">
        <v>4</v>
      </c>
      <c r="C37" s="38" t="s">
        <v>16</v>
      </c>
      <c r="D37" s="42">
        <f>TRUNC(2043.80399547682,-1)</f>
        <v>2040</v>
      </c>
      <c r="E37" s="71">
        <f t="shared" si="148"/>
        <v>6740</v>
      </c>
      <c r="H37" s="55">
        <f t="shared" si="61"/>
        <v>7414.0000000000009</v>
      </c>
      <c r="I37" s="55">
        <f t="shared" si="62"/>
        <v>7414.0000000000009</v>
      </c>
      <c r="J37" s="59">
        <f t="shared" si="63"/>
        <v>24509.201200000003</v>
      </c>
      <c r="K37" s="55">
        <f t="shared" si="149"/>
        <v>7191.5800000000008</v>
      </c>
      <c r="L37" s="59">
        <f t="shared" si="150"/>
        <v>23773.925164000004</v>
      </c>
      <c r="M37" s="55">
        <f t="shared" si="151"/>
        <v>7043.3</v>
      </c>
      <c r="N37" s="59">
        <f t="shared" si="152"/>
        <v>23283.741140000002</v>
      </c>
      <c r="O37" s="55">
        <f t="shared" si="153"/>
        <v>6895.0200000000013</v>
      </c>
      <c r="P37" s="59">
        <f t="shared" si="154"/>
        <v>22793.557116000004</v>
      </c>
      <c r="Q37" s="57">
        <f t="shared" si="155"/>
        <v>6746.7400000000007</v>
      </c>
      <c r="R37" s="59">
        <f t="shared" si="156"/>
        <v>22303.373092000002</v>
      </c>
      <c r="S37" s="55">
        <f t="shared" si="157"/>
        <v>6598.4600000000009</v>
      </c>
      <c r="T37" s="59">
        <f t="shared" si="158"/>
        <v>21813.189068000003</v>
      </c>
      <c r="U37" s="57">
        <f t="shared" si="159"/>
        <v>6450.1800000000012</v>
      </c>
      <c r="V37" s="59">
        <f t="shared" si="160"/>
        <v>21323.005044000005</v>
      </c>
      <c r="W37" s="60">
        <f t="shared" si="161"/>
        <v>6301.9000000000005</v>
      </c>
      <c r="X37" s="59">
        <f t="shared" si="162"/>
        <v>20832.821020000003</v>
      </c>
      <c r="Y37" s="57">
        <f t="shared" si="163"/>
        <v>6153.6200000000008</v>
      </c>
      <c r="Z37" s="59">
        <f t="shared" si="164"/>
        <v>20342.636996000005</v>
      </c>
      <c r="AA37" s="55">
        <f t="shared" si="165"/>
        <v>6005.34</v>
      </c>
      <c r="AB37" s="59">
        <f t="shared" si="166"/>
        <v>19852.452971999999</v>
      </c>
      <c r="AC37" s="60">
        <f t="shared" si="167"/>
        <v>5857.06</v>
      </c>
      <c r="AD37" s="59">
        <f t="shared" si="168"/>
        <v>19362.268948000001</v>
      </c>
      <c r="AE37" s="60">
        <f t="shared" si="169"/>
        <v>5708.78</v>
      </c>
      <c r="AF37" s="59">
        <f t="shared" si="170"/>
        <v>18872.084923999999</v>
      </c>
      <c r="AG37" s="60">
        <f t="shared" si="171"/>
        <v>5560.5</v>
      </c>
      <c r="AH37" s="59">
        <f t="shared" si="172"/>
        <v>18381.900900000001</v>
      </c>
      <c r="AI37" s="55">
        <f t="shared" si="173"/>
        <v>5412.2199999999993</v>
      </c>
      <c r="AJ37" s="59">
        <f t="shared" si="174"/>
        <v>17891.716875999999</v>
      </c>
      <c r="AK37" s="60">
        <f t="shared" si="175"/>
        <v>5263.94</v>
      </c>
      <c r="AL37" s="59">
        <f t="shared" si="176"/>
        <v>17401.532852</v>
      </c>
      <c r="AM37" s="60">
        <f t="shared" si="177"/>
        <v>5115.66</v>
      </c>
      <c r="AN37" s="59">
        <f t="shared" si="178"/>
        <v>16911.348827999998</v>
      </c>
      <c r="AO37" s="60">
        <f t="shared" si="179"/>
        <v>4967.3799999999992</v>
      </c>
      <c r="AP37" s="59">
        <f t="shared" si="180"/>
        <v>16421.164803999996</v>
      </c>
      <c r="AQ37" s="60">
        <f t="shared" si="181"/>
        <v>4819.0999999999995</v>
      </c>
      <c r="AR37" s="59">
        <f t="shared" si="182"/>
        <v>15930.980779999998</v>
      </c>
      <c r="AS37" s="55">
        <f t="shared" si="183"/>
        <v>4670.8199999999988</v>
      </c>
      <c r="AT37" s="59">
        <f t="shared" si="184"/>
        <v>15440.796755999996</v>
      </c>
      <c r="AU37" s="60">
        <f t="shared" si="185"/>
        <v>4522.5399999999991</v>
      </c>
      <c r="AV37" s="59">
        <f t="shared" si="186"/>
        <v>14950.612731999998</v>
      </c>
      <c r="AW37" s="60">
        <f t="shared" si="187"/>
        <v>4374.2599999999984</v>
      </c>
      <c r="AX37" s="59">
        <f t="shared" si="188"/>
        <v>14460.428707999996</v>
      </c>
      <c r="AY37" s="55">
        <f t="shared" si="189"/>
        <v>4225.9799999999987</v>
      </c>
      <c r="AZ37" s="59">
        <f t="shared" si="190"/>
        <v>13970.244683999996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3"/>
        <v>0.91</v>
      </c>
      <c r="BH37" s="55">
        <f t="shared" si="143"/>
        <v>0.89</v>
      </c>
      <c r="BI37" s="55">
        <f t="shared" si="143"/>
        <v>0.87</v>
      </c>
      <c r="BJ37" s="55">
        <f t="shared" si="143"/>
        <v>0.85</v>
      </c>
      <c r="BK37" s="55">
        <f t="shared" si="143"/>
        <v>0.83</v>
      </c>
      <c r="BL37" s="55">
        <f t="shared" si="143"/>
        <v>0.80999999999999994</v>
      </c>
      <c r="BM37" s="55">
        <f t="shared" si="143"/>
        <v>0.78999999999999992</v>
      </c>
      <c r="BN37" s="55">
        <f t="shared" si="143"/>
        <v>0.76999999999999991</v>
      </c>
      <c r="BO37" s="55">
        <f t="shared" si="143"/>
        <v>0.74999999999999989</v>
      </c>
      <c r="BP37" s="55">
        <f t="shared" si="143"/>
        <v>0.72999999999999987</v>
      </c>
      <c r="BQ37" s="55">
        <f t="shared" si="143"/>
        <v>0.70999999999999985</v>
      </c>
      <c r="BR37" s="55">
        <f t="shared" si="143"/>
        <v>0.68999999999999984</v>
      </c>
      <c r="BS37" s="55">
        <f t="shared" si="143"/>
        <v>0.66999999999999982</v>
      </c>
      <c r="BT37" s="55">
        <f t="shared" si="143"/>
        <v>0.6499999999999998</v>
      </c>
      <c r="BU37" s="55">
        <f t="shared" si="143"/>
        <v>0.62999999999999978</v>
      </c>
      <c r="BV37" s="55">
        <f t="shared" si="143"/>
        <v>0.60999999999999976</v>
      </c>
      <c r="BW37" s="55">
        <f t="shared" si="143"/>
        <v>0.58999999999999975</v>
      </c>
      <c r="BX37" s="55">
        <f t="shared" si="143"/>
        <v>0.56999999999999973</v>
      </c>
      <c r="BZ37" s="55">
        <f t="shared" si="88"/>
        <v>6746.7400000000007</v>
      </c>
      <c r="CA37" s="55">
        <f t="shared" si="89"/>
        <v>6746.7400000000007</v>
      </c>
      <c r="CB37" s="59">
        <f t="shared" si="191"/>
        <v>22303.373092000002</v>
      </c>
      <c r="CC37" s="55">
        <f t="shared" si="192"/>
        <v>6544.3378000000002</v>
      </c>
      <c r="CD37" s="59">
        <f t="shared" si="193"/>
        <v>21634.27189924</v>
      </c>
      <c r="CE37" s="55">
        <f t="shared" si="194"/>
        <v>6409.4030000000002</v>
      </c>
      <c r="CF37" s="59">
        <f t="shared" si="195"/>
        <v>21188.2044374</v>
      </c>
      <c r="CG37" s="55">
        <f t="shared" si="196"/>
        <v>6274.4682000000012</v>
      </c>
      <c r="CH37" s="59">
        <f t="shared" si="197"/>
        <v>20742.136975560003</v>
      </c>
      <c r="CI37" s="57">
        <f t="shared" si="198"/>
        <v>6139.5334000000012</v>
      </c>
      <c r="CJ37" s="59">
        <f t="shared" si="199"/>
        <v>20296.069513720005</v>
      </c>
      <c r="CK37" s="55">
        <f t="shared" si="200"/>
        <v>6004.5986000000003</v>
      </c>
      <c r="CL37" s="59">
        <f t="shared" si="201"/>
        <v>19850.002051880001</v>
      </c>
      <c r="CM37" s="57">
        <f t="shared" si="202"/>
        <v>5869.6638000000003</v>
      </c>
      <c r="CN37" s="59">
        <f t="shared" si="203"/>
        <v>19403.93459004</v>
      </c>
      <c r="CO37" s="60">
        <f t="shared" si="204"/>
        <v>5734.7290000000003</v>
      </c>
      <c r="CP37" s="59">
        <f t="shared" si="205"/>
        <v>18957.8671282</v>
      </c>
      <c r="CQ37" s="57">
        <f t="shared" si="206"/>
        <v>5599.7942000000003</v>
      </c>
      <c r="CR37" s="59">
        <f t="shared" si="207"/>
        <v>18511.799666360002</v>
      </c>
      <c r="CS37" s="55">
        <f t="shared" si="208"/>
        <v>5464.8594000000003</v>
      </c>
      <c r="CT37" s="59">
        <f t="shared" si="209"/>
        <v>18065.732204520002</v>
      </c>
      <c r="CU37" s="60">
        <f t="shared" si="210"/>
        <v>5329.9246000000003</v>
      </c>
      <c r="CV37" s="59">
        <f t="shared" si="211"/>
        <v>17619.664742680001</v>
      </c>
      <c r="CW37" s="60">
        <f t="shared" si="212"/>
        <v>5194.9898000000003</v>
      </c>
      <c r="CX37" s="59">
        <f t="shared" si="213"/>
        <v>17173.59728084</v>
      </c>
      <c r="CY37" s="60">
        <f t="shared" si="214"/>
        <v>5060.0549999999994</v>
      </c>
      <c r="CZ37" s="59">
        <f t="shared" si="215"/>
        <v>16727.529818999999</v>
      </c>
      <c r="DA37" s="55">
        <f t="shared" si="216"/>
        <v>4925.1201999999994</v>
      </c>
      <c r="DB37" s="59">
        <f t="shared" si="217"/>
        <v>16281.462357159999</v>
      </c>
      <c r="DC37" s="60">
        <f t="shared" si="218"/>
        <v>4790.1853999999994</v>
      </c>
      <c r="DD37" s="59">
        <f t="shared" si="219"/>
        <v>15835.394895319998</v>
      </c>
      <c r="DE37" s="60">
        <f t="shared" si="220"/>
        <v>4655.2505999999994</v>
      </c>
      <c r="DF37" s="59">
        <f t="shared" si="221"/>
        <v>15389.327433479999</v>
      </c>
      <c r="DG37" s="60">
        <f t="shared" si="222"/>
        <v>4520.3157999999994</v>
      </c>
      <c r="DH37" s="59">
        <f t="shared" si="223"/>
        <v>14943.259971639998</v>
      </c>
      <c r="DI37" s="60">
        <f t="shared" si="224"/>
        <v>4385.3809999999994</v>
      </c>
      <c r="DJ37" s="59">
        <f t="shared" si="225"/>
        <v>14497.192509799999</v>
      </c>
      <c r="DK37" s="55">
        <f t="shared" si="226"/>
        <v>4250.4461999999994</v>
      </c>
      <c r="DL37" s="59">
        <f t="shared" si="227"/>
        <v>14051.125047959998</v>
      </c>
      <c r="DM37" s="60">
        <f t="shared" si="228"/>
        <v>4115.5113999999985</v>
      </c>
      <c r="DN37" s="59">
        <f t="shared" si="229"/>
        <v>13605.057586119996</v>
      </c>
      <c r="DO37" s="60">
        <f t="shared" si="230"/>
        <v>3980.5765999999985</v>
      </c>
      <c r="DP37" s="59">
        <f t="shared" si="231"/>
        <v>13158.990124279995</v>
      </c>
      <c r="DQ37" s="55">
        <f t="shared" si="232"/>
        <v>3845.6417999999985</v>
      </c>
      <c r="DR37" s="59">
        <f t="shared" si="233"/>
        <v>12712.922662439996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4"/>
        <v>0.91</v>
      </c>
      <c r="DZ37" s="55">
        <f t="shared" si="234"/>
        <v>0.89</v>
      </c>
      <c r="EA37" s="55">
        <f t="shared" si="234"/>
        <v>0.87</v>
      </c>
      <c r="EB37" s="55">
        <f t="shared" si="234"/>
        <v>0.85</v>
      </c>
      <c r="EC37" s="55">
        <f t="shared" si="234"/>
        <v>0.83</v>
      </c>
      <c r="ED37" s="55">
        <f t="shared" si="234"/>
        <v>0.80999999999999994</v>
      </c>
      <c r="EE37" s="55">
        <f t="shared" si="234"/>
        <v>0.78999999999999992</v>
      </c>
      <c r="EF37" s="55">
        <f t="shared" si="234"/>
        <v>0.76999999999999991</v>
      </c>
      <c r="EG37" s="55">
        <f t="shared" si="234"/>
        <v>0.74999999999999989</v>
      </c>
      <c r="EH37" s="55">
        <f t="shared" si="234"/>
        <v>0.72999999999999987</v>
      </c>
      <c r="EI37" s="55">
        <f t="shared" si="234"/>
        <v>0.70999999999999985</v>
      </c>
      <c r="EJ37" s="55">
        <f t="shared" si="234"/>
        <v>0.68999999999999984</v>
      </c>
      <c r="EK37" s="55">
        <f t="shared" si="234"/>
        <v>0.66999999999999982</v>
      </c>
      <c r="EL37" s="55">
        <f t="shared" si="234"/>
        <v>0.6499999999999998</v>
      </c>
      <c r="EM37" s="55">
        <f t="shared" si="234"/>
        <v>0.62999999999999978</v>
      </c>
      <c r="EN37" s="55">
        <f t="shared" si="234"/>
        <v>0.60999999999999976</v>
      </c>
      <c r="EO37" s="55">
        <f t="shared" si="234"/>
        <v>0.58999999999999975</v>
      </c>
      <c r="EP37" s="55">
        <f t="shared" si="234"/>
        <v>0.56999999999999973</v>
      </c>
      <c r="ER37" s="55">
        <f t="shared" si="142"/>
        <v>6139.5334000000012</v>
      </c>
      <c r="ES37" s="55">
        <f t="shared" si="116"/>
        <v>6139.5334000000012</v>
      </c>
      <c r="ET37" s="59">
        <f t="shared" si="235"/>
        <v>20296.069513720005</v>
      </c>
      <c r="EU37" s="55">
        <f t="shared" si="236"/>
        <v>5955.3473980000008</v>
      </c>
      <c r="EV37" s="59">
        <f t="shared" si="237"/>
        <v>19687.187428308403</v>
      </c>
      <c r="EW37" s="55">
        <f t="shared" si="238"/>
        <v>5832.5567300000012</v>
      </c>
      <c r="EX37" s="59">
        <f t="shared" si="239"/>
        <v>19281.266038034006</v>
      </c>
      <c r="EY37" s="55">
        <f t="shared" si="240"/>
        <v>5709.7660620000015</v>
      </c>
      <c r="EZ37" s="59">
        <f t="shared" si="241"/>
        <v>18875.344647759604</v>
      </c>
      <c r="FA37" s="57">
        <f t="shared" si="242"/>
        <v>5586.975394000001</v>
      </c>
      <c r="FB37" s="59">
        <f t="shared" si="243"/>
        <v>18469.423257485203</v>
      </c>
      <c r="FC37" s="55">
        <f t="shared" si="244"/>
        <v>5464.1847260000013</v>
      </c>
      <c r="FD37" s="59">
        <f t="shared" si="245"/>
        <v>18063.501867210805</v>
      </c>
      <c r="FE37" s="57">
        <f t="shared" si="246"/>
        <v>5341.3940580000008</v>
      </c>
      <c r="FF37" s="59">
        <f t="shared" si="247"/>
        <v>17657.580476936404</v>
      </c>
      <c r="FG37" s="60">
        <f t="shared" si="248"/>
        <v>5218.6033900000011</v>
      </c>
      <c r="FH37" s="59">
        <f t="shared" si="249"/>
        <v>17251.659086662003</v>
      </c>
      <c r="FI37" s="57">
        <f t="shared" si="250"/>
        <v>5095.8127220000006</v>
      </c>
      <c r="FJ37" s="59">
        <f t="shared" si="251"/>
        <v>16845.737696387601</v>
      </c>
      <c r="FK37" s="55">
        <f t="shared" si="252"/>
        <v>4973.0220540000009</v>
      </c>
      <c r="FL37" s="59">
        <f t="shared" si="253"/>
        <v>16439.816306113204</v>
      </c>
      <c r="FM37" s="60">
        <f t="shared" si="254"/>
        <v>4850.2313860000004</v>
      </c>
      <c r="FN37" s="59">
        <f t="shared" si="255"/>
        <v>16033.894915838802</v>
      </c>
      <c r="FO37" s="60">
        <f t="shared" si="256"/>
        <v>4727.4407180000007</v>
      </c>
      <c r="FP37" s="59">
        <f t="shared" si="257"/>
        <v>15627.973525564403</v>
      </c>
      <c r="FQ37" s="60">
        <f t="shared" si="258"/>
        <v>4604.6500500000002</v>
      </c>
      <c r="FR37" s="59">
        <f t="shared" si="259"/>
        <v>15222.052135290001</v>
      </c>
      <c r="FS37" s="55">
        <f t="shared" si="260"/>
        <v>4481.8593819999996</v>
      </c>
      <c r="FT37" s="59">
        <f t="shared" si="261"/>
        <v>14816.1307450156</v>
      </c>
      <c r="FU37" s="60">
        <f t="shared" si="262"/>
        <v>4359.068714</v>
      </c>
      <c r="FV37" s="59">
        <f t="shared" si="263"/>
        <v>14410.209354741201</v>
      </c>
      <c r="FW37" s="60">
        <f t="shared" si="264"/>
        <v>4236.2780459999994</v>
      </c>
      <c r="FX37" s="59">
        <f t="shared" si="265"/>
        <v>14004.287964466799</v>
      </c>
      <c r="FY37" s="60">
        <f t="shared" si="266"/>
        <v>4113.4873779999998</v>
      </c>
      <c r="FZ37" s="59">
        <f t="shared" si="267"/>
        <v>13598.3665741924</v>
      </c>
      <c r="GA37" s="60">
        <f t="shared" si="268"/>
        <v>3990.6967099999997</v>
      </c>
      <c r="GB37" s="59">
        <f t="shared" si="269"/>
        <v>13192.445183918</v>
      </c>
      <c r="GC37" s="55">
        <f t="shared" si="270"/>
        <v>3867.9060419999996</v>
      </c>
      <c r="GD37" s="59">
        <f t="shared" si="271"/>
        <v>12786.523793643599</v>
      </c>
      <c r="GE37" s="60">
        <f t="shared" si="272"/>
        <v>3745.1153739999991</v>
      </c>
      <c r="GF37" s="59">
        <f t="shared" si="273"/>
        <v>12380.602403369197</v>
      </c>
      <c r="GG37" s="60">
        <f t="shared" si="274"/>
        <v>3622.324705999999</v>
      </c>
      <c r="GH37" s="59">
        <f t="shared" si="275"/>
        <v>11974.681013094796</v>
      </c>
      <c r="GI37" s="55">
        <f t="shared" si="276"/>
        <v>3499.5340379999989</v>
      </c>
      <c r="GJ37" s="59">
        <f t="shared" si="277"/>
        <v>11568.759622820397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78"/>
        <v>0.91</v>
      </c>
      <c r="GR37" s="55">
        <f t="shared" si="278"/>
        <v>0.89</v>
      </c>
      <c r="GS37" s="55">
        <f t="shared" si="278"/>
        <v>0.87</v>
      </c>
      <c r="GT37" s="55">
        <f t="shared" si="278"/>
        <v>0.85</v>
      </c>
      <c r="GU37" s="55">
        <f t="shared" si="278"/>
        <v>0.83</v>
      </c>
      <c r="GV37" s="55">
        <f t="shared" si="278"/>
        <v>0.80999999999999994</v>
      </c>
      <c r="GW37" s="55">
        <f t="shared" si="278"/>
        <v>0.78999999999999992</v>
      </c>
      <c r="GX37" s="55">
        <f t="shared" si="278"/>
        <v>0.76999999999999991</v>
      </c>
      <c r="GY37" s="55">
        <f t="shared" si="278"/>
        <v>0.74999999999999989</v>
      </c>
      <c r="GZ37" s="55">
        <f t="shared" si="278"/>
        <v>0.72999999999999987</v>
      </c>
      <c r="HA37" s="55">
        <f t="shared" si="278"/>
        <v>0.70999999999999985</v>
      </c>
      <c r="HB37" s="55">
        <f t="shared" si="278"/>
        <v>0.68999999999999984</v>
      </c>
      <c r="HC37" s="55">
        <f t="shared" si="278"/>
        <v>0.66999999999999982</v>
      </c>
      <c r="HD37" s="55">
        <f t="shared" si="278"/>
        <v>0.6499999999999998</v>
      </c>
      <c r="HE37" s="55">
        <f t="shared" si="278"/>
        <v>0.62999999999999978</v>
      </c>
      <c r="HF37" s="55">
        <f t="shared" si="278"/>
        <v>0.60999999999999976</v>
      </c>
      <c r="HG37" s="55">
        <f t="shared" si="278"/>
        <v>0.58999999999999975</v>
      </c>
      <c r="HH37" s="55">
        <f t="shared" si="278"/>
        <v>0.56999999999999973</v>
      </c>
    </row>
    <row r="38" spans="1:216" x14ac:dyDescent="0.3">
      <c r="A38" s="2">
        <v>5</v>
      </c>
      <c r="C38" s="38" t="s">
        <v>17</v>
      </c>
      <c r="D38" s="42">
        <f>TRUNC(26844.9934036939,-1)</f>
        <v>26840</v>
      </c>
      <c r="E38" s="71">
        <f t="shared" si="148"/>
        <v>88720</v>
      </c>
      <c r="H38" s="55">
        <f t="shared" si="61"/>
        <v>97592.000000000015</v>
      </c>
      <c r="I38" s="55">
        <f t="shared" si="62"/>
        <v>97592.000000000015</v>
      </c>
      <c r="J38" s="59">
        <f t="shared" si="63"/>
        <v>322619.63360000006</v>
      </c>
      <c r="K38" s="55">
        <f t="shared" si="149"/>
        <v>94664.24</v>
      </c>
      <c r="L38" s="59">
        <f t="shared" si="150"/>
        <v>312941.04459200002</v>
      </c>
      <c r="M38" s="55">
        <f t="shared" si="151"/>
        <v>92712.400000000009</v>
      </c>
      <c r="N38" s="59">
        <f t="shared" si="152"/>
        <v>306488.65192000003</v>
      </c>
      <c r="O38" s="55">
        <f t="shared" si="153"/>
        <v>90760.560000000012</v>
      </c>
      <c r="P38" s="59">
        <f t="shared" si="154"/>
        <v>300036.25924800005</v>
      </c>
      <c r="Q38" s="57">
        <f t="shared" si="155"/>
        <v>88808.720000000016</v>
      </c>
      <c r="R38" s="59">
        <f t="shared" si="156"/>
        <v>293583.86657600006</v>
      </c>
      <c r="S38" s="55">
        <f t="shared" si="157"/>
        <v>86856.880000000019</v>
      </c>
      <c r="T38" s="59">
        <f t="shared" si="158"/>
        <v>287131.47390400007</v>
      </c>
      <c r="U38" s="57">
        <f t="shared" si="159"/>
        <v>84905.040000000008</v>
      </c>
      <c r="V38" s="59">
        <f t="shared" si="160"/>
        <v>280679.08123200003</v>
      </c>
      <c r="W38" s="60">
        <f t="shared" si="161"/>
        <v>82953.200000000012</v>
      </c>
      <c r="X38" s="59">
        <f t="shared" si="162"/>
        <v>274226.68856000004</v>
      </c>
      <c r="Y38" s="57">
        <f t="shared" si="163"/>
        <v>81001.360000000015</v>
      </c>
      <c r="Z38" s="59">
        <f t="shared" si="164"/>
        <v>267774.29588800005</v>
      </c>
      <c r="AA38" s="55">
        <f t="shared" si="165"/>
        <v>79049.52</v>
      </c>
      <c r="AB38" s="59">
        <f t="shared" si="166"/>
        <v>261321.90321600001</v>
      </c>
      <c r="AC38" s="60">
        <f t="shared" si="167"/>
        <v>77097.680000000008</v>
      </c>
      <c r="AD38" s="59">
        <f t="shared" si="168"/>
        <v>254869.51054400002</v>
      </c>
      <c r="AE38" s="60">
        <f t="shared" si="169"/>
        <v>75145.84</v>
      </c>
      <c r="AF38" s="59">
        <f t="shared" si="170"/>
        <v>248417.117872</v>
      </c>
      <c r="AG38" s="60">
        <f t="shared" si="171"/>
        <v>73194</v>
      </c>
      <c r="AH38" s="59">
        <f t="shared" si="172"/>
        <v>241964.72520000002</v>
      </c>
      <c r="AI38" s="55">
        <f t="shared" si="173"/>
        <v>71242.16</v>
      </c>
      <c r="AJ38" s="59">
        <f t="shared" si="174"/>
        <v>235512.33252800003</v>
      </c>
      <c r="AK38" s="60">
        <f t="shared" si="175"/>
        <v>69290.319999999992</v>
      </c>
      <c r="AL38" s="59">
        <f t="shared" si="176"/>
        <v>229059.93985599998</v>
      </c>
      <c r="AM38" s="60">
        <f t="shared" si="177"/>
        <v>67338.48</v>
      </c>
      <c r="AN38" s="59">
        <f t="shared" si="178"/>
        <v>222607.547184</v>
      </c>
      <c r="AO38" s="60">
        <f t="shared" si="179"/>
        <v>65386.639999999992</v>
      </c>
      <c r="AP38" s="59">
        <f t="shared" si="180"/>
        <v>216155.15451199998</v>
      </c>
      <c r="AQ38" s="60">
        <f t="shared" si="181"/>
        <v>63434.799999999988</v>
      </c>
      <c r="AR38" s="59">
        <f t="shared" si="182"/>
        <v>209702.76183999996</v>
      </c>
      <c r="AS38" s="55">
        <f t="shared" si="183"/>
        <v>61482.959999999985</v>
      </c>
      <c r="AT38" s="59">
        <f t="shared" si="184"/>
        <v>203250.36916799995</v>
      </c>
      <c r="AU38" s="60">
        <f t="shared" si="185"/>
        <v>59531.119999999988</v>
      </c>
      <c r="AV38" s="59">
        <f t="shared" si="186"/>
        <v>196797.97649599996</v>
      </c>
      <c r="AW38" s="60">
        <f t="shared" si="187"/>
        <v>57579.279999999984</v>
      </c>
      <c r="AX38" s="59">
        <f t="shared" si="188"/>
        <v>190345.58382399994</v>
      </c>
      <c r="AY38" s="55">
        <f t="shared" si="189"/>
        <v>55627.439999999981</v>
      </c>
      <c r="AZ38" s="59">
        <f t="shared" si="190"/>
        <v>183893.19115199993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3"/>
        <v>0.91</v>
      </c>
      <c r="BH38" s="55">
        <f t="shared" si="143"/>
        <v>0.89</v>
      </c>
      <c r="BI38" s="55">
        <f t="shared" si="143"/>
        <v>0.87</v>
      </c>
      <c r="BJ38" s="55">
        <f t="shared" si="143"/>
        <v>0.85</v>
      </c>
      <c r="BK38" s="55">
        <f t="shared" si="143"/>
        <v>0.83</v>
      </c>
      <c r="BL38" s="55">
        <f t="shared" si="143"/>
        <v>0.80999999999999994</v>
      </c>
      <c r="BM38" s="55">
        <f t="shared" si="143"/>
        <v>0.78999999999999992</v>
      </c>
      <c r="BN38" s="55">
        <f t="shared" si="143"/>
        <v>0.76999999999999991</v>
      </c>
      <c r="BO38" s="55">
        <f t="shared" si="143"/>
        <v>0.74999999999999989</v>
      </c>
      <c r="BP38" s="55">
        <f t="shared" si="143"/>
        <v>0.72999999999999987</v>
      </c>
      <c r="BQ38" s="55">
        <f t="shared" si="143"/>
        <v>0.70999999999999985</v>
      </c>
      <c r="BR38" s="55">
        <f t="shared" si="143"/>
        <v>0.68999999999999984</v>
      </c>
      <c r="BS38" s="55">
        <f t="shared" si="143"/>
        <v>0.66999999999999982</v>
      </c>
      <c r="BT38" s="55">
        <f t="shared" si="143"/>
        <v>0.6499999999999998</v>
      </c>
      <c r="BU38" s="55">
        <f t="shared" si="143"/>
        <v>0.62999999999999978</v>
      </c>
      <c r="BV38" s="55">
        <f t="shared" si="143"/>
        <v>0.60999999999999976</v>
      </c>
      <c r="BW38" s="55">
        <f t="shared" si="143"/>
        <v>0.58999999999999975</v>
      </c>
      <c r="BX38" s="55">
        <f t="shared" si="143"/>
        <v>0.56999999999999973</v>
      </c>
      <c r="BZ38" s="55">
        <f t="shared" si="88"/>
        <v>88808.720000000016</v>
      </c>
      <c r="CA38" s="55">
        <f t="shared" si="89"/>
        <v>88808.720000000016</v>
      </c>
      <c r="CB38" s="59">
        <f t="shared" si="191"/>
        <v>293583.86657600006</v>
      </c>
      <c r="CC38" s="55">
        <f t="shared" si="192"/>
        <v>86144.458400000018</v>
      </c>
      <c r="CD38" s="59">
        <f t="shared" si="193"/>
        <v>284776.35057872004</v>
      </c>
      <c r="CE38" s="55">
        <f t="shared" si="194"/>
        <v>84368.284000000014</v>
      </c>
      <c r="CF38" s="59">
        <f t="shared" si="195"/>
        <v>278904.67324720003</v>
      </c>
      <c r="CG38" s="55">
        <f t="shared" si="196"/>
        <v>82592.109600000025</v>
      </c>
      <c r="CH38" s="59">
        <f t="shared" si="197"/>
        <v>273032.99591568008</v>
      </c>
      <c r="CI38" s="57">
        <f t="shared" si="198"/>
        <v>80815.935200000022</v>
      </c>
      <c r="CJ38" s="59">
        <f t="shared" si="199"/>
        <v>267161.31858416006</v>
      </c>
      <c r="CK38" s="55">
        <f t="shared" si="200"/>
        <v>79039.760800000018</v>
      </c>
      <c r="CL38" s="59">
        <f t="shared" si="201"/>
        <v>261289.64125264005</v>
      </c>
      <c r="CM38" s="57">
        <f t="shared" si="202"/>
        <v>77263.586400000015</v>
      </c>
      <c r="CN38" s="59">
        <f t="shared" si="203"/>
        <v>255417.96392112004</v>
      </c>
      <c r="CO38" s="60">
        <f t="shared" si="204"/>
        <v>75487.412000000011</v>
      </c>
      <c r="CP38" s="59">
        <f t="shared" si="205"/>
        <v>249546.28658960003</v>
      </c>
      <c r="CQ38" s="57">
        <f t="shared" si="206"/>
        <v>73711.237600000008</v>
      </c>
      <c r="CR38" s="59">
        <f t="shared" si="207"/>
        <v>243674.60925808002</v>
      </c>
      <c r="CS38" s="55">
        <f t="shared" si="208"/>
        <v>71935.063200000004</v>
      </c>
      <c r="CT38" s="59">
        <f t="shared" si="209"/>
        <v>237802.93192656001</v>
      </c>
      <c r="CU38" s="60">
        <f t="shared" si="210"/>
        <v>70158.888800000001</v>
      </c>
      <c r="CV38" s="59">
        <f t="shared" si="211"/>
        <v>231931.25459503999</v>
      </c>
      <c r="CW38" s="60">
        <f t="shared" si="212"/>
        <v>68382.714399999997</v>
      </c>
      <c r="CX38" s="59">
        <f t="shared" si="213"/>
        <v>226059.57726351998</v>
      </c>
      <c r="CY38" s="60">
        <f t="shared" si="214"/>
        <v>66606.540000000008</v>
      </c>
      <c r="CZ38" s="59">
        <f t="shared" si="215"/>
        <v>220187.89993200003</v>
      </c>
      <c r="DA38" s="55">
        <f t="shared" si="216"/>
        <v>64830.365599999997</v>
      </c>
      <c r="DB38" s="59">
        <f t="shared" si="217"/>
        <v>214316.22260047999</v>
      </c>
      <c r="DC38" s="60">
        <f t="shared" si="218"/>
        <v>63054.191200000001</v>
      </c>
      <c r="DD38" s="59">
        <f t="shared" si="219"/>
        <v>208444.54526896001</v>
      </c>
      <c r="DE38" s="60">
        <f t="shared" si="220"/>
        <v>61278.016799999998</v>
      </c>
      <c r="DF38" s="59">
        <f t="shared" si="221"/>
        <v>202572.86793743999</v>
      </c>
      <c r="DG38" s="60">
        <f t="shared" si="222"/>
        <v>59501.842399999994</v>
      </c>
      <c r="DH38" s="59">
        <f t="shared" si="223"/>
        <v>196701.19060591998</v>
      </c>
      <c r="DI38" s="60">
        <f t="shared" si="224"/>
        <v>57725.667999999991</v>
      </c>
      <c r="DJ38" s="59">
        <f t="shared" si="225"/>
        <v>190829.51327439997</v>
      </c>
      <c r="DK38" s="55">
        <f t="shared" si="226"/>
        <v>55949.493599999987</v>
      </c>
      <c r="DL38" s="59">
        <f t="shared" si="227"/>
        <v>184957.83594287996</v>
      </c>
      <c r="DM38" s="60">
        <f t="shared" si="228"/>
        <v>54173.319199999991</v>
      </c>
      <c r="DN38" s="59">
        <f t="shared" si="229"/>
        <v>179086.15861135998</v>
      </c>
      <c r="DO38" s="60">
        <f t="shared" si="230"/>
        <v>52397.144799999987</v>
      </c>
      <c r="DP38" s="59">
        <f t="shared" si="231"/>
        <v>173214.48127983997</v>
      </c>
      <c r="DQ38" s="55">
        <f t="shared" si="232"/>
        <v>50620.970399999984</v>
      </c>
      <c r="DR38" s="59">
        <f t="shared" si="233"/>
        <v>167342.80394831995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4"/>
        <v>0.91</v>
      </c>
      <c r="DZ38" s="55">
        <f t="shared" si="234"/>
        <v>0.89</v>
      </c>
      <c r="EA38" s="55">
        <f t="shared" si="234"/>
        <v>0.87</v>
      </c>
      <c r="EB38" s="55">
        <f t="shared" si="234"/>
        <v>0.85</v>
      </c>
      <c r="EC38" s="55">
        <f t="shared" si="234"/>
        <v>0.83</v>
      </c>
      <c r="ED38" s="55">
        <f t="shared" si="234"/>
        <v>0.80999999999999994</v>
      </c>
      <c r="EE38" s="55">
        <f t="shared" si="234"/>
        <v>0.78999999999999992</v>
      </c>
      <c r="EF38" s="55">
        <f t="shared" si="234"/>
        <v>0.76999999999999991</v>
      </c>
      <c r="EG38" s="55">
        <f t="shared" si="234"/>
        <v>0.74999999999999989</v>
      </c>
      <c r="EH38" s="55">
        <f t="shared" si="234"/>
        <v>0.72999999999999987</v>
      </c>
      <c r="EI38" s="55">
        <f t="shared" si="234"/>
        <v>0.70999999999999985</v>
      </c>
      <c r="EJ38" s="55">
        <f t="shared" si="234"/>
        <v>0.68999999999999984</v>
      </c>
      <c r="EK38" s="55">
        <f t="shared" si="234"/>
        <v>0.66999999999999982</v>
      </c>
      <c r="EL38" s="55">
        <f t="shared" si="234"/>
        <v>0.6499999999999998</v>
      </c>
      <c r="EM38" s="55">
        <f t="shared" si="234"/>
        <v>0.62999999999999978</v>
      </c>
      <c r="EN38" s="55">
        <f t="shared" si="234"/>
        <v>0.60999999999999976</v>
      </c>
      <c r="EO38" s="55">
        <f t="shared" si="234"/>
        <v>0.58999999999999975</v>
      </c>
      <c r="EP38" s="55">
        <f t="shared" si="234"/>
        <v>0.56999999999999973</v>
      </c>
      <c r="ER38" s="55">
        <f t="shared" si="142"/>
        <v>80815.935200000022</v>
      </c>
      <c r="ES38" s="55">
        <f t="shared" si="116"/>
        <v>80815.935200000022</v>
      </c>
      <c r="ET38" s="59">
        <f t="shared" si="235"/>
        <v>267161.31858416006</v>
      </c>
      <c r="EU38" s="55">
        <f t="shared" si="236"/>
        <v>78391.457144000015</v>
      </c>
      <c r="EV38" s="59">
        <f t="shared" si="237"/>
        <v>259146.47902663526</v>
      </c>
      <c r="EW38" s="55">
        <f t="shared" si="238"/>
        <v>76775.138440000024</v>
      </c>
      <c r="EX38" s="59">
        <f t="shared" si="239"/>
        <v>253803.25265495208</v>
      </c>
      <c r="EY38" s="55">
        <f t="shared" si="240"/>
        <v>75158.819736000019</v>
      </c>
      <c r="EZ38" s="59">
        <f t="shared" si="241"/>
        <v>248460.02628326887</v>
      </c>
      <c r="FA38" s="57">
        <f t="shared" si="242"/>
        <v>73542.501032000029</v>
      </c>
      <c r="FB38" s="59">
        <f t="shared" si="243"/>
        <v>243116.79991158569</v>
      </c>
      <c r="FC38" s="55">
        <f t="shared" si="244"/>
        <v>71926.182328000024</v>
      </c>
      <c r="FD38" s="59">
        <f t="shared" si="245"/>
        <v>237773.57353990249</v>
      </c>
      <c r="FE38" s="57">
        <f t="shared" si="246"/>
        <v>70309.86362400002</v>
      </c>
      <c r="FF38" s="59">
        <f t="shared" si="247"/>
        <v>232430.34716821928</v>
      </c>
      <c r="FG38" s="60">
        <f t="shared" si="248"/>
        <v>68693.544920000015</v>
      </c>
      <c r="FH38" s="59">
        <f t="shared" si="249"/>
        <v>227087.12079653607</v>
      </c>
      <c r="FI38" s="57">
        <f t="shared" si="250"/>
        <v>67077.22621600001</v>
      </c>
      <c r="FJ38" s="59">
        <f t="shared" si="251"/>
        <v>221743.89442485283</v>
      </c>
      <c r="FK38" s="55">
        <f t="shared" si="252"/>
        <v>65460.907512000013</v>
      </c>
      <c r="FL38" s="59">
        <f t="shared" si="253"/>
        <v>216400.66805316965</v>
      </c>
      <c r="FM38" s="60">
        <f t="shared" si="254"/>
        <v>63844.588808000008</v>
      </c>
      <c r="FN38" s="59">
        <f t="shared" si="255"/>
        <v>211057.44168148644</v>
      </c>
      <c r="FO38" s="60">
        <f t="shared" si="256"/>
        <v>62228.27010400001</v>
      </c>
      <c r="FP38" s="59">
        <f t="shared" si="257"/>
        <v>205714.21530980323</v>
      </c>
      <c r="FQ38" s="60">
        <f t="shared" si="258"/>
        <v>60611.951400000005</v>
      </c>
      <c r="FR38" s="59">
        <f t="shared" si="259"/>
        <v>200370.98893812002</v>
      </c>
      <c r="FS38" s="55">
        <f t="shared" si="260"/>
        <v>58995.632696000008</v>
      </c>
      <c r="FT38" s="59">
        <f t="shared" si="261"/>
        <v>195027.76256643684</v>
      </c>
      <c r="FU38" s="60">
        <f t="shared" si="262"/>
        <v>57379.313992000003</v>
      </c>
      <c r="FV38" s="59">
        <f t="shared" si="263"/>
        <v>189684.5361947536</v>
      </c>
      <c r="FW38" s="60">
        <f t="shared" si="264"/>
        <v>55762.995287999998</v>
      </c>
      <c r="FX38" s="59">
        <f t="shared" si="265"/>
        <v>184341.30982307039</v>
      </c>
      <c r="FY38" s="60">
        <f t="shared" si="266"/>
        <v>54146.676584000001</v>
      </c>
      <c r="FZ38" s="59">
        <f t="shared" si="267"/>
        <v>178998.08345138721</v>
      </c>
      <c r="GA38" s="60">
        <f t="shared" si="268"/>
        <v>52530.357879999996</v>
      </c>
      <c r="GB38" s="59">
        <f t="shared" si="269"/>
        <v>173654.857079704</v>
      </c>
      <c r="GC38" s="55">
        <f t="shared" si="270"/>
        <v>50914.039175999998</v>
      </c>
      <c r="GD38" s="59">
        <f t="shared" si="271"/>
        <v>168311.63070802079</v>
      </c>
      <c r="GE38" s="60">
        <f t="shared" si="272"/>
        <v>49297.720471999994</v>
      </c>
      <c r="GF38" s="59">
        <f t="shared" si="273"/>
        <v>162968.40433633758</v>
      </c>
      <c r="GG38" s="60">
        <f t="shared" si="274"/>
        <v>47681.401767999989</v>
      </c>
      <c r="GH38" s="59">
        <f t="shared" si="275"/>
        <v>157625.17796465437</v>
      </c>
      <c r="GI38" s="55">
        <f t="shared" si="276"/>
        <v>46065.083063999991</v>
      </c>
      <c r="GJ38" s="59">
        <f t="shared" si="277"/>
        <v>152281.95159297116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78"/>
        <v>0.91</v>
      </c>
      <c r="GR38" s="55">
        <f t="shared" si="278"/>
        <v>0.89</v>
      </c>
      <c r="GS38" s="55">
        <f t="shared" si="278"/>
        <v>0.87</v>
      </c>
      <c r="GT38" s="55">
        <f t="shared" si="278"/>
        <v>0.85</v>
      </c>
      <c r="GU38" s="55">
        <f t="shared" si="278"/>
        <v>0.83</v>
      </c>
      <c r="GV38" s="55">
        <f t="shared" si="278"/>
        <v>0.80999999999999994</v>
      </c>
      <c r="GW38" s="55">
        <f t="shared" si="278"/>
        <v>0.78999999999999992</v>
      </c>
      <c r="GX38" s="55">
        <f t="shared" si="278"/>
        <v>0.76999999999999991</v>
      </c>
      <c r="GY38" s="55">
        <f t="shared" si="278"/>
        <v>0.74999999999999989</v>
      </c>
      <c r="GZ38" s="55">
        <f t="shared" si="278"/>
        <v>0.72999999999999987</v>
      </c>
      <c r="HA38" s="55">
        <f t="shared" si="278"/>
        <v>0.70999999999999985</v>
      </c>
      <c r="HB38" s="55">
        <f t="shared" si="278"/>
        <v>0.68999999999999984</v>
      </c>
      <c r="HC38" s="55">
        <f t="shared" si="278"/>
        <v>0.66999999999999982</v>
      </c>
      <c r="HD38" s="55">
        <f t="shared" si="278"/>
        <v>0.6499999999999998</v>
      </c>
      <c r="HE38" s="55">
        <f t="shared" si="278"/>
        <v>0.62999999999999978</v>
      </c>
      <c r="HF38" s="55">
        <f t="shared" si="278"/>
        <v>0.60999999999999976</v>
      </c>
      <c r="HG38" s="55">
        <f t="shared" si="278"/>
        <v>0.58999999999999975</v>
      </c>
      <c r="HH38" s="55">
        <f t="shared" si="278"/>
        <v>0.56999999999999973</v>
      </c>
    </row>
    <row r="39" spans="1:216" x14ac:dyDescent="0.3">
      <c r="A39" s="2">
        <v>6</v>
      </c>
      <c r="C39" s="38" t="s">
        <v>18</v>
      </c>
      <c r="D39" s="42">
        <f>TRUNC(4807.43309460988,-1)</f>
        <v>4800</v>
      </c>
      <c r="E39" s="71">
        <f t="shared" si="148"/>
        <v>15860</v>
      </c>
      <c r="H39" s="55">
        <f t="shared" si="61"/>
        <v>17446</v>
      </c>
      <c r="I39" s="55">
        <f t="shared" si="62"/>
        <v>17446</v>
      </c>
      <c r="J39" s="59">
        <f t="shared" si="63"/>
        <v>57672.986799999999</v>
      </c>
      <c r="K39" s="55">
        <f t="shared" si="149"/>
        <v>16922.62</v>
      </c>
      <c r="L39" s="59">
        <f t="shared" si="150"/>
        <v>55942.797196</v>
      </c>
      <c r="M39" s="55">
        <f t="shared" si="151"/>
        <v>16573.7</v>
      </c>
      <c r="N39" s="59">
        <f t="shared" si="152"/>
        <v>54789.337460000002</v>
      </c>
      <c r="O39" s="55">
        <f t="shared" si="153"/>
        <v>16224.78</v>
      </c>
      <c r="P39" s="59">
        <f t="shared" si="154"/>
        <v>53635.877724000005</v>
      </c>
      <c r="Q39" s="57">
        <f t="shared" si="155"/>
        <v>15875.86</v>
      </c>
      <c r="R39" s="59">
        <f t="shared" si="156"/>
        <v>52482.417988000001</v>
      </c>
      <c r="S39" s="55">
        <f t="shared" si="157"/>
        <v>15526.94</v>
      </c>
      <c r="T39" s="59">
        <f t="shared" si="158"/>
        <v>51328.958252000004</v>
      </c>
      <c r="U39" s="57">
        <f t="shared" si="159"/>
        <v>15178.02</v>
      </c>
      <c r="V39" s="59">
        <f t="shared" si="160"/>
        <v>50175.498516</v>
      </c>
      <c r="W39" s="60">
        <f t="shared" si="161"/>
        <v>14829.1</v>
      </c>
      <c r="X39" s="59">
        <f t="shared" si="162"/>
        <v>49022.038780000003</v>
      </c>
      <c r="Y39" s="57">
        <f t="shared" si="163"/>
        <v>14480.179999999998</v>
      </c>
      <c r="Z39" s="59">
        <f t="shared" si="164"/>
        <v>47868.579043999998</v>
      </c>
      <c r="AA39" s="55">
        <f t="shared" si="165"/>
        <v>14131.259999999998</v>
      </c>
      <c r="AB39" s="59">
        <f t="shared" si="166"/>
        <v>46715.119307999994</v>
      </c>
      <c r="AC39" s="60">
        <f t="shared" si="167"/>
        <v>13782.339999999998</v>
      </c>
      <c r="AD39" s="59">
        <f t="shared" si="168"/>
        <v>45561.659571999997</v>
      </c>
      <c r="AE39" s="60">
        <f t="shared" si="169"/>
        <v>13433.419999999998</v>
      </c>
      <c r="AF39" s="59">
        <f t="shared" si="170"/>
        <v>44408.199835999993</v>
      </c>
      <c r="AG39" s="60">
        <f t="shared" si="171"/>
        <v>13084.499999999998</v>
      </c>
      <c r="AH39" s="59">
        <f t="shared" si="172"/>
        <v>43254.740099999995</v>
      </c>
      <c r="AI39" s="55">
        <f t="shared" si="173"/>
        <v>12735.579999999998</v>
      </c>
      <c r="AJ39" s="59">
        <f t="shared" si="174"/>
        <v>42101.280363999991</v>
      </c>
      <c r="AK39" s="60">
        <f t="shared" si="175"/>
        <v>12386.659999999998</v>
      </c>
      <c r="AL39" s="59">
        <f t="shared" si="176"/>
        <v>40947.820627999994</v>
      </c>
      <c r="AM39" s="60">
        <f t="shared" si="177"/>
        <v>12037.739999999998</v>
      </c>
      <c r="AN39" s="59">
        <f t="shared" si="178"/>
        <v>39794.360891999997</v>
      </c>
      <c r="AO39" s="60">
        <f t="shared" si="179"/>
        <v>11688.819999999996</v>
      </c>
      <c r="AP39" s="59">
        <f t="shared" si="180"/>
        <v>38640.901155999985</v>
      </c>
      <c r="AQ39" s="60">
        <f t="shared" si="181"/>
        <v>11339.899999999996</v>
      </c>
      <c r="AR39" s="59">
        <f t="shared" si="182"/>
        <v>37487.441419999988</v>
      </c>
      <c r="AS39" s="55">
        <f t="shared" si="183"/>
        <v>10990.979999999996</v>
      </c>
      <c r="AT39" s="59">
        <f t="shared" si="184"/>
        <v>36333.981683999984</v>
      </c>
      <c r="AU39" s="60">
        <f t="shared" si="185"/>
        <v>10642.059999999996</v>
      </c>
      <c r="AV39" s="59">
        <f t="shared" si="186"/>
        <v>35180.521947999987</v>
      </c>
      <c r="AW39" s="60">
        <f t="shared" si="187"/>
        <v>10293.139999999996</v>
      </c>
      <c r="AX39" s="59">
        <f t="shared" si="188"/>
        <v>34027.06221199999</v>
      </c>
      <c r="AY39" s="55">
        <f t="shared" si="189"/>
        <v>9944.2199999999957</v>
      </c>
      <c r="AZ39" s="59">
        <f t="shared" si="190"/>
        <v>32873.602475999985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3"/>
        <v>0.91</v>
      </c>
      <c r="BH39" s="55">
        <f t="shared" si="143"/>
        <v>0.89</v>
      </c>
      <c r="BI39" s="55">
        <f t="shared" si="143"/>
        <v>0.87</v>
      </c>
      <c r="BJ39" s="55">
        <f t="shared" si="143"/>
        <v>0.85</v>
      </c>
      <c r="BK39" s="55">
        <f t="shared" si="143"/>
        <v>0.83</v>
      </c>
      <c r="BL39" s="55">
        <f t="shared" si="143"/>
        <v>0.80999999999999994</v>
      </c>
      <c r="BM39" s="55">
        <f t="shared" si="143"/>
        <v>0.78999999999999992</v>
      </c>
      <c r="BN39" s="55">
        <f t="shared" si="143"/>
        <v>0.76999999999999991</v>
      </c>
      <c r="BO39" s="55">
        <f t="shared" si="143"/>
        <v>0.74999999999999989</v>
      </c>
      <c r="BP39" s="55">
        <f t="shared" si="143"/>
        <v>0.72999999999999987</v>
      </c>
      <c r="BQ39" s="55">
        <f t="shared" si="143"/>
        <v>0.70999999999999985</v>
      </c>
      <c r="BR39" s="55">
        <f t="shared" si="143"/>
        <v>0.68999999999999984</v>
      </c>
      <c r="BS39" s="55">
        <f t="shared" si="143"/>
        <v>0.66999999999999982</v>
      </c>
      <c r="BT39" s="55">
        <f t="shared" si="143"/>
        <v>0.6499999999999998</v>
      </c>
      <c r="BU39" s="55">
        <f t="shared" si="143"/>
        <v>0.62999999999999978</v>
      </c>
      <c r="BV39" s="55">
        <f t="shared" si="143"/>
        <v>0.60999999999999976</v>
      </c>
      <c r="BW39" s="55">
        <f t="shared" si="143"/>
        <v>0.58999999999999975</v>
      </c>
      <c r="BX39" s="55">
        <f t="shared" si="143"/>
        <v>0.56999999999999973</v>
      </c>
      <c r="BZ39" s="55">
        <f t="shared" si="88"/>
        <v>15875.86</v>
      </c>
      <c r="CA39" s="55">
        <f t="shared" si="89"/>
        <v>15875.86</v>
      </c>
      <c r="CB39" s="59">
        <f t="shared" si="191"/>
        <v>52482.417988000001</v>
      </c>
      <c r="CC39" s="55">
        <f t="shared" si="192"/>
        <v>15399.584199999999</v>
      </c>
      <c r="CD39" s="59">
        <f t="shared" si="193"/>
        <v>50907.945448359998</v>
      </c>
      <c r="CE39" s="55">
        <f t="shared" si="194"/>
        <v>15082.066999999999</v>
      </c>
      <c r="CF39" s="59">
        <f t="shared" si="195"/>
        <v>49858.297088599997</v>
      </c>
      <c r="CG39" s="55">
        <f t="shared" si="196"/>
        <v>14764.549800000001</v>
      </c>
      <c r="CH39" s="59">
        <f t="shared" si="197"/>
        <v>48808.648728840002</v>
      </c>
      <c r="CI39" s="57">
        <f t="shared" si="198"/>
        <v>14447.0326</v>
      </c>
      <c r="CJ39" s="59">
        <f t="shared" si="199"/>
        <v>47759.00036908</v>
      </c>
      <c r="CK39" s="55">
        <f t="shared" si="200"/>
        <v>14129.5154</v>
      </c>
      <c r="CL39" s="59">
        <f t="shared" si="201"/>
        <v>46709.352009319999</v>
      </c>
      <c r="CM39" s="57">
        <f t="shared" si="202"/>
        <v>13811.9982</v>
      </c>
      <c r="CN39" s="59">
        <f t="shared" si="203"/>
        <v>45659.703649560004</v>
      </c>
      <c r="CO39" s="60">
        <f t="shared" si="204"/>
        <v>13494.481</v>
      </c>
      <c r="CP39" s="59">
        <f t="shared" si="205"/>
        <v>44610.055289800002</v>
      </c>
      <c r="CQ39" s="57">
        <f t="shared" si="206"/>
        <v>13176.9638</v>
      </c>
      <c r="CR39" s="59">
        <f t="shared" si="207"/>
        <v>43560.406930040001</v>
      </c>
      <c r="CS39" s="55">
        <f t="shared" si="208"/>
        <v>12859.446599999999</v>
      </c>
      <c r="CT39" s="59">
        <f t="shared" si="209"/>
        <v>42510.758570279999</v>
      </c>
      <c r="CU39" s="60">
        <f t="shared" si="210"/>
        <v>12541.929399999999</v>
      </c>
      <c r="CV39" s="59">
        <f t="shared" si="211"/>
        <v>41461.110210519997</v>
      </c>
      <c r="CW39" s="60">
        <f t="shared" si="212"/>
        <v>12224.412199999999</v>
      </c>
      <c r="CX39" s="59">
        <f t="shared" si="213"/>
        <v>40411.461850759995</v>
      </c>
      <c r="CY39" s="60">
        <f t="shared" si="214"/>
        <v>11906.894999999999</v>
      </c>
      <c r="CZ39" s="59">
        <f t="shared" si="215"/>
        <v>39361.813490999994</v>
      </c>
      <c r="DA39" s="55">
        <f t="shared" si="216"/>
        <v>11589.377799999998</v>
      </c>
      <c r="DB39" s="59">
        <f t="shared" si="217"/>
        <v>38312.165131239999</v>
      </c>
      <c r="DC39" s="60">
        <f t="shared" si="218"/>
        <v>11271.860599999998</v>
      </c>
      <c r="DD39" s="59">
        <f t="shared" si="219"/>
        <v>37262.516771479997</v>
      </c>
      <c r="DE39" s="60">
        <f t="shared" si="220"/>
        <v>10954.343399999998</v>
      </c>
      <c r="DF39" s="59">
        <f t="shared" si="221"/>
        <v>36212.868411719995</v>
      </c>
      <c r="DG39" s="60">
        <f t="shared" si="222"/>
        <v>10636.826199999998</v>
      </c>
      <c r="DH39" s="59">
        <f t="shared" si="223"/>
        <v>35163.220051959994</v>
      </c>
      <c r="DI39" s="60">
        <f t="shared" si="224"/>
        <v>10319.308999999997</v>
      </c>
      <c r="DJ39" s="59">
        <f t="shared" si="225"/>
        <v>34113.571692199992</v>
      </c>
      <c r="DK39" s="55">
        <f t="shared" si="226"/>
        <v>10001.791799999997</v>
      </c>
      <c r="DL39" s="59">
        <f t="shared" si="227"/>
        <v>33063.92333243999</v>
      </c>
      <c r="DM39" s="60">
        <f t="shared" si="228"/>
        <v>9684.274599999997</v>
      </c>
      <c r="DN39" s="59">
        <f t="shared" si="229"/>
        <v>32014.274972679992</v>
      </c>
      <c r="DO39" s="60">
        <f t="shared" si="230"/>
        <v>9366.7573999999968</v>
      </c>
      <c r="DP39" s="59">
        <f t="shared" si="231"/>
        <v>30964.62661291999</v>
      </c>
      <c r="DQ39" s="55">
        <f t="shared" si="232"/>
        <v>9049.2401999999965</v>
      </c>
      <c r="DR39" s="59">
        <f t="shared" si="233"/>
        <v>29914.978253159989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4"/>
        <v>0.91</v>
      </c>
      <c r="DZ39" s="55">
        <f t="shared" si="234"/>
        <v>0.89</v>
      </c>
      <c r="EA39" s="55">
        <f t="shared" si="234"/>
        <v>0.87</v>
      </c>
      <c r="EB39" s="55">
        <f t="shared" si="234"/>
        <v>0.85</v>
      </c>
      <c r="EC39" s="55">
        <f t="shared" si="234"/>
        <v>0.83</v>
      </c>
      <c r="ED39" s="55">
        <f t="shared" si="234"/>
        <v>0.80999999999999994</v>
      </c>
      <c r="EE39" s="55">
        <f t="shared" si="234"/>
        <v>0.78999999999999992</v>
      </c>
      <c r="EF39" s="55">
        <f t="shared" si="234"/>
        <v>0.76999999999999991</v>
      </c>
      <c r="EG39" s="55">
        <f t="shared" si="234"/>
        <v>0.74999999999999989</v>
      </c>
      <c r="EH39" s="55">
        <f t="shared" si="234"/>
        <v>0.72999999999999987</v>
      </c>
      <c r="EI39" s="55">
        <f t="shared" si="234"/>
        <v>0.70999999999999985</v>
      </c>
      <c r="EJ39" s="55">
        <f t="shared" si="234"/>
        <v>0.68999999999999984</v>
      </c>
      <c r="EK39" s="55">
        <f t="shared" si="234"/>
        <v>0.66999999999999982</v>
      </c>
      <c r="EL39" s="55">
        <f t="shared" si="234"/>
        <v>0.6499999999999998</v>
      </c>
      <c r="EM39" s="55">
        <f t="shared" si="234"/>
        <v>0.62999999999999978</v>
      </c>
      <c r="EN39" s="55">
        <f t="shared" si="234"/>
        <v>0.60999999999999976</v>
      </c>
      <c r="EO39" s="55">
        <f t="shared" si="234"/>
        <v>0.58999999999999975</v>
      </c>
      <c r="EP39" s="55">
        <f t="shared" si="234"/>
        <v>0.56999999999999973</v>
      </c>
      <c r="ER39" s="55">
        <f t="shared" si="142"/>
        <v>14447.0326</v>
      </c>
      <c r="ES39" s="55">
        <f t="shared" si="116"/>
        <v>14447.0326</v>
      </c>
      <c r="ET39" s="59">
        <f t="shared" si="235"/>
        <v>47759.00036908</v>
      </c>
      <c r="EU39" s="55">
        <f t="shared" si="236"/>
        <v>14013.621622000001</v>
      </c>
      <c r="EV39" s="59">
        <f t="shared" si="237"/>
        <v>46326.230358007604</v>
      </c>
      <c r="EW39" s="55">
        <f t="shared" si="238"/>
        <v>13724.680969999999</v>
      </c>
      <c r="EX39" s="59">
        <f t="shared" si="239"/>
        <v>45371.050350625999</v>
      </c>
      <c r="EY39" s="55">
        <f t="shared" si="240"/>
        <v>13435.740318000002</v>
      </c>
      <c r="EZ39" s="59">
        <f t="shared" si="241"/>
        <v>44415.870343244409</v>
      </c>
      <c r="FA39" s="57">
        <f t="shared" si="242"/>
        <v>13146.799666000001</v>
      </c>
      <c r="FB39" s="59">
        <f t="shared" si="243"/>
        <v>43460.690335862804</v>
      </c>
      <c r="FC39" s="55">
        <f t="shared" si="244"/>
        <v>12857.859014000001</v>
      </c>
      <c r="FD39" s="59">
        <f t="shared" si="245"/>
        <v>42505.510328481207</v>
      </c>
      <c r="FE39" s="57">
        <f t="shared" si="246"/>
        <v>12568.918362</v>
      </c>
      <c r="FF39" s="59">
        <f t="shared" si="247"/>
        <v>41550.330321099602</v>
      </c>
      <c r="FG39" s="60">
        <f t="shared" si="248"/>
        <v>12279.977709999999</v>
      </c>
      <c r="FH39" s="59">
        <f t="shared" si="249"/>
        <v>40595.150313717997</v>
      </c>
      <c r="FI39" s="57">
        <f t="shared" si="250"/>
        <v>11991.037058</v>
      </c>
      <c r="FJ39" s="59">
        <f t="shared" si="251"/>
        <v>39639.9703063364</v>
      </c>
      <c r="FK39" s="55">
        <f t="shared" si="252"/>
        <v>11702.096405999999</v>
      </c>
      <c r="FL39" s="59">
        <f t="shared" si="253"/>
        <v>38684.790298954795</v>
      </c>
      <c r="FM39" s="60">
        <f t="shared" si="254"/>
        <v>11413.155753999999</v>
      </c>
      <c r="FN39" s="59">
        <f t="shared" si="255"/>
        <v>37729.610291573197</v>
      </c>
      <c r="FO39" s="60">
        <f t="shared" si="256"/>
        <v>11124.215101999998</v>
      </c>
      <c r="FP39" s="59">
        <f t="shared" si="257"/>
        <v>36774.430284191592</v>
      </c>
      <c r="FQ39" s="60">
        <f t="shared" si="258"/>
        <v>10835.274449999999</v>
      </c>
      <c r="FR39" s="59">
        <f t="shared" si="259"/>
        <v>35819.250276809995</v>
      </c>
      <c r="FS39" s="55">
        <f t="shared" si="260"/>
        <v>10546.333797999998</v>
      </c>
      <c r="FT39" s="59">
        <f t="shared" si="261"/>
        <v>34864.07026942839</v>
      </c>
      <c r="FU39" s="60">
        <f t="shared" si="262"/>
        <v>10257.393145999999</v>
      </c>
      <c r="FV39" s="59">
        <f t="shared" si="263"/>
        <v>33908.890262046792</v>
      </c>
      <c r="FW39" s="60">
        <f t="shared" si="264"/>
        <v>9968.4524939999974</v>
      </c>
      <c r="FX39" s="59">
        <f t="shared" si="265"/>
        <v>32953.710254665195</v>
      </c>
      <c r="FY39" s="60">
        <f t="shared" si="266"/>
        <v>9679.5118419999981</v>
      </c>
      <c r="FZ39" s="59">
        <f t="shared" si="267"/>
        <v>31998.530247283594</v>
      </c>
      <c r="GA39" s="60">
        <f t="shared" si="268"/>
        <v>9390.5711899999969</v>
      </c>
      <c r="GB39" s="59">
        <f t="shared" si="269"/>
        <v>31043.350239901989</v>
      </c>
      <c r="GC39" s="55">
        <f t="shared" si="270"/>
        <v>9101.6305379999976</v>
      </c>
      <c r="GD39" s="59">
        <f t="shared" si="271"/>
        <v>30088.170232520391</v>
      </c>
      <c r="GE39" s="60">
        <f t="shared" si="272"/>
        <v>8812.6898859999965</v>
      </c>
      <c r="GF39" s="59">
        <f t="shared" si="273"/>
        <v>29132.99022513879</v>
      </c>
      <c r="GG39" s="60">
        <f t="shared" si="274"/>
        <v>8523.7492339999972</v>
      </c>
      <c r="GH39" s="59">
        <f t="shared" si="275"/>
        <v>28177.810217757193</v>
      </c>
      <c r="GI39" s="55">
        <f t="shared" si="276"/>
        <v>8234.808581999996</v>
      </c>
      <c r="GJ39" s="59">
        <f t="shared" si="277"/>
        <v>27222.630210375588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78"/>
        <v>0.91</v>
      </c>
      <c r="GR39" s="55">
        <f t="shared" si="278"/>
        <v>0.89</v>
      </c>
      <c r="GS39" s="55">
        <f t="shared" si="278"/>
        <v>0.87</v>
      </c>
      <c r="GT39" s="55">
        <f t="shared" si="278"/>
        <v>0.85</v>
      </c>
      <c r="GU39" s="55">
        <f t="shared" si="278"/>
        <v>0.83</v>
      </c>
      <c r="GV39" s="55">
        <f t="shared" si="278"/>
        <v>0.80999999999999994</v>
      </c>
      <c r="GW39" s="55">
        <f t="shared" si="278"/>
        <v>0.78999999999999992</v>
      </c>
      <c r="GX39" s="55">
        <f t="shared" si="278"/>
        <v>0.76999999999999991</v>
      </c>
      <c r="GY39" s="55">
        <f t="shared" si="278"/>
        <v>0.74999999999999989</v>
      </c>
      <c r="GZ39" s="55">
        <f t="shared" si="278"/>
        <v>0.72999999999999987</v>
      </c>
      <c r="HA39" s="55">
        <f t="shared" si="278"/>
        <v>0.70999999999999985</v>
      </c>
      <c r="HB39" s="55">
        <f t="shared" si="278"/>
        <v>0.68999999999999984</v>
      </c>
      <c r="HC39" s="55">
        <f t="shared" si="278"/>
        <v>0.66999999999999982</v>
      </c>
      <c r="HD39" s="55">
        <f t="shared" si="278"/>
        <v>0.6499999999999998</v>
      </c>
      <c r="HE39" s="55">
        <f t="shared" si="278"/>
        <v>0.62999999999999978</v>
      </c>
      <c r="HF39" s="55">
        <f t="shared" si="278"/>
        <v>0.60999999999999976</v>
      </c>
      <c r="HG39" s="55">
        <f t="shared" si="278"/>
        <v>0.58999999999999975</v>
      </c>
      <c r="HH39" s="55">
        <f t="shared" si="278"/>
        <v>0.56999999999999973</v>
      </c>
    </row>
    <row r="40" spans="1:216" x14ac:dyDescent="0.3">
      <c r="A40" s="2">
        <v>7</v>
      </c>
      <c r="C40" s="38" t="s">
        <v>19</v>
      </c>
      <c r="D40" s="42">
        <f>TRUNC(134495.047116472,-1)</f>
        <v>134490</v>
      </c>
      <c r="E40" s="71">
        <f t="shared" si="148"/>
        <v>444590</v>
      </c>
      <c r="H40" s="55">
        <f t="shared" si="61"/>
        <v>489049.00000000006</v>
      </c>
      <c r="I40" s="55">
        <f t="shared" si="62"/>
        <v>489049.00000000006</v>
      </c>
      <c r="J40" s="59">
        <f t="shared" si="63"/>
        <v>1616698.1842000003</v>
      </c>
      <c r="K40" s="55">
        <f t="shared" si="149"/>
        <v>474377.53</v>
      </c>
      <c r="L40" s="59">
        <f t="shared" si="150"/>
        <v>1568197.2386740001</v>
      </c>
      <c r="M40" s="55">
        <f t="shared" si="151"/>
        <v>464596.55000000005</v>
      </c>
      <c r="N40" s="59">
        <f t="shared" si="152"/>
        <v>1535863.2749900003</v>
      </c>
      <c r="O40" s="55">
        <f t="shared" si="153"/>
        <v>454815.57000000007</v>
      </c>
      <c r="P40" s="59">
        <f t="shared" si="154"/>
        <v>1503529.3113060002</v>
      </c>
      <c r="Q40" s="57">
        <f t="shared" si="155"/>
        <v>445034.59000000008</v>
      </c>
      <c r="R40" s="59">
        <f t="shared" si="156"/>
        <v>1471195.3476220004</v>
      </c>
      <c r="S40" s="55">
        <f t="shared" si="157"/>
        <v>435253.61000000004</v>
      </c>
      <c r="T40" s="59">
        <f t="shared" si="158"/>
        <v>1438861.3839380001</v>
      </c>
      <c r="U40" s="57">
        <f t="shared" si="159"/>
        <v>425472.63000000006</v>
      </c>
      <c r="V40" s="59">
        <f t="shared" si="160"/>
        <v>1406527.4202540002</v>
      </c>
      <c r="W40" s="60">
        <f t="shared" si="161"/>
        <v>415691.65</v>
      </c>
      <c r="X40" s="59">
        <f t="shared" si="162"/>
        <v>1374193.4565700002</v>
      </c>
      <c r="Y40" s="57">
        <f t="shared" si="163"/>
        <v>405910.67000000004</v>
      </c>
      <c r="Z40" s="59">
        <f t="shared" si="164"/>
        <v>1341859.4928860001</v>
      </c>
      <c r="AA40" s="55">
        <f t="shared" si="165"/>
        <v>396129.69</v>
      </c>
      <c r="AB40" s="59">
        <f t="shared" si="166"/>
        <v>1309525.529202</v>
      </c>
      <c r="AC40" s="60">
        <f t="shared" si="167"/>
        <v>386348.71</v>
      </c>
      <c r="AD40" s="59">
        <f t="shared" si="168"/>
        <v>1277191.5655180002</v>
      </c>
      <c r="AE40" s="60">
        <f t="shared" si="169"/>
        <v>376567.73</v>
      </c>
      <c r="AF40" s="59">
        <f t="shared" si="170"/>
        <v>1244857.6018339999</v>
      </c>
      <c r="AG40" s="60">
        <f t="shared" si="171"/>
        <v>366786.75</v>
      </c>
      <c r="AH40" s="59">
        <f t="shared" si="172"/>
        <v>1212523.63815</v>
      </c>
      <c r="AI40" s="55">
        <f t="shared" si="173"/>
        <v>357005.76999999996</v>
      </c>
      <c r="AJ40" s="59">
        <f t="shared" si="174"/>
        <v>1180189.6744659999</v>
      </c>
      <c r="AK40" s="60">
        <f t="shared" si="175"/>
        <v>347224.79</v>
      </c>
      <c r="AL40" s="59">
        <f t="shared" si="176"/>
        <v>1147855.7107819999</v>
      </c>
      <c r="AM40" s="60">
        <f t="shared" si="177"/>
        <v>337443.80999999994</v>
      </c>
      <c r="AN40" s="59">
        <f t="shared" si="178"/>
        <v>1115521.7470979998</v>
      </c>
      <c r="AO40" s="60">
        <f t="shared" si="179"/>
        <v>327662.82999999996</v>
      </c>
      <c r="AP40" s="59">
        <f t="shared" si="180"/>
        <v>1083187.7834139999</v>
      </c>
      <c r="AQ40" s="60">
        <f t="shared" si="181"/>
        <v>317881.84999999992</v>
      </c>
      <c r="AR40" s="59">
        <f t="shared" si="182"/>
        <v>1050853.8197299996</v>
      </c>
      <c r="AS40" s="55">
        <f t="shared" si="183"/>
        <v>308100.86999999994</v>
      </c>
      <c r="AT40" s="59">
        <f t="shared" si="184"/>
        <v>1018519.8560459998</v>
      </c>
      <c r="AU40" s="60">
        <f t="shared" si="185"/>
        <v>298319.8899999999</v>
      </c>
      <c r="AV40" s="59">
        <f t="shared" si="186"/>
        <v>986185.89236199972</v>
      </c>
      <c r="AW40" s="60">
        <f t="shared" si="187"/>
        <v>288538.90999999992</v>
      </c>
      <c r="AX40" s="59">
        <f t="shared" si="188"/>
        <v>953851.92867799976</v>
      </c>
      <c r="AY40" s="55">
        <f t="shared" si="189"/>
        <v>278757.92999999988</v>
      </c>
      <c r="AZ40" s="59">
        <f t="shared" si="190"/>
        <v>921517.96499399957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3"/>
        <v>0.91</v>
      </c>
      <c r="BH40" s="55">
        <f t="shared" si="143"/>
        <v>0.89</v>
      </c>
      <c r="BI40" s="55">
        <f t="shared" si="143"/>
        <v>0.87</v>
      </c>
      <c r="BJ40" s="55">
        <f t="shared" si="143"/>
        <v>0.85</v>
      </c>
      <c r="BK40" s="55">
        <f t="shared" si="143"/>
        <v>0.83</v>
      </c>
      <c r="BL40" s="55">
        <f t="shared" si="143"/>
        <v>0.80999999999999994</v>
      </c>
      <c r="BM40" s="55">
        <f t="shared" si="143"/>
        <v>0.78999999999999992</v>
      </c>
      <c r="BN40" s="55">
        <f t="shared" si="143"/>
        <v>0.76999999999999991</v>
      </c>
      <c r="BO40" s="55">
        <f t="shared" si="143"/>
        <v>0.74999999999999989</v>
      </c>
      <c r="BP40" s="55">
        <f t="shared" si="143"/>
        <v>0.72999999999999987</v>
      </c>
      <c r="BQ40" s="55">
        <f t="shared" si="143"/>
        <v>0.70999999999999985</v>
      </c>
      <c r="BR40" s="55">
        <f t="shared" si="143"/>
        <v>0.68999999999999984</v>
      </c>
      <c r="BS40" s="55">
        <f t="shared" si="143"/>
        <v>0.66999999999999982</v>
      </c>
      <c r="BT40" s="55">
        <f t="shared" si="143"/>
        <v>0.6499999999999998</v>
      </c>
      <c r="BU40" s="55">
        <f t="shared" si="143"/>
        <v>0.62999999999999978</v>
      </c>
      <c r="BV40" s="55">
        <f t="shared" si="143"/>
        <v>0.60999999999999976</v>
      </c>
      <c r="BW40" s="55">
        <f t="shared" si="143"/>
        <v>0.58999999999999975</v>
      </c>
      <c r="BX40" s="55">
        <f t="shared" si="143"/>
        <v>0.56999999999999973</v>
      </c>
      <c r="BZ40" s="55">
        <f t="shared" si="88"/>
        <v>445034.59000000008</v>
      </c>
      <c r="CA40" s="55">
        <f t="shared" si="89"/>
        <v>445034.59000000008</v>
      </c>
      <c r="CB40" s="59">
        <f t="shared" si="191"/>
        <v>1471195.3476220004</v>
      </c>
      <c r="CC40" s="55">
        <f t="shared" si="192"/>
        <v>431683.5523000001</v>
      </c>
      <c r="CD40" s="59">
        <f t="shared" si="193"/>
        <v>1427059.4871933404</v>
      </c>
      <c r="CE40" s="55">
        <f t="shared" si="194"/>
        <v>422782.86050000007</v>
      </c>
      <c r="CF40" s="59">
        <f t="shared" si="195"/>
        <v>1397635.5802409002</v>
      </c>
      <c r="CG40" s="55">
        <f t="shared" si="196"/>
        <v>413882.1687000001</v>
      </c>
      <c r="CH40" s="59">
        <f t="shared" si="197"/>
        <v>1368211.6732884604</v>
      </c>
      <c r="CI40" s="57">
        <f t="shared" si="198"/>
        <v>404981.47690000007</v>
      </c>
      <c r="CJ40" s="59">
        <f t="shared" si="199"/>
        <v>1338787.7663360203</v>
      </c>
      <c r="CK40" s="55">
        <f t="shared" si="200"/>
        <v>396080.7851000001</v>
      </c>
      <c r="CL40" s="59">
        <f t="shared" si="201"/>
        <v>1309363.8593835803</v>
      </c>
      <c r="CM40" s="57">
        <f t="shared" si="202"/>
        <v>387180.09330000007</v>
      </c>
      <c r="CN40" s="59">
        <f t="shared" si="203"/>
        <v>1279939.9524311402</v>
      </c>
      <c r="CO40" s="60">
        <f t="shared" si="204"/>
        <v>378279.40150000004</v>
      </c>
      <c r="CP40" s="59">
        <f t="shared" si="205"/>
        <v>1250516.0454787002</v>
      </c>
      <c r="CQ40" s="57">
        <f t="shared" si="206"/>
        <v>369378.70970000006</v>
      </c>
      <c r="CR40" s="59">
        <f t="shared" si="207"/>
        <v>1221092.1385262602</v>
      </c>
      <c r="CS40" s="55">
        <f t="shared" si="208"/>
        <v>360478.01790000004</v>
      </c>
      <c r="CT40" s="59">
        <f t="shared" si="209"/>
        <v>1191668.2315738201</v>
      </c>
      <c r="CU40" s="60">
        <f t="shared" si="210"/>
        <v>351577.32610000001</v>
      </c>
      <c r="CV40" s="59">
        <f t="shared" si="211"/>
        <v>1162244.3246213801</v>
      </c>
      <c r="CW40" s="60">
        <f t="shared" si="212"/>
        <v>342676.63430000003</v>
      </c>
      <c r="CX40" s="59">
        <f t="shared" si="213"/>
        <v>1132820.41766894</v>
      </c>
      <c r="CY40" s="60">
        <f t="shared" si="214"/>
        <v>333775.9425</v>
      </c>
      <c r="CZ40" s="59">
        <f t="shared" si="215"/>
        <v>1103396.5107165</v>
      </c>
      <c r="DA40" s="55">
        <f t="shared" si="216"/>
        <v>324875.25069999998</v>
      </c>
      <c r="DB40" s="59">
        <f t="shared" si="217"/>
        <v>1073972.60376406</v>
      </c>
      <c r="DC40" s="60">
        <f t="shared" si="218"/>
        <v>315974.5589</v>
      </c>
      <c r="DD40" s="59">
        <f t="shared" si="219"/>
        <v>1044548.69681162</v>
      </c>
      <c r="DE40" s="60">
        <f t="shared" si="220"/>
        <v>307073.86709999997</v>
      </c>
      <c r="DF40" s="59">
        <f t="shared" si="221"/>
        <v>1015124.78985918</v>
      </c>
      <c r="DG40" s="60">
        <f t="shared" si="222"/>
        <v>298173.1753</v>
      </c>
      <c r="DH40" s="59">
        <f t="shared" si="223"/>
        <v>985700.88290674007</v>
      </c>
      <c r="DI40" s="60">
        <f t="shared" si="224"/>
        <v>289272.48349999997</v>
      </c>
      <c r="DJ40" s="59">
        <f t="shared" si="225"/>
        <v>956276.97595429991</v>
      </c>
      <c r="DK40" s="55">
        <f t="shared" si="226"/>
        <v>280371.79169999994</v>
      </c>
      <c r="DL40" s="59">
        <f t="shared" si="227"/>
        <v>926853.06900185987</v>
      </c>
      <c r="DM40" s="60">
        <f t="shared" si="228"/>
        <v>271471.09989999997</v>
      </c>
      <c r="DN40" s="59">
        <f t="shared" si="229"/>
        <v>897429.16204941995</v>
      </c>
      <c r="DO40" s="60">
        <f t="shared" si="230"/>
        <v>262570.40809999994</v>
      </c>
      <c r="DP40" s="59">
        <f t="shared" si="231"/>
        <v>868005.25509697979</v>
      </c>
      <c r="DQ40" s="55">
        <f t="shared" si="232"/>
        <v>253669.71629999991</v>
      </c>
      <c r="DR40" s="59">
        <f t="shared" si="233"/>
        <v>838581.34814453975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4"/>
        <v>0.91</v>
      </c>
      <c r="DZ40" s="55">
        <f t="shared" si="234"/>
        <v>0.89</v>
      </c>
      <c r="EA40" s="55">
        <f t="shared" si="234"/>
        <v>0.87</v>
      </c>
      <c r="EB40" s="55">
        <f t="shared" si="234"/>
        <v>0.85</v>
      </c>
      <c r="EC40" s="55">
        <f t="shared" si="234"/>
        <v>0.83</v>
      </c>
      <c r="ED40" s="55">
        <f t="shared" si="234"/>
        <v>0.80999999999999994</v>
      </c>
      <c r="EE40" s="55">
        <f t="shared" si="234"/>
        <v>0.78999999999999992</v>
      </c>
      <c r="EF40" s="55">
        <f t="shared" si="234"/>
        <v>0.76999999999999991</v>
      </c>
      <c r="EG40" s="55">
        <f t="shared" si="234"/>
        <v>0.74999999999999989</v>
      </c>
      <c r="EH40" s="55">
        <f t="shared" si="234"/>
        <v>0.72999999999999987</v>
      </c>
      <c r="EI40" s="55">
        <f t="shared" si="234"/>
        <v>0.70999999999999985</v>
      </c>
      <c r="EJ40" s="55">
        <f t="shared" si="234"/>
        <v>0.68999999999999984</v>
      </c>
      <c r="EK40" s="55">
        <f t="shared" si="234"/>
        <v>0.66999999999999982</v>
      </c>
      <c r="EL40" s="55">
        <f t="shared" si="234"/>
        <v>0.6499999999999998</v>
      </c>
      <c r="EM40" s="55">
        <f t="shared" si="234"/>
        <v>0.62999999999999978</v>
      </c>
      <c r="EN40" s="55">
        <f t="shared" si="234"/>
        <v>0.60999999999999976</v>
      </c>
      <c r="EO40" s="55">
        <f t="shared" si="234"/>
        <v>0.58999999999999975</v>
      </c>
      <c r="EP40" s="55">
        <f t="shared" si="234"/>
        <v>0.56999999999999973</v>
      </c>
      <c r="ER40" s="55">
        <f t="shared" si="142"/>
        <v>404981.47690000007</v>
      </c>
      <c r="ES40" s="55">
        <f t="shared" si="116"/>
        <v>404981.47690000007</v>
      </c>
      <c r="ET40" s="59">
        <f t="shared" si="235"/>
        <v>1338787.7663360203</v>
      </c>
      <c r="EU40" s="55">
        <f t="shared" si="236"/>
        <v>392832.03259300004</v>
      </c>
      <c r="EV40" s="59">
        <f t="shared" si="237"/>
        <v>1298624.1333459395</v>
      </c>
      <c r="EW40" s="55">
        <f t="shared" si="238"/>
        <v>384732.40305500006</v>
      </c>
      <c r="EX40" s="59">
        <f t="shared" si="239"/>
        <v>1271848.3780192193</v>
      </c>
      <c r="EY40" s="55">
        <f t="shared" si="240"/>
        <v>376632.77351700008</v>
      </c>
      <c r="EZ40" s="59">
        <f t="shared" si="241"/>
        <v>1245072.6226924988</v>
      </c>
      <c r="FA40" s="57">
        <f t="shared" si="242"/>
        <v>368533.1439790001</v>
      </c>
      <c r="FB40" s="59">
        <f t="shared" si="243"/>
        <v>1218296.8673657787</v>
      </c>
      <c r="FC40" s="55">
        <f t="shared" si="244"/>
        <v>360433.51444100006</v>
      </c>
      <c r="FD40" s="59">
        <f t="shared" si="245"/>
        <v>1191521.112039058</v>
      </c>
      <c r="FE40" s="57">
        <f t="shared" si="246"/>
        <v>352333.88490300003</v>
      </c>
      <c r="FF40" s="59">
        <f t="shared" si="247"/>
        <v>1164745.3567123376</v>
      </c>
      <c r="FG40" s="60">
        <f t="shared" si="248"/>
        <v>344234.25536500005</v>
      </c>
      <c r="FH40" s="59">
        <f t="shared" si="249"/>
        <v>1137969.6013856172</v>
      </c>
      <c r="FI40" s="57">
        <f t="shared" si="250"/>
        <v>336134.62582700001</v>
      </c>
      <c r="FJ40" s="59">
        <f t="shared" si="251"/>
        <v>1111193.8460588967</v>
      </c>
      <c r="FK40" s="55">
        <f t="shared" si="252"/>
        <v>328034.99628900003</v>
      </c>
      <c r="FL40" s="59">
        <f t="shared" si="253"/>
        <v>1084418.0907321763</v>
      </c>
      <c r="FM40" s="60">
        <f t="shared" si="254"/>
        <v>319935.36675099999</v>
      </c>
      <c r="FN40" s="59">
        <f t="shared" si="255"/>
        <v>1057642.3354054559</v>
      </c>
      <c r="FO40" s="60">
        <f t="shared" si="256"/>
        <v>311835.73721300001</v>
      </c>
      <c r="FP40" s="59">
        <f t="shared" si="257"/>
        <v>1030866.5800787355</v>
      </c>
      <c r="FQ40" s="60">
        <f t="shared" si="258"/>
        <v>303736.10767499998</v>
      </c>
      <c r="FR40" s="59">
        <f t="shared" si="259"/>
        <v>1004090.8247520149</v>
      </c>
      <c r="FS40" s="55">
        <f t="shared" si="260"/>
        <v>295636.478137</v>
      </c>
      <c r="FT40" s="59">
        <f t="shared" si="261"/>
        <v>977315.06942529464</v>
      </c>
      <c r="FU40" s="60">
        <f t="shared" si="262"/>
        <v>287536.84859899996</v>
      </c>
      <c r="FV40" s="59">
        <f t="shared" si="263"/>
        <v>950539.3140985741</v>
      </c>
      <c r="FW40" s="60">
        <f t="shared" si="264"/>
        <v>279437.21906099998</v>
      </c>
      <c r="FX40" s="59">
        <f t="shared" si="265"/>
        <v>923763.5587718538</v>
      </c>
      <c r="FY40" s="60">
        <f t="shared" si="266"/>
        <v>271337.58952299994</v>
      </c>
      <c r="FZ40" s="59">
        <f t="shared" si="267"/>
        <v>896987.80344513326</v>
      </c>
      <c r="GA40" s="60">
        <f t="shared" si="268"/>
        <v>263237.95998499996</v>
      </c>
      <c r="GB40" s="59">
        <f t="shared" si="269"/>
        <v>870212.04811841296</v>
      </c>
      <c r="GC40" s="55">
        <f t="shared" si="270"/>
        <v>255138.33044699996</v>
      </c>
      <c r="GD40" s="59">
        <f t="shared" si="271"/>
        <v>843436.29279169242</v>
      </c>
      <c r="GE40" s="60">
        <f t="shared" si="272"/>
        <v>247038.70090899995</v>
      </c>
      <c r="GF40" s="59">
        <f t="shared" si="273"/>
        <v>816660.537464972</v>
      </c>
      <c r="GG40" s="60">
        <f t="shared" si="274"/>
        <v>238939.07137099994</v>
      </c>
      <c r="GH40" s="59">
        <f t="shared" si="275"/>
        <v>789884.78213825158</v>
      </c>
      <c r="GI40" s="55">
        <f t="shared" si="276"/>
        <v>230839.44183299993</v>
      </c>
      <c r="GJ40" s="59">
        <f t="shared" si="277"/>
        <v>763109.02681153116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78"/>
        <v>0.91</v>
      </c>
      <c r="GR40" s="55">
        <f t="shared" si="278"/>
        <v>0.89</v>
      </c>
      <c r="GS40" s="55">
        <f t="shared" si="278"/>
        <v>0.87</v>
      </c>
      <c r="GT40" s="55">
        <f t="shared" si="278"/>
        <v>0.85</v>
      </c>
      <c r="GU40" s="55">
        <f t="shared" si="278"/>
        <v>0.83</v>
      </c>
      <c r="GV40" s="55">
        <f t="shared" si="278"/>
        <v>0.80999999999999994</v>
      </c>
      <c r="GW40" s="55">
        <f t="shared" si="278"/>
        <v>0.78999999999999992</v>
      </c>
      <c r="GX40" s="55">
        <f t="shared" si="278"/>
        <v>0.76999999999999991</v>
      </c>
      <c r="GY40" s="55">
        <f t="shared" si="278"/>
        <v>0.74999999999999989</v>
      </c>
      <c r="GZ40" s="55">
        <f t="shared" si="278"/>
        <v>0.72999999999999987</v>
      </c>
      <c r="HA40" s="55">
        <f t="shared" si="278"/>
        <v>0.70999999999999985</v>
      </c>
      <c r="HB40" s="55">
        <f t="shared" si="278"/>
        <v>0.68999999999999984</v>
      </c>
      <c r="HC40" s="55">
        <f t="shared" si="278"/>
        <v>0.66999999999999982</v>
      </c>
      <c r="HD40" s="55">
        <f t="shared" si="278"/>
        <v>0.6499999999999998</v>
      </c>
      <c r="HE40" s="55">
        <f t="shared" si="278"/>
        <v>0.62999999999999978</v>
      </c>
      <c r="HF40" s="55">
        <f t="shared" si="278"/>
        <v>0.60999999999999976</v>
      </c>
      <c r="HG40" s="55">
        <f t="shared" si="278"/>
        <v>0.58999999999999975</v>
      </c>
      <c r="HH40" s="55">
        <f t="shared" si="278"/>
        <v>0.56999999999999973</v>
      </c>
    </row>
    <row r="41" spans="1:216" x14ac:dyDescent="0.3">
      <c r="A41" s="2">
        <v>8</v>
      </c>
      <c r="C41" s="38" t="s">
        <v>20</v>
      </c>
      <c r="D41" s="42">
        <f>TRUNC(25132.691292876,-1)</f>
        <v>25130</v>
      </c>
      <c r="E41" s="71">
        <f t="shared" si="148"/>
        <v>83070</v>
      </c>
      <c r="H41" s="55">
        <f t="shared" si="61"/>
        <v>91377.000000000015</v>
      </c>
      <c r="I41" s="55">
        <f t="shared" si="62"/>
        <v>91377.000000000015</v>
      </c>
      <c r="J41" s="59">
        <f t="shared" si="63"/>
        <v>302074.08660000004</v>
      </c>
      <c r="K41" s="55">
        <f t="shared" si="149"/>
        <v>88635.690000000017</v>
      </c>
      <c r="L41" s="59">
        <f t="shared" si="150"/>
        <v>293011.86400200007</v>
      </c>
      <c r="M41" s="55">
        <f t="shared" si="151"/>
        <v>86808.150000000009</v>
      </c>
      <c r="N41" s="59">
        <f t="shared" si="152"/>
        <v>286970.38227000006</v>
      </c>
      <c r="O41" s="55">
        <f t="shared" si="153"/>
        <v>84980.610000000015</v>
      </c>
      <c r="P41" s="59">
        <f t="shared" si="154"/>
        <v>280928.90053800005</v>
      </c>
      <c r="Q41" s="57">
        <f t="shared" si="155"/>
        <v>83153.070000000022</v>
      </c>
      <c r="R41" s="59">
        <f t="shared" si="156"/>
        <v>274887.41880600009</v>
      </c>
      <c r="S41" s="55">
        <f t="shared" si="157"/>
        <v>81325.530000000013</v>
      </c>
      <c r="T41" s="59">
        <f t="shared" si="158"/>
        <v>268845.93707400007</v>
      </c>
      <c r="U41" s="57">
        <f t="shared" si="159"/>
        <v>79497.990000000005</v>
      </c>
      <c r="V41" s="59">
        <f t="shared" si="160"/>
        <v>262804.455342</v>
      </c>
      <c r="W41" s="60">
        <f t="shared" si="161"/>
        <v>77670.450000000012</v>
      </c>
      <c r="X41" s="59">
        <f t="shared" si="162"/>
        <v>256762.97361000004</v>
      </c>
      <c r="Y41" s="57">
        <f t="shared" si="163"/>
        <v>75842.91</v>
      </c>
      <c r="Z41" s="59">
        <f t="shared" si="164"/>
        <v>250721.49187800003</v>
      </c>
      <c r="AA41" s="55">
        <f t="shared" si="165"/>
        <v>74015.37000000001</v>
      </c>
      <c r="AB41" s="59">
        <f t="shared" si="166"/>
        <v>244680.01014600004</v>
      </c>
      <c r="AC41" s="60">
        <f t="shared" si="167"/>
        <v>72187.83</v>
      </c>
      <c r="AD41" s="59">
        <f t="shared" si="168"/>
        <v>238638.528414</v>
      </c>
      <c r="AE41" s="60">
        <f t="shared" si="169"/>
        <v>70360.290000000008</v>
      </c>
      <c r="AF41" s="59">
        <f t="shared" si="170"/>
        <v>232597.04668200004</v>
      </c>
      <c r="AG41" s="60">
        <f t="shared" si="171"/>
        <v>68532.75</v>
      </c>
      <c r="AH41" s="59">
        <f t="shared" si="172"/>
        <v>226555.56495</v>
      </c>
      <c r="AI41" s="55">
        <f t="shared" si="173"/>
        <v>66705.209999999992</v>
      </c>
      <c r="AJ41" s="59">
        <f t="shared" si="174"/>
        <v>220514.08321799999</v>
      </c>
      <c r="AK41" s="60">
        <f t="shared" si="175"/>
        <v>64877.67</v>
      </c>
      <c r="AL41" s="59">
        <f t="shared" si="176"/>
        <v>214472.601486</v>
      </c>
      <c r="AM41" s="60">
        <f t="shared" si="177"/>
        <v>63050.13</v>
      </c>
      <c r="AN41" s="59">
        <f t="shared" si="178"/>
        <v>208431.11975399998</v>
      </c>
      <c r="AO41" s="60">
        <f t="shared" si="179"/>
        <v>61222.59</v>
      </c>
      <c r="AP41" s="59">
        <f t="shared" si="180"/>
        <v>202389.638022</v>
      </c>
      <c r="AQ41" s="60">
        <f t="shared" si="181"/>
        <v>59395.049999999988</v>
      </c>
      <c r="AR41" s="59">
        <f t="shared" si="182"/>
        <v>196348.15628999996</v>
      </c>
      <c r="AS41" s="55">
        <f t="shared" si="183"/>
        <v>57567.509999999987</v>
      </c>
      <c r="AT41" s="59">
        <f t="shared" si="184"/>
        <v>190306.67455799997</v>
      </c>
      <c r="AU41" s="60">
        <f t="shared" si="185"/>
        <v>55739.969999999987</v>
      </c>
      <c r="AV41" s="59">
        <f t="shared" si="186"/>
        <v>184265.19282599995</v>
      </c>
      <c r="AW41" s="60">
        <f t="shared" si="187"/>
        <v>53912.429999999986</v>
      </c>
      <c r="AX41" s="59">
        <f t="shared" si="188"/>
        <v>178223.71109399997</v>
      </c>
      <c r="AY41" s="55">
        <f t="shared" si="189"/>
        <v>52084.889999999985</v>
      </c>
      <c r="AZ41" s="59">
        <f t="shared" si="190"/>
        <v>172182.22936199995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3"/>
        <v>0.91</v>
      </c>
      <c r="BH41" s="55">
        <f t="shared" si="143"/>
        <v>0.89</v>
      </c>
      <c r="BI41" s="55">
        <f t="shared" si="143"/>
        <v>0.87</v>
      </c>
      <c r="BJ41" s="55">
        <f t="shared" si="143"/>
        <v>0.85</v>
      </c>
      <c r="BK41" s="55">
        <f t="shared" si="143"/>
        <v>0.83</v>
      </c>
      <c r="BL41" s="55">
        <f t="shared" si="143"/>
        <v>0.80999999999999994</v>
      </c>
      <c r="BM41" s="55">
        <f t="shared" si="143"/>
        <v>0.78999999999999992</v>
      </c>
      <c r="BN41" s="55">
        <f t="shared" si="143"/>
        <v>0.76999999999999991</v>
      </c>
      <c r="BO41" s="55">
        <f t="shared" si="143"/>
        <v>0.74999999999999989</v>
      </c>
      <c r="BP41" s="55">
        <f t="shared" si="143"/>
        <v>0.72999999999999987</v>
      </c>
      <c r="BQ41" s="55">
        <f t="shared" si="143"/>
        <v>0.70999999999999985</v>
      </c>
      <c r="BR41" s="55">
        <f t="shared" si="143"/>
        <v>0.68999999999999984</v>
      </c>
      <c r="BS41" s="55">
        <f t="shared" si="143"/>
        <v>0.66999999999999982</v>
      </c>
      <c r="BT41" s="55">
        <f t="shared" si="143"/>
        <v>0.6499999999999998</v>
      </c>
      <c r="BU41" s="55">
        <f t="shared" si="143"/>
        <v>0.62999999999999978</v>
      </c>
      <c r="BV41" s="55">
        <f t="shared" si="143"/>
        <v>0.60999999999999976</v>
      </c>
      <c r="BW41" s="55">
        <f t="shared" si="143"/>
        <v>0.58999999999999975</v>
      </c>
      <c r="BX41" s="55">
        <f t="shared" si="143"/>
        <v>0.56999999999999973</v>
      </c>
      <c r="BZ41" s="55">
        <f t="shared" si="88"/>
        <v>83153.070000000022</v>
      </c>
      <c r="CA41" s="55">
        <f t="shared" si="89"/>
        <v>83153.070000000022</v>
      </c>
      <c r="CB41" s="59">
        <f t="shared" si="191"/>
        <v>274887.41880600009</v>
      </c>
      <c r="CC41" s="55">
        <f t="shared" si="192"/>
        <v>80658.477900000013</v>
      </c>
      <c r="CD41" s="59">
        <f t="shared" si="193"/>
        <v>266640.79624182003</v>
      </c>
      <c r="CE41" s="55">
        <f t="shared" si="194"/>
        <v>78995.416500000021</v>
      </c>
      <c r="CF41" s="59">
        <f t="shared" si="195"/>
        <v>261143.04786570006</v>
      </c>
      <c r="CG41" s="55">
        <f t="shared" si="196"/>
        <v>77332.35510000003</v>
      </c>
      <c r="CH41" s="59">
        <f t="shared" si="197"/>
        <v>255645.29948958009</v>
      </c>
      <c r="CI41" s="57">
        <f t="shared" si="198"/>
        <v>75669.293700000024</v>
      </c>
      <c r="CJ41" s="59">
        <f t="shared" si="199"/>
        <v>250147.5511134601</v>
      </c>
      <c r="CK41" s="55">
        <f t="shared" si="200"/>
        <v>74006.232300000018</v>
      </c>
      <c r="CL41" s="59">
        <f t="shared" si="201"/>
        <v>244649.80273734007</v>
      </c>
      <c r="CM41" s="57">
        <f t="shared" si="202"/>
        <v>72343.170900000012</v>
      </c>
      <c r="CN41" s="59">
        <f t="shared" si="203"/>
        <v>239152.05436122004</v>
      </c>
      <c r="CO41" s="60">
        <f t="shared" si="204"/>
        <v>70680.10950000002</v>
      </c>
      <c r="CP41" s="59">
        <f t="shared" si="205"/>
        <v>233654.30598510007</v>
      </c>
      <c r="CQ41" s="57">
        <f t="shared" si="206"/>
        <v>69017.048100000015</v>
      </c>
      <c r="CR41" s="59">
        <f t="shared" si="207"/>
        <v>228156.55760898005</v>
      </c>
      <c r="CS41" s="55">
        <f t="shared" si="208"/>
        <v>67353.986700000009</v>
      </c>
      <c r="CT41" s="59">
        <f t="shared" si="209"/>
        <v>222658.80923286005</v>
      </c>
      <c r="CU41" s="60">
        <f t="shared" si="210"/>
        <v>65690.925300000017</v>
      </c>
      <c r="CV41" s="59">
        <f t="shared" si="211"/>
        <v>217161.06085674005</v>
      </c>
      <c r="CW41" s="60">
        <f t="shared" si="212"/>
        <v>64027.863900000011</v>
      </c>
      <c r="CX41" s="59">
        <f t="shared" si="213"/>
        <v>211663.31248062005</v>
      </c>
      <c r="CY41" s="60">
        <f t="shared" si="214"/>
        <v>62364.802500000005</v>
      </c>
      <c r="CZ41" s="59">
        <f t="shared" si="215"/>
        <v>206165.56410450002</v>
      </c>
      <c r="DA41" s="55">
        <f t="shared" si="216"/>
        <v>60701.741100000007</v>
      </c>
      <c r="DB41" s="59">
        <f t="shared" si="217"/>
        <v>200667.81572838002</v>
      </c>
      <c r="DC41" s="60">
        <f t="shared" si="218"/>
        <v>59038.679700000001</v>
      </c>
      <c r="DD41" s="59">
        <f t="shared" si="219"/>
        <v>195170.06735226</v>
      </c>
      <c r="DE41" s="60">
        <f t="shared" si="220"/>
        <v>57375.618300000002</v>
      </c>
      <c r="DF41" s="59">
        <f t="shared" si="221"/>
        <v>189672.31897614</v>
      </c>
      <c r="DG41" s="60">
        <f t="shared" si="222"/>
        <v>55712.556899999996</v>
      </c>
      <c r="DH41" s="59">
        <f t="shared" si="223"/>
        <v>184174.57060002</v>
      </c>
      <c r="DI41" s="60">
        <f t="shared" si="224"/>
        <v>54049.495499999997</v>
      </c>
      <c r="DJ41" s="59">
        <f t="shared" si="225"/>
        <v>178676.8222239</v>
      </c>
      <c r="DK41" s="55">
        <f t="shared" si="226"/>
        <v>52386.434099999999</v>
      </c>
      <c r="DL41" s="59">
        <f t="shared" si="227"/>
        <v>173179.07384778</v>
      </c>
      <c r="DM41" s="60">
        <f t="shared" si="228"/>
        <v>50723.372699999993</v>
      </c>
      <c r="DN41" s="59">
        <f t="shared" si="229"/>
        <v>167681.32547165998</v>
      </c>
      <c r="DO41" s="60">
        <f t="shared" si="230"/>
        <v>49060.311299999994</v>
      </c>
      <c r="DP41" s="59">
        <f t="shared" si="231"/>
        <v>162183.57709553998</v>
      </c>
      <c r="DQ41" s="55">
        <f t="shared" si="232"/>
        <v>47397.249899999988</v>
      </c>
      <c r="DR41" s="59">
        <f t="shared" si="233"/>
        <v>156685.82871941995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4"/>
        <v>0.91</v>
      </c>
      <c r="DZ41" s="55">
        <f t="shared" si="234"/>
        <v>0.89</v>
      </c>
      <c r="EA41" s="55">
        <f t="shared" si="234"/>
        <v>0.87</v>
      </c>
      <c r="EB41" s="55">
        <f t="shared" si="234"/>
        <v>0.85</v>
      </c>
      <c r="EC41" s="55">
        <f t="shared" si="234"/>
        <v>0.83</v>
      </c>
      <c r="ED41" s="55">
        <f t="shared" si="234"/>
        <v>0.80999999999999994</v>
      </c>
      <c r="EE41" s="55">
        <f t="shared" si="234"/>
        <v>0.78999999999999992</v>
      </c>
      <c r="EF41" s="55">
        <f t="shared" si="234"/>
        <v>0.76999999999999991</v>
      </c>
      <c r="EG41" s="55">
        <f t="shared" si="234"/>
        <v>0.74999999999999989</v>
      </c>
      <c r="EH41" s="55">
        <f t="shared" si="234"/>
        <v>0.72999999999999987</v>
      </c>
      <c r="EI41" s="55">
        <f t="shared" si="234"/>
        <v>0.70999999999999985</v>
      </c>
      <c r="EJ41" s="55">
        <f t="shared" si="234"/>
        <v>0.68999999999999984</v>
      </c>
      <c r="EK41" s="55">
        <f t="shared" si="234"/>
        <v>0.66999999999999982</v>
      </c>
      <c r="EL41" s="55">
        <f t="shared" si="234"/>
        <v>0.6499999999999998</v>
      </c>
      <c r="EM41" s="55">
        <f t="shared" si="234"/>
        <v>0.62999999999999978</v>
      </c>
      <c r="EN41" s="55">
        <f t="shared" si="234"/>
        <v>0.60999999999999976</v>
      </c>
      <c r="EO41" s="55">
        <f t="shared" si="234"/>
        <v>0.58999999999999975</v>
      </c>
      <c r="EP41" s="55">
        <f t="shared" si="234"/>
        <v>0.56999999999999973</v>
      </c>
      <c r="ER41" s="55">
        <f t="shared" si="142"/>
        <v>75669.293700000024</v>
      </c>
      <c r="ES41" s="55">
        <f t="shared" si="116"/>
        <v>75669.293700000024</v>
      </c>
      <c r="ET41" s="59">
        <f t="shared" si="235"/>
        <v>250147.5511134601</v>
      </c>
      <c r="EU41" s="55">
        <f t="shared" si="236"/>
        <v>73399.214889000024</v>
      </c>
      <c r="EV41" s="59">
        <f t="shared" si="237"/>
        <v>242643.12458005629</v>
      </c>
      <c r="EW41" s="55">
        <f t="shared" si="238"/>
        <v>71885.829015000025</v>
      </c>
      <c r="EX41" s="59">
        <f t="shared" si="239"/>
        <v>237640.17355778709</v>
      </c>
      <c r="EY41" s="55">
        <f t="shared" si="240"/>
        <v>70372.443141000025</v>
      </c>
      <c r="EZ41" s="59">
        <f t="shared" si="241"/>
        <v>232637.22253551788</v>
      </c>
      <c r="FA41" s="57">
        <f t="shared" si="242"/>
        <v>68859.057267000026</v>
      </c>
      <c r="FB41" s="59">
        <f t="shared" si="243"/>
        <v>227634.27151324868</v>
      </c>
      <c r="FC41" s="55">
        <f t="shared" si="244"/>
        <v>67345.671393000026</v>
      </c>
      <c r="FD41" s="59">
        <f t="shared" si="245"/>
        <v>222631.3204909795</v>
      </c>
      <c r="FE41" s="57">
        <f t="shared" si="246"/>
        <v>65832.285519000026</v>
      </c>
      <c r="FF41" s="59">
        <f t="shared" si="247"/>
        <v>217628.3694687103</v>
      </c>
      <c r="FG41" s="60">
        <f t="shared" si="248"/>
        <v>64318.89964500002</v>
      </c>
      <c r="FH41" s="59">
        <f t="shared" si="249"/>
        <v>212625.41844644106</v>
      </c>
      <c r="FI41" s="57">
        <f t="shared" si="250"/>
        <v>62805.51377100002</v>
      </c>
      <c r="FJ41" s="59">
        <f t="shared" si="251"/>
        <v>207622.46742417186</v>
      </c>
      <c r="FK41" s="55">
        <f t="shared" si="252"/>
        <v>61292.127897000013</v>
      </c>
      <c r="FL41" s="59">
        <f t="shared" si="253"/>
        <v>202619.51640190266</v>
      </c>
      <c r="FM41" s="60">
        <f t="shared" si="254"/>
        <v>59778.742023000013</v>
      </c>
      <c r="FN41" s="59">
        <f t="shared" si="255"/>
        <v>197616.56537963345</v>
      </c>
      <c r="FO41" s="60">
        <f t="shared" si="256"/>
        <v>58265.356149000014</v>
      </c>
      <c r="FP41" s="59">
        <f t="shared" si="257"/>
        <v>192613.61435736425</v>
      </c>
      <c r="FQ41" s="60">
        <f t="shared" si="258"/>
        <v>56751.970275000007</v>
      </c>
      <c r="FR41" s="59">
        <f t="shared" si="259"/>
        <v>187610.66333509501</v>
      </c>
      <c r="FS41" s="55">
        <f t="shared" si="260"/>
        <v>55238.584401000007</v>
      </c>
      <c r="FT41" s="59">
        <f t="shared" si="261"/>
        <v>182607.71231282584</v>
      </c>
      <c r="FU41" s="60">
        <f t="shared" si="262"/>
        <v>53725.198527000008</v>
      </c>
      <c r="FV41" s="59">
        <f t="shared" si="263"/>
        <v>177604.76129055663</v>
      </c>
      <c r="FW41" s="60">
        <f t="shared" si="264"/>
        <v>52211.812653000001</v>
      </c>
      <c r="FX41" s="59">
        <f t="shared" si="265"/>
        <v>172601.8102682874</v>
      </c>
      <c r="FY41" s="60">
        <f t="shared" si="266"/>
        <v>50698.426779000001</v>
      </c>
      <c r="FZ41" s="59">
        <f t="shared" si="267"/>
        <v>167598.8592460182</v>
      </c>
      <c r="GA41" s="60">
        <f t="shared" si="268"/>
        <v>49185.040905000002</v>
      </c>
      <c r="GB41" s="59">
        <f t="shared" si="269"/>
        <v>162595.90822374902</v>
      </c>
      <c r="GC41" s="55">
        <f t="shared" si="270"/>
        <v>47671.655031000002</v>
      </c>
      <c r="GD41" s="59">
        <f t="shared" si="271"/>
        <v>157592.95720147982</v>
      </c>
      <c r="GE41" s="60">
        <f t="shared" si="272"/>
        <v>46158.269156999995</v>
      </c>
      <c r="GF41" s="59">
        <f t="shared" si="273"/>
        <v>152590.00617921058</v>
      </c>
      <c r="GG41" s="60">
        <f t="shared" si="274"/>
        <v>44644.883282999996</v>
      </c>
      <c r="GH41" s="59">
        <f t="shared" si="275"/>
        <v>147587.05515694138</v>
      </c>
      <c r="GI41" s="55">
        <f t="shared" si="276"/>
        <v>43131.497408999996</v>
      </c>
      <c r="GJ41" s="59">
        <f t="shared" si="277"/>
        <v>142584.10413467218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78"/>
        <v>0.91</v>
      </c>
      <c r="GR41" s="55">
        <f t="shared" si="278"/>
        <v>0.89</v>
      </c>
      <c r="GS41" s="55">
        <f t="shared" si="278"/>
        <v>0.87</v>
      </c>
      <c r="GT41" s="55">
        <f t="shared" si="278"/>
        <v>0.85</v>
      </c>
      <c r="GU41" s="55">
        <f t="shared" si="278"/>
        <v>0.83</v>
      </c>
      <c r="GV41" s="55">
        <f t="shared" si="278"/>
        <v>0.80999999999999994</v>
      </c>
      <c r="GW41" s="55">
        <f t="shared" si="278"/>
        <v>0.78999999999999992</v>
      </c>
      <c r="GX41" s="55">
        <f t="shared" si="278"/>
        <v>0.76999999999999991</v>
      </c>
      <c r="GY41" s="55">
        <f t="shared" si="278"/>
        <v>0.74999999999999989</v>
      </c>
      <c r="GZ41" s="55">
        <f t="shared" si="278"/>
        <v>0.72999999999999987</v>
      </c>
      <c r="HA41" s="55">
        <f t="shared" si="278"/>
        <v>0.70999999999999985</v>
      </c>
      <c r="HB41" s="55">
        <f t="shared" si="278"/>
        <v>0.68999999999999984</v>
      </c>
      <c r="HC41" s="55">
        <f t="shared" si="278"/>
        <v>0.66999999999999982</v>
      </c>
      <c r="HD41" s="55">
        <f t="shared" si="278"/>
        <v>0.6499999999999998</v>
      </c>
      <c r="HE41" s="55">
        <f t="shared" si="278"/>
        <v>0.62999999999999978</v>
      </c>
      <c r="HF41" s="55">
        <f t="shared" si="278"/>
        <v>0.60999999999999976</v>
      </c>
      <c r="HG41" s="55">
        <f t="shared" si="278"/>
        <v>0.58999999999999975</v>
      </c>
      <c r="HH41" s="55">
        <f t="shared" si="278"/>
        <v>0.56999999999999973</v>
      </c>
    </row>
    <row r="42" spans="1:216" x14ac:dyDescent="0.3">
      <c r="A42" s="2">
        <v>9</v>
      </c>
      <c r="C42" s="38" t="s">
        <v>21</v>
      </c>
      <c r="D42" s="42">
        <f>TRUNC(20339.2742178666,-1)</f>
        <v>20330</v>
      </c>
      <c r="E42" s="71">
        <f t="shared" si="148"/>
        <v>67200</v>
      </c>
      <c r="H42" s="55">
        <f t="shared" si="61"/>
        <v>73920</v>
      </c>
      <c r="I42" s="55">
        <f t="shared" si="62"/>
        <v>73920</v>
      </c>
      <c r="J42" s="59">
        <f t="shared" si="63"/>
        <v>244364.736</v>
      </c>
      <c r="K42" s="55">
        <f t="shared" si="149"/>
        <v>71702.399999999994</v>
      </c>
      <c r="L42" s="59">
        <f t="shared" si="150"/>
        <v>237033.79392</v>
      </c>
      <c r="M42" s="55">
        <f t="shared" si="151"/>
        <v>70224</v>
      </c>
      <c r="N42" s="59">
        <f t="shared" si="152"/>
        <v>232146.49919999999</v>
      </c>
      <c r="O42" s="55">
        <f t="shared" si="153"/>
        <v>68745.600000000006</v>
      </c>
      <c r="P42" s="59">
        <f t="shared" si="154"/>
        <v>227259.20448000001</v>
      </c>
      <c r="Q42" s="57">
        <f t="shared" si="155"/>
        <v>67267.199999999997</v>
      </c>
      <c r="R42" s="59">
        <f t="shared" si="156"/>
        <v>222371.90976000001</v>
      </c>
      <c r="S42" s="55">
        <f t="shared" si="157"/>
        <v>65788.800000000003</v>
      </c>
      <c r="T42" s="59">
        <f t="shared" si="158"/>
        <v>217484.61504</v>
      </c>
      <c r="U42" s="57">
        <f t="shared" si="159"/>
        <v>64310.400000000001</v>
      </c>
      <c r="V42" s="59">
        <f t="shared" si="160"/>
        <v>212597.32032</v>
      </c>
      <c r="W42" s="60">
        <f t="shared" si="161"/>
        <v>62832</v>
      </c>
      <c r="X42" s="59">
        <f t="shared" si="162"/>
        <v>207710.02559999999</v>
      </c>
      <c r="Y42" s="57">
        <f t="shared" si="163"/>
        <v>61353.599999999999</v>
      </c>
      <c r="Z42" s="59">
        <f t="shared" si="164"/>
        <v>202822.73087999999</v>
      </c>
      <c r="AA42" s="55">
        <f t="shared" si="165"/>
        <v>59875.199999999997</v>
      </c>
      <c r="AB42" s="59">
        <f t="shared" si="166"/>
        <v>197935.43615999998</v>
      </c>
      <c r="AC42" s="60">
        <f t="shared" si="167"/>
        <v>58396.799999999996</v>
      </c>
      <c r="AD42" s="59">
        <f t="shared" si="168"/>
        <v>193048.14143999998</v>
      </c>
      <c r="AE42" s="60">
        <f t="shared" si="169"/>
        <v>56918.399999999994</v>
      </c>
      <c r="AF42" s="59">
        <f t="shared" si="170"/>
        <v>188160.84671999997</v>
      </c>
      <c r="AG42" s="60">
        <f t="shared" si="171"/>
        <v>55439.999999999993</v>
      </c>
      <c r="AH42" s="59">
        <f t="shared" si="172"/>
        <v>183273.55199999997</v>
      </c>
      <c r="AI42" s="55">
        <f t="shared" si="173"/>
        <v>53961.599999999991</v>
      </c>
      <c r="AJ42" s="59">
        <f t="shared" si="174"/>
        <v>178386.25727999996</v>
      </c>
      <c r="AK42" s="60">
        <f t="shared" si="175"/>
        <v>52483.19999999999</v>
      </c>
      <c r="AL42" s="59">
        <f t="shared" si="176"/>
        <v>173498.96255999996</v>
      </c>
      <c r="AM42" s="60">
        <f t="shared" si="177"/>
        <v>51004.799999999988</v>
      </c>
      <c r="AN42" s="59">
        <f t="shared" si="178"/>
        <v>168611.66783999995</v>
      </c>
      <c r="AO42" s="60">
        <f t="shared" si="179"/>
        <v>49526.399999999987</v>
      </c>
      <c r="AP42" s="59">
        <f t="shared" si="180"/>
        <v>163724.37311999997</v>
      </c>
      <c r="AQ42" s="60">
        <f t="shared" si="181"/>
        <v>48047.999999999985</v>
      </c>
      <c r="AR42" s="59">
        <f t="shared" si="182"/>
        <v>158837.07839999997</v>
      </c>
      <c r="AS42" s="55">
        <f t="shared" si="183"/>
        <v>46569.599999999984</v>
      </c>
      <c r="AT42" s="59">
        <f t="shared" si="184"/>
        <v>153949.78367999996</v>
      </c>
      <c r="AU42" s="60">
        <f t="shared" si="185"/>
        <v>45091.199999999983</v>
      </c>
      <c r="AV42" s="59">
        <f t="shared" si="186"/>
        <v>149062.48895999996</v>
      </c>
      <c r="AW42" s="60">
        <f t="shared" si="187"/>
        <v>43612.799999999981</v>
      </c>
      <c r="AX42" s="59">
        <f t="shared" si="188"/>
        <v>144175.19423999995</v>
      </c>
      <c r="AY42" s="55">
        <f t="shared" si="189"/>
        <v>42134.39999999998</v>
      </c>
      <c r="AZ42" s="59">
        <f t="shared" si="190"/>
        <v>139287.89951999995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3"/>
        <v>0.91</v>
      </c>
      <c r="BH42" s="55">
        <f t="shared" si="143"/>
        <v>0.89</v>
      </c>
      <c r="BI42" s="55">
        <f t="shared" si="143"/>
        <v>0.87</v>
      </c>
      <c r="BJ42" s="55">
        <f t="shared" si="143"/>
        <v>0.85</v>
      </c>
      <c r="BK42" s="55">
        <f t="shared" si="143"/>
        <v>0.83</v>
      </c>
      <c r="BL42" s="55">
        <f t="shared" si="143"/>
        <v>0.80999999999999994</v>
      </c>
      <c r="BM42" s="55">
        <f t="shared" si="143"/>
        <v>0.78999999999999992</v>
      </c>
      <c r="BN42" s="55">
        <f t="shared" si="143"/>
        <v>0.76999999999999991</v>
      </c>
      <c r="BO42" s="55">
        <f t="shared" si="143"/>
        <v>0.74999999999999989</v>
      </c>
      <c r="BP42" s="55">
        <f t="shared" si="143"/>
        <v>0.72999999999999987</v>
      </c>
      <c r="BQ42" s="55">
        <f t="shared" si="143"/>
        <v>0.70999999999999985</v>
      </c>
      <c r="BR42" s="55">
        <f t="shared" si="143"/>
        <v>0.68999999999999984</v>
      </c>
      <c r="BS42" s="55">
        <f t="shared" si="143"/>
        <v>0.66999999999999982</v>
      </c>
      <c r="BT42" s="55">
        <f t="shared" si="143"/>
        <v>0.6499999999999998</v>
      </c>
      <c r="BU42" s="55">
        <f t="shared" si="143"/>
        <v>0.62999999999999978</v>
      </c>
      <c r="BV42" s="55">
        <f t="shared" si="143"/>
        <v>0.60999999999999976</v>
      </c>
      <c r="BW42" s="55">
        <f t="shared" si="143"/>
        <v>0.58999999999999975</v>
      </c>
      <c r="BX42" s="55">
        <f t="shared" si="143"/>
        <v>0.56999999999999973</v>
      </c>
      <c r="BZ42" s="55">
        <f t="shared" si="88"/>
        <v>67267.199999999997</v>
      </c>
      <c r="CA42" s="55">
        <f t="shared" si="89"/>
        <v>67267.199999999997</v>
      </c>
      <c r="CB42" s="59">
        <f t="shared" si="191"/>
        <v>222371.90976000001</v>
      </c>
      <c r="CC42" s="55">
        <f t="shared" si="192"/>
        <v>65249.183999999994</v>
      </c>
      <c r="CD42" s="59">
        <f t="shared" si="193"/>
        <v>215700.75246719999</v>
      </c>
      <c r="CE42" s="55">
        <f t="shared" si="194"/>
        <v>63903.839999999997</v>
      </c>
      <c r="CF42" s="59">
        <f t="shared" si="195"/>
        <v>211253.31427199999</v>
      </c>
      <c r="CG42" s="55">
        <f t="shared" si="196"/>
        <v>62558.495999999999</v>
      </c>
      <c r="CH42" s="59">
        <f t="shared" si="197"/>
        <v>206805.87607679999</v>
      </c>
      <c r="CI42" s="57">
        <f t="shared" si="198"/>
        <v>61213.152000000002</v>
      </c>
      <c r="CJ42" s="59">
        <f t="shared" si="199"/>
        <v>202358.43788160002</v>
      </c>
      <c r="CK42" s="55">
        <f t="shared" si="200"/>
        <v>59867.807999999997</v>
      </c>
      <c r="CL42" s="59">
        <f t="shared" si="201"/>
        <v>197910.9996864</v>
      </c>
      <c r="CM42" s="57">
        <f t="shared" si="202"/>
        <v>58522.464</v>
      </c>
      <c r="CN42" s="59">
        <f t="shared" si="203"/>
        <v>193463.5614912</v>
      </c>
      <c r="CO42" s="60">
        <f t="shared" si="204"/>
        <v>57177.119999999995</v>
      </c>
      <c r="CP42" s="59">
        <f t="shared" si="205"/>
        <v>189016.12329599998</v>
      </c>
      <c r="CQ42" s="57">
        <f t="shared" si="206"/>
        <v>55831.775999999998</v>
      </c>
      <c r="CR42" s="59">
        <f t="shared" si="207"/>
        <v>184568.68510080001</v>
      </c>
      <c r="CS42" s="55">
        <f t="shared" si="208"/>
        <v>54486.431999999993</v>
      </c>
      <c r="CT42" s="59">
        <f t="shared" si="209"/>
        <v>180121.24690559998</v>
      </c>
      <c r="CU42" s="60">
        <f t="shared" si="210"/>
        <v>53141.087999999996</v>
      </c>
      <c r="CV42" s="59">
        <f t="shared" si="211"/>
        <v>175673.80871039999</v>
      </c>
      <c r="CW42" s="60">
        <f t="shared" si="212"/>
        <v>51795.743999999992</v>
      </c>
      <c r="CX42" s="59">
        <f t="shared" si="213"/>
        <v>171226.37051519999</v>
      </c>
      <c r="CY42" s="60">
        <f t="shared" si="214"/>
        <v>50450.399999999987</v>
      </c>
      <c r="CZ42" s="59">
        <f t="shared" si="215"/>
        <v>166778.93231999996</v>
      </c>
      <c r="DA42" s="55">
        <f t="shared" si="216"/>
        <v>49105.05599999999</v>
      </c>
      <c r="DB42" s="59">
        <f t="shared" si="217"/>
        <v>162331.49412479997</v>
      </c>
      <c r="DC42" s="60">
        <f t="shared" si="218"/>
        <v>47759.711999999985</v>
      </c>
      <c r="DD42" s="59">
        <f t="shared" si="219"/>
        <v>157884.05592959994</v>
      </c>
      <c r="DE42" s="60">
        <f t="shared" si="220"/>
        <v>46414.367999999988</v>
      </c>
      <c r="DF42" s="59">
        <f t="shared" si="221"/>
        <v>153436.61773439997</v>
      </c>
      <c r="DG42" s="60">
        <f t="shared" si="222"/>
        <v>45069.023999999983</v>
      </c>
      <c r="DH42" s="59">
        <f t="shared" si="223"/>
        <v>148989.17953919995</v>
      </c>
      <c r="DI42" s="60">
        <f t="shared" si="224"/>
        <v>43723.679999999986</v>
      </c>
      <c r="DJ42" s="59">
        <f t="shared" si="225"/>
        <v>144541.74134399995</v>
      </c>
      <c r="DK42" s="55">
        <f t="shared" si="226"/>
        <v>42378.335999999981</v>
      </c>
      <c r="DL42" s="59">
        <f t="shared" si="227"/>
        <v>140094.30314879995</v>
      </c>
      <c r="DM42" s="60">
        <f t="shared" si="228"/>
        <v>41032.991999999984</v>
      </c>
      <c r="DN42" s="59">
        <f t="shared" si="229"/>
        <v>135646.86495359996</v>
      </c>
      <c r="DO42" s="60">
        <f t="shared" si="230"/>
        <v>39687.647999999979</v>
      </c>
      <c r="DP42" s="59">
        <f t="shared" si="231"/>
        <v>131199.42675839993</v>
      </c>
      <c r="DQ42" s="55">
        <f t="shared" si="232"/>
        <v>38342.303999999982</v>
      </c>
      <c r="DR42" s="59">
        <f t="shared" si="233"/>
        <v>126751.98856319995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4"/>
        <v>0.91</v>
      </c>
      <c r="DZ42" s="55">
        <f t="shared" si="234"/>
        <v>0.89</v>
      </c>
      <c r="EA42" s="55">
        <f t="shared" si="234"/>
        <v>0.87</v>
      </c>
      <c r="EB42" s="55">
        <f t="shared" si="234"/>
        <v>0.85</v>
      </c>
      <c r="EC42" s="55">
        <f t="shared" si="234"/>
        <v>0.83</v>
      </c>
      <c r="ED42" s="55">
        <f t="shared" si="234"/>
        <v>0.80999999999999994</v>
      </c>
      <c r="EE42" s="55">
        <f t="shared" si="234"/>
        <v>0.78999999999999992</v>
      </c>
      <c r="EF42" s="55">
        <f t="shared" si="234"/>
        <v>0.76999999999999991</v>
      </c>
      <c r="EG42" s="55">
        <f t="shared" si="234"/>
        <v>0.74999999999999989</v>
      </c>
      <c r="EH42" s="55">
        <f t="shared" si="234"/>
        <v>0.72999999999999987</v>
      </c>
      <c r="EI42" s="55">
        <f t="shared" si="234"/>
        <v>0.70999999999999985</v>
      </c>
      <c r="EJ42" s="55">
        <f t="shared" si="234"/>
        <v>0.68999999999999984</v>
      </c>
      <c r="EK42" s="55">
        <f t="shared" si="234"/>
        <v>0.66999999999999982</v>
      </c>
      <c r="EL42" s="55">
        <f t="shared" si="234"/>
        <v>0.6499999999999998</v>
      </c>
      <c r="EM42" s="55">
        <f t="shared" si="234"/>
        <v>0.62999999999999978</v>
      </c>
      <c r="EN42" s="55">
        <f t="shared" si="234"/>
        <v>0.60999999999999976</v>
      </c>
      <c r="EO42" s="55">
        <f t="shared" si="234"/>
        <v>0.58999999999999975</v>
      </c>
      <c r="EP42" s="55">
        <f t="shared" si="234"/>
        <v>0.56999999999999973</v>
      </c>
      <c r="ER42" s="55">
        <f t="shared" si="142"/>
        <v>61213.152000000002</v>
      </c>
      <c r="ES42" s="55">
        <f t="shared" si="116"/>
        <v>61213.152000000002</v>
      </c>
      <c r="ET42" s="59">
        <f t="shared" si="235"/>
        <v>202358.43788160002</v>
      </c>
      <c r="EU42" s="55">
        <f t="shared" si="236"/>
        <v>59376.757440000001</v>
      </c>
      <c r="EV42" s="59">
        <f t="shared" si="237"/>
        <v>196287.68474515202</v>
      </c>
      <c r="EW42" s="55">
        <f t="shared" si="238"/>
        <v>58152.494399999996</v>
      </c>
      <c r="EX42" s="59">
        <f t="shared" si="239"/>
        <v>192240.51598751999</v>
      </c>
      <c r="EY42" s="55">
        <f t="shared" si="240"/>
        <v>56928.231360000005</v>
      </c>
      <c r="EZ42" s="59">
        <f t="shared" si="241"/>
        <v>188193.34722988802</v>
      </c>
      <c r="FA42" s="57">
        <f t="shared" si="242"/>
        <v>55703.968320000007</v>
      </c>
      <c r="FB42" s="59">
        <f t="shared" si="243"/>
        <v>184146.17847225603</v>
      </c>
      <c r="FC42" s="55">
        <f t="shared" si="244"/>
        <v>54479.705280000002</v>
      </c>
      <c r="FD42" s="59">
        <f t="shared" si="245"/>
        <v>180099.009714624</v>
      </c>
      <c r="FE42" s="57">
        <f t="shared" si="246"/>
        <v>53255.442240000004</v>
      </c>
      <c r="FF42" s="59">
        <f t="shared" si="247"/>
        <v>176051.840956992</v>
      </c>
      <c r="FG42" s="60">
        <f t="shared" si="248"/>
        <v>52031.179199999999</v>
      </c>
      <c r="FH42" s="59">
        <f t="shared" si="249"/>
        <v>172004.67219936001</v>
      </c>
      <c r="FI42" s="57">
        <f t="shared" si="250"/>
        <v>50806.916160000001</v>
      </c>
      <c r="FJ42" s="59">
        <f t="shared" si="251"/>
        <v>167957.50344172801</v>
      </c>
      <c r="FK42" s="55">
        <f t="shared" si="252"/>
        <v>49582.653119999995</v>
      </c>
      <c r="FL42" s="59">
        <f t="shared" si="253"/>
        <v>163910.33468409599</v>
      </c>
      <c r="FM42" s="60">
        <f t="shared" si="254"/>
        <v>48358.390079999997</v>
      </c>
      <c r="FN42" s="59">
        <f t="shared" si="255"/>
        <v>159863.16592646399</v>
      </c>
      <c r="FO42" s="60">
        <f t="shared" si="256"/>
        <v>47134.127039999992</v>
      </c>
      <c r="FP42" s="59">
        <f t="shared" si="257"/>
        <v>155815.99716883196</v>
      </c>
      <c r="FQ42" s="60">
        <f t="shared" si="258"/>
        <v>45909.863999999994</v>
      </c>
      <c r="FR42" s="59">
        <f t="shared" si="259"/>
        <v>151768.8284112</v>
      </c>
      <c r="FS42" s="55">
        <f t="shared" si="260"/>
        <v>44685.600959999996</v>
      </c>
      <c r="FT42" s="59">
        <f t="shared" si="261"/>
        <v>147721.659653568</v>
      </c>
      <c r="FU42" s="60">
        <f t="shared" si="262"/>
        <v>43461.337919999991</v>
      </c>
      <c r="FV42" s="59">
        <f t="shared" si="263"/>
        <v>143674.49089593597</v>
      </c>
      <c r="FW42" s="60">
        <f t="shared" si="264"/>
        <v>42237.074879999993</v>
      </c>
      <c r="FX42" s="59">
        <f t="shared" si="265"/>
        <v>139627.32213830398</v>
      </c>
      <c r="FY42" s="60">
        <f t="shared" si="266"/>
        <v>41012.811839999988</v>
      </c>
      <c r="FZ42" s="59">
        <f t="shared" si="267"/>
        <v>135580.15338067195</v>
      </c>
      <c r="GA42" s="60">
        <f t="shared" si="268"/>
        <v>39788.54879999999</v>
      </c>
      <c r="GB42" s="59">
        <f t="shared" si="269"/>
        <v>131532.98462303996</v>
      </c>
      <c r="GC42" s="55">
        <f t="shared" si="270"/>
        <v>38564.285759999984</v>
      </c>
      <c r="GD42" s="59">
        <f t="shared" si="271"/>
        <v>127485.81586540795</v>
      </c>
      <c r="GE42" s="60">
        <f t="shared" si="272"/>
        <v>37340.022719999986</v>
      </c>
      <c r="GF42" s="59">
        <f t="shared" si="273"/>
        <v>123438.64710777596</v>
      </c>
      <c r="GG42" s="60">
        <f t="shared" si="274"/>
        <v>36115.759679999988</v>
      </c>
      <c r="GH42" s="59">
        <f t="shared" si="275"/>
        <v>119391.47835014397</v>
      </c>
      <c r="GI42" s="55">
        <f t="shared" si="276"/>
        <v>34891.496639999983</v>
      </c>
      <c r="GJ42" s="59">
        <f t="shared" si="277"/>
        <v>115344.30959251194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78"/>
        <v>0.91</v>
      </c>
      <c r="GR42" s="55">
        <f t="shared" si="278"/>
        <v>0.89</v>
      </c>
      <c r="GS42" s="55">
        <f t="shared" si="278"/>
        <v>0.87</v>
      </c>
      <c r="GT42" s="55">
        <f t="shared" si="278"/>
        <v>0.85</v>
      </c>
      <c r="GU42" s="55">
        <f t="shared" si="278"/>
        <v>0.83</v>
      </c>
      <c r="GV42" s="55">
        <f t="shared" si="278"/>
        <v>0.80999999999999994</v>
      </c>
      <c r="GW42" s="55">
        <f t="shared" si="278"/>
        <v>0.78999999999999992</v>
      </c>
      <c r="GX42" s="55">
        <f t="shared" si="278"/>
        <v>0.76999999999999991</v>
      </c>
      <c r="GY42" s="55">
        <f t="shared" si="278"/>
        <v>0.74999999999999989</v>
      </c>
      <c r="GZ42" s="55">
        <f t="shared" si="278"/>
        <v>0.72999999999999987</v>
      </c>
      <c r="HA42" s="55">
        <f t="shared" si="278"/>
        <v>0.70999999999999985</v>
      </c>
      <c r="HB42" s="55">
        <f t="shared" si="278"/>
        <v>0.68999999999999984</v>
      </c>
      <c r="HC42" s="55">
        <f t="shared" si="278"/>
        <v>0.66999999999999982</v>
      </c>
      <c r="HD42" s="55">
        <f t="shared" si="278"/>
        <v>0.6499999999999998</v>
      </c>
      <c r="HE42" s="55">
        <f t="shared" si="278"/>
        <v>0.62999999999999978</v>
      </c>
      <c r="HF42" s="55">
        <f t="shared" si="278"/>
        <v>0.60999999999999976</v>
      </c>
      <c r="HG42" s="55">
        <f t="shared" si="278"/>
        <v>0.58999999999999975</v>
      </c>
      <c r="HH42" s="55">
        <f t="shared" si="278"/>
        <v>0.56999999999999973</v>
      </c>
    </row>
    <row r="43" spans="1:216" x14ac:dyDescent="0.3">
      <c r="A43" s="2">
        <v>10</v>
      </c>
      <c r="C43" s="38" t="s">
        <v>22</v>
      </c>
      <c r="D43" s="42">
        <f>TRUNC(21726.7794949114,-1)</f>
        <v>21720</v>
      </c>
      <c r="E43" s="71">
        <f t="shared" si="148"/>
        <v>71800</v>
      </c>
      <c r="H43" s="55">
        <f t="shared" si="61"/>
        <v>78980</v>
      </c>
      <c r="I43" s="55">
        <f t="shared" si="62"/>
        <v>78980</v>
      </c>
      <c r="J43" s="59">
        <f t="shared" si="63"/>
        <v>261092.084</v>
      </c>
      <c r="K43" s="55">
        <f t="shared" si="149"/>
        <v>76610.599999999991</v>
      </c>
      <c r="L43" s="59">
        <f t="shared" si="150"/>
        <v>253259.32147999998</v>
      </c>
      <c r="M43" s="55">
        <f t="shared" si="151"/>
        <v>75031</v>
      </c>
      <c r="N43" s="59">
        <f t="shared" si="152"/>
        <v>248037.4798</v>
      </c>
      <c r="O43" s="55">
        <f t="shared" si="153"/>
        <v>73451.400000000009</v>
      </c>
      <c r="P43" s="59">
        <f t="shared" si="154"/>
        <v>242815.63812000005</v>
      </c>
      <c r="Q43" s="57">
        <f t="shared" si="155"/>
        <v>71871.8</v>
      </c>
      <c r="R43" s="59">
        <f t="shared" si="156"/>
        <v>237593.79644000001</v>
      </c>
      <c r="S43" s="55">
        <f t="shared" si="157"/>
        <v>70292.2</v>
      </c>
      <c r="T43" s="59">
        <f t="shared" si="158"/>
        <v>232371.95475999999</v>
      </c>
      <c r="U43" s="57">
        <f t="shared" si="159"/>
        <v>68712.600000000006</v>
      </c>
      <c r="V43" s="59">
        <f t="shared" si="160"/>
        <v>227150.11308000001</v>
      </c>
      <c r="W43" s="60">
        <f t="shared" si="161"/>
        <v>67133</v>
      </c>
      <c r="X43" s="59">
        <f t="shared" si="162"/>
        <v>221928.2714</v>
      </c>
      <c r="Y43" s="57">
        <f t="shared" si="163"/>
        <v>65553.399999999994</v>
      </c>
      <c r="Z43" s="59">
        <f t="shared" si="164"/>
        <v>216706.42971999999</v>
      </c>
      <c r="AA43" s="55">
        <f t="shared" si="165"/>
        <v>63973.799999999996</v>
      </c>
      <c r="AB43" s="59">
        <f t="shared" si="166"/>
        <v>211484.58804</v>
      </c>
      <c r="AC43" s="60">
        <f t="shared" si="167"/>
        <v>62394.2</v>
      </c>
      <c r="AD43" s="59">
        <f t="shared" si="168"/>
        <v>206262.74635999999</v>
      </c>
      <c r="AE43" s="60">
        <f t="shared" si="169"/>
        <v>60814.599999999991</v>
      </c>
      <c r="AF43" s="59">
        <f t="shared" si="170"/>
        <v>201040.90467999998</v>
      </c>
      <c r="AG43" s="60">
        <f t="shared" si="171"/>
        <v>59234.999999999993</v>
      </c>
      <c r="AH43" s="59">
        <f t="shared" si="172"/>
        <v>195819.06299999999</v>
      </c>
      <c r="AI43" s="55">
        <f t="shared" si="173"/>
        <v>57655.399999999987</v>
      </c>
      <c r="AJ43" s="59">
        <f t="shared" si="174"/>
        <v>190597.22131999995</v>
      </c>
      <c r="AK43" s="60">
        <f t="shared" si="175"/>
        <v>56075.799999999988</v>
      </c>
      <c r="AL43" s="59">
        <f t="shared" si="176"/>
        <v>185375.37963999997</v>
      </c>
      <c r="AM43" s="60">
        <f t="shared" si="177"/>
        <v>54496.19999999999</v>
      </c>
      <c r="AN43" s="59">
        <f t="shared" si="178"/>
        <v>180153.53795999996</v>
      </c>
      <c r="AO43" s="60">
        <f t="shared" si="179"/>
        <v>52916.599999999984</v>
      </c>
      <c r="AP43" s="59">
        <f t="shared" si="180"/>
        <v>174931.69627999995</v>
      </c>
      <c r="AQ43" s="60">
        <f t="shared" si="181"/>
        <v>51336.999999999985</v>
      </c>
      <c r="AR43" s="59">
        <f t="shared" si="182"/>
        <v>169709.85459999996</v>
      </c>
      <c r="AS43" s="55">
        <f t="shared" si="183"/>
        <v>49757.39999999998</v>
      </c>
      <c r="AT43" s="59">
        <f t="shared" si="184"/>
        <v>164488.01291999995</v>
      </c>
      <c r="AU43" s="60">
        <f t="shared" si="185"/>
        <v>48177.799999999981</v>
      </c>
      <c r="AV43" s="59">
        <f t="shared" si="186"/>
        <v>159266.17123999994</v>
      </c>
      <c r="AW43" s="60">
        <f t="shared" si="187"/>
        <v>46598.199999999983</v>
      </c>
      <c r="AX43" s="59">
        <f t="shared" si="188"/>
        <v>154044.32955999995</v>
      </c>
      <c r="AY43" s="55">
        <f t="shared" si="189"/>
        <v>45018.599999999977</v>
      </c>
      <c r="AZ43" s="59">
        <f t="shared" si="190"/>
        <v>148822.48787999991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3"/>
        <v>0.91</v>
      </c>
      <c r="BH43" s="55">
        <f t="shared" si="143"/>
        <v>0.89</v>
      </c>
      <c r="BI43" s="55">
        <f t="shared" si="143"/>
        <v>0.87</v>
      </c>
      <c r="BJ43" s="55">
        <f t="shared" si="143"/>
        <v>0.85</v>
      </c>
      <c r="BK43" s="55">
        <f t="shared" si="143"/>
        <v>0.83</v>
      </c>
      <c r="BL43" s="55">
        <f t="shared" si="143"/>
        <v>0.80999999999999994</v>
      </c>
      <c r="BM43" s="55">
        <f t="shared" si="143"/>
        <v>0.78999999999999992</v>
      </c>
      <c r="BN43" s="55">
        <f t="shared" si="143"/>
        <v>0.76999999999999991</v>
      </c>
      <c r="BO43" s="55">
        <f t="shared" si="143"/>
        <v>0.74999999999999989</v>
      </c>
      <c r="BP43" s="55">
        <f t="shared" si="143"/>
        <v>0.72999999999999987</v>
      </c>
      <c r="BQ43" s="55">
        <f t="shared" si="143"/>
        <v>0.70999999999999985</v>
      </c>
      <c r="BR43" s="55">
        <f t="shared" si="143"/>
        <v>0.68999999999999984</v>
      </c>
      <c r="BS43" s="55">
        <f t="shared" si="143"/>
        <v>0.66999999999999982</v>
      </c>
      <c r="BT43" s="55">
        <f t="shared" si="143"/>
        <v>0.6499999999999998</v>
      </c>
      <c r="BU43" s="55">
        <f t="shared" si="143"/>
        <v>0.62999999999999978</v>
      </c>
      <c r="BV43" s="55">
        <f t="shared" si="143"/>
        <v>0.60999999999999976</v>
      </c>
      <c r="BW43" s="55">
        <f t="shared" si="143"/>
        <v>0.58999999999999975</v>
      </c>
      <c r="BX43" s="55">
        <f t="shared" si="143"/>
        <v>0.56999999999999973</v>
      </c>
      <c r="BZ43" s="55">
        <f t="shared" si="88"/>
        <v>71871.8</v>
      </c>
      <c r="CA43" s="55">
        <f t="shared" si="89"/>
        <v>71871.8</v>
      </c>
      <c r="CB43" s="59">
        <f t="shared" si="191"/>
        <v>237593.79644000001</v>
      </c>
      <c r="CC43" s="55">
        <f t="shared" si="192"/>
        <v>69715.646000000008</v>
      </c>
      <c r="CD43" s="59">
        <f t="shared" si="193"/>
        <v>230465.98254680002</v>
      </c>
      <c r="CE43" s="55">
        <f t="shared" si="194"/>
        <v>68278.210000000006</v>
      </c>
      <c r="CF43" s="59">
        <f t="shared" si="195"/>
        <v>225714.10661800002</v>
      </c>
      <c r="CG43" s="55">
        <f t="shared" si="196"/>
        <v>66840.774000000005</v>
      </c>
      <c r="CH43" s="59">
        <f t="shared" si="197"/>
        <v>220962.23068920002</v>
      </c>
      <c r="CI43" s="57">
        <f t="shared" si="198"/>
        <v>65403.338000000003</v>
      </c>
      <c r="CJ43" s="59">
        <f t="shared" si="199"/>
        <v>216210.35476040002</v>
      </c>
      <c r="CK43" s="55">
        <f t="shared" si="200"/>
        <v>63965.902000000002</v>
      </c>
      <c r="CL43" s="59">
        <f t="shared" si="201"/>
        <v>211458.47883160002</v>
      </c>
      <c r="CM43" s="57">
        <f t="shared" si="202"/>
        <v>62528.466</v>
      </c>
      <c r="CN43" s="59">
        <f t="shared" si="203"/>
        <v>206706.60290280002</v>
      </c>
      <c r="CO43" s="60">
        <f t="shared" si="204"/>
        <v>61091.03</v>
      </c>
      <c r="CP43" s="59">
        <f t="shared" si="205"/>
        <v>201954.72697399999</v>
      </c>
      <c r="CQ43" s="57">
        <f t="shared" si="206"/>
        <v>59653.593999999997</v>
      </c>
      <c r="CR43" s="59">
        <f t="shared" si="207"/>
        <v>197202.85104519999</v>
      </c>
      <c r="CS43" s="55">
        <f t="shared" si="208"/>
        <v>58216.157999999996</v>
      </c>
      <c r="CT43" s="59">
        <f t="shared" si="209"/>
        <v>192450.97511639999</v>
      </c>
      <c r="CU43" s="60">
        <f t="shared" si="210"/>
        <v>56778.721999999994</v>
      </c>
      <c r="CV43" s="59">
        <f t="shared" si="211"/>
        <v>187699.09918759999</v>
      </c>
      <c r="CW43" s="60">
        <f t="shared" si="212"/>
        <v>55341.285999999993</v>
      </c>
      <c r="CX43" s="59">
        <f t="shared" si="213"/>
        <v>182947.22325879999</v>
      </c>
      <c r="CY43" s="60">
        <f t="shared" si="214"/>
        <v>53903.849999999991</v>
      </c>
      <c r="CZ43" s="59">
        <f t="shared" si="215"/>
        <v>178195.34732999996</v>
      </c>
      <c r="DA43" s="55">
        <f t="shared" si="216"/>
        <v>52466.41399999999</v>
      </c>
      <c r="DB43" s="59">
        <f t="shared" si="217"/>
        <v>173443.47140119996</v>
      </c>
      <c r="DC43" s="60">
        <f t="shared" si="218"/>
        <v>51028.977999999988</v>
      </c>
      <c r="DD43" s="59">
        <f t="shared" si="219"/>
        <v>168691.59547239996</v>
      </c>
      <c r="DE43" s="60">
        <f t="shared" si="220"/>
        <v>49591.541999999987</v>
      </c>
      <c r="DF43" s="59">
        <f t="shared" si="221"/>
        <v>163939.71954359996</v>
      </c>
      <c r="DG43" s="60">
        <f t="shared" si="222"/>
        <v>48154.105999999992</v>
      </c>
      <c r="DH43" s="59">
        <f t="shared" si="223"/>
        <v>159187.84361479999</v>
      </c>
      <c r="DI43" s="60">
        <f t="shared" si="224"/>
        <v>46716.669999999991</v>
      </c>
      <c r="DJ43" s="59">
        <f t="shared" si="225"/>
        <v>154435.96768599996</v>
      </c>
      <c r="DK43" s="55">
        <f t="shared" si="226"/>
        <v>45279.233999999989</v>
      </c>
      <c r="DL43" s="59">
        <f t="shared" si="227"/>
        <v>149684.09175719996</v>
      </c>
      <c r="DM43" s="60">
        <f t="shared" si="228"/>
        <v>43841.797999999988</v>
      </c>
      <c r="DN43" s="59">
        <f t="shared" si="229"/>
        <v>144932.21582839996</v>
      </c>
      <c r="DO43" s="60">
        <f t="shared" si="230"/>
        <v>42404.361999999986</v>
      </c>
      <c r="DP43" s="59">
        <f t="shared" si="231"/>
        <v>140180.33989959996</v>
      </c>
      <c r="DQ43" s="55">
        <f t="shared" si="232"/>
        <v>40966.925999999985</v>
      </c>
      <c r="DR43" s="59">
        <f t="shared" si="233"/>
        <v>135428.46397079996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4"/>
        <v>0.91</v>
      </c>
      <c r="DZ43" s="55">
        <f t="shared" si="234"/>
        <v>0.89</v>
      </c>
      <c r="EA43" s="55">
        <f t="shared" si="234"/>
        <v>0.87</v>
      </c>
      <c r="EB43" s="55">
        <f t="shared" si="234"/>
        <v>0.85</v>
      </c>
      <c r="EC43" s="55">
        <f t="shared" si="234"/>
        <v>0.83</v>
      </c>
      <c r="ED43" s="55">
        <f t="shared" si="234"/>
        <v>0.80999999999999994</v>
      </c>
      <c r="EE43" s="55">
        <f t="shared" si="234"/>
        <v>0.78999999999999992</v>
      </c>
      <c r="EF43" s="55">
        <f t="shared" si="234"/>
        <v>0.76999999999999991</v>
      </c>
      <c r="EG43" s="55">
        <f t="shared" si="234"/>
        <v>0.74999999999999989</v>
      </c>
      <c r="EH43" s="55">
        <f t="shared" si="234"/>
        <v>0.72999999999999987</v>
      </c>
      <c r="EI43" s="55">
        <f t="shared" si="234"/>
        <v>0.70999999999999985</v>
      </c>
      <c r="EJ43" s="55">
        <f t="shared" si="234"/>
        <v>0.68999999999999984</v>
      </c>
      <c r="EK43" s="55">
        <f t="shared" si="234"/>
        <v>0.66999999999999982</v>
      </c>
      <c r="EL43" s="55">
        <f t="shared" si="234"/>
        <v>0.6499999999999998</v>
      </c>
      <c r="EM43" s="55">
        <f t="shared" si="234"/>
        <v>0.62999999999999978</v>
      </c>
      <c r="EN43" s="55">
        <f t="shared" si="234"/>
        <v>0.60999999999999976</v>
      </c>
      <c r="EO43" s="55">
        <f t="shared" si="234"/>
        <v>0.58999999999999975</v>
      </c>
      <c r="EP43" s="55">
        <f t="shared" si="234"/>
        <v>0.56999999999999973</v>
      </c>
      <c r="ER43" s="55">
        <f t="shared" si="142"/>
        <v>65403.338000000003</v>
      </c>
      <c r="ES43" s="55">
        <f t="shared" si="116"/>
        <v>65403.338000000003</v>
      </c>
      <c r="ET43" s="59">
        <f t="shared" si="235"/>
        <v>216210.35476040002</v>
      </c>
      <c r="EU43" s="55">
        <f t="shared" si="236"/>
        <v>63441.237860000001</v>
      </c>
      <c r="EV43" s="59">
        <f t="shared" si="237"/>
        <v>209724.044117588</v>
      </c>
      <c r="EW43" s="55">
        <f t="shared" si="238"/>
        <v>62133.1711</v>
      </c>
      <c r="EX43" s="59">
        <f t="shared" si="239"/>
        <v>205399.83702238</v>
      </c>
      <c r="EY43" s="55">
        <f t="shared" si="240"/>
        <v>60825.104340000005</v>
      </c>
      <c r="EZ43" s="59">
        <f t="shared" si="241"/>
        <v>201075.62992717203</v>
      </c>
      <c r="FA43" s="57">
        <f t="shared" si="242"/>
        <v>59517.037580000004</v>
      </c>
      <c r="FB43" s="59">
        <f t="shared" si="243"/>
        <v>196751.42283196401</v>
      </c>
      <c r="FC43" s="55">
        <f t="shared" si="244"/>
        <v>58208.970820000002</v>
      </c>
      <c r="FD43" s="59">
        <f t="shared" si="245"/>
        <v>192427.21573675601</v>
      </c>
      <c r="FE43" s="57">
        <f t="shared" si="246"/>
        <v>56900.904060000001</v>
      </c>
      <c r="FF43" s="59">
        <f t="shared" si="247"/>
        <v>188103.00864154802</v>
      </c>
      <c r="FG43" s="60">
        <f t="shared" si="248"/>
        <v>55592.837299999999</v>
      </c>
      <c r="FH43" s="59">
        <f t="shared" si="249"/>
        <v>183778.80154633999</v>
      </c>
      <c r="FI43" s="57">
        <f t="shared" si="250"/>
        <v>54284.770539999998</v>
      </c>
      <c r="FJ43" s="59">
        <f t="shared" si="251"/>
        <v>179454.594451132</v>
      </c>
      <c r="FK43" s="55">
        <f t="shared" si="252"/>
        <v>52976.703779999996</v>
      </c>
      <c r="FL43" s="59">
        <f t="shared" si="253"/>
        <v>175130.387355924</v>
      </c>
      <c r="FM43" s="60">
        <f t="shared" si="254"/>
        <v>51668.637019999995</v>
      </c>
      <c r="FN43" s="59">
        <f t="shared" si="255"/>
        <v>170806.18026071598</v>
      </c>
      <c r="FO43" s="60">
        <f t="shared" si="256"/>
        <v>50360.570259999993</v>
      </c>
      <c r="FP43" s="59">
        <f t="shared" si="257"/>
        <v>166481.97316550798</v>
      </c>
      <c r="FQ43" s="60">
        <f t="shared" si="258"/>
        <v>49052.503499999999</v>
      </c>
      <c r="FR43" s="59">
        <f t="shared" si="259"/>
        <v>162157.76607029999</v>
      </c>
      <c r="FS43" s="55">
        <f t="shared" si="260"/>
        <v>47744.436739999997</v>
      </c>
      <c r="FT43" s="59">
        <f t="shared" si="261"/>
        <v>157833.55897509199</v>
      </c>
      <c r="FU43" s="60">
        <f t="shared" si="262"/>
        <v>46436.369979999996</v>
      </c>
      <c r="FV43" s="59">
        <f t="shared" si="263"/>
        <v>153509.35187988399</v>
      </c>
      <c r="FW43" s="60">
        <f t="shared" si="264"/>
        <v>45128.303219999994</v>
      </c>
      <c r="FX43" s="59">
        <f t="shared" si="265"/>
        <v>149185.144784676</v>
      </c>
      <c r="FY43" s="60">
        <f t="shared" si="266"/>
        <v>43820.236459999993</v>
      </c>
      <c r="FZ43" s="59">
        <f t="shared" si="267"/>
        <v>144860.93768946797</v>
      </c>
      <c r="GA43" s="60">
        <f t="shared" si="268"/>
        <v>42512.169699999991</v>
      </c>
      <c r="GB43" s="59">
        <f t="shared" si="269"/>
        <v>140536.73059425998</v>
      </c>
      <c r="GC43" s="55">
        <f t="shared" si="270"/>
        <v>41204.10293999999</v>
      </c>
      <c r="GD43" s="59">
        <f t="shared" si="271"/>
        <v>136212.52349905198</v>
      </c>
      <c r="GE43" s="60">
        <f t="shared" si="272"/>
        <v>39896.036179999988</v>
      </c>
      <c r="GF43" s="59">
        <f t="shared" si="273"/>
        <v>131888.31640384396</v>
      </c>
      <c r="GG43" s="60">
        <f t="shared" si="274"/>
        <v>38587.969419999987</v>
      </c>
      <c r="GH43" s="59">
        <f t="shared" si="275"/>
        <v>127564.10930863596</v>
      </c>
      <c r="GI43" s="55">
        <f t="shared" si="276"/>
        <v>37279.902659999985</v>
      </c>
      <c r="GJ43" s="59">
        <f t="shared" si="277"/>
        <v>123239.90221342795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78"/>
        <v>0.91</v>
      </c>
      <c r="GR43" s="55">
        <f t="shared" si="278"/>
        <v>0.89</v>
      </c>
      <c r="GS43" s="55">
        <f t="shared" si="278"/>
        <v>0.87</v>
      </c>
      <c r="GT43" s="55">
        <f t="shared" si="278"/>
        <v>0.85</v>
      </c>
      <c r="GU43" s="55">
        <f t="shared" si="278"/>
        <v>0.83</v>
      </c>
      <c r="GV43" s="55">
        <f t="shared" si="278"/>
        <v>0.80999999999999994</v>
      </c>
      <c r="GW43" s="55">
        <f t="shared" si="278"/>
        <v>0.78999999999999992</v>
      </c>
      <c r="GX43" s="55">
        <f t="shared" si="278"/>
        <v>0.76999999999999991</v>
      </c>
      <c r="GY43" s="55">
        <f t="shared" si="278"/>
        <v>0.74999999999999989</v>
      </c>
      <c r="GZ43" s="55">
        <f t="shared" si="278"/>
        <v>0.72999999999999987</v>
      </c>
      <c r="HA43" s="55">
        <f t="shared" si="278"/>
        <v>0.70999999999999985</v>
      </c>
      <c r="HB43" s="55">
        <f t="shared" si="278"/>
        <v>0.68999999999999984</v>
      </c>
      <c r="HC43" s="55">
        <f t="shared" si="278"/>
        <v>0.66999999999999982</v>
      </c>
      <c r="HD43" s="55">
        <f t="shared" si="278"/>
        <v>0.6499999999999998</v>
      </c>
      <c r="HE43" s="55">
        <f t="shared" si="278"/>
        <v>0.62999999999999978</v>
      </c>
      <c r="HF43" s="55">
        <f t="shared" si="278"/>
        <v>0.60999999999999976</v>
      </c>
      <c r="HG43" s="55">
        <f t="shared" si="278"/>
        <v>0.58999999999999975</v>
      </c>
      <c r="HH43" s="55">
        <f t="shared" si="278"/>
        <v>0.56999999999999973</v>
      </c>
    </row>
    <row r="44" spans="1:216" x14ac:dyDescent="0.3">
      <c r="A44" s="2">
        <v>11</v>
      </c>
      <c r="C44" s="38" t="s">
        <v>157</v>
      </c>
      <c r="D44" s="42">
        <f>TRUNC(46548.484922729,-1)</f>
        <v>46540</v>
      </c>
      <c r="E44" s="71">
        <f t="shared" si="148"/>
        <v>153850</v>
      </c>
      <c r="H44" s="55">
        <f t="shared" si="61"/>
        <v>169235</v>
      </c>
      <c r="I44" s="55">
        <f t="shared" si="62"/>
        <v>169235</v>
      </c>
      <c r="J44" s="59">
        <f t="shared" si="63"/>
        <v>559457.06299999997</v>
      </c>
      <c r="K44" s="55">
        <f t="shared" si="149"/>
        <v>164157.94999999998</v>
      </c>
      <c r="L44" s="59">
        <f t="shared" si="150"/>
        <v>542673.35110999993</v>
      </c>
      <c r="M44" s="55">
        <f t="shared" si="151"/>
        <v>160773.25</v>
      </c>
      <c r="N44" s="59">
        <f t="shared" si="152"/>
        <v>531484.20984999998</v>
      </c>
      <c r="O44" s="55">
        <f t="shared" si="153"/>
        <v>157388.55000000002</v>
      </c>
      <c r="P44" s="59">
        <f t="shared" si="154"/>
        <v>520295.0685900001</v>
      </c>
      <c r="Q44" s="57">
        <f t="shared" si="155"/>
        <v>154003.85</v>
      </c>
      <c r="R44" s="59">
        <f t="shared" si="156"/>
        <v>509105.92733000003</v>
      </c>
      <c r="S44" s="55">
        <f t="shared" si="157"/>
        <v>150619.15</v>
      </c>
      <c r="T44" s="59">
        <f t="shared" si="158"/>
        <v>497916.78606999997</v>
      </c>
      <c r="U44" s="57">
        <f t="shared" si="159"/>
        <v>147234.45000000001</v>
      </c>
      <c r="V44" s="59">
        <f t="shared" si="160"/>
        <v>486727.64481000003</v>
      </c>
      <c r="W44" s="60">
        <f t="shared" si="161"/>
        <v>143849.75</v>
      </c>
      <c r="X44" s="59">
        <f t="shared" si="162"/>
        <v>475538.50355000002</v>
      </c>
      <c r="Y44" s="57">
        <f t="shared" si="163"/>
        <v>140465.04999999999</v>
      </c>
      <c r="Z44" s="59">
        <f t="shared" si="164"/>
        <v>464349.36228999996</v>
      </c>
      <c r="AA44" s="55">
        <f t="shared" si="165"/>
        <v>137080.34999999998</v>
      </c>
      <c r="AB44" s="59">
        <f t="shared" si="166"/>
        <v>453160.22102999996</v>
      </c>
      <c r="AC44" s="60">
        <f t="shared" si="167"/>
        <v>133695.65</v>
      </c>
      <c r="AD44" s="59">
        <f t="shared" si="168"/>
        <v>441971.07977000001</v>
      </c>
      <c r="AE44" s="60">
        <f t="shared" si="169"/>
        <v>130310.94999999998</v>
      </c>
      <c r="AF44" s="59">
        <f t="shared" si="170"/>
        <v>430781.93850999995</v>
      </c>
      <c r="AG44" s="60">
        <f t="shared" si="171"/>
        <v>126926.24999999999</v>
      </c>
      <c r="AH44" s="59">
        <f t="shared" si="172"/>
        <v>419592.79724999995</v>
      </c>
      <c r="AI44" s="55">
        <f t="shared" si="173"/>
        <v>123541.54999999997</v>
      </c>
      <c r="AJ44" s="59">
        <f t="shared" si="174"/>
        <v>408403.65598999994</v>
      </c>
      <c r="AK44" s="60">
        <f t="shared" si="175"/>
        <v>120156.84999999998</v>
      </c>
      <c r="AL44" s="59">
        <f t="shared" si="176"/>
        <v>397214.51472999994</v>
      </c>
      <c r="AM44" s="60">
        <f t="shared" si="177"/>
        <v>116772.14999999997</v>
      </c>
      <c r="AN44" s="59">
        <f t="shared" si="178"/>
        <v>386025.37346999987</v>
      </c>
      <c r="AO44" s="60">
        <f t="shared" si="179"/>
        <v>113387.44999999997</v>
      </c>
      <c r="AP44" s="59">
        <f t="shared" si="180"/>
        <v>374836.23220999993</v>
      </c>
      <c r="AQ44" s="60">
        <f t="shared" si="181"/>
        <v>110002.74999999997</v>
      </c>
      <c r="AR44" s="59">
        <f t="shared" si="182"/>
        <v>363647.09094999993</v>
      </c>
      <c r="AS44" s="55">
        <f t="shared" si="183"/>
        <v>106618.04999999996</v>
      </c>
      <c r="AT44" s="59">
        <f t="shared" si="184"/>
        <v>352457.94968999986</v>
      </c>
      <c r="AU44" s="60">
        <f t="shared" si="185"/>
        <v>103233.34999999996</v>
      </c>
      <c r="AV44" s="59">
        <f t="shared" si="186"/>
        <v>341268.80842999986</v>
      </c>
      <c r="AW44" s="60">
        <f t="shared" si="187"/>
        <v>99848.649999999951</v>
      </c>
      <c r="AX44" s="59">
        <f t="shared" si="188"/>
        <v>330079.66716999986</v>
      </c>
      <c r="AY44" s="55">
        <f t="shared" si="189"/>
        <v>96463.949999999953</v>
      </c>
      <c r="AZ44" s="59">
        <f t="shared" si="190"/>
        <v>318890.52590999985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3"/>
        <v>0.91</v>
      </c>
      <c r="BH44" s="55">
        <f t="shared" si="143"/>
        <v>0.89</v>
      </c>
      <c r="BI44" s="55">
        <f t="shared" si="143"/>
        <v>0.87</v>
      </c>
      <c r="BJ44" s="55">
        <f t="shared" si="143"/>
        <v>0.85</v>
      </c>
      <c r="BK44" s="55">
        <f t="shared" si="143"/>
        <v>0.83</v>
      </c>
      <c r="BL44" s="55">
        <f t="shared" si="143"/>
        <v>0.80999999999999994</v>
      </c>
      <c r="BM44" s="55">
        <f t="shared" si="143"/>
        <v>0.78999999999999992</v>
      </c>
      <c r="BN44" s="55">
        <f t="shared" si="143"/>
        <v>0.76999999999999991</v>
      </c>
      <c r="BO44" s="55">
        <f t="shared" si="143"/>
        <v>0.74999999999999989</v>
      </c>
      <c r="BP44" s="55">
        <f t="shared" si="143"/>
        <v>0.72999999999999987</v>
      </c>
      <c r="BQ44" s="55">
        <f t="shared" si="143"/>
        <v>0.70999999999999985</v>
      </c>
      <c r="BR44" s="55">
        <f t="shared" si="143"/>
        <v>0.68999999999999984</v>
      </c>
      <c r="BS44" s="55">
        <f t="shared" si="143"/>
        <v>0.66999999999999982</v>
      </c>
      <c r="BT44" s="55">
        <f t="shared" si="143"/>
        <v>0.6499999999999998</v>
      </c>
      <c r="BU44" s="55">
        <f t="shared" si="143"/>
        <v>0.62999999999999978</v>
      </c>
      <c r="BV44" s="55">
        <f t="shared" si="143"/>
        <v>0.60999999999999976</v>
      </c>
      <c r="BW44" s="55">
        <f t="shared" si="143"/>
        <v>0.58999999999999975</v>
      </c>
      <c r="BX44" s="55">
        <f t="shared" si="143"/>
        <v>0.56999999999999973</v>
      </c>
      <c r="BZ44" s="55">
        <f t="shared" si="88"/>
        <v>154003.85</v>
      </c>
      <c r="CA44" s="55">
        <f t="shared" si="89"/>
        <v>154003.85</v>
      </c>
      <c r="CB44" s="59">
        <f t="shared" si="191"/>
        <v>509105.92733000003</v>
      </c>
      <c r="CC44" s="55">
        <f t="shared" si="192"/>
        <v>149383.73449999999</v>
      </c>
      <c r="CD44" s="59">
        <f t="shared" si="193"/>
        <v>493832.74951009999</v>
      </c>
      <c r="CE44" s="55">
        <f t="shared" si="194"/>
        <v>146303.6575</v>
      </c>
      <c r="CF44" s="59">
        <f t="shared" si="195"/>
        <v>483650.63096350001</v>
      </c>
      <c r="CG44" s="55">
        <f t="shared" si="196"/>
        <v>143223.58050000001</v>
      </c>
      <c r="CH44" s="59">
        <f t="shared" si="197"/>
        <v>473468.51241690002</v>
      </c>
      <c r="CI44" s="57">
        <f t="shared" si="198"/>
        <v>140143.50350000002</v>
      </c>
      <c r="CJ44" s="59">
        <f t="shared" si="199"/>
        <v>463286.39387030009</v>
      </c>
      <c r="CK44" s="55">
        <f t="shared" si="200"/>
        <v>137063.4265</v>
      </c>
      <c r="CL44" s="59">
        <f t="shared" si="201"/>
        <v>453104.27532370004</v>
      </c>
      <c r="CM44" s="57">
        <f t="shared" si="202"/>
        <v>133983.34950000001</v>
      </c>
      <c r="CN44" s="59">
        <f t="shared" si="203"/>
        <v>442922.15677710006</v>
      </c>
      <c r="CO44" s="60">
        <f t="shared" si="204"/>
        <v>130903.27250000001</v>
      </c>
      <c r="CP44" s="59">
        <f t="shared" si="205"/>
        <v>432740.03823050001</v>
      </c>
      <c r="CQ44" s="57">
        <f t="shared" si="206"/>
        <v>127823.1955</v>
      </c>
      <c r="CR44" s="59">
        <f t="shared" si="207"/>
        <v>422557.91968390002</v>
      </c>
      <c r="CS44" s="55">
        <f t="shared" si="208"/>
        <v>124743.1185</v>
      </c>
      <c r="CT44" s="59">
        <f t="shared" si="209"/>
        <v>412375.80113729998</v>
      </c>
      <c r="CU44" s="60">
        <f t="shared" si="210"/>
        <v>121663.04149999999</v>
      </c>
      <c r="CV44" s="59">
        <f t="shared" si="211"/>
        <v>402193.68259069999</v>
      </c>
      <c r="CW44" s="60">
        <f t="shared" si="212"/>
        <v>118582.96449999999</v>
      </c>
      <c r="CX44" s="59">
        <f t="shared" si="213"/>
        <v>392011.56404409994</v>
      </c>
      <c r="CY44" s="60">
        <f t="shared" si="214"/>
        <v>115502.88749999998</v>
      </c>
      <c r="CZ44" s="59">
        <f t="shared" si="215"/>
        <v>381829.44549749995</v>
      </c>
      <c r="DA44" s="55">
        <f t="shared" si="216"/>
        <v>112422.81049999998</v>
      </c>
      <c r="DB44" s="59">
        <f t="shared" si="217"/>
        <v>371647.32695089991</v>
      </c>
      <c r="DC44" s="60">
        <f t="shared" si="218"/>
        <v>109342.73349999999</v>
      </c>
      <c r="DD44" s="59">
        <f t="shared" si="219"/>
        <v>361465.20840429998</v>
      </c>
      <c r="DE44" s="60">
        <f t="shared" si="220"/>
        <v>106262.65649999998</v>
      </c>
      <c r="DF44" s="59">
        <f t="shared" si="221"/>
        <v>351283.08985769993</v>
      </c>
      <c r="DG44" s="60">
        <f t="shared" si="222"/>
        <v>103182.57949999998</v>
      </c>
      <c r="DH44" s="59">
        <f t="shared" si="223"/>
        <v>341100.97131109994</v>
      </c>
      <c r="DI44" s="60">
        <f t="shared" si="224"/>
        <v>100102.50249999997</v>
      </c>
      <c r="DJ44" s="59">
        <f t="shared" si="225"/>
        <v>330918.8527644999</v>
      </c>
      <c r="DK44" s="55">
        <f t="shared" si="226"/>
        <v>97022.425499999968</v>
      </c>
      <c r="DL44" s="59">
        <f t="shared" si="227"/>
        <v>320736.73421789991</v>
      </c>
      <c r="DM44" s="60">
        <f t="shared" si="228"/>
        <v>93942.348499999964</v>
      </c>
      <c r="DN44" s="59">
        <f t="shared" si="229"/>
        <v>310554.61567129986</v>
      </c>
      <c r="DO44" s="60">
        <f t="shared" si="230"/>
        <v>90862.271499999959</v>
      </c>
      <c r="DP44" s="59">
        <f t="shared" si="231"/>
        <v>300372.49712469988</v>
      </c>
      <c r="DQ44" s="55">
        <f t="shared" si="232"/>
        <v>87782.194499999969</v>
      </c>
      <c r="DR44" s="59">
        <f t="shared" si="233"/>
        <v>290190.37857809989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4"/>
        <v>0.91</v>
      </c>
      <c r="DZ44" s="55">
        <f t="shared" si="234"/>
        <v>0.89</v>
      </c>
      <c r="EA44" s="55">
        <f t="shared" si="234"/>
        <v>0.87</v>
      </c>
      <c r="EB44" s="55">
        <f t="shared" si="234"/>
        <v>0.85</v>
      </c>
      <c r="EC44" s="55">
        <f t="shared" si="234"/>
        <v>0.83</v>
      </c>
      <c r="ED44" s="55">
        <f t="shared" si="234"/>
        <v>0.80999999999999994</v>
      </c>
      <c r="EE44" s="55">
        <f t="shared" si="234"/>
        <v>0.78999999999999992</v>
      </c>
      <c r="EF44" s="55">
        <f t="shared" si="234"/>
        <v>0.76999999999999991</v>
      </c>
      <c r="EG44" s="55">
        <f t="shared" si="234"/>
        <v>0.74999999999999989</v>
      </c>
      <c r="EH44" s="55">
        <f t="shared" si="234"/>
        <v>0.72999999999999987</v>
      </c>
      <c r="EI44" s="55">
        <f t="shared" si="234"/>
        <v>0.70999999999999985</v>
      </c>
      <c r="EJ44" s="55">
        <f t="shared" si="234"/>
        <v>0.68999999999999984</v>
      </c>
      <c r="EK44" s="55">
        <f t="shared" si="234"/>
        <v>0.66999999999999982</v>
      </c>
      <c r="EL44" s="55">
        <f t="shared" si="234"/>
        <v>0.6499999999999998</v>
      </c>
      <c r="EM44" s="55">
        <f t="shared" si="234"/>
        <v>0.62999999999999978</v>
      </c>
      <c r="EN44" s="55">
        <f t="shared" si="234"/>
        <v>0.60999999999999976</v>
      </c>
      <c r="EO44" s="55">
        <f t="shared" si="234"/>
        <v>0.58999999999999975</v>
      </c>
      <c r="EP44" s="55">
        <f t="shared" si="234"/>
        <v>0.56999999999999973</v>
      </c>
      <c r="ER44" s="55">
        <f t="shared" si="142"/>
        <v>140143.50350000002</v>
      </c>
      <c r="ES44" s="55">
        <f t="shared" si="116"/>
        <v>140143.50350000002</v>
      </c>
      <c r="ET44" s="59">
        <f t="shared" si="235"/>
        <v>463286.39387030009</v>
      </c>
      <c r="EU44" s="55">
        <f t="shared" si="236"/>
        <v>135939.19839500001</v>
      </c>
      <c r="EV44" s="59">
        <f t="shared" si="237"/>
        <v>449387.80205419107</v>
      </c>
      <c r="EW44" s="55">
        <f t="shared" si="238"/>
        <v>133136.32832500001</v>
      </c>
      <c r="EX44" s="59">
        <f t="shared" si="239"/>
        <v>440122.07417678501</v>
      </c>
      <c r="EY44" s="55">
        <f t="shared" si="240"/>
        <v>130333.45825500002</v>
      </c>
      <c r="EZ44" s="59">
        <f t="shared" si="241"/>
        <v>430856.34629937907</v>
      </c>
      <c r="FA44" s="57">
        <f t="shared" si="242"/>
        <v>127530.58818500003</v>
      </c>
      <c r="FB44" s="59">
        <f t="shared" si="243"/>
        <v>421590.61842197308</v>
      </c>
      <c r="FC44" s="55">
        <f t="shared" si="244"/>
        <v>124727.71811500003</v>
      </c>
      <c r="FD44" s="59">
        <f t="shared" si="245"/>
        <v>412324.89054456708</v>
      </c>
      <c r="FE44" s="57">
        <f t="shared" si="246"/>
        <v>121924.84804500002</v>
      </c>
      <c r="FF44" s="59">
        <f t="shared" si="247"/>
        <v>403059.16266716109</v>
      </c>
      <c r="FG44" s="60">
        <f t="shared" si="248"/>
        <v>119121.97797500002</v>
      </c>
      <c r="FH44" s="59">
        <f t="shared" si="249"/>
        <v>393793.43478975509</v>
      </c>
      <c r="FI44" s="57">
        <f t="shared" si="250"/>
        <v>116319.10790500001</v>
      </c>
      <c r="FJ44" s="59">
        <f t="shared" si="251"/>
        <v>384527.70691234904</v>
      </c>
      <c r="FK44" s="55">
        <f t="shared" si="252"/>
        <v>113516.23783500001</v>
      </c>
      <c r="FL44" s="59">
        <f t="shared" si="253"/>
        <v>375261.97903494304</v>
      </c>
      <c r="FM44" s="60">
        <f t="shared" si="254"/>
        <v>110713.367765</v>
      </c>
      <c r="FN44" s="59">
        <f t="shared" si="255"/>
        <v>365996.25115753704</v>
      </c>
      <c r="FO44" s="60">
        <f t="shared" si="256"/>
        <v>107910.497695</v>
      </c>
      <c r="FP44" s="59">
        <f t="shared" si="257"/>
        <v>356730.52328013099</v>
      </c>
      <c r="FQ44" s="60">
        <f t="shared" si="258"/>
        <v>105107.62762499999</v>
      </c>
      <c r="FR44" s="59">
        <f t="shared" si="259"/>
        <v>347464.79540272499</v>
      </c>
      <c r="FS44" s="55">
        <f t="shared" si="260"/>
        <v>102304.757555</v>
      </c>
      <c r="FT44" s="59">
        <f t="shared" si="261"/>
        <v>338199.067525319</v>
      </c>
      <c r="FU44" s="60">
        <f t="shared" si="262"/>
        <v>99501.887484999999</v>
      </c>
      <c r="FV44" s="59">
        <f t="shared" si="263"/>
        <v>328933.339647913</v>
      </c>
      <c r="FW44" s="60">
        <f t="shared" si="264"/>
        <v>96699.017414999995</v>
      </c>
      <c r="FX44" s="59">
        <f t="shared" si="265"/>
        <v>319667.61177050701</v>
      </c>
      <c r="FY44" s="60">
        <f t="shared" si="266"/>
        <v>93896.14734499999</v>
      </c>
      <c r="FZ44" s="59">
        <f t="shared" si="267"/>
        <v>310401.88389310095</v>
      </c>
      <c r="GA44" s="60">
        <f t="shared" si="268"/>
        <v>91093.277274999986</v>
      </c>
      <c r="GB44" s="59">
        <f t="shared" si="269"/>
        <v>301136.15601569496</v>
      </c>
      <c r="GC44" s="55">
        <f t="shared" si="270"/>
        <v>88290.407204999981</v>
      </c>
      <c r="GD44" s="59">
        <f t="shared" si="271"/>
        <v>291870.42813828896</v>
      </c>
      <c r="GE44" s="60">
        <f t="shared" si="272"/>
        <v>85487.537134999977</v>
      </c>
      <c r="GF44" s="59">
        <f t="shared" si="273"/>
        <v>282604.70026088291</v>
      </c>
      <c r="GG44" s="60">
        <f t="shared" si="274"/>
        <v>82684.667064999972</v>
      </c>
      <c r="GH44" s="59">
        <f t="shared" si="275"/>
        <v>273338.97238347691</v>
      </c>
      <c r="GI44" s="55">
        <f t="shared" si="276"/>
        <v>79881.796994999968</v>
      </c>
      <c r="GJ44" s="59">
        <f t="shared" si="277"/>
        <v>264073.24450607091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78"/>
        <v>0.91</v>
      </c>
      <c r="GR44" s="55">
        <f t="shared" si="278"/>
        <v>0.89</v>
      </c>
      <c r="GS44" s="55">
        <f t="shared" si="278"/>
        <v>0.87</v>
      </c>
      <c r="GT44" s="55">
        <f t="shared" si="278"/>
        <v>0.85</v>
      </c>
      <c r="GU44" s="55">
        <f t="shared" si="278"/>
        <v>0.83</v>
      </c>
      <c r="GV44" s="55">
        <f t="shared" si="278"/>
        <v>0.80999999999999994</v>
      </c>
      <c r="GW44" s="55">
        <f t="shared" si="278"/>
        <v>0.78999999999999992</v>
      </c>
      <c r="GX44" s="55">
        <f t="shared" si="278"/>
        <v>0.76999999999999991</v>
      </c>
      <c r="GY44" s="55">
        <f t="shared" si="278"/>
        <v>0.74999999999999989</v>
      </c>
      <c r="GZ44" s="55">
        <f t="shared" si="278"/>
        <v>0.72999999999999987</v>
      </c>
      <c r="HA44" s="55">
        <f t="shared" si="278"/>
        <v>0.70999999999999985</v>
      </c>
      <c r="HB44" s="55">
        <f t="shared" si="278"/>
        <v>0.68999999999999984</v>
      </c>
      <c r="HC44" s="55">
        <f t="shared" si="278"/>
        <v>0.66999999999999982</v>
      </c>
      <c r="HD44" s="55">
        <f t="shared" si="278"/>
        <v>0.6499999999999998</v>
      </c>
      <c r="HE44" s="55">
        <f t="shared" si="278"/>
        <v>0.62999999999999978</v>
      </c>
      <c r="HF44" s="55">
        <f t="shared" si="278"/>
        <v>0.60999999999999976</v>
      </c>
      <c r="HG44" s="55">
        <f t="shared" si="278"/>
        <v>0.58999999999999975</v>
      </c>
      <c r="HH44" s="55">
        <f t="shared" si="278"/>
        <v>0.56999999999999973</v>
      </c>
    </row>
    <row r="45" spans="1:216" x14ac:dyDescent="0.3">
      <c r="A45" s="2">
        <v>12</v>
      </c>
      <c r="C45" s="38" t="s">
        <v>23</v>
      </c>
      <c r="D45" s="42">
        <f>TRUNC(31582.2303053147,-1)</f>
        <v>31580</v>
      </c>
      <c r="E45" s="71">
        <f t="shared" si="148"/>
        <v>104390</v>
      </c>
      <c r="H45" s="55">
        <f t="shared" si="61"/>
        <v>114829.00000000001</v>
      </c>
      <c r="I45" s="55">
        <f t="shared" si="62"/>
        <v>114829.00000000001</v>
      </c>
      <c r="J45" s="59">
        <f t="shared" si="63"/>
        <v>379601.70820000005</v>
      </c>
      <c r="K45" s="55">
        <f t="shared" si="149"/>
        <v>111384.13</v>
      </c>
      <c r="L45" s="59">
        <f t="shared" si="150"/>
        <v>368213.65695400001</v>
      </c>
      <c r="M45" s="55">
        <f t="shared" si="151"/>
        <v>109087.55</v>
      </c>
      <c r="N45" s="59">
        <f t="shared" si="152"/>
        <v>360621.62278999999</v>
      </c>
      <c r="O45" s="55">
        <f t="shared" si="153"/>
        <v>106790.97000000002</v>
      </c>
      <c r="P45" s="59">
        <f t="shared" si="154"/>
        <v>353029.58862600004</v>
      </c>
      <c r="Q45" s="57">
        <f t="shared" si="155"/>
        <v>104494.39000000001</v>
      </c>
      <c r="R45" s="59">
        <f t="shared" si="156"/>
        <v>345437.55446200003</v>
      </c>
      <c r="S45" s="55">
        <f t="shared" si="157"/>
        <v>102197.81000000001</v>
      </c>
      <c r="T45" s="59">
        <f t="shared" si="158"/>
        <v>337845.52029800008</v>
      </c>
      <c r="U45" s="57">
        <f t="shared" si="159"/>
        <v>99901.23000000001</v>
      </c>
      <c r="V45" s="59">
        <f t="shared" si="160"/>
        <v>330253.48613400006</v>
      </c>
      <c r="W45" s="60">
        <f t="shared" si="161"/>
        <v>97604.650000000009</v>
      </c>
      <c r="X45" s="59">
        <f t="shared" si="162"/>
        <v>322661.45197000005</v>
      </c>
      <c r="Y45" s="57">
        <f t="shared" si="163"/>
        <v>95308.07</v>
      </c>
      <c r="Z45" s="59">
        <f t="shared" si="164"/>
        <v>315069.41780600004</v>
      </c>
      <c r="AA45" s="55">
        <f t="shared" si="165"/>
        <v>93011.49</v>
      </c>
      <c r="AB45" s="59">
        <f t="shared" si="166"/>
        <v>307477.38364200003</v>
      </c>
      <c r="AC45" s="60">
        <f t="shared" si="167"/>
        <v>90714.91</v>
      </c>
      <c r="AD45" s="59">
        <f t="shared" si="168"/>
        <v>299885.34947800002</v>
      </c>
      <c r="AE45" s="60">
        <f t="shared" si="169"/>
        <v>88418.33</v>
      </c>
      <c r="AF45" s="59">
        <f t="shared" si="170"/>
        <v>292293.31531400001</v>
      </c>
      <c r="AG45" s="60">
        <f t="shared" si="171"/>
        <v>86121.75</v>
      </c>
      <c r="AH45" s="59">
        <f t="shared" si="172"/>
        <v>284701.28115</v>
      </c>
      <c r="AI45" s="55">
        <f t="shared" si="173"/>
        <v>83825.17</v>
      </c>
      <c r="AJ45" s="59">
        <f t="shared" si="174"/>
        <v>277109.24698599998</v>
      </c>
      <c r="AK45" s="60">
        <f t="shared" si="175"/>
        <v>81528.59</v>
      </c>
      <c r="AL45" s="59">
        <f t="shared" si="176"/>
        <v>269517.21282199997</v>
      </c>
      <c r="AM45" s="60">
        <f t="shared" si="177"/>
        <v>79232.009999999995</v>
      </c>
      <c r="AN45" s="59">
        <f t="shared" si="178"/>
        <v>261925.17865799999</v>
      </c>
      <c r="AO45" s="60">
        <f t="shared" si="179"/>
        <v>76935.429999999993</v>
      </c>
      <c r="AP45" s="59">
        <f t="shared" si="180"/>
        <v>254333.14449399998</v>
      </c>
      <c r="AQ45" s="60">
        <f t="shared" si="181"/>
        <v>74638.849999999991</v>
      </c>
      <c r="AR45" s="59">
        <f t="shared" si="182"/>
        <v>246741.11032999997</v>
      </c>
      <c r="AS45" s="55">
        <f t="shared" si="183"/>
        <v>72342.26999999999</v>
      </c>
      <c r="AT45" s="59">
        <f t="shared" si="184"/>
        <v>239149.07616599998</v>
      </c>
      <c r="AU45" s="60">
        <f t="shared" si="185"/>
        <v>70045.689999999988</v>
      </c>
      <c r="AV45" s="59">
        <f t="shared" si="186"/>
        <v>231557.04200199997</v>
      </c>
      <c r="AW45" s="60">
        <f t="shared" si="187"/>
        <v>67749.109999999986</v>
      </c>
      <c r="AX45" s="59">
        <f t="shared" si="188"/>
        <v>223965.00783799996</v>
      </c>
      <c r="AY45" s="55">
        <f t="shared" si="189"/>
        <v>65452.529999999977</v>
      </c>
      <c r="AZ45" s="59">
        <f t="shared" si="190"/>
        <v>216372.97367399992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3"/>
        <v>0.91</v>
      </c>
      <c r="BH45" s="55">
        <f t="shared" si="143"/>
        <v>0.89</v>
      </c>
      <c r="BI45" s="55">
        <f t="shared" si="143"/>
        <v>0.87</v>
      </c>
      <c r="BJ45" s="55">
        <f t="shared" ref="BJ45:BX45" si="279">+BI45-0.02</f>
        <v>0.85</v>
      </c>
      <c r="BK45" s="55">
        <f t="shared" si="279"/>
        <v>0.83</v>
      </c>
      <c r="BL45" s="55">
        <f t="shared" si="279"/>
        <v>0.80999999999999994</v>
      </c>
      <c r="BM45" s="55">
        <f t="shared" si="279"/>
        <v>0.78999999999999992</v>
      </c>
      <c r="BN45" s="55">
        <f t="shared" si="279"/>
        <v>0.76999999999999991</v>
      </c>
      <c r="BO45" s="55">
        <f t="shared" si="279"/>
        <v>0.74999999999999989</v>
      </c>
      <c r="BP45" s="55">
        <f t="shared" si="279"/>
        <v>0.72999999999999987</v>
      </c>
      <c r="BQ45" s="55">
        <f t="shared" si="279"/>
        <v>0.70999999999999985</v>
      </c>
      <c r="BR45" s="55">
        <f t="shared" si="279"/>
        <v>0.68999999999999984</v>
      </c>
      <c r="BS45" s="55">
        <f t="shared" si="279"/>
        <v>0.66999999999999982</v>
      </c>
      <c r="BT45" s="55">
        <f t="shared" si="279"/>
        <v>0.6499999999999998</v>
      </c>
      <c r="BU45" s="55">
        <f t="shared" si="279"/>
        <v>0.62999999999999978</v>
      </c>
      <c r="BV45" s="55">
        <f t="shared" si="279"/>
        <v>0.60999999999999976</v>
      </c>
      <c r="BW45" s="55">
        <f t="shared" si="279"/>
        <v>0.58999999999999975</v>
      </c>
      <c r="BX45" s="55">
        <f t="shared" si="279"/>
        <v>0.56999999999999973</v>
      </c>
      <c r="BZ45" s="55">
        <f t="shared" si="88"/>
        <v>104494.39000000001</v>
      </c>
      <c r="CA45" s="55">
        <f t="shared" si="89"/>
        <v>104494.39000000001</v>
      </c>
      <c r="CB45" s="59">
        <f t="shared" si="191"/>
        <v>345437.55446200003</v>
      </c>
      <c r="CC45" s="55">
        <f t="shared" si="192"/>
        <v>101359.5583</v>
      </c>
      <c r="CD45" s="59">
        <f t="shared" si="193"/>
        <v>335074.42782814003</v>
      </c>
      <c r="CE45" s="55">
        <f t="shared" si="194"/>
        <v>99269.670500000007</v>
      </c>
      <c r="CF45" s="59">
        <f t="shared" si="195"/>
        <v>328165.67673890002</v>
      </c>
      <c r="CG45" s="55">
        <f t="shared" si="196"/>
        <v>97179.782700000025</v>
      </c>
      <c r="CH45" s="59">
        <f t="shared" si="197"/>
        <v>321256.92564966012</v>
      </c>
      <c r="CI45" s="57">
        <f t="shared" si="198"/>
        <v>95089.894900000014</v>
      </c>
      <c r="CJ45" s="59">
        <f t="shared" si="199"/>
        <v>314348.17456042004</v>
      </c>
      <c r="CK45" s="55">
        <f t="shared" si="200"/>
        <v>93000.007100000017</v>
      </c>
      <c r="CL45" s="59">
        <f t="shared" si="201"/>
        <v>307439.42347118008</v>
      </c>
      <c r="CM45" s="57">
        <f t="shared" si="202"/>
        <v>90910.119300000006</v>
      </c>
      <c r="CN45" s="59">
        <f t="shared" si="203"/>
        <v>300530.67238194001</v>
      </c>
      <c r="CO45" s="60">
        <f t="shared" si="204"/>
        <v>88820.231500000009</v>
      </c>
      <c r="CP45" s="59">
        <f t="shared" si="205"/>
        <v>293621.92129270005</v>
      </c>
      <c r="CQ45" s="57">
        <f t="shared" si="206"/>
        <v>86730.343700000012</v>
      </c>
      <c r="CR45" s="59">
        <f t="shared" si="207"/>
        <v>286713.17020346003</v>
      </c>
      <c r="CS45" s="55">
        <f t="shared" si="208"/>
        <v>84640.455900000001</v>
      </c>
      <c r="CT45" s="59">
        <f t="shared" si="209"/>
        <v>279804.41911422001</v>
      </c>
      <c r="CU45" s="60">
        <f t="shared" si="210"/>
        <v>82550.568100000004</v>
      </c>
      <c r="CV45" s="59">
        <f t="shared" si="211"/>
        <v>272895.66802498</v>
      </c>
      <c r="CW45" s="60">
        <f t="shared" si="212"/>
        <v>80460.680300000007</v>
      </c>
      <c r="CX45" s="59">
        <f t="shared" si="213"/>
        <v>265986.91693574004</v>
      </c>
      <c r="CY45" s="60">
        <f t="shared" si="214"/>
        <v>78370.792499999996</v>
      </c>
      <c r="CZ45" s="59">
        <f t="shared" si="215"/>
        <v>259078.16584649999</v>
      </c>
      <c r="DA45" s="55">
        <f t="shared" si="216"/>
        <v>76280.904699999999</v>
      </c>
      <c r="DB45" s="59">
        <f t="shared" si="217"/>
        <v>252169.41475726</v>
      </c>
      <c r="DC45" s="60">
        <f t="shared" si="218"/>
        <v>74191.016899999988</v>
      </c>
      <c r="DD45" s="59">
        <f t="shared" si="219"/>
        <v>245260.66366801996</v>
      </c>
      <c r="DE45" s="60">
        <f t="shared" si="220"/>
        <v>72101.129099999991</v>
      </c>
      <c r="DF45" s="59">
        <f t="shared" si="221"/>
        <v>238351.91257877997</v>
      </c>
      <c r="DG45" s="60">
        <f t="shared" si="222"/>
        <v>70011.241299999994</v>
      </c>
      <c r="DH45" s="59">
        <f t="shared" si="223"/>
        <v>231443.16148953998</v>
      </c>
      <c r="DI45" s="60">
        <f t="shared" si="224"/>
        <v>67921.353499999983</v>
      </c>
      <c r="DJ45" s="59">
        <f t="shared" si="225"/>
        <v>224534.41040029994</v>
      </c>
      <c r="DK45" s="55">
        <f t="shared" si="226"/>
        <v>65831.465699999986</v>
      </c>
      <c r="DL45" s="59">
        <f t="shared" si="227"/>
        <v>217625.65931105995</v>
      </c>
      <c r="DM45" s="60">
        <f t="shared" si="228"/>
        <v>63741.577899999982</v>
      </c>
      <c r="DN45" s="59">
        <f t="shared" si="229"/>
        <v>210716.90822181993</v>
      </c>
      <c r="DO45" s="60">
        <f t="shared" si="230"/>
        <v>61651.690099999985</v>
      </c>
      <c r="DP45" s="59">
        <f t="shared" si="231"/>
        <v>203808.15713257995</v>
      </c>
      <c r="DQ45" s="55">
        <f t="shared" si="232"/>
        <v>59561.802299999981</v>
      </c>
      <c r="DR45" s="59">
        <f t="shared" si="233"/>
        <v>196899.40604333993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4"/>
        <v>0.91</v>
      </c>
      <c r="DZ45" s="55">
        <f t="shared" si="234"/>
        <v>0.89</v>
      </c>
      <c r="EA45" s="55">
        <f t="shared" si="234"/>
        <v>0.87</v>
      </c>
      <c r="EB45" s="55">
        <f t="shared" si="234"/>
        <v>0.85</v>
      </c>
      <c r="EC45" s="55">
        <f t="shared" si="234"/>
        <v>0.83</v>
      </c>
      <c r="ED45" s="55">
        <f t="shared" si="234"/>
        <v>0.80999999999999994</v>
      </c>
      <c r="EE45" s="55">
        <f t="shared" si="234"/>
        <v>0.78999999999999992</v>
      </c>
      <c r="EF45" s="55">
        <f t="shared" si="234"/>
        <v>0.76999999999999991</v>
      </c>
      <c r="EG45" s="55">
        <f t="shared" si="234"/>
        <v>0.74999999999999989</v>
      </c>
      <c r="EH45" s="55">
        <f t="shared" si="234"/>
        <v>0.72999999999999987</v>
      </c>
      <c r="EI45" s="55">
        <f t="shared" si="234"/>
        <v>0.70999999999999985</v>
      </c>
      <c r="EJ45" s="55">
        <f t="shared" si="234"/>
        <v>0.68999999999999984</v>
      </c>
      <c r="EK45" s="55">
        <f t="shared" si="234"/>
        <v>0.66999999999999982</v>
      </c>
      <c r="EL45" s="55">
        <f t="shared" si="234"/>
        <v>0.6499999999999998</v>
      </c>
      <c r="EM45" s="55">
        <f t="shared" si="234"/>
        <v>0.62999999999999978</v>
      </c>
      <c r="EN45" s="55">
        <f t="shared" si="234"/>
        <v>0.60999999999999976</v>
      </c>
      <c r="EO45" s="55">
        <f t="shared" si="234"/>
        <v>0.58999999999999975</v>
      </c>
      <c r="EP45" s="55">
        <f t="shared" si="234"/>
        <v>0.56999999999999973</v>
      </c>
      <c r="ER45" s="55">
        <f t="shared" si="142"/>
        <v>95089.894900000014</v>
      </c>
      <c r="ES45" s="55">
        <f t="shared" si="116"/>
        <v>95089.894900000014</v>
      </c>
      <c r="ET45" s="59">
        <f t="shared" si="235"/>
        <v>314348.17456042004</v>
      </c>
      <c r="EU45" s="55">
        <f t="shared" si="236"/>
        <v>92237.198053000015</v>
      </c>
      <c r="EV45" s="59">
        <f t="shared" si="237"/>
        <v>304917.72932360746</v>
      </c>
      <c r="EW45" s="55">
        <f t="shared" si="238"/>
        <v>90335.40015500001</v>
      </c>
      <c r="EX45" s="59">
        <f t="shared" si="239"/>
        <v>298630.76583239902</v>
      </c>
      <c r="EY45" s="55">
        <f t="shared" si="240"/>
        <v>88433.60225700002</v>
      </c>
      <c r="EZ45" s="59">
        <f t="shared" si="241"/>
        <v>292343.80234119069</v>
      </c>
      <c r="FA45" s="57">
        <f t="shared" si="242"/>
        <v>86531.804359000016</v>
      </c>
      <c r="FB45" s="59">
        <f t="shared" si="243"/>
        <v>286056.83884998225</v>
      </c>
      <c r="FC45" s="55">
        <f t="shared" si="244"/>
        <v>84630.006461000012</v>
      </c>
      <c r="FD45" s="59">
        <f t="shared" si="245"/>
        <v>279769.87535877386</v>
      </c>
      <c r="FE45" s="57">
        <f t="shared" si="246"/>
        <v>82728.208563000007</v>
      </c>
      <c r="FF45" s="59">
        <f t="shared" si="247"/>
        <v>273482.91186756542</v>
      </c>
      <c r="FG45" s="60">
        <f t="shared" si="248"/>
        <v>80826.410665000003</v>
      </c>
      <c r="FH45" s="59">
        <f t="shared" si="249"/>
        <v>267195.94837635703</v>
      </c>
      <c r="FI45" s="57">
        <f t="shared" si="250"/>
        <v>78924.612767000013</v>
      </c>
      <c r="FJ45" s="59">
        <f t="shared" si="251"/>
        <v>260908.98488514865</v>
      </c>
      <c r="FK45" s="55">
        <f t="shared" si="252"/>
        <v>77022.814869000009</v>
      </c>
      <c r="FL45" s="59">
        <f t="shared" si="253"/>
        <v>254622.02139394023</v>
      </c>
      <c r="FM45" s="60">
        <f t="shared" si="254"/>
        <v>75121.016971000005</v>
      </c>
      <c r="FN45" s="59">
        <f t="shared" si="255"/>
        <v>248335.05790273182</v>
      </c>
      <c r="FO45" s="60">
        <f t="shared" si="256"/>
        <v>73219.219073</v>
      </c>
      <c r="FP45" s="59">
        <f t="shared" si="257"/>
        <v>242048.0944115234</v>
      </c>
      <c r="FQ45" s="60">
        <f t="shared" si="258"/>
        <v>71317.421174999996</v>
      </c>
      <c r="FR45" s="59">
        <f t="shared" si="259"/>
        <v>235761.13092031499</v>
      </c>
      <c r="FS45" s="55">
        <f t="shared" si="260"/>
        <v>69415.623276999992</v>
      </c>
      <c r="FT45" s="59">
        <f t="shared" si="261"/>
        <v>229474.16742910657</v>
      </c>
      <c r="FU45" s="60">
        <f t="shared" si="262"/>
        <v>67513.825379000002</v>
      </c>
      <c r="FV45" s="59">
        <f t="shared" si="263"/>
        <v>223187.20393789822</v>
      </c>
      <c r="FW45" s="60">
        <f t="shared" si="264"/>
        <v>65612.027480999997</v>
      </c>
      <c r="FX45" s="59">
        <f t="shared" si="265"/>
        <v>216900.2404466898</v>
      </c>
      <c r="FY45" s="60">
        <f t="shared" si="266"/>
        <v>63710.229582999993</v>
      </c>
      <c r="FZ45" s="59">
        <f t="shared" si="267"/>
        <v>210613.27695548139</v>
      </c>
      <c r="GA45" s="60">
        <f t="shared" si="268"/>
        <v>61808.431684999989</v>
      </c>
      <c r="GB45" s="59">
        <f t="shared" si="269"/>
        <v>204326.31346427297</v>
      </c>
      <c r="GC45" s="55">
        <f t="shared" si="270"/>
        <v>59906.633786999992</v>
      </c>
      <c r="GD45" s="59">
        <f t="shared" si="271"/>
        <v>198039.34997306459</v>
      </c>
      <c r="GE45" s="60">
        <f t="shared" si="272"/>
        <v>58004.835888999987</v>
      </c>
      <c r="GF45" s="59">
        <f t="shared" si="273"/>
        <v>191752.38648185617</v>
      </c>
      <c r="GG45" s="60">
        <f t="shared" si="274"/>
        <v>56103.037990999983</v>
      </c>
      <c r="GH45" s="59">
        <f t="shared" si="275"/>
        <v>185465.42299064776</v>
      </c>
      <c r="GI45" s="55">
        <f t="shared" si="276"/>
        <v>54201.240092999979</v>
      </c>
      <c r="GJ45" s="59">
        <f t="shared" si="277"/>
        <v>179178.45949943934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78"/>
        <v>0.91</v>
      </c>
      <c r="GR45" s="55">
        <f t="shared" si="278"/>
        <v>0.89</v>
      </c>
      <c r="GS45" s="55">
        <f t="shared" si="278"/>
        <v>0.87</v>
      </c>
      <c r="GT45" s="55">
        <f t="shared" si="278"/>
        <v>0.85</v>
      </c>
      <c r="GU45" s="55">
        <f t="shared" si="278"/>
        <v>0.83</v>
      </c>
      <c r="GV45" s="55">
        <f t="shared" si="278"/>
        <v>0.80999999999999994</v>
      </c>
      <c r="GW45" s="55">
        <f t="shared" si="278"/>
        <v>0.78999999999999992</v>
      </c>
      <c r="GX45" s="55">
        <f t="shared" si="278"/>
        <v>0.76999999999999991</v>
      </c>
      <c r="GY45" s="55">
        <f t="shared" si="278"/>
        <v>0.74999999999999989</v>
      </c>
      <c r="GZ45" s="55">
        <f t="shared" si="278"/>
        <v>0.72999999999999987</v>
      </c>
      <c r="HA45" s="55">
        <f t="shared" si="278"/>
        <v>0.70999999999999985</v>
      </c>
      <c r="HB45" s="55">
        <f t="shared" si="278"/>
        <v>0.68999999999999984</v>
      </c>
      <c r="HC45" s="55">
        <f t="shared" si="278"/>
        <v>0.66999999999999982</v>
      </c>
      <c r="HD45" s="55">
        <f t="shared" si="278"/>
        <v>0.6499999999999998</v>
      </c>
      <c r="HE45" s="55">
        <f t="shared" si="278"/>
        <v>0.62999999999999978</v>
      </c>
      <c r="HF45" s="55">
        <f t="shared" si="278"/>
        <v>0.60999999999999976</v>
      </c>
      <c r="HG45" s="55">
        <f t="shared" si="278"/>
        <v>0.58999999999999975</v>
      </c>
      <c r="HH45" s="55">
        <f t="shared" si="278"/>
        <v>0.56999999999999973</v>
      </c>
    </row>
    <row r="46" spans="1:216" x14ac:dyDescent="0.3">
      <c r="A46" s="2">
        <v>13</v>
      </c>
      <c r="C46" s="38" t="s">
        <v>24</v>
      </c>
      <c r="D46" s="42">
        <f>TRUNC(13797.597248398,-1)</f>
        <v>13790</v>
      </c>
      <c r="E46" s="71">
        <f t="shared" si="148"/>
        <v>45580</v>
      </c>
      <c r="H46" s="55">
        <f t="shared" si="61"/>
        <v>50138.000000000007</v>
      </c>
      <c r="I46" s="55">
        <f t="shared" si="62"/>
        <v>50138.000000000007</v>
      </c>
      <c r="J46" s="59">
        <f t="shared" si="63"/>
        <v>165746.20040000003</v>
      </c>
      <c r="K46" s="55">
        <f t="shared" si="149"/>
        <v>48633.860000000008</v>
      </c>
      <c r="L46" s="59">
        <f t="shared" si="150"/>
        <v>160773.81438800003</v>
      </c>
      <c r="M46" s="55">
        <f t="shared" si="151"/>
        <v>47631.100000000006</v>
      </c>
      <c r="N46" s="59">
        <f t="shared" si="152"/>
        <v>157458.89038000003</v>
      </c>
      <c r="O46" s="55">
        <f t="shared" si="153"/>
        <v>46628.340000000011</v>
      </c>
      <c r="P46" s="59">
        <f t="shared" si="154"/>
        <v>154143.96637200005</v>
      </c>
      <c r="Q46" s="57">
        <f t="shared" si="155"/>
        <v>45625.580000000009</v>
      </c>
      <c r="R46" s="59">
        <f t="shared" si="156"/>
        <v>150829.04236400002</v>
      </c>
      <c r="S46" s="55">
        <f t="shared" si="157"/>
        <v>44622.820000000007</v>
      </c>
      <c r="T46" s="59">
        <f t="shared" si="158"/>
        <v>147514.11835600002</v>
      </c>
      <c r="U46" s="57">
        <f t="shared" si="159"/>
        <v>43620.060000000005</v>
      </c>
      <c r="V46" s="59">
        <f t="shared" si="160"/>
        <v>144199.19434800002</v>
      </c>
      <c r="W46" s="60">
        <f t="shared" si="161"/>
        <v>42617.3</v>
      </c>
      <c r="X46" s="59">
        <f t="shared" si="162"/>
        <v>140884.27034000002</v>
      </c>
      <c r="Y46" s="57">
        <f t="shared" si="163"/>
        <v>41614.54</v>
      </c>
      <c r="Z46" s="59">
        <f t="shared" si="164"/>
        <v>137569.34633200002</v>
      </c>
      <c r="AA46" s="55">
        <f t="shared" si="165"/>
        <v>40611.780000000006</v>
      </c>
      <c r="AB46" s="59">
        <f t="shared" si="166"/>
        <v>134254.42232400001</v>
      </c>
      <c r="AC46" s="60">
        <f t="shared" si="167"/>
        <v>39609.020000000004</v>
      </c>
      <c r="AD46" s="59">
        <f t="shared" si="168"/>
        <v>130939.49831600001</v>
      </c>
      <c r="AE46" s="60">
        <f t="shared" si="169"/>
        <v>38606.26</v>
      </c>
      <c r="AF46" s="59">
        <f t="shared" si="170"/>
        <v>127624.57430800001</v>
      </c>
      <c r="AG46" s="60">
        <f t="shared" si="171"/>
        <v>37603.5</v>
      </c>
      <c r="AH46" s="59">
        <f t="shared" si="172"/>
        <v>124309.65030000001</v>
      </c>
      <c r="AI46" s="55">
        <f t="shared" si="173"/>
        <v>36600.74</v>
      </c>
      <c r="AJ46" s="59">
        <f t="shared" si="174"/>
        <v>120994.72629199999</v>
      </c>
      <c r="AK46" s="60">
        <f t="shared" si="175"/>
        <v>35597.979999999996</v>
      </c>
      <c r="AL46" s="59">
        <f t="shared" si="176"/>
        <v>117679.80228399999</v>
      </c>
      <c r="AM46" s="60">
        <f t="shared" si="177"/>
        <v>34595.219999999994</v>
      </c>
      <c r="AN46" s="59">
        <f t="shared" si="178"/>
        <v>114364.87827599999</v>
      </c>
      <c r="AO46" s="60">
        <f t="shared" si="179"/>
        <v>33592.46</v>
      </c>
      <c r="AP46" s="59">
        <f t="shared" si="180"/>
        <v>111049.954268</v>
      </c>
      <c r="AQ46" s="60">
        <f t="shared" si="181"/>
        <v>32589.699999999993</v>
      </c>
      <c r="AR46" s="59">
        <f t="shared" si="182"/>
        <v>107735.03025999998</v>
      </c>
      <c r="AS46" s="55">
        <f t="shared" si="183"/>
        <v>31586.939999999995</v>
      </c>
      <c r="AT46" s="59">
        <f t="shared" si="184"/>
        <v>104420.10625199998</v>
      </c>
      <c r="AU46" s="60">
        <f t="shared" si="185"/>
        <v>30584.179999999993</v>
      </c>
      <c r="AV46" s="59">
        <f t="shared" si="186"/>
        <v>101105.18224399998</v>
      </c>
      <c r="AW46" s="60">
        <f t="shared" si="187"/>
        <v>29581.419999999991</v>
      </c>
      <c r="AX46" s="59">
        <f t="shared" si="188"/>
        <v>97790.258235999965</v>
      </c>
      <c r="AY46" s="55">
        <f t="shared" si="189"/>
        <v>28578.659999999989</v>
      </c>
      <c r="AZ46" s="59">
        <f t="shared" si="190"/>
        <v>94475.334227999963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0">+BF46-0.02</f>
        <v>0.91</v>
      </c>
      <c r="BH46" s="55">
        <f t="shared" si="280"/>
        <v>0.89</v>
      </c>
      <c r="BI46" s="55">
        <f t="shared" si="280"/>
        <v>0.87</v>
      </c>
      <c r="BJ46" s="55">
        <f t="shared" si="280"/>
        <v>0.85</v>
      </c>
      <c r="BK46" s="55">
        <f t="shared" si="280"/>
        <v>0.83</v>
      </c>
      <c r="BL46" s="55">
        <f t="shared" si="280"/>
        <v>0.80999999999999994</v>
      </c>
      <c r="BM46" s="55">
        <f t="shared" si="280"/>
        <v>0.78999999999999992</v>
      </c>
      <c r="BN46" s="55">
        <f t="shared" si="280"/>
        <v>0.76999999999999991</v>
      </c>
      <c r="BO46" s="55">
        <f t="shared" si="280"/>
        <v>0.74999999999999989</v>
      </c>
      <c r="BP46" s="55">
        <f t="shared" si="280"/>
        <v>0.72999999999999987</v>
      </c>
      <c r="BQ46" s="55">
        <f t="shared" si="280"/>
        <v>0.70999999999999985</v>
      </c>
      <c r="BR46" s="55">
        <f t="shared" si="280"/>
        <v>0.68999999999999984</v>
      </c>
      <c r="BS46" s="55">
        <f t="shared" si="280"/>
        <v>0.66999999999999982</v>
      </c>
      <c r="BT46" s="55">
        <f t="shared" si="280"/>
        <v>0.6499999999999998</v>
      </c>
      <c r="BU46" s="55">
        <f t="shared" si="280"/>
        <v>0.62999999999999978</v>
      </c>
      <c r="BV46" s="55">
        <f t="shared" si="280"/>
        <v>0.60999999999999976</v>
      </c>
      <c r="BW46" s="55">
        <f t="shared" si="280"/>
        <v>0.58999999999999975</v>
      </c>
      <c r="BX46" s="55">
        <f t="shared" si="280"/>
        <v>0.56999999999999973</v>
      </c>
      <c r="BZ46" s="55">
        <f t="shared" si="88"/>
        <v>45625.580000000009</v>
      </c>
      <c r="CA46" s="55">
        <f t="shared" si="89"/>
        <v>45625.580000000009</v>
      </c>
      <c r="CB46" s="59">
        <f t="shared" si="191"/>
        <v>150829.04236400002</v>
      </c>
      <c r="CC46" s="55">
        <f t="shared" si="192"/>
        <v>44256.812600000005</v>
      </c>
      <c r="CD46" s="59">
        <f t="shared" si="193"/>
        <v>146304.17109308002</v>
      </c>
      <c r="CE46" s="55">
        <f t="shared" si="194"/>
        <v>43344.301000000007</v>
      </c>
      <c r="CF46" s="59">
        <f t="shared" si="195"/>
        <v>143287.59024580003</v>
      </c>
      <c r="CG46" s="55">
        <f t="shared" si="196"/>
        <v>42431.789400000009</v>
      </c>
      <c r="CH46" s="59">
        <f t="shared" si="197"/>
        <v>140271.00939852002</v>
      </c>
      <c r="CI46" s="57">
        <f t="shared" si="198"/>
        <v>41519.277800000011</v>
      </c>
      <c r="CJ46" s="59">
        <f t="shared" si="199"/>
        <v>137254.42855124004</v>
      </c>
      <c r="CK46" s="55">
        <f t="shared" si="200"/>
        <v>40606.766200000005</v>
      </c>
      <c r="CL46" s="59">
        <f t="shared" si="201"/>
        <v>134237.84770396003</v>
      </c>
      <c r="CM46" s="57">
        <f t="shared" si="202"/>
        <v>39694.254600000007</v>
      </c>
      <c r="CN46" s="59">
        <f t="shared" si="203"/>
        <v>131221.26685668004</v>
      </c>
      <c r="CO46" s="60">
        <f t="shared" si="204"/>
        <v>38781.743000000009</v>
      </c>
      <c r="CP46" s="59">
        <f t="shared" si="205"/>
        <v>128204.68600940003</v>
      </c>
      <c r="CQ46" s="57">
        <f t="shared" si="206"/>
        <v>37869.231400000004</v>
      </c>
      <c r="CR46" s="59">
        <f t="shared" si="207"/>
        <v>125188.10516212002</v>
      </c>
      <c r="CS46" s="55">
        <f t="shared" si="208"/>
        <v>36956.719800000006</v>
      </c>
      <c r="CT46" s="59">
        <f t="shared" si="209"/>
        <v>122171.52431484002</v>
      </c>
      <c r="CU46" s="60">
        <f t="shared" si="210"/>
        <v>36044.208200000001</v>
      </c>
      <c r="CV46" s="59">
        <f t="shared" si="211"/>
        <v>119154.94346756001</v>
      </c>
      <c r="CW46" s="60">
        <f t="shared" si="212"/>
        <v>35131.696600000003</v>
      </c>
      <c r="CX46" s="59">
        <f t="shared" si="213"/>
        <v>116138.36262028001</v>
      </c>
      <c r="CY46" s="60">
        <f t="shared" si="214"/>
        <v>34219.185000000005</v>
      </c>
      <c r="CZ46" s="59">
        <f t="shared" si="215"/>
        <v>113121.78177300002</v>
      </c>
      <c r="DA46" s="55">
        <f t="shared" si="216"/>
        <v>33306.6734</v>
      </c>
      <c r="DB46" s="59">
        <f t="shared" si="217"/>
        <v>110105.20092572</v>
      </c>
      <c r="DC46" s="60">
        <f t="shared" si="218"/>
        <v>32394.161799999998</v>
      </c>
      <c r="DD46" s="59">
        <f t="shared" si="219"/>
        <v>107088.62007844</v>
      </c>
      <c r="DE46" s="60">
        <f t="shared" si="220"/>
        <v>31481.6502</v>
      </c>
      <c r="DF46" s="59">
        <f t="shared" si="221"/>
        <v>104072.03923116</v>
      </c>
      <c r="DG46" s="60">
        <f t="shared" si="222"/>
        <v>30569.138599999998</v>
      </c>
      <c r="DH46" s="59">
        <f t="shared" si="223"/>
        <v>101055.45838388</v>
      </c>
      <c r="DI46" s="60">
        <f t="shared" si="224"/>
        <v>29656.626999999997</v>
      </c>
      <c r="DJ46" s="59">
        <f t="shared" si="225"/>
        <v>98038.87753659999</v>
      </c>
      <c r="DK46" s="55">
        <f t="shared" si="226"/>
        <v>28744.115399999995</v>
      </c>
      <c r="DL46" s="59">
        <f t="shared" si="227"/>
        <v>95022.296689319992</v>
      </c>
      <c r="DM46" s="60">
        <f t="shared" si="228"/>
        <v>27831.603799999993</v>
      </c>
      <c r="DN46" s="59">
        <f t="shared" si="229"/>
        <v>92005.715842039979</v>
      </c>
      <c r="DO46" s="60">
        <f t="shared" si="230"/>
        <v>26919.092199999996</v>
      </c>
      <c r="DP46" s="59">
        <f t="shared" si="231"/>
        <v>88989.134994759981</v>
      </c>
      <c r="DQ46" s="55">
        <f t="shared" si="232"/>
        <v>26006.580599999994</v>
      </c>
      <c r="DR46" s="59">
        <f t="shared" si="233"/>
        <v>85972.554147479983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4"/>
        <v>0.91</v>
      </c>
      <c r="DZ46" s="55">
        <f t="shared" si="234"/>
        <v>0.89</v>
      </c>
      <c r="EA46" s="55">
        <f t="shared" si="234"/>
        <v>0.87</v>
      </c>
      <c r="EB46" s="55">
        <f t="shared" si="234"/>
        <v>0.85</v>
      </c>
      <c r="EC46" s="55">
        <f t="shared" si="234"/>
        <v>0.83</v>
      </c>
      <c r="ED46" s="55">
        <f t="shared" si="234"/>
        <v>0.80999999999999994</v>
      </c>
      <c r="EE46" s="55">
        <f t="shared" si="234"/>
        <v>0.78999999999999992</v>
      </c>
      <c r="EF46" s="55">
        <f t="shared" si="234"/>
        <v>0.76999999999999991</v>
      </c>
      <c r="EG46" s="55">
        <f t="shared" si="234"/>
        <v>0.74999999999999989</v>
      </c>
      <c r="EH46" s="55">
        <f t="shared" si="234"/>
        <v>0.72999999999999987</v>
      </c>
      <c r="EI46" s="55">
        <f t="shared" si="234"/>
        <v>0.70999999999999985</v>
      </c>
      <c r="EJ46" s="55">
        <f t="shared" si="234"/>
        <v>0.68999999999999984</v>
      </c>
      <c r="EK46" s="55">
        <f t="shared" si="234"/>
        <v>0.66999999999999982</v>
      </c>
      <c r="EL46" s="55">
        <f t="shared" si="234"/>
        <v>0.6499999999999998</v>
      </c>
      <c r="EM46" s="55">
        <f t="shared" si="234"/>
        <v>0.62999999999999978</v>
      </c>
      <c r="EN46" s="55">
        <f t="shared" si="234"/>
        <v>0.60999999999999976</v>
      </c>
      <c r="EO46" s="55">
        <f t="shared" si="234"/>
        <v>0.58999999999999975</v>
      </c>
      <c r="EP46" s="55">
        <f t="shared" si="234"/>
        <v>0.56999999999999973</v>
      </c>
      <c r="ER46" s="55">
        <f t="shared" si="142"/>
        <v>41519.277800000011</v>
      </c>
      <c r="ES46" s="55">
        <f t="shared" si="116"/>
        <v>41519.277800000011</v>
      </c>
      <c r="ET46" s="59">
        <f t="shared" si="235"/>
        <v>137254.42855124004</v>
      </c>
      <c r="EU46" s="55">
        <f t="shared" si="236"/>
        <v>40273.699466000013</v>
      </c>
      <c r="EV46" s="59">
        <f t="shared" si="237"/>
        <v>133136.79569470286</v>
      </c>
      <c r="EW46" s="55">
        <f t="shared" si="238"/>
        <v>39443.313910000012</v>
      </c>
      <c r="EX46" s="59">
        <f t="shared" si="239"/>
        <v>130391.70712367805</v>
      </c>
      <c r="EY46" s="55">
        <f t="shared" si="240"/>
        <v>38612.928354000011</v>
      </c>
      <c r="EZ46" s="59">
        <f t="shared" si="241"/>
        <v>127646.61855265324</v>
      </c>
      <c r="FA46" s="57">
        <f t="shared" si="242"/>
        <v>37782.542798000009</v>
      </c>
      <c r="FB46" s="59">
        <f t="shared" si="243"/>
        <v>124901.52998162844</v>
      </c>
      <c r="FC46" s="55">
        <f t="shared" si="244"/>
        <v>36952.157242000008</v>
      </c>
      <c r="FD46" s="59">
        <f t="shared" si="245"/>
        <v>122156.44141060363</v>
      </c>
      <c r="FE46" s="57">
        <f t="shared" si="246"/>
        <v>36121.771686000007</v>
      </c>
      <c r="FF46" s="59">
        <f t="shared" si="247"/>
        <v>119411.35283957883</v>
      </c>
      <c r="FG46" s="60">
        <f t="shared" si="248"/>
        <v>35291.386130000006</v>
      </c>
      <c r="FH46" s="59">
        <f t="shared" si="249"/>
        <v>116666.26426855402</v>
      </c>
      <c r="FI46" s="57">
        <f t="shared" si="250"/>
        <v>34461.000574000005</v>
      </c>
      <c r="FJ46" s="59">
        <f t="shared" si="251"/>
        <v>113921.17569752922</v>
      </c>
      <c r="FK46" s="55">
        <f t="shared" si="252"/>
        <v>33630.615018000004</v>
      </c>
      <c r="FL46" s="59">
        <f t="shared" si="253"/>
        <v>111176.08712650441</v>
      </c>
      <c r="FM46" s="60">
        <f t="shared" si="254"/>
        <v>32800.229462000003</v>
      </c>
      <c r="FN46" s="59">
        <f t="shared" si="255"/>
        <v>108430.99855547961</v>
      </c>
      <c r="FO46" s="60">
        <f t="shared" si="256"/>
        <v>31969.843906000006</v>
      </c>
      <c r="FP46" s="59">
        <f t="shared" si="257"/>
        <v>105685.90998445482</v>
      </c>
      <c r="FQ46" s="60">
        <f t="shared" si="258"/>
        <v>31139.458350000004</v>
      </c>
      <c r="FR46" s="59">
        <f t="shared" si="259"/>
        <v>102940.82141343002</v>
      </c>
      <c r="FS46" s="55">
        <f t="shared" si="260"/>
        <v>30309.072794000003</v>
      </c>
      <c r="FT46" s="59">
        <f t="shared" si="261"/>
        <v>100195.73284240521</v>
      </c>
      <c r="FU46" s="60">
        <f t="shared" si="262"/>
        <v>29478.687238000002</v>
      </c>
      <c r="FV46" s="59">
        <f t="shared" si="263"/>
        <v>97450.644271380414</v>
      </c>
      <c r="FW46" s="60">
        <f t="shared" si="264"/>
        <v>28648.301682000001</v>
      </c>
      <c r="FX46" s="59">
        <f t="shared" si="265"/>
        <v>94705.555700355602</v>
      </c>
      <c r="FY46" s="60">
        <f t="shared" si="266"/>
        <v>27817.916126</v>
      </c>
      <c r="FZ46" s="59">
        <f t="shared" si="267"/>
        <v>91960.467129330806</v>
      </c>
      <c r="GA46" s="60">
        <f t="shared" si="268"/>
        <v>26987.530569999999</v>
      </c>
      <c r="GB46" s="59">
        <f t="shared" si="269"/>
        <v>89215.378558305994</v>
      </c>
      <c r="GC46" s="55">
        <f t="shared" si="270"/>
        <v>26157.145013999998</v>
      </c>
      <c r="GD46" s="59">
        <f t="shared" si="271"/>
        <v>86470.289987281198</v>
      </c>
      <c r="GE46" s="60">
        <f t="shared" si="272"/>
        <v>25326.759457999997</v>
      </c>
      <c r="GF46" s="59">
        <f t="shared" si="273"/>
        <v>83725.201416256386</v>
      </c>
      <c r="GG46" s="60">
        <f t="shared" si="274"/>
        <v>24496.373901999996</v>
      </c>
      <c r="GH46" s="59">
        <f t="shared" si="275"/>
        <v>80980.11284523159</v>
      </c>
      <c r="GI46" s="55">
        <f t="shared" si="276"/>
        <v>23665.988345999995</v>
      </c>
      <c r="GJ46" s="59">
        <f t="shared" si="277"/>
        <v>78235.024274206779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78"/>
        <v>0.91</v>
      </c>
      <c r="GR46" s="55">
        <f t="shared" si="278"/>
        <v>0.89</v>
      </c>
      <c r="GS46" s="55">
        <f t="shared" si="278"/>
        <v>0.87</v>
      </c>
      <c r="GT46" s="55">
        <f t="shared" si="278"/>
        <v>0.85</v>
      </c>
      <c r="GU46" s="55">
        <f t="shared" si="278"/>
        <v>0.83</v>
      </c>
      <c r="GV46" s="55">
        <f t="shared" si="278"/>
        <v>0.80999999999999994</v>
      </c>
      <c r="GW46" s="55">
        <f t="shared" si="278"/>
        <v>0.78999999999999992</v>
      </c>
      <c r="GX46" s="55">
        <f t="shared" si="278"/>
        <v>0.76999999999999991</v>
      </c>
      <c r="GY46" s="55">
        <f t="shared" si="278"/>
        <v>0.74999999999999989</v>
      </c>
      <c r="GZ46" s="55">
        <f t="shared" si="278"/>
        <v>0.72999999999999987</v>
      </c>
      <c r="HA46" s="55">
        <f t="shared" si="278"/>
        <v>0.70999999999999985</v>
      </c>
      <c r="HB46" s="55">
        <f t="shared" si="278"/>
        <v>0.68999999999999984</v>
      </c>
      <c r="HC46" s="55">
        <f t="shared" si="278"/>
        <v>0.66999999999999982</v>
      </c>
      <c r="HD46" s="55">
        <f t="shared" si="278"/>
        <v>0.6499999999999998</v>
      </c>
      <c r="HE46" s="55">
        <f t="shared" si="278"/>
        <v>0.62999999999999978</v>
      </c>
      <c r="HF46" s="55">
        <f t="shared" si="278"/>
        <v>0.60999999999999976</v>
      </c>
      <c r="HG46" s="55">
        <f t="shared" si="278"/>
        <v>0.58999999999999975</v>
      </c>
      <c r="HH46" s="55">
        <f t="shared" si="278"/>
        <v>0.56999999999999973</v>
      </c>
    </row>
    <row r="47" spans="1:216" x14ac:dyDescent="0.3">
      <c r="A47" s="2">
        <v>14</v>
      </c>
      <c r="C47" s="38" t="s">
        <v>25</v>
      </c>
      <c r="D47" s="42">
        <f>TRUNC(24220.3335846212,-1)</f>
        <v>24220</v>
      </c>
      <c r="E47" s="71">
        <f t="shared" si="148"/>
        <v>80060</v>
      </c>
      <c r="H47" s="55">
        <f t="shared" si="61"/>
        <v>88066</v>
      </c>
      <c r="I47" s="55">
        <f t="shared" si="62"/>
        <v>88066</v>
      </c>
      <c r="J47" s="59">
        <f t="shared" si="63"/>
        <v>291128.58280000003</v>
      </c>
      <c r="K47" s="55">
        <f t="shared" si="149"/>
        <v>85424.02</v>
      </c>
      <c r="L47" s="59">
        <f t="shared" si="150"/>
        <v>282394.725316</v>
      </c>
      <c r="M47" s="55">
        <f t="shared" si="151"/>
        <v>83662.7</v>
      </c>
      <c r="N47" s="59">
        <f t="shared" si="152"/>
        <v>276572.15366000001</v>
      </c>
      <c r="O47" s="55">
        <f t="shared" si="153"/>
        <v>81901.38</v>
      </c>
      <c r="P47" s="59">
        <f t="shared" si="154"/>
        <v>270749.58200400003</v>
      </c>
      <c r="Q47" s="57">
        <f t="shared" si="155"/>
        <v>80140.06</v>
      </c>
      <c r="R47" s="59">
        <f t="shared" si="156"/>
        <v>264927.01034799998</v>
      </c>
      <c r="S47" s="55">
        <f t="shared" si="157"/>
        <v>78378.740000000005</v>
      </c>
      <c r="T47" s="59">
        <f t="shared" si="158"/>
        <v>259104.43869200003</v>
      </c>
      <c r="U47" s="57">
        <f t="shared" si="159"/>
        <v>76617.42</v>
      </c>
      <c r="V47" s="59">
        <f t="shared" si="160"/>
        <v>253281.86703600001</v>
      </c>
      <c r="W47" s="60">
        <f t="shared" si="161"/>
        <v>74856.099999999991</v>
      </c>
      <c r="X47" s="59">
        <f t="shared" si="162"/>
        <v>247459.29537999997</v>
      </c>
      <c r="Y47" s="57">
        <f t="shared" si="163"/>
        <v>73094.78</v>
      </c>
      <c r="Z47" s="59">
        <f t="shared" si="164"/>
        <v>241636.72372400001</v>
      </c>
      <c r="AA47" s="55">
        <f t="shared" si="165"/>
        <v>71333.459999999992</v>
      </c>
      <c r="AB47" s="59">
        <f t="shared" si="166"/>
        <v>235814.15206799997</v>
      </c>
      <c r="AC47" s="60">
        <f t="shared" si="167"/>
        <v>69572.14</v>
      </c>
      <c r="AD47" s="59">
        <f t="shared" si="168"/>
        <v>229991.58041200001</v>
      </c>
      <c r="AE47" s="60">
        <f t="shared" si="169"/>
        <v>67810.819999999992</v>
      </c>
      <c r="AF47" s="59">
        <f t="shared" si="170"/>
        <v>224169.00875599997</v>
      </c>
      <c r="AG47" s="60">
        <f t="shared" si="171"/>
        <v>66049.499999999985</v>
      </c>
      <c r="AH47" s="59">
        <f t="shared" si="172"/>
        <v>218346.43709999995</v>
      </c>
      <c r="AI47" s="55">
        <f t="shared" si="173"/>
        <v>64288.179999999986</v>
      </c>
      <c r="AJ47" s="59">
        <f t="shared" si="174"/>
        <v>212523.86544399997</v>
      </c>
      <c r="AK47" s="60">
        <f t="shared" si="175"/>
        <v>62526.859999999986</v>
      </c>
      <c r="AL47" s="59">
        <f t="shared" si="176"/>
        <v>206701.29378799995</v>
      </c>
      <c r="AM47" s="60">
        <f t="shared" si="177"/>
        <v>60765.539999999986</v>
      </c>
      <c r="AN47" s="59">
        <f t="shared" si="178"/>
        <v>200878.72213199997</v>
      </c>
      <c r="AO47" s="60">
        <f t="shared" si="179"/>
        <v>59004.219999999987</v>
      </c>
      <c r="AP47" s="59">
        <f t="shared" si="180"/>
        <v>195056.15047599995</v>
      </c>
      <c r="AQ47" s="60">
        <f t="shared" si="181"/>
        <v>57242.89999999998</v>
      </c>
      <c r="AR47" s="59">
        <f t="shared" si="182"/>
        <v>189233.57881999994</v>
      </c>
      <c r="AS47" s="55">
        <f t="shared" si="183"/>
        <v>55481.57999999998</v>
      </c>
      <c r="AT47" s="59">
        <f t="shared" si="184"/>
        <v>183411.00716399995</v>
      </c>
      <c r="AU47" s="60">
        <f t="shared" si="185"/>
        <v>53720.25999999998</v>
      </c>
      <c r="AV47" s="59">
        <f t="shared" si="186"/>
        <v>177588.43550799994</v>
      </c>
      <c r="AW47" s="60">
        <f t="shared" si="187"/>
        <v>51958.939999999981</v>
      </c>
      <c r="AX47" s="59">
        <f t="shared" si="188"/>
        <v>171765.86385199995</v>
      </c>
      <c r="AY47" s="55">
        <f t="shared" si="189"/>
        <v>50197.619999999974</v>
      </c>
      <c r="AZ47" s="59">
        <f t="shared" si="190"/>
        <v>165943.29219599991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0"/>
        <v>0.91</v>
      </c>
      <c r="BH47" s="55">
        <f t="shared" si="280"/>
        <v>0.89</v>
      </c>
      <c r="BI47" s="55">
        <f t="shared" si="280"/>
        <v>0.87</v>
      </c>
      <c r="BJ47" s="55">
        <f t="shared" si="280"/>
        <v>0.85</v>
      </c>
      <c r="BK47" s="55">
        <f t="shared" si="280"/>
        <v>0.83</v>
      </c>
      <c r="BL47" s="55">
        <f t="shared" si="280"/>
        <v>0.80999999999999994</v>
      </c>
      <c r="BM47" s="55">
        <f t="shared" si="280"/>
        <v>0.78999999999999992</v>
      </c>
      <c r="BN47" s="55">
        <f t="shared" si="280"/>
        <v>0.76999999999999991</v>
      </c>
      <c r="BO47" s="55">
        <f t="shared" si="280"/>
        <v>0.74999999999999989</v>
      </c>
      <c r="BP47" s="55">
        <f t="shared" si="280"/>
        <v>0.72999999999999987</v>
      </c>
      <c r="BQ47" s="55">
        <f t="shared" si="280"/>
        <v>0.70999999999999985</v>
      </c>
      <c r="BR47" s="55">
        <f t="shared" si="280"/>
        <v>0.68999999999999984</v>
      </c>
      <c r="BS47" s="55">
        <f t="shared" si="280"/>
        <v>0.66999999999999982</v>
      </c>
      <c r="BT47" s="55">
        <f t="shared" si="280"/>
        <v>0.6499999999999998</v>
      </c>
      <c r="BU47" s="55">
        <f t="shared" si="280"/>
        <v>0.62999999999999978</v>
      </c>
      <c r="BV47" s="55">
        <f t="shared" si="280"/>
        <v>0.60999999999999976</v>
      </c>
      <c r="BW47" s="55">
        <f t="shared" si="280"/>
        <v>0.58999999999999975</v>
      </c>
      <c r="BX47" s="55">
        <f t="shared" si="280"/>
        <v>0.56999999999999973</v>
      </c>
      <c r="BZ47" s="55">
        <f t="shared" si="88"/>
        <v>80140.06</v>
      </c>
      <c r="CA47" s="55">
        <f t="shared" si="89"/>
        <v>80140.06</v>
      </c>
      <c r="CB47" s="59">
        <f t="shared" si="191"/>
        <v>264927.01034799998</v>
      </c>
      <c r="CC47" s="55">
        <f t="shared" si="192"/>
        <v>77735.858200000002</v>
      </c>
      <c r="CD47" s="59">
        <f t="shared" si="193"/>
        <v>256979.20003756002</v>
      </c>
      <c r="CE47" s="55">
        <f t="shared" si="194"/>
        <v>76133.057000000001</v>
      </c>
      <c r="CF47" s="59">
        <f t="shared" si="195"/>
        <v>251680.65983059999</v>
      </c>
      <c r="CG47" s="55">
        <f t="shared" si="196"/>
        <v>74530.255799999999</v>
      </c>
      <c r="CH47" s="59">
        <f t="shared" si="197"/>
        <v>246382.11962364</v>
      </c>
      <c r="CI47" s="57">
        <f t="shared" si="198"/>
        <v>72927.454599999997</v>
      </c>
      <c r="CJ47" s="59">
        <f t="shared" si="199"/>
        <v>241083.57941668</v>
      </c>
      <c r="CK47" s="55">
        <f t="shared" si="200"/>
        <v>71324.653399999996</v>
      </c>
      <c r="CL47" s="59">
        <f t="shared" si="201"/>
        <v>235785.03920971998</v>
      </c>
      <c r="CM47" s="57">
        <f t="shared" si="202"/>
        <v>69721.852199999994</v>
      </c>
      <c r="CN47" s="59">
        <f t="shared" si="203"/>
        <v>230486.49900275999</v>
      </c>
      <c r="CO47" s="60">
        <f t="shared" si="204"/>
        <v>68119.050999999992</v>
      </c>
      <c r="CP47" s="59">
        <f t="shared" si="205"/>
        <v>225187.95879579999</v>
      </c>
      <c r="CQ47" s="57">
        <f t="shared" si="206"/>
        <v>66516.249799999991</v>
      </c>
      <c r="CR47" s="59">
        <f t="shared" si="207"/>
        <v>219889.41858883997</v>
      </c>
      <c r="CS47" s="55">
        <f t="shared" si="208"/>
        <v>64913.448599999996</v>
      </c>
      <c r="CT47" s="59">
        <f t="shared" si="209"/>
        <v>214590.87838188</v>
      </c>
      <c r="CU47" s="60">
        <f t="shared" si="210"/>
        <v>63310.647399999994</v>
      </c>
      <c r="CV47" s="59">
        <f t="shared" si="211"/>
        <v>209292.33817491998</v>
      </c>
      <c r="CW47" s="60">
        <f t="shared" si="212"/>
        <v>61707.846199999993</v>
      </c>
      <c r="CX47" s="59">
        <f t="shared" si="213"/>
        <v>203993.79796795998</v>
      </c>
      <c r="CY47" s="60">
        <f t="shared" si="214"/>
        <v>60105.044999999991</v>
      </c>
      <c r="CZ47" s="59">
        <f t="shared" si="215"/>
        <v>198695.25776099999</v>
      </c>
      <c r="DA47" s="55">
        <f t="shared" si="216"/>
        <v>58502.243799999989</v>
      </c>
      <c r="DB47" s="59">
        <f t="shared" si="217"/>
        <v>193396.71755403996</v>
      </c>
      <c r="DC47" s="60">
        <f t="shared" si="218"/>
        <v>56899.442599999988</v>
      </c>
      <c r="DD47" s="59">
        <f t="shared" si="219"/>
        <v>188098.17734707997</v>
      </c>
      <c r="DE47" s="60">
        <f t="shared" si="220"/>
        <v>55296.641399999986</v>
      </c>
      <c r="DF47" s="59">
        <f t="shared" si="221"/>
        <v>182799.63714011994</v>
      </c>
      <c r="DG47" s="60">
        <f t="shared" si="222"/>
        <v>53693.840199999984</v>
      </c>
      <c r="DH47" s="59">
        <f t="shared" si="223"/>
        <v>177501.09693315995</v>
      </c>
      <c r="DI47" s="60">
        <f t="shared" si="224"/>
        <v>52091.038999999982</v>
      </c>
      <c r="DJ47" s="59">
        <f t="shared" si="225"/>
        <v>172202.55672619995</v>
      </c>
      <c r="DK47" s="55">
        <f t="shared" si="226"/>
        <v>50488.237799999981</v>
      </c>
      <c r="DL47" s="59">
        <f t="shared" si="227"/>
        <v>166904.01651923993</v>
      </c>
      <c r="DM47" s="60">
        <f t="shared" si="228"/>
        <v>48885.436599999979</v>
      </c>
      <c r="DN47" s="59">
        <f t="shared" si="229"/>
        <v>161605.47631227993</v>
      </c>
      <c r="DO47" s="60">
        <f t="shared" si="230"/>
        <v>47282.635399999977</v>
      </c>
      <c r="DP47" s="59">
        <f t="shared" si="231"/>
        <v>156306.93610531994</v>
      </c>
      <c r="DQ47" s="55">
        <f t="shared" si="232"/>
        <v>45679.834199999976</v>
      </c>
      <c r="DR47" s="59">
        <f t="shared" si="233"/>
        <v>151008.39589835992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4"/>
        <v>0.91</v>
      </c>
      <c r="DZ47" s="55">
        <f t="shared" si="234"/>
        <v>0.89</v>
      </c>
      <c r="EA47" s="55">
        <f t="shared" si="234"/>
        <v>0.87</v>
      </c>
      <c r="EB47" s="55">
        <f t="shared" si="234"/>
        <v>0.85</v>
      </c>
      <c r="EC47" s="55">
        <f t="shared" si="234"/>
        <v>0.83</v>
      </c>
      <c r="ED47" s="55">
        <f t="shared" si="234"/>
        <v>0.80999999999999994</v>
      </c>
      <c r="EE47" s="55">
        <f t="shared" si="234"/>
        <v>0.78999999999999992</v>
      </c>
      <c r="EF47" s="55">
        <f t="shared" si="234"/>
        <v>0.76999999999999991</v>
      </c>
      <c r="EG47" s="55">
        <f t="shared" si="234"/>
        <v>0.74999999999999989</v>
      </c>
      <c r="EH47" s="55">
        <f t="shared" si="234"/>
        <v>0.72999999999999987</v>
      </c>
      <c r="EI47" s="55">
        <f t="shared" si="234"/>
        <v>0.70999999999999985</v>
      </c>
      <c r="EJ47" s="55">
        <f t="shared" si="234"/>
        <v>0.68999999999999984</v>
      </c>
      <c r="EK47" s="55">
        <f t="shared" si="234"/>
        <v>0.66999999999999982</v>
      </c>
      <c r="EL47" s="55">
        <f t="shared" si="234"/>
        <v>0.6499999999999998</v>
      </c>
      <c r="EM47" s="55">
        <f t="shared" si="234"/>
        <v>0.62999999999999978</v>
      </c>
      <c r="EN47" s="55">
        <f t="shared" si="234"/>
        <v>0.60999999999999976</v>
      </c>
      <c r="EO47" s="55">
        <f t="shared" si="234"/>
        <v>0.58999999999999975</v>
      </c>
      <c r="EP47" s="55">
        <f t="shared" si="234"/>
        <v>0.56999999999999973</v>
      </c>
      <c r="ER47" s="55">
        <f t="shared" si="142"/>
        <v>72927.454599999997</v>
      </c>
      <c r="ES47" s="55">
        <f t="shared" si="116"/>
        <v>72927.454599999997</v>
      </c>
      <c r="ET47" s="59">
        <f t="shared" si="235"/>
        <v>241083.57941668</v>
      </c>
      <c r="EU47" s="55">
        <f t="shared" si="236"/>
        <v>70739.630961999996</v>
      </c>
      <c r="EV47" s="59">
        <f t="shared" si="237"/>
        <v>233851.07203417958</v>
      </c>
      <c r="EW47" s="55">
        <f t="shared" si="238"/>
        <v>69281.081869999995</v>
      </c>
      <c r="EX47" s="59">
        <f t="shared" si="239"/>
        <v>229029.400445846</v>
      </c>
      <c r="EY47" s="55">
        <f t="shared" si="240"/>
        <v>67822.532778000008</v>
      </c>
      <c r="EZ47" s="59">
        <f t="shared" si="241"/>
        <v>224207.72885751244</v>
      </c>
      <c r="FA47" s="57">
        <f t="shared" si="242"/>
        <v>66363.983686000007</v>
      </c>
      <c r="FB47" s="59">
        <f t="shared" si="243"/>
        <v>219386.05726917883</v>
      </c>
      <c r="FC47" s="55">
        <f t="shared" si="244"/>
        <v>64905.434593999998</v>
      </c>
      <c r="FD47" s="59">
        <f t="shared" si="245"/>
        <v>214564.38568084521</v>
      </c>
      <c r="FE47" s="57">
        <f t="shared" si="246"/>
        <v>63446.885501999997</v>
      </c>
      <c r="FF47" s="59">
        <f t="shared" si="247"/>
        <v>209742.7140925116</v>
      </c>
      <c r="FG47" s="60">
        <f t="shared" si="248"/>
        <v>61988.336409999996</v>
      </c>
      <c r="FH47" s="59">
        <f t="shared" si="249"/>
        <v>204921.04250417798</v>
      </c>
      <c r="FI47" s="57">
        <f t="shared" si="250"/>
        <v>60529.787317999995</v>
      </c>
      <c r="FJ47" s="59">
        <f t="shared" si="251"/>
        <v>200099.3709158444</v>
      </c>
      <c r="FK47" s="55">
        <f t="shared" si="252"/>
        <v>59071.238225999994</v>
      </c>
      <c r="FL47" s="59">
        <f t="shared" si="253"/>
        <v>195277.69932751078</v>
      </c>
      <c r="FM47" s="60">
        <f t="shared" si="254"/>
        <v>57612.689133999993</v>
      </c>
      <c r="FN47" s="59">
        <f t="shared" si="255"/>
        <v>190456.02773917717</v>
      </c>
      <c r="FO47" s="60">
        <f t="shared" si="256"/>
        <v>56154.140041999992</v>
      </c>
      <c r="FP47" s="59">
        <f t="shared" si="257"/>
        <v>185634.35615084358</v>
      </c>
      <c r="FQ47" s="60">
        <f t="shared" si="258"/>
        <v>54695.590949999991</v>
      </c>
      <c r="FR47" s="59">
        <f t="shared" si="259"/>
        <v>180812.68456250997</v>
      </c>
      <c r="FS47" s="55">
        <f t="shared" si="260"/>
        <v>53237.04185799999</v>
      </c>
      <c r="FT47" s="59">
        <f t="shared" si="261"/>
        <v>175991.01297417638</v>
      </c>
      <c r="FU47" s="60">
        <f t="shared" si="262"/>
        <v>51778.492765999988</v>
      </c>
      <c r="FV47" s="59">
        <f t="shared" si="263"/>
        <v>171169.34138584277</v>
      </c>
      <c r="FW47" s="60">
        <f t="shared" si="264"/>
        <v>50319.943673999987</v>
      </c>
      <c r="FX47" s="59">
        <f t="shared" si="265"/>
        <v>166347.66979750915</v>
      </c>
      <c r="FY47" s="60">
        <f t="shared" si="266"/>
        <v>48861.394581999986</v>
      </c>
      <c r="FZ47" s="59">
        <f t="shared" si="267"/>
        <v>161525.99820917557</v>
      </c>
      <c r="GA47" s="60">
        <f t="shared" si="268"/>
        <v>47402.845489999985</v>
      </c>
      <c r="GB47" s="59">
        <f t="shared" si="269"/>
        <v>156704.32662084195</v>
      </c>
      <c r="GC47" s="55">
        <f t="shared" si="270"/>
        <v>45944.296397999984</v>
      </c>
      <c r="GD47" s="59">
        <f t="shared" si="271"/>
        <v>151882.65503250834</v>
      </c>
      <c r="GE47" s="60">
        <f t="shared" si="272"/>
        <v>44485.747305999983</v>
      </c>
      <c r="GF47" s="59">
        <f t="shared" si="273"/>
        <v>147060.98344417475</v>
      </c>
      <c r="GG47" s="60">
        <f t="shared" si="274"/>
        <v>43027.198213999982</v>
      </c>
      <c r="GH47" s="59">
        <f t="shared" si="275"/>
        <v>142239.31185584114</v>
      </c>
      <c r="GI47" s="55">
        <f t="shared" si="276"/>
        <v>41568.649121999981</v>
      </c>
      <c r="GJ47" s="59">
        <f t="shared" si="277"/>
        <v>137417.64026750755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78"/>
        <v>0.91</v>
      </c>
      <c r="GR47" s="55">
        <f t="shared" si="278"/>
        <v>0.89</v>
      </c>
      <c r="GS47" s="55">
        <f t="shared" si="278"/>
        <v>0.87</v>
      </c>
      <c r="GT47" s="55">
        <f t="shared" si="278"/>
        <v>0.85</v>
      </c>
      <c r="GU47" s="55">
        <f t="shared" si="278"/>
        <v>0.83</v>
      </c>
      <c r="GV47" s="55">
        <f t="shared" si="278"/>
        <v>0.80999999999999994</v>
      </c>
      <c r="GW47" s="55">
        <f t="shared" si="278"/>
        <v>0.78999999999999992</v>
      </c>
      <c r="GX47" s="55">
        <f t="shared" si="278"/>
        <v>0.76999999999999991</v>
      </c>
      <c r="GY47" s="55">
        <f t="shared" si="278"/>
        <v>0.74999999999999989</v>
      </c>
      <c r="GZ47" s="55">
        <f t="shared" si="278"/>
        <v>0.72999999999999987</v>
      </c>
      <c r="HA47" s="55">
        <f t="shared" si="278"/>
        <v>0.70999999999999985</v>
      </c>
      <c r="HB47" s="55">
        <f t="shared" si="278"/>
        <v>0.68999999999999984</v>
      </c>
      <c r="HC47" s="55">
        <f t="shared" si="278"/>
        <v>0.66999999999999982</v>
      </c>
      <c r="HD47" s="55">
        <f t="shared" si="278"/>
        <v>0.6499999999999998</v>
      </c>
      <c r="HE47" s="55">
        <f t="shared" si="278"/>
        <v>0.62999999999999978</v>
      </c>
      <c r="HF47" s="55">
        <f t="shared" si="278"/>
        <v>0.60999999999999976</v>
      </c>
      <c r="HG47" s="55">
        <f t="shared" si="278"/>
        <v>0.58999999999999975</v>
      </c>
      <c r="HH47" s="55">
        <f t="shared" si="278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71">
        <f t="shared" si="148"/>
        <v>0</v>
      </c>
      <c r="H48" s="55">
        <f t="shared" si="61"/>
        <v>0</v>
      </c>
      <c r="I48" s="55">
        <f t="shared" si="62"/>
        <v>0</v>
      </c>
      <c r="J48" s="59">
        <f t="shared" si="63"/>
        <v>0</v>
      </c>
      <c r="K48" s="55">
        <f t="shared" si="149"/>
        <v>0</v>
      </c>
      <c r="L48" s="59">
        <f t="shared" si="150"/>
        <v>0</v>
      </c>
      <c r="M48" s="55">
        <f t="shared" si="151"/>
        <v>0</v>
      </c>
      <c r="N48" s="59">
        <f t="shared" si="152"/>
        <v>0</v>
      </c>
      <c r="O48" s="55">
        <f t="shared" si="153"/>
        <v>0</v>
      </c>
      <c r="P48" s="59">
        <f t="shared" si="154"/>
        <v>0</v>
      </c>
      <c r="Q48" s="57">
        <f t="shared" si="155"/>
        <v>0</v>
      </c>
      <c r="R48" s="59">
        <f t="shared" si="156"/>
        <v>0</v>
      </c>
      <c r="S48" s="55">
        <f t="shared" si="157"/>
        <v>0</v>
      </c>
      <c r="T48" s="59">
        <f t="shared" si="158"/>
        <v>0</v>
      </c>
      <c r="U48" s="57">
        <f t="shared" si="159"/>
        <v>0</v>
      </c>
      <c r="V48" s="59">
        <f t="shared" si="160"/>
        <v>0</v>
      </c>
      <c r="W48" s="60">
        <f t="shared" si="161"/>
        <v>0</v>
      </c>
      <c r="X48" s="59">
        <f t="shared" si="162"/>
        <v>0</v>
      </c>
      <c r="Y48" s="57">
        <f t="shared" si="163"/>
        <v>0</v>
      </c>
      <c r="Z48" s="59">
        <f t="shared" si="164"/>
        <v>0</v>
      </c>
      <c r="AA48" s="55">
        <f t="shared" si="165"/>
        <v>0</v>
      </c>
      <c r="AB48" s="59">
        <f t="shared" si="166"/>
        <v>0</v>
      </c>
      <c r="AC48" s="60">
        <f t="shared" si="167"/>
        <v>0</v>
      </c>
      <c r="AD48" s="59">
        <f t="shared" si="168"/>
        <v>0</v>
      </c>
      <c r="AE48" s="60">
        <f t="shared" si="169"/>
        <v>0</v>
      </c>
      <c r="AF48" s="59">
        <f t="shared" si="170"/>
        <v>0</v>
      </c>
      <c r="AG48" s="60">
        <f t="shared" si="171"/>
        <v>0</v>
      </c>
      <c r="AH48" s="59">
        <f t="shared" si="172"/>
        <v>0</v>
      </c>
      <c r="AI48" s="55">
        <f t="shared" si="173"/>
        <v>0</v>
      </c>
      <c r="AJ48" s="59">
        <f t="shared" si="174"/>
        <v>0</v>
      </c>
      <c r="AK48" s="60">
        <f t="shared" si="175"/>
        <v>0</v>
      </c>
      <c r="AL48" s="59">
        <f t="shared" si="176"/>
        <v>0</v>
      </c>
      <c r="AM48" s="60">
        <f t="shared" si="177"/>
        <v>0</v>
      </c>
      <c r="AN48" s="59">
        <f t="shared" si="178"/>
        <v>0</v>
      </c>
      <c r="AO48" s="60">
        <f t="shared" si="179"/>
        <v>0</v>
      </c>
      <c r="AP48" s="59">
        <f t="shared" si="180"/>
        <v>0</v>
      </c>
      <c r="AQ48" s="60">
        <f t="shared" si="181"/>
        <v>0</v>
      </c>
      <c r="AR48" s="59">
        <f t="shared" si="182"/>
        <v>0</v>
      </c>
      <c r="AS48" s="55">
        <f t="shared" si="183"/>
        <v>0</v>
      </c>
      <c r="AT48" s="59">
        <f t="shared" si="184"/>
        <v>0</v>
      </c>
      <c r="AU48" s="60">
        <f t="shared" si="185"/>
        <v>0</v>
      </c>
      <c r="AV48" s="59">
        <f t="shared" si="186"/>
        <v>0</v>
      </c>
      <c r="AW48" s="60">
        <f t="shared" si="187"/>
        <v>0</v>
      </c>
      <c r="AX48" s="59">
        <f t="shared" si="188"/>
        <v>0</v>
      </c>
      <c r="AY48" s="55">
        <f t="shared" si="189"/>
        <v>0</v>
      </c>
      <c r="AZ48" s="59">
        <f t="shared" si="190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0"/>
        <v>0.91</v>
      </c>
      <c r="BH48" s="55">
        <f t="shared" si="280"/>
        <v>0.89</v>
      </c>
      <c r="BI48" s="55">
        <f t="shared" si="280"/>
        <v>0.87</v>
      </c>
      <c r="BJ48" s="55">
        <f t="shared" si="280"/>
        <v>0.85</v>
      </c>
      <c r="BK48" s="55">
        <f t="shared" si="280"/>
        <v>0.83</v>
      </c>
      <c r="BL48" s="55">
        <f t="shared" si="280"/>
        <v>0.80999999999999994</v>
      </c>
      <c r="BM48" s="55">
        <f t="shared" si="280"/>
        <v>0.78999999999999992</v>
      </c>
      <c r="BN48" s="55">
        <f t="shared" si="280"/>
        <v>0.76999999999999991</v>
      </c>
      <c r="BO48" s="55">
        <f t="shared" si="280"/>
        <v>0.74999999999999989</v>
      </c>
      <c r="BP48" s="55">
        <f t="shared" si="280"/>
        <v>0.72999999999999987</v>
      </c>
      <c r="BQ48" s="55">
        <f t="shared" si="280"/>
        <v>0.70999999999999985</v>
      </c>
      <c r="BR48" s="55">
        <f t="shared" si="280"/>
        <v>0.68999999999999984</v>
      </c>
      <c r="BS48" s="55">
        <f t="shared" si="280"/>
        <v>0.66999999999999982</v>
      </c>
      <c r="BT48" s="55">
        <f t="shared" si="280"/>
        <v>0.6499999999999998</v>
      </c>
      <c r="BU48" s="55">
        <f t="shared" si="280"/>
        <v>0.62999999999999978</v>
      </c>
      <c r="BV48" s="55">
        <f t="shared" si="280"/>
        <v>0.60999999999999976</v>
      </c>
      <c r="BW48" s="55">
        <f t="shared" si="280"/>
        <v>0.58999999999999975</v>
      </c>
      <c r="BX48" s="55">
        <f t="shared" si="280"/>
        <v>0.56999999999999973</v>
      </c>
      <c r="BZ48" s="55">
        <f t="shared" si="88"/>
        <v>0</v>
      </c>
      <c r="CA48" s="55">
        <f t="shared" si="89"/>
        <v>0</v>
      </c>
      <c r="CB48" s="59">
        <f t="shared" si="191"/>
        <v>0</v>
      </c>
      <c r="CC48" s="55">
        <f t="shared" si="192"/>
        <v>0</v>
      </c>
      <c r="CD48" s="59">
        <f t="shared" si="193"/>
        <v>0</v>
      </c>
      <c r="CE48" s="55">
        <f t="shared" si="194"/>
        <v>0</v>
      </c>
      <c r="CF48" s="59">
        <f t="shared" si="195"/>
        <v>0</v>
      </c>
      <c r="CG48" s="55">
        <f t="shared" si="196"/>
        <v>0</v>
      </c>
      <c r="CH48" s="59">
        <f t="shared" si="197"/>
        <v>0</v>
      </c>
      <c r="CI48" s="57">
        <f t="shared" si="198"/>
        <v>0</v>
      </c>
      <c r="CJ48" s="59">
        <f t="shared" si="199"/>
        <v>0</v>
      </c>
      <c r="CK48" s="55">
        <f t="shared" si="200"/>
        <v>0</v>
      </c>
      <c r="CL48" s="59">
        <f t="shared" si="201"/>
        <v>0</v>
      </c>
      <c r="CM48" s="57">
        <f t="shared" si="202"/>
        <v>0</v>
      </c>
      <c r="CN48" s="59">
        <f t="shared" si="203"/>
        <v>0</v>
      </c>
      <c r="CO48" s="60">
        <f t="shared" si="204"/>
        <v>0</v>
      </c>
      <c r="CP48" s="59">
        <f t="shared" si="205"/>
        <v>0</v>
      </c>
      <c r="CQ48" s="57">
        <f t="shared" si="206"/>
        <v>0</v>
      </c>
      <c r="CR48" s="59">
        <f t="shared" si="207"/>
        <v>0</v>
      </c>
      <c r="CS48" s="55">
        <f t="shared" si="208"/>
        <v>0</v>
      </c>
      <c r="CT48" s="59">
        <f t="shared" si="209"/>
        <v>0</v>
      </c>
      <c r="CU48" s="60">
        <f t="shared" si="210"/>
        <v>0</v>
      </c>
      <c r="CV48" s="59">
        <f t="shared" si="211"/>
        <v>0</v>
      </c>
      <c r="CW48" s="60">
        <f t="shared" si="212"/>
        <v>0</v>
      </c>
      <c r="CX48" s="59">
        <f t="shared" si="213"/>
        <v>0</v>
      </c>
      <c r="CY48" s="60">
        <f t="shared" si="214"/>
        <v>0</v>
      </c>
      <c r="CZ48" s="59">
        <f t="shared" si="215"/>
        <v>0</v>
      </c>
      <c r="DA48" s="55">
        <f t="shared" si="216"/>
        <v>0</v>
      </c>
      <c r="DB48" s="59">
        <f t="shared" si="217"/>
        <v>0</v>
      </c>
      <c r="DC48" s="60">
        <f t="shared" si="218"/>
        <v>0</v>
      </c>
      <c r="DD48" s="59">
        <f t="shared" si="219"/>
        <v>0</v>
      </c>
      <c r="DE48" s="60">
        <f t="shared" si="220"/>
        <v>0</v>
      </c>
      <c r="DF48" s="59">
        <f t="shared" si="221"/>
        <v>0</v>
      </c>
      <c r="DG48" s="60">
        <f t="shared" si="222"/>
        <v>0</v>
      </c>
      <c r="DH48" s="59">
        <f t="shared" si="223"/>
        <v>0</v>
      </c>
      <c r="DI48" s="60">
        <f t="shared" si="224"/>
        <v>0</v>
      </c>
      <c r="DJ48" s="59">
        <f t="shared" si="225"/>
        <v>0</v>
      </c>
      <c r="DK48" s="55">
        <f t="shared" si="226"/>
        <v>0</v>
      </c>
      <c r="DL48" s="59">
        <f t="shared" si="227"/>
        <v>0</v>
      </c>
      <c r="DM48" s="60">
        <f t="shared" si="228"/>
        <v>0</v>
      </c>
      <c r="DN48" s="59">
        <f t="shared" si="229"/>
        <v>0</v>
      </c>
      <c r="DO48" s="60">
        <f t="shared" si="230"/>
        <v>0</v>
      </c>
      <c r="DP48" s="59">
        <f t="shared" si="231"/>
        <v>0</v>
      </c>
      <c r="DQ48" s="55">
        <f t="shared" si="232"/>
        <v>0</v>
      </c>
      <c r="DR48" s="59">
        <f t="shared" si="233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4"/>
        <v>0.91</v>
      </c>
      <c r="DZ48" s="55">
        <f t="shared" si="234"/>
        <v>0.89</v>
      </c>
      <c r="EA48" s="55">
        <f t="shared" si="234"/>
        <v>0.87</v>
      </c>
      <c r="EB48" s="55">
        <f t="shared" ref="EB48:EP48" si="281">+EA48-0.02</f>
        <v>0.85</v>
      </c>
      <c r="EC48" s="55">
        <f t="shared" si="281"/>
        <v>0.83</v>
      </c>
      <c r="ED48" s="55">
        <f t="shared" si="281"/>
        <v>0.80999999999999994</v>
      </c>
      <c r="EE48" s="55">
        <f t="shared" si="281"/>
        <v>0.78999999999999992</v>
      </c>
      <c r="EF48" s="55">
        <f t="shared" si="281"/>
        <v>0.76999999999999991</v>
      </c>
      <c r="EG48" s="55">
        <f t="shared" si="281"/>
        <v>0.74999999999999989</v>
      </c>
      <c r="EH48" s="55">
        <f t="shared" si="281"/>
        <v>0.72999999999999987</v>
      </c>
      <c r="EI48" s="55">
        <f t="shared" si="281"/>
        <v>0.70999999999999985</v>
      </c>
      <c r="EJ48" s="55">
        <f t="shared" si="281"/>
        <v>0.68999999999999984</v>
      </c>
      <c r="EK48" s="55">
        <f t="shared" si="281"/>
        <v>0.66999999999999982</v>
      </c>
      <c r="EL48" s="55">
        <f t="shared" si="281"/>
        <v>0.6499999999999998</v>
      </c>
      <c r="EM48" s="55">
        <f t="shared" si="281"/>
        <v>0.62999999999999978</v>
      </c>
      <c r="EN48" s="55">
        <f t="shared" si="281"/>
        <v>0.60999999999999976</v>
      </c>
      <c r="EO48" s="55">
        <f t="shared" si="281"/>
        <v>0.58999999999999975</v>
      </c>
      <c r="EP48" s="55">
        <f t="shared" si="281"/>
        <v>0.56999999999999973</v>
      </c>
      <c r="ER48" s="55">
        <f t="shared" si="142"/>
        <v>0</v>
      </c>
      <c r="ES48" s="55">
        <f t="shared" si="116"/>
        <v>0</v>
      </c>
      <c r="ET48" s="59">
        <f t="shared" si="235"/>
        <v>0</v>
      </c>
      <c r="EU48" s="55">
        <f t="shared" si="236"/>
        <v>0</v>
      </c>
      <c r="EV48" s="59">
        <f t="shared" si="237"/>
        <v>0</v>
      </c>
      <c r="EW48" s="55">
        <f t="shared" si="238"/>
        <v>0</v>
      </c>
      <c r="EX48" s="59">
        <f t="shared" si="239"/>
        <v>0</v>
      </c>
      <c r="EY48" s="55">
        <f t="shared" si="240"/>
        <v>0</v>
      </c>
      <c r="EZ48" s="59">
        <f t="shared" si="241"/>
        <v>0</v>
      </c>
      <c r="FA48" s="57">
        <f t="shared" si="242"/>
        <v>0</v>
      </c>
      <c r="FB48" s="59">
        <f t="shared" si="243"/>
        <v>0</v>
      </c>
      <c r="FC48" s="55">
        <f t="shared" si="244"/>
        <v>0</v>
      </c>
      <c r="FD48" s="59">
        <f t="shared" si="245"/>
        <v>0</v>
      </c>
      <c r="FE48" s="57">
        <f t="shared" si="246"/>
        <v>0</v>
      </c>
      <c r="FF48" s="59">
        <f t="shared" si="247"/>
        <v>0</v>
      </c>
      <c r="FG48" s="60">
        <f t="shared" si="248"/>
        <v>0</v>
      </c>
      <c r="FH48" s="59">
        <f t="shared" si="249"/>
        <v>0</v>
      </c>
      <c r="FI48" s="57">
        <f t="shared" si="250"/>
        <v>0</v>
      </c>
      <c r="FJ48" s="59">
        <f t="shared" si="251"/>
        <v>0</v>
      </c>
      <c r="FK48" s="55">
        <f t="shared" si="252"/>
        <v>0</v>
      </c>
      <c r="FL48" s="59">
        <f t="shared" si="253"/>
        <v>0</v>
      </c>
      <c r="FM48" s="60">
        <f t="shared" si="254"/>
        <v>0</v>
      </c>
      <c r="FN48" s="59">
        <f t="shared" si="255"/>
        <v>0</v>
      </c>
      <c r="FO48" s="60">
        <f t="shared" si="256"/>
        <v>0</v>
      </c>
      <c r="FP48" s="59">
        <f t="shared" si="257"/>
        <v>0</v>
      </c>
      <c r="FQ48" s="60">
        <f t="shared" si="258"/>
        <v>0</v>
      </c>
      <c r="FR48" s="59">
        <f t="shared" si="259"/>
        <v>0</v>
      </c>
      <c r="FS48" s="55">
        <f t="shared" si="260"/>
        <v>0</v>
      </c>
      <c r="FT48" s="59">
        <f t="shared" si="261"/>
        <v>0</v>
      </c>
      <c r="FU48" s="60">
        <f t="shared" si="262"/>
        <v>0</v>
      </c>
      <c r="FV48" s="59">
        <f t="shared" si="263"/>
        <v>0</v>
      </c>
      <c r="FW48" s="60">
        <f t="shared" si="264"/>
        <v>0</v>
      </c>
      <c r="FX48" s="59">
        <f t="shared" si="265"/>
        <v>0</v>
      </c>
      <c r="FY48" s="60">
        <f t="shared" si="266"/>
        <v>0</v>
      </c>
      <c r="FZ48" s="59">
        <f t="shared" si="267"/>
        <v>0</v>
      </c>
      <c r="GA48" s="60">
        <f t="shared" si="268"/>
        <v>0</v>
      </c>
      <c r="GB48" s="59">
        <f t="shared" si="269"/>
        <v>0</v>
      </c>
      <c r="GC48" s="55">
        <f t="shared" si="270"/>
        <v>0</v>
      </c>
      <c r="GD48" s="59">
        <f t="shared" si="271"/>
        <v>0</v>
      </c>
      <c r="GE48" s="60">
        <f t="shared" si="272"/>
        <v>0</v>
      </c>
      <c r="GF48" s="59">
        <f t="shared" si="273"/>
        <v>0</v>
      </c>
      <c r="GG48" s="60">
        <f t="shared" si="274"/>
        <v>0</v>
      </c>
      <c r="GH48" s="59">
        <f t="shared" si="275"/>
        <v>0</v>
      </c>
      <c r="GI48" s="55">
        <f t="shared" si="276"/>
        <v>0</v>
      </c>
      <c r="GJ48" s="59">
        <f t="shared" si="277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78"/>
        <v>0.91</v>
      </c>
      <c r="GR48" s="55">
        <f t="shared" si="278"/>
        <v>0.89</v>
      </c>
      <c r="GS48" s="55">
        <f t="shared" si="278"/>
        <v>0.87</v>
      </c>
      <c r="GT48" s="55">
        <f t="shared" ref="GT48:HH48" si="282">+GS48-0.02</f>
        <v>0.85</v>
      </c>
      <c r="GU48" s="55">
        <f t="shared" si="282"/>
        <v>0.83</v>
      </c>
      <c r="GV48" s="55">
        <f t="shared" si="282"/>
        <v>0.80999999999999994</v>
      </c>
      <c r="GW48" s="55">
        <f t="shared" si="282"/>
        <v>0.78999999999999992</v>
      </c>
      <c r="GX48" s="55">
        <f t="shared" si="282"/>
        <v>0.76999999999999991</v>
      </c>
      <c r="GY48" s="55">
        <f t="shared" si="282"/>
        <v>0.74999999999999989</v>
      </c>
      <c r="GZ48" s="55">
        <f t="shared" si="282"/>
        <v>0.72999999999999987</v>
      </c>
      <c r="HA48" s="55">
        <f t="shared" si="282"/>
        <v>0.70999999999999985</v>
      </c>
      <c r="HB48" s="55">
        <f t="shared" si="282"/>
        <v>0.68999999999999984</v>
      </c>
      <c r="HC48" s="55">
        <f t="shared" si="282"/>
        <v>0.66999999999999982</v>
      </c>
      <c r="HD48" s="55">
        <f t="shared" si="282"/>
        <v>0.6499999999999998</v>
      </c>
      <c r="HE48" s="55">
        <f t="shared" si="282"/>
        <v>0.62999999999999978</v>
      </c>
      <c r="HF48" s="55">
        <f t="shared" si="282"/>
        <v>0.60999999999999976</v>
      </c>
      <c r="HG48" s="55">
        <f t="shared" si="282"/>
        <v>0.58999999999999975</v>
      </c>
      <c r="HH48" s="55">
        <f t="shared" si="282"/>
        <v>0.56999999999999973</v>
      </c>
    </row>
    <row r="49" spans="1:216" x14ac:dyDescent="0.3">
      <c r="A49" s="2">
        <v>16</v>
      </c>
      <c r="C49" s="38" t="s">
        <v>146</v>
      </c>
      <c r="D49" s="42">
        <f>TRUNC(15688.5567282322,-1)</f>
        <v>15680</v>
      </c>
      <c r="E49" s="71">
        <f t="shared" si="148"/>
        <v>51830</v>
      </c>
      <c r="H49" s="55">
        <f t="shared" si="61"/>
        <v>57013.000000000007</v>
      </c>
      <c r="I49" s="55">
        <f t="shared" si="62"/>
        <v>57013.000000000007</v>
      </c>
      <c r="J49" s="59">
        <f t="shared" si="63"/>
        <v>188473.57540000003</v>
      </c>
      <c r="K49" s="55">
        <f t="shared" si="149"/>
        <v>55302.610000000008</v>
      </c>
      <c r="L49" s="59">
        <f t="shared" si="150"/>
        <v>182819.36813800002</v>
      </c>
      <c r="M49" s="55">
        <f t="shared" si="151"/>
        <v>54162.350000000006</v>
      </c>
      <c r="N49" s="59">
        <f t="shared" si="152"/>
        <v>179049.89663000003</v>
      </c>
      <c r="O49" s="55">
        <f t="shared" si="153"/>
        <v>53022.090000000011</v>
      </c>
      <c r="P49" s="59">
        <f t="shared" si="154"/>
        <v>175280.42512200004</v>
      </c>
      <c r="Q49" s="57">
        <f t="shared" si="155"/>
        <v>51881.830000000009</v>
      </c>
      <c r="R49" s="59">
        <f t="shared" si="156"/>
        <v>171510.95361400003</v>
      </c>
      <c r="S49" s="55">
        <f t="shared" si="157"/>
        <v>50741.570000000007</v>
      </c>
      <c r="T49" s="59">
        <f t="shared" si="158"/>
        <v>167741.48210600004</v>
      </c>
      <c r="U49" s="57">
        <f t="shared" si="159"/>
        <v>49601.310000000005</v>
      </c>
      <c r="V49" s="59">
        <f t="shared" si="160"/>
        <v>163972.01059800002</v>
      </c>
      <c r="W49" s="60">
        <f t="shared" si="161"/>
        <v>48461.05</v>
      </c>
      <c r="X49" s="59">
        <f t="shared" si="162"/>
        <v>160202.53909000001</v>
      </c>
      <c r="Y49" s="57">
        <f t="shared" si="163"/>
        <v>47320.79</v>
      </c>
      <c r="Z49" s="59">
        <f t="shared" si="164"/>
        <v>156433.06758200002</v>
      </c>
      <c r="AA49" s="55">
        <f t="shared" si="165"/>
        <v>46180.530000000006</v>
      </c>
      <c r="AB49" s="59">
        <f t="shared" si="166"/>
        <v>152663.59607400003</v>
      </c>
      <c r="AC49" s="60">
        <f t="shared" si="167"/>
        <v>45040.270000000004</v>
      </c>
      <c r="AD49" s="59">
        <f t="shared" si="168"/>
        <v>148894.12456600001</v>
      </c>
      <c r="AE49" s="60">
        <f t="shared" si="169"/>
        <v>43900.01</v>
      </c>
      <c r="AF49" s="59">
        <f t="shared" si="170"/>
        <v>145124.653058</v>
      </c>
      <c r="AG49" s="60">
        <f t="shared" si="171"/>
        <v>42759.75</v>
      </c>
      <c r="AH49" s="59">
        <f t="shared" si="172"/>
        <v>141355.18155000001</v>
      </c>
      <c r="AI49" s="55">
        <f t="shared" si="173"/>
        <v>41619.49</v>
      </c>
      <c r="AJ49" s="59">
        <f t="shared" si="174"/>
        <v>137585.71004199999</v>
      </c>
      <c r="AK49" s="60">
        <f t="shared" si="175"/>
        <v>40479.229999999996</v>
      </c>
      <c r="AL49" s="59">
        <f t="shared" si="176"/>
        <v>133816.238534</v>
      </c>
      <c r="AM49" s="60">
        <f t="shared" si="177"/>
        <v>39338.969999999994</v>
      </c>
      <c r="AN49" s="59">
        <f t="shared" si="178"/>
        <v>130046.76702599999</v>
      </c>
      <c r="AO49" s="60">
        <f t="shared" si="179"/>
        <v>38198.709999999992</v>
      </c>
      <c r="AP49" s="59">
        <f t="shared" si="180"/>
        <v>126277.29551799997</v>
      </c>
      <c r="AQ49" s="60">
        <f t="shared" si="181"/>
        <v>37058.44999999999</v>
      </c>
      <c r="AR49" s="59">
        <f t="shared" si="182"/>
        <v>122507.82400999997</v>
      </c>
      <c r="AS49" s="55">
        <f t="shared" si="183"/>
        <v>35918.189999999995</v>
      </c>
      <c r="AT49" s="59">
        <f t="shared" si="184"/>
        <v>118738.35250199998</v>
      </c>
      <c r="AU49" s="60">
        <f t="shared" si="185"/>
        <v>34777.929999999993</v>
      </c>
      <c r="AV49" s="59">
        <f t="shared" si="186"/>
        <v>114968.88099399998</v>
      </c>
      <c r="AW49" s="60">
        <f t="shared" si="187"/>
        <v>33637.669999999991</v>
      </c>
      <c r="AX49" s="59">
        <f t="shared" si="188"/>
        <v>111199.40948599998</v>
      </c>
      <c r="AY49" s="55">
        <f t="shared" si="189"/>
        <v>32497.409999999989</v>
      </c>
      <c r="AZ49" s="59">
        <f t="shared" si="190"/>
        <v>107429.93797799997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0"/>
        <v>0.91</v>
      </c>
      <c r="BH49" s="55">
        <f t="shared" si="280"/>
        <v>0.89</v>
      </c>
      <c r="BI49" s="55">
        <f t="shared" si="280"/>
        <v>0.87</v>
      </c>
      <c r="BJ49" s="55">
        <f t="shared" si="280"/>
        <v>0.85</v>
      </c>
      <c r="BK49" s="55">
        <f t="shared" si="280"/>
        <v>0.83</v>
      </c>
      <c r="BL49" s="55">
        <f t="shared" si="280"/>
        <v>0.80999999999999994</v>
      </c>
      <c r="BM49" s="55">
        <f t="shared" si="280"/>
        <v>0.78999999999999992</v>
      </c>
      <c r="BN49" s="55">
        <f t="shared" si="280"/>
        <v>0.76999999999999991</v>
      </c>
      <c r="BO49" s="55">
        <f t="shared" si="280"/>
        <v>0.74999999999999989</v>
      </c>
      <c r="BP49" s="55">
        <f t="shared" si="280"/>
        <v>0.72999999999999987</v>
      </c>
      <c r="BQ49" s="55">
        <f t="shared" si="280"/>
        <v>0.70999999999999985</v>
      </c>
      <c r="BR49" s="55">
        <f t="shared" si="280"/>
        <v>0.68999999999999984</v>
      </c>
      <c r="BS49" s="55">
        <f t="shared" si="280"/>
        <v>0.66999999999999982</v>
      </c>
      <c r="BT49" s="55">
        <f t="shared" si="280"/>
        <v>0.6499999999999998</v>
      </c>
      <c r="BU49" s="55">
        <f t="shared" si="280"/>
        <v>0.62999999999999978</v>
      </c>
      <c r="BV49" s="55">
        <f t="shared" si="280"/>
        <v>0.60999999999999976</v>
      </c>
      <c r="BW49" s="55">
        <f t="shared" si="280"/>
        <v>0.58999999999999975</v>
      </c>
      <c r="BX49" s="55">
        <f t="shared" si="280"/>
        <v>0.56999999999999973</v>
      </c>
      <c r="BZ49" s="55">
        <f t="shared" si="88"/>
        <v>51881.830000000009</v>
      </c>
      <c r="CA49" s="55">
        <f t="shared" si="89"/>
        <v>51881.830000000009</v>
      </c>
      <c r="CB49" s="59">
        <f t="shared" si="191"/>
        <v>171510.95361400003</v>
      </c>
      <c r="CC49" s="55">
        <f t="shared" si="192"/>
        <v>50325.375100000005</v>
      </c>
      <c r="CD49" s="59">
        <f t="shared" si="193"/>
        <v>166365.62500558002</v>
      </c>
      <c r="CE49" s="55">
        <f t="shared" si="194"/>
        <v>49287.738500000007</v>
      </c>
      <c r="CF49" s="59">
        <f t="shared" si="195"/>
        <v>162935.40593330003</v>
      </c>
      <c r="CG49" s="55">
        <f t="shared" si="196"/>
        <v>48250.101900000009</v>
      </c>
      <c r="CH49" s="59">
        <f t="shared" si="197"/>
        <v>159505.18686102002</v>
      </c>
      <c r="CI49" s="57">
        <f t="shared" si="198"/>
        <v>47212.465300000011</v>
      </c>
      <c r="CJ49" s="59">
        <f t="shared" si="199"/>
        <v>156074.96778874003</v>
      </c>
      <c r="CK49" s="55">
        <f t="shared" si="200"/>
        <v>46174.828700000005</v>
      </c>
      <c r="CL49" s="59">
        <f t="shared" si="201"/>
        <v>152644.74871646002</v>
      </c>
      <c r="CM49" s="57">
        <f t="shared" si="202"/>
        <v>45137.192100000007</v>
      </c>
      <c r="CN49" s="59">
        <f t="shared" si="203"/>
        <v>149214.52964418003</v>
      </c>
      <c r="CO49" s="60">
        <f t="shared" si="204"/>
        <v>44099.555500000009</v>
      </c>
      <c r="CP49" s="59">
        <f t="shared" si="205"/>
        <v>145784.31057190005</v>
      </c>
      <c r="CQ49" s="57">
        <f t="shared" si="206"/>
        <v>43061.918900000004</v>
      </c>
      <c r="CR49" s="59">
        <f t="shared" si="207"/>
        <v>142354.09149962003</v>
      </c>
      <c r="CS49" s="55">
        <f t="shared" si="208"/>
        <v>42024.282300000006</v>
      </c>
      <c r="CT49" s="59">
        <f t="shared" si="209"/>
        <v>138923.87242734001</v>
      </c>
      <c r="CU49" s="60">
        <f t="shared" si="210"/>
        <v>40986.645700000001</v>
      </c>
      <c r="CV49" s="59">
        <f t="shared" si="211"/>
        <v>135493.65335506</v>
      </c>
      <c r="CW49" s="60">
        <f t="shared" si="212"/>
        <v>39949.009100000003</v>
      </c>
      <c r="CX49" s="59">
        <f t="shared" si="213"/>
        <v>132063.43428278001</v>
      </c>
      <c r="CY49" s="60">
        <f t="shared" si="214"/>
        <v>38911.372499999998</v>
      </c>
      <c r="CZ49" s="59">
        <f t="shared" si="215"/>
        <v>128633.2152105</v>
      </c>
      <c r="DA49" s="55">
        <f t="shared" si="216"/>
        <v>37873.7359</v>
      </c>
      <c r="DB49" s="59">
        <f t="shared" si="217"/>
        <v>125202.99613822</v>
      </c>
      <c r="DC49" s="60">
        <f t="shared" si="218"/>
        <v>36836.099300000002</v>
      </c>
      <c r="DD49" s="59">
        <f t="shared" si="219"/>
        <v>121772.77706594001</v>
      </c>
      <c r="DE49" s="60">
        <f t="shared" si="220"/>
        <v>35798.462699999996</v>
      </c>
      <c r="DF49" s="59">
        <f t="shared" si="221"/>
        <v>118342.55799366</v>
      </c>
      <c r="DG49" s="60">
        <f t="shared" si="222"/>
        <v>34760.826099999998</v>
      </c>
      <c r="DH49" s="59">
        <f t="shared" si="223"/>
        <v>114912.33892138</v>
      </c>
      <c r="DI49" s="60">
        <f t="shared" si="224"/>
        <v>33723.189499999993</v>
      </c>
      <c r="DJ49" s="59">
        <f t="shared" si="225"/>
        <v>111482.11984909998</v>
      </c>
      <c r="DK49" s="55">
        <f t="shared" si="226"/>
        <v>32685.552899999995</v>
      </c>
      <c r="DL49" s="59">
        <f t="shared" si="227"/>
        <v>108051.90077681998</v>
      </c>
      <c r="DM49" s="60">
        <f t="shared" si="228"/>
        <v>31647.916299999993</v>
      </c>
      <c r="DN49" s="59">
        <f t="shared" si="229"/>
        <v>104621.68170453998</v>
      </c>
      <c r="DO49" s="60">
        <f t="shared" si="230"/>
        <v>30610.279699999992</v>
      </c>
      <c r="DP49" s="59">
        <f t="shared" si="231"/>
        <v>101191.46263225998</v>
      </c>
      <c r="DQ49" s="55">
        <f t="shared" si="232"/>
        <v>29572.64309999999</v>
      </c>
      <c r="DR49" s="59">
        <f t="shared" si="233"/>
        <v>97761.243559979965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3">+DX49-0.02</f>
        <v>0.91</v>
      </c>
      <c r="DZ49" s="55">
        <f t="shared" si="283"/>
        <v>0.89</v>
      </c>
      <c r="EA49" s="55">
        <f t="shared" si="283"/>
        <v>0.87</v>
      </c>
      <c r="EB49" s="55">
        <f t="shared" si="283"/>
        <v>0.85</v>
      </c>
      <c r="EC49" s="55">
        <f t="shared" si="283"/>
        <v>0.83</v>
      </c>
      <c r="ED49" s="55">
        <f t="shared" si="283"/>
        <v>0.80999999999999994</v>
      </c>
      <c r="EE49" s="55">
        <f t="shared" si="283"/>
        <v>0.78999999999999992</v>
      </c>
      <c r="EF49" s="55">
        <f t="shared" si="283"/>
        <v>0.76999999999999991</v>
      </c>
      <c r="EG49" s="55">
        <f t="shared" si="283"/>
        <v>0.74999999999999989</v>
      </c>
      <c r="EH49" s="55">
        <f t="shared" si="283"/>
        <v>0.72999999999999987</v>
      </c>
      <c r="EI49" s="55">
        <f t="shared" si="283"/>
        <v>0.70999999999999985</v>
      </c>
      <c r="EJ49" s="55">
        <f t="shared" si="283"/>
        <v>0.68999999999999984</v>
      </c>
      <c r="EK49" s="55">
        <f t="shared" si="283"/>
        <v>0.66999999999999982</v>
      </c>
      <c r="EL49" s="55">
        <f t="shared" si="283"/>
        <v>0.6499999999999998</v>
      </c>
      <c r="EM49" s="55">
        <f t="shared" si="283"/>
        <v>0.62999999999999978</v>
      </c>
      <c r="EN49" s="55">
        <f t="shared" si="283"/>
        <v>0.60999999999999976</v>
      </c>
      <c r="EO49" s="55">
        <f t="shared" si="283"/>
        <v>0.58999999999999975</v>
      </c>
      <c r="EP49" s="55">
        <f t="shared" si="283"/>
        <v>0.56999999999999973</v>
      </c>
      <c r="ER49" s="55">
        <f t="shared" si="142"/>
        <v>47212.465300000011</v>
      </c>
      <c r="ES49" s="55">
        <f t="shared" si="116"/>
        <v>47212.465300000011</v>
      </c>
      <c r="ET49" s="59">
        <f t="shared" si="235"/>
        <v>156074.96778874003</v>
      </c>
      <c r="EU49" s="55">
        <f t="shared" si="236"/>
        <v>45796.091341000007</v>
      </c>
      <c r="EV49" s="59">
        <f t="shared" si="237"/>
        <v>151392.71875507783</v>
      </c>
      <c r="EW49" s="55">
        <f t="shared" si="238"/>
        <v>44851.842035000009</v>
      </c>
      <c r="EX49" s="59">
        <f t="shared" si="239"/>
        <v>148271.21939930302</v>
      </c>
      <c r="EY49" s="55">
        <f t="shared" si="240"/>
        <v>43907.592729000011</v>
      </c>
      <c r="EZ49" s="59">
        <f t="shared" si="241"/>
        <v>145149.72004352824</v>
      </c>
      <c r="FA49" s="57">
        <f t="shared" si="242"/>
        <v>42963.343423000013</v>
      </c>
      <c r="FB49" s="59">
        <f t="shared" si="243"/>
        <v>142028.22068775343</v>
      </c>
      <c r="FC49" s="55">
        <f t="shared" si="244"/>
        <v>42019.094117000008</v>
      </c>
      <c r="FD49" s="59">
        <f t="shared" si="245"/>
        <v>138906.72133197862</v>
      </c>
      <c r="FE49" s="57">
        <f t="shared" si="246"/>
        <v>41074.84481100001</v>
      </c>
      <c r="FF49" s="59">
        <f t="shared" si="247"/>
        <v>135785.22197620384</v>
      </c>
      <c r="FG49" s="60">
        <f t="shared" si="248"/>
        <v>40130.595505000005</v>
      </c>
      <c r="FH49" s="59">
        <f t="shared" si="249"/>
        <v>132663.72262042901</v>
      </c>
      <c r="FI49" s="57">
        <f t="shared" si="250"/>
        <v>39186.346199000007</v>
      </c>
      <c r="FJ49" s="59">
        <f t="shared" si="251"/>
        <v>129542.22326465423</v>
      </c>
      <c r="FK49" s="55">
        <f t="shared" si="252"/>
        <v>38242.096893000009</v>
      </c>
      <c r="FL49" s="59">
        <f t="shared" si="253"/>
        <v>126420.72390887943</v>
      </c>
      <c r="FM49" s="60">
        <f t="shared" si="254"/>
        <v>37297.847587000004</v>
      </c>
      <c r="FN49" s="59">
        <f t="shared" si="255"/>
        <v>123299.22455310462</v>
      </c>
      <c r="FO49" s="60">
        <f t="shared" si="256"/>
        <v>36353.598281000006</v>
      </c>
      <c r="FP49" s="59">
        <f t="shared" si="257"/>
        <v>120177.72519732983</v>
      </c>
      <c r="FQ49" s="60">
        <f t="shared" si="258"/>
        <v>35409.348975000001</v>
      </c>
      <c r="FR49" s="59">
        <f t="shared" si="259"/>
        <v>117056.225841555</v>
      </c>
      <c r="FS49" s="55">
        <f t="shared" si="260"/>
        <v>34465.099669000003</v>
      </c>
      <c r="FT49" s="59">
        <f t="shared" si="261"/>
        <v>113934.72648578021</v>
      </c>
      <c r="FU49" s="60">
        <f t="shared" si="262"/>
        <v>33520.850362999998</v>
      </c>
      <c r="FV49" s="59">
        <f t="shared" si="263"/>
        <v>110813.2271300054</v>
      </c>
      <c r="FW49" s="60">
        <f t="shared" si="264"/>
        <v>32576.601057</v>
      </c>
      <c r="FX49" s="59">
        <f t="shared" si="265"/>
        <v>107691.7277742306</v>
      </c>
      <c r="FY49" s="60">
        <f t="shared" si="266"/>
        <v>31632.351750999998</v>
      </c>
      <c r="FZ49" s="59">
        <f t="shared" si="267"/>
        <v>104570.22841845579</v>
      </c>
      <c r="GA49" s="60">
        <f t="shared" si="268"/>
        <v>30688.102444999997</v>
      </c>
      <c r="GB49" s="59">
        <f t="shared" si="269"/>
        <v>101448.72906268098</v>
      </c>
      <c r="GC49" s="55">
        <f t="shared" si="270"/>
        <v>29743.853138999995</v>
      </c>
      <c r="GD49" s="59">
        <f t="shared" si="271"/>
        <v>98327.22970690619</v>
      </c>
      <c r="GE49" s="60">
        <f t="shared" si="272"/>
        <v>28799.603832999994</v>
      </c>
      <c r="GF49" s="59">
        <f t="shared" si="273"/>
        <v>95205.73035113138</v>
      </c>
      <c r="GG49" s="60">
        <f t="shared" si="274"/>
        <v>27855.354526999996</v>
      </c>
      <c r="GH49" s="59">
        <f t="shared" si="275"/>
        <v>92084.230995356585</v>
      </c>
      <c r="GI49" s="55">
        <f t="shared" si="276"/>
        <v>26911.105220999994</v>
      </c>
      <c r="GJ49" s="59">
        <f t="shared" si="277"/>
        <v>88962.731639581776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84">+GP49-0.02</f>
        <v>0.91</v>
      </c>
      <c r="GR49" s="55">
        <f t="shared" si="284"/>
        <v>0.89</v>
      </c>
      <c r="GS49" s="55">
        <f t="shared" si="284"/>
        <v>0.87</v>
      </c>
      <c r="GT49" s="55">
        <f t="shared" si="284"/>
        <v>0.85</v>
      </c>
      <c r="GU49" s="55">
        <f t="shared" si="284"/>
        <v>0.83</v>
      </c>
      <c r="GV49" s="55">
        <f t="shared" si="284"/>
        <v>0.80999999999999994</v>
      </c>
      <c r="GW49" s="55">
        <f t="shared" si="284"/>
        <v>0.78999999999999992</v>
      </c>
      <c r="GX49" s="55">
        <f t="shared" si="284"/>
        <v>0.76999999999999991</v>
      </c>
      <c r="GY49" s="55">
        <f t="shared" si="284"/>
        <v>0.74999999999999989</v>
      </c>
      <c r="GZ49" s="55">
        <f t="shared" si="284"/>
        <v>0.72999999999999987</v>
      </c>
      <c r="HA49" s="55">
        <f t="shared" si="284"/>
        <v>0.70999999999999985</v>
      </c>
      <c r="HB49" s="55">
        <f t="shared" si="284"/>
        <v>0.68999999999999984</v>
      </c>
      <c r="HC49" s="55">
        <f t="shared" si="284"/>
        <v>0.66999999999999982</v>
      </c>
      <c r="HD49" s="55">
        <f t="shared" si="284"/>
        <v>0.6499999999999998</v>
      </c>
      <c r="HE49" s="55">
        <f t="shared" si="284"/>
        <v>0.62999999999999978</v>
      </c>
      <c r="HF49" s="55">
        <f t="shared" si="284"/>
        <v>0.60999999999999976</v>
      </c>
      <c r="HG49" s="55">
        <f t="shared" si="284"/>
        <v>0.58999999999999975</v>
      </c>
      <c r="HH49" s="55">
        <f t="shared" si="284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71">
        <f t="shared" si="148"/>
        <v>0</v>
      </c>
      <c r="H50" s="55">
        <f t="shared" si="61"/>
        <v>0</v>
      </c>
      <c r="I50" s="55">
        <f t="shared" si="62"/>
        <v>0</v>
      </c>
      <c r="J50" s="59">
        <f t="shared" si="63"/>
        <v>0</v>
      </c>
      <c r="K50" s="55">
        <f t="shared" si="149"/>
        <v>0</v>
      </c>
      <c r="L50" s="59">
        <f t="shared" si="150"/>
        <v>0</v>
      </c>
      <c r="M50" s="55">
        <f t="shared" si="151"/>
        <v>0</v>
      </c>
      <c r="N50" s="59">
        <f t="shared" si="152"/>
        <v>0</v>
      </c>
      <c r="O50" s="55">
        <f t="shared" si="153"/>
        <v>0</v>
      </c>
      <c r="P50" s="59">
        <f t="shared" si="154"/>
        <v>0</v>
      </c>
      <c r="Q50" s="57">
        <f t="shared" si="155"/>
        <v>0</v>
      </c>
      <c r="R50" s="59">
        <f t="shared" si="156"/>
        <v>0</v>
      </c>
      <c r="S50" s="55">
        <f t="shared" si="157"/>
        <v>0</v>
      </c>
      <c r="T50" s="59">
        <f t="shared" si="158"/>
        <v>0</v>
      </c>
      <c r="U50" s="57">
        <f t="shared" si="159"/>
        <v>0</v>
      </c>
      <c r="V50" s="59">
        <f t="shared" si="160"/>
        <v>0</v>
      </c>
      <c r="W50" s="60">
        <f t="shared" si="161"/>
        <v>0</v>
      </c>
      <c r="X50" s="59">
        <f t="shared" si="162"/>
        <v>0</v>
      </c>
      <c r="Y50" s="57">
        <f t="shared" si="163"/>
        <v>0</v>
      </c>
      <c r="Z50" s="59">
        <f t="shared" si="164"/>
        <v>0</v>
      </c>
      <c r="AA50" s="55">
        <f t="shared" si="165"/>
        <v>0</v>
      </c>
      <c r="AB50" s="59">
        <f t="shared" si="166"/>
        <v>0</v>
      </c>
      <c r="AC50" s="60">
        <f t="shared" si="167"/>
        <v>0</v>
      </c>
      <c r="AD50" s="59">
        <f t="shared" si="168"/>
        <v>0</v>
      </c>
      <c r="AE50" s="60">
        <f t="shared" si="169"/>
        <v>0</v>
      </c>
      <c r="AF50" s="59">
        <f t="shared" si="170"/>
        <v>0</v>
      </c>
      <c r="AG50" s="60">
        <f t="shared" si="171"/>
        <v>0</v>
      </c>
      <c r="AH50" s="59">
        <f t="shared" si="172"/>
        <v>0</v>
      </c>
      <c r="AI50" s="55">
        <f t="shared" si="173"/>
        <v>0</v>
      </c>
      <c r="AJ50" s="59">
        <f t="shared" si="174"/>
        <v>0</v>
      </c>
      <c r="AK50" s="60">
        <f t="shared" si="175"/>
        <v>0</v>
      </c>
      <c r="AL50" s="59">
        <f t="shared" si="176"/>
        <v>0</v>
      </c>
      <c r="AM50" s="60">
        <f t="shared" si="177"/>
        <v>0</v>
      </c>
      <c r="AN50" s="59">
        <f t="shared" si="178"/>
        <v>0</v>
      </c>
      <c r="AO50" s="60">
        <f t="shared" si="179"/>
        <v>0</v>
      </c>
      <c r="AP50" s="59">
        <f t="shared" si="180"/>
        <v>0</v>
      </c>
      <c r="AQ50" s="60">
        <f t="shared" si="181"/>
        <v>0</v>
      </c>
      <c r="AR50" s="59">
        <f t="shared" si="182"/>
        <v>0</v>
      </c>
      <c r="AS50" s="55">
        <f t="shared" si="183"/>
        <v>0</v>
      </c>
      <c r="AT50" s="59">
        <f t="shared" si="184"/>
        <v>0</v>
      </c>
      <c r="AU50" s="60">
        <f t="shared" si="185"/>
        <v>0</v>
      </c>
      <c r="AV50" s="59">
        <f t="shared" si="186"/>
        <v>0</v>
      </c>
      <c r="AW50" s="60">
        <f t="shared" si="187"/>
        <v>0</v>
      </c>
      <c r="AX50" s="59">
        <f t="shared" si="188"/>
        <v>0</v>
      </c>
      <c r="AY50" s="55">
        <f t="shared" si="189"/>
        <v>0</v>
      </c>
      <c r="AZ50" s="59">
        <f t="shared" si="190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0"/>
        <v>0.91</v>
      </c>
      <c r="BH50" s="55">
        <f t="shared" si="280"/>
        <v>0.89</v>
      </c>
      <c r="BI50" s="55">
        <f t="shared" si="280"/>
        <v>0.87</v>
      </c>
      <c r="BJ50" s="55">
        <f t="shared" si="280"/>
        <v>0.85</v>
      </c>
      <c r="BK50" s="55">
        <f t="shared" si="280"/>
        <v>0.83</v>
      </c>
      <c r="BL50" s="55">
        <f t="shared" si="280"/>
        <v>0.80999999999999994</v>
      </c>
      <c r="BM50" s="55">
        <f t="shared" si="280"/>
        <v>0.78999999999999992</v>
      </c>
      <c r="BN50" s="55">
        <f t="shared" si="280"/>
        <v>0.76999999999999991</v>
      </c>
      <c r="BO50" s="55">
        <f t="shared" si="280"/>
        <v>0.74999999999999989</v>
      </c>
      <c r="BP50" s="55">
        <f t="shared" si="280"/>
        <v>0.72999999999999987</v>
      </c>
      <c r="BQ50" s="55">
        <f t="shared" si="280"/>
        <v>0.70999999999999985</v>
      </c>
      <c r="BR50" s="55">
        <f t="shared" si="280"/>
        <v>0.68999999999999984</v>
      </c>
      <c r="BS50" s="55">
        <f t="shared" si="280"/>
        <v>0.66999999999999982</v>
      </c>
      <c r="BT50" s="55">
        <f t="shared" si="280"/>
        <v>0.6499999999999998</v>
      </c>
      <c r="BU50" s="55">
        <f t="shared" si="280"/>
        <v>0.62999999999999978</v>
      </c>
      <c r="BV50" s="55">
        <f t="shared" si="280"/>
        <v>0.60999999999999976</v>
      </c>
      <c r="BW50" s="55">
        <f t="shared" si="280"/>
        <v>0.58999999999999975</v>
      </c>
      <c r="BX50" s="55">
        <f t="shared" si="280"/>
        <v>0.56999999999999973</v>
      </c>
      <c r="BZ50" s="55">
        <f t="shared" si="88"/>
        <v>0</v>
      </c>
      <c r="CA50" s="55">
        <f t="shared" si="89"/>
        <v>0</v>
      </c>
      <c r="CB50" s="59">
        <f t="shared" si="191"/>
        <v>0</v>
      </c>
      <c r="CC50" s="55">
        <f t="shared" si="192"/>
        <v>0</v>
      </c>
      <c r="CD50" s="59">
        <f t="shared" si="193"/>
        <v>0</v>
      </c>
      <c r="CE50" s="55">
        <f t="shared" si="194"/>
        <v>0</v>
      </c>
      <c r="CF50" s="59">
        <f t="shared" si="195"/>
        <v>0</v>
      </c>
      <c r="CG50" s="55">
        <f t="shared" si="196"/>
        <v>0</v>
      </c>
      <c r="CH50" s="59">
        <f t="shared" si="197"/>
        <v>0</v>
      </c>
      <c r="CI50" s="57">
        <f t="shared" si="198"/>
        <v>0</v>
      </c>
      <c r="CJ50" s="59">
        <f t="shared" si="199"/>
        <v>0</v>
      </c>
      <c r="CK50" s="55">
        <f t="shared" si="200"/>
        <v>0</v>
      </c>
      <c r="CL50" s="59">
        <f t="shared" si="201"/>
        <v>0</v>
      </c>
      <c r="CM50" s="57">
        <f t="shared" si="202"/>
        <v>0</v>
      </c>
      <c r="CN50" s="59">
        <f t="shared" si="203"/>
        <v>0</v>
      </c>
      <c r="CO50" s="60">
        <f t="shared" si="204"/>
        <v>0</v>
      </c>
      <c r="CP50" s="59">
        <f t="shared" si="205"/>
        <v>0</v>
      </c>
      <c r="CQ50" s="57">
        <f t="shared" si="206"/>
        <v>0</v>
      </c>
      <c r="CR50" s="59">
        <f t="shared" si="207"/>
        <v>0</v>
      </c>
      <c r="CS50" s="55">
        <f t="shared" si="208"/>
        <v>0</v>
      </c>
      <c r="CT50" s="59">
        <f t="shared" si="209"/>
        <v>0</v>
      </c>
      <c r="CU50" s="60">
        <f t="shared" si="210"/>
        <v>0</v>
      </c>
      <c r="CV50" s="59">
        <f t="shared" si="211"/>
        <v>0</v>
      </c>
      <c r="CW50" s="60">
        <f t="shared" si="212"/>
        <v>0</v>
      </c>
      <c r="CX50" s="59">
        <f t="shared" si="213"/>
        <v>0</v>
      </c>
      <c r="CY50" s="60">
        <f t="shared" si="214"/>
        <v>0</v>
      </c>
      <c r="CZ50" s="59">
        <f t="shared" si="215"/>
        <v>0</v>
      </c>
      <c r="DA50" s="55">
        <f t="shared" si="216"/>
        <v>0</v>
      </c>
      <c r="DB50" s="59">
        <f t="shared" si="217"/>
        <v>0</v>
      </c>
      <c r="DC50" s="60">
        <f t="shared" si="218"/>
        <v>0</v>
      </c>
      <c r="DD50" s="59">
        <f t="shared" si="219"/>
        <v>0</v>
      </c>
      <c r="DE50" s="60">
        <f t="shared" si="220"/>
        <v>0</v>
      </c>
      <c r="DF50" s="59">
        <f t="shared" si="221"/>
        <v>0</v>
      </c>
      <c r="DG50" s="60">
        <f t="shared" si="222"/>
        <v>0</v>
      </c>
      <c r="DH50" s="59">
        <f t="shared" si="223"/>
        <v>0</v>
      </c>
      <c r="DI50" s="60">
        <f t="shared" si="224"/>
        <v>0</v>
      </c>
      <c r="DJ50" s="59">
        <f t="shared" si="225"/>
        <v>0</v>
      </c>
      <c r="DK50" s="55">
        <f t="shared" si="226"/>
        <v>0</v>
      </c>
      <c r="DL50" s="59">
        <f t="shared" si="227"/>
        <v>0</v>
      </c>
      <c r="DM50" s="60">
        <f t="shared" si="228"/>
        <v>0</v>
      </c>
      <c r="DN50" s="59">
        <f t="shared" si="229"/>
        <v>0</v>
      </c>
      <c r="DO50" s="60">
        <f t="shared" si="230"/>
        <v>0</v>
      </c>
      <c r="DP50" s="59">
        <f t="shared" si="231"/>
        <v>0</v>
      </c>
      <c r="DQ50" s="55">
        <f t="shared" si="232"/>
        <v>0</v>
      </c>
      <c r="DR50" s="59">
        <f t="shared" si="233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3"/>
        <v>0.91</v>
      </c>
      <c r="DZ50" s="55">
        <f t="shared" si="283"/>
        <v>0.89</v>
      </c>
      <c r="EA50" s="55">
        <f t="shared" si="283"/>
        <v>0.87</v>
      </c>
      <c r="EB50" s="55">
        <f t="shared" si="283"/>
        <v>0.85</v>
      </c>
      <c r="EC50" s="55">
        <f t="shared" si="283"/>
        <v>0.83</v>
      </c>
      <c r="ED50" s="55">
        <f t="shared" si="283"/>
        <v>0.80999999999999994</v>
      </c>
      <c r="EE50" s="55">
        <f t="shared" si="283"/>
        <v>0.78999999999999992</v>
      </c>
      <c r="EF50" s="55">
        <f t="shared" si="283"/>
        <v>0.76999999999999991</v>
      </c>
      <c r="EG50" s="55">
        <f t="shared" si="283"/>
        <v>0.74999999999999989</v>
      </c>
      <c r="EH50" s="55">
        <f t="shared" si="283"/>
        <v>0.72999999999999987</v>
      </c>
      <c r="EI50" s="55">
        <f t="shared" si="283"/>
        <v>0.70999999999999985</v>
      </c>
      <c r="EJ50" s="55">
        <f t="shared" si="283"/>
        <v>0.68999999999999984</v>
      </c>
      <c r="EK50" s="55">
        <f t="shared" si="283"/>
        <v>0.66999999999999982</v>
      </c>
      <c r="EL50" s="55">
        <f t="shared" si="283"/>
        <v>0.6499999999999998</v>
      </c>
      <c r="EM50" s="55">
        <f t="shared" si="283"/>
        <v>0.62999999999999978</v>
      </c>
      <c r="EN50" s="55">
        <f t="shared" si="283"/>
        <v>0.60999999999999976</v>
      </c>
      <c r="EO50" s="55">
        <f t="shared" si="283"/>
        <v>0.58999999999999975</v>
      </c>
      <c r="EP50" s="55">
        <f t="shared" si="283"/>
        <v>0.56999999999999973</v>
      </c>
      <c r="ER50" s="55">
        <f t="shared" si="142"/>
        <v>0</v>
      </c>
      <c r="ES50" s="55">
        <f t="shared" si="116"/>
        <v>0</v>
      </c>
      <c r="ET50" s="59">
        <f t="shared" si="235"/>
        <v>0</v>
      </c>
      <c r="EU50" s="55">
        <f t="shared" si="236"/>
        <v>0</v>
      </c>
      <c r="EV50" s="59">
        <f t="shared" si="237"/>
        <v>0</v>
      </c>
      <c r="EW50" s="55">
        <f t="shared" si="238"/>
        <v>0</v>
      </c>
      <c r="EX50" s="59">
        <f t="shared" si="239"/>
        <v>0</v>
      </c>
      <c r="EY50" s="55">
        <f t="shared" si="240"/>
        <v>0</v>
      </c>
      <c r="EZ50" s="59">
        <f t="shared" si="241"/>
        <v>0</v>
      </c>
      <c r="FA50" s="57">
        <f t="shared" si="242"/>
        <v>0</v>
      </c>
      <c r="FB50" s="59">
        <f t="shared" si="243"/>
        <v>0</v>
      </c>
      <c r="FC50" s="55">
        <f t="shared" si="244"/>
        <v>0</v>
      </c>
      <c r="FD50" s="59">
        <f t="shared" si="245"/>
        <v>0</v>
      </c>
      <c r="FE50" s="57">
        <f t="shared" si="246"/>
        <v>0</v>
      </c>
      <c r="FF50" s="59">
        <f t="shared" si="247"/>
        <v>0</v>
      </c>
      <c r="FG50" s="60">
        <f t="shared" si="248"/>
        <v>0</v>
      </c>
      <c r="FH50" s="59">
        <f t="shared" si="249"/>
        <v>0</v>
      </c>
      <c r="FI50" s="57">
        <f t="shared" si="250"/>
        <v>0</v>
      </c>
      <c r="FJ50" s="59">
        <f t="shared" si="251"/>
        <v>0</v>
      </c>
      <c r="FK50" s="55">
        <f t="shared" si="252"/>
        <v>0</v>
      </c>
      <c r="FL50" s="59">
        <f t="shared" si="253"/>
        <v>0</v>
      </c>
      <c r="FM50" s="60">
        <f t="shared" si="254"/>
        <v>0</v>
      </c>
      <c r="FN50" s="59">
        <f t="shared" si="255"/>
        <v>0</v>
      </c>
      <c r="FO50" s="60">
        <f t="shared" si="256"/>
        <v>0</v>
      </c>
      <c r="FP50" s="59">
        <f t="shared" si="257"/>
        <v>0</v>
      </c>
      <c r="FQ50" s="60">
        <f t="shared" si="258"/>
        <v>0</v>
      </c>
      <c r="FR50" s="59">
        <f t="shared" si="259"/>
        <v>0</v>
      </c>
      <c r="FS50" s="55">
        <f t="shared" si="260"/>
        <v>0</v>
      </c>
      <c r="FT50" s="59">
        <f t="shared" si="261"/>
        <v>0</v>
      </c>
      <c r="FU50" s="60">
        <f t="shared" si="262"/>
        <v>0</v>
      </c>
      <c r="FV50" s="59">
        <f t="shared" si="263"/>
        <v>0</v>
      </c>
      <c r="FW50" s="60">
        <f t="shared" si="264"/>
        <v>0</v>
      </c>
      <c r="FX50" s="59">
        <f t="shared" si="265"/>
        <v>0</v>
      </c>
      <c r="FY50" s="60">
        <f t="shared" si="266"/>
        <v>0</v>
      </c>
      <c r="FZ50" s="59">
        <f t="shared" si="267"/>
        <v>0</v>
      </c>
      <c r="GA50" s="60">
        <f t="shared" si="268"/>
        <v>0</v>
      </c>
      <c r="GB50" s="59">
        <f t="shared" si="269"/>
        <v>0</v>
      </c>
      <c r="GC50" s="55">
        <f t="shared" si="270"/>
        <v>0</v>
      </c>
      <c r="GD50" s="59">
        <f t="shared" si="271"/>
        <v>0</v>
      </c>
      <c r="GE50" s="60">
        <f t="shared" si="272"/>
        <v>0</v>
      </c>
      <c r="GF50" s="59">
        <f t="shared" si="273"/>
        <v>0</v>
      </c>
      <c r="GG50" s="60">
        <f t="shared" si="274"/>
        <v>0</v>
      </c>
      <c r="GH50" s="59">
        <f t="shared" si="275"/>
        <v>0</v>
      </c>
      <c r="GI50" s="55">
        <f t="shared" si="276"/>
        <v>0</v>
      </c>
      <c r="GJ50" s="59">
        <f t="shared" si="277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4"/>
        <v>0.91</v>
      </c>
      <c r="GR50" s="55">
        <f t="shared" si="284"/>
        <v>0.89</v>
      </c>
      <c r="GS50" s="55">
        <f t="shared" si="284"/>
        <v>0.87</v>
      </c>
      <c r="GT50" s="55">
        <f t="shared" si="284"/>
        <v>0.85</v>
      </c>
      <c r="GU50" s="55">
        <f t="shared" si="284"/>
        <v>0.83</v>
      </c>
      <c r="GV50" s="55">
        <f t="shared" si="284"/>
        <v>0.80999999999999994</v>
      </c>
      <c r="GW50" s="55">
        <f t="shared" si="284"/>
        <v>0.78999999999999992</v>
      </c>
      <c r="GX50" s="55">
        <f t="shared" si="284"/>
        <v>0.76999999999999991</v>
      </c>
      <c r="GY50" s="55">
        <f t="shared" si="284"/>
        <v>0.74999999999999989</v>
      </c>
      <c r="GZ50" s="55">
        <f t="shared" si="284"/>
        <v>0.72999999999999987</v>
      </c>
      <c r="HA50" s="55">
        <f t="shared" si="284"/>
        <v>0.70999999999999985</v>
      </c>
      <c r="HB50" s="55">
        <f t="shared" si="284"/>
        <v>0.68999999999999984</v>
      </c>
      <c r="HC50" s="55">
        <f t="shared" si="284"/>
        <v>0.66999999999999982</v>
      </c>
      <c r="HD50" s="55">
        <f t="shared" si="284"/>
        <v>0.6499999999999998</v>
      </c>
      <c r="HE50" s="55">
        <f t="shared" si="284"/>
        <v>0.62999999999999978</v>
      </c>
      <c r="HF50" s="55">
        <f t="shared" si="284"/>
        <v>0.60999999999999976</v>
      </c>
      <c r="HG50" s="55">
        <f t="shared" si="284"/>
        <v>0.58999999999999975</v>
      </c>
      <c r="HH50" s="55">
        <f t="shared" si="284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71">
        <f t="shared" si="148"/>
        <v>0</v>
      </c>
      <c r="H51" s="55">
        <f t="shared" si="61"/>
        <v>0</v>
      </c>
      <c r="I51" s="55">
        <f t="shared" si="62"/>
        <v>0</v>
      </c>
      <c r="J51" s="59">
        <f t="shared" si="63"/>
        <v>0</v>
      </c>
      <c r="K51" s="55">
        <f t="shared" si="149"/>
        <v>0</v>
      </c>
      <c r="L51" s="59">
        <f t="shared" si="150"/>
        <v>0</v>
      </c>
      <c r="M51" s="55">
        <f t="shared" si="151"/>
        <v>0</v>
      </c>
      <c r="N51" s="59">
        <f t="shared" si="152"/>
        <v>0</v>
      </c>
      <c r="O51" s="55">
        <f t="shared" si="153"/>
        <v>0</v>
      </c>
      <c r="P51" s="59">
        <f t="shared" si="154"/>
        <v>0</v>
      </c>
      <c r="Q51" s="57">
        <f t="shared" si="155"/>
        <v>0</v>
      </c>
      <c r="R51" s="59">
        <f t="shared" si="156"/>
        <v>0</v>
      </c>
      <c r="S51" s="55">
        <f t="shared" si="157"/>
        <v>0</v>
      </c>
      <c r="T51" s="59">
        <f t="shared" si="158"/>
        <v>0</v>
      </c>
      <c r="U51" s="57">
        <f t="shared" si="159"/>
        <v>0</v>
      </c>
      <c r="V51" s="59">
        <f t="shared" si="160"/>
        <v>0</v>
      </c>
      <c r="W51" s="60">
        <f t="shared" si="161"/>
        <v>0</v>
      </c>
      <c r="X51" s="59">
        <f t="shared" si="162"/>
        <v>0</v>
      </c>
      <c r="Y51" s="57">
        <f t="shared" si="163"/>
        <v>0</v>
      </c>
      <c r="Z51" s="59">
        <f t="shared" si="164"/>
        <v>0</v>
      </c>
      <c r="AA51" s="55">
        <f t="shared" si="165"/>
        <v>0</v>
      </c>
      <c r="AB51" s="59">
        <f t="shared" si="166"/>
        <v>0</v>
      </c>
      <c r="AC51" s="60">
        <f t="shared" si="167"/>
        <v>0</v>
      </c>
      <c r="AD51" s="59">
        <f t="shared" si="168"/>
        <v>0</v>
      </c>
      <c r="AE51" s="60">
        <f t="shared" si="169"/>
        <v>0</v>
      </c>
      <c r="AF51" s="59">
        <f t="shared" si="170"/>
        <v>0</v>
      </c>
      <c r="AG51" s="60">
        <f t="shared" si="171"/>
        <v>0</v>
      </c>
      <c r="AH51" s="59">
        <f t="shared" si="172"/>
        <v>0</v>
      </c>
      <c r="AI51" s="55">
        <f t="shared" si="173"/>
        <v>0</v>
      </c>
      <c r="AJ51" s="59">
        <f t="shared" si="174"/>
        <v>0</v>
      </c>
      <c r="AK51" s="60">
        <f t="shared" si="175"/>
        <v>0</v>
      </c>
      <c r="AL51" s="59">
        <f t="shared" si="176"/>
        <v>0</v>
      </c>
      <c r="AM51" s="60">
        <f t="shared" si="177"/>
        <v>0</v>
      </c>
      <c r="AN51" s="59">
        <f t="shared" si="178"/>
        <v>0</v>
      </c>
      <c r="AO51" s="60">
        <f t="shared" si="179"/>
        <v>0</v>
      </c>
      <c r="AP51" s="59">
        <f t="shared" si="180"/>
        <v>0</v>
      </c>
      <c r="AQ51" s="60">
        <f t="shared" si="181"/>
        <v>0</v>
      </c>
      <c r="AR51" s="59">
        <f t="shared" si="182"/>
        <v>0</v>
      </c>
      <c r="AS51" s="55">
        <f t="shared" si="183"/>
        <v>0</v>
      </c>
      <c r="AT51" s="59">
        <f t="shared" si="184"/>
        <v>0</v>
      </c>
      <c r="AU51" s="60">
        <f t="shared" si="185"/>
        <v>0</v>
      </c>
      <c r="AV51" s="59">
        <f t="shared" si="186"/>
        <v>0</v>
      </c>
      <c r="AW51" s="60">
        <f t="shared" si="187"/>
        <v>0</v>
      </c>
      <c r="AX51" s="59">
        <f t="shared" si="188"/>
        <v>0</v>
      </c>
      <c r="AY51" s="55">
        <f t="shared" si="189"/>
        <v>0</v>
      </c>
      <c r="AZ51" s="59">
        <f t="shared" si="190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0"/>
        <v>0.91</v>
      </c>
      <c r="BH51" s="55">
        <f t="shared" si="280"/>
        <v>0.89</v>
      </c>
      <c r="BI51" s="55">
        <f t="shared" si="280"/>
        <v>0.87</v>
      </c>
      <c r="BJ51" s="55">
        <f t="shared" si="280"/>
        <v>0.85</v>
      </c>
      <c r="BK51" s="55">
        <f t="shared" si="280"/>
        <v>0.83</v>
      </c>
      <c r="BL51" s="55">
        <f t="shared" si="280"/>
        <v>0.80999999999999994</v>
      </c>
      <c r="BM51" s="55">
        <f t="shared" si="280"/>
        <v>0.78999999999999992</v>
      </c>
      <c r="BN51" s="55">
        <f t="shared" si="280"/>
        <v>0.76999999999999991</v>
      </c>
      <c r="BO51" s="55">
        <f t="shared" si="280"/>
        <v>0.74999999999999989</v>
      </c>
      <c r="BP51" s="55">
        <f t="shared" si="280"/>
        <v>0.72999999999999987</v>
      </c>
      <c r="BQ51" s="55">
        <f t="shared" si="280"/>
        <v>0.70999999999999985</v>
      </c>
      <c r="BR51" s="55">
        <f t="shared" si="280"/>
        <v>0.68999999999999984</v>
      </c>
      <c r="BS51" s="55">
        <f t="shared" si="280"/>
        <v>0.66999999999999982</v>
      </c>
      <c r="BT51" s="55">
        <f t="shared" si="280"/>
        <v>0.6499999999999998</v>
      </c>
      <c r="BU51" s="55">
        <f t="shared" si="280"/>
        <v>0.62999999999999978</v>
      </c>
      <c r="BV51" s="55">
        <f t="shared" si="280"/>
        <v>0.60999999999999976</v>
      </c>
      <c r="BW51" s="55">
        <f t="shared" si="280"/>
        <v>0.58999999999999975</v>
      </c>
      <c r="BX51" s="55">
        <f t="shared" si="280"/>
        <v>0.56999999999999973</v>
      </c>
      <c r="BZ51" s="55">
        <f t="shared" si="88"/>
        <v>0</v>
      </c>
      <c r="CA51" s="55">
        <f t="shared" si="89"/>
        <v>0</v>
      </c>
      <c r="CB51" s="59">
        <f t="shared" si="191"/>
        <v>0</v>
      </c>
      <c r="CC51" s="55">
        <f t="shared" si="192"/>
        <v>0</v>
      </c>
      <c r="CD51" s="59">
        <f t="shared" si="193"/>
        <v>0</v>
      </c>
      <c r="CE51" s="55">
        <f t="shared" si="194"/>
        <v>0</v>
      </c>
      <c r="CF51" s="59">
        <f t="shared" si="195"/>
        <v>0</v>
      </c>
      <c r="CG51" s="55">
        <f t="shared" si="196"/>
        <v>0</v>
      </c>
      <c r="CH51" s="59">
        <f t="shared" si="197"/>
        <v>0</v>
      </c>
      <c r="CI51" s="57">
        <f t="shared" si="198"/>
        <v>0</v>
      </c>
      <c r="CJ51" s="59">
        <f t="shared" si="199"/>
        <v>0</v>
      </c>
      <c r="CK51" s="55">
        <f t="shared" si="200"/>
        <v>0</v>
      </c>
      <c r="CL51" s="59">
        <f t="shared" si="201"/>
        <v>0</v>
      </c>
      <c r="CM51" s="57">
        <f t="shared" si="202"/>
        <v>0</v>
      </c>
      <c r="CN51" s="59">
        <f t="shared" si="203"/>
        <v>0</v>
      </c>
      <c r="CO51" s="60">
        <f t="shared" si="204"/>
        <v>0</v>
      </c>
      <c r="CP51" s="59">
        <f t="shared" si="205"/>
        <v>0</v>
      </c>
      <c r="CQ51" s="57">
        <f t="shared" si="206"/>
        <v>0</v>
      </c>
      <c r="CR51" s="59">
        <f t="shared" si="207"/>
        <v>0</v>
      </c>
      <c r="CS51" s="55">
        <f t="shared" si="208"/>
        <v>0</v>
      </c>
      <c r="CT51" s="59">
        <f t="shared" si="209"/>
        <v>0</v>
      </c>
      <c r="CU51" s="60">
        <f t="shared" si="210"/>
        <v>0</v>
      </c>
      <c r="CV51" s="59">
        <f t="shared" si="211"/>
        <v>0</v>
      </c>
      <c r="CW51" s="60">
        <f t="shared" si="212"/>
        <v>0</v>
      </c>
      <c r="CX51" s="59">
        <f t="shared" si="213"/>
        <v>0</v>
      </c>
      <c r="CY51" s="60">
        <f t="shared" si="214"/>
        <v>0</v>
      </c>
      <c r="CZ51" s="59">
        <f t="shared" si="215"/>
        <v>0</v>
      </c>
      <c r="DA51" s="55">
        <f t="shared" si="216"/>
        <v>0</v>
      </c>
      <c r="DB51" s="59">
        <f t="shared" si="217"/>
        <v>0</v>
      </c>
      <c r="DC51" s="60">
        <f t="shared" si="218"/>
        <v>0</v>
      </c>
      <c r="DD51" s="59">
        <f t="shared" si="219"/>
        <v>0</v>
      </c>
      <c r="DE51" s="60">
        <f t="shared" si="220"/>
        <v>0</v>
      </c>
      <c r="DF51" s="59">
        <f t="shared" si="221"/>
        <v>0</v>
      </c>
      <c r="DG51" s="60">
        <f t="shared" si="222"/>
        <v>0</v>
      </c>
      <c r="DH51" s="59">
        <f t="shared" si="223"/>
        <v>0</v>
      </c>
      <c r="DI51" s="60">
        <f t="shared" si="224"/>
        <v>0</v>
      </c>
      <c r="DJ51" s="59">
        <f t="shared" si="225"/>
        <v>0</v>
      </c>
      <c r="DK51" s="55">
        <f t="shared" si="226"/>
        <v>0</v>
      </c>
      <c r="DL51" s="59">
        <f t="shared" si="227"/>
        <v>0</v>
      </c>
      <c r="DM51" s="60">
        <f t="shared" si="228"/>
        <v>0</v>
      </c>
      <c r="DN51" s="59">
        <f t="shared" si="229"/>
        <v>0</v>
      </c>
      <c r="DO51" s="60">
        <f t="shared" si="230"/>
        <v>0</v>
      </c>
      <c r="DP51" s="59">
        <f t="shared" si="231"/>
        <v>0</v>
      </c>
      <c r="DQ51" s="55">
        <f t="shared" si="232"/>
        <v>0</v>
      </c>
      <c r="DR51" s="59">
        <f t="shared" si="233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3"/>
        <v>0.91</v>
      </c>
      <c r="DZ51" s="55">
        <f t="shared" si="283"/>
        <v>0.89</v>
      </c>
      <c r="EA51" s="55">
        <f t="shared" si="283"/>
        <v>0.87</v>
      </c>
      <c r="EB51" s="55">
        <f t="shared" si="283"/>
        <v>0.85</v>
      </c>
      <c r="EC51" s="55">
        <f t="shared" si="283"/>
        <v>0.83</v>
      </c>
      <c r="ED51" s="55">
        <f t="shared" si="283"/>
        <v>0.80999999999999994</v>
      </c>
      <c r="EE51" s="55">
        <f t="shared" si="283"/>
        <v>0.78999999999999992</v>
      </c>
      <c r="EF51" s="55">
        <f t="shared" si="283"/>
        <v>0.76999999999999991</v>
      </c>
      <c r="EG51" s="55">
        <f t="shared" si="283"/>
        <v>0.74999999999999989</v>
      </c>
      <c r="EH51" s="55">
        <f t="shared" si="283"/>
        <v>0.72999999999999987</v>
      </c>
      <c r="EI51" s="55">
        <f t="shared" si="283"/>
        <v>0.70999999999999985</v>
      </c>
      <c r="EJ51" s="55">
        <f t="shared" si="283"/>
        <v>0.68999999999999984</v>
      </c>
      <c r="EK51" s="55">
        <f t="shared" si="283"/>
        <v>0.66999999999999982</v>
      </c>
      <c r="EL51" s="55">
        <f t="shared" si="283"/>
        <v>0.6499999999999998</v>
      </c>
      <c r="EM51" s="55">
        <f t="shared" si="283"/>
        <v>0.62999999999999978</v>
      </c>
      <c r="EN51" s="55">
        <f t="shared" si="283"/>
        <v>0.60999999999999976</v>
      </c>
      <c r="EO51" s="55">
        <f t="shared" si="283"/>
        <v>0.58999999999999975</v>
      </c>
      <c r="EP51" s="55">
        <f t="shared" si="283"/>
        <v>0.56999999999999973</v>
      </c>
      <c r="ER51" s="55">
        <f t="shared" si="142"/>
        <v>0</v>
      </c>
      <c r="ES51" s="55">
        <f t="shared" si="116"/>
        <v>0</v>
      </c>
      <c r="ET51" s="59">
        <f t="shared" si="235"/>
        <v>0</v>
      </c>
      <c r="EU51" s="55">
        <f t="shared" si="236"/>
        <v>0</v>
      </c>
      <c r="EV51" s="59">
        <f t="shared" si="237"/>
        <v>0</v>
      </c>
      <c r="EW51" s="55">
        <f t="shared" si="238"/>
        <v>0</v>
      </c>
      <c r="EX51" s="59">
        <f t="shared" si="239"/>
        <v>0</v>
      </c>
      <c r="EY51" s="55">
        <f t="shared" si="240"/>
        <v>0</v>
      </c>
      <c r="EZ51" s="59">
        <f t="shared" si="241"/>
        <v>0</v>
      </c>
      <c r="FA51" s="57">
        <f t="shared" si="242"/>
        <v>0</v>
      </c>
      <c r="FB51" s="59">
        <f t="shared" si="243"/>
        <v>0</v>
      </c>
      <c r="FC51" s="55">
        <f t="shared" si="244"/>
        <v>0</v>
      </c>
      <c r="FD51" s="59">
        <f t="shared" si="245"/>
        <v>0</v>
      </c>
      <c r="FE51" s="57">
        <f t="shared" si="246"/>
        <v>0</v>
      </c>
      <c r="FF51" s="59">
        <f t="shared" si="247"/>
        <v>0</v>
      </c>
      <c r="FG51" s="60">
        <f t="shared" si="248"/>
        <v>0</v>
      </c>
      <c r="FH51" s="59">
        <f t="shared" si="249"/>
        <v>0</v>
      </c>
      <c r="FI51" s="57">
        <f t="shared" si="250"/>
        <v>0</v>
      </c>
      <c r="FJ51" s="59">
        <f t="shared" si="251"/>
        <v>0</v>
      </c>
      <c r="FK51" s="55">
        <f t="shared" si="252"/>
        <v>0</v>
      </c>
      <c r="FL51" s="59">
        <f t="shared" si="253"/>
        <v>0</v>
      </c>
      <c r="FM51" s="60">
        <f t="shared" si="254"/>
        <v>0</v>
      </c>
      <c r="FN51" s="59">
        <f t="shared" si="255"/>
        <v>0</v>
      </c>
      <c r="FO51" s="60">
        <f t="shared" si="256"/>
        <v>0</v>
      </c>
      <c r="FP51" s="59">
        <f t="shared" si="257"/>
        <v>0</v>
      </c>
      <c r="FQ51" s="60">
        <f t="shared" si="258"/>
        <v>0</v>
      </c>
      <c r="FR51" s="59">
        <f t="shared" si="259"/>
        <v>0</v>
      </c>
      <c r="FS51" s="55">
        <f t="shared" si="260"/>
        <v>0</v>
      </c>
      <c r="FT51" s="59">
        <f t="shared" si="261"/>
        <v>0</v>
      </c>
      <c r="FU51" s="60">
        <f t="shared" si="262"/>
        <v>0</v>
      </c>
      <c r="FV51" s="59">
        <f t="shared" si="263"/>
        <v>0</v>
      </c>
      <c r="FW51" s="60">
        <f t="shared" si="264"/>
        <v>0</v>
      </c>
      <c r="FX51" s="59">
        <f t="shared" si="265"/>
        <v>0</v>
      </c>
      <c r="FY51" s="60">
        <f t="shared" si="266"/>
        <v>0</v>
      </c>
      <c r="FZ51" s="59">
        <f t="shared" si="267"/>
        <v>0</v>
      </c>
      <c r="GA51" s="60">
        <f t="shared" si="268"/>
        <v>0</v>
      </c>
      <c r="GB51" s="59">
        <f t="shared" si="269"/>
        <v>0</v>
      </c>
      <c r="GC51" s="55">
        <f t="shared" si="270"/>
        <v>0</v>
      </c>
      <c r="GD51" s="59">
        <f t="shared" si="271"/>
        <v>0</v>
      </c>
      <c r="GE51" s="60">
        <f t="shared" si="272"/>
        <v>0</v>
      </c>
      <c r="GF51" s="59">
        <f t="shared" si="273"/>
        <v>0</v>
      </c>
      <c r="GG51" s="60">
        <f t="shared" si="274"/>
        <v>0</v>
      </c>
      <c r="GH51" s="59">
        <f t="shared" si="275"/>
        <v>0</v>
      </c>
      <c r="GI51" s="55">
        <f t="shared" si="276"/>
        <v>0</v>
      </c>
      <c r="GJ51" s="59">
        <f t="shared" si="277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4"/>
        <v>0.91</v>
      </c>
      <c r="GR51" s="55">
        <f t="shared" si="284"/>
        <v>0.89</v>
      </c>
      <c r="GS51" s="55">
        <f t="shared" si="284"/>
        <v>0.87</v>
      </c>
      <c r="GT51" s="55">
        <f t="shared" si="284"/>
        <v>0.85</v>
      </c>
      <c r="GU51" s="55">
        <f t="shared" si="284"/>
        <v>0.83</v>
      </c>
      <c r="GV51" s="55">
        <f t="shared" si="284"/>
        <v>0.80999999999999994</v>
      </c>
      <c r="GW51" s="55">
        <f t="shared" si="284"/>
        <v>0.78999999999999992</v>
      </c>
      <c r="GX51" s="55">
        <f t="shared" si="284"/>
        <v>0.76999999999999991</v>
      </c>
      <c r="GY51" s="55">
        <f t="shared" si="284"/>
        <v>0.74999999999999989</v>
      </c>
      <c r="GZ51" s="55">
        <f t="shared" si="284"/>
        <v>0.72999999999999987</v>
      </c>
      <c r="HA51" s="55">
        <f t="shared" si="284"/>
        <v>0.70999999999999985</v>
      </c>
      <c r="HB51" s="55">
        <f t="shared" si="284"/>
        <v>0.68999999999999984</v>
      </c>
      <c r="HC51" s="55">
        <f t="shared" si="284"/>
        <v>0.66999999999999982</v>
      </c>
      <c r="HD51" s="55">
        <f t="shared" si="284"/>
        <v>0.6499999999999998</v>
      </c>
      <c r="HE51" s="55">
        <f t="shared" si="284"/>
        <v>0.62999999999999978</v>
      </c>
      <c r="HF51" s="55">
        <f t="shared" si="284"/>
        <v>0.60999999999999976</v>
      </c>
      <c r="HG51" s="55">
        <f t="shared" si="284"/>
        <v>0.58999999999999975</v>
      </c>
      <c r="HH51" s="55">
        <f t="shared" si="284"/>
        <v>0.56999999999999973</v>
      </c>
    </row>
    <row r="52" spans="1:216" x14ac:dyDescent="0.3">
      <c r="A52" s="2">
        <v>19</v>
      </c>
      <c r="C52" s="38" t="s">
        <v>26</v>
      </c>
      <c r="D52" s="42">
        <f>TRUNC(14380.2693177535+4074.25555974369+2531.85337353939-695.439125518281+104168.848850358+100233.463060686,-1)</f>
        <v>224690</v>
      </c>
      <c r="E52" s="71">
        <f t="shared" si="148"/>
        <v>742780</v>
      </c>
      <c r="F52" s="2" t="s">
        <v>314</v>
      </c>
      <c r="H52" s="55">
        <f t="shared" si="61"/>
        <v>817058.00000000012</v>
      </c>
      <c r="I52" s="55">
        <f t="shared" si="62"/>
        <v>817058.00000000012</v>
      </c>
      <c r="J52" s="59">
        <f t="shared" si="63"/>
        <v>2701030.3364000004</v>
      </c>
      <c r="K52" s="55">
        <f t="shared" si="149"/>
        <v>792546.26000000013</v>
      </c>
      <c r="L52" s="59">
        <f t="shared" si="150"/>
        <v>2619999.4263080005</v>
      </c>
      <c r="M52" s="55">
        <f t="shared" si="151"/>
        <v>776205.10000000009</v>
      </c>
      <c r="N52" s="59">
        <f t="shared" si="152"/>
        <v>2565978.8195800004</v>
      </c>
      <c r="O52" s="55">
        <f t="shared" si="153"/>
        <v>759863.94000000018</v>
      </c>
      <c r="P52" s="59">
        <f t="shared" si="154"/>
        <v>2511958.2128520007</v>
      </c>
      <c r="Q52" s="57">
        <f t="shared" si="155"/>
        <v>743522.78000000014</v>
      </c>
      <c r="R52" s="59">
        <f t="shared" si="156"/>
        <v>2457937.6061240006</v>
      </c>
      <c r="S52" s="55">
        <f t="shared" si="157"/>
        <v>727181.62000000011</v>
      </c>
      <c r="T52" s="59">
        <f t="shared" si="158"/>
        <v>2403916.9993960005</v>
      </c>
      <c r="U52" s="57">
        <f t="shared" si="159"/>
        <v>710840.46000000008</v>
      </c>
      <c r="V52" s="59">
        <f t="shared" si="160"/>
        <v>2349896.3926680004</v>
      </c>
      <c r="W52" s="60">
        <f t="shared" si="161"/>
        <v>694499.3</v>
      </c>
      <c r="X52" s="59">
        <f t="shared" si="162"/>
        <v>2295875.7859400003</v>
      </c>
      <c r="Y52" s="57">
        <f t="shared" si="163"/>
        <v>678158.14</v>
      </c>
      <c r="Z52" s="59">
        <f t="shared" si="164"/>
        <v>2241855.1792120002</v>
      </c>
      <c r="AA52" s="55">
        <f t="shared" si="165"/>
        <v>661816.9800000001</v>
      </c>
      <c r="AB52" s="59">
        <f t="shared" si="166"/>
        <v>2187834.5724840006</v>
      </c>
      <c r="AC52" s="60">
        <f t="shared" si="167"/>
        <v>645475.82000000007</v>
      </c>
      <c r="AD52" s="59">
        <f t="shared" si="168"/>
        <v>2133813.9657560005</v>
      </c>
      <c r="AE52" s="60">
        <f t="shared" si="169"/>
        <v>629134.66</v>
      </c>
      <c r="AF52" s="59">
        <f t="shared" si="170"/>
        <v>2079793.3590280002</v>
      </c>
      <c r="AG52" s="60">
        <f t="shared" si="171"/>
        <v>612793.5</v>
      </c>
      <c r="AH52" s="59">
        <f t="shared" si="172"/>
        <v>2025772.7523000001</v>
      </c>
      <c r="AI52" s="55">
        <f t="shared" si="173"/>
        <v>596452.34</v>
      </c>
      <c r="AJ52" s="59">
        <f t="shared" si="174"/>
        <v>1971752.145572</v>
      </c>
      <c r="AK52" s="60">
        <f t="shared" si="175"/>
        <v>580111.17999999993</v>
      </c>
      <c r="AL52" s="59">
        <f t="shared" si="176"/>
        <v>1917731.5388439998</v>
      </c>
      <c r="AM52" s="60">
        <f t="shared" si="177"/>
        <v>563770.0199999999</v>
      </c>
      <c r="AN52" s="59">
        <f t="shared" si="178"/>
        <v>1863710.9321159997</v>
      </c>
      <c r="AO52" s="60">
        <f t="shared" si="179"/>
        <v>547428.86</v>
      </c>
      <c r="AP52" s="59">
        <f t="shared" si="180"/>
        <v>1809690.3253879999</v>
      </c>
      <c r="AQ52" s="60">
        <f t="shared" si="181"/>
        <v>531087.69999999995</v>
      </c>
      <c r="AR52" s="59">
        <f t="shared" si="182"/>
        <v>1755669.7186599998</v>
      </c>
      <c r="AS52" s="55">
        <f t="shared" si="183"/>
        <v>514746.53999999992</v>
      </c>
      <c r="AT52" s="59">
        <f t="shared" si="184"/>
        <v>1701649.1119319997</v>
      </c>
      <c r="AU52" s="60">
        <f t="shared" si="185"/>
        <v>498405.37999999989</v>
      </c>
      <c r="AV52" s="59">
        <f t="shared" si="186"/>
        <v>1647628.5052039996</v>
      </c>
      <c r="AW52" s="60">
        <f t="shared" si="187"/>
        <v>482064.21999999986</v>
      </c>
      <c r="AX52" s="59">
        <f t="shared" si="188"/>
        <v>1593607.8984759995</v>
      </c>
      <c r="AY52" s="55">
        <f t="shared" si="189"/>
        <v>465723.05999999982</v>
      </c>
      <c r="AZ52" s="59">
        <f t="shared" si="190"/>
        <v>1539587.2917479994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0"/>
        <v>0.91</v>
      </c>
      <c r="BH52" s="55">
        <f t="shared" si="280"/>
        <v>0.89</v>
      </c>
      <c r="BI52" s="55">
        <f t="shared" si="280"/>
        <v>0.87</v>
      </c>
      <c r="BJ52" s="55">
        <f t="shared" si="280"/>
        <v>0.85</v>
      </c>
      <c r="BK52" s="55">
        <f t="shared" si="280"/>
        <v>0.83</v>
      </c>
      <c r="BL52" s="55">
        <f t="shared" si="280"/>
        <v>0.80999999999999994</v>
      </c>
      <c r="BM52" s="55">
        <f t="shared" si="280"/>
        <v>0.78999999999999992</v>
      </c>
      <c r="BN52" s="55">
        <f t="shared" si="280"/>
        <v>0.76999999999999991</v>
      </c>
      <c r="BO52" s="55">
        <f t="shared" si="280"/>
        <v>0.74999999999999989</v>
      </c>
      <c r="BP52" s="55">
        <f t="shared" si="280"/>
        <v>0.72999999999999987</v>
      </c>
      <c r="BQ52" s="55">
        <f t="shared" si="280"/>
        <v>0.70999999999999985</v>
      </c>
      <c r="BR52" s="55">
        <f t="shared" si="280"/>
        <v>0.68999999999999984</v>
      </c>
      <c r="BS52" s="55">
        <f t="shared" si="280"/>
        <v>0.66999999999999982</v>
      </c>
      <c r="BT52" s="55">
        <f t="shared" si="280"/>
        <v>0.6499999999999998</v>
      </c>
      <c r="BU52" s="55">
        <f t="shared" si="280"/>
        <v>0.62999999999999978</v>
      </c>
      <c r="BV52" s="55">
        <f t="shared" si="280"/>
        <v>0.60999999999999976</v>
      </c>
      <c r="BW52" s="55">
        <f t="shared" si="280"/>
        <v>0.58999999999999975</v>
      </c>
      <c r="BX52" s="55">
        <f t="shared" si="280"/>
        <v>0.56999999999999973</v>
      </c>
      <c r="BZ52" s="55">
        <f t="shared" si="88"/>
        <v>743522.78000000014</v>
      </c>
      <c r="CA52" s="55">
        <f t="shared" si="89"/>
        <v>743522.78000000014</v>
      </c>
      <c r="CB52" s="59">
        <f t="shared" si="191"/>
        <v>2457937.6061240006</v>
      </c>
      <c r="CC52" s="55">
        <f t="shared" si="192"/>
        <v>721217.09660000016</v>
      </c>
      <c r="CD52" s="59">
        <f t="shared" si="193"/>
        <v>2384199.4779402805</v>
      </c>
      <c r="CE52" s="55">
        <f t="shared" si="194"/>
        <v>706346.64100000006</v>
      </c>
      <c r="CF52" s="59">
        <f t="shared" si="195"/>
        <v>2335040.7258178</v>
      </c>
      <c r="CG52" s="55">
        <f t="shared" si="196"/>
        <v>691476.18540000019</v>
      </c>
      <c r="CH52" s="59">
        <f t="shared" si="197"/>
        <v>2285881.9736953205</v>
      </c>
      <c r="CI52" s="57">
        <f t="shared" si="198"/>
        <v>676605.7298000002</v>
      </c>
      <c r="CJ52" s="59">
        <f t="shared" si="199"/>
        <v>2236723.2215728406</v>
      </c>
      <c r="CK52" s="55">
        <f t="shared" si="200"/>
        <v>661735.2742000001</v>
      </c>
      <c r="CL52" s="59">
        <f t="shared" si="201"/>
        <v>2187564.4694503602</v>
      </c>
      <c r="CM52" s="57">
        <f t="shared" si="202"/>
        <v>646864.81860000012</v>
      </c>
      <c r="CN52" s="59">
        <f t="shared" si="203"/>
        <v>2138405.7173278802</v>
      </c>
      <c r="CO52" s="60">
        <f t="shared" si="204"/>
        <v>631994.36300000013</v>
      </c>
      <c r="CP52" s="59">
        <f t="shared" si="205"/>
        <v>2089246.9652054005</v>
      </c>
      <c r="CQ52" s="57">
        <f t="shared" si="206"/>
        <v>617123.90740000014</v>
      </c>
      <c r="CR52" s="59">
        <f t="shared" si="207"/>
        <v>2040088.2130829205</v>
      </c>
      <c r="CS52" s="55">
        <f t="shared" si="208"/>
        <v>602253.45180000004</v>
      </c>
      <c r="CT52" s="59">
        <f t="shared" si="209"/>
        <v>1990929.4609604401</v>
      </c>
      <c r="CU52" s="60">
        <f t="shared" si="210"/>
        <v>587382.99620000005</v>
      </c>
      <c r="CV52" s="59">
        <f t="shared" si="211"/>
        <v>1941770.7088379601</v>
      </c>
      <c r="CW52" s="60">
        <f t="shared" si="212"/>
        <v>572512.54060000007</v>
      </c>
      <c r="CX52" s="59">
        <f t="shared" si="213"/>
        <v>1892611.9567154802</v>
      </c>
      <c r="CY52" s="60">
        <f t="shared" si="214"/>
        <v>557642.08500000008</v>
      </c>
      <c r="CZ52" s="59">
        <f t="shared" si="215"/>
        <v>1843453.2045930002</v>
      </c>
      <c r="DA52" s="55">
        <f t="shared" si="216"/>
        <v>542771.62939999998</v>
      </c>
      <c r="DB52" s="59">
        <f t="shared" si="217"/>
        <v>1794294.45247052</v>
      </c>
      <c r="DC52" s="60">
        <f t="shared" si="218"/>
        <v>527901.17379999999</v>
      </c>
      <c r="DD52" s="59">
        <f t="shared" si="219"/>
        <v>1745135.7003480401</v>
      </c>
      <c r="DE52" s="60">
        <f t="shared" si="220"/>
        <v>513030.7182</v>
      </c>
      <c r="DF52" s="59">
        <f t="shared" si="221"/>
        <v>1695976.9482255601</v>
      </c>
      <c r="DG52" s="60">
        <f t="shared" si="222"/>
        <v>498160.26259999996</v>
      </c>
      <c r="DH52" s="59">
        <f t="shared" si="223"/>
        <v>1646818.1961030799</v>
      </c>
      <c r="DI52" s="60">
        <f t="shared" si="224"/>
        <v>483289.80699999997</v>
      </c>
      <c r="DJ52" s="59">
        <f t="shared" si="225"/>
        <v>1597659.4439806</v>
      </c>
      <c r="DK52" s="55">
        <f t="shared" si="226"/>
        <v>468419.35139999993</v>
      </c>
      <c r="DL52" s="59">
        <f t="shared" si="227"/>
        <v>1548500.6918581198</v>
      </c>
      <c r="DM52" s="60">
        <f t="shared" si="228"/>
        <v>453548.89579999994</v>
      </c>
      <c r="DN52" s="59">
        <f t="shared" si="229"/>
        <v>1499341.9397356398</v>
      </c>
      <c r="DO52" s="60">
        <f t="shared" si="230"/>
        <v>438678.4401999999</v>
      </c>
      <c r="DP52" s="59">
        <f t="shared" si="231"/>
        <v>1450183.1876131597</v>
      </c>
      <c r="DQ52" s="55">
        <f t="shared" si="232"/>
        <v>423807.98459999991</v>
      </c>
      <c r="DR52" s="59">
        <f t="shared" si="233"/>
        <v>1401024.4354906797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3"/>
        <v>0.91</v>
      </c>
      <c r="DZ52" s="55">
        <f t="shared" si="283"/>
        <v>0.89</v>
      </c>
      <c r="EA52" s="55">
        <f t="shared" si="283"/>
        <v>0.87</v>
      </c>
      <c r="EB52" s="55">
        <f t="shared" si="283"/>
        <v>0.85</v>
      </c>
      <c r="EC52" s="55">
        <f t="shared" si="283"/>
        <v>0.83</v>
      </c>
      <c r="ED52" s="55">
        <f t="shared" si="283"/>
        <v>0.80999999999999994</v>
      </c>
      <c r="EE52" s="55">
        <f t="shared" si="283"/>
        <v>0.78999999999999992</v>
      </c>
      <c r="EF52" s="55">
        <f t="shared" si="283"/>
        <v>0.76999999999999991</v>
      </c>
      <c r="EG52" s="55">
        <f t="shared" si="283"/>
        <v>0.74999999999999989</v>
      </c>
      <c r="EH52" s="55">
        <f t="shared" si="283"/>
        <v>0.72999999999999987</v>
      </c>
      <c r="EI52" s="55">
        <f t="shared" si="283"/>
        <v>0.70999999999999985</v>
      </c>
      <c r="EJ52" s="55">
        <f t="shared" si="283"/>
        <v>0.68999999999999984</v>
      </c>
      <c r="EK52" s="55">
        <f t="shared" si="283"/>
        <v>0.66999999999999982</v>
      </c>
      <c r="EL52" s="55">
        <f t="shared" si="283"/>
        <v>0.6499999999999998</v>
      </c>
      <c r="EM52" s="55">
        <f t="shared" si="283"/>
        <v>0.62999999999999978</v>
      </c>
      <c r="EN52" s="55">
        <f t="shared" si="283"/>
        <v>0.60999999999999976</v>
      </c>
      <c r="EO52" s="55">
        <f t="shared" si="283"/>
        <v>0.58999999999999975</v>
      </c>
      <c r="EP52" s="55">
        <f t="shared" si="283"/>
        <v>0.56999999999999973</v>
      </c>
      <c r="ER52" s="55">
        <f t="shared" si="142"/>
        <v>676605.7298000002</v>
      </c>
      <c r="ES52" s="55">
        <f t="shared" si="116"/>
        <v>676605.7298000002</v>
      </c>
      <c r="ET52" s="59">
        <f t="shared" si="235"/>
        <v>2236723.2215728406</v>
      </c>
      <c r="EU52" s="55">
        <f t="shared" si="236"/>
        <v>656307.55790600018</v>
      </c>
      <c r="EV52" s="59">
        <f t="shared" si="237"/>
        <v>2169621.5249256552</v>
      </c>
      <c r="EW52" s="55">
        <f t="shared" si="238"/>
        <v>642775.44331000012</v>
      </c>
      <c r="EX52" s="59">
        <f t="shared" si="239"/>
        <v>2124887.0604941985</v>
      </c>
      <c r="EY52" s="55">
        <f t="shared" si="240"/>
        <v>629243.32871400018</v>
      </c>
      <c r="EZ52" s="59">
        <f t="shared" si="241"/>
        <v>2080152.5960627419</v>
      </c>
      <c r="FA52" s="57">
        <f t="shared" si="242"/>
        <v>615711.21411800024</v>
      </c>
      <c r="FB52" s="59">
        <f t="shared" si="243"/>
        <v>2035418.1316312852</v>
      </c>
      <c r="FC52" s="55">
        <f t="shared" si="244"/>
        <v>602179.09952200018</v>
      </c>
      <c r="FD52" s="59">
        <f t="shared" si="245"/>
        <v>1990683.6671998282</v>
      </c>
      <c r="FE52" s="57">
        <f t="shared" si="246"/>
        <v>588646.98492600012</v>
      </c>
      <c r="FF52" s="59">
        <f t="shared" si="247"/>
        <v>1945949.2027683712</v>
      </c>
      <c r="FG52" s="60">
        <f t="shared" si="248"/>
        <v>575114.87033000018</v>
      </c>
      <c r="FH52" s="59">
        <f t="shared" si="249"/>
        <v>1901214.7383369147</v>
      </c>
      <c r="FI52" s="57">
        <f t="shared" si="250"/>
        <v>561582.75573400012</v>
      </c>
      <c r="FJ52" s="59">
        <f t="shared" si="251"/>
        <v>1856480.2739054577</v>
      </c>
      <c r="FK52" s="55">
        <f t="shared" si="252"/>
        <v>548050.64113800018</v>
      </c>
      <c r="FL52" s="59">
        <f t="shared" si="253"/>
        <v>1811745.8094740009</v>
      </c>
      <c r="FM52" s="60">
        <f t="shared" si="254"/>
        <v>534518.52654200012</v>
      </c>
      <c r="FN52" s="59">
        <f t="shared" si="255"/>
        <v>1767011.345042544</v>
      </c>
      <c r="FO52" s="60">
        <f t="shared" si="256"/>
        <v>520986.41194600007</v>
      </c>
      <c r="FP52" s="59">
        <f t="shared" si="257"/>
        <v>1722276.880611087</v>
      </c>
      <c r="FQ52" s="60">
        <f t="shared" si="258"/>
        <v>507454.29735000007</v>
      </c>
      <c r="FR52" s="59">
        <f t="shared" si="259"/>
        <v>1677542.4161796302</v>
      </c>
      <c r="FS52" s="55">
        <f t="shared" si="260"/>
        <v>493922.18275400007</v>
      </c>
      <c r="FT52" s="59">
        <f t="shared" si="261"/>
        <v>1632807.9517481735</v>
      </c>
      <c r="FU52" s="60">
        <f t="shared" si="262"/>
        <v>480390.06815800007</v>
      </c>
      <c r="FV52" s="59">
        <f t="shared" si="263"/>
        <v>1588073.4873167167</v>
      </c>
      <c r="FW52" s="60">
        <f t="shared" si="264"/>
        <v>466857.95356200001</v>
      </c>
      <c r="FX52" s="59">
        <f t="shared" si="265"/>
        <v>1543339.0228852597</v>
      </c>
      <c r="FY52" s="60">
        <f t="shared" si="266"/>
        <v>453325.83896600001</v>
      </c>
      <c r="FZ52" s="59">
        <f t="shared" si="267"/>
        <v>1498604.558453803</v>
      </c>
      <c r="GA52" s="60">
        <f t="shared" si="268"/>
        <v>439793.72437000001</v>
      </c>
      <c r="GB52" s="59">
        <f t="shared" si="269"/>
        <v>1453870.094022346</v>
      </c>
      <c r="GC52" s="55">
        <f t="shared" si="270"/>
        <v>426261.60977399995</v>
      </c>
      <c r="GD52" s="59">
        <f t="shared" si="271"/>
        <v>1409135.629590889</v>
      </c>
      <c r="GE52" s="60">
        <f t="shared" si="272"/>
        <v>412729.49517799995</v>
      </c>
      <c r="GF52" s="59">
        <f t="shared" si="273"/>
        <v>1364401.1651594322</v>
      </c>
      <c r="GG52" s="60">
        <f t="shared" si="274"/>
        <v>399197.38058199995</v>
      </c>
      <c r="GH52" s="59">
        <f t="shared" si="275"/>
        <v>1319666.7007279755</v>
      </c>
      <c r="GI52" s="55">
        <f t="shared" si="276"/>
        <v>385665.26598599995</v>
      </c>
      <c r="GJ52" s="59">
        <f t="shared" si="277"/>
        <v>1274932.2362965187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4"/>
        <v>0.91</v>
      </c>
      <c r="GR52" s="55">
        <f t="shared" si="284"/>
        <v>0.89</v>
      </c>
      <c r="GS52" s="55">
        <f t="shared" si="284"/>
        <v>0.87</v>
      </c>
      <c r="GT52" s="55">
        <f t="shared" si="284"/>
        <v>0.85</v>
      </c>
      <c r="GU52" s="55">
        <f t="shared" si="284"/>
        <v>0.83</v>
      </c>
      <c r="GV52" s="55">
        <f t="shared" si="284"/>
        <v>0.80999999999999994</v>
      </c>
      <c r="GW52" s="55">
        <f t="shared" si="284"/>
        <v>0.78999999999999992</v>
      </c>
      <c r="GX52" s="55">
        <f t="shared" si="284"/>
        <v>0.76999999999999991</v>
      </c>
      <c r="GY52" s="55">
        <f t="shared" si="284"/>
        <v>0.74999999999999989</v>
      </c>
      <c r="GZ52" s="55">
        <f t="shared" si="284"/>
        <v>0.72999999999999987</v>
      </c>
      <c r="HA52" s="55">
        <f t="shared" si="284"/>
        <v>0.70999999999999985</v>
      </c>
      <c r="HB52" s="55">
        <f t="shared" si="284"/>
        <v>0.68999999999999984</v>
      </c>
      <c r="HC52" s="55">
        <f t="shared" si="284"/>
        <v>0.66999999999999982</v>
      </c>
      <c r="HD52" s="55">
        <f t="shared" si="284"/>
        <v>0.6499999999999998</v>
      </c>
      <c r="HE52" s="55">
        <f t="shared" si="284"/>
        <v>0.62999999999999978</v>
      </c>
      <c r="HF52" s="55">
        <f t="shared" si="284"/>
        <v>0.60999999999999976</v>
      </c>
      <c r="HG52" s="55">
        <f t="shared" si="284"/>
        <v>0.58999999999999975</v>
      </c>
      <c r="HH52" s="55">
        <f t="shared" si="284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TRUNC(214340.746324915,-1)</f>
        <v>214340</v>
      </c>
      <c r="E53" s="72">
        <f t="shared" si="148"/>
        <v>708560</v>
      </c>
      <c r="H53" s="55">
        <f t="shared" si="61"/>
        <v>779416.00000000012</v>
      </c>
      <c r="I53" s="55">
        <f t="shared" si="62"/>
        <v>779416.00000000012</v>
      </c>
      <c r="J53" s="59">
        <f t="shared" si="63"/>
        <v>2576593.4128000005</v>
      </c>
      <c r="K53" s="55">
        <f t="shared" si="149"/>
        <v>756033.52000000014</v>
      </c>
      <c r="L53" s="59">
        <f t="shared" si="150"/>
        <v>2499295.6104160007</v>
      </c>
      <c r="M53" s="55">
        <f t="shared" si="151"/>
        <v>740445.20000000007</v>
      </c>
      <c r="N53" s="59">
        <f t="shared" si="152"/>
        <v>2447763.7421600004</v>
      </c>
      <c r="O53" s="55">
        <f t="shared" si="153"/>
        <v>724856.88000000012</v>
      </c>
      <c r="P53" s="59">
        <f t="shared" si="154"/>
        <v>2396231.8739040005</v>
      </c>
      <c r="Q53" s="57">
        <f t="shared" si="155"/>
        <v>709268.56000000017</v>
      </c>
      <c r="R53" s="59">
        <f t="shared" si="156"/>
        <v>2344700.0056480006</v>
      </c>
      <c r="S53" s="55">
        <f t="shared" si="157"/>
        <v>693680.24000000011</v>
      </c>
      <c r="T53" s="59">
        <f t="shared" si="158"/>
        <v>2293168.1373920003</v>
      </c>
      <c r="U53" s="57">
        <f t="shared" si="159"/>
        <v>678091.92</v>
      </c>
      <c r="V53" s="59">
        <f t="shared" si="160"/>
        <v>2241636.269136</v>
      </c>
      <c r="W53" s="60">
        <f t="shared" si="161"/>
        <v>662503.60000000009</v>
      </c>
      <c r="X53" s="59">
        <f t="shared" si="162"/>
        <v>2190104.4008800006</v>
      </c>
      <c r="Y53" s="57">
        <f t="shared" si="163"/>
        <v>646915.28</v>
      </c>
      <c r="Z53" s="59">
        <f t="shared" si="164"/>
        <v>2138572.5326240002</v>
      </c>
      <c r="AA53" s="55">
        <f t="shared" si="165"/>
        <v>631326.96000000008</v>
      </c>
      <c r="AB53" s="59">
        <f t="shared" si="166"/>
        <v>2087040.6643680003</v>
      </c>
      <c r="AC53" s="60">
        <f t="shared" si="167"/>
        <v>615738.64</v>
      </c>
      <c r="AD53" s="59">
        <f t="shared" si="168"/>
        <v>2035508.796112</v>
      </c>
      <c r="AE53" s="60">
        <f t="shared" si="169"/>
        <v>600150.32000000007</v>
      </c>
      <c r="AF53" s="59">
        <f t="shared" si="170"/>
        <v>1983976.9278560004</v>
      </c>
      <c r="AG53" s="60">
        <f t="shared" si="171"/>
        <v>584562</v>
      </c>
      <c r="AH53" s="59">
        <f t="shared" si="172"/>
        <v>1932445.0596</v>
      </c>
      <c r="AI53" s="55">
        <f t="shared" si="173"/>
        <v>568973.67999999993</v>
      </c>
      <c r="AJ53" s="59">
        <f t="shared" si="174"/>
        <v>1880913.1913439999</v>
      </c>
      <c r="AK53" s="60">
        <f t="shared" si="175"/>
        <v>553385.36</v>
      </c>
      <c r="AL53" s="59">
        <f t="shared" si="176"/>
        <v>1829381.3230880001</v>
      </c>
      <c r="AM53" s="60">
        <f t="shared" si="177"/>
        <v>537797.03999999992</v>
      </c>
      <c r="AN53" s="59">
        <f t="shared" si="178"/>
        <v>1777849.4548319997</v>
      </c>
      <c r="AO53" s="60">
        <f t="shared" si="179"/>
        <v>522208.71999999991</v>
      </c>
      <c r="AP53" s="59">
        <f t="shared" si="180"/>
        <v>1726317.5865759999</v>
      </c>
      <c r="AQ53" s="60">
        <f t="shared" si="181"/>
        <v>506620.39999999991</v>
      </c>
      <c r="AR53" s="59">
        <f t="shared" si="182"/>
        <v>1674785.7183199998</v>
      </c>
      <c r="AS53" s="55">
        <f t="shared" si="183"/>
        <v>491032.0799999999</v>
      </c>
      <c r="AT53" s="59">
        <f t="shared" si="184"/>
        <v>1623253.8500639996</v>
      </c>
      <c r="AU53" s="60">
        <f t="shared" si="185"/>
        <v>475443.75999999989</v>
      </c>
      <c r="AV53" s="59">
        <f t="shared" si="186"/>
        <v>1571721.9818079998</v>
      </c>
      <c r="AW53" s="60">
        <f t="shared" si="187"/>
        <v>459855.43999999989</v>
      </c>
      <c r="AX53" s="59">
        <f t="shared" si="188"/>
        <v>1520190.1135519997</v>
      </c>
      <c r="AY53" s="55">
        <f t="shared" si="189"/>
        <v>444267.11999999988</v>
      </c>
      <c r="AZ53" s="59">
        <f t="shared" si="190"/>
        <v>1468658.2452959996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0"/>
        <v>0.91</v>
      </c>
      <c r="BH53" s="55">
        <f t="shared" si="280"/>
        <v>0.89</v>
      </c>
      <c r="BI53" s="55">
        <f t="shared" si="280"/>
        <v>0.87</v>
      </c>
      <c r="BJ53" s="55">
        <f t="shared" si="280"/>
        <v>0.85</v>
      </c>
      <c r="BK53" s="55">
        <f t="shared" si="280"/>
        <v>0.83</v>
      </c>
      <c r="BL53" s="55">
        <f t="shared" si="280"/>
        <v>0.80999999999999994</v>
      </c>
      <c r="BM53" s="55">
        <f t="shared" si="280"/>
        <v>0.78999999999999992</v>
      </c>
      <c r="BN53" s="55">
        <f t="shared" si="280"/>
        <v>0.76999999999999991</v>
      </c>
      <c r="BO53" s="55">
        <f t="shared" si="280"/>
        <v>0.74999999999999989</v>
      </c>
      <c r="BP53" s="55">
        <f t="shared" si="280"/>
        <v>0.72999999999999987</v>
      </c>
      <c r="BQ53" s="55">
        <f t="shared" si="280"/>
        <v>0.70999999999999985</v>
      </c>
      <c r="BR53" s="55">
        <f t="shared" si="280"/>
        <v>0.68999999999999984</v>
      </c>
      <c r="BS53" s="55">
        <f t="shared" si="280"/>
        <v>0.66999999999999982</v>
      </c>
      <c r="BT53" s="55">
        <f t="shared" si="280"/>
        <v>0.6499999999999998</v>
      </c>
      <c r="BU53" s="55">
        <f t="shared" si="280"/>
        <v>0.62999999999999978</v>
      </c>
      <c r="BV53" s="55">
        <f t="shared" si="280"/>
        <v>0.60999999999999976</v>
      </c>
      <c r="BW53" s="55">
        <f t="shared" si="280"/>
        <v>0.58999999999999975</v>
      </c>
      <c r="BX53" s="55">
        <f t="shared" si="280"/>
        <v>0.56999999999999973</v>
      </c>
      <c r="BZ53" s="55">
        <f t="shared" si="88"/>
        <v>709268.56000000017</v>
      </c>
      <c r="CA53" s="55">
        <f t="shared" si="89"/>
        <v>709268.56000000017</v>
      </c>
      <c r="CB53" s="59">
        <f t="shared" si="191"/>
        <v>2344700.0056480006</v>
      </c>
      <c r="CC53" s="55">
        <f t="shared" si="192"/>
        <v>687990.50320000015</v>
      </c>
      <c r="CD53" s="59">
        <f t="shared" si="193"/>
        <v>2274359.0054785605</v>
      </c>
      <c r="CE53" s="55">
        <f t="shared" si="194"/>
        <v>673805.1320000001</v>
      </c>
      <c r="CF53" s="59">
        <f t="shared" si="195"/>
        <v>2227465.0053656003</v>
      </c>
      <c r="CG53" s="55">
        <f t="shared" si="196"/>
        <v>659619.76080000016</v>
      </c>
      <c r="CH53" s="59">
        <f t="shared" si="197"/>
        <v>2180571.0052526407</v>
      </c>
      <c r="CI53" s="57">
        <f t="shared" si="198"/>
        <v>645434.38960000023</v>
      </c>
      <c r="CJ53" s="59">
        <f t="shared" si="199"/>
        <v>2133677.0051396806</v>
      </c>
      <c r="CK53" s="55">
        <f t="shared" si="200"/>
        <v>631249.01840000018</v>
      </c>
      <c r="CL53" s="59">
        <f t="shared" si="201"/>
        <v>2086783.0050267207</v>
      </c>
      <c r="CM53" s="57">
        <f t="shared" si="202"/>
        <v>617063.64720000012</v>
      </c>
      <c r="CN53" s="59">
        <f t="shared" si="203"/>
        <v>2039889.0049137603</v>
      </c>
      <c r="CO53" s="60">
        <f t="shared" si="204"/>
        <v>602878.27600000019</v>
      </c>
      <c r="CP53" s="59">
        <f t="shared" si="205"/>
        <v>1992995.0048008007</v>
      </c>
      <c r="CQ53" s="57">
        <f t="shared" si="206"/>
        <v>588692.90480000013</v>
      </c>
      <c r="CR53" s="59">
        <f t="shared" si="207"/>
        <v>1946101.0046878406</v>
      </c>
      <c r="CS53" s="55">
        <f t="shared" si="208"/>
        <v>574507.53360000008</v>
      </c>
      <c r="CT53" s="59">
        <f t="shared" si="209"/>
        <v>1899207.0045748802</v>
      </c>
      <c r="CU53" s="60">
        <f t="shared" si="210"/>
        <v>560322.16240000003</v>
      </c>
      <c r="CV53" s="59">
        <f t="shared" si="211"/>
        <v>1852313.0044619201</v>
      </c>
      <c r="CW53" s="60">
        <f t="shared" si="212"/>
        <v>546136.79120000009</v>
      </c>
      <c r="CX53" s="59">
        <f t="shared" si="213"/>
        <v>1805419.0043489602</v>
      </c>
      <c r="CY53" s="60">
        <f t="shared" si="214"/>
        <v>531951.42000000004</v>
      </c>
      <c r="CZ53" s="59">
        <f t="shared" si="215"/>
        <v>1758525.0042360001</v>
      </c>
      <c r="DA53" s="55">
        <f t="shared" si="216"/>
        <v>517766.04880000005</v>
      </c>
      <c r="DB53" s="59">
        <f t="shared" si="217"/>
        <v>1711631.0041230402</v>
      </c>
      <c r="DC53" s="60">
        <f t="shared" si="218"/>
        <v>503580.6776</v>
      </c>
      <c r="DD53" s="59">
        <f t="shared" si="219"/>
        <v>1664737.0040100801</v>
      </c>
      <c r="DE53" s="60">
        <f t="shared" si="220"/>
        <v>489395.3064</v>
      </c>
      <c r="DF53" s="59">
        <f t="shared" si="221"/>
        <v>1617843.00389712</v>
      </c>
      <c r="DG53" s="60">
        <f t="shared" si="222"/>
        <v>475209.93520000001</v>
      </c>
      <c r="DH53" s="59">
        <f t="shared" si="223"/>
        <v>1570949.0037841601</v>
      </c>
      <c r="DI53" s="60">
        <f t="shared" si="224"/>
        <v>461024.56399999995</v>
      </c>
      <c r="DJ53" s="59">
        <f t="shared" si="225"/>
        <v>1524055.0036711998</v>
      </c>
      <c r="DK53" s="55">
        <f t="shared" si="226"/>
        <v>446839.19279999996</v>
      </c>
      <c r="DL53" s="59">
        <f t="shared" si="227"/>
        <v>1477161.0035582399</v>
      </c>
      <c r="DM53" s="60">
        <f t="shared" si="228"/>
        <v>432653.82159999997</v>
      </c>
      <c r="DN53" s="59">
        <f t="shared" si="229"/>
        <v>1430267.00344528</v>
      </c>
      <c r="DO53" s="60">
        <f t="shared" si="230"/>
        <v>418468.45039999991</v>
      </c>
      <c r="DP53" s="59">
        <f t="shared" si="231"/>
        <v>1383373.0033323197</v>
      </c>
      <c r="DQ53" s="55">
        <f t="shared" si="232"/>
        <v>404283.07919999992</v>
      </c>
      <c r="DR53" s="59">
        <f t="shared" si="233"/>
        <v>1336479.0032193598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3"/>
        <v>0.91</v>
      </c>
      <c r="DZ53" s="55">
        <f t="shared" si="283"/>
        <v>0.89</v>
      </c>
      <c r="EA53" s="55">
        <f t="shared" si="283"/>
        <v>0.87</v>
      </c>
      <c r="EB53" s="55">
        <f t="shared" si="283"/>
        <v>0.85</v>
      </c>
      <c r="EC53" s="55">
        <f t="shared" si="283"/>
        <v>0.83</v>
      </c>
      <c r="ED53" s="55">
        <f t="shared" si="283"/>
        <v>0.80999999999999994</v>
      </c>
      <c r="EE53" s="55">
        <f t="shared" si="283"/>
        <v>0.78999999999999992</v>
      </c>
      <c r="EF53" s="55">
        <f t="shared" si="283"/>
        <v>0.76999999999999991</v>
      </c>
      <c r="EG53" s="55">
        <f t="shared" si="283"/>
        <v>0.74999999999999989</v>
      </c>
      <c r="EH53" s="55">
        <f t="shared" si="283"/>
        <v>0.72999999999999987</v>
      </c>
      <c r="EI53" s="55">
        <f t="shared" si="283"/>
        <v>0.70999999999999985</v>
      </c>
      <c r="EJ53" s="55">
        <f t="shared" si="283"/>
        <v>0.68999999999999984</v>
      </c>
      <c r="EK53" s="55">
        <f t="shared" si="283"/>
        <v>0.66999999999999982</v>
      </c>
      <c r="EL53" s="55">
        <f t="shared" si="283"/>
        <v>0.6499999999999998</v>
      </c>
      <c r="EM53" s="55">
        <f t="shared" si="283"/>
        <v>0.62999999999999978</v>
      </c>
      <c r="EN53" s="55">
        <f t="shared" si="283"/>
        <v>0.60999999999999976</v>
      </c>
      <c r="EO53" s="55">
        <f t="shared" si="283"/>
        <v>0.58999999999999975</v>
      </c>
      <c r="EP53" s="55">
        <f t="shared" si="283"/>
        <v>0.56999999999999973</v>
      </c>
      <c r="ER53" s="55">
        <f t="shared" si="142"/>
        <v>645434.38960000023</v>
      </c>
      <c r="ES53" s="55">
        <f t="shared" si="116"/>
        <v>645434.38960000023</v>
      </c>
      <c r="ET53" s="59">
        <f t="shared" si="235"/>
        <v>2133677.0051396806</v>
      </c>
      <c r="EU53" s="55">
        <f t="shared" si="236"/>
        <v>626071.35791200015</v>
      </c>
      <c r="EV53" s="59">
        <f t="shared" si="237"/>
        <v>2069666.6949854901</v>
      </c>
      <c r="EW53" s="55">
        <f t="shared" si="238"/>
        <v>613162.67012000014</v>
      </c>
      <c r="EX53" s="59">
        <f t="shared" si="239"/>
        <v>2026993.1548826965</v>
      </c>
      <c r="EY53" s="55">
        <f t="shared" si="240"/>
        <v>600253.98232800025</v>
      </c>
      <c r="EZ53" s="59">
        <f t="shared" si="241"/>
        <v>1984319.6147799033</v>
      </c>
      <c r="FA53" s="57">
        <f t="shared" si="242"/>
        <v>587345.29453600023</v>
      </c>
      <c r="FB53" s="59">
        <f t="shared" si="243"/>
        <v>1941646.0746771097</v>
      </c>
      <c r="FC53" s="55">
        <f t="shared" si="244"/>
        <v>574436.60674400022</v>
      </c>
      <c r="FD53" s="59">
        <f t="shared" si="245"/>
        <v>1898972.5345743159</v>
      </c>
      <c r="FE53" s="57">
        <f t="shared" si="246"/>
        <v>561527.91895200021</v>
      </c>
      <c r="FF53" s="59">
        <f t="shared" si="247"/>
        <v>1856298.9944715223</v>
      </c>
      <c r="FG53" s="60">
        <f t="shared" si="248"/>
        <v>548619.2311600002</v>
      </c>
      <c r="FH53" s="59">
        <f t="shared" si="249"/>
        <v>1813625.4543687287</v>
      </c>
      <c r="FI53" s="57">
        <f t="shared" si="250"/>
        <v>535710.54336800019</v>
      </c>
      <c r="FJ53" s="59">
        <f t="shared" si="251"/>
        <v>1770951.9142659351</v>
      </c>
      <c r="FK53" s="55">
        <f t="shared" si="252"/>
        <v>522801.85557600018</v>
      </c>
      <c r="FL53" s="59">
        <f t="shared" si="253"/>
        <v>1728278.3741631415</v>
      </c>
      <c r="FM53" s="60">
        <f t="shared" si="254"/>
        <v>509893.16778400011</v>
      </c>
      <c r="FN53" s="59">
        <f t="shared" si="255"/>
        <v>1685604.8340603476</v>
      </c>
      <c r="FO53" s="60">
        <f t="shared" si="256"/>
        <v>496984.4799920001</v>
      </c>
      <c r="FP53" s="59">
        <f t="shared" si="257"/>
        <v>1642931.293957554</v>
      </c>
      <c r="FQ53" s="60">
        <f t="shared" si="258"/>
        <v>484075.79220000008</v>
      </c>
      <c r="FR53" s="59">
        <f t="shared" si="259"/>
        <v>1600257.7538547602</v>
      </c>
      <c r="FS53" s="55">
        <f t="shared" si="260"/>
        <v>471167.10440800007</v>
      </c>
      <c r="FT53" s="59">
        <f t="shared" si="261"/>
        <v>1557584.2137519666</v>
      </c>
      <c r="FU53" s="60">
        <f t="shared" si="262"/>
        <v>458258.41661600006</v>
      </c>
      <c r="FV53" s="59">
        <f t="shared" si="263"/>
        <v>1514910.673649173</v>
      </c>
      <c r="FW53" s="60">
        <f t="shared" si="264"/>
        <v>445349.72882400005</v>
      </c>
      <c r="FX53" s="59">
        <f t="shared" si="265"/>
        <v>1472237.1335463794</v>
      </c>
      <c r="FY53" s="60">
        <f t="shared" si="266"/>
        <v>432441.04103200004</v>
      </c>
      <c r="FZ53" s="59">
        <f t="shared" si="267"/>
        <v>1429563.5934435858</v>
      </c>
      <c r="GA53" s="60">
        <f t="shared" si="268"/>
        <v>419532.35324000003</v>
      </c>
      <c r="GB53" s="59">
        <f t="shared" si="269"/>
        <v>1386890.0533407922</v>
      </c>
      <c r="GC53" s="55">
        <f t="shared" si="270"/>
        <v>406623.66544800001</v>
      </c>
      <c r="GD53" s="59">
        <f t="shared" si="271"/>
        <v>1344216.5132379986</v>
      </c>
      <c r="GE53" s="60">
        <f t="shared" si="272"/>
        <v>393714.977656</v>
      </c>
      <c r="GF53" s="59">
        <f t="shared" si="273"/>
        <v>1301542.9731352048</v>
      </c>
      <c r="GG53" s="60">
        <f t="shared" si="274"/>
        <v>380806.28986399999</v>
      </c>
      <c r="GH53" s="59">
        <f t="shared" si="275"/>
        <v>1258869.4330324112</v>
      </c>
      <c r="GI53" s="55">
        <f t="shared" si="276"/>
        <v>367897.60207199998</v>
      </c>
      <c r="GJ53" s="59">
        <f t="shared" si="277"/>
        <v>1216195.8929296175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4"/>
        <v>0.91</v>
      </c>
      <c r="GR53" s="55">
        <f t="shared" si="284"/>
        <v>0.89</v>
      </c>
      <c r="GS53" s="55">
        <f t="shared" si="284"/>
        <v>0.87</v>
      </c>
      <c r="GT53" s="55">
        <f t="shared" si="284"/>
        <v>0.85</v>
      </c>
      <c r="GU53" s="55">
        <f t="shared" si="284"/>
        <v>0.83</v>
      </c>
      <c r="GV53" s="55">
        <f t="shared" si="284"/>
        <v>0.80999999999999994</v>
      </c>
      <c r="GW53" s="55">
        <f t="shared" si="284"/>
        <v>0.78999999999999992</v>
      </c>
      <c r="GX53" s="55">
        <f t="shared" si="284"/>
        <v>0.76999999999999991</v>
      </c>
      <c r="GY53" s="55">
        <f t="shared" si="284"/>
        <v>0.74999999999999989</v>
      </c>
      <c r="GZ53" s="55">
        <f t="shared" si="284"/>
        <v>0.72999999999999987</v>
      </c>
      <c r="HA53" s="55">
        <f t="shared" si="284"/>
        <v>0.70999999999999985</v>
      </c>
      <c r="HB53" s="55">
        <f t="shared" si="284"/>
        <v>0.68999999999999984</v>
      </c>
      <c r="HC53" s="55">
        <f t="shared" si="284"/>
        <v>0.66999999999999982</v>
      </c>
      <c r="HD53" s="55">
        <f t="shared" si="284"/>
        <v>0.6499999999999998</v>
      </c>
      <c r="HE53" s="55">
        <f t="shared" si="284"/>
        <v>0.62999999999999978</v>
      </c>
      <c r="HF53" s="55">
        <f t="shared" si="284"/>
        <v>0.60999999999999976</v>
      </c>
      <c r="HG53" s="55">
        <f t="shared" si="284"/>
        <v>0.58999999999999975</v>
      </c>
      <c r="HH53" s="55">
        <f t="shared" si="284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1057270</v>
      </c>
      <c r="E54" s="39">
        <f>SUM(E34:E53)</f>
        <v>3495040</v>
      </c>
      <c r="H54" s="55">
        <f t="shared" si="61"/>
        <v>3844544.0000000005</v>
      </c>
      <c r="I54" s="55">
        <f t="shared" si="62"/>
        <v>3844544.0000000005</v>
      </c>
      <c r="J54" s="59">
        <f t="shared" si="63"/>
        <v>12709293.555200001</v>
      </c>
      <c r="K54" s="55">
        <f t="shared" si="149"/>
        <v>3729207.68</v>
      </c>
      <c r="L54" s="59">
        <f t="shared" si="150"/>
        <v>12328014.748544</v>
      </c>
      <c r="M54" s="55">
        <f t="shared" si="151"/>
        <v>3652316.8000000003</v>
      </c>
      <c r="N54" s="59">
        <f t="shared" si="152"/>
        <v>12073828.877440002</v>
      </c>
      <c r="O54" s="55">
        <f t="shared" si="153"/>
        <v>3575425.9200000004</v>
      </c>
      <c r="P54" s="59">
        <f t="shared" si="154"/>
        <v>11819643.006336002</v>
      </c>
      <c r="Q54" s="57">
        <f t="shared" si="155"/>
        <v>3498535.0400000005</v>
      </c>
      <c r="R54" s="59">
        <f t="shared" si="156"/>
        <v>11565457.135232002</v>
      </c>
      <c r="S54" s="55">
        <f t="shared" si="157"/>
        <v>3421644.1600000006</v>
      </c>
      <c r="T54" s="59">
        <f t="shared" si="158"/>
        <v>11311271.264128001</v>
      </c>
      <c r="U54" s="57">
        <f t="shared" si="159"/>
        <v>3344753.2800000003</v>
      </c>
      <c r="V54" s="59">
        <f t="shared" si="160"/>
        <v>11057085.393024001</v>
      </c>
      <c r="W54" s="60">
        <f t="shared" si="161"/>
        <v>3267862.4000000004</v>
      </c>
      <c r="X54" s="59">
        <f t="shared" si="162"/>
        <v>10802899.521920001</v>
      </c>
      <c r="Y54" s="57">
        <f t="shared" si="163"/>
        <v>3190971.52</v>
      </c>
      <c r="Z54" s="59">
        <f t="shared" si="164"/>
        <v>10548713.650816001</v>
      </c>
      <c r="AA54" s="55">
        <f t="shared" si="165"/>
        <v>3114080.64</v>
      </c>
      <c r="AB54" s="59">
        <f t="shared" si="166"/>
        <v>10294527.779712001</v>
      </c>
      <c r="AC54" s="60">
        <f t="shared" si="167"/>
        <v>3037189.7600000002</v>
      </c>
      <c r="AD54" s="59">
        <f t="shared" si="168"/>
        <v>10040341.908608001</v>
      </c>
      <c r="AE54" s="60">
        <f t="shared" si="169"/>
        <v>2960298.88</v>
      </c>
      <c r="AF54" s="59">
        <f t="shared" si="170"/>
        <v>9786156.0375040006</v>
      </c>
      <c r="AG54" s="60">
        <f t="shared" si="171"/>
        <v>2883408</v>
      </c>
      <c r="AH54" s="59">
        <f t="shared" si="172"/>
        <v>9531970.1664000005</v>
      </c>
      <c r="AI54" s="55">
        <f t="shared" si="173"/>
        <v>2806517.1199999996</v>
      </c>
      <c r="AJ54" s="59">
        <f t="shared" si="174"/>
        <v>9277784.2952959985</v>
      </c>
      <c r="AK54" s="60">
        <f t="shared" si="175"/>
        <v>2729626.2399999998</v>
      </c>
      <c r="AL54" s="59">
        <f t="shared" si="176"/>
        <v>9023598.4241920002</v>
      </c>
      <c r="AM54" s="60">
        <f t="shared" si="177"/>
        <v>2652735.36</v>
      </c>
      <c r="AN54" s="59">
        <f t="shared" si="178"/>
        <v>8769412.553088</v>
      </c>
      <c r="AO54" s="60">
        <f t="shared" si="179"/>
        <v>2575844.4799999995</v>
      </c>
      <c r="AP54" s="59">
        <f t="shared" si="180"/>
        <v>8515226.681983998</v>
      </c>
      <c r="AQ54" s="60">
        <f t="shared" si="181"/>
        <v>2498953.5999999996</v>
      </c>
      <c r="AR54" s="59">
        <f t="shared" si="182"/>
        <v>8261040.8108799988</v>
      </c>
      <c r="AS54" s="55">
        <f t="shared" si="183"/>
        <v>2422062.7199999993</v>
      </c>
      <c r="AT54" s="59">
        <f t="shared" si="184"/>
        <v>8006854.9397759978</v>
      </c>
      <c r="AU54" s="60">
        <f t="shared" si="185"/>
        <v>2345171.8399999994</v>
      </c>
      <c r="AV54" s="59">
        <f t="shared" si="186"/>
        <v>7752669.0686719986</v>
      </c>
      <c r="AW54" s="60">
        <f t="shared" si="187"/>
        <v>2268280.9599999995</v>
      </c>
      <c r="AX54" s="59">
        <f t="shared" si="188"/>
        <v>7498483.1975679984</v>
      </c>
      <c r="AY54" s="55">
        <f t="shared" si="189"/>
        <v>2191390.0799999991</v>
      </c>
      <c r="AZ54" s="59">
        <f t="shared" si="190"/>
        <v>7244297.3264639974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0"/>
        <v>0.91</v>
      </c>
      <c r="BH54" s="55">
        <f t="shared" si="280"/>
        <v>0.89</v>
      </c>
      <c r="BI54" s="55">
        <f t="shared" si="280"/>
        <v>0.87</v>
      </c>
      <c r="BJ54" s="55">
        <f t="shared" si="280"/>
        <v>0.85</v>
      </c>
      <c r="BK54" s="55">
        <f t="shared" si="280"/>
        <v>0.83</v>
      </c>
      <c r="BL54" s="55">
        <f t="shared" si="280"/>
        <v>0.80999999999999994</v>
      </c>
      <c r="BM54" s="55">
        <f t="shared" si="280"/>
        <v>0.78999999999999992</v>
      </c>
      <c r="BN54" s="55">
        <f t="shared" si="280"/>
        <v>0.76999999999999991</v>
      </c>
      <c r="BO54" s="55">
        <f t="shared" si="280"/>
        <v>0.74999999999999989</v>
      </c>
      <c r="BP54" s="55">
        <f t="shared" si="280"/>
        <v>0.72999999999999987</v>
      </c>
      <c r="BQ54" s="55">
        <f t="shared" si="280"/>
        <v>0.70999999999999985</v>
      </c>
      <c r="BR54" s="55">
        <f t="shared" si="280"/>
        <v>0.68999999999999984</v>
      </c>
      <c r="BS54" s="55">
        <f t="shared" si="280"/>
        <v>0.66999999999999982</v>
      </c>
      <c r="BT54" s="55">
        <f t="shared" si="280"/>
        <v>0.6499999999999998</v>
      </c>
      <c r="BU54" s="55">
        <f t="shared" si="280"/>
        <v>0.62999999999999978</v>
      </c>
      <c r="BV54" s="55">
        <f t="shared" si="280"/>
        <v>0.60999999999999976</v>
      </c>
      <c r="BW54" s="55">
        <f t="shared" si="280"/>
        <v>0.58999999999999975</v>
      </c>
      <c r="BX54" s="55">
        <f t="shared" si="280"/>
        <v>0.56999999999999973</v>
      </c>
      <c r="BZ54" s="55">
        <f t="shared" si="88"/>
        <v>3498535.0400000005</v>
      </c>
      <c r="CA54" s="55">
        <f t="shared" si="89"/>
        <v>3498535.0400000005</v>
      </c>
      <c r="CB54" s="59">
        <f t="shared" si="191"/>
        <v>11565457.135232002</v>
      </c>
      <c r="CC54" s="55">
        <f t="shared" si="192"/>
        <v>3393578.9888000004</v>
      </c>
      <c r="CD54" s="59">
        <f t="shared" si="193"/>
        <v>11218493.421175042</v>
      </c>
      <c r="CE54" s="55">
        <f t="shared" si="194"/>
        <v>3323608.2880000002</v>
      </c>
      <c r="CF54" s="59">
        <f t="shared" si="195"/>
        <v>10987184.278470401</v>
      </c>
      <c r="CG54" s="55">
        <f t="shared" si="196"/>
        <v>3253637.5872000004</v>
      </c>
      <c r="CH54" s="59">
        <f t="shared" si="197"/>
        <v>10755875.135765761</v>
      </c>
      <c r="CI54" s="57">
        <f t="shared" si="198"/>
        <v>3183666.8864000007</v>
      </c>
      <c r="CJ54" s="59">
        <f t="shared" si="199"/>
        <v>10524565.993061122</v>
      </c>
      <c r="CK54" s="55">
        <f t="shared" si="200"/>
        <v>3113696.1856000004</v>
      </c>
      <c r="CL54" s="59">
        <f t="shared" si="201"/>
        <v>10293256.850356482</v>
      </c>
      <c r="CM54" s="57">
        <f t="shared" si="202"/>
        <v>3043725.4848000002</v>
      </c>
      <c r="CN54" s="59">
        <f t="shared" si="203"/>
        <v>10061947.707651841</v>
      </c>
      <c r="CO54" s="60">
        <f t="shared" si="204"/>
        <v>2973754.7840000005</v>
      </c>
      <c r="CP54" s="59">
        <f t="shared" si="205"/>
        <v>9830638.5649472009</v>
      </c>
      <c r="CQ54" s="57">
        <f t="shared" si="206"/>
        <v>2903784.0832000002</v>
      </c>
      <c r="CR54" s="59">
        <f t="shared" si="207"/>
        <v>9599329.4222425614</v>
      </c>
      <c r="CS54" s="55">
        <f t="shared" si="208"/>
        <v>2833813.3824</v>
      </c>
      <c r="CT54" s="59">
        <f t="shared" si="209"/>
        <v>9368020.2795379199</v>
      </c>
      <c r="CU54" s="60">
        <f t="shared" si="210"/>
        <v>2763842.6816000002</v>
      </c>
      <c r="CV54" s="59">
        <f t="shared" si="211"/>
        <v>9136711.1368332803</v>
      </c>
      <c r="CW54" s="60">
        <f t="shared" si="212"/>
        <v>2693871.9808</v>
      </c>
      <c r="CX54" s="59">
        <f t="shared" si="213"/>
        <v>8905401.9941286407</v>
      </c>
      <c r="CY54" s="60">
        <f t="shared" si="214"/>
        <v>2623901.2799999998</v>
      </c>
      <c r="CZ54" s="59">
        <f t="shared" si="215"/>
        <v>8674092.8514239993</v>
      </c>
      <c r="DA54" s="55">
        <f t="shared" si="216"/>
        <v>2553930.5792</v>
      </c>
      <c r="DB54" s="59">
        <f t="shared" si="217"/>
        <v>8442783.7087193597</v>
      </c>
      <c r="DC54" s="60">
        <f t="shared" si="218"/>
        <v>2483959.8783999998</v>
      </c>
      <c r="DD54" s="59">
        <f t="shared" si="219"/>
        <v>8211474.5660147192</v>
      </c>
      <c r="DE54" s="60">
        <f t="shared" si="220"/>
        <v>2413989.1775999996</v>
      </c>
      <c r="DF54" s="59">
        <f t="shared" si="221"/>
        <v>7980165.4233100787</v>
      </c>
      <c r="DG54" s="60">
        <f t="shared" si="222"/>
        <v>2344018.4767999998</v>
      </c>
      <c r="DH54" s="59">
        <f t="shared" si="223"/>
        <v>7748856.28060544</v>
      </c>
      <c r="DI54" s="60">
        <f t="shared" si="224"/>
        <v>2274047.7759999996</v>
      </c>
      <c r="DJ54" s="59">
        <f t="shared" si="225"/>
        <v>7517547.1379007986</v>
      </c>
      <c r="DK54" s="55">
        <f t="shared" si="226"/>
        <v>2204077.0751999994</v>
      </c>
      <c r="DL54" s="59">
        <f t="shared" si="227"/>
        <v>7286237.9951961581</v>
      </c>
      <c r="DM54" s="60">
        <f t="shared" si="228"/>
        <v>2134106.3743999996</v>
      </c>
      <c r="DN54" s="59">
        <f t="shared" si="229"/>
        <v>7054928.8524915185</v>
      </c>
      <c r="DO54" s="60">
        <f t="shared" si="230"/>
        <v>2064135.6735999994</v>
      </c>
      <c r="DP54" s="59">
        <f t="shared" si="231"/>
        <v>6823619.709786878</v>
      </c>
      <c r="DQ54" s="55">
        <f t="shared" si="232"/>
        <v>1994164.9727999994</v>
      </c>
      <c r="DR54" s="59">
        <f t="shared" si="233"/>
        <v>6592310.5670822384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3"/>
        <v>0.91</v>
      </c>
      <c r="DZ54" s="55">
        <f t="shared" si="283"/>
        <v>0.89</v>
      </c>
      <c r="EA54" s="55">
        <f t="shared" si="283"/>
        <v>0.87</v>
      </c>
      <c r="EB54" s="55">
        <f t="shared" si="283"/>
        <v>0.85</v>
      </c>
      <c r="EC54" s="55">
        <f t="shared" si="283"/>
        <v>0.83</v>
      </c>
      <c r="ED54" s="55">
        <f t="shared" si="283"/>
        <v>0.80999999999999994</v>
      </c>
      <c r="EE54" s="55">
        <f t="shared" si="283"/>
        <v>0.78999999999999992</v>
      </c>
      <c r="EF54" s="55">
        <f t="shared" si="283"/>
        <v>0.76999999999999991</v>
      </c>
      <c r="EG54" s="55">
        <f t="shared" si="283"/>
        <v>0.74999999999999989</v>
      </c>
      <c r="EH54" s="55">
        <f t="shared" si="283"/>
        <v>0.72999999999999987</v>
      </c>
      <c r="EI54" s="55">
        <f t="shared" si="283"/>
        <v>0.70999999999999985</v>
      </c>
      <c r="EJ54" s="55">
        <f t="shared" si="283"/>
        <v>0.68999999999999984</v>
      </c>
      <c r="EK54" s="55">
        <f t="shared" si="283"/>
        <v>0.66999999999999982</v>
      </c>
      <c r="EL54" s="55">
        <f t="shared" si="283"/>
        <v>0.6499999999999998</v>
      </c>
      <c r="EM54" s="55">
        <f t="shared" si="283"/>
        <v>0.62999999999999978</v>
      </c>
      <c r="EN54" s="55">
        <f t="shared" si="283"/>
        <v>0.60999999999999976</v>
      </c>
      <c r="EO54" s="55">
        <f t="shared" si="283"/>
        <v>0.58999999999999975</v>
      </c>
      <c r="EP54" s="55">
        <f t="shared" si="283"/>
        <v>0.56999999999999973</v>
      </c>
      <c r="ER54" s="55">
        <f t="shared" si="142"/>
        <v>3183666.8864000007</v>
      </c>
      <c r="ES54" s="55">
        <f t="shared" si="116"/>
        <v>3183666.8864000007</v>
      </c>
      <c r="ET54" s="59">
        <f t="shared" si="235"/>
        <v>10524565.993061122</v>
      </c>
      <c r="EU54" s="55">
        <f t="shared" si="236"/>
        <v>3088156.8798080008</v>
      </c>
      <c r="EV54" s="59">
        <f t="shared" si="237"/>
        <v>10208829.013269288</v>
      </c>
      <c r="EW54" s="55">
        <f t="shared" si="238"/>
        <v>3024483.5420800005</v>
      </c>
      <c r="EX54" s="59">
        <f t="shared" si="239"/>
        <v>9998337.6934080664</v>
      </c>
      <c r="EY54" s="55">
        <f t="shared" si="240"/>
        <v>2960810.2043520007</v>
      </c>
      <c r="EZ54" s="59">
        <f t="shared" si="241"/>
        <v>9787846.3735468443</v>
      </c>
      <c r="FA54" s="57">
        <f t="shared" si="242"/>
        <v>2897136.8666240005</v>
      </c>
      <c r="FB54" s="59">
        <f t="shared" si="243"/>
        <v>9577355.0536856204</v>
      </c>
      <c r="FC54" s="55">
        <f t="shared" si="244"/>
        <v>2833463.5288960007</v>
      </c>
      <c r="FD54" s="59">
        <f t="shared" si="245"/>
        <v>9366863.7338244002</v>
      </c>
      <c r="FE54" s="57">
        <f t="shared" si="246"/>
        <v>2769790.1911680005</v>
      </c>
      <c r="FF54" s="59">
        <f t="shared" si="247"/>
        <v>9156372.4139631763</v>
      </c>
      <c r="FG54" s="60">
        <f t="shared" si="248"/>
        <v>2706116.8534400007</v>
      </c>
      <c r="FH54" s="59">
        <f t="shared" si="249"/>
        <v>8945881.0941019543</v>
      </c>
      <c r="FI54" s="57">
        <f t="shared" si="250"/>
        <v>2642443.5157120004</v>
      </c>
      <c r="FJ54" s="59">
        <f t="shared" si="251"/>
        <v>8735389.7742407303</v>
      </c>
      <c r="FK54" s="55">
        <f t="shared" si="252"/>
        <v>2578770.1779840002</v>
      </c>
      <c r="FL54" s="59">
        <f t="shared" si="253"/>
        <v>8524898.4543795083</v>
      </c>
      <c r="FM54" s="60">
        <f t="shared" si="254"/>
        <v>2515096.8402560004</v>
      </c>
      <c r="FN54" s="59">
        <f t="shared" si="255"/>
        <v>8314407.1345182862</v>
      </c>
      <c r="FO54" s="60">
        <f t="shared" si="256"/>
        <v>2451423.5025280002</v>
      </c>
      <c r="FP54" s="59">
        <f t="shared" si="257"/>
        <v>8103915.8146570632</v>
      </c>
      <c r="FQ54" s="60">
        <f t="shared" si="258"/>
        <v>2387750.1647999999</v>
      </c>
      <c r="FR54" s="59">
        <f t="shared" si="259"/>
        <v>7893424.4947958402</v>
      </c>
      <c r="FS54" s="55">
        <f t="shared" si="260"/>
        <v>2324076.8270720001</v>
      </c>
      <c r="FT54" s="59">
        <f t="shared" si="261"/>
        <v>7682933.1749346182</v>
      </c>
      <c r="FU54" s="60">
        <f t="shared" si="262"/>
        <v>2260403.4893439999</v>
      </c>
      <c r="FV54" s="59">
        <f t="shared" si="263"/>
        <v>7472441.8550733952</v>
      </c>
      <c r="FW54" s="60">
        <f t="shared" si="264"/>
        <v>2196730.1516160001</v>
      </c>
      <c r="FX54" s="59">
        <f t="shared" si="265"/>
        <v>7261950.5352121731</v>
      </c>
      <c r="FY54" s="60">
        <f t="shared" si="266"/>
        <v>2133056.8138879999</v>
      </c>
      <c r="FZ54" s="59">
        <f t="shared" si="267"/>
        <v>7051459.2153509501</v>
      </c>
      <c r="GA54" s="60">
        <f t="shared" si="268"/>
        <v>2069383.4761599998</v>
      </c>
      <c r="GB54" s="59">
        <f t="shared" si="269"/>
        <v>6840967.8954897281</v>
      </c>
      <c r="GC54" s="55">
        <f t="shared" si="270"/>
        <v>2005710.1384319998</v>
      </c>
      <c r="GD54" s="59">
        <f t="shared" si="271"/>
        <v>6630476.5756285051</v>
      </c>
      <c r="GE54" s="60">
        <f t="shared" si="272"/>
        <v>1942036.8007039996</v>
      </c>
      <c r="GF54" s="59">
        <f t="shared" si="273"/>
        <v>6419985.2557672821</v>
      </c>
      <c r="GG54" s="60">
        <f t="shared" si="274"/>
        <v>1878363.4629759996</v>
      </c>
      <c r="GH54" s="59">
        <f t="shared" si="275"/>
        <v>6209493.9359060591</v>
      </c>
      <c r="GI54" s="55">
        <f t="shared" si="276"/>
        <v>1814690.1252479996</v>
      </c>
      <c r="GJ54" s="59">
        <f t="shared" si="277"/>
        <v>5999002.6160448371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4"/>
        <v>0.91</v>
      </c>
      <c r="GR54" s="55">
        <f t="shared" si="284"/>
        <v>0.89</v>
      </c>
      <c r="GS54" s="55">
        <f t="shared" si="284"/>
        <v>0.87</v>
      </c>
      <c r="GT54" s="55">
        <f t="shared" si="284"/>
        <v>0.85</v>
      </c>
      <c r="GU54" s="55">
        <f t="shared" si="284"/>
        <v>0.83</v>
      </c>
      <c r="GV54" s="55">
        <f t="shared" si="284"/>
        <v>0.80999999999999994</v>
      </c>
      <c r="GW54" s="55">
        <f t="shared" si="284"/>
        <v>0.78999999999999992</v>
      </c>
      <c r="GX54" s="55">
        <f t="shared" si="284"/>
        <v>0.76999999999999991</v>
      </c>
      <c r="GY54" s="55">
        <f t="shared" si="284"/>
        <v>0.74999999999999989</v>
      </c>
      <c r="GZ54" s="55">
        <f t="shared" si="284"/>
        <v>0.72999999999999987</v>
      </c>
      <c r="HA54" s="55">
        <f t="shared" si="284"/>
        <v>0.70999999999999985</v>
      </c>
      <c r="HB54" s="55">
        <f t="shared" si="284"/>
        <v>0.68999999999999984</v>
      </c>
      <c r="HC54" s="55">
        <f t="shared" si="284"/>
        <v>0.66999999999999982</v>
      </c>
      <c r="HD54" s="55">
        <f t="shared" si="284"/>
        <v>0.6499999999999998</v>
      </c>
      <c r="HE54" s="55">
        <f t="shared" si="284"/>
        <v>0.62999999999999978</v>
      </c>
      <c r="HF54" s="55">
        <f t="shared" si="284"/>
        <v>0.60999999999999976</v>
      </c>
      <c r="HG54" s="55">
        <f t="shared" si="284"/>
        <v>0.58999999999999975</v>
      </c>
      <c r="HH54" s="55">
        <f t="shared" si="284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85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86">+DW55-0.02</f>
        <v>0.91</v>
      </c>
      <c r="DY55" s="61">
        <f t="shared" si="286"/>
        <v>0.89</v>
      </c>
      <c r="DZ55" s="61">
        <f t="shared" si="286"/>
        <v>0.87</v>
      </c>
      <c r="EA55" s="61">
        <f t="shared" si="286"/>
        <v>0.85</v>
      </c>
      <c r="EB55" s="61">
        <f t="shared" si="286"/>
        <v>0.83</v>
      </c>
      <c r="EC55" s="61">
        <f t="shared" si="286"/>
        <v>0.80999999999999994</v>
      </c>
      <c r="ED55" s="61">
        <f t="shared" si="286"/>
        <v>0.78999999999999992</v>
      </c>
      <c r="EE55" s="61">
        <f t="shared" si="286"/>
        <v>0.76999999999999991</v>
      </c>
      <c r="EF55" s="61">
        <f t="shared" si="286"/>
        <v>0.74999999999999989</v>
      </c>
      <c r="EG55" s="61">
        <f t="shared" si="286"/>
        <v>0.72999999999999987</v>
      </c>
      <c r="EH55" s="61">
        <f t="shared" si="286"/>
        <v>0.70999999999999985</v>
      </c>
      <c r="EI55" s="61">
        <f t="shared" si="286"/>
        <v>0.68999999999999984</v>
      </c>
      <c r="EJ55" s="61">
        <f t="shared" si="286"/>
        <v>0.66999999999999982</v>
      </c>
      <c r="EK55" s="61">
        <f t="shared" si="286"/>
        <v>0.6499999999999998</v>
      </c>
      <c r="EL55" s="61">
        <f t="shared" si="286"/>
        <v>0.62999999999999978</v>
      </c>
      <c r="EM55" s="61">
        <f t="shared" si="286"/>
        <v>0.60999999999999976</v>
      </c>
      <c r="EN55" s="61">
        <f t="shared" si="286"/>
        <v>0.58999999999999975</v>
      </c>
      <c r="EO55" s="61">
        <f t="shared" si="286"/>
        <v>0.56999999999999973</v>
      </c>
      <c r="EQ55" s="61">
        <f t="shared" ref="EQ55:EQ56" si="287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88">+GO55-0.02</f>
        <v>0.91</v>
      </c>
      <c r="GQ55" s="61">
        <f t="shared" si="288"/>
        <v>0.89</v>
      </c>
      <c r="GR55" s="61">
        <f t="shared" si="288"/>
        <v>0.87</v>
      </c>
      <c r="GS55" s="61">
        <f t="shared" si="288"/>
        <v>0.85</v>
      </c>
      <c r="GT55" s="61">
        <f t="shared" si="288"/>
        <v>0.83</v>
      </c>
      <c r="GU55" s="61">
        <f t="shared" si="288"/>
        <v>0.80999999999999994</v>
      </c>
      <c r="GV55" s="61">
        <f t="shared" si="288"/>
        <v>0.78999999999999992</v>
      </c>
      <c r="GW55" s="61">
        <f t="shared" si="288"/>
        <v>0.76999999999999991</v>
      </c>
      <c r="GX55" s="61">
        <f t="shared" si="288"/>
        <v>0.74999999999999989</v>
      </c>
      <c r="GY55" s="61">
        <f t="shared" si="288"/>
        <v>0.72999999999999987</v>
      </c>
      <c r="GZ55" s="61">
        <f t="shared" si="288"/>
        <v>0.70999999999999985</v>
      </c>
      <c r="HA55" s="61">
        <f t="shared" si="288"/>
        <v>0.68999999999999984</v>
      </c>
      <c r="HB55" s="61">
        <f t="shared" si="288"/>
        <v>0.66999999999999982</v>
      </c>
      <c r="HC55" s="61">
        <f t="shared" si="288"/>
        <v>0.6499999999999998</v>
      </c>
      <c r="HD55" s="61">
        <f t="shared" si="288"/>
        <v>0.62999999999999978</v>
      </c>
      <c r="HE55" s="61">
        <f t="shared" si="288"/>
        <v>0.60999999999999976</v>
      </c>
      <c r="HF55" s="61">
        <f t="shared" si="288"/>
        <v>0.58999999999999975</v>
      </c>
      <c r="HG55" s="61">
        <f t="shared" si="288"/>
        <v>0.56999999999999973</v>
      </c>
    </row>
    <row r="56" spans="1:216" s="64" customFormat="1" ht="17.25" thickBot="1" x14ac:dyDescent="0.35">
      <c r="B56" s="64" t="s">
        <v>295</v>
      </c>
      <c r="C56" s="64" t="s">
        <v>296</v>
      </c>
      <c r="D56" s="65" t="s">
        <v>293</v>
      </c>
      <c r="E56" s="65" t="s">
        <v>155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85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86"/>
        <v>0.91</v>
      </c>
      <c r="DY56" s="61">
        <f t="shared" si="286"/>
        <v>0.89</v>
      </c>
      <c r="DZ56" s="61">
        <f t="shared" si="286"/>
        <v>0.87</v>
      </c>
      <c r="EA56" s="61">
        <f t="shared" si="286"/>
        <v>0.85</v>
      </c>
      <c r="EB56" s="61">
        <f t="shared" si="286"/>
        <v>0.83</v>
      </c>
      <c r="EC56" s="61">
        <f t="shared" si="286"/>
        <v>0.80999999999999994</v>
      </c>
      <c r="ED56" s="61">
        <f t="shared" si="286"/>
        <v>0.78999999999999992</v>
      </c>
      <c r="EE56" s="61">
        <f t="shared" si="286"/>
        <v>0.76999999999999991</v>
      </c>
      <c r="EF56" s="61">
        <f t="shared" si="286"/>
        <v>0.74999999999999989</v>
      </c>
      <c r="EG56" s="61">
        <f t="shared" si="286"/>
        <v>0.72999999999999987</v>
      </c>
      <c r="EH56" s="61">
        <f t="shared" si="286"/>
        <v>0.70999999999999985</v>
      </c>
      <c r="EI56" s="61">
        <f t="shared" si="286"/>
        <v>0.68999999999999984</v>
      </c>
      <c r="EJ56" s="61">
        <f t="shared" si="286"/>
        <v>0.66999999999999982</v>
      </c>
      <c r="EK56" s="61">
        <f t="shared" si="286"/>
        <v>0.6499999999999998</v>
      </c>
      <c r="EL56" s="61">
        <f t="shared" si="286"/>
        <v>0.62999999999999978</v>
      </c>
      <c r="EM56" s="61">
        <f t="shared" si="286"/>
        <v>0.60999999999999976</v>
      </c>
      <c r="EN56" s="61">
        <f t="shared" si="286"/>
        <v>0.58999999999999975</v>
      </c>
      <c r="EO56" s="61">
        <f t="shared" si="286"/>
        <v>0.56999999999999973</v>
      </c>
      <c r="EQ56" s="61">
        <f t="shared" si="287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88"/>
        <v>0.91</v>
      </c>
      <c r="GQ56" s="61">
        <f t="shared" si="288"/>
        <v>0.89</v>
      </c>
      <c r="GR56" s="61">
        <f t="shared" si="288"/>
        <v>0.87</v>
      </c>
      <c r="GS56" s="61">
        <f t="shared" si="288"/>
        <v>0.85</v>
      </c>
      <c r="GT56" s="61">
        <f t="shared" si="288"/>
        <v>0.83</v>
      </c>
      <c r="GU56" s="61">
        <f t="shared" si="288"/>
        <v>0.80999999999999994</v>
      </c>
      <c r="GV56" s="61">
        <f t="shared" si="288"/>
        <v>0.78999999999999992</v>
      </c>
      <c r="GW56" s="61">
        <f t="shared" si="288"/>
        <v>0.76999999999999991</v>
      </c>
      <c r="GX56" s="61">
        <f t="shared" si="288"/>
        <v>0.74999999999999989</v>
      </c>
      <c r="GY56" s="61">
        <f t="shared" si="288"/>
        <v>0.72999999999999987</v>
      </c>
      <c r="GZ56" s="61">
        <f t="shared" si="288"/>
        <v>0.70999999999999985</v>
      </c>
      <c r="HA56" s="61">
        <f t="shared" si="288"/>
        <v>0.68999999999999984</v>
      </c>
      <c r="HB56" s="61">
        <f t="shared" si="288"/>
        <v>0.66999999999999982</v>
      </c>
      <c r="HC56" s="61">
        <f t="shared" si="288"/>
        <v>0.6499999999999998</v>
      </c>
      <c r="HD56" s="61">
        <f t="shared" si="288"/>
        <v>0.62999999999999978</v>
      </c>
      <c r="HE56" s="61">
        <f t="shared" si="288"/>
        <v>0.60999999999999976</v>
      </c>
      <c r="HF56" s="61">
        <f t="shared" si="288"/>
        <v>0.58999999999999975</v>
      </c>
      <c r="HG56" s="61">
        <f t="shared" si="288"/>
        <v>0.56999999999999973</v>
      </c>
    </row>
    <row r="57" spans="1:216" x14ac:dyDescent="0.3">
      <c r="A57" s="2">
        <v>1</v>
      </c>
      <c r="C57" s="38" t="s">
        <v>27</v>
      </c>
      <c r="D57" s="40">
        <f>TRUNC(21330.1503957784,-1)</f>
        <v>21330</v>
      </c>
      <c r="E57" s="70">
        <f>TRUNC(+D57*3.3058,-1)</f>
        <v>70510</v>
      </c>
      <c r="H57" s="55">
        <f t="shared" si="61"/>
        <v>77561</v>
      </c>
      <c r="I57" s="55">
        <f t="shared" si="62"/>
        <v>77561</v>
      </c>
      <c r="J57" s="59">
        <f t="shared" si="63"/>
        <v>256401.1538</v>
      </c>
      <c r="K57" s="55">
        <f t="shared" ref="K57:K60" si="289">+I57*BD57</f>
        <v>75234.17</v>
      </c>
      <c r="L57" s="59">
        <f t="shared" ref="L57:L60" si="290">+K57*3.3058</f>
        <v>248709.119186</v>
      </c>
      <c r="M57" s="55">
        <f t="shared" ref="M57:M60" si="291">+I57*BE57</f>
        <v>73682.95</v>
      </c>
      <c r="N57" s="59">
        <f t="shared" ref="N57:N60" si="292">+M57*3.3058</f>
        <v>243581.09610999998</v>
      </c>
      <c r="O57" s="55">
        <f>+I57*BF57</f>
        <v>72131.73000000001</v>
      </c>
      <c r="P57" s="59">
        <f t="shared" ref="P57:P60" si="293">+O57*3.3058</f>
        <v>238453.07303400003</v>
      </c>
      <c r="Q57" s="57">
        <f>+I57*BG57</f>
        <v>70580.510000000009</v>
      </c>
      <c r="R57" s="59">
        <f t="shared" ref="R57:R60" si="294">+Q57*3.3058</f>
        <v>233325.04995800005</v>
      </c>
      <c r="S57" s="55">
        <f>+I57*BH57</f>
        <v>69029.290000000008</v>
      </c>
      <c r="T57" s="59">
        <f t="shared" ref="T57:T60" si="295">+S57*3.3058</f>
        <v>228197.02688200003</v>
      </c>
      <c r="U57" s="57">
        <f>+I57*BI57</f>
        <v>67478.069999999992</v>
      </c>
      <c r="V57" s="59">
        <f t="shared" ref="V57:V60" si="296">+U57*3.3058</f>
        <v>223069.00380599999</v>
      </c>
      <c r="W57" s="60">
        <f>+I57*BJ57</f>
        <v>65926.849999999991</v>
      </c>
      <c r="X57" s="59">
        <f t="shared" ref="X57:X60" si="297">+W57*3.3058</f>
        <v>217940.98072999998</v>
      </c>
      <c r="Y57" s="57">
        <f>+I57*BK57</f>
        <v>64375.63</v>
      </c>
      <c r="Z57" s="59">
        <f t="shared" ref="Z57:Z60" si="298">+Y57*3.3058</f>
        <v>212812.957654</v>
      </c>
      <c r="AA57" s="55">
        <f>+I57*BL57</f>
        <v>62824.409999999996</v>
      </c>
      <c r="AB57" s="59">
        <f t="shared" ref="AB57:AB60" si="299">+AA57*3.3058</f>
        <v>207684.93457799999</v>
      </c>
      <c r="AC57" s="60">
        <f>+I57*BM57</f>
        <v>61273.189999999995</v>
      </c>
      <c r="AD57" s="59">
        <f t="shared" ref="AD57:AD60" si="300">+AC57*3.3058</f>
        <v>202556.91150199997</v>
      </c>
      <c r="AE57" s="60">
        <f>+I57*BN57</f>
        <v>59721.969999999994</v>
      </c>
      <c r="AF57" s="59">
        <f t="shared" ref="AF57:AF60" si="301">+AE57*3.3058</f>
        <v>197428.88842599999</v>
      </c>
      <c r="AG57" s="60">
        <f>+I57*BO57</f>
        <v>58170.749999999993</v>
      </c>
      <c r="AH57" s="59">
        <f t="shared" ref="AH57:AH60" si="302">+AG57*3.3058</f>
        <v>192300.86534999998</v>
      </c>
      <c r="AI57" s="55">
        <f>+I57*BP57</f>
        <v>56619.529999999992</v>
      </c>
      <c r="AJ57" s="59">
        <f t="shared" ref="AJ57:AJ60" si="303">+AI57*3.3058</f>
        <v>187172.84227399997</v>
      </c>
      <c r="AK57" s="60">
        <f>+I57*BQ57</f>
        <v>55068.30999999999</v>
      </c>
      <c r="AL57" s="59">
        <f t="shared" ref="AL57:AL60" si="304">+AK57*3.3058</f>
        <v>182044.81919799998</v>
      </c>
      <c r="AM57" s="60">
        <f>+I57*BR57</f>
        <v>53517.089999999989</v>
      </c>
      <c r="AN57" s="59">
        <f t="shared" ref="AN57:AN60" si="305">+AM57*3.3058</f>
        <v>176916.79612199997</v>
      </c>
      <c r="AO57" s="60">
        <f>+I57*BS57</f>
        <v>51965.869999999988</v>
      </c>
      <c r="AP57" s="59">
        <f t="shared" ref="AP57:AP60" si="306">+AO57*3.3058</f>
        <v>171788.77304599996</v>
      </c>
      <c r="AQ57" s="60">
        <f>+I57*BT57</f>
        <v>50414.649999999987</v>
      </c>
      <c r="AR57" s="59">
        <f t="shared" ref="AR57:AR60" si="307">+AQ57*3.3058</f>
        <v>166660.74996999995</v>
      </c>
      <c r="AS57" s="55">
        <f>+I57*BU57</f>
        <v>48863.429999999986</v>
      </c>
      <c r="AT57" s="59">
        <f t="shared" ref="AT57:AT60" si="308">+AS57*3.3058</f>
        <v>161532.72689399996</v>
      </c>
      <c r="AU57" s="60">
        <f>+I57*BV57</f>
        <v>47312.209999999985</v>
      </c>
      <c r="AV57" s="59">
        <f t="shared" ref="AV57:AV60" si="309">+AU57*3.3058</f>
        <v>156404.70381799995</v>
      </c>
      <c r="AW57" s="60">
        <f>+I57*BW57</f>
        <v>45760.989999999983</v>
      </c>
      <c r="AX57" s="59">
        <f t="shared" ref="AX57:AX60" si="310">+AW57*3.3058</f>
        <v>151276.68074199994</v>
      </c>
      <c r="AY57" s="55">
        <f>+I57*BX57</f>
        <v>44209.769999999982</v>
      </c>
      <c r="AZ57" s="59">
        <f t="shared" ref="AZ57:AZ60" si="311">+AY57*3.3058</f>
        <v>146148.65766599996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2">+BF57-0.02</f>
        <v>0.91</v>
      </c>
      <c r="BH57" s="55">
        <f t="shared" si="312"/>
        <v>0.89</v>
      </c>
      <c r="BI57" s="55">
        <f t="shared" si="312"/>
        <v>0.87</v>
      </c>
      <c r="BJ57" s="55">
        <f t="shared" si="312"/>
        <v>0.85</v>
      </c>
      <c r="BK57" s="55">
        <f t="shared" si="312"/>
        <v>0.83</v>
      </c>
      <c r="BL57" s="55">
        <f t="shared" si="312"/>
        <v>0.80999999999999994</v>
      </c>
      <c r="BM57" s="55">
        <f t="shared" si="312"/>
        <v>0.78999999999999992</v>
      </c>
      <c r="BN57" s="55">
        <f t="shared" si="312"/>
        <v>0.76999999999999991</v>
      </c>
      <c r="BO57" s="55">
        <f t="shared" si="312"/>
        <v>0.74999999999999989</v>
      </c>
      <c r="BP57" s="55">
        <f t="shared" si="312"/>
        <v>0.72999999999999987</v>
      </c>
      <c r="BQ57" s="55">
        <f t="shared" si="312"/>
        <v>0.70999999999999985</v>
      </c>
      <c r="BR57" s="55">
        <f t="shared" si="312"/>
        <v>0.68999999999999984</v>
      </c>
      <c r="BS57" s="55">
        <f t="shared" si="312"/>
        <v>0.66999999999999982</v>
      </c>
      <c r="BT57" s="55">
        <f t="shared" si="312"/>
        <v>0.6499999999999998</v>
      </c>
      <c r="BU57" s="55">
        <f t="shared" si="312"/>
        <v>0.62999999999999978</v>
      </c>
      <c r="BV57" s="55">
        <f t="shared" si="312"/>
        <v>0.60999999999999976</v>
      </c>
      <c r="BW57" s="55">
        <f t="shared" si="312"/>
        <v>0.58999999999999975</v>
      </c>
      <c r="BX57" s="55">
        <f t="shared" si="312"/>
        <v>0.56999999999999973</v>
      </c>
      <c r="BZ57" s="55">
        <f t="shared" si="88"/>
        <v>70580.510000000009</v>
      </c>
      <c r="CA57" s="55">
        <f t="shared" si="89"/>
        <v>70580.510000000009</v>
      </c>
      <c r="CB57" s="59">
        <f t="shared" ref="CB57:CB60" si="313">+CA57*3.3058</f>
        <v>233325.04995800005</v>
      </c>
      <c r="CC57" s="55">
        <f t="shared" ref="CC57:CC60" si="314">+CA57*DV57</f>
        <v>68463.094700000001</v>
      </c>
      <c r="CD57" s="59">
        <f t="shared" ref="CD57:CD60" si="315">+CC57*3.3058</f>
        <v>226325.29845926</v>
      </c>
      <c r="CE57" s="55">
        <f t="shared" ref="CE57:CE60" si="316">+CA57*DW57</f>
        <v>67051.484500000006</v>
      </c>
      <c r="CF57" s="59">
        <f t="shared" ref="CF57:CF60" si="317">+CE57*3.3058</f>
        <v>221658.79746010003</v>
      </c>
      <c r="CG57" s="55">
        <f>+CA57*DX57</f>
        <v>65639.87430000001</v>
      </c>
      <c r="CH57" s="59">
        <f t="shared" ref="CH57:CH60" si="318">+CG57*3.3058</f>
        <v>216992.29646094004</v>
      </c>
      <c r="CI57" s="57">
        <f>+CA57*DY57</f>
        <v>64228.264100000008</v>
      </c>
      <c r="CJ57" s="59">
        <f t="shared" ref="CJ57:CJ60" si="319">+CI57*3.3058</f>
        <v>212325.79546178004</v>
      </c>
      <c r="CK57" s="55">
        <f>+CA57*DZ57</f>
        <v>62816.653900000012</v>
      </c>
      <c r="CL57" s="59">
        <f t="shared" ref="CL57:CL60" si="320">+CK57*3.3058</f>
        <v>207659.29446262005</v>
      </c>
      <c r="CM57" s="57">
        <f>+CA57*EA57</f>
        <v>61405.043700000009</v>
      </c>
      <c r="CN57" s="59">
        <f t="shared" ref="CN57:CN60" si="321">+CM57*3.3058</f>
        <v>202992.79346346002</v>
      </c>
      <c r="CO57" s="60">
        <f>+CA57*EB57</f>
        <v>59993.433500000006</v>
      </c>
      <c r="CP57" s="59">
        <f t="shared" ref="CP57:CP60" si="322">+CO57*3.3058</f>
        <v>198326.29246430003</v>
      </c>
      <c r="CQ57" s="57">
        <f>+CA57*EC57</f>
        <v>58581.823300000004</v>
      </c>
      <c r="CR57" s="59">
        <f t="shared" ref="CR57:CR60" si="323">+CQ57*3.3058</f>
        <v>193659.79146514001</v>
      </c>
      <c r="CS57" s="55">
        <f>+CA57*ED57</f>
        <v>57170.213100000001</v>
      </c>
      <c r="CT57" s="59">
        <f t="shared" ref="CT57:CT60" si="324">+CS57*3.3058</f>
        <v>188993.29046598001</v>
      </c>
      <c r="CU57" s="60">
        <f>+CA57*EE57</f>
        <v>55758.602900000005</v>
      </c>
      <c r="CV57" s="59">
        <f t="shared" ref="CV57:CV60" si="325">+CU57*3.3058</f>
        <v>184326.78946682002</v>
      </c>
      <c r="CW57" s="60">
        <f>+CA57*EF57</f>
        <v>54346.992700000003</v>
      </c>
      <c r="CX57" s="59">
        <f t="shared" ref="CX57:CX60" si="326">+CW57*3.3058</f>
        <v>179660.28846766002</v>
      </c>
      <c r="CY57" s="60">
        <f>+CA57*EG57</f>
        <v>52935.3825</v>
      </c>
      <c r="CZ57" s="59">
        <f t="shared" ref="CZ57:CZ60" si="327">+CY57*3.3058</f>
        <v>174993.7874685</v>
      </c>
      <c r="DA57" s="55">
        <f>+CA57*EH57</f>
        <v>51523.772299999997</v>
      </c>
      <c r="DB57" s="59">
        <f t="shared" ref="DB57:DB60" si="328">+DA57*3.3058</f>
        <v>170327.28646934</v>
      </c>
      <c r="DC57" s="60">
        <f>+CA57*EI57</f>
        <v>50112.162099999994</v>
      </c>
      <c r="DD57" s="59">
        <f t="shared" ref="DD57:DD60" si="329">+DC57*3.3058</f>
        <v>165660.78547017998</v>
      </c>
      <c r="DE57" s="60">
        <f>+CA57*EJ57</f>
        <v>48700.551899999991</v>
      </c>
      <c r="DF57" s="59">
        <f t="shared" ref="DF57:DF60" si="330">+DE57*3.3058</f>
        <v>160994.28447101999</v>
      </c>
      <c r="DG57" s="60">
        <f>+CA57*EK57</f>
        <v>47288.941699999996</v>
      </c>
      <c r="DH57" s="59">
        <f t="shared" ref="DH57:DH60" si="331">+DG57*3.3058</f>
        <v>156327.78347185999</v>
      </c>
      <c r="DI57" s="60">
        <f>+CA57*EL57</f>
        <v>45877.331499999993</v>
      </c>
      <c r="DJ57" s="59">
        <f t="shared" ref="DJ57:DJ60" si="332">+DI57*3.3058</f>
        <v>151661.28247269997</v>
      </c>
      <c r="DK57" s="55">
        <f>+CA57*EM57</f>
        <v>44465.72129999999</v>
      </c>
      <c r="DL57" s="59">
        <f t="shared" ref="DL57:DL60" si="333">+DK57*3.3058</f>
        <v>146994.78147353997</v>
      </c>
      <c r="DM57" s="60">
        <f>+CA57*EN57</f>
        <v>43054.111099999987</v>
      </c>
      <c r="DN57" s="59">
        <f t="shared" ref="DN57:DN60" si="334">+DM57*3.3058</f>
        <v>142328.28047437995</v>
      </c>
      <c r="DO57" s="60">
        <f>+CA57*EO57</f>
        <v>41642.500899999985</v>
      </c>
      <c r="DP57" s="59">
        <f t="shared" ref="DP57:DP60" si="335">+DO57*3.3058</f>
        <v>137661.77947521996</v>
      </c>
      <c r="DQ57" s="55">
        <f>+CA57*EP57</f>
        <v>40230.890699999989</v>
      </c>
      <c r="DR57" s="59">
        <f t="shared" ref="DR57:DR60" si="336">+DQ57*3.3058</f>
        <v>132995.27847605996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3"/>
        <v>0.91</v>
      </c>
      <c r="DZ57" s="55">
        <f t="shared" si="283"/>
        <v>0.89</v>
      </c>
      <c r="EA57" s="55">
        <f t="shared" si="283"/>
        <v>0.87</v>
      </c>
      <c r="EB57" s="55">
        <f t="shared" si="283"/>
        <v>0.85</v>
      </c>
      <c r="EC57" s="55">
        <f t="shared" si="283"/>
        <v>0.83</v>
      </c>
      <c r="ED57" s="55">
        <f t="shared" si="283"/>
        <v>0.80999999999999994</v>
      </c>
      <c r="EE57" s="55">
        <f t="shared" si="283"/>
        <v>0.78999999999999992</v>
      </c>
      <c r="EF57" s="55">
        <f t="shared" si="283"/>
        <v>0.76999999999999991</v>
      </c>
      <c r="EG57" s="55">
        <f t="shared" si="283"/>
        <v>0.74999999999999989</v>
      </c>
      <c r="EH57" s="55">
        <f t="shared" si="283"/>
        <v>0.72999999999999987</v>
      </c>
      <c r="EI57" s="55">
        <f t="shared" si="283"/>
        <v>0.70999999999999985</v>
      </c>
      <c r="EJ57" s="55">
        <f t="shared" si="283"/>
        <v>0.68999999999999984</v>
      </c>
      <c r="EK57" s="55">
        <f t="shared" si="283"/>
        <v>0.66999999999999982</v>
      </c>
      <c r="EL57" s="55">
        <f t="shared" si="283"/>
        <v>0.6499999999999998</v>
      </c>
      <c r="EM57" s="55">
        <f t="shared" si="283"/>
        <v>0.62999999999999978</v>
      </c>
      <c r="EN57" s="55">
        <f t="shared" si="283"/>
        <v>0.60999999999999976</v>
      </c>
      <c r="EO57" s="55">
        <f t="shared" si="283"/>
        <v>0.58999999999999975</v>
      </c>
      <c r="EP57" s="55">
        <f t="shared" si="283"/>
        <v>0.56999999999999973</v>
      </c>
      <c r="ER57" s="55">
        <f t="shared" si="142"/>
        <v>64228.264100000008</v>
      </c>
      <c r="ES57" s="55">
        <f t="shared" si="116"/>
        <v>64228.264100000008</v>
      </c>
      <c r="ET57" s="59">
        <f t="shared" ref="ET57:ET60" si="337">+ES57*3.3058</f>
        <v>212325.79546178004</v>
      </c>
      <c r="EU57" s="55">
        <f t="shared" ref="EU57:EU60" si="338">+ES57*GN57</f>
        <v>62301.416177000006</v>
      </c>
      <c r="EV57" s="59">
        <f t="shared" ref="EV57:EV60" si="339">+EU57*3.3058</f>
        <v>205956.02159792662</v>
      </c>
      <c r="EW57" s="55">
        <f t="shared" ref="EW57:EW60" si="340">+ES57*GO57</f>
        <v>61016.850895000003</v>
      </c>
      <c r="EX57" s="59">
        <f t="shared" ref="EX57:EX60" si="341">+EW57*3.3058</f>
        <v>201709.50568869102</v>
      </c>
      <c r="EY57" s="55">
        <f>+ES57*GP57</f>
        <v>59732.285613000007</v>
      </c>
      <c r="EZ57" s="59">
        <f t="shared" ref="EZ57:EZ60" si="342">+EY57*3.3058</f>
        <v>197462.98977945544</v>
      </c>
      <c r="FA57" s="57">
        <f>+ES57*GQ57</f>
        <v>58447.720331000011</v>
      </c>
      <c r="FB57" s="59">
        <f t="shared" ref="FB57:FB60" si="343">+FA57*3.3058</f>
        <v>193216.47387021984</v>
      </c>
      <c r="FC57" s="55">
        <f>+ES57*GR57</f>
        <v>57163.155049000008</v>
      </c>
      <c r="FD57" s="59">
        <f t="shared" ref="FD57:FD60" si="344">+FC57*3.3058</f>
        <v>188969.95796098423</v>
      </c>
      <c r="FE57" s="57">
        <f>+ES57*GS57</f>
        <v>55878.589767000005</v>
      </c>
      <c r="FF57" s="59">
        <f t="shared" ref="FF57:FF60" si="345">+FE57*3.3058</f>
        <v>184723.44205174863</v>
      </c>
      <c r="FG57" s="60">
        <f>+ES57*GT57</f>
        <v>54594.024485000002</v>
      </c>
      <c r="FH57" s="59">
        <f t="shared" ref="FH57:FH60" si="346">+FG57*3.3058</f>
        <v>180476.926142513</v>
      </c>
      <c r="FI57" s="57">
        <f>+ES57*GU57</f>
        <v>53309.459203000006</v>
      </c>
      <c r="FJ57" s="59">
        <f t="shared" ref="FJ57:FJ60" si="347">+FI57*3.3058</f>
        <v>176230.41023327742</v>
      </c>
      <c r="FK57" s="55">
        <f>+ES57*GV57</f>
        <v>52024.893921000003</v>
      </c>
      <c r="FL57" s="59">
        <f t="shared" ref="FL57:FL60" si="348">+FK57*3.3058</f>
        <v>171983.89432404182</v>
      </c>
      <c r="FM57" s="60">
        <f>+ES57*GW57</f>
        <v>50740.328638999999</v>
      </c>
      <c r="FN57" s="59">
        <f t="shared" ref="FN57:FN60" si="349">+FM57*3.3058</f>
        <v>167737.37841480621</v>
      </c>
      <c r="FO57" s="60">
        <f>+ES57*GX57</f>
        <v>49455.763357000003</v>
      </c>
      <c r="FP57" s="59">
        <f t="shared" ref="FP57:FP60" si="350">+FO57*3.3058</f>
        <v>163490.86250557061</v>
      </c>
      <c r="FQ57" s="60">
        <f>+ES57*GY57</f>
        <v>48171.198075</v>
      </c>
      <c r="FR57" s="59">
        <f t="shared" ref="FR57:FR60" si="351">+FQ57*3.3058</f>
        <v>159244.346596335</v>
      </c>
      <c r="FS57" s="55">
        <f>+ES57*GZ57</f>
        <v>46886.632792999997</v>
      </c>
      <c r="FT57" s="59">
        <f t="shared" ref="FT57:FT60" si="352">+FS57*3.3058</f>
        <v>154997.8306870994</v>
      </c>
      <c r="FU57" s="60">
        <f>+ES57*HA57</f>
        <v>45602.067510999994</v>
      </c>
      <c r="FV57" s="59">
        <f t="shared" ref="FV57:FV60" si="353">+FU57*3.3058</f>
        <v>150751.31477786379</v>
      </c>
      <c r="FW57" s="60">
        <f>+ES57*HB57</f>
        <v>44317.502228999998</v>
      </c>
      <c r="FX57" s="59">
        <f t="shared" ref="FX57:FX60" si="354">+FW57*3.3058</f>
        <v>146504.79886862819</v>
      </c>
      <c r="FY57" s="60">
        <f>+ES57*HC57</f>
        <v>43032.936946999995</v>
      </c>
      <c r="FZ57" s="59">
        <f t="shared" ref="FZ57:FZ60" si="355">+FY57*3.3058</f>
        <v>142258.28295939259</v>
      </c>
      <c r="GA57" s="60">
        <f>+ES57*HD57</f>
        <v>41748.371664999991</v>
      </c>
      <c r="GB57" s="59">
        <f t="shared" ref="GB57:GB60" si="356">+GA57*3.3058</f>
        <v>138011.76705015698</v>
      </c>
      <c r="GC57" s="55">
        <f>+ES57*HE57</f>
        <v>40463.806382999988</v>
      </c>
      <c r="GD57" s="59">
        <f t="shared" ref="GD57:GD60" si="357">+GC57*3.3058</f>
        <v>133765.25114092138</v>
      </c>
      <c r="GE57" s="60">
        <f>+ES57*HF57</f>
        <v>39179.241100999992</v>
      </c>
      <c r="GF57" s="59">
        <f t="shared" ref="GF57:GF60" si="358">+GE57*3.3058</f>
        <v>129518.73523168577</v>
      </c>
      <c r="GG57" s="60">
        <f>+ES57*HG57</f>
        <v>37894.675818999989</v>
      </c>
      <c r="GH57" s="59">
        <f t="shared" ref="GH57:GH60" si="359">+GG57*3.3058</f>
        <v>125272.21932245017</v>
      </c>
      <c r="GI57" s="55">
        <f>+ES57*HH57</f>
        <v>36610.110536999986</v>
      </c>
      <c r="GJ57" s="59">
        <f t="shared" ref="GJ57:GJ60" si="360">+GI57*3.3058</f>
        <v>121025.70341321455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4"/>
        <v>0.91</v>
      </c>
      <c r="GR57" s="55">
        <f t="shared" si="284"/>
        <v>0.89</v>
      </c>
      <c r="GS57" s="55">
        <f t="shared" si="284"/>
        <v>0.87</v>
      </c>
      <c r="GT57" s="55">
        <f t="shared" si="284"/>
        <v>0.85</v>
      </c>
      <c r="GU57" s="55">
        <f t="shared" si="284"/>
        <v>0.83</v>
      </c>
      <c r="GV57" s="55">
        <f t="shared" si="284"/>
        <v>0.80999999999999994</v>
      </c>
      <c r="GW57" s="55">
        <f t="shared" si="284"/>
        <v>0.78999999999999992</v>
      </c>
      <c r="GX57" s="55">
        <f t="shared" si="284"/>
        <v>0.76999999999999991</v>
      </c>
      <c r="GY57" s="55">
        <f t="shared" si="284"/>
        <v>0.74999999999999989</v>
      </c>
      <c r="GZ57" s="55">
        <f t="shared" si="284"/>
        <v>0.72999999999999987</v>
      </c>
      <c r="HA57" s="55">
        <f t="shared" si="284"/>
        <v>0.70999999999999985</v>
      </c>
      <c r="HB57" s="55">
        <f t="shared" si="284"/>
        <v>0.68999999999999984</v>
      </c>
      <c r="HC57" s="55">
        <f t="shared" si="284"/>
        <v>0.66999999999999982</v>
      </c>
      <c r="HD57" s="55">
        <f t="shared" si="284"/>
        <v>0.6499999999999998</v>
      </c>
      <c r="HE57" s="55">
        <f t="shared" si="284"/>
        <v>0.62999999999999978</v>
      </c>
      <c r="HF57" s="55">
        <f t="shared" si="284"/>
        <v>0.60999999999999976</v>
      </c>
      <c r="HG57" s="55">
        <f t="shared" si="284"/>
        <v>0.58999999999999975</v>
      </c>
      <c r="HH57" s="55">
        <f t="shared" si="284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61"/>
        <v>0</v>
      </c>
      <c r="I58" s="55">
        <f t="shared" si="62"/>
        <v>0</v>
      </c>
      <c r="J58" s="59">
        <f t="shared" si="63"/>
        <v>0</v>
      </c>
      <c r="K58" s="55">
        <f t="shared" si="289"/>
        <v>0</v>
      </c>
      <c r="L58" s="59">
        <f t="shared" si="290"/>
        <v>0</v>
      </c>
      <c r="M58" s="55">
        <f t="shared" si="291"/>
        <v>0</v>
      </c>
      <c r="N58" s="59">
        <f t="shared" si="292"/>
        <v>0</v>
      </c>
      <c r="O58" s="55">
        <f>+I58*BF58</f>
        <v>0</v>
      </c>
      <c r="P58" s="59">
        <f t="shared" si="293"/>
        <v>0</v>
      </c>
      <c r="Q58" s="57">
        <f>+I58*BG58</f>
        <v>0</v>
      </c>
      <c r="R58" s="59">
        <f t="shared" si="294"/>
        <v>0</v>
      </c>
      <c r="S58" s="55">
        <f>+I58*BH58</f>
        <v>0</v>
      </c>
      <c r="T58" s="59">
        <f t="shared" si="295"/>
        <v>0</v>
      </c>
      <c r="U58" s="57">
        <f>+I58*BI58</f>
        <v>0</v>
      </c>
      <c r="V58" s="59">
        <f t="shared" si="296"/>
        <v>0</v>
      </c>
      <c r="W58" s="60">
        <f>+I58*BJ58</f>
        <v>0</v>
      </c>
      <c r="X58" s="59">
        <f t="shared" si="297"/>
        <v>0</v>
      </c>
      <c r="Y58" s="57">
        <f>+I58*BK58</f>
        <v>0</v>
      </c>
      <c r="Z58" s="59">
        <f t="shared" si="298"/>
        <v>0</v>
      </c>
      <c r="AA58" s="55">
        <f>+I58*BL58</f>
        <v>0</v>
      </c>
      <c r="AB58" s="59">
        <f t="shared" si="299"/>
        <v>0</v>
      </c>
      <c r="AC58" s="60">
        <f>+I58*BM58</f>
        <v>0</v>
      </c>
      <c r="AD58" s="59">
        <f t="shared" si="300"/>
        <v>0</v>
      </c>
      <c r="AE58" s="60">
        <f>+I58*BN58</f>
        <v>0</v>
      </c>
      <c r="AF58" s="59">
        <f t="shared" si="301"/>
        <v>0</v>
      </c>
      <c r="AG58" s="60">
        <f>+I58*BO58</f>
        <v>0</v>
      </c>
      <c r="AH58" s="59">
        <f t="shared" si="302"/>
        <v>0</v>
      </c>
      <c r="AI58" s="55">
        <f>+I58*BP58</f>
        <v>0</v>
      </c>
      <c r="AJ58" s="59">
        <f t="shared" si="303"/>
        <v>0</v>
      </c>
      <c r="AK58" s="60">
        <f>+I58*BQ58</f>
        <v>0</v>
      </c>
      <c r="AL58" s="59">
        <f t="shared" si="304"/>
        <v>0</v>
      </c>
      <c r="AM58" s="60">
        <f>+I58*BR58</f>
        <v>0</v>
      </c>
      <c r="AN58" s="59">
        <f t="shared" si="305"/>
        <v>0</v>
      </c>
      <c r="AO58" s="60">
        <f>+I58*BS58</f>
        <v>0</v>
      </c>
      <c r="AP58" s="59">
        <f t="shared" si="306"/>
        <v>0</v>
      </c>
      <c r="AQ58" s="60">
        <f>+I58*BT58</f>
        <v>0</v>
      </c>
      <c r="AR58" s="59">
        <f t="shared" si="307"/>
        <v>0</v>
      </c>
      <c r="AS58" s="55">
        <f>+I58*BU58</f>
        <v>0</v>
      </c>
      <c r="AT58" s="59">
        <f t="shared" si="308"/>
        <v>0</v>
      </c>
      <c r="AU58" s="60">
        <f>+I58*BV58</f>
        <v>0</v>
      </c>
      <c r="AV58" s="59">
        <f t="shared" si="309"/>
        <v>0</v>
      </c>
      <c r="AW58" s="60">
        <f>+I58*BW58</f>
        <v>0</v>
      </c>
      <c r="AX58" s="59">
        <f t="shared" si="310"/>
        <v>0</v>
      </c>
      <c r="AY58" s="55">
        <f>+I58*BX58</f>
        <v>0</v>
      </c>
      <c r="AZ58" s="59">
        <f t="shared" si="311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2"/>
        <v>0.91</v>
      </c>
      <c r="BH58" s="55">
        <f t="shared" si="312"/>
        <v>0.89</v>
      </c>
      <c r="BI58" s="55">
        <f t="shared" si="312"/>
        <v>0.87</v>
      </c>
      <c r="BJ58" s="55">
        <f t="shared" si="312"/>
        <v>0.85</v>
      </c>
      <c r="BK58" s="55">
        <f t="shared" si="312"/>
        <v>0.83</v>
      </c>
      <c r="BL58" s="55">
        <f t="shared" si="312"/>
        <v>0.80999999999999994</v>
      </c>
      <c r="BM58" s="55">
        <f t="shared" si="312"/>
        <v>0.78999999999999992</v>
      </c>
      <c r="BN58" s="55">
        <f t="shared" si="312"/>
        <v>0.76999999999999991</v>
      </c>
      <c r="BO58" s="55">
        <f t="shared" si="312"/>
        <v>0.74999999999999989</v>
      </c>
      <c r="BP58" s="55">
        <f t="shared" si="312"/>
        <v>0.72999999999999987</v>
      </c>
      <c r="BQ58" s="55">
        <f t="shared" si="312"/>
        <v>0.70999999999999985</v>
      </c>
      <c r="BR58" s="55">
        <f t="shared" si="312"/>
        <v>0.68999999999999984</v>
      </c>
      <c r="BS58" s="55">
        <f t="shared" si="312"/>
        <v>0.66999999999999982</v>
      </c>
      <c r="BT58" s="55">
        <f t="shared" si="312"/>
        <v>0.6499999999999998</v>
      </c>
      <c r="BU58" s="55">
        <f t="shared" si="312"/>
        <v>0.62999999999999978</v>
      </c>
      <c r="BV58" s="55">
        <f t="shared" si="312"/>
        <v>0.60999999999999976</v>
      </c>
      <c r="BW58" s="55">
        <f t="shared" si="312"/>
        <v>0.58999999999999975</v>
      </c>
      <c r="BX58" s="55">
        <f t="shared" si="312"/>
        <v>0.56999999999999973</v>
      </c>
      <c r="BZ58" s="55">
        <f t="shared" si="88"/>
        <v>0</v>
      </c>
      <c r="CA58" s="55">
        <f t="shared" si="89"/>
        <v>0</v>
      </c>
      <c r="CB58" s="59">
        <f t="shared" si="313"/>
        <v>0</v>
      </c>
      <c r="CC58" s="55">
        <f t="shared" si="314"/>
        <v>0</v>
      </c>
      <c r="CD58" s="59">
        <f t="shared" si="315"/>
        <v>0</v>
      </c>
      <c r="CE58" s="55">
        <f t="shared" si="316"/>
        <v>0</v>
      </c>
      <c r="CF58" s="59">
        <f t="shared" si="317"/>
        <v>0</v>
      </c>
      <c r="CG58" s="55">
        <f>+CA58*DX58</f>
        <v>0</v>
      </c>
      <c r="CH58" s="59">
        <f t="shared" si="318"/>
        <v>0</v>
      </c>
      <c r="CI58" s="57">
        <f>+CA58*DY58</f>
        <v>0</v>
      </c>
      <c r="CJ58" s="59">
        <f t="shared" si="319"/>
        <v>0</v>
      </c>
      <c r="CK58" s="55">
        <f>+CA58*DZ58</f>
        <v>0</v>
      </c>
      <c r="CL58" s="59">
        <f t="shared" si="320"/>
        <v>0</v>
      </c>
      <c r="CM58" s="57">
        <f>+CA58*EA58</f>
        <v>0</v>
      </c>
      <c r="CN58" s="59">
        <f t="shared" si="321"/>
        <v>0</v>
      </c>
      <c r="CO58" s="60">
        <f>+CA58*EB58</f>
        <v>0</v>
      </c>
      <c r="CP58" s="59">
        <f t="shared" si="322"/>
        <v>0</v>
      </c>
      <c r="CQ58" s="57">
        <f>+CA58*EC58</f>
        <v>0</v>
      </c>
      <c r="CR58" s="59">
        <f t="shared" si="323"/>
        <v>0</v>
      </c>
      <c r="CS58" s="55">
        <f>+CA58*ED58</f>
        <v>0</v>
      </c>
      <c r="CT58" s="59">
        <f t="shared" si="324"/>
        <v>0</v>
      </c>
      <c r="CU58" s="60">
        <f>+CA58*EE58</f>
        <v>0</v>
      </c>
      <c r="CV58" s="59">
        <f t="shared" si="325"/>
        <v>0</v>
      </c>
      <c r="CW58" s="60">
        <f>+CA58*EF58</f>
        <v>0</v>
      </c>
      <c r="CX58" s="59">
        <f t="shared" si="326"/>
        <v>0</v>
      </c>
      <c r="CY58" s="60">
        <f>+CA58*EG58</f>
        <v>0</v>
      </c>
      <c r="CZ58" s="59">
        <f t="shared" si="327"/>
        <v>0</v>
      </c>
      <c r="DA58" s="55">
        <f>+CA58*EH58</f>
        <v>0</v>
      </c>
      <c r="DB58" s="59">
        <f t="shared" si="328"/>
        <v>0</v>
      </c>
      <c r="DC58" s="60">
        <f>+CA58*EI58</f>
        <v>0</v>
      </c>
      <c r="DD58" s="59">
        <f t="shared" si="329"/>
        <v>0</v>
      </c>
      <c r="DE58" s="60">
        <f>+CA58*EJ58</f>
        <v>0</v>
      </c>
      <c r="DF58" s="59">
        <f t="shared" si="330"/>
        <v>0</v>
      </c>
      <c r="DG58" s="60">
        <f>+CA58*EK58</f>
        <v>0</v>
      </c>
      <c r="DH58" s="59">
        <f t="shared" si="331"/>
        <v>0</v>
      </c>
      <c r="DI58" s="60">
        <f>+CA58*EL58</f>
        <v>0</v>
      </c>
      <c r="DJ58" s="59">
        <f t="shared" si="332"/>
        <v>0</v>
      </c>
      <c r="DK58" s="55">
        <f>+CA58*EM58</f>
        <v>0</v>
      </c>
      <c r="DL58" s="59">
        <f t="shared" si="333"/>
        <v>0</v>
      </c>
      <c r="DM58" s="60">
        <f>+CA58*EN58</f>
        <v>0</v>
      </c>
      <c r="DN58" s="59">
        <f t="shared" si="334"/>
        <v>0</v>
      </c>
      <c r="DO58" s="60">
        <f>+CA58*EO58</f>
        <v>0</v>
      </c>
      <c r="DP58" s="59">
        <f t="shared" si="335"/>
        <v>0</v>
      </c>
      <c r="DQ58" s="55">
        <f>+CA58*EP58</f>
        <v>0</v>
      </c>
      <c r="DR58" s="59">
        <f t="shared" si="336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3"/>
        <v>0.91</v>
      </c>
      <c r="DZ58" s="55">
        <f t="shared" si="283"/>
        <v>0.89</v>
      </c>
      <c r="EA58" s="55">
        <f t="shared" si="283"/>
        <v>0.87</v>
      </c>
      <c r="EB58" s="55">
        <f t="shared" si="283"/>
        <v>0.85</v>
      </c>
      <c r="EC58" s="55">
        <f t="shared" si="283"/>
        <v>0.83</v>
      </c>
      <c r="ED58" s="55">
        <f t="shared" si="283"/>
        <v>0.80999999999999994</v>
      </c>
      <c r="EE58" s="55">
        <f t="shared" si="283"/>
        <v>0.78999999999999992</v>
      </c>
      <c r="EF58" s="55">
        <f t="shared" si="283"/>
        <v>0.76999999999999991</v>
      </c>
      <c r="EG58" s="55">
        <f t="shared" si="283"/>
        <v>0.74999999999999989</v>
      </c>
      <c r="EH58" s="55">
        <f t="shared" si="283"/>
        <v>0.72999999999999987</v>
      </c>
      <c r="EI58" s="55">
        <f t="shared" si="283"/>
        <v>0.70999999999999985</v>
      </c>
      <c r="EJ58" s="55">
        <f t="shared" si="283"/>
        <v>0.68999999999999984</v>
      </c>
      <c r="EK58" s="55">
        <f t="shared" si="283"/>
        <v>0.66999999999999982</v>
      </c>
      <c r="EL58" s="55">
        <f t="shared" si="283"/>
        <v>0.6499999999999998</v>
      </c>
      <c r="EM58" s="55">
        <f t="shared" si="283"/>
        <v>0.62999999999999978</v>
      </c>
      <c r="EN58" s="55">
        <f t="shared" si="283"/>
        <v>0.60999999999999976</v>
      </c>
      <c r="EO58" s="55">
        <f t="shared" si="283"/>
        <v>0.58999999999999975</v>
      </c>
      <c r="EP58" s="55">
        <f t="shared" si="283"/>
        <v>0.56999999999999973</v>
      </c>
      <c r="ER58" s="55">
        <f t="shared" si="142"/>
        <v>0</v>
      </c>
      <c r="ES58" s="55">
        <f t="shared" si="116"/>
        <v>0</v>
      </c>
      <c r="ET58" s="59">
        <f t="shared" si="337"/>
        <v>0</v>
      </c>
      <c r="EU58" s="55">
        <f t="shared" si="338"/>
        <v>0</v>
      </c>
      <c r="EV58" s="59">
        <f t="shared" si="339"/>
        <v>0</v>
      </c>
      <c r="EW58" s="55">
        <f t="shared" si="340"/>
        <v>0</v>
      </c>
      <c r="EX58" s="59">
        <f t="shared" si="341"/>
        <v>0</v>
      </c>
      <c r="EY58" s="55">
        <f>+ES58*GP58</f>
        <v>0</v>
      </c>
      <c r="EZ58" s="59">
        <f t="shared" si="342"/>
        <v>0</v>
      </c>
      <c r="FA58" s="57">
        <f>+ES58*GQ58</f>
        <v>0</v>
      </c>
      <c r="FB58" s="59">
        <f t="shared" si="343"/>
        <v>0</v>
      </c>
      <c r="FC58" s="55">
        <f>+ES58*GR58</f>
        <v>0</v>
      </c>
      <c r="FD58" s="59">
        <f t="shared" si="344"/>
        <v>0</v>
      </c>
      <c r="FE58" s="57">
        <f>+ES58*GS58</f>
        <v>0</v>
      </c>
      <c r="FF58" s="59">
        <f t="shared" si="345"/>
        <v>0</v>
      </c>
      <c r="FG58" s="60">
        <f>+ES58*GT58</f>
        <v>0</v>
      </c>
      <c r="FH58" s="59">
        <f t="shared" si="346"/>
        <v>0</v>
      </c>
      <c r="FI58" s="57">
        <f>+ES58*GU58</f>
        <v>0</v>
      </c>
      <c r="FJ58" s="59">
        <f t="shared" si="347"/>
        <v>0</v>
      </c>
      <c r="FK58" s="55">
        <f>+ES58*GV58</f>
        <v>0</v>
      </c>
      <c r="FL58" s="59">
        <f t="shared" si="348"/>
        <v>0</v>
      </c>
      <c r="FM58" s="60">
        <f>+ES58*GW58</f>
        <v>0</v>
      </c>
      <c r="FN58" s="59">
        <f t="shared" si="349"/>
        <v>0</v>
      </c>
      <c r="FO58" s="60">
        <f>+ES58*GX58</f>
        <v>0</v>
      </c>
      <c r="FP58" s="59">
        <f t="shared" si="350"/>
        <v>0</v>
      </c>
      <c r="FQ58" s="60">
        <f>+ES58*GY58</f>
        <v>0</v>
      </c>
      <c r="FR58" s="59">
        <f t="shared" si="351"/>
        <v>0</v>
      </c>
      <c r="FS58" s="55">
        <f>+ES58*GZ58</f>
        <v>0</v>
      </c>
      <c r="FT58" s="59">
        <f t="shared" si="352"/>
        <v>0</v>
      </c>
      <c r="FU58" s="60">
        <f>+ES58*HA58</f>
        <v>0</v>
      </c>
      <c r="FV58" s="59">
        <f t="shared" si="353"/>
        <v>0</v>
      </c>
      <c r="FW58" s="60">
        <f>+ES58*HB58</f>
        <v>0</v>
      </c>
      <c r="FX58" s="59">
        <f t="shared" si="354"/>
        <v>0</v>
      </c>
      <c r="FY58" s="60">
        <f>+ES58*HC58</f>
        <v>0</v>
      </c>
      <c r="FZ58" s="59">
        <f t="shared" si="355"/>
        <v>0</v>
      </c>
      <c r="GA58" s="60">
        <f>+ES58*HD58</f>
        <v>0</v>
      </c>
      <c r="GB58" s="59">
        <f t="shared" si="356"/>
        <v>0</v>
      </c>
      <c r="GC58" s="55">
        <f>+ES58*HE58</f>
        <v>0</v>
      </c>
      <c r="GD58" s="59">
        <f t="shared" si="357"/>
        <v>0</v>
      </c>
      <c r="GE58" s="60">
        <f>+ES58*HF58</f>
        <v>0</v>
      </c>
      <c r="GF58" s="59">
        <f t="shared" si="358"/>
        <v>0</v>
      </c>
      <c r="GG58" s="60">
        <f>+ES58*HG58</f>
        <v>0</v>
      </c>
      <c r="GH58" s="59">
        <f t="shared" si="359"/>
        <v>0</v>
      </c>
      <c r="GI58" s="55">
        <f>+ES58*HH58</f>
        <v>0</v>
      </c>
      <c r="GJ58" s="59">
        <f t="shared" si="360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4"/>
        <v>0.91</v>
      </c>
      <c r="GR58" s="55">
        <f t="shared" si="284"/>
        <v>0.89</v>
      </c>
      <c r="GS58" s="55">
        <f t="shared" si="284"/>
        <v>0.87</v>
      </c>
      <c r="GT58" s="55">
        <f t="shared" si="284"/>
        <v>0.85</v>
      </c>
      <c r="GU58" s="55">
        <f t="shared" si="284"/>
        <v>0.83</v>
      </c>
      <c r="GV58" s="55">
        <f t="shared" si="284"/>
        <v>0.80999999999999994</v>
      </c>
      <c r="GW58" s="55">
        <f t="shared" si="284"/>
        <v>0.78999999999999992</v>
      </c>
      <c r="GX58" s="55">
        <f t="shared" si="284"/>
        <v>0.76999999999999991</v>
      </c>
      <c r="GY58" s="55">
        <f t="shared" si="284"/>
        <v>0.74999999999999989</v>
      </c>
      <c r="GZ58" s="55">
        <f t="shared" si="284"/>
        <v>0.72999999999999987</v>
      </c>
      <c r="HA58" s="55">
        <f t="shared" si="284"/>
        <v>0.70999999999999985</v>
      </c>
      <c r="HB58" s="55">
        <f t="shared" si="284"/>
        <v>0.68999999999999984</v>
      </c>
      <c r="HC58" s="55">
        <f t="shared" si="284"/>
        <v>0.66999999999999982</v>
      </c>
      <c r="HD58" s="55">
        <f t="shared" si="284"/>
        <v>0.6499999999999998</v>
      </c>
      <c r="HE58" s="55">
        <f t="shared" si="284"/>
        <v>0.62999999999999978</v>
      </c>
      <c r="HF58" s="55">
        <f t="shared" si="284"/>
        <v>0.60999999999999976</v>
      </c>
      <c r="HG58" s="55">
        <f t="shared" si="284"/>
        <v>0.58999999999999975</v>
      </c>
      <c r="HH58" s="55">
        <f t="shared" si="284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72">
        <f>TRUNC(+D59*3.3058,-1)</f>
        <v>0</v>
      </c>
      <c r="H59" s="55">
        <f t="shared" si="61"/>
        <v>0</v>
      </c>
      <c r="I59" s="55">
        <f t="shared" si="62"/>
        <v>0</v>
      </c>
      <c r="J59" s="59">
        <f t="shared" si="63"/>
        <v>0</v>
      </c>
      <c r="K59" s="55">
        <f t="shared" si="289"/>
        <v>0</v>
      </c>
      <c r="L59" s="59">
        <f t="shared" si="290"/>
        <v>0</v>
      </c>
      <c r="M59" s="55">
        <f t="shared" si="291"/>
        <v>0</v>
      </c>
      <c r="N59" s="59">
        <f t="shared" si="292"/>
        <v>0</v>
      </c>
      <c r="O59" s="55">
        <f>+I59*BF59</f>
        <v>0</v>
      </c>
      <c r="P59" s="59">
        <f t="shared" si="293"/>
        <v>0</v>
      </c>
      <c r="Q59" s="57">
        <f>+I59*BG59</f>
        <v>0</v>
      </c>
      <c r="R59" s="59">
        <f t="shared" si="294"/>
        <v>0</v>
      </c>
      <c r="S59" s="55">
        <f>+I59*BH59</f>
        <v>0</v>
      </c>
      <c r="T59" s="59">
        <f t="shared" si="295"/>
        <v>0</v>
      </c>
      <c r="U59" s="57">
        <f>+I59*BI59</f>
        <v>0</v>
      </c>
      <c r="V59" s="59">
        <f t="shared" si="296"/>
        <v>0</v>
      </c>
      <c r="W59" s="60">
        <f>+I59*BJ59</f>
        <v>0</v>
      </c>
      <c r="X59" s="59">
        <f t="shared" si="297"/>
        <v>0</v>
      </c>
      <c r="Y59" s="57">
        <f>+I59*BK59</f>
        <v>0</v>
      </c>
      <c r="Z59" s="59">
        <f t="shared" si="298"/>
        <v>0</v>
      </c>
      <c r="AA59" s="55">
        <f>+I59*BL59</f>
        <v>0</v>
      </c>
      <c r="AB59" s="59">
        <f t="shared" si="299"/>
        <v>0</v>
      </c>
      <c r="AC59" s="60">
        <f>+I59*BM59</f>
        <v>0</v>
      </c>
      <c r="AD59" s="59">
        <f t="shared" si="300"/>
        <v>0</v>
      </c>
      <c r="AE59" s="60">
        <f>+I59*BN59</f>
        <v>0</v>
      </c>
      <c r="AF59" s="59">
        <f t="shared" si="301"/>
        <v>0</v>
      </c>
      <c r="AG59" s="60">
        <f>+I59*BO59</f>
        <v>0</v>
      </c>
      <c r="AH59" s="59">
        <f t="shared" si="302"/>
        <v>0</v>
      </c>
      <c r="AI59" s="55">
        <f>+I59*BP59</f>
        <v>0</v>
      </c>
      <c r="AJ59" s="59">
        <f t="shared" si="303"/>
        <v>0</v>
      </c>
      <c r="AK59" s="60">
        <f>+I59*BQ59</f>
        <v>0</v>
      </c>
      <c r="AL59" s="59">
        <f t="shared" si="304"/>
        <v>0</v>
      </c>
      <c r="AM59" s="60">
        <f>+I59*BR59</f>
        <v>0</v>
      </c>
      <c r="AN59" s="59">
        <f t="shared" si="305"/>
        <v>0</v>
      </c>
      <c r="AO59" s="60">
        <f>+I59*BS59</f>
        <v>0</v>
      </c>
      <c r="AP59" s="59">
        <f t="shared" si="306"/>
        <v>0</v>
      </c>
      <c r="AQ59" s="60">
        <f>+I59*BT59</f>
        <v>0</v>
      </c>
      <c r="AR59" s="59">
        <f t="shared" si="307"/>
        <v>0</v>
      </c>
      <c r="AS59" s="55">
        <f>+I59*BU59</f>
        <v>0</v>
      </c>
      <c r="AT59" s="59">
        <f t="shared" si="308"/>
        <v>0</v>
      </c>
      <c r="AU59" s="60">
        <f>+I59*BV59</f>
        <v>0</v>
      </c>
      <c r="AV59" s="59">
        <f t="shared" si="309"/>
        <v>0</v>
      </c>
      <c r="AW59" s="60">
        <f>+I59*BW59</f>
        <v>0</v>
      </c>
      <c r="AX59" s="59">
        <f t="shared" si="310"/>
        <v>0</v>
      </c>
      <c r="AY59" s="55">
        <f>+I59*BX59</f>
        <v>0</v>
      </c>
      <c r="AZ59" s="59">
        <f t="shared" si="311"/>
        <v>0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2"/>
        <v>0.91</v>
      </c>
      <c r="BH59" s="55">
        <f t="shared" si="312"/>
        <v>0.89</v>
      </c>
      <c r="BI59" s="55">
        <f t="shared" si="312"/>
        <v>0.87</v>
      </c>
      <c r="BJ59" s="55">
        <f t="shared" si="312"/>
        <v>0.85</v>
      </c>
      <c r="BK59" s="55">
        <f t="shared" si="312"/>
        <v>0.83</v>
      </c>
      <c r="BL59" s="55">
        <f t="shared" si="312"/>
        <v>0.80999999999999994</v>
      </c>
      <c r="BM59" s="55">
        <f t="shared" si="312"/>
        <v>0.78999999999999992</v>
      </c>
      <c r="BN59" s="55">
        <f t="shared" si="312"/>
        <v>0.76999999999999991</v>
      </c>
      <c r="BO59" s="55">
        <f t="shared" si="312"/>
        <v>0.74999999999999989</v>
      </c>
      <c r="BP59" s="55">
        <f t="shared" si="312"/>
        <v>0.72999999999999987</v>
      </c>
      <c r="BQ59" s="55">
        <f t="shared" si="312"/>
        <v>0.70999999999999985</v>
      </c>
      <c r="BR59" s="55">
        <f t="shared" si="312"/>
        <v>0.68999999999999984</v>
      </c>
      <c r="BS59" s="55">
        <f t="shared" si="312"/>
        <v>0.66999999999999982</v>
      </c>
      <c r="BT59" s="55">
        <f t="shared" si="312"/>
        <v>0.6499999999999998</v>
      </c>
      <c r="BU59" s="55">
        <f t="shared" si="312"/>
        <v>0.62999999999999978</v>
      </c>
      <c r="BV59" s="55">
        <f t="shared" si="312"/>
        <v>0.60999999999999976</v>
      </c>
      <c r="BW59" s="55">
        <f t="shared" si="312"/>
        <v>0.58999999999999975</v>
      </c>
      <c r="BX59" s="55">
        <f t="shared" si="312"/>
        <v>0.56999999999999973</v>
      </c>
      <c r="BZ59" s="55">
        <f t="shared" si="88"/>
        <v>0</v>
      </c>
      <c r="CA59" s="55">
        <f t="shared" si="89"/>
        <v>0</v>
      </c>
      <c r="CB59" s="59">
        <f t="shared" si="313"/>
        <v>0</v>
      </c>
      <c r="CC59" s="55">
        <f t="shared" si="314"/>
        <v>0</v>
      </c>
      <c r="CD59" s="59">
        <f t="shared" si="315"/>
        <v>0</v>
      </c>
      <c r="CE59" s="55">
        <f t="shared" si="316"/>
        <v>0</v>
      </c>
      <c r="CF59" s="59">
        <f t="shared" si="317"/>
        <v>0</v>
      </c>
      <c r="CG59" s="55">
        <f>+CA59*DX59</f>
        <v>0</v>
      </c>
      <c r="CH59" s="59">
        <f t="shared" si="318"/>
        <v>0</v>
      </c>
      <c r="CI59" s="57">
        <f>+CA59*DY59</f>
        <v>0</v>
      </c>
      <c r="CJ59" s="59">
        <f t="shared" si="319"/>
        <v>0</v>
      </c>
      <c r="CK59" s="55">
        <f>+CA59*DZ59</f>
        <v>0</v>
      </c>
      <c r="CL59" s="59">
        <f t="shared" si="320"/>
        <v>0</v>
      </c>
      <c r="CM59" s="57">
        <f>+CA59*EA59</f>
        <v>0</v>
      </c>
      <c r="CN59" s="59">
        <f t="shared" si="321"/>
        <v>0</v>
      </c>
      <c r="CO59" s="60">
        <f>+CA59*EB59</f>
        <v>0</v>
      </c>
      <c r="CP59" s="59">
        <f t="shared" si="322"/>
        <v>0</v>
      </c>
      <c r="CQ59" s="57">
        <f>+CA59*EC59</f>
        <v>0</v>
      </c>
      <c r="CR59" s="59">
        <f t="shared" si="323"/>
        <v>0</v>
      </c>
      <c r="CS59" s="55">
        <f>+CA59*ED59</f>
        <v>0</v>
      </c>
      <c r="CT59" s="59">
        <f t="shared" si="324"/>
        <v>0</v>
      </c>
      <c r="CU59" s="60">
        <f>+CA59*EE59</f>
        <v>0</v>
      </c>
      <c r="CV59" s="59">
        <f t="shared" si="325"/>
        <v>0</v>
      </c>
      <c r="CW59" s="60">
        <f>+CA59*EF59</f>
        <v>0</v>
      </c>
      <c r="CX59" s="59">
        <f t="shared" si="326"/>
        <v>0</v>
      </c>
      <c r="CY59" s="60">
        <f>+CA59*EG59</f>
        <v>0</v>
      </c>
      <c r="CZ59" s="59">
        <f t="shared" si="327"/>
        <v>0</v>
      </c>
      <c r="DA59" s="55">
        <f>+CA59*EH59</f>
        <v>0</v>
      </c>
      <c r="DB59" s="59">
        <f t="shared" si="328"/>
        <v>0</v>
      </c>
      <c r="DC59" s="60">
        <f>+CA59*EI59</f>
        <v>0</v>
      </c>
      <c r="DD59" s="59">
        <f t="shared" si="329"/>
        <v>0</v>
      </c>
      <c r="DE59" s="60">
        <f>+CA59*EJ59</f>
        <v>0</v>
      </c>
      <c r="DF59" s="59">
        <f t="shared" si="330"/>
        <v>0</v>
      </c>
      <c r="DG59" s="60">
        <f>+CA59*EK59</f>
        <v>0</v>
      </c>
      <c r="DH59" s="59">
        <f t="shared" si="331"/>
        <v>0</v>
      </c>
      <c r="DI59" s="60">
        <f>+CA59*EL59</f>
        <v>0</v>
      </c>
      <c r="DJ59" s="59">
        <f t="shared" si="332"/>
        <v>0</v>
      </c>
      <c r="DK59" s="55">
        <f>+CA59*EM59</f>
        <v>0</v>
      </c>
      <c r="DL59" s="59">
        <f t="shared" si="333"/>
        <v>0</v>
      </c>
      <c r="DM59" s="60">
        <f>+CA59*EN59</f>
        <v>0</v>
      </c>
      <c r="DN59" s="59">
        <f t="shared" si="334"/>
        <v>0</v>
      </c>
      <c r="DO59" s="60">
        <f>+CA59*EO59</f>
        <v>0</v>
      </c>
      <c r="DP59" s="59">
        <f t="shared" si="335"/>
        <v>0</v>
      </c>
      <c r="DQ59" s="55">
        <f>+CA59*EP59</f>
        <v>0</v>
      </c>
      <c r="DR59" s="59">
        <f t="shared" si="336"/>
        <v>0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3"/>
        <v>0.91</v>
      </c>
      <c r="DZ59" s="55">
        <f t="shared" si="283"/>
        <v>0.89</v>
      </c>
      <c r="EA59" s="55">
        <f t="shared" si="283"/>
        <v>0.87</v>
      </c>
      <c r="EB59" s="55">
        <f t="shared" si="283"/>
        <v>0.85</v>
      </c>
      <c r="EC59" s="55">
        <f t="shared" si="283"/>
        <v>0.83</v>
      </c>
      <c r="ED59" s="55">
        <f t="shared" si="283"/>
        <v>0.80999999999999994</v>
      </c>
      <c r="EE59" s="55">
        <f t="shared" si="283"/>
        <v>0.78999999999999992</v>
      </c>
      <c r="EF59" s="55">
        <f t="shared" si="283"/>
        <v>0.76999999999999991</v>
      </c>
      <c r="EG59" s="55">
        <f t="shared" si="283"/>
        <v>0.74999999999999989</v>
      </c>
      <c r="EH59" s="55">
        <f t="shared" si="283"/>
        <v>0.72999999999999987</v>
      </c>
      <c r="EI59" s="55">
        <f t="shared" si="283"/>
        <v>0.70999999999999985</v>
      </c>
      <c r="EJ59" s="55">
        <f t="shared" si="283"/>
        <v>0.68999999999999984</v>
      </c>
      <c r="EK59" s="55">
        <f t="shared" si="283"/>
        <v>0.66999999999999982</v>
      </c>
      <c r="EL59" s="55">
        <f t="shared" si="283"/>
        <v>0.6499999999999998</v>
      </c>
      <c r="EM59" s="55">
        <f t="shared" si="283"/>
        <v>0.62999999999999978</v>
      </c>
      <c r="EN59" s="55">
        <f t="shared" si="283"/>
        <v>0.60999999999999976</v>
      </c>
      <c r="EO59" s="55">
        <f t="shared" si="283"/>
        <v>0.58999999999999975</v>
      </c>
      <c r="EP59" s="55">
        <f t="shared" si="283"/>
        <v>0.56999999999999973</v>
      </c>
      <c r="ER59" s="55">
        <f t="shared" si="142"/>
        <v>0</v>
      </c>
      <c r="ES59" s="55">
        <f t="shared" si="116"/>
        <v>0</v>
      </c>
      <c r="ET59" s="59">
        <f t="shared" si="337"/>
        <v>0</v>
      </c>
      <c r="EU59" s="55">
        <f t="shared" si="338"/>
        <v>0</v>
      </c>
      <c r="EV59" s="59">
        <f t="shared" si="339"/>
        <v>0</v>
      </c>
      <c r="EW59" s="55">
        <f t="shared" si="340"/>
        <v>0</v>
      </c>
      <c r="EX59" s="59">
        <f t="shared" si="341"/>
        <v>0</v>
      </c>
      <c r="EY59" s="55">
        <f>+ES59*GP59</f>
        <v>0</v>
      </c>
      <c r="EZ59" s="59">
        <f t="shared" si="342"/>
        <v>0</v>
      </c>
      <c r="FA59" s="57">
        <f>+ES59*GQ59</f>
        <v>0</v>
      </c>
      <c r="FB59" s="59">
        <f t="shared" si="343"/>
        <v>0</v>
      </c>
      <c r="FC59" s="55">
        <f>+ES59*GR59</f>
        <v>0</v>
      </c>
      <c r="FD59" s="59">
        <f t="shared" si="344"/>
        <v>0</v>
      </c>
      <c r="FE59" s="57">
        <f>+ES59*GS59</f>
        <v>0</v>
      </c>
      <c r="FF59" s="59">
        <f t="shared" si="345"/>
        <v>0</v>
      </c>
      <c r="FG59" s="60">
        <f>+ES59*GT59</f>
        <v>0</v>
      </c>
      <c r="FH59" s="59">
        <f t="shared" si="346"/>
        <v>0</v>
      </c>
      <c r="FI59" s="57">
        <f>+ES59*GU59</f>
        <v>0</v>
      </c>
      <c r="FJ59" s="59">
        <f t="shared" si="347"/>
        <v>0</v>
      </c>
      <c r="FK59" s="55">
        <f>+ES59*GV59</f>
        <v>0</v>
      </c>
      <c r="FL59" s="59">
        <f t="shared" si="348"/>
        <v>0</v>
      </c>
      <c r="FM59" s="60">
        <f>+ES59*GW59</f>
        <v>0</v>
      </c>
      <c r="FN59" s="59">
        <f t="shared" si="349"/>
        <v>0</v>
      </c>
      <c r="FO59" s="60">
        <f>+ES59*GX59</f>
        <v>0</v>
      </c>
      <c r="FP59" s="59">
        <f t="shared" si="350"/>
        <v>0</v>
      </c>
      <c r="FQ59" s="60">
        <f>+ES59*GY59</f>
        <v>0</v>
      </c>
      <c r="FR59" s="59">
        <f t="shared" si="351"/>
        <v>0</v>
      </c>
      <c r="FS59" s="55">
        <f>+ES59*GZ59</f>
        <v>0</v>
      </c>
      <c r="FT59" s="59">
        <f t="shared" si="352"/>
        <v>0</v>
      </c>
      <c r="FU59" s="60">
        <f>+ES59*HA59</f>
        <v>0</v>
      </c>
      <c r="FV59" s="59">
        <f t="shared" si="353"/>
        <v>0</v>
      </c>
      <c r="FW59" s="60">
        <f>+ES59*HB59</f>
        <v>0</v>
      </c>
      <c r="FX59" s="59">
        <f t="shared" si="354"/>
        <v>0</v>
      </c>
      <c r="FY59" s="60">
        <f>+ES59*HC59</f>
        <v>0</v>
      </c>
      <c r="FZ59" s="59">
        <f t="shared" si="355"/>
        <v>0</v>
      </c>
      <c r="GA59" s="60">
        <f>+ES59*HD59</f>
        <v>0</v>
      </c>
      <c r="GB59" s="59">
        <f t="shared" si="356"/>
        <v>0</v>
      </c>
      <c r="GC59" s="55">
        <f>+ES59*HE59</f>
        <v>0</v>
      </c>
      <c r="GD59" s="59">
        <f t="shared" si="357"/>
        <v>0</v>
      </c>
      <c r="GE59" s="60">
        <f>+ES59*HF59</f>
        <v>0</v>
      </c>
      <c r="GF59" s="59">
        <f t="shared" si="358"/>
        <v>0</v>
      </c>
      <c r="GG59" s="60">
        <f>+ES59*HG59</f>
        <v>0</v>
      </c>
      <c r="GH59" s="59">
        <f t="shared" si="359"/>
        <v>0</v>
      </c>
      <c r="GI59" s="55">
        <f>+ES59*HH59</f>
        <v>0</v>
      </c>
      <c r="GJ59" s="59">
        <f t="shared" si="360"/>
        <v>0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4"/>
        <v>0.91</v>
      </c>
      <c r="GR59" s="55">
        <f t="shared" si="284"/>
        <v>0.89</v>
      </c>
      <c r="GS59" s="55">
        <f t="shared" si="284"/>
        <v>0.87</v>
      </c>
      <c r="GT59" s="55">
        <f t="shared" si="284"/>
        <v>0.85</v>
      </c>
      <c r="GU59" s="55">
        <f t="shared" si="284"/>
        <v>0.83</v>
      </c>
      <c r="GV59" s="55">
        <f t="shared" si="284"/>
        <v>0.80999999999999994</v>
      </c>
      <c r="GW59" s="55">
        <f t="shared" si="284"/>
        <v>0.78999999999999992</v>
      </c>
      <c r="GX59" s="55">
        <f t="shared" si="284"/>
        <v>0.76999999999999991</v>
      </c>
      <c r="GY59" s="55">
        <f t="shared" si="284"/>
        <v>0.74999999999999989</v>
      </c>
      <c r="GZ59" s="55">
        <f t="shared" si="284"/>
        <v>0.72999999999999987</v>
      </c>
      <c r="HA59" s="55">
        <f t="shared" si="284"/>
        <v>0.70999999999999985</v>
      </c>
      <c r="HB59" s="55">
        <f t="shared" si="284"/>
        <v>0.68999999999999984</v>
      </c>
      <c r="HC59" s="55">
        <f t="shared" si="284"/>
        <v>0.66999999999999982</v>
      </c>
      <c r="HD59" s="55">
        <f t="shared" si="284"/>
        <v>0.6499999999999998</v>
      </c>
      <c r="HE59" s="55">
        <f t="shared" si="284"/>
        <v>0.62999999999999978</v>
      </c>
      <c r="HF59" s="55">
        <f t="shared" si="284"/>
        <v>0.60999999999999976</v>
      </c>
      <c r="HG59" s="55">
        <f t="shared" si="284"/>
        <v>0.58999999999999975</v>
      </c>
      <c r="HH59" s="55">
        <f t="shared" si="284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21330</v>
      </c>
      <c r="E60" s="73">
        <f>SUM(E57:E59)</f>
        <v>70510</v>
      </c>
      <c r="H60" s="55">
        <f t="shared" si="61"/>
        <v>77561</v>
      </c>
      <c r="I60" s="55">
        <f t="shared" si="62"/>
        <v>77561</v>
      </c>
      <c r="J60" s="59">
        <f t="shared" si="63"/>
        <v>256401.1538</v>
      </c>
      <c r="K60" s="55">
        <f t="shared" si="289"/>
        <v>75234.17</v>
      </c>
      <c r="L60" s="59">
        <f t="shared" si="290"/>
        <v>248709.119186</v>
      </c>
      <c r="M60" s="55">
        <f t="shared" si="291"/>
        <v>73682.95</v>
      </c>
      <c r="N60" s="59">
        <f t="shared" si="292"/>
        <v>243581.09610999998</v>
      </c>
      <c r="O60" s="55">
        <f>+I60*BF60</f>
        <v>72131.73000000001</v>
      </c>
      <c r="P60" s="59">
        <f t="shared" si="293"/>
        <v>238453.07303400003</v>
      </c>
      <c r="Q60" s="57">
        <f>+I60*BG60</f>
        <v>70580.510000000009</v>
      </c>
      <c r="R60" s="59">
        <f t="shared" si="294"/>
        <v>233325.04995800005</v>
      </c>
      <c r="S60" s="55">
        <f>+I60*BH60</f>
        <v>69029.290000000008</v>
      </c>
      <c r="T60" s="59">
        <f t="shared" si="295"/>
        <v>228197.02688200003</v>
      </c>
      <c r="U60" s="57">
        <f>+I60*BI60</f>
        <v>67478.069999999992</v>
      </c>
      <c r="V60" s="59">
        <f t="shared" si="296"/>
        <v>223069.00380599999</v>
      </c>
      <c r="W60" s="60">
        <f>+I60*BJ60</f>
        <v>65926.849999999991</v>
      </c>
      <c r="X60" s="59">
        <f t="shared" si="297"/>
        <v>217940.98072999998</v>
      </c>
      <c r="Y60" s="57">
        <f>+I60*BK60</f>
        <v>64375.63</v>
      </c>
      <c r="Z60" s="59">
        <f t="shared" si="298"/>
        <v>212812.957654</v>
      </c>
      <c r="AA60" s="55">
        <f>+I60*BL60</f>
        <v>62824.409999999996</v>
      </c>
      <c r="AB60" s="59">
        <f t="shared" si="299"/>
        <v>207684.93457799999</v>
      </c>
      <c r="AC60" s="60">
        <f>+I60*BM60</f>
        <v>61273.189999999995</v>
      </c>
      <c r="AD60" s="59">
        <f t="shared" si="300"/>
        <v>202556.91150199997</v>
      </c>
      <c r="AE60" s="60">
        <f>+I60*BN60</f>
        <v>59721.969999999994</v>
      </c>
      <c r="AF60" s="59">
        <f t="shared" si="301"/>
        <v>197428.88842599999</v>
      </c>
      <c r="AG60" s="60">
        <f>+I60*BO60</f>
        <v>58170.749999999993</v>
      </c>
      <c r="AH60" s="59">
        <f t="shared" si="302"/>
        <v>192300.86534999998</v>
      </c>
      <c r="AI60" s="55">
        <f>+I60*BP60</f>
        <v>56619.529999999992</v>
      </c>
      <c r="AJ60" s="59">
        <f t="shared" si="303"/>
        <v>187172.84227399997</v>
      </c>
      <c r="AK60" s="60">
        <f>+I60*BQ60</f>
        <v>55068.30999999999</v>
      </c>
      <c r="AL60" s="59">
        <f t="shared" si="304"/>
        <v>182044.81919799998</v>
      </c>
      <c r="AM60" s="60">
        <f>+I60*BR60</f>
        <v>53517.089999999989</v>
      </c>
      <c r="AN60" s="59">
        <f t="shared" si="305"/>
        <v>176916.79612199997</v>
      </c>
      <c r="AO60" s="60">
        <f>+I60*BS60</f>
        <v>51965.869999999988</v>
      </c>
      <c r="AP60" s="59">
        <f t="shared" si="306"/>
        <v>171788.77304599996</v>
      </c>
      <c r="AQ60" s="60">
        <f>+I60*BT60</f>
        <v>50414.649999999987</v>
      </c>
      <c r="AR60" s="59">
        <f t="shared" si="307"/>
        <v>166660.74996999995</v>
      </c>
      <c r="AS60" s="55">
        <f>+I60*BU60</f>
        <v>48863.429999999986</v>
      </c>
      <c r="AT60" s="59">
        <f t="shared" si="308"/>
        <v>161532.72689399996</v>
      </c>
      <c r="AU60" s="60">
        <f>+I60*BV60</f>
        <v>47312.209999999985</v>
      </c>
      <c r="AV60" s="59">
        <f t="shared" si="309"/>
        <v>156404.70381799995</v>
      </c>
      <c r="AW60" s="60">
        <f>+I60*BW60</f>
        <v>45760.989999999983</v>
      </c>
      <c r="AX60" s="59">
        <f t="shared" si="310"/>
        <v>151276.68074199994</v>
      </c>
      <c r="AY60" s="55">
        <f>+I60*BX60</f>
        <v>44209.769999999982</v>
      </c>
      <c r="AZ60" s="59">
        <f t="shared" si="311"/>
        <v>146148.65766599996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2"/>
        <v>0.91</v>
      </c>
      <c r="BH60" s="55">
        <f t="shared" si="312"/>
        <v>0.89</v>
      </c>
      <c r="BI60" s="55">
        <f t="shared" si="312"/>
        <v>0.87</v>
      </c>
      <c r="BJ60" s="55">
        <f t="shared" si="312"/>
        <v>0.85</v>
      </c>
      <c r="BK60" s="55">
        <f t="shared" si="312"/>
        <v>0.83</v>
      </c>
      <c r="BL60" s="55">
        <f t="shared" si="312"/>
        <v>0.80999999999999994</v>
      </c>
      <c r="BM60" s="55">
        <f t="shared" si="312"/>
        <v>0.78999999999999992</v>
      </c>
      <c r="BN60" s="55">
        <f t="shared" si="312"/>
        <v>0.76999999999999991</v>
      </c>
      <c r="BO60" s="55">
        <f t="shared" si="312"/>
        <v>0.74999999999999989</v>
      </c>
      <c r="BP60" s="55">
        <f t="shared" si="312"/>
        <v>0.72999999999999987</v>
      </c>
      <c r="BQ60" s="55">
        <f t="shared" si="312"/>
        <v>0.70999999999999985</v>
      </c>
      <c r="BR60" s="55">
        <f t="shared" si="312"/>
        <v>0.68999999999999984</v>
      </c>
      <c r="BS60" s="55">
        <f t="shared" si="312"/>
        <v>0.66999999999999982</v>
      </c>
      <c r="BT60" s="55">
        <f t="shared" si="312"/>
        <v>0.6499999999999998</v>
      </c>
      <c r="BU60" s="55">
        <f t="shared" si="312"/>
        <v>0.62999999999999978</v>
      </c>
      <c r="BV60" s="55">
        <f t="shared" si="312"/>
        <v>0.60999999999999976</v>
      </c>
      <c r="BW60" s="55">
        <f t="shared" si="312"/>
        <v>0.58999999999999975</v>
      </c>
      <c r="BX60" s="55">
        <f t="shared" si="312"/>
        <v>0.56999999999999973</v>
      </c>
      <c r="BZ60" s="55">
        <f t="shared" si="88"/>
        <v>70580.510000000009</v>
      </c>
      <c r="CA60" s="55">
        <f t="shared" si="89"/>
        <v>70580.510000000009</v>
      </c>
      <c r="CB60" s="59">
        <f t="shared" si="313"/>
        <v>233325.04995800005</v>
      </c>
      <c r="CC60" s="55">
        <f t="shared" si="314"/>
        <v>68463.094700000001</v>
      </c>
      <c r="CD60" s="59">
        <f t="shared" si="315"/>
        <v>226325.29845926</v>
      </c>
      <c r="CE60" s="55">
        <f t="shared" si="316"/>
        <v>67051.484500000006</v>
      </c>
      <c r="CF60" s="59">
        <f t="shared" si="317"/>
        <v>221658.79746010003</v>
      </c>
      <c r="CG60" s="55">
        <f>+CA60*DX60</f>
        <v>65639.87430000001</v>
      </c>
      <c r="CH60" s="59">
        <f t="shared" si="318"/>
        <v>216992.29646094004</v>
      </c>
      <c r="CI60" s="57">
        <f>+CA60*DY60</f>
        <v>64228.264100000008</v>
      </c>
      <c r="CJ60" s="59">
        <f t="shared" si="319"/>
        <v>212325.79546178004</v>
      </c>
      <c r="CK60" s="55">
        <f>+CA60*DZ60</f>
        <v>62816.653900000012</v>
      </c>
      <c r="CL60" s="59">
        <f t="shared" si="320"/>
        <v>207659.29446262005</v>
      </c>
      <c r="CM60" s="57">
        <f>+CA60*EA60</f>
        <v>61405.043700000009</v>
      </c>
      <c r="CN60" s="59">
        <f t="shared" si="321"/>
        <v>202992.79346346002</v>
      </c>
      <c r="CO60" s="60">
        <f>+CA60*EB60</f>
        <v>59993.433500000006</v>
      </c>
      <c r="CP60" s="59">
        <f t="shared" si="322"/>
        <v>198326.29246430003</v>
      </c>
      <c r="CQ60" s="57">
        <f>+CA60*EC60</f>
        <v>58581.823300000004</v>
      </c>
      <c r="CR60" s="59">
        <f t="shared" si="323"/>
        <v>193659.79146514001</v>
      </c>
      <c r="CS60" s="55">
        <f>+CA60*ED60</f>
        <v>57170.213100000001</v>
      </c>
      <c r="CT60" s="59">
        <f t="shared" si="324"/>
        <v>188993.29046598001</v>
      </c>
      <c r="CU60" s="60">
        <f>+CA60*EE60</f>
        <v>55758.602900000005</v>
      </c>
      <c r="CV60" s="59">
        <f t="shared" si="325"/>
        <v>184326.78946682002</v>
      </c>
      <c r="CW60" s="60">
        <f>+CA60*EF60</f>
        <v>54346.992700000003</v>
      </c>
      <c r="CX60" s="59">
        <f t="shared" si="326"/>
        <v>179660.28846766002</v>
      </c>
      <c r="CY60" s="60">
        <f>+CA60*EG60</f>
        <v>52935.3825</v>
      </c>
      <c r="CZ60" s="59">
        <f t="shared" si="327"/>
        <v>174993.7874685</v>
      </c>
      <c r="DA60" s="55">
        <f>+CA60*EH60</f>
        <v>51523.772299999997</v>
      </c>
      <c r="DB60" s="59">
        <f t="shared" si="328"/>
        <v>170327.28646934</v>
      </c>
      <c r="DC60" s="60">
        <f>+CA60*EI60</f>
        <v>50112.162099999994</v>
      </c>
      <c r="DD60" s="59">
        <f t="shared" si="329"/>
        <v>165660.78547017998</v>
      </c>
      <c r="DE60" s="60">
        <f>+CA60*EJ60</f>
        <v>48700.551899999991</v>
      </c>
      <c r="DF60" s="59">
        <f t="shared" si="330"/>
        <v>160994.28447101999</v>
      </c>
      <c r="DG60" s="60">
        <f>+CA60*EK60</f>
        <v>47288.941699999996</v>
      </c>
      <c r="DH60" s="59">
        <f t="shared" si="331"/>
        <v>156327.78347185999</v>
      </c>
      <c r="DI60" s="60">
        <f>+CA60*EL60</f>
        <v>45877.331499999993</v>
      </c>
      <c r="DJ60" s="59">
        <f t="shared" si="332"/>
        <v>151661.28247269997</v>
      </c>
      <c r="DK60" s="55">
        <f>+CA60*EM60</f>
        <v>44465.72129999999</v>
      </c>
      <c r="DL60" s="59">
        <f t="shared" si="333"/>
        <v>146994.78147353997</v>
      </c>
      <c r="DM60" s="60">
        <f>+CA60*EN60</f>
        <v>43054.111099999987</v>
      </c>
      <c r="DN60" s="59">
        <f t="shared" si="334"/>
        <v>142328.28047437995</v>
      </c>
      <c r="DO60" s="60">
        <f>+CA60*EO60</f>
        <v>41642.500899999985</v>
      </c>
      <c r="DP60" s="59">
        <f t="shared" si="335"/>
        <v>137661.77947521996</v>
      </c>
      <c r="DQ60" s="55">
        <f>+CA60*EP60</f>
        <v>40230.890699999989</v>
      </c>
      <c r="DR60" s="59">
        <f t="shared" si="336"/>
        <v>132995.27847605996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3"/>
        <v>0.91</v>
      </c>
      <c r="DZ60" s="55">
        <f t="shared" si="283"/>
        <v>0.89</v>
      </c>
      <c r="EA60" s="55">
        <f t="shared" si="283"/>
        <v>0.87</v>
      </c>
      <c r="EB60" s="55">
        <f t="shared" si="283"/>
        <v>0.85</v>
      </c>
      <c r="EC60" s="55">
        <f t="shared" si="283"/>
        <v>0.83</v>
      </c>
      <c r="ED60" s="55">
        <f t="shared" si="283"/>
        <v>0.80999999999999994</v>
      </c>
      <c r="EE60" s="55">
        <f t="shared" si="283"/>
        <v>0.78999999999999992</v>
      </c>
      <c r="EF60" s="55">
        <f t="shared" si="283"/>
        <v>0.76999999999999991</v>
      </c>
      <c r="EG60" s="55">
        <f t="shared" si="283"/>
        <v>0.74999999999999989</v>
      </c>
      <c r="EH60" s="55">
        <f t="shared" si="283"/>
        <v>0.72999999999999987</v>
      </c>
      <c r="EI60" s="55">
        <f t="shared" si="283"/>
        <v>0.70999999999999985</v>
      </c>
      <c r="EJ60" s="55">
        <f t="shared" si="283"/>
        <v>0.68999999999999984</v>
      </c>
      <c r="EK60" s="55">
        <f t="shared" si="283"/>
        <v>0.66999999999999982</v>
      </c>
      <c r="EL60" s="55">
        <f t="shared" si="283"/>
        <v>0.6499999999999998</v>
      </c>
      <c r="EM60" s="55">
        <f t="shared" si="283"/>
        <v>0.62999999999999978</v>
      </c>
      <c r="EN60" s="55">
        <f t="shared" si="283"/>
        <v>0.60999999999999976</v>
      </c>
      <c r="EO60" s="55">
        <f t="shared" si="283"/>
        <v>0.58999999999999975</v>
      </c>
      <c r="EP60" s="55">
        <f t="shared" si="283"/>
        <v>0.56999999999999973</v>
      </c>
      <c r="ER60" s="55">
        <f t="shared" si="142"/>
        <v>64228.264100000008</v>
      </c>
      <c r="ES60" s="55">
        <f t="shared" si="116"/>
        <v>64228.264100000008</v>
      </c>
      <c r="ET60" s="59">
        <f t="shared" si="337"/>
        <v>212325.79546178004</v>
      </c>
      <c r="EU60" s="55">
        <f t="shared" si="338"/>
        <v>62301.416177000006</v>
      </c>
      <c r="EV60" s="59">
        <f t="shared" si="339"/>
        <v>205956.02159792662</v>
      </c>
      <c r="EW60" s="55">
        <f t="shared" si="340"/>
        <v>61016.850895000003</v>
      </c>
      <c r="EX60" s="59">
        <f t="shared" si="341"/>
        <v>201709.50568869102</v>
      </c>
      <c r="EY60" s="55">
        <f>+ES60*GP60</f>
        <v>59732.285613000007</v>
      </c>
      <c r="EZ60" s="59">
        <f t="shared" si="342"/>
        <v>197462.98977945544</v>
      </c>
      <c r="FA60" s="57">
        <f>+ES60*GQ60</f>
        <v>58447.720331000011</v>
      </c>
      <c r="FB60" s="59">
        <f t="shared" si="343"/>
        <v>193216.47387021984</v>
      </c>
      <c r="FC60" s="55">
        <f>+ES60*GR60</f>
        <v>57163.155049000008</v>
      </c>
      <c r="FD60" s="59">
        <f t="shared" si="344"/>
        <v>188969.95796098423</v>
      </c>
      <c r="FE60" s="57">
        <f>+ES60*GS60</f>
        <v>55878.589767000005</v>
      </c>
      <c r="FF60" s="59">
        <f t="shared" si="345"/>
        <v>184723.44205174863</v>
      </c>
      <c r="FG60" s="60">
        <f>+ES60*GT60</f>
        <v>54594.024485000002</v>
      </c>
      <c r="FH60" s="59">
        <f t="shared" si="346"/>
        <v>180476.926142513</v>
      </c>
      <c r="FI60" s="57">
        <f>+ES60*GU60</f>
        <v>53309.459203000006</v>
      </c>
      <c r="FJ60" s="59">
        <f t="shared" si="347"/>
        <v>176230.41023327742</v>
      </c>
      <c r="FK60" s="55">
        <f>+ES60*GV60</f>
        <v>52024.893921000003</v>
      </c>
      <c r="FL60" s="59">
        <f t="shared" si="348"/>
        <v>171983.89432404182</v>
      </c>
      <c r="FM60" s="60">
        <f>+ES60*GW60</f>
        <v>50740.328638999999</v>
      </c>
      <c r="FN60" s="59">
        <f t="shared" si="349"/>
        <v>167737.37841480621</v>
      </c>
      <c r="FO60" s="60">
        <f>+ES60*GX60</f>
        <v>49455.763357000003</v>
      </c>
      <c r="FP60" s="59">
        <f t="shared" si="350"/>
        <v>163490.86250557061</v>
      </c>
      <c r="FQ60" s="60">
        <f>+ES60*GY60</f>
        <v>48171.198075</v>
      </c>
      <c r="FR60" s="59">
        <f t="shared" si="351"/>
        <v>159244.346596335</v>
      </c>
      <c r="FS60" s="55">
        <f>+ES60*GZ60</f>
        <v>46886.632792999997</v>
      </c>
      <c r="FT60" s="59">
        <f t="shared" si="352"/>
        <v>154997.8306870994</v>
      </c>
      <c r="FU60" s="60">
        <f>+ES60*HA60</f>
        <v>45602.067510999994</v>
      </c>
      <c r="FV60" s="59">
        <f t="shared" si="353"/>
        <v>150751.31477786379</v>
      </c>
      <c r="FW60" s="60">
        <f>+ES60*HB60</f>
        <v>44317.502228999998</v>
      </c>
      <c r="FX60" s="59">
        <f t="shared" si="354"/>
        <v>146504.79886862819</v>
      </c>
      <c r="FY60" s="60">
        <f>+ES60*HC60</f>
        <v>43032.936946999995</v>
      </c>
      <c r="FZ60" s="59">
        <f t="shared" si="355"/>
        <v>142258.28295939259</v>
      </c>
      <c r="GA60" s="60">
        <f>+ES60*HD60</f>
        <v>41748.371664999991</v>
      </c>
      <c r="GB60" s="59">
        <f t="shared" si="356"/>
        <v>138011.76705015698</v>
      </c>
      <c r="GC60" s="55">
        <f>+ES60*HE60</f>
        <v>40463.806382999988</v>
      </c>
      <c r="GD60" s="59">
        <f t="shared" si="357"/>
        <v>133765.25114092138</v>
      </c>
      <c r="GE60" s="60">
        <f>+ES60*HF60</f>
        <v>39179.241100999992</v>
      </c>
      <c r="GF60" s="59">
        <f t="shared" si="358"/>
        <v>129518.73523168577</v>
      </c>
      <c r="GG60" s="60">
        <f>+ES60*HG60</f>
        <v>37894.675818999989</v>
      </c>
      <c r="GH60" s="59">
        <f t="shared" si="359"/>
        <v>125272.21932245017</v>
      </c>
      <c r="GI60" s="55">
        <f>+ES60*HH60</f>
        <v>36610.110536999986</v>
      </c>
      <c r="GJ60" s="59">
        <f t="shared" si="360"/>
        <v>121025.70341321455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4"/>
        <v>0.91</v>
      </c>
      <c r="GR60" s="55">
        <f t="shared" si="284"/>
        <v>0.89</v>
      </c>
      <c r="GS60" s="55">
        <f t="shared" si="284"/>
        <v>0.87</v>
      </c>
      <c r="GT60" s="55">
        <f t="shared" si="284"/>
        <v>0.85</v>
      </c>
      <c r="GU60" s="55">
        <f t="shared" si="284"/>
        <v>0.83</v>
      </c>
      <c r="GV60" s="55">
        <f t="shared" si="284"/>
        <v>0.80999999999999994</v>
      </c>
      <c r="GW60" s="55">
        <f t="shared" si="284"/>
        <v>0.78999999999999992</v>
      </c>
      <c r="GX60" s="55">
        <f t="shared" si="284"/>
        <v>0.76999999999999991</v>
      </c>
      <c r="GY60" s="55">
        <f t="shared" si="284"/>
        <v>0.74999999999999989</v>
      </c>
      <c r="GZ60" s="55">
        <f t="shared" si="284"/>
        <v>0.72999999999999987</v>
      </c>
      <c r="HA60" s="55">
        <f t="shared" si="284"/>
        <v>0.70999999999999985</v>
      </c>
      <c r="HB60" s="55">
        <f t="shared" si="284"/>
        <v>0.68999999999999984</v>
      </c>
      <c r="HC60" s="55">
        <f t="shared" si="284"/>
        <v>0.66999999999999982</v>
      </c>
      <c r="HD60" s="55">
        <f t="shared" si="284"/>
        <v>0.6499999999999998</v>
      </c>
      <c r="HE60" s="55">
        <f t="shared" si="284"/>
        <v>0.62999999999999978</v>
      </c>
      <c r="HF60" s="55">
        <f t="shared" si="284"/>
        <v>0.60999999999999976</v>
      </c>
      <c r="HG60" s="55">
        <f t="shared" si="284"/>
        <v>0.58999999999999975</v>
      </c>
      <c r="HH60" s="55">
        <f t="shared" si="284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1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2">+DW61-0.02</f>
        <v>0.91</v>
      </c>
      <c r="DY61" s="61">
        <f t="shared" si="362"/>
        <v>0.89</v>
      </c>
      <c r="DZ61" s="61">
        <f t="shared" si="362"/>
        <v>0.87</v>
      </c>
      <c r="EA61" s="61">
        <f t="shared" si="362"/>
        <v>0.85</v>
      </c>
      <c r="EB61" s="61">
        <f t="shared" si="362"/>
        <v>0.83</v>
      </c>
      <c r="EC61" s="61">
        <f t="shared" si="362"/>
        <v>0.80999999999999994</v>
      </c>
      <c r="ED61" s="61">
        <f t="shared" si="362"/>
        <v>0.78999999999999992</v>
      </c>
      <c r="EE61" s="61">
        <f t="shared" si="362"/>
        <v>0.76999999999999991</v>
      </c>
      <c r="EF61" s="61">
        <f t="shared" si="362"/>
        <v>0.74999999999999989</v>
      </c>
      <c r="EG61" s="61">
        <f t="shared" si="362"/>
        <v>0.72999999999999987</v>
      </c>
      <c r="EH61" s="61">
        <f t="shared" si="362"/>
        <v>0.70999999999999985</v>
      </c>
      <c r="EI61" s="61">
        <f t="shared" si="362"/>
        <v>0.68999999999999984</v>
      </c>
      <c r="EJ61" s="61">
        <f t="shared" si="362"/>
        <v>0.66999999999999982</v>
      </c>
      <c r="EK61" s="61">
        <f t="shared" si="362"/>
        <v>0.6499999999999998</v>
      </c>
      <c r="EL61" s="61">
        <f t="shared" si="362"/>
        <v>0.62999999999999978</v>
      </c>
      <c r="EM61" s="61">
        <f t="shared" si="362"/>
        <v>0.60999999999999976</v>
      </c>
      <c r="EN61" s="61">
        <f t="shared" si="362"/>
        <v>0.58999999999999975</v>
      </c>
      <c r="EO61" s="61">
        <f t="shared" si="362"/>
        <v>0.56999999999999973</v>
      </c>
      <c r="EQ61" s="61">
        <f t="shared" ref="EQ61:EQ62" si="363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64">+GO61-0.02</f>
        <v>0.91</v>
      </c>
      <c r="GQ61" s="61">
        <f t="shared" si="364"/>
        <v>0.89</v>
      </c>
      <c r="GR61" s="61">
        <f t="shared" si="364"/>
        <v>0.87</v>
      </c>
      <c r="GS61" s="61">
        <f t="shared" si="364"/>
        <v>0.85</v>
      </c>
      <c r="GT61" s="61">
        <f t="shared" si="364"/>
        <v>0.83</v>
      </c>
      <c r="GU61" s="61">
        <f t="shared" si="364"/>
        <v>0.80999999999999994</v>
      </c>
      <c r="GV61" s="61">
        <f t="shared" si="364"/>
        <v>0.78999999999999992</v>
      </c>
      <c r="GW61" s="61">
        <f t="shared" si="364"/>
        <v>0.76999999999999991</v>
      </c>
      <c r="GX61" s="61">
        <f t="shared" si="364"/>
        <v>0.74999999999999989</v>
      </c>
      <c r="GY61" s="61">
        <f t="shared" si="364"/>
        <v>0.72999999999999987</v>
      </c>
      <c r="GZ61" s="61">
        <f t="shared" si="364"/>
        <v>0.70999999999999985</v>
      </c>
      <c r="HA61" s="61">
        <f t="shared" si="364"/>
        <v>0.68999999999999984</v>
      </c>
      <c r="HB61" s="61">
        <f t="shared" si="364"/>
        <v>0.66999999999999982</v>
      </c>
      <c r="HC61" s="61">
        <f t="shared" si="364"/>
        <v>0.6499999999999998</v>
      </c>
      <c r="HD61" s="61">
        <f t="shared" si="364"/>
        <v>0.62999999999999978</v>
      </c>
      <c r="HE61" s="61">
        <f t="shared" si="364"/>
        <v>0.60999999999999976</v>
      </c>
      <c r="HF61" s="61">
        <f t="shared" si="364"/>
        <v>0.58999999999999975</v>
      </c>
      <c r="HG61" s="61">
        <f t="shared" si="364"/>
        <v>0.56999999999999973</v>
      </c>
    </row>
    <row r="62" spans="1:216" s="64" customFormat="1" ht="17.25" thickBot="1" x14ac:dyDescent="0.35">
      <c r="B62" s="64" t="s">
        <v>297</v>
      </c>
      <c r="C62" s="64" t="s">
        <v>298</v>
      </c>
      <c r="D62" s="65" t="s">
        <v>272</v>
      </c>
      <c r="E62" s="65" t="s">
        <v>155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1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2"/>
        <v>0.91</v>
      </c>
      <c r="DY62" s="61">
        <f t="shared" si="362"/>
        <v>0.89</v>
      </c>
      <c r="DZ62" s="61">
        <f t="shared" si="362"/>
        <v>0.87</v>
      </c>
      <c r="EA62" s="61">
        <f t="shared" si="362"/>
        <v>0.85</v>
      </c>
      <c r="EB62" s="61">
        <f t="shared" si="362"/>
        <v>0.83</v>
      </c>
      <c r="EC62" s="61">
        <f t="shared" si="362"/>
        <v>0.80999999999999994</v>
      </c>
      <c r="ED62" s="61">
        <f t="shared" si="362"/>
        <v>0.78999999999999992</v>
      </c>
      <c r="EE62" s="61">
        <f t="shared" si="362"/>
        <v>0.76999999999999991</v>
      </c>
      <c r="EF62" s="61">
        <f t="shared" si="362"/>
        <v>0.74999999999999989</v>
      </c>
      <c r="EG62" s="61">
        <f t="shared" si="362"/>
        <v>0.72999999999999987</v>
      </c>
      <c r="EH62" s="61">
        <f t="shared" si="362"/>
        <v>0.70999999999999985</v>
      </c>
      <c r="EI62" s="61">
        <f t="shared" si="362"/>
        <v>0.68999999999999984</v>
      </c>
      <c r="EJ62" s="61">
        <f t="shared" si="362"/>
        <v>0.66999999999999982</v>
      </c>
      <c r="EK62" s="61">
        <f t="shared" si="362"/>
        <v>0.6499999999999998</v>
      </c>
      <c r="EL62" s="61">
        <f t="shared" si="362"/>
        <v>0.62999999999999978</v>
      </c>
      <c r="EM62" s="61">
        <f t="shared" si="362"/>
        <v>0.60999999999999976</v>
      </c>
      <c r="EN62" s="61">
        <f t="shared" si="362"/>
        <v>0.58999999999999975</v>
      </c>
      <c r="EO62" s="61">
        <f t="shared" si="362"/>
        <v>0.56999999999999973</v>
      </c>
      <c r="EQ62" s="61">
        <f t="shared" si="363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64"/>
        <v>0.91</v>
      </c>
      <c r="GQ62" s="61">
        <f t="shared" si="364"/>
        <v>0.89</v>
      </c>
      <c r="GR62" s="61">
        <f t="shared" si="364"/>
        <v>0.87</v>
      </c>
      <c r="GS62" s="61">
        <f t="shared" si="364"/>
        <v>0.85</v>
      </c>
      <c r="GT62" s="61">
        <f t="shared" si="364"/>
        <v>0.83</v>
      </c>
      <c r="GU62" s="61">
        <f t="shared" si="364"/>
        <v>0.80999999999999994</v>
      </c>
      <c r="GV62" s="61">
        <f t="shared" si="364"/>
        <v>0.78999999999999992</v>
      </c>
      <c r="GW62" s="61">
        <f t="shared" si="364"/>
        <v>0.76999999999999991</v>
      </c>
      <c r="GX62" s="61">
        <f t="shared" si="364"/>
        <v>0.74999999999999989</v>
      </c>
      <c r="GY62" s="61">
        <f t="shared" si="364"/>
        <v>0.72999999999999987</v>
      </c>
      <c r="GZ62" s="61">
        <f t="shared" si="364"/>
        <v>0.70999999999999985</v>
      </c>
      <c r="HA62" s="61">
        <f t="shared" si="364"/>
        <v>0.68999999999999984</v>
      </c>
      <c r="HB62" s="61">
        <f t="shared" si="364"/>
        <v>0.66999999999999982</v>
      </c>
      <c r="HC62" s="61">
        <f t="shared" si="364"/>
        <v>0.6499999999999998</v>
      </c>
      <c r="HD62" s="61">
        <f t="shared" si="364"/>
        <v>0.62999999999999978</v>
      </c>
      <c r="HE62" s="61">
        <f t="shared" si="364"/>
        <v>0.60999999999999976</v>
      </c>
      <c r="HF62" s="61">
        <f t="shared" si="364"/>
        <v>0.58999999999999975</v>
      </c>
      <c r="HG62" s="61">
        <f t="shared" si="364"/>
        <v>0.56999999999999973</v>
      </c>
    </row>
    <row r="63" spans="1:216" x14ac:dyDescent="0.3">
      <c r="A63" s="2">
        <v>1</v>
      </c>
      <c r="C63" s="38" t="s">
        <v>30</v>
      </c>
      <c r="D63" s="40">
        <f>TRUNC(80771.5701093102,-1)</f>
        <v>80770</v>
      </c>
      <c r="E63" s="70">
        <f t="shared" ref="E63:E88" si="365">TRUNC(+D63*3.3058,-1)</f>
        <v>267000</v>
      </c>
      <c r="H63" s="55">
        <f t="shared" si="61"/>
        <v>293700</v>
      </c>
      <c r="I63" s="55">
        <f t="shared" si="62"/>
        <v>293700</v>
      </c>
      <c r="J63" s="59">
        <f t="shared" si="63"/>
        <v>970913.46000000008</v>
      </c>
      <c r="K63" s="55">
        <f t="shared" ref="K63:K89" si="366">+I63*BD63</f>
        <v>284889</v>
      </c>
      <c r="L63" s="59">
        <f t="shared" ref="L63:L89" si="367">+K63*3.3058</f>
        <v>941786.05619999999</v>
      </c>
      <c r="M63" s="55">
        <f t="shared" ref="M63:M89" si="368">+I63*BE63</f>
        <v>279015</v>
      </c>
      <c r="N63" s="59">
        <f t="shared" ref="N63:N89" si="369">+M63*3.3058</f>
        <v>922367.78700000001</v>
      </c>
      <c r="O63" s="55">
        <f t="shared" ref="O63:O89" si="370">+I63*BF63</f>
        <v>273141</v>
      </c>
      <c r="P63" s="59">
        <f t="shared" ref="P63:P89" si="371">+O63*3.3058</f>
        <v>902949.51780000003</v>
      </c>
      <c r="Q63" s="57">
        <f t="shared" ref="Q63:Q89" si="372">+I63*BG63</f>
        <v>267267</v>
      </c>
      <c r="R63" s="59">
        <f t="shared" ref="R63:R89" si="373">+Q63*3.3058</f>
        <v>883531.24860000005</v>
      </c>
      <c r="S63" s="55">
        <f t="shared" ref="S63:S89" si="374">+I63*BH63</f>
        <v>261393</v>
      </c>
      <c r="T63" s="59">
        <f t="shared" ref="T63:T89" si="375">+S63*3.3058</f>
        <v>864112.97940000007</v>
      </c>
      <c r="U63" s="57">
        <f t="shared" ref="U63:U89" si="376">+I63*BI63</f>
        <v>255519</v>
      </c>
      <c r="V63" s="59">
        <f t="shared" ref="V63:V89" si="377">+U63*3.3058</f>
        <v>844694.71019999997</v>
      </c>
      <c r="W63" s="60">
        <f t="shared" ref="W63:W89" si="378">+I63*BJ63</f>
        <v>249645</v>
      </c>
      <c r="X63" s="59">
        <f t="shared" ref="X63:X89" si="379">+W63*3.3058</f>
        <v>825276.44099999999</v>
      </c>
      <c r="Y63" s="57">
        <f t="shared" ref="Y63:Y89" si="380">+I63*BK63</f>
        <v>243771</v>
      </c>
      <c r="Z63" s="59">
        <f t="shared" ref="Z63:Z89" si="381">+Y63*3.3058</f>
        <v>805858.17180000001</v>
      </c>
      <c r="AA63" s="55">
        <f t="shared" ref="AA63:AA89" si="382">+I63*BL63</f>
        <v>237896.99999999997</v>
      </c>
      <c r="AB63" s="59">
        <f t="shared" ref="AB63:AB89" si="383">+AA63*3.3058</f>
        <v>786439.90259999991</v>
      </c>
      <c r="AC63" s="60">
        <f t="shared" ref="AC63:AC89" si="384">+I63*BM63</f>
        <v>232022.99999999997</v>
      </c>
      <c r="AD63" s="59">
        <f t="shared" ref="AD63:AD89" si="385">+AC63*3.3058</f>
        <v>767021.63339999993</v>
      </c>
      <c r="AE63" s="60">
        <f t="shared" ref="AE63:AE89" si="386">+I63*BN63</f>
        <v>226148.99999999997</v>
      </c>
      <c r="AF63" s="59">
        <f t="shared" ref="AF63:AF89" si="387">+AE63*3.3058</f>
        <v>747603.36419999995</v>
      </c>
      <c r="AG63" s="60">
        <f t="shared" ref="AG63:AG89" si="388">+I63*BO63</f>
        <v>220274.99999999997</v>
      </c>
      <c r="AH63" s="59">
        <f t="shared" ref="AH63:AH89" si="389">+AG63*3.3058</f>
        <v>728185.09499999997</v>
      </c>
      <c r="AI63" s="55">
        <f t="shared" ref="AI63:AI89" si="390">+I63*BP63</f>
        <v>214400.99999999997</v>
      </c>
      <c r="AJ63" s="59">
        <f t="shared" ref="AJ63:AJ89" si="391">+AI63*3.3058</f>
        <v>708766.82579999988</v>
      </c>
      <c r="AK63" s="60">
        <f t="shared" ref="AK63:AK89" si="392">+I63*BQ63</f>
        <v>208526.99999999997</v>
      </c>
      <c r="AL63" s="59">
        <f t="shared" ref="AL63:AL89" si="393">+AK63*3.3058</f>
        <v>689348.55659999989</v>
      </c>
      <c r="AM63" s="60">
        <f t="shared" ref="AM63:AM89" si="394">+I63*BR63</f>
        <v>202652.99999999994</v>
      </c>
      <c r="AN63" s="59">
        <f t="shared" ref="AN63:AN89" si="395">+AM63*3.3058</f>
        <v>669930.2873999998</v>
      </c>
      <c r="AO63" s="60">
        <f t="shared" ref="AO63:AO89" si="396">+I63*BS63</f>
        <v>196778.99999999994</v>
      </c>
      <c r="AP63" s="59">
        <f t="shared" ref="AP63:AP89" si="397">+AO63*3.3058</f>
        <v>650512.01819999982</v>
      </c>
      <c r="AQ63" s="60">
        <f t="shared" ref="AQ63:AQ89" si="398">+I63*BT63</f>
        <v>190904.99999999994</v>
      </c>
      <c r="AR63" s="59">
        <f t="shared" ref="AR63:AR89" si="399">+AQ63*3.3058</f>
        <v>631093.74899999984</v>
      </c>
      <c r="AS63" s="55">
        <f t="shared" ref="AS63:AS89" si="400">+I63*BU63</f>
        <v>185030.99999999994</v>
      </c>
      <c r="AT63" s="59">
        <f t="shared" ref="AT63:AT89" si="401">+AS63*3.3058</f>
        <v>611675.47979999986</v>
      </c>
      <c r="AU63" s="60">
        <f t="shared" ref="AU63:AU89" si="402">+I63*BV63</f>
        <v>179156.99999999994</v>
      </c>
      <c r="AV63" s="59">
        <f t="shared" ref="AV63:AV89" si="403">+AU63*3.3058</f>
        <v>592257.21059999987</v>
      </c>
      <c r="AW63" s="60">
        <f t="shared" ref="AW63:AW89" si="404">+I63*BW63</f>
        <v>173282.99999999991</v>
      </c>
      <c r="AX63" s="59">
        <f t="shared" ref="AX63:AX89" si="405">+AW63*3.3058</f>
        <v>572838.94139999978</v>
      </c>
      <c r="AY63" s="55">
        <f t="shared" ref="AY63:AY89" si="406">+I63*BX63</f>
        <v>167408.99999999991</v>
      </c>
      <c r="AZ63" s="59">
        <f t="shared" ref="AZ63:AZ89" si="407">+AY63*3.3058</f>
        <v>553420.67219999968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08">+BF63-0.02</f>
        <v>0.91</v>
      </c>
      <c r="BH63" s="55">
        <f t="shared" si="408"/>
        <v>0.89</v>
      </c>
      <c r="BI63" s="55">
        <f t="shared" si="408"/>
        <v>0.87</v>
      </c>
      <c r="BJ63" s="55">
        <f t="shared" si="408"/>
        <v>0.85</v>
      </c>
      <c r="BK63" s="55">
        <f t="shared" si="408"/>
        <v>0.83</v>
      </c>
      <c r="BL63" s="55">
        <f t="shared" si="408"/>
        <v>0.80999999999999994</v>
      </c>
      <c r="BM63" s="55">
        <f t="shared" si="408"/>
        <v>0.78999999999999992</v>
      </c>
      <c r="BN63" s="55">
        <f t="shared" si="408"/>
        <v>0.76999999999999991</v>
      </c>
      <c r="BO63" s="55">
        <f t="shared" si="408"/>
        <v>0.74999999999999989</v>
      </c>
      <c r="BP63" s="55">
        <f t="shared" si="408"/>
        <v>0.72999999999999987</v>
      </c>
      <c r="BQ63" s="55">
        <f t="shared" si="408"/>
        <v>0.70999999999999985</v>
      </c>
      <c r="BR63" s="55">
        <f t="shared" si="408"/>
        <v>0.68999999999999984</v>
      </c>
      <c r="BS63" s="55">
        <f t="shared" si="408"/>
        <v>0.66999999999999982</v>
      </c>
      <c r="BT63" s="55">
        <f t="shared" si="408"/>
        <v>0.6499999999999998</v>
      </c>
      <c r="BU63" s="55">
        <f t="shared" si="408"/>
        <v>0.62999999999999978</v>
      </c>
      <c r="BV63" s="55">
        <f t="shared" si="408"/>
        <v>0.60999999999999976</v>
      </c>
      <c r="BW63" s="55">
        <f t="shared" si="408"/>
        <v>0.58999999999999975</v>
      </c>
      <c r="BX63" s="55">
        <f t="shared" si="408"/>
        <v>0.56999999999999973</v>
      </c>
      <c r="BZ63" s="55">
        <f t="shared" si="88"/>
        <v>267267</v>
      </c>
      <c r="CA63" s="55">
        <f t="shared" si="89"/>
        <v>267267</v>
      </c>
      <c r="CB63" s="59">
        <f t="shared" ref="CB63:CB89" si="409">+CA63*3.3058</f>
        <v>883531.24860000005</v>
      </c>
      <c r="CC63" s="55">
        <f t="shared" ref="CC63:CC89" si="410">+CA63*DV63</f>
        <v>259248.99</v>
      </c>
      <c r="CD63" s="59">
        <f t="shared" ref="CD63:CD89" si="411">+CC63*3.3058</f>
        <v>857025.31114200002</v>
      </c>
      <c r="CE63" s="55">
        <f t="shared" ref="CE63:CE89" si="412">+CA63*DW63</f>
        <v>253903.65</v>
      </c>
      <c r="CF63" s="59">
        <f t="shared" ref="CF63:CF89" si="413">+CE63*3.3058</f>
        <v>839354.68617</v>
      </c>
      <c r="CG63" s="55">
        <f t="shared" ref="CG63:CG89" si="414">+CA63*DX63</f>
        <v>248558.31000000003</v>
      </c>
      <c r="CH63" s="59">
        <f t="shared" ref="CH63:CH89" si="415">+CG63*3.3058</f>
        <v>821684.0611980001</v>
      </c>
      <c r="CI63" s="57">
        <f t="shared" ref="CI63:CI89" si="416">+CA63*DY63</f>
        <v>243212.97</v>
      </c>
      <c r="CJ63" s="59">
        <f t="shared" ref="CJ63:CJ89" si="417">+CI63*3.3058</f>
        <v>804013.43622600008</v>
      </c>
      <c r="CK63" s="55">
        <f t="shared" ref="CK63:CK89" si="418">+CA63*DZ63</f>
        <v>237867.63</v>
      </c>
      <c r="CL63" s="59">
        <f t="shared" ref="CL63:CL89" si="419">+CK63*3.3058</f>
        <v>786342.81125400006</v>
      </c>
      <c r="CM63" s="57">
        <f t="shared" ref="CM63:CM89" si="420">+CA63*EA63</f>
        <v>232522.29</v>
      </c>
      <c r="CN63" s="59">
        <f t="shared" ref="CN63:CN89" si="421">+CM63*3.3058</f>
        <v>768672.18628200004</v>
      </c>
      <c r="CO63" s="60">
        <f t="shared" ref="CO63:CO89" si="422">+CA63*EB63</f>
        <v>227176.94999999998</v>
      </c>
      <c r="CP63" s="59">
        <f t="shared" ref="CP63:CP89" si="423">+CO63*3.3058</f>
        <v>751001.5613099999</v>
      </c>
      <c r="CQ63" s="57">
        <f t="shared" ref="CQ63:CQ89" si="424">+CA63*EC63</f>
        <v>221831.61</v>
      </c>
      <c r="CR63" s="59">
        <f t="shared" ref="CR63:CR89" si="425">+CQ63*3.3058</f>
        <v>733330.936338</v>
      </c>
      <c r="CS63" s="55">
        <f t="shared" ref="CS63:CS89" si="426">+CA63*ED63</f>
        <v>216486.27</v>
      </c>
      <c r="CT63" s="59">
        <f t="shared" ref="CT63:CT89" si="427">+CS63*3.3058</f>
        <v>715660.31136599998</v>
      </c>
      <c r="CU63" s="60">
        <f t="shared" ref="CU63:CU89" si="428">+CA63*EE63</f>
        <v>211140.93</v>
      </c>
      <c r="CV63" s="59">
        <f t="shared" ref="CV63:CV89" si="429">+CU63*3.3058</f>
        <v>697989.68639399996</v>
      </c>
      <c r="CW63" s="60">
        <f t="shared" ref="CW63:CW89" si="430">+CA63*EF63</f>
        <v>205795.58999999997</v>
      </c>
      <c r="CX63" s="59">
        <f t="shared" ref="CX63:CX89" si="431">+CW63*3.3058</f>
        <v>680319.06142199994</v>
      </c>
      <c r="CY63" s="60">
        <f t="shared" ref="CY63:CY89" si="432">+CA63*EG63</f>
        <v>200450.24999999997</v>
      </c>
      <c r="CZ63" s="59">
        <f t="shared" ref="CZ63:CZ89" si="433">+CY63*3.3058</f>
        <v>662648.43644999992</v>
      </c>
      <c r="DA63" s="55">
        <f t="shared" ref="DA63:DA89" si="434">+CA63*EH63</f>
        <v>195104.90999999997</v>
      </c>
      <c r="DB63" s="59">
        <f t="shared" ref="DB63:DB89" si="435">+DA63*3.3058</f>
        <v>644977.8114779999</v>
      </c>
      <c r="DC63" s="60">
        <f t="shared" ref="DC63:DC89" si="436">+CA63*EI63</f>
        <v>189759.56999999995</v>
      </c>
      <c r="DD63" s="59">
        <f t="shared" ref="DD63:DD89" si="437">+DC63*3.3058</f>
        <v>627307.18650599988</v>
      </c>
      <c r="DE63" s="60">
        <f t="shared" ref="DE63:DE89" si="438">+CA63*EJ63</f>
        <v>184414.22999999995</v>
      </c>
      <c r="DF63" s="59">
        <f t="shared" ref="DF63:DF89" si="439">+DE63*3.3058</f>
        <v>609636.56153399986</v>
      </c>
      <c r="DG63" s="60">
        <f t="shared" ref="DG63:DG89" si="440">+CA63*EK63</f>
        <v>179068.88999999996</v>
      </c>
      <c r="DH63" s="59">
        <f t="shared" ref="DH63:DH89" si="441">+DG63*3.3058</f>
        <v>591965.93656199984</v>
      </c>
      <c r="DI63" s="60">
        <f t="shared" ref="DI63:DI89" si="442">+CA63*EL63</f>
        <v>173723.54999999996</v>
      </c>
      <c r="DJ63" s="59">
        <f t="shared" ref="DJ63:DJ89" si="443">+DI63*3.3058</f>
        <v>574295.31158999982</v>
      </c>
      <c r="DK63" s="55">
        <f t="shared" ref="DK63:DK89" si="444">+CA63*EM63</f>
        <v>168378.20999999993</v>
      </c>
      <c r="DL63" s="59">
        <f t="shared" ref="DL63:DL89" si="445">+DK63*3.3058</f>
        <v>556624.6866179998</v>
      </c>
      <c r="DM63" s="60">
        <f t="shared" ref="DM63:DM89" si="446">+CA63*EN63</f>
        <v>163032.86999999994</v>
      </c>
      <c r="DN63" s="59">
        <f t="shared" ref="DN63:DN89" si="447">+DM63*3.3058</f>
        <v>538954.06164599978</v>
      </c>
      <c r="DO63" s="60">
        <f t="shared" ref="DO63:DO89" si="448">+CA63*EO63</f>
        <v>157687.52999999994</v>
      </c>
      <c r="DP63" s="59">
        <f t="shared" ref="DP63:DP89" si="449">+DO63*3.3058</f>
        <v>521283.43667399982</v>
      </c>
      <c r="DQ63" s="55">
        <f t="shared" ref="DQ63:DQ89" si="450">+CA63*EP63</f>
        <v>152342.18999999992</v>
      </c>
      <c r="DR63" s="59">
        <f t="shared" ref="DR63:DR89" si="451">+DQ63*3.3058</f>
        <v>503612.81170199974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3"/>
        <v>0.91</v>
      </c>
      <c r="DZ63" s="55">
        <f t="shared" si="283"/>
        <v>0.89</v>
      </c>
      <c r="EA63" s="55">
        <f t="shared" si="283"/>
        <v>0.87</v>
      </c>
      <c r="EB63" s="55">
        <f t="shared" ref="EB63:EP63" si="452">+EA63-0.02</f>
        <v>0.85</v>
      </c>
      <c r="EC63" s="55">
        <f t="shared" si="452"/>
        <v>0.83</v>
      </c>
      <c r="ED63" s="55">
        <f t="shared" si="452"/>
        <v>0.80999999999999994</v>
      </c>
      <c r="EE63" s="55">
        <f t="shared" si="452"/>
        <v>0.78999999999999992</v>
      </c>
      <c r="EF63" s="55">
        <f t="shared" si="452"/>
        <v>0.76999999999999991</v>
      </c>
      <c r="EG63" s="55">
        <f t="shared" si="452"/>
        <v>0.74999999999999989</v>
      </c>
      <c r="EH63" s="55">
        <f t="shared" si="452"/>
        <v>0.72999999999999987</v>
      </c>
      <c r="EI63" s="55">
        <f t="shared" si="452"/>
        <v>0.70999999999999985</v>
      </c>
      <c r="EJ63" s="55">
        <f t="shared" si="452"/>
        <v>0.68999999999999984</v>
      </c>
      <c r="EK63" s="55">
        <f t="shared" si="452"/>
        <v>0.66999999999999982</v>
      </c>
      <c r="EL63" s="55">
        <f t="shared" si="452"/>
        <v>0.6499999999999998</v>
      </c>
      <c r="EM63" s="55">
        <f t="shared" si="452"/>
        <v>0.62999999999999978</v>
      </c>
      <c r="EN63" s="55">
        <f t="shared" si="452"/>
        <v>0.60999999999999976</v>
      </c>
      <c r="EO63" s="55">
        <f t="shared" si="452"/>
        <v>0.58999999999999975</v>
      </c>
      <c r="EP63" s="55">
        <f t="shared" si="452"/>
        <v>0.56999999999999973</v>
      </c>
      <c r="ER63" s="55">
        <f t="shared" si="142"/>
        <v>243212.97</v>
      </c>
      <c r="ES63" s="55">
        <f t="shared" si="116"/>
        <v>243212.97</v>
      </c>
      <c r="ET63" s="59">
        <f t="shared" ref="ET63:ET89" si="453">+ES63*3.3058</f>
        <v>804013.43622600008</v>
      </c>
      <c r="EU63" s="55">
        <f t="shared" ref="EU63:EU89" si="454">+ES63*GN63</f>
        <v>235916.5809</v>
      </c>
      <c r="EV63" s="59">
        <f t="shared" ref="EV63:EV89" si="455">+EU63*3.3058</f>
        <v>779893.03313921997</v>
      </c>
      <c r="EW63" s="55">
        <f t="shared" ref="EW63:EW89" si="456">+ES63*GO63</f>
        <v>231052.32149999999</v>
      </c>
      <c r="EX63" s="59">
        <f t="shared" ref="EX63:EX89" si="457">+EW63*3.3058</f>
        <v>763812.76441469998</v>
      </c>
      <c r="EY63" s="55">
        <f t="shared" ref="EY63:EY89" si="458">+ES63*GP63</f>
        <v>226188.06210000001</v>
      </c>
      <c r="EZ63" s="59">
        <f t="shared" ref="EZ63:EZ89" si="459">+EY63*3.3058</f>
        <v>747732.49569018011</v>
      </c>
      <c r="FA63" s="57">
        <f t="shared" ref="FA63:FA89" si="460">+ES63*GQ63</f>
        <v>221323.8027</v>
      </c>
      <c r="FB63" s="59">
        <f t="shared" ref="FB63:FB89" si="461">+FA63*3.3058</f>
        <v>731652.22696566</v>
      </c>
      <c r="FC63" s="55">
        <f t="shared" ref="FC63:FC89" si="462">+ES63*GR63</f>
        <v>216459.54329999999</v>
      </c>
      <c r="FD63" s="59">
        <f t="shared" ref="FD63:FD89" si="463">+FC63*3.3058</f>
        <v>715571.95824114</v>
      </c>
      <c r="FE63" s="57">
        <f t="shared" ref="FE63:FE89" si="464">+ES63*GS63</f>
        <v>211595.28390000001</v>
      </c>
      <c r="FF63" s="59">
        <f t="shared" ref="FF63:FF89" si="465">+FE63*3.3058</f>
        <v>699491.68951662001</v>
      </c>
      <c r="FG63" s="60">
        <f t="shared" ref="FG63:FG89" si="466">+ES63*GT63</f>
        <v>206731.0245</v>
      </c>
      <c r="FH63" s="59">
        <f t="shared" ref="FH63:FH89" si="467">+FG63*3.3058</f>
        <v>683411.42079210002</v>
      </c>
      <c r="FI63" s="57">
        <f t="shared" ref="FI63:FI89" si="468">+ES63*GU63</f>
        <v>201866.76509999999</v>
      </c>
      <c r="FJ63" s="59">
        <f t="shared" ref="FJ63:FJ89" si="469">+FI63*3.3058</f>
        <v>667331.15206758003</v>
      </c>
      <c r="FK63" s="55">
        <f t="shared" ref="FK63:FK89" si="470">+ES63*GV63</f>
        <v>197002.50569999998</v>
      </c>
      <c r="FL63" s="59">
        <f t="shared" ref="FL63:FL89" si="471">+FK63*3.3058</f>
        <v>651250.88334305992</v>
      </c>
      <c r="FM63" s="60">
        <f t="shared" ref="FM63:FM89" si="472">+ES63*GW63</f>
        <v>192138.24629999997</v>
      </c>
      <c r="FN63" s="59">
        <f t="shared" ref="FN63:FN89" si="473">+FM63*3.3058</f>
        <v>635170.61461853993</v>
      </c>
      <c r="FO63" s="60">
        <f t="shared" ref="FO63:FO89" si="474">+ES63*GX63</f>
        <v>187273.98689999999</v>
      </c>
      <c r="FP63" s="59">
        <f t="shared" ref="FP63:FP89" si="475">+FO63*3.3058</f>
        <v>619090.34589401993</v>
      </c>
      <c r="FQ63" s="60">
        <f t="shared" ref="FQ63:FQ89" si="476">+ES63*GY63</f>
        <v>182409.72749999998</v>
      </c>
      <c r="FR63" s="59">
        <f t="shared" ref="FR63:FR89" si="477">+FQ63*3.3058</f>
        <v>603010.07716949994</v>
      </c>
      <c r="FS63" s="55">
        <f t="shared" ref="FS63:FS89" si="478">+ES63*GZ63</f>
        <v>177545.46809999997</v>
      </c>
      <c r="FT63" s="59">
        <f t="shared" ref="FT63:FT89" si="479">+FS63*3.3058</f>
        <v>586929.80844497995</v>
      </c>
      <c r="FU63" s="60">
        <f t="shared" ref="FU63:FU89" si="480">+ES63*HA63</f>
        <v>172681.20869999996</v>
      </c>
      <c r="FV63" s="59">
        <f t="shared" ref="FV63:FV89" si="481">+FU63*3.3058</f>
        <v>570849.53972045984</v>
      </c>
      <c r="FW63" s="60">
        <f t="shared" ref="FW63:FW89" si="482">+ES63*HB63</f>
        <v>167816.94929999995</v>
      </c>
      <c r="FX63" s="59">
        <f t="shared" ref="FX63:FX89" si="483">+FW63*3.3058</f>
        <v>554769.27099593985</v>
      </c>
      <c r="FY63" s="60">
        <f t="shared" ref="FY63:FY89" si="484">+ES63*HC63</f>
        <v>162952.68989999997</v>
      </c>
      <c r="FZ63" s="59">
        <f t="shared" ref="FZ63:FZ89" si="485">+FY63*3.3058</f>
        <v>538689.00227141986</v>
      </c>
      <c r="GA63" s="60">
        <f t="shared" ref="GA63:GA89" si="486">+ES63*HD63</f>
        <v>158088.43049999996</v>
      </c>
      <c r="GB63" s="59">
        <f t="shared" ref="GB63:GB89" si="487">+GA63*3.3058</f>
        <v>522608.73354689986</v>
      </c>
      <c r="GC63" s="55">
        <f t="shared" ref="GC63:GC89" si="488">+ES63*HE63</f>
        <v>153224.17109999995</v>
      </c>
      <c r="GD63" s="59">
        <f t="shared" ref="GD63:GD89" si="489">+GC63*3.3058</f>
        <v>506528.46482237981</v>
      </c>
      <c r="GE63" s="60">
        <f t="shared" ref="GE63:GE89" si="490">+ES63*HF63</f>
        <v>148359.91169999994</v>
      </c>
      <c r="GF63" s="59">
        <f t="shared" ref="GF63:GF89" si="491">+GE63*3.3058</f>
        <v>490448.19609785982</v>
      </c>
      <c r="GG63" s="60">
        <f t="shared" ref="GG63:GG89" si="492">+ES63*HG63</f>
        <v>143495.65229999993</v>
      </c>
      <c r="GH63" s="59">
        <f t="shared" ref="GH63:GH89" si="493">+GG63*3.3058</f>
        <v>474367.92737333977</v>
      </c>
      <c r="GI63" s="55">
        <f t="shared" ref="GI63:GI89" si="494">+ES63*HH63</f>
        <v>138631.39289999995</v>
      </c>
      <c r="GJ63" s="59">
        <f t="shared" ref="GJ63:GJ89" si="495">+GI63*3.3058</f>
        <v>458287.65864881984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4"/>
        <v>0.91</v>
      </c>
      <c r="GR63" s="55">
        <f t="shared" si="284"/>
        <v>0.89</v>
      </c>
      <c r="GS63" s="55">
        <f t="shared" si="284"/>
        <v>0.87</v>
      </c>
      <c r="GT63" s="55">
        <f t="shared" ref="GT63:HH63" si="496">+GS63-0.02</f>
        <v>0.85</v>
      </c>
      <c r="GU63" s="55">
        <f t="shared" si="496"/>
        <v>0.83</v>
      </c>
      <c r="GV63" s="55">
        <f t="shared" si="496"/>
        <v>0.80999999999999994</v>
      </c>
      <c r="GW63" s="55">
        <f t="shared" si="496"/>
        <v>0.78999999999999992</v>
      </c>
      <c r="GX63" s="55">
        <f t="shared" si="496"/>
        <v>0.76999999999999991</v>
      </c>
      <c r="GY63" s="55">
        <f t="shared" si="496"/>
        <v>0.74999999999999989</v>
      </c>
      <c r="GZ63" s="55">
        <f t="shared" si="496"/>
        <v>0.72999999999999987</v>
      </c>
      <c r="HA63" s="55">
        <f t="shared" si="496"/>
        <v>0.70999999999999985</v>
      </c>
      <c r="HB63" s="55">
        <f t="shared" si="496"/>
        <v>0.68999999999999984</v>
      </c>
      <c r="HC63" s="55">
        <f t="shared" si="496"/>
        <v>0.66999999999999982</v>
      </c>
      <c r="HD63" s="55">
        <f t="shared" si="496"/>
        <v>0.6499999999999998</v>
      </c>
      <c r="HE63" s="55">
        <f t="shared" si="496"/>
        <v>0.62999999999999978</v>
      </c>
      <c r="HF63" s="55">
        <f t="shared" si="496"/>
        <v>0.60999999999999976</v>
      </c>
      <c r="HG63" s="55">
        <f t="shared" si="496"/>
        <v>0.58999999999999975</v>
      </c>
      <c r="HH63" s="55">
        <f t="shared" si="496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v>0</v>
      </c>
      <c r="E64" s="71">
        <f t="shared" si="365"/>
        <v>0</v>
      </c>
      <c r="H64" s="55">
        <f t="shared" si="61"/>
        <v>0</v>
      </c>
      <c r="I64" s="55">
        <f t="shared" si="62"/>
        <v>0</v>
      </c>
      <c r="J64" s="59">
        <f t="shared" si="63"/>
        <v>0</v>
      </c>
      <c r="K64" s="55">
        <f t="shared" si="366"/>
        <v>0</v>
      </c>
      <c r="L64" s="59">
        <f t="shared" si="367"/>
        <v>0</v>
      </c>
      <c r="M64" s="55">
        <f t="shared" si="368"/>
        <v>0</v>
      </c>
      <c r="N64" s="59">
        <f t="shared" si="369"/>
        <v>0</v>
      </c>
      <c r="O64" s="55">
        <f t="shared" si="370"/>
        <v>0</v>
      </c>
      <c r="P64" s="59">
        <f t="shared" si="371"/>
        <v>0</v>
      </c>
      <c r="Q64" s="57">
        <f t="shared" si="372"/>
        <v>0</v>
      </c>
      <c r="R64" s="59">
        <f t="shared" si="373"/>
        <v>0</v>
      </c>
      <c r="S64" s="55">
        <f t="shared" si="374"/>
        <v>0</v>
      </c>
      <c r="T64" s="59">
        <f t="shared" si="375"/>
        <v>0</v>
      </c>
      <c r="U64" s="57">
        <f t="shared" si="376"/>
        <v>0</v>
      </c>
      <c r="V64" s="59">
        <f t="shared" si="377"/>
        <v>0</v>
      </c>
      <c r="W64" s="60">
        <f t="shared" si="378"/>
        <v>0</v>
      </c>
      <c r="X64" s="59">
        <f t="shared" si="379"/>
        <v>0</v>
      </c>
      <c r="Y64" s="57">
        <f t="shared" si="380"/>
        <v>0</v>
      </c>
      <c r="Z64" s="59">
        <f t="shared" si="381"/>
        <v>0</v>
      </c>
      <c r="AA64" s="55">
        <f t="shared" si="382"/>
        <v>0</v>
      </c>
      <c r="AB64" s="59">
        <f t="shared" si="383"/>
        <v>0</v>
      </c>
      <c r="AC64" s="60">
        <f t="shared" si="384"/>
        <v>0</v>
      </c>
      <c r="AD64" s="59">
        <f t="shared" si="385"/>
        <v>0</v>
      </c>
      <c r="AE64" s="60">
        <f t="shared" si="386"/>
        <v>0</v>
      </c>
      <c r="AF64" s="59">
        <f t="shared" si="387"/>
        <v>0</v>
      </c>
      <c r="AG64" s="60">
        <f t="shared" si="388"/>
        <v>0</v>
      </c>
      <c r="AH64" s="59">
        <f t="shared" si="389"/>
        <v>0</v>
      </c>
      <c r="AI64" s="55">
        <f t="shared" si="390"/>
        <v>0</v>
      </c>
      <c r="AJ64" s="59">
        <f t="shared" si="391"/>
        <v>0</v>
      </c>
      <c r="AK64" s="60">
        <f t="shared" si="392"/>
        <v>0</v>
      </c>
      <c r="AL64" s="59">
        <f t="shared" si="393"/>
        <v>0</v>
      </c>
      <c r="AM64" s="60">
        <f t="shared" si="394"/>
        <v>0</v>
      </c>
      <c r="AN64" s="59">
        <f t="shared" si="395"/>
        <v>0</v>
      </c>
      <c r="AO64" s="60">
        <f t="shared" si="396"/>
        <v>0</v>
      </c>
      <c r="AP64" s="59">
        <f t="shared" si="397"/>
        <v>0</v>
      </c>
      <c r="AQ64" s="60">
        <f t="shared" si="398"/>
        <v>0</v>
      </c>
      <c r="AR64" s="59">
        <f t="shared" si="399"/>
        <v>0</v>
      </c>
      <c r="AS64" s="55">
        <f t="shared" si="400"/>
        <v>0</v>
      </c>
      <c r="AT64" s="59">
        <f t="shared" si="401"/>
        <v>0</v>
      </c>
      <c r="AU64" s="60">
        <f t="shared" si="402"/>
        <v>0</v>
      </c>
      <c r="AV64" s="59">
        <f t="shared" si="403"/>
        <v>0</v>
      </c>
      <c r="AW64" s="60">
        <f t="shared" si="404"/>
        <v>0</v>
      </c>
      <c r="AX64" s="59">
        <f t="shared" si="405"/>
        <v>0</v>
      </c>
      <c r="AY64" s="55">
        <f t="shared" si="406"/>
        <v>0</v>
      </c>
      <c r="AZ64" s="59">
        <f t="shared" si="407"/>
        <v>0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08"/>
        <v>0.91</v>
      </c>
      <c r="BH64" s="55">
        <f t="shared" si="408"/>
        <v>0.89</v>
      </c>
      <c r="BI64" s="55">
        <f t="shared" si="408"/>
        <v>0.87</v>
      </c>
      <c r="BJ64" s="55">
        <f t="shared" si="408"/>
        <v>0.85</v>
      </c>
      <c r="BK64" s="55">
        <f t="shared" si="408"/>
        <v>0.83</v>
      </c>
      <c r="BL64" s="55">
        <f t="shared" si="408"/>
        <v>0.80999999999999994</v>
      </c>
      <c r="BM64" s="55">
        <f t="shared" si="408"/>
        <v>0.78999999999999992</v>
      </c>
      <c r="BN64" s="55">
        <f t="shared" si="408"/>
        <v>0.76999999999999991</v>
      </c>
      <c r="BO64" s="55">
        <f t="shared" si="408"/>
        <v>0.74999999999999989</v>
      </c>
      <c r="BP64" s="55">
        <f t="shared" si="408"/>
        <v>0.72999999999999987</v>
      </c>
      <c r="BQ64" s="55">
        <f t="shared" si="408"/>
        <v>0.70999999999999985</v>
      </c>
      <c r="BR64" s="55">
        <f t="shared" si="408"/>
        <v>0.68999999999999984</v>
      </c>
      <c r="BS64" s="55">
        <f t="shared" si="408"/>
        <v>0.66999999999999982</v>
      </c>
      <c r="BT64" s="55">
        <f t="shared" si="408"/>
        <v>0.6499999999999998</v>
      </c>
      <c r="BU64" s="55">
        <f t="shared" si="408"/>
        <v>0.62999999999999978</v>
      </c>
      <c r="BV64" s="55">
        <f t="shared" si="408"/>
        <v>0.60999999999999976</v>
      </c>
      <c r="BW64" s="55">
        <f t="shared" si="408"/>
        <v>0.58999999999999975</v>
      </c>
      <c r="BX64" s="55">
        <f t="shared" si="408"/>
        <v>0.56999999999999973</v>
      </c>
      <c r="BZ64" s="55">
        <f t="shared" si="88"/>
        <v>0</v>
      </c>
      <c r="CA64" s="55">
        <f t="shared" si="89"/>
        <v>0</v>
      </c>
      <c r="CB64" s="59">
        <f t="shared" si="409"/>
        <v>0</v>
      </c>
      <c r="CC64" s="55">
        <f t="shared" si="410"/>
        <v>0</v>
      </c>
      <c r="CD64" s="59">
        <f t="shared" si="411"/>
        <v>0</v>
      </c>
      <c r="CE64" s="55">
        <f t="shared" si="412"/>
        <v>0</v>
      </c>
      <c r="CF64" s="59">
        <f t="shared" si="413"/>
        <v>0</v>
      </c>
      <c r="CG64" s="55">
        <f t="shared" si="414"/>
        <v>0</v>
      </c>
      <c r="CH64" s="59">
        <f t="shared" si="415"/>
        <v>0</v>
      </c>
      <c r="CI64" s="57">
        <f t="shared" si="416"/>
        <v>0</v>
      </c>
      <c r="CJ64" s="59">
        <f t="shared" si="417"/>
        <v>0</v>
      </c>
      <c r="CK64" s="55">
        <f t="shared" si="418"/>
        <v>0</v>
      </c>
      <c r="CL64" s="59">
        <f t="shared" si="419"/>
        <v>0</v>
      </c>
      <c r="CM64" s="57">
        <f t="shared" si="420"/>
        <v>0</v>
      </c>
      <c r="CN64" s="59">
        <f t="shared" si="421"/>
        <v>0</v>
      </c>
      <c r="CO64" s="60">
        <f t="shared" si="422"/>
        <v>0</v>
      </c>
      <c r="CP64" s="59">
        <f t="shared" si="423"/>
        <v>0</v>
      </c>
      <c r="CQ64" s="57">
        <f t="shared" si="424"/>
        <v>0</v>
      </c>
      <c r="CR64" s="59">
        <f t="shared" si="425"/>
        <v>0</v>
      </c>
      <c r="CS64" s="55">
        <f t="shared" si="426"/>
        <v>0</v>
      </c>
      <c r="CT64" s="59">
        <f t="shared" si="427"/>
        <v>0</v>
      </c>
      <c r="CU64" s="60">
        <f t="shared" si="428"/>
        <v>0</v>
      </c>
      <c r="CV64" s="59">
        <f t="shared" si="429"/>
        <v>0</v>
      </c>
      <c r="CW64" s="60">
        <f t="shared" si="430"/>
        <v>0</v>
      </c>
      <c r="CX64" s="59">
        <f t="shared" si="431"/>
        <v>0</v>
      </c>
      <c r="CY64" s="60">
        <f t="shared" si="432"/>
        <v>0</v>
      </c>
      <c r="CZ64" s="59">
        <f t="shared" si="433"/>
        <v>0</v>
      </c>
      <c r="DA64" s="55">
        <f t="shared" si="434"/>
        <v>0</v>
      </c>
      <c r="DB64" s="59">
        <f t="shared" si="435"/>
        <v>0</v>
      </c>
      <c r="DC64" s="60">
        <f t="shared" si="436"/>
        <v>0</v>
      </c>
      <c r="DD64" s="59">
        <f t="shared" si="437"/>
        <v>0</v>
      </c>
      <c r="DE64" s="60">
        <f t="shared" si="438"/>
        <v>0</v>
      </c>
      <c r="DF64" s="59">
        <f t="shared" si="439"/>
        <v>0</v>
      </c>
      <c r="DG64" s="60">
        <f t="shared" si="440"/>
        <v>0</v>
      </c>
      <c r="DH64" s="59">
        <f t="shared" si="441"/>
        <v>0</v>
      </c>
      <c r="DI64" s="60">
        <f t="shared" si="442"/>
        <v>0</v>
      </c>
      <c r="DJ64" s="59">
        <f t="shared" si="443"/>
        <v>0</v>
      </c>
      <c r="DK64" s="55">
        <f t="shared" si="444"/>
        <v>0</v>
      </c>
      <c r="DL64" s="59">
        <f t="shared" si="445"/>
        <v>0</v>
      </c>
      <c r="DM64" s="60">
        <f t="shared" si="446"/>
        <v>0</v>
      </c>
      <c r="DN64" s="59">
        <f t="shared" si="447"/>
        <v>0</v>
      </c>
      <c r="DO64" s="60">
        <f t="shared" si="448"/>
        <v>0</v>
      </c>
      <c r="DP64" s="59">
        <f t="shared" si="449"/>
        <v>0</v>
      </c>
      <c r="DQ64" s="55">
        <f t="shared" si="450"/>
        <v>0</v>
      </c>
      <c r="DR64" s="59">
        <f t="shared" si="451"/>
        <v>0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497">+DX64-0.02</f>
        <v>0.91</v>
      </c>
      <c r="DZ64" s="55">
        <f t="shared" si="497"/>
        <v>0.89</v>
      </c>
      <c r="EA64" s="55">
        <f t="shared" si="497"/>
        <v>0.87</v>
      </c>
      <c r="EB64" s="55">
        <f t="shared" si="497"/>
        <v>0.85</v>
      </c>
      <c r="EC64" s="55">
        <f t="shared" si="497"/>
        <v>0.83</v>
      </c>
      <c r="ED64" s="55">
        <f t="shared" si="497"/>
        <v>0.80999999999999994</v>
      </c>
      <c r="EE64" s="55">
        <f t="shared" si="497"/>
        <v>0.78999999999999992</v>
      </c>
      <c r="EF64" s="55">
        <f t="shared" si="497"/>
        <v>0.76999999999999991</v>
      </c>
      <c r="EG64" s="55">
        <f t="shared" si="497"/>
        <v>0.74999999999999989</v>
      </c>
      <c r="EH64" s="55">
        <f t="shared" si="497"/>
        <v>0.72999999999999987</v>
      </c>
      <c r="EI64" s="55">
        <f t="shared" si="497"/>
        <v>0.70999999999999985</v>
      </c>
      <c r="EJ64" s="55">
        <f t="shared" si="497"/>
        <v>0.68999999999999984</v>
      </c>
      <c r="EK64" s="55">
        <f t="shared" si="497"/>
        <v>0.66999999999999982</v>
      </c>
      <c r="EL64" s="55">
        <f t="shared" si="497"/>
        <v>0.6499999999999998</v>
      </c>
      <c r="EM64" s="55">
        <f t="shared" si="497"/>
        <v>0.62999999999999978</v>
      </c>
      <c r="EN64" s="55">
        <f t="shared" si="497"/>
        <v>0.60999999999999976</v>
      </c>
      <c r="EO64" s="55">
        <f t="shared" si="497"/>
        <v>0.58999999999999975</v>
      </c>
      <c r="EP64" s="55">
        <f t="shared" si="497"/>
        <v>0.56999999999999973</v>
      </c>
      <c r="ER64" s="55">
        <f t="shared" si="142"/>
        <v>0</v>
      </c>
      <c r="ES64" s="55">
        <f t="shared" si="116"/>
        <v>0</v>
      </c>
      <c r="ET64" s="59">
        <f t="shared" si="453"/>
        <v>0</v>
      </c>
      <c r="EU64" s="55">
        <f t="shared" si="454"/>
        <v>0</v>
      </c>
      <c r="EV64" s="59">
        <f t="shared" si="455"/>
        <v>0</v>
      </c>
      <c r="EW64" s="55">
        <f t="shared" si="456"/>
        <v>0</v>
      </c>
      <c r="EX64" s="59">
        <f t="shared" si="457"/>
        <v>0</v>
      </c>
      <c r="EY64" s="55">
        <f t="shared" si="458"/>
        <v>0</v>
      </c>
      <c r="EZ64" s="59">
        <f t="shared" si="459"/>
        <v>0</v>
      </c>
      <c r="FA64" s="57">
        <f t="shared" si="460"/>
        <v>0</v>
      </c>
      <c r="FB64" s="59">
        <f t="shared" si="461"/>
        <v>0</v>
      </c>
      <c r="FC64" s="55">
        <f t="shared" si="462"/>
        <v>0</v>
      </c>
      <c r="FD64" s="59">
        <f t="shared" si="463"/>
        <v>0</v>
      </c>
      <c r="FE64" s="57">
        <f t="shared" si="464"/>
        <v>0</v>
      </c>
      <c r="FF64" s="59">
        <f t="shared" si="465"/>
        <v>0</v>
      </c>
      <c r="FG64" s="60">
        <f t="shared" si="466"/>
        <v>0</v>
      </c>
      <c r="FH64" s="59">
        <f t="shared" si="467"/>
        <v>0</v>
      </c>
      <c r="FI64" s="57">
        <f t="shared" si="468"/>
        <v>0</v>
      </c>
      <c r="FJ64" s="59">
        <f t="shared" si="469"/>
        <v>0</v>
      </c>
      <c r="FK64" s="55">
        <f t="shared" si="470"/>
        <v>0</v>
      </c>
      <c r="FL64" s="59">
        <f t="shared" si="471"/>
        <v>0</v>
      </c>
      <c r="FM64" s="60">
        <f t="shared" si="472"/>
        <v>0</v>
      </c>
      <c r="FN64" s="59">
        <f t="shared" si="473"/>
        <v>0</v>
      </c>
      <c r="FO64" s="60">
        <f t="shared" si="474"/>
        <v>0</v>
      </c>
      <c r="FP64" s="59">
        <f t="shared" si="475"/>
        <v>0</v>
      </c>
      <c r="FQ64" s="60">
        <f t="shared" si="476"/>
        <v>0</v>
      </c>
      <c r="FR64" s="59">
        <f t="shared" si="477"/>
        <v>0</v>
      </c>
      <c r="FS64" s="55">
        <f t="shared" si="478"/>
        <v>0</v>
      </c>
      <c r="FT64" s="59">
        <f t="shared" si="479"/>
        <v>0</v>
      </c>
      <c r="FU64" s="60">
        <f t="shared" si="480"/>
        <v>0</v>
      </c>
      <c r="FV64" s="59">
        <f t="shared" si="481"/>
        <v>0</v>
      </c>
      <c r="FW64" s="60">
        <f t="shared" si="482"/>
        <v>0</v>
      </c>
      <c r="FX64" s="59">
        <f t="shared" si="483"/>
        <v>0</v>
      </c>
      <c r="FY64" s="60">
        <f t="shared" si="484"/>
        <v>0</v>
      </c>
      <c r="FZ64" s="59">
        <f t="shared" si="485"/>
        <v>0</v>
      </c>
      <c r="GA64" s="60">
        <f t="shared" si="486"/>
        <v>0</v>
      </c>
      <c r="GB64" s="59">
        <f t="shared" si="487"/>
        <v>0</v>
      </c>
      <c r="GC64" s="55">
        <f t="shared" si="488"/>
        <v>0</v>
      </c>
      <c r="GD64" s="59">
        <f t="shared" si="489"/>
        <v>0</v>
      </c>
      <c r="GE64" s="60">
        <f t="shared" si="490"/>
        <v>0</v>
      </c>
      <c r="GF64" s="59">
        <f t="shared" si="491"/>
        <v>0</v>
      </c>
      <c r="GG64" s="60">
        <f t="shared" si="492"/>
        <v>0</v>
      </c>
      <c r="GH64" s="59">
        <f t="shared" si="493"/>
        <v>0</v>
      </c>
      <c r="GI64" s="55">
        <f t="shared" si="494"/>
        <v>0</v>
      </c>
      <c r="GJ64" s="59">
        <f t="shared" si="495"/>
        <v>0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498">+GP64-0.02</f>
        <v>0.91</v>
      </c>
      <c r="GR64" s="55">
        <f t="shared" si="498"/>
        <v>0.89</v>
      </c>
      <c r="GS64" s="55">
        <f t="shared" si="498"/>
        <v>0.87</v>
      </c>
      <c r="GT64" s="55">
        <f t="shared" si="498"/>
        <v>0.85</v>
      </c>
      <c r="GU64" s="55">
        <f t="shared" si="498"/>
        <v>0.83</v>
      </c>
      <c r="GV64" s="55">
        <f t="shared" si="498"/>
        <v>0.80999999999999994</v>
      </c>
      <c r="GW64" s="55">
        <f t="shared" si="498"/>
        <v>0.78999999999999992</v>
      </c>
      <c r="GX64" s="55">
        <f t="shared" si="498"/>
        <v>0.76999999999999991</v>
      </c>
      <c r="GY64" s="55">
        <f t="shared" si="498"/>
        <v>0.74999999999999989</v>
      </c>
      <c r="GZ64" s="55">
        <f t="shared" si="498"/>
        <v>0.72999999999999987</v>
      </c>
      <c r="HA64" s="55">
        <f t="shared" si="498"/>
        <v>0.70999999999999985</v>
      </c>
      <c r="HB64" s="55">
        <f t="shared" si="498"/>
        <v>0.68999999999999984</v>
      </c>
      <c r="HC64" s="55">
        <f t="shared" si="498"/>
        <v>0.66999999999999982</v>
      </c>
      <c r="HD64" s="55">
        <f t="shared" si="498"/>
        <v>0.6499999999999998</v>
      </c>
      <c r="HE64" s="55">
        <f t="shared" si="498"/>
        <v>0.62999999999999978</v>
      </c>
      <c r="HF64" s="55">
        <f t="shared" si="498"/>
        <v>0.60999999999999976</v>
      </c>
      <c r="HG64" s="55">
        <f t="shared" si="498"/>
        <v>0.58999999999999975</v>
      </c>
      <c r="HH64" s="55">
        <f t="shared" si="498"/>
        <v>0.56999999999999973</v>
      </c>
    </row>
    <row r="65" spans="1:216" x14ac:dyDescent="0.3">
      <c r="A65" s="2">
        <v>3</v>
      </c>
      <c r="C65" s="38" t="s">
        <v>32</v>
      </c>
      <c r="D65" s="42">
        <v>0</v>
      </c>
      <c r="E65" s="71">
        <f t="shared" si="365"/>
        <v>0</v>
      </c>
      <c r="H65" s="55">
        <f t="shared" si="61"/>
        <v>0</v>
      </c>
      <c r="I65" s="55">
        <f t="shared" si="62"/>
        <v>0</v>
      </c>
      <c r="J65" s="59">
        <f t="shared" si="63"/>
        <v>0</v>
      </c>
      <c r="K65" s="55">
        <f t="shared" si="366"/>
        <v>0</v>
      </c>
      <c r="L65" s="59">
        <f t="shared" si="367"/>
        <v>0</v>
      </c>
      <c r="M65" s="55">
        <f t="shared" si="368"/>
        <v>0</v>
      </c>
      <c r="N65" s="59">
        <f t="shared" si="369"/>
        <v>0</v>
      </c>
      <c r="O65" s="55">
        <f t="shared" si="370"/>
        <v>0</v>
      </c>
      <c r="P65" s="59">
        <f t="shared" si="371"/>
        <v>0</v>
      </c>
      <c r="Q65" s="57">
        <f t="shared" si="372"/>
        <v>0</v>
      </c>
      <c r="R65" s="59">
        <f t="shared" si="373"/>
        <v>0</v>
      </c>
      <c r="S65" s="55">
        <f t="shared" si="374"/>
        <v>0</v>
      </c>
      <c r="T65" s="59">
        <f t="shared" si="375"/>
        <v>0</v>
      </c>
      <c r="U65" s="57">
        <f t="shared" si="376"/>
        <v>0</v>
      </c>
      <c r="V65" s="59">
        <f t="shared" si="377"/>
        <v>0</v>
      </c>
      <c r="W65" s="60">
        <f t="shared" si="378"/>
        <v>0</v>
      </c>
      <c r="X65" s="59">
        <f t="shared" si="379"/>
        <v>0</v>
      </c>
      <c r="Y65" s="57">
        <f t="shared" si="380"/>
        <v>0</v>
      </c>
      <c r="Z65" s="59">
        <f t="shared" si="381"/>
        <v>0</v>
      </c>
      <c r="AA65" s="55">
        <f t="shared" si="382"/>
        <v>0</v>
      </c>
      <c r="AB65" s="59">
        <f t="shared" si="383"/>
        <v>0</v>
      </c>
      <c r="AC65" s="60">
        <f t="shared" si="384"/>
        <v>0</v>
      </c>
      <c r="AD65" s="59">
        <f t="shared" si="385"/>
        <v>0</v>
      </c>
      <c r="AE65" s="60">
        <f t="shared" si="386"/>
        <v>0</v>
      </c>
      <c r="AF65" s="59">
        <f t="shared" si="387"/>
        <v>0</v>
      </c>
      <c r="AG65" s="60">
        <f t="shared" si="388"/>
        <v>0</v>
      </c>
      <c r="AH65" s="59">
        <f t="shared" si="389"/>
        <v>0</v>
      </c>
      <c r="AI65" s="55">
        <f t="shared" si="390"/>
        <v>0</v>
      </c>
      <c r="AJ65" s="59">
        <f t="shared" si="391"/>
        <v>0</v>
      </c>
      <c r="AK65" s="60">
        <f t="shared" si="392"/>
        <v>0</v>
      </c>
      <c r="AL65" s="59">
        <f t="shared" si="393"/>
        <v>0</v>
      </c>
      <c r="AM65" s="60">
        <f t="shared" si="394"/>
        <v>0</v>
      </c>
      <c r="AN65" s="59">
        <f t="shared" si="395"/>
        <v>0</v>
      </c>
      <c r="AO65" s="60">
        <f t="shared" si="396"/>
        <v>0</v>
      </c>
      <c r="AP65" s="59">
        <f t="shared" si="397"/>
        <v>0</v>
      </c>
      <c r="AQ65" s="60">
        <f t="shared" si="398"/>
        <v>0</v>
      </c>
      <c r="AR65" s="59">
        <f t="shared" si="399"/>
        <v>0</v>
      </c>
      <c r="AS65" s="55">
        <f t="shared" si="400"/>
        <v>0</v>
      </c>
      <c r="AT65" s="59">
        <f t="shared" si="401"/>
        <v>0</v>
      </c>
      <c r="AU65" s="60">
        <f t="shared" si="402"/>
        <v>0</v>
      </c>
      <c r="AV65" s="59">
        <f t="shared" si="403"/>
        <v>0</v>
      </c>
      <c r="AW65" s="60">
        <f t="shared" si="404"/>
        <v>0</v>
      </c>
      <c r="AX65" s="59">
        <f t="shared" si="405"/>
        <v>0</v>
      </c>
      <c r="AY65" s="55">
        <f t="shared" si="406"/>
        <v>0</v>
      </c>
      <c r="AZ65" s="59">
        <f t="shared" si="407"/>
        <v>0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08"/>
        <v>0.91</v>
      </c>
      <c r="BH65" s="55">
        <f t="shared" si="408"/>
        <v>0.89</v>
      </c>
      <c r="BI65" s="55">
        <f t="shared" si="408"/>
        <v>0.87</v>
      </c>
      <c r="BJ65" s="55">
        <f t="shared" si="408"/>
        <v>0.85</v>
      </c>
      <c r="BK65" s="55">
        <f t="shared" si="408"/>
        <v>0.83</v>
      </c>
      <c r="BL65" s="55">
        <f t="shared" si="408"/>
        <v>0.80999999999999994</v>
      </c>
      <c r="BM65" s="55">
        <f t="shared" si="408"/>
        <v>0.78999999999999992</v>
      </c>
      <c r="BN65" s="55">
        <f t="shared" si="408"/>
        <v>0.76999999999999991</v>
      </c>
      <c r="BO65" s="55">
        <f t="shared" si="408"/>
        <v>0.74999999999999989</v>
      </c>
      <c r="BP65" s="55">
        <f t="shared" si="408"/>
        <v>0.72999999999999987</v>
      </c>
      <c r="BQ65" s="55">
        <f t="shared" si="408"/>
        <v>0.70999999999999985</v>
      </c>
      <c r="BR65" s="55">
        <f t="shared" si="408"/>
        <v>0.68999999999999984</v>
      </c>
      <c r="BS65" s="55">
        <f t="shared" si="408"/>
        <v>0.66999999999999982</v>
      </c>
      <c r="BT65" s="55">
        <f t="shared" si="408"/>
        <v>0.6499999999999998</v>
      </c>
      <c r="BU65" s="55">
        <f t="shared" si="408"/>
        <v>0.62999999999999978</v>
      </c>
      <c r="BV65" s="55">
        <f t="shared" si="408"/>
        <v>0.60999999999999976</v>
      </c>
      <c r="BW65" s="55">
        <f t="shared" si="408"/>
        <v>0.58999999999999975</v>
      </c>
      <c r="BX65" s="55">
        <f t="shared" si="408"/>
        <v>0.56999999999999973</v>
      </c>
      <c r="BZ65" s="55">
        <f t="shared" si="88"/>
        <v>0</v>
      </c>
      <c r="CA65" s="55">
        <f t="shared" si="89"/>
        <v>0</v>
      </c>
      <c r="CB65" s="59">
        <f t="shared" si="409"/>
        <v>0</v>
      </c>
      <c r="CC65" s="55">
        <f t="shared" si="410"/>
        <v>0</v>
      </c>
      <c r="CD65" s="59">
        <f t="shared" si="411"/>
        <v>0</v>
      </c>
      <c r="CE65" s="55">
        <f t="shared" si="412"/>
        <v>0</v>
      </c>
      <c r="CF65" s="59">
        <f t="shared" si="413"/>
        <v>0</v>
      </c>
      <c r="CG65" s="55">
        <f t="shared" si="414"/>
        <v>0</v>
      </c>
      <c r="CH65" s="59">
        <f t="shared" si="415"/>
        <v>0</v>
      </c>
      <c r="CI65" s="57">
        <f t="shared" si="416"/>
        <v>0</v>
      </c>
      <c r="CJ65" s="59">
        <f t="shared" si="417"/>
        <v>0</v>
      </c>
      <c r="CK65" s="55">
        <f t="shared" si="418"/>
        <v>0</v>
      </c>
      <c r="CL65" s="59">
        <f t="shared" si="419"/>
        <v>0</v>
      </c>
      <c r="CM65" s="57">
        <f t="shared" si="420"/>
        <v>0</v>
      </c>
      <c r="CN65" s="59">
        <f t="shared" si="421"/>
        <v>0</v>
      </c>
      <c r="CO65" s="60">
        <f t="shared" si="422"/>
        <v>0</v>
      </c>
      <c r="CP65" s="59">
        <f t="shared" si="423"/>
        <v>0</v>
      </c>
      <c r="CQ65" s="57">
        <f t="shared" si="424"/>
        <v>0</v>
      </c>
      <c r="CR65" s="59">
        <f t="shared" si="425"/>
        <v>0</v>
      </c>
      <c r="CS65" s="55">
        <f t="shared" si="426"/>
        <v>0</v>
      </c>
      <c r="CT65" s="59">
        <f t="shared" si="427"/>
        <v>0</v>
      </c>
      <c r="CU65" s="60">
        <f t="shared" si="428"/>
        <v>0</v>
      </c>
      <c r="CV65" s="59">
        <f t="shared" si="429"/>
        <v>0</v>
      </c>
      <c r="CW65" s="60">
        <f t="shared" si="430"/>
        <v>0</v>
      </c>
      <c r="CX65" s="59">
        <f t="shared" si="431"/>
        <v>0</v>
      </c>
      <c r="CY65" s="60">
        <f t="shared" si="432"/>
        <v>0</v>
      </c>
      <c r="CZ65" s="59">
        <f t="shared" si="433"/>
        <v>0</v>
      </c>
      <c r="DA65" s="55">
        <f t="shared" si="434"/>
        <v>0</v>
      </c>
      <c r="DB65" s="59">
        <f t="shared" si="435"/>
        <v>0</v>
      </c>
      <c r="DC65" s="60">
        <f t="shared" si="436"/>
        <v>0</v>
      </c>
      <c r="DD65" s="59">
        <f t="shared" si="437"/>
        <v>0</v>
      </c>
      <c r="DE65" s="60">
        <f t="shared" si="438"/>
        <v>0</v>
      </c>
      <c r="DF65" s="59">
        <f t="shared" si="439"/>
        <v>0</v>
      </c>
      <c r="DG65" s="60">
        <f t="shared" si="440"/>
        <v>0</v>
      </c>
      <c r="DH65" s="59">
        <f t="shared" si="441"/>
        <v>0</v>
      </c>
      <c r="DI65" s="60">
        <f t="shared" si="442"/>
        <v>0</v>
      </c>
      <c r="DJ65" s="59">
        <f t="shared" si="443"/>
        <v>0</v>
      </c>
      <c r="DK65" s="55">
        <f t="shared" si="444"/>
        <v>0</v>
      </c>
      <c r="DL65" s="59">
        <f t="shared" si="445"/>
        <v>0</v>
      </c>
      <c r="DM65" s="60">
        <f t="shared" si="446"/>
        <v>0</v>
      </c>
      <c r="DN65" s="59">
        <f t="shared" si="447"/>
        <v>0</v>
      </c>
      <c r="DO65" s="60">
        <f t="shared" si="448"/>
        <v>0</v>
      </c>
      <c r="DP65" s="59">
        <f t="shared" si="449"/>
        <v>0</v>
      </c>
      <c r="DQ65" s="55">
        <f t="shared" si="450"/>
        <v>0</v>
      </c>
      <c r="DR65" s="59">
        <f t="shared" si="451"/>
        <v>0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497"/>
        <v>0.91</v>
      </c>
      <c r="DZ65" s="55">
        <f t="shared" si="497"/>
        <v>0.89</v>
      </c>
      <c r="EA65" s="55">
        <f t="shared" si="497"/>
        <v>0.87</v>
      </c>
      <c r="EB65" s="55">
        <f t="shared" si="497"/>
        <v>0.85</v>
      </c>
      <c r="EC65" s="55">
        <f t="shared" si="497"/>
        <v>0.83</v>
      </c>
      <c r="ED65" s="55">
        <f t="shared" si="497"/>
        <v>0.80999999999999994</v>
      </c>
      <c r="EE65" s="55">
        <f t="shared" si="497"/>
        <v>0.78999999999999992</v>
      </c>
      <c r="EF65" s="55">
        <f t="shared" si="497"/>
        <v>0.76999999999999991</v>
      </c>
      <c r="EG65" s="55">
        <f t="shared" si="497"/>
        <v>0.74999999999999989</v>
      </c>
      <c r="EH65" s="55">
        <f t="shared" si="497"/>
        <v>0.72999999999999987</v>
      </c>
      <c r="EI65" s="55">
        <f t="shared" si="497"/>
        <v>0.70999999999999985</v>
      </c>
      <c r="EJ65" s="55">
        <f t="shared" si="497"/>
        <v>0.68999999999999984</v>
      </c>
      <c r="EK65" s="55">
        <f t="shared" si="497"/>
        <v>0.66999999999999982</v>
      </c>
      <c r="EL65" s="55">
        <f t="shared" si="497"/>
        <v>0.6499999999999998</v>
      </c>
      <c r="EM65" s="55">
        <f t="shared" si="497"/>
        <v>0.62999999999999978</v>
      </c>
      <c r="EN65" s="55">
        <f t="shared" si="497"/>
        <v>0.60999999999999976</v>
      </c>
      <c r="EO65" s="55">
        <f t="shared" si="497"/>
        <v>0.58999999999999975</v>
      </c>
      <c r="EP65" s="55">
        <f t="shared" si="497"/>
        <v>0.56999999999999973</v>
      </c>
      <c r="ER65" s="55">
        <f t="shared" si="142"/>
        <v>0</v>
      </c>
      <c r="ES65" s="55">
        <f t="shared" si="116"/>
        <v>0</v>
      </c>
      <c r="ET65" s="59">
        <f t="shared" si="453"/>
        <v>0</v>
      </c>
      <c r="EU65" s="55">
        <f t="shared" si="454"/>
        <v>0</v>
      </c>
      <c r="EV65" s="59">
        <f t="shared" si="455"/>
        <v>0</v>
      </c>
      <c r="EW65" s="55">
        <f t="shared" si="456"/>
        <v>0</v>
      </c>
      <c r="EX65" s="59">
        <f t="shared" si="457"/>
        <v>0</v>
      </c>
      <c r="EY65" s="55">
        <f t="shared" si="458"/>
        <v>0</v>
      </c>
      <c r="EZ65" s="59">
        <f t="shared" si="459"/>
        <v>0</v>
      </c>
      <c r="FA65" s="57">
        <f t="shared" si="460"/>
        <v>0</v>
      </c>
      <c r="FB65" s="59">
        <f t="shared" si="461"/>
        <v>0</v>
      </c>
      <c r="FC65" s="55">
        <f t="shared" si="462"/>
        <v>0</v>
      </c>
      <c r="FD65" s="59">
        <f t="shared" si="463"/>
        <v>0</v>
      </c>
      <c r="FE65" s="57">
        <f t="shared" si="464"/>
        <v>0</v>
      </c>
      <c r="FF65" s="59">
        <f t="shared" si="465"/>
        <v>0</v>
      </c>
      <c r="FG65" s="60">
        <f t="shared" si="466"/>
        <v>0</v>
      </c>
      <c r="FH65" s="59">
        <f t="shared" si="467"/>
        <v>0</v>
      </c>
      <c r="FI65" s="57">
        <f t="shared" si="468"/>
        <v>0</v>
      </c>
      <c r="FJ65" s="59">
        <f t="shared" si="469"/>
        <v>0</v>
      </c>
      <c r="FK65" s="55">
        <f t="shared" si="470"/>
        <v>0</v>
      </c>
      <c r="FL65" s="59">
        <f t="shared" si="471"/>
        <v>0</v>
      </c>
      <c r="FM65" s="60">
        <f t="shared" si="472"/>
        <v>0</v>
      </c>
      <c r="FN65" s="59">
        <f t="shared" si="473"/>
        <v>0</v>
      </c>
      <c r="FO65" s="60">
        <f t="shared" si="474"/>
        <v>0</v>
      </c>
      <c r="FP65" s="59">
        <f t="shared" si="475"/>
        <v>0</v>
      </c>
      <c r="FQ65" s="60">
        <f t="shared" si="476"/>
        <v>0</v>
      </c>
      <c r="FR65" s="59">
        <f t="shared" si="477"/>
        <v>0</v>
      </c>
      <c r="FS65" s="55">
        <f t="shared" si="478"/>
        <v>0</v>
      </c>
      <c r="FT65" s="59">
        <f t="shared" si="479"/>
        <v>0</v>
      </c>
      <c r="FU65" s="60">
        <f t="shared" si="480"/>
        <v>0</v>
      </c>
      <c r="FV65" s="59">
        <f t="shared" si="481"/>
        <v>0</v>
      </c>
      <c r="FW65" s="60">
        <f t="shared" si="482"/>
        <v>0</v>
      </c>
      <c r="FX65" s="59">
        <f t="shared" si="483"/>
        <v>0</v>
      </c>
      <c r="FY65" s="60">
        <f t="shared" si="484"/>
        <v>0</v>
      </c>
      <c r="FZ65" s="59">
        <f t="shared" si="485"/>
        <v>0</v>
      </c>
      <c r="GA65" s="60">
        <f t="shared" si="486"/>
        <v>0</v>
      </c>
      <c r="GB65" s="59">
        <f t="shared" si="487"/>
        <v>0</v>
      </c>
      <c r="GC65" s="55">
        <f t="shared" si="488"/>
        <v>0</v>
      </c>
      <c r="GD65" s="59">
        <f t="shared" si="489"/>
        <v>0</v>
      </c>
      <c r="GE65" s="60">
        <f t="shared" si="490"/>
        <v>0</v>
      </c>
      <c r="GF65" s="59">
        <f t="shared" si="491"/>
        <v>0</v>
      </c>
      <c r="GG65" s="60">
        <f t="shared" si="492"/>
        <v>0</v>
      </c>
      <c r="GH65" s="59">
        <f t="shared" si="493"/>
        <v>0</v>
      </c>
      <c r="GI65" s="55">
        <f t="shared" si="494"/>
        <v>0</v>
      </c>
      <c r="GJ65" s="59">
        <f t="shared" si="495"/>
        <v>0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498"/>
        <v>0.91</v>
      </c>
      <c r="GR65" s="55">
        <f t="shared" si="498"/>
        <v>0.89</v>
      </c>
      <c r="GS65" s="55">
        <f t="shared" si="498"/>
        <v>0.87</v>
      </c>
      <c r="GT65" s="55">
        <f t="shared" si="498"/>
        <v>0.85</v>
      </c>
      <c r="GU65" s="55">
        <f t="shared" si="498"/>
        <v>0.83</v>
      </c>
      <c r="GV65" s="55">
        <f t="shared" si="498"/>
        <v>0.80999999999999994</v>
      </c>
      <c r="GW65" s="55">
        <f t="shared" si="498"/>
        <v>0.78999999999999992</v>
      </c>
      <c r="GX65" s="55">
        <f t="shared" si="498"/>
        <v>0.76999999999999991</v>
      </c>
      <c r="GY65" s="55">
        <f t="shared" si="498"/>
        <v>0.74999999999999989</v>
      </c>
      <c r="GZ65" s="55">
        <f t="shared" si="498"/>
        <v>0.72999999999999987</v>
      </c>
      <c r="HA65" s="55">
        <f t="shared" si="498"/>
        <v>0.70999999999999985</v>
      </c>
      <c r="HB65" s="55">
        <f t="shared" si="498"/>
        <v>0.68999999999999984</v>
      </c>
      <c r="HC65" s="55">
        <f t="shared" si="498"/>
        <v>0.66999999999999982</v>
      </c>
      <c r="HD65" s="55">
        <f t="shared" si="498"/>
        <v>0.6499999999999998</v>
      </c>
      <c r="HE65" s="55">
        <f t="shared" si="498"/>
        <v>0.62999999999999978</v>
      </c>
      <c r="HF65" s="55">
        <f t="shared" si="498"/>
        <v>0.60999999999999976</v>
      </c>
      <c r="HG65" s="55">
        <f t="shared" si="498"/>
        <v>0.58999999999999975</v>
      </c>
      <c r="HH65" s="55">
        <f t="shared" si="498"/>
        <v>0.56999999999999973</v>
      </c>
    </row>
    <row r="66" spans="1:216" x14ac:dyDescent="0.3">
      <c r="A66" s="2">
        <v>4</v>
      </c>
      <c r="C66" s="38" t="s">
        <v>33</v>
      </c>
      <c r="D66" s="42">
        <v>0</v>
      </c>
      <c r="E66" s="71">
        <f t="shared" si="365"/>
        <v>0</v>
      </c>
      <c r="H66" s="55">
        <f t="shared" si="61"/>
        <v>0</v>
      </c>
      <c r="I66" s="55">
        <f t="shared" si="62"/>
        <v>0</v>
      </c>
      <c r="J66" s="59">
        <f t="shared" si="63"/>
        <v>0</v>
      </c>
      <c r="K66" s="55">
        <f t="shared" si="366"/>
        <v>0</v>
      </c>
      <c r="L66" s="59">
        <f t="shared" si="367"/>
        <v>0</v>
      </c>
      <c r="M66" s="55">
        <f t="shared" si="368"/>
        <v>0</v>
      </c>
      <c r="N66" s="59">
        <f t="shared" si="369"/>
        <v>0</v>
      </c>
      <c r="O66" s="55">
        <f t="shared" si="370"/>
        <v>0</v>
      </c>
      <c r="P66" s="59">
        <f t="shared" si="371"/>
        <v>0</v>
      </c>
      <c r="Q66" s="57">
        <f t="shared" si="372"/>
        <v>0</v>
      </c>
      <c r="R66" s="59">
        <f t="shared" si="373"/>
        <v>0</v>
      </c>
      <c r="S66" s="55">
        <f t="shared" si="374"/>
        <v>0</v>
      </c>
      <c r="T66" s="59">
        <f t="shared" si="375"/>
        <v>0</v>
      </c>
      <c r="U66" s="57">
        <f t="shared" si="376"/>
        <v>0</v>
      </c>
      <c r="V66" s="59">
        <f t="shared" si="377"/>
        <v>0</v>
      </c>
      <c r="W66" s="60">
        <f t="shared" si="378"/>
        <v>0</v>
      </c>
      <c r="X66" s="59">
        <f t="shared" si="379"/>
        <v>0</v>
      </c>
      <c r="Y66" s="57">
        <f t="shared" si="380"/>
        <v>0</v>
      </c>
      <c r="Z66" s="59">
        <f t="shared" si="381"/>
        <v>0</v>
      </c>
      <c r="AA66" s="55">
        <f t="shared" si="382"/>
        <v>0</v>
      </c>
      <c r="AB66" s="59">
        <f t="shared" si="383"/>
        <v>0</v>
      </c>
      <c r="AC66" s="60">
        <f t="shared" si="384"/>
        <v>0</v>
      </c>
      <c r="AD66" s="59">
        <f t="shared" si="385"/>
        <v>0</v>
      </c>
      <c r="AE66" s="60">
        <f t="shared" si="386"/>
        <v>0</v>
      </c>
      <c r="AF66" s="59">
        <f t="shared" si="387"/>
        <v>0</v>
      </c>
      <c r="AG66" s="60">
        <f t="shared" si="388"/>
        <v>0</v>
      </c>
      <c r="AH66" s="59">
        <f t="shared" si="389"/>
        <v>0</v>
      </c>
      <c r="AI66" s="55">
        <f t="shared" si="390"/>
        <v>0</v>
      </c>
      <c r="AJ66" s="59">
        <f t="shared" si="391"/>
        <v>0</v>
      </c>
      <c r="AK66" s="60">
        <f t="shared" si="392"/>
        <v>0</v>
      </c>
      <c r="AL66" s="59">
        <f t="shared" si="393"/>
        <v>0</v>
      </c>
      <c r="AM66" s="60">
        <f t="shared" si="394"/>
        <v>0</v>
      </c>
      <c r="AN66" s="59">
        <f t="shared" si="395"/>
        <v>0</v>
      </c>
      <c r="AO66" s="60">
        <f t="shared" si="396"/>
        <v>0</v>
      </c>
      <c r="AP66" s="59">
        <f t="shared" si="397"/>
        <v>0</v>
      </c>
      <c r="AQ66" s="60">
        <f t="shared" si="398"/>
        <v>0</v>
      </c>
      <c r="AR66" s="59">
        <f t="shared" si="399"/>
        <v>0</v>
      </c>
      <c r="AS66" s="55">
        <f t="shared" si="400"/>
        <v>0</v>
      </c>
      <c r="AT66" s="59">
        <f t="shared" si="401"/>
        <v>0</v>
      </c>
      <c r="AU66" s="60">
        <f t="shared" si="402"/>
        <v>0</v>
      </c>
      <c r="AV66" s="59">
        <f t="shared" si="403"/>
        <v>0</v>
      </c>
      <c r="AW66" s="60">
        <f t="shared" si="404"/>
        <v>0</v>
      </c>
      <c r="AX66" s="59">
        <f t="shared" si="405"/>
        <v>0</v>
      </c>
      <c r="AY66" s="55">
        <f t="shared" si="406"/>
        <v>0</v>
      </c>
      <c r="AZ66" s="59">
        <f t="shared" si="407"/>
        <v>0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08"/>
        <v>0.91</v>
      </c>
      <c r="BH66" s="55">
        <f t="shared" si="408"/>
        <v>0.89</v>
      </c>
      <c r="BI66" s="55">
        <f t="shared" si="408"/>
        <v>0.87</v>
      </c>
      <c r="BJ66" s="55">
        <f t="shared" si="408"/>
        <v>0.85</v>
      </c>
      <c r="BK66" s="55">
        <f t="shared" si="408"/>
        <v>0.83</v>
      </c>
      <c r="BL66" s="55">
        <f t="shared" si="408"/>
        <v>0.80999999999999994</v>
      </c>
      <c r="BM66" s="55">
        <f t="shared" si="408"/>
        <v>0.78999999999999992</v>
      </c>
      <c r="BN66" s="55">
        <f t="shared" si="408"/>
        <v>0.76999999999999991</v>
      </c>
      <c r="BO66" s="55">
        <f t="shared" si="408"/>
        <v>0.74999999999999989</v>
      </c>
      <c r="BP66" s="55">
        <f t="shared" si="408"/>
        <v>0.72999999999999987</v>
      </c>
      <c r="BQ66" s="55">
        <f t="shared" si="408"/>
        <v>0.70999999999999985</v>
      </c>
      <c r="BR66" s="55">
        <f t="shared" si="408"/>
        <v>0.68999999999999984</v>
      </c>
      <c r="BS66" s="55">
        <f t="shared" si="408"/>
        <v>0.66999999999999982</v>
      </c>
      <c r="BT66" s="55">
        <f t="shared" si="408"/>
        <v>0.6499999999999998</v>
      </c>
      <c r="BU66" s="55">
        <f t="shared" si="408"/>
        <v>0.62999999999999978</v>
      </c>
      <c r="BV66" s="55">
        <f t="shared" si="408"/>
        <v>0.60999999999999976</v>
      </c>
      <c r="BW66" s="55">
        <f t="shared" si="408"/>
        <v>0.58999999999999975</v>
      </c>
      <c r="BX66" s="55">
        <f t="shared" si="408"/>
        <v>0.56999999999999973</v>
      </c>
      <c r="BZ66" s="55">
        <f t="shared" si="88"/>
        <v>0</v>
      </c>
      <c r="CA66" s="55">
        <f t="shared" si="89"/>
        <v>0</v>
      </c>
      <c r="CB66" s="59">
        <f t="shared" si="409"/>
        <v>0</v>
      </c>
      <c r="CC66" s="55">
        <f t="shared" si="410"/>
        <v>0</v>
      </c>
      <c r="CD66" s="59">
        <f t="shared" si="411"/>
        <v>0</v>
      </c>
      <c r="CE66" s="55">
        <f t="shared" si="412"/>
        <v>0</v>
      </c>
      <c r="CF66" s="59">
        <f t="shared" si="413"/>
        <v>0</v>
      </c>
      <c r="CG66" s="55">
        <f t="shared" si="414"/>
        <v>0</v>
      </c>
      <c r="CH66" s="59">
        <f t="shared" si="415"/>
        <v>0</v>
      </c>
      <c r="CI66" s="57">
        <f t="shared" si="416"/>
        <v>0</v>
      </c>
      <c r="CJ66" s="59">
        <f t="shared" si="417"/>
        <v>0</v>
      </c>
      <c r="CK66" s="55">
        <f t="shared" si="418"/>
        <v>0</v>
      </c>
      <c r="CL66" s="59">
        <f t="shared" si="419"/>
        <v>0</v>
      </c>
      <c r="CM66" s="57">
        <f t="shared" si="420"/>
        <v>0</v>
      </c>
      <c r="CN66" s="59">
        <f t="shared" si="421"/>
        <v>0</v>
      </c>
      <c r="CO66" s="60">
        <f t="shared" si="422"/>
        <v>0</v>
      </c>
      <c r="CP66" s="59">
        <f t="shared" si="423"/>
        <v>0</v>
      </c>
      <c r="CQ66" s="57">
        <f t="shared" si="424"/>
        <v>0</v>
      </c>
      <c r="CR66" s="59">
        <f t="shared" si="425"/>
        <v>0</v>
      </c>
      <c r="CS66" s="55">
        <f t="shared" si="426"/>
        <v>0</v>
      </c>
      <c r="CT66" s="59">
        <f t="shared" si="427"/>
        <v>0</v>
      </c>
      <c r="CU66" s="60">
        <f t="shared" si="428"/>
        <v>0</v>
      </c>
      <c r="CV66" s="59">
        <f t="shared" si="429"/>
        <v>0</v>
      </c>
      <c r="CW66" s="60">
        <f t="shared" si="430"/>
        <v>0</v>
      </c>
      <c r="CX66" s="59">
        <f t="shared" si="431"/>
        <v>0</v>
      </c>
      <c r="CY66" s="60">
        <f t="shared" si="432"/>
        <v>0</v>
      </c>
      <c r="CZ66" s="59">
        <f t="shared" si="433"/>
        <v>0</v>
      </c>
      <c r="DA66" s="55">
        <f t="shared" si="434"/>
        <v>0</v>
      </c>
      <c r="DB66" s="59">
        <f t="shared" si="435"/>
        <v>0</v>
      </c>
      <c r="DC66" s="60">
        <f t="shared" si="436"/>
        <v>0</v>
      </c>
      <c r="DD66" s="59">
        <f t="shared" si="437"/>
        <v>0</v>
      </c>
      <c r="DE66" s="60">
        <f t="shared" si="438"/>
        <v>0</v>
      </c>
      <c r="DF66" s="59">
        <f t="shared" si="439"/>
        <v>0</v>
      </c>
      <c r="DG66" s="60">
        <f t="shared" si="440"/>
        <v>0</v>
      </c>
      <c r="DH66" s="59">
        <f t="shared" si="441"/>
        <v>0</v>
      </c>
      <c r="DI66" s="60">
        <f t="shared" si="442"/>
        <v>0</v>
      </c>
      <c r="DJ66" s="59">
        <f t="shared" si="443"/>
        <v>0</v>
      </c>
      <c r="DK66" s="55">
        <f t="shared" si="444"/>
        <v>0</v>
      </c>
      <c r="DL66" s="59">
        <f t="shared" si="445"/>
        <v>0</v>
      </c>
      <c r="DM66" s="60">
        <f t="shared" si="446"/>
        <v>0</v>
      </c>
      <c r="DN66" s="59">
        <f t="shared" si="447"/>
        <v>0</v>
      </c>
      <c r="DO66" s="60">
        <f t="shared" si="448"/>
        <v>0</v>
      </c>
      <c r="DP66" s="59">
        <f t="shared" si="449"/>
        <v>0</v>
      </c>
      <c r="DQ66" s="55">
        <f t="shared" si="450"/>
        <v>0</v>
      </c>
      <c r="DR66" s="59">
        <f t="shared" si="451"/>
        <v>0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497"/>
        <v>0.91</v>
      </c>
      <c r="DZ66" s="55">
        <f t="shared" si="497"/>
        <v>0.89</v>
      </c>
      <c r="EA66" s="55">
        <f t="shared" si="497"/>
        <v>0.87</v>
      </c>
      <c r="EB66" s="55">
        <f t="shared" si="497"/>
        <v>0.85</v>
      </c>
      <c r="EC66" s="55">
        <f t="shared" si="497"/>
        <v>0.83</v>
      </c>
      <c r="ED66" s="55">
        <f t="shared" si="497"/>
        <v>0.80999999999999994</v>
      </c>
      <c r="EE66" s="55">
        <f t="shared" si="497"/>
        <v>0.78999999999999992</v>
      </c>
      <c r="EF66" s="55">
        <f t="shared" si="497"/>
        <v>0.76999999999999991</v>
      </c>
      <c r="EG66" s="55">
        <f t="shared" si="497"/>
        <v>0.74999999999999989</v>
      </c>
      <c r="EH66" s="55">
        <f t="shared" si="497"/>
        <v>0.72999999999999987</v>
      </c>
      <c r="EI66" s="55">
        <f t="shared" si="497"/>
        <v>0.70999999999999985</v>
      </c>
      <c r="EJ66" s="55">
        <f t="shared" si="497"/>
        <v>0.68999999999999984</v>
      </c>
      <c r="EK66" s="55">
        <f t="shared" si="497"/>
        <v>0.66999999999999982</v>
      </c>
      <c r="EL66" s="55">
        <f t="shared" si="497"/>
        <v>0.6499999999999998</v>
      </c>
      <c r="EM66" s="55">
        <f t="shared" si="497"/>
        <v>0.62999999999999978</v>
      </c>
      <c r="EN66" s="55">
        <f t="shared" si="497"/>
        <v>0.60999999999999976</v>
      </c>
      <c r="EO66" s="55">
        <f t="shared" si="497"/>
        <v>0.58999999999999975</v>
      </c>
      <c r="EP66" s="55">
        <f t="shared" si="497"/>
        <v>0.56999999999999973</v>
      </c>
      <c r="ER66" s="55">
        <f t="shared" si="142"/>
        <v>0</v>
      </c>
      <c r="ES66" s="55">
        <f t="shared" si="116"/>
        <v>0</v>
      </c>
      <c r="ET66" s="59">
        <f t="shared" si="453"/>
        <v>0</v>
      </c>
      <c r="EU66" s="55">
        <f t="shared" si="454"/>
        <v>0</v>
      </c>
      <c r="EV66" s="59">
        <f t="shared" si="455"/>
        <v>0</v>
      </c>
      <c r="EW66" s="55">
        <f t="shared" si="456"/>
        <v>0</v>
      </c>
      <c r="EX66" s="59">
        <f t="shared" si="457"/>
        <v>0</v>
      </c>
      <c r="EY66" s="55">
        <f t="shared" si="458"/>
        <v>0</v>
      </c>
      <c r="EZ66" s="59">
        <f t="shared" si="459"/>
        <v>0</v>
      </c>
      <c r="FA66" s="57">
        <f t="shared" si="460"/>
        <v>0</v>
      </c>
      <c r="FB66" s="59">
        <f t="shared" si="461"/>
        <v>0</v>
      </c>
      <c r="FC66" s="55">
        <f t="shared" si="462"/>
        <v>0</v>
      </c>
      <c r="FD66" s="59">
        <f t="shared" si="463"/>
        <v>0</v>
      </c>
      <c r="FE66" s="57">
        <f t="shared" si="464"/>
        <v>0</v>
      </c>
      <c r="FF66" s="59">
        <f t="shared" si="465"/>
        <v>0</v>
      </c>
      <c r="FG66" s="60">
        <f t="shared" si="466"/>
        <v>0</v>
      </c>
      <c r="FH66" s="59">
        <f t="shared" si="467"/>
        <v>0</v>
      </c>
      <c r="FI66" s="57">
        <f t="shared" si="468"/>
        <v>0</v>
      </c>
      <c r="FJ66" s="59">
        <f t="shared" si="469"/>
        <v>0</v>
      </c>
      <c r="FK66" s="55">
        <f t="shared" si="470"/>
        <v>0</v>
      </c>
      <c r="FL66" s="59">
        <f t="shared" si="471"/>
        <v>0</v>
      </c>
      <c r="FM66" s="60">
        <f t="shared" si="472"/>
        <v>0</v>
      </c>
      <c r="FN66" s="59">
        <f t="shared" si="473"/>
        <v>0</v>
      </c>
      <c r="FO66" s="60">
        <f t="shared" si="474"/>
        <v>0</v>
      </c>
      <c r="FP66" s="59">
        <f t="shared" si="475"/>
        <v>0</v>
      </c>
      <c r="FQ66" s="60">
        <f t="shared" si="476"/>
        <v>0</v>
      </c>
      <c r="FR66" s="59">
        <f t="shared" si="477"/>
        <v>0</v>
      </c>
      <c r="FS66" s="55">
        <f t="shared" si="478"/>
        <v>0</v>
      </c>
      <c r="FT66" s="59">
        <f t="shared" si="479"/>
        <v>0</v>
      </c>
      <c r="FU66" s="60">
        <f t="shared" si="480"/>
        <v>0</v>
      </c>
      <c r="FV66" s="59">
        <f t="shared" si="481"/>
        <v>0</v>
      </c>
      <c r="FW66" s="60">
        <f t="shared" si="482"/>
        <v>0</v>
      </c>
      <c r="FX66" s="59">
        <f t="shared" si="483"/>
        <v>0</v>
      </c>
      <c r="FY66" s="60">
        <f t="shared" si="484"/>
        <v>0</v>
      </c>
      <c r="FZ66" s="59">
        <f t="shared" si="485"/>
        <v>0</v>
      </c>
      <c r="GA66" s="60">
        <f t="shared" si="486"/>
        <v>0</v>
      </c>
      <c r="GB66" s="59">
        <f t="shared" si="487"/>
        <v>0</v>
      </c>
      <c r="GC66" s="55">
        <f t="shared" si="488"/>
        <v>0</v>
      </c>
      <c r="GD66" s="59">
        <f t="shared" si="489"/>
        <v>0</v>
      </c>
      <c r="GE66" s="60">
        <f t="shared" si="490"/>
        <v>0</v>
      </c>
      <c r="GF66" s="59">
        <f t="shared" si="491"/>
        <v>0</v>
      </c>
      <c r="GG66" s="60">
        <f t="shared" si="492"/>
        <v>0</v>
      </c>
      <c r="GH66" s="59">
        <f t="shared" si="493"/>
        <v>0</v>
      </c>
      <c r="GI66" s="55">
        <f t="shared" si="494"/>
        <v>0</v>
      </c>
      <c r="GJ66" s="59">
        <f t="shared" si="495"/>
        <v>0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498"/>
        <v>0.91</v>
      </c>
      <c r="GR66" s="55">
        <f t="shared" si="498"/>
        <v>0.89</v>
      </c>
      <c r="GS66" s="55">
        <f t="shared" si="498"/>
        <v>0.87</v>
      </c>
      <c r="GT66" s="55">
        <f t="shared" si="498"/>
        <v>0.85</v>
      </c>
      <c r="GU66" s="55">
        <f t="shared" si="498"/>
        <v>0.83</v>
      </c>
      <c r="GV66" s="55">
        <f t="shared" si="498"/>
        <v>0.80999999999999994</v>
      </c>
      <c r="GW66" s="55">
        <f t="shared" si="498"/>
        <v>0.78999999999999992</v>
      </c>
      <c r="GX66" s="55">
        <f t="shared" si="498"/>
        <v>0.76999999999999991</v>
      </c>
      <c r="GY66" s="55">
        <f t="shared" si="498"/>
        <v>0.74999999999999989</v>
      </c>
      <c r="GZ66" s="55">
        <f t="shared" si="498"/>
        <v>0.72999999999999987</v>
      </c>
      <c r="HA66" s="55">
        <f t="shared" si="498"/>
        <v>0.70999999999999985</v>
      </c>
      <c r="HB66" s="55">
        <f t="shared" si="498"/>
        <v>0.68999999999999984</v>
      </c>
      <c r="HC66" s="55">
        <f t="shared" si="498"/>
        <v>0.66999999999999982</v>
      </c>
      <c r="HD66" s="55">
        <f t="shared" si="498"/>
        <v>0.6499999999999998</v>
      </c>
      <c r="HE66" s="55">
        <f t="shared" si="498"/>
        <v>0.62999999999999978</v>
      </c>
      <c r="HF66" s="55">
        <f t="shared" si="498"/>
        <v>0.60999999999999976</v>
      </c>
      <c r="HG66" s="55">
        <f t="shared" si="498"/>
        <v>0.58999999999999975</v>
      </c>
      <c r="HH66" s="55">
        <f t="shared" si="498"/>
        <v>0.56999999999999973</v>
      </c>
    </row>
    <row r="67" spans="1:216" x14ac:dyDescent="0.3">
      <c r="A67" s="2">
        <v>5</v>
      </c>
      <c r="C67" s="38" t="s">
        <v>34</v>
      </c>
      <c r="D67" s="42">
        <f>TRUNC(28291.5058424425,-1)</f>
        <v>28290</v>
      </c>
      <c r="E67" s="71">
        <f t="shared" si="365"/>
        <v>93520</v>
      </c>
      <c r="H67" s="55">
        <f t="shared" si="61"/>
        <v>102872.00000000001</v>
      </c>
      <c r="I67" s="55">
        <f t="shared" si="62"/>
        <v>102872.00000000001</v>
      </c>
      <c r="J67" s="59">
        <f t="shared" si="63"/>
        <v>340074.25760000007</v>
      </c>
      <c r="K67" s="55">
        <f t="shared" si="366"/>
        <v>99785.840000000011</v>
      </c>
      <c r="L67" s="59">
        <f t="shared" si="367"/>
        <v>329872.02987200004</v>
      </c>
      <c r="M67" s="55">
        <f t="shared" si="368"/>
        <v>97728.400000000009</v>
      </c>
      <c r="N67" s="59">
        <f t="shared" si="369"/>
        <v>323070.54472000006</v>
      </c>
      <c r="O67" s="55">
        <f t="shared" si="370"/>
        <v>95670.960000000021</v>
      </c>
      <c r="P67" s="59">
        <f t="shared" si="371"/>
        <v>316269.05956800008</v>
      </c>
      <c r="Q67" s="57">
        <f t="shared" si="372"/>
        <v>93613.520000000019</v>
      </c>
      <c r="R67" s="59">
        <f t="shared" si="373"/>
        <v>309467.57441600005</v>
      </c>
      <c r="S67" s="55">
        <f t="shared" si="374"/>
        <v>91556.080000000016</v>
      </c>
      <c r="T67" s="59">
        <f t="shared" si="375"/>
        <v>302666.08926400007</v>
      </c>
      <c r="U67" s="57">
        <f t="shared" si="376"/>
        <v>89498.640000000014</v>
      </c>
      <c r="V67" s="59">
        <f t="shared" si="377"/>
        <v>295864.60411200003</v>
      </c>
      <c r="W67" s="60">
        <f t="shared" si="378"/>
        <v>87441.200000000012</v>
      </c>
      <c r="X67" s="59">
        <f t="shared" si="379"/>
        <v>289063.11896000005</v>
      </c>
      <c r="Y67" s="57">
        <f t="shared" si="380"/>
        <v>85383.760000000009</v>
      </c>
      <c r="Z67" s="59">
        <f t="shared" si="381"/>
        <v>282261.63380800001</v>
      </c>
      <c r="AA67" s="55">
        <f t="shared" si="382"/>
        <v>83326.320000000007</v>
      </c>
      <c r="AB67" s="59">
        <f t="shared" si="383"/>
        <v>275460.14865600003</v>
      </c>
      <c r="AC67" s="60">
        <f t="shared" si="384"/>
        <v>81268.88</v>
      </c>
      <c r="AD67" s="59">
        <f t="shared" si="385"/>
        <v>268658.663504</v>
      </c>
      <c r="AE67" s="60">
        <f t="shared" si="386"/>
        <v>79211.44</v>
      </c>
      <c r="AF67" s="59">
        <f t="shared" si="387"/>
        <v>261857.17835200002</v>
      </c>
      <c r="AG67" s="60">
        <f t="shared" si="388"/>
        <v>77154</v>
      </c>
      <c r="AH67" s="59">
        <f t="shared" si="389"/>
        <v>255055.69320000001</v>
      </c>
      <c r="AI67" s="55">
        <f t="shared" si="390"/>
        <v>75096.56</v>
      </c>
      <c r="AJ67" s="59">
        <f t="shared" si="391"/>
        <v>248254.208048</v>
      </c>
      <c r="AK67" s="60">
        <f t="shared" si="392"/>
        <v>73039.12</v>
      </c>
      <c r="AL67" s="59">
        <f t="shared" si="393"/>
        <v>241452.72289599999</v>
      </c>
      <c r="AM67" s="60">
        <f t="shared" si="394"/>
        <v>70981.679999999993</v>
      </c>
      <c r="AN67" s="59">
        <f t="shared" si="395"/>
        <v>234651.23774399998</v>
      </c>
      <c r="AO67" s="60">
        <f t="shared" si="396"/>
        <v>68924.239999999991</v>
      </c>
      <c r="AP67" s="59">
        <f t="shared" si="397"/>
        <v>227849.75259199998</v>
      </c>
      <c r="AQ67" s="60">
        <f t="shared" si="398"/>
        <v>66866.799999999988</v>
      </c>
      <c r="AR67" s="59">
        <f t="shared" si="399"/>
        <v>221048.26743999997</v>
      </c>
      <c r="AS67" s="55">
        <f t="shared" si="400"/>
        <v>64809.359999999986</v>
      </c>
      <c r="AT67" s="59">
        <f t="shared" si="401"/>
        <v>214246.78228799996</v>
      </c>
      <c r="AU67" s="60">
        <f t="shared" si="402"/>
        <v>62751.919999999984</v>
      </c>
      <c r="AV67" s="59">
        <f t="shared" si="403"/>
        <v>207445.29713599995</v>
      </c>
      <c r="AW67" s="60">
        <f t="shared" si="404"/>
        <v>60694.479999999981</v>
      </c>
      <c r="AX67" s="59">
        <f t="shared" si="405"/>
        <v>200643.81198399994</v>
      </c>
      <c r="AY67" s="55">
        <f t="shared" si="406"/>
        <v>58637.039999999979</v>
      </c>
      <c r="AZ67" s="59">
        <f t="shared" si="407"/>
        <v>193842.32683199993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08"/>
        <v>0.91</v>
      </c>
      <c r="BH67" s="55">
        <f t="shared" si="408"/>
        <v>0.89</v>
      </c>
      <c r="BI67" s="55">
        <f t="shared" si="408"/>
        <v>0.87</v>
      </c>
      <c r="BJ67" s="55">
        <f t="shared" si="408"/>
        <v>0.85</v>
      </c>
      <c r="BK67" s="55">
        <f t="shared" si="408"/>
        <v>0.83</v>
      </c>
      <c r="BL67" s="55">
        <f t="shared" si="408"/>
        <v>0.80999999999999994</v>
      </c>
      <c r="BM67" s="55">
        <f t="shared" si="408"/>
        <v>0.78999999999999992</v>
      </c>
      <c r="BN67" s="55">
        <f t="shared" si="408"/>
        <v>0.76999999999999991</v>
      </c>
      <c r="BO67" s="55">
        <f t="shared" si="408"/>
        <v>0.74999999999999989</v>
      </c>
      <c r="BP67" s="55">
        <f t="shared" si="408"/>
        <v>0.72999999999999987</v>
      </c>
      <c r="BQ67" s="55">
        <f t="shared" si="408"/>
        <v>0.70999999999999985</v>
      </c>
      <c r="BR67" s="55">
        <f t="shared" si="408"/>
        <v>0.68999999999999984</v>
      </c>
      <c r="BS67" s="55">
        <f t="shared" si="408"/>
        <v>0.66999999999999982</v>
      </c>
      <c r="BT67" s="55">
        <f t="shared" si="408"/>
        <v>0.6499999999999998</v>
      </c>
      <c r="BU67" s="55">
        <f t="shared" si="408"/>
        <v>0.62999999999999978</v>
      </c>
      <c r="BV67" s="55">
        <f t="shared" si="408"/>
        <v>0.60999999999999976</v>
      </c>
      <c r="BW67" s="55">
        <f t="shared" si="408"/>
        <v>0.58999999999999975</v>
      </c>
      <c r="BX67" s="55">
        <f t="shared" si="408"/>
        <v>0.56999999999999973</v>
      </c>
      <c r="BZ67" s="55">
        <f t="shared" si="88"/>
        <v>93613.520000000019</v>
      </c>
      <c r="CA67" s="55">
        <f t="shared" si="89"/>
        <v>93613.520000000019</v>
      </c>
      <c r="CB67" s="59">
        <f t="shared" si="409"/>
        <v>309467.57441600005</v>
      </c>
      <c r="CC67" s="55">
        <f t="shared" si="410"/>
        <v>90805.11440000002</v>
      </c>
      <c r="CD67" s="59">
        <f t="shared" si="411"/>
        <v>300183.5471835201</v>
      </c>
      <c r="CE67" s="55">
        <f t="shared" si="412"/>
        <v>88932.844000000012</v>
      </c>
      <c r="CF67" s="59">
        <f t="shared" si="413"/>
        <v>293994.19569520006</v>
      </c>
      <c r="CG67" s="55">
        <f t="shared" si="414"/>
        <v>87060.573600000018</v>
      </c>
      <c r="CH67" s="59">
        <f t="shared" si="415"/>
        <v>287804.84420688008</v>
      </c>
      <c r="CI67" s="57">
        <f t="shared" si="416"/>
        <v>85188.303200000024</v>
      </c>
      <c r="CJ67" s="59">
        <f t="shared" si="417"/>
        <v>281615.4927185601</v>
      </c>
      <c r="CK67" s="55">
        <f t="shared" si="418"/>
        <v>83316.032800000015</v>
      </c>
      <c r="CL67" s="59">
        <f t="shared" si="419"/>
        <v>275426.14123024006</v>
      </c>
      <c r="CM67" s="57">
        <f t="shared" si="420"/>
        <v>81443.762400000021</v>
      </c>
      <c r="CN67" s="59">
        <f t="shared" si="421"/>
        <v>269236.78974192007</v>
      </c>
      <c r="CO67" s="60">
        <f t="shared" si="422"/>
        <v>79571.492000000013</v>
      </c>
      <c r="CP67" s="59">
        <f t="shared" si="423"/>
        <v>263047.43825360003</v>
      </c>
      <c r="CQ67" s="57">
        <f t="shared" si="424"/>
        <v>77699.221600000019</v>
      </c>
      <c r="CR67" s="59">
        <f t="shared" si="425"/>
        <v>256858.08676528008</v>
      </c>
      <c r="CS67" s="55">
        <f t="shared" si="426"/>
        <v>75826.95120000001</v>
      </c>
      <c r="CT67" s="59">
        <f t="shared" si="427"/>
        <v>250668.73527696004</v>
      </c>
      <c r="CU67" s="60">
        <f t="shared" si="428"/>
        <v>73954.680800000002</v>
      </c>
      <c r="CV67" s="59">
        <f t="shared" si="429"/>
        <v>244479.38378864</v>
      </c>
      <c r="CW67" s="60">
        <f t="shared" si="430"/>
        <v>72082.410400000008</v>
      </c>
      <c r="CX67" s="59">
        <f t="shared" si="431"/>
        <v>238290.03230032002</v>
      </c>
      <c r="CY67" s="60">
        <f t="shared" si="432"/>
        <v>70210.14</v>
      </c>
      <c r="CZ67" s="59">
        <f t="shared" si="433"/>
        <v>232100.68081200001</v>
      </c>
      <c r="DA67" s="55">
        <f t="shared" si="434"/>
        <v>68337.869600000005</v>
      </c>
      <c r="DB67" s="59">
        <f t="shared" si="435"/>
        <v>225911.32932368002</v>
      </c>
      <c r="DC67" s="60">
        <f t="shared" si="436"/>
        <v>66465.599199999997</v>
      </c>
      <c r="DD67" s="59">
        <f t="shared" si="437"/>
        <v>219721.97783535998</v>
      </c>
      <c r="DE67" s="60">
        <f t="shared" si="438"/>
        <v>64593.328799999996</v>
      </c>
      <c r="DF67" s="59">
        <f t="shared" si="439"/>
        <v>213532.62634704</v>
      </c>
      <c r="DG67" s="60">
        <f t="shared" si="440"/>
        <v>62721.058399999994</v>
      </c>
      <c r="DH67" s="59">
        <f t="shared" si="441"/>
        <v>207343.27485871999</v>
      </c>
      <c r="DI67" s="60">
        <f t="shared" si="442"/>
        <v>60848.787999999993</v>
      </c>
      <c r="DJ67" s="59">
        <f t="shared" si="443"/>
        <v>201153.92337039998</v>
      </c>
      <c r="DK67" s="55">
        <f t="shared" si="444"/>
        <v>58976.517599999992</v>
      </c>
      <c r="DL67" s="59">
        <f t="shared" si="445"/>
        <v>194964.57188207997</v>
      </c>
      <c r="DM67" s="60">
        <f t="shared" si="446"/>
        <v>57104.247199999991</v>
      </c>
      <c r="DN67" s="59">
        <f t="shared" si="447"/>
        <v>188775.22039375998</v>
      </c>
      <c r="DO67" s="60">
        <f t="shared" si="448"/>
        <v>55231.976799999989</v>
      </c>
      <c r="DP67" s="59">
        <f t="shared" si="449"/>
        <v>182585.86890543997</v>
      </c>
      <c r="DQ67" s="55">
        <f t="shared" si="450"/>
        <v>53359.706399999988</v>
      </c>
      <c r="DR67" s="59">
        <f t="shared" si="451"/>
        <v>176396.51741711996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497"/>
        <v>0.91</v>
      </c>
      <c r="DZ67" s="55">
        <f t="shared" si="497"/>
        <v>0.89</v>
      </c>
      <c r="EA67" s="55">
        <f t="shared" si="497"/>
        <v>0.87</v>
      </c>
      <c r="EB67" s="55">
        <f t="shared" si="497"/>
        <v>0.85</v>
      </c>
      <c r="EC67" s="55">
        <f t="shared" si="497"/>
        <v>0.83</v>
      </c>
      <c r="ED67" s="55">
        <f t="shared" si="497"/>
        <v>0.80999999999999994</v>
      </c>
      <c r="EE67" s="55">
        <f t="shared" si="497"/>
        <v>0.78999999999999992</v>
      </c>
      <c r="EF67" s="55">
        <f t="shared" si="497"/>
        <v>0.76999999999999991</v>
      </c>
      <c r="EG67" s="55">
        <f t="shared" si="497"/>
        <v>0.74999999999999989</v>
      </c>
      <c r="EH67" s="55">
        <f t="shared" si="497"/>
        <v>0.72999999999999987</v>
      </c>
      <c r="EI67" s="55">
        <f t="shared" si="497"/>
        <v>0.70999999999999985</v>
      </c>
      <c r="EJ67" s="55">
        <f t="shared" si="497"/>
        <v>0.68999999999999984</v>
      </c>
      <c r="EK67" s="55">
        <f t="shared" si="497"/>
        <v>0.66999999999999982</v>
      </c>
      <c r="EL67" s="55">
        <f t="shared" si="497"/>
        <v>0.6499999999999998</v>
      </c>
      <c r="EM67" s="55">
        <f t="shared" si="497"/>
        <v>0.62999999999999978</v>
      </c>
      <c r="EN67" s="55">
        <f t="shared" si="497"/>
        <v>0.60999999999999976</v>
      </c>
      <c r="EO67" s="55">
        <f t="shared" si="497"/>
        <v>0.58999999999999975</v>
      </c>
      <c r="EP67" s="55">
        <f t="shared" si="497"/>
        <v>0.56999999999999973</v>
      </c>
      <c r="ER67" s="55">
        <f t="shared" si="142"/>
        <v>85188.303200000024</v>
      </c>
      <c r="ES67" s="55">
        <f t="shared" si="116"/>
        <v>85188.303200000024</v>
      </c>
      <c r="ET67" s="59">
        <f t="shared" si="453"/>
        <v>281615.4927185601</v>
      </c>
      <c r="EU67" s="55">
        <f t="shared" si="454"/>
        <v>82632.654104000016</v>
      </c>
      <c r="EV67" s="59">
        <f t="shared" si="455"/>
        <v>273167.02793700324</v>
      </c>
      <c r="EW67" s="55">
        <f t="shared" si="456"/>
        <v>80928.88804000002</v>
      </c>
      <c r="EX67" s="59">
        <f t="shared" si="457"/>
        <v>267534.71808263205</v>
      </c>
      <c r="EY67" s="55">
        <f t="shared" si="458"/>
        <v>79225.121976000024</v>
      </c>
      <c r="EZ67" s="59">
        <f t="shared" si="459"/>
        <v>261902.40822826087</v>
      </c>
      <c r="FA67" s="57">
        <f t="shared" si="460"/>
        <v>77521.355912000028</v>
      </c>
      <c r="FB67" s="59">
        <f t="shared" si="461"/>
        <v>256270.09837388969</v>
      </c>
      <c r="FC67" s="55">
        <f t="shared" si="462"/>
        <v>75817.589848000018</v>
      </c>
      <c r="FD67" s="59">
        <f t="shared" si="463"/>
        <v>250637.78851951845</v>
      </c>
      <c r="FE67" s="57">
        <f t="shared" si="464"/>
        <v>74113.823784000022</v>
      </c>
      <c r="FF67" s="59">
        <f t="shared" si="465"/>
        <v>245005.47866514727</v>
      </c>
      <c r="FG67" s="60">
        <f t="shared" si="466"/>
        <v>72410.057720000012</v>
      </c>
      <c r="FH67" s="59">
        <f t="shared" si="467"/>
        <v>239373.16881077606</v>
      </c>
      <c r="FI67" s="57">
        <f t="shared" si="468"/>
        <v>70706.291656000016</v>
      </c>
      <c r="FJ67" s="59">
        <f t="shared" si="469"/>
        <v>233740.85895640485</v>
      </c>
      <c r="FK67" s="55">
        <f t="shared" si="470"/>
        <v>69002.52559200002</v>
      </c>
      <c r="FL67" s="59">
        <f t="shared" si="471"/>
        <v>228108.54910203366</v>
      </c>
      <c r="FM67" s="60">
        <f t="shared" si="472"/>
        <v>67298.75952800001</v>
      </c>
      <c r="FN67" s="59">
        <f t="shared" si="473"/>
        <v>222476.23924766242</v>
      </c>
      <c r="FO67" s="60">
        <f t="shared" si="474"/>
        <v>65594.993464000014</v>
      </c>
      <c r="FP67" s="59">
        <f t="shared" si="475"/>
        <v>216843.92939329124</v>
      </c>
      <c r="FQ67" s="60">
        <f t="shared" si="476"/>
        <v>63891.227400000011</v>
      </c>
      <c r="FR67" s="59">
        <f t="shared" si="477"/>
        <v>211211.61953892003</v>
      </c>
      <c r="FS67" s="55">
        <f t="shared" si="478"/>
        <v>62187.461336000008</v>
      </c>
      <c r="FT67" s="59">
        <f t="shared" si="479"/>
        <v>205579.30968454882</v>
      </c>
      <c r="FU67" s="60">
        <f t="shared" si="480"/>
        <v>60483.695272000004</v>
      </c>
      <c r="FV67" s="59">
        <f t="shared" si="481"/>
        <v>199946.99983017761</v>
      </c>
      <c r="FW67" s="60">
        <f t="shared" si="482"/>
        <v>58779.929208000001</v>
      </c>
      <c r="FX67" s="59">
        <f t="shared" si="483"/>
        <v>194314.6899758064</v>
      </c>
      <c r="FY67" s="60">
        <f t="shared" si="484"/>
        <v>57076.163143999998</v>
      </c>
      <c r="FZ67" s="59">
        <f t="shared" si="485"/>
        <v>188682.38012143518</v>
      </c>
      <c r="GA67" s="60">
        <f t="shared" si="486"/>
        <v>55372.397079999995</v>
      </c>
      <c r="GB67" s="59">
        <f t="shared" si="487"/>
        <v>183050.070267064</v>
      </c>
      <c r="GC67" s="55">
        <f t="shared" si="488"/>
        <v>53668.631015999999</v>
      </c>
      <c r="GD67" s="59">
        <f t="shared" si="489"/>
        <v>177417.76041269279</v>
      </c>
      <c r="GE67" s="60">
        <f t="shared" si="490"/>
        <v>51964.864951999996</v>
      </c>
      <c r="GF67" s="59">
        <f t="shared" si="491"/>
        <v>171785.45055832158</v>
      </c>
      <c r="GG67" s="60">
        <f t="shared" si="492"/>
        <v>50261.098887999993</v>
      </c>
      <c r="GH67" s="59">
        <f t="shared" si="493"/>
        <v>166153.14070395037</v>
      </c>
      <c r="GI67" s="55">
        <f t="shared" si="494"/>
        <v>48557.33282399999</v>
      </c>
      <c r="GJ67" s="59">
        <f t="shared" si="495"/>
        <v>160520.83084957916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498"/>
        <v>0.91</v>
      </c>
      <c r="GR67" s="55">
        <f t="shared" si="498"/>
        <v>0.89</v>
      </c>
      <c r="GS67" s="55">
        <f t="shared" si="498"/>
        <v>0.87</v>
      </c>
      <c r="GT67" s="55">
        <f t="shared" si="498"/>
        <v>0.85</v>
      </c>
      <c r="GU67" s="55">
        <f t="shared" si="498"/>
        <v>0.83</v>
      </c>
      <c r="GV67" s="55">
        <f t="shared" si="498"/>
        <v>0.80999999999999994</v>
      </c>
      <c r="GW67" s="55">
        <f t="shared" si="498"/>
        <v>0.78999999999999992</v>
      </c>
      <c r="GX67" s="55">
        <f t="shared" si="498"/>
        <v>0.76999999999999991</v>
      </c>
      <c r="GY67" s="55">
        <f t="shared" si="498"/>
        <v>0.74999999999999989</v>
      </c>
      <c r="GZ67" s="55">
        <f t="shared" si="498"/>
        <v>0.72999999999999987</v>
      </c>
      <c r="HA67" s="55">
        <f t="shared" si="498"/>
        <v>0.70999999999999985</v>
      </c>
      <c r="HB67" s="55">
        <f t="shared" si="498"/>
        <v>0.68999999999999984</v>
      </c>
      <c r="HC67" s="55">
        <f t="shared" si="498"/>
        <v>0.66999999999999982</v>
      </c>
      <c r="HD67" s="55">
        <f t="shared" si="498"/>
        <v>0.6499999999999998</v>
      </c>
      <c r="HE67" s="55">
        <f t="shared" si="498"/>
        <v>0.62999999999999978</v>
      </c>
      <c r="HF67" s="55">
        <f t="shared" si="498"/>
        <v>0.60999999999999976</v>
      </c>
      <c r="HG67" s="55">
        <f t="shared" si="498"/>
        <v>0.58999999999999975</v>
      </c>
      <c r="HH67" s="55">
        <f t="shared" si="498"/>
        <v>0.56999999999999973</v>
      </c>
    </row>
    <row r="68" spans="1:216" x14ac:dyDescent="0.3">
      <c r="A68" s="2">
        <v>6</v>
      </c>
      <c r="C68" s="38" t="s">
        <v>178</v>
      </c>
      <c r="D68" s="42">
        <v>0</v>
      </c>
      <c r="E68" s="71">
        <f t="shared" si="365"/>
        <v>0</v>
      </c>
      <c r="H68" s="55">
        <f t="shared" si="61"/>
        <v>0</v>
      </c>
      <c r="I68" s="55">
        <f t="shared" si="62"/>
        <v>0</v>
      </c>
      <c r="J68" s="59">
        <f t="shared" si="63"/>
        <v>0</v>
      </c>
      <c r="K68" s="55">
        <f t="shared" si="366"/>
        <v>0</v>
      </c>
      <c r="L68" s="59">
        <f t="shared" si="367"/>
        <v>0</v>
      </c>
      <c r="M68" s="55">
        <f t="shared" si="368"/>
        <v>0</v>
      </c>
      <c r="N68" s="59">
        <f t="shared" si="369"/>
        <v>0</v>
      </c>
      <c r="O68" s="55">
        <f t="shared" si="370"/>
        <v>0</v>
      </c>
      <c r="P68" s="59">
        <f t="shared" si="371"/>
        <v>0</v>
      </c>
      <c r="Q68" s="57">
        <f t="shared" si="372"/>
        <v>0</v>
      </c>
      <c r="R68" s="59">
        <f t="shared" si="373"/>
        <v>0</v>
      </c>
      <c r="S68" s="55">
        <f t="shared" si="374"/>
        <v>0</v>
      </c>
      <c r="T68" s="59">
        <f t="shared" si="375"/>
        <v>0</v>
      </c>
      <c r="U68" s="57">
        <f t="shared" si="376"/>
        <v>0</v>
      </c>
      <c r="V68" s="59">
        <f t="shared" si="377"/>
        <v>0</v>
      </c>
      <c r="W68" s="60">
        <f t="shared" si="378"/>
        <v>0</v>
      </c>
      <c r="X68" s="59">
        <f t="shared" si="379"/>
        <v>0</v>
      </c>
      <c r="Y68" s="57">
        <f t="shared" si="380"/>
        <v>0</v>
      </c>
      <c r="Z68" s="59">
        <f t="shared" si="381"/>
        <v>0</v>
      </c>
      <c r="AA68" s="55">
        <f t="shared" si="382"/>
        <v>0</v>
      </c>
      <c r="AB68" s="59">
        <f t="shared" si="383"/>
        <v>0</v>
      </c>
      <c r="AC68" s="60">
        <f t="shared" si="384"/>
        <v>0</v>
      </c>
      <c r="AD68" s="59">
        <f t="shared" si="385"/>
        <v>0</v>
      </c>
      <c r="AE68" s="60">
        <f t="shared" si="386"/>
        <v>0</v>
      </c>
      <c r="AF68" s="59">
        <f t="shared" si="387"/>
        <v>0</v>
      </c>
      <c r="AG68" s="60">
        <f t="shared" si="388"/>
        <v>0</v>
      </c>
      <c r="AH68" s="59">
        <f t="shared" si="389"/>
        <v>0</v>
      </c>
      <c r="AI68" s="55">
        <f t="shared" si="390"/>
        <v>0</v>
      </c>
      <c r="AJ68" s="59">
        <f t="shared" si="391"/>
        <v>0</v>
      </c>
      <c r="AK68" s="60">
        <f t="shared" si="392"/>
        <v>0</v>
      </c>
      <c r="AL68" s="59">
        <f t="shared" si="393"/>
        <v>0</v>
      </c>
      <c r="AM68" s="60">
        <f t="shared" si="394"/>
        <v>0</v>
      </c>
      <c r="AN68" s="59">
        <f t="shared" si="395"/>
        <v>0</v>
      </c>
      <c r="AO68" s="60">
        <f t="shared" si="396"/>
        <v>0</v>
      </c>
      <c r="AP68" s="59">
        <f t="shared" si="397"/>
        <v>0</v>
      </c>
      <c r="AQ68" s="60">
        <f t="shared" si="398"/>
        <v>0</v>
      </c>
      <c r="AR68" s="59">
        <f t="shared" si="399"/>
        <v>0</v>
      </c>
      <c r="AS68" s="55">
        <f t="shared" si="400"/>
        <v>0</v>
      </c>
      <c r="AT68" s="59">
        <f t="shared" si="401"/>
        <v>0</v>
      </c>
      <c r="AU68" s="60">
        <f t="shared" si="402"/>
        <v>0</v>
      </c>
      <c r="AV68" s="59">
        <f t="shared" si="403"/>
        <v>0</v>
      </c>
      <c r="AW68" s="60">
        <f t="shared" si="404"/>
        <v>0</v>
      </c>
      <c r="AX68" s="59">
        <f t="shared" si="405"/>
        <v>0</v>
      </c>
      <c r="AY68" s="55">
        <f t="shared" si="406"/>
        <v>0</v>
      </c>
      <c r="AZ68" s="59">
        <f t="shared" si="407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08"/>
        <v>0.91</v>
      </c>
      <c r="BH68" s="55">
        <f t="shared" si="408"/>
        <v>0.89</v>
      </c>
      <c r="BI68" s="55">
        <f t="shared" si="408"/>
        <v>0.87</v>
      </c>
      <c r="BJ68" s="55">
        <f t="shared" si="408"/>
        <v>0.85</v>
      </c>
      <c r="BK68" s="55">
        <f t="shared" si="408"/>
        <v>0.83</v>
      </c>
      <c r="BL68" s="55">
        <f t="shared" si="408"/>
        <v>0.80999999999999994</v>
      </c>
      <c r="BM68" s="55">
        <f t="shared" si="408"/>
        <v>0.78999999999999992</v>
      </c>
      <c r="BN68" s="55">
        <f t="shared" si="408"/>
        <v>0.76999999999999991</v>
      </c>
      <c r="BO68" s="55">
        <f t="shared" si="408"/>
        <v>0.74999999999999989</v>
      </c>
      <c r="BP68" s="55">
        <f t="shared" si="408"/>
        <v>0.72999999999999987</v>
      </c>
      <c r="BQ68" s="55">
        <f t="shared" si="408"/>
        <v>0.70999999999999985</v>
      </c>
      <c r="BR68" s="55">
        <f t="shared" si="408"/>
        <v>0.68999999999999984</v>
      </c>
      <c r="BS68" s="55">
        <f t="shared" si="408"/>
        <v>0.66999999999999982</v>
      </c>
      <c r="BT68" s="55">
        <f t="shared" si="408"/>
        <v>0.6499999999999998</v>
      </c>
      <c r="BU68" s="55">
        <f t="shared" si="408"/>
        <v>0.62999999999999978</v>
      </c>
      <c r="BV68" s="55">
        <f t="shared" si="408"/>
        <v>0.60999999999999976</v>
      </c>
      <c r="BW68" s="55">
        <f t="shared" si="408"/>
        <v>0.58999999999999975</v>
      </c>
      <c r="BX68" s="55">
        <f t="shared" si="408"/>
        <v>0.56999999999999973</v>
      </c>
      <c r="BZ68" s="55">
        <f t="shared" si="88"/>
        <v>0</v>
      </c>
      <c r="CA68" s="55">
        <f t="shared" si="89"/>
        <v>0</v>
      </c>
      <c r="CB68" s="59">
        <f t="shared" si="409"/>
        <v>0</v>
      </c>
      <c r="CC68" s="55">
        <f t="shared" si="410"/>
        <v>0</v>
      </c>
      <c r="CD68" s="59">
        <f t="shared" si="411"/>
        <v>0</v>
      </c>
      <c r="CE68" s="55">
        <f t="shared" si="412"/>
        <v>0</v>
      </c>
      <c r="CF68" s="59">
        <f t="shared" si="413"/>
        <v>0</v>
      </c>
      <c r="CG68" s="55">
        <f t="shared" si="414"/>
        <v>0</v>
      </c>
      <c r="CH68" s="59">
        <f t="shared" si="415"/>
        <v>0</v>
      </c>
      <c r="CI68" s="57">
        <f t="shared" si="416"/>
        <v>0</v>
      </c>
      <c r="CJ68" s="59">
        <f t="shared" si="417"/>
        <v>0</v>
      </c>
      <c r="CK68" s="55">
        <f t="shared" si="418"/>
        <v>0</v>
      </c>
      <c r="CL68" s="59">
        <f t="shared" si="419"/>
        <v>0</v>
      </c>
      <c r="CM68" s="57">
        <f t="shared" si="420"/>
        <v>0</v>
      </c>
      <c r="CN68" s="59">
        <f t="shared" si="421"/>
        <v>0</v>
      </c>
      <c r="CO68" s="60">
        <f t="shared" si="422"/>
        <v>0</v>
      </c>
      <c r="CP68" s="59">
        <f t="shared" si="423"/>
        <v>0</v>
      </c>
      <c r="CQ68" s="57">
        <f t="shared" si="424"/>
        <v>0</v>
      </c>
      <c r="CR68" s="59">
        <f t="shared" si="425"/>
        <v>0</v>
      </c>
      <c r="CS68" s="55">
        <f t="shared" si="426"/>
        <v>0</v>
      </c>
      <c r="CT68" s="59">
        <f t="shared" si="427"/>
        <v>0</v>
      </c>
      <c r="CU68" s="60">
        <f t="shared" si="428"/>
        <v>0</v>
      </c>
      <c r="CV68" s="59">
        <f t="shared" si="429"/>
        <v>0</v>
      </c>
      <c r="CW68" s="60">
        <f t="shared" si="430"/>
        <v>0</v>
      </c>
      <c r="CX68" s="59">
        <f t="shared" si="431"/>
        <v>0</v>
      </c>
      <c r="CY68" s="60">
        <f t="shared" si="432"/>
        <v>0</v>
      </c>
      <c r="CZ68" s="59">
        <f t="shared" si="433"/>
        <v>0</v>
      </c>
      <c r="DA68" s="55">
        <f t="shared" si="434"/>
        <v>0</v>
      </c>
      <c r="DB68" s="59">
        <f t="shared" si="435"/>
        <v>0</v>
      </c>
      <c r="DC68" s="60">
        <f t="shared" si="436"/>
        <v>0</v>
      </c>
      <c r="DD68" s="59">
        <f t="shared" si="437"/>
        <v>0</v>
      </c>
      <c r="DE68" s="60">
        <f t="shared" si="438"/>
        <v>0</v>
      </c>
      <c r="DF68" s="59">
        <f t="shared" si="439"/>
        <v>0</v>
      </c>
      <c r="DG68" s="60">
        <f t="shared" si="440"/>
        <v>0</v>
      </c>
      <c r="DH68" s="59">
        <f t="shared" si="441"/>
        <v>0</v>
      </c>
      <c r="DI68" s="60">
        <f t="shared" si="442"/>
        <v>0</v>
      </c>
      <c r="DJ68" s="59">
        <f t="shared" si="443"/>
        <v>0</v>
      </c>
      <c r="DK68" s="55">
        <f t="shared" si="444"/>
        <v>0</v>
      </c>
      <c r="DL68" s="59">
        <f t="shared" si="445"/>
        <v>0</v>
      </c>
      <c r="DM68" s="60">
        <f t="shared" si="446"/>
        <v>0</v>
      </c>
      <c r="DN68" s="59">
        <f t="shared" si="447"/>
        <v>0</v>
      </c>
      <c r="DO68" s="60">
        <f t="shared" si="448"/>
        <v>0</v>
      </c>
      <c r="DP68" s="59">
        <f t="shared" si="449"/>
        <v>0</v>
      </c>
      <c r="DQ68" s="55">
        <f t="shared" si="450"/>
        <v>0</v>
      </c>
      <c r="DR68" s="59">
        <f t="shared" si="451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497"/>
        <v>0.91</v>
      </c>
      <c r="DZ68" s="55">
        <f t="shared" si="497"/>
        <v>0.89</v>
      </c>
      <c r="EA68" s="55">
        <f t="shared" si="497"/>
        <v>0.87</v>
      </c>
      <c r="EB68" s="55">
        <f t="shared" si="497"/>
        <v>0.85</v>
      </c>
      <c r="EC68" s="55">
        <f t="shared" si="497"/>
        <v>0.83</v>
      </c>
      <c r="ED68" s="55">
        <f t="shared" si="497"/>
        <v>0.80999999999999994</v>
      </c>
      <c r="EE68" s="55">
        <f t="shared" si="497"/>
        <v>0.78999999999999992</v>
      </c>
      <c r="EF68" s="55">
        <f t="shared" si="497"/>
        <v>0.76999999999999991</v>
      </c>
      <c r="EG68" s="55">
        <f t="shared" si="497"/>
        <v>0.74999999999999989</v>
      </c>
      <c r="EH68" s="55">
        <f t="shared" si="497"/>
        <v>0.72999999999999987</v>
      </c>
      <c r="EI68" s="55">
        <f t="shared" si="497"/>
        <v>0.70999999999999985</v>
      </c>
      <c r="EJ68" s="55">
        <f t="shared" si="497"/>
        <v>0.68999999999999984</v>
      </c>
      <c r="EK68" s="55">
        <f t="shared" si="497"/>
        <v>0.66999999999999982</v>
      </c>
      <c r="EL68" s="55">
        <f t="shared" si="497"/>
        <v>0.6499999999999998</v>
      </c>
      <c r="EM68" s="55">
        <f t="shared" si="497"/>
        <v>0.62999999999999978</v>
      </c>
      <c r="EN68" s="55">
        <f t="shared" si="497"/>
        <v>0.60999999999999976</v>
      </c>
      <c r="EO68" s="55">
        <f t="shared" si="497"/>
        <v>0.58999999999999975</v>
      </c>
      <c r="EP68" s="55">
        <f t="shared" si="497"/>
        <v>0.56999999999999973</v>
      </c>
      <c r="ER68" s="55">
        <f t="shared" si="142"/>
        <v>0</v>
      </c>
      <c r="ES68" s="55">
        <f t="shared" si="116"/>
        <v>0</v>
      </c>
      <c r="ET68" s="59">
        <f t="shared" si="453"/>
        <v>0</v>
      </c>
      <c r="EU68" s="55">
        <f t="shared" si="454"/>
        <v>0</v>
      </c>
      <c r="EV68" s="59">
        <f t="shared" si="455"/>
        <v>0</v>
      </c>
      <c r="EW68" s="55">
        <f t="shared" si="456"/>
        <v>0</v>
      </c>
      <c r="EX68" s="59">
        <f t="shared" si="457"/>
        <v>0</v>
      </c>
      <c r="EY68" s="55">
        <f t="shared" si="458"/>
        <v>0</v>
      </c>
      <c r="EZ68" s="59">
        <f t="shared" si="459"/>
        <v>0</v>
      </c>
      <c r="FA68" s="57">
        <f t="shared" si="460"/>
        <v>0</v>
      </c>
      <c r="FB68" s="59">
        <f t="shared" si="461"/>
        <v>0</v>
      </c>
      <c r="FC68" s="55">
        <f t="shared" si="462"/>
        <v>0</v>
      </c>
      <c r="FD68" s="59">
        <f t="shared" si="463"/>
        <v>0</v>
      </c>
      <c r="FE68" s="57">
        <f t="shared" si="464"/>
        <v>0</v>
      </c>
      <c r="FF68" s="59">
        <f t="shared" si="465"/>
        <v>0</v>
      </c>
      <c r="FG68" s="60">
        <f t="shared" si="466"/>
        <v>0</v>
      </c>
      <c r="FH68" s="59">
        <f t="shared" si="467"/>
        <v>0</v>
      </c>
      <c r="FI68" s="57">
        <f t="shared" si="468"/>
        <v>0</v>
      </c>
      <c r="FJ68" s="59">
        <f t="shared" si="469"/>
        <v>0</v>
      </c>
      <c r="FK68" s="55">
        <f t="shared" si="470"/>
        <v>0</v>
      </c>
      <c r="FL68" s="59">
        <f t="shared" si="471"/>
        <v>0</v>
      </c>
      <c r="FM68" s="60">
        <f t="shared" si="472"/>
        <v>0</v>
      </c>
      <c r="FN68" s="59">
        <f t="shared" si="473"/>
        <v>0</v>
      </c>
      <c r="FO68" s="60">
        <f t="shared" si="474"/>
        <v>0</v>
      </c>
      <c r="FP68" s="59">
        <f t="shared" si="475"/>
        <v>0</v>
      </c>
      <c r="FQ68" s="60">
        <f t="shared" si="476"/>
        <v>0</v>
      </c>
      <c r="FR68" s="59">
        <f t="shared" si="477"/>
        <v>0</v>
      </c>
      <c r="FS68" s="55">
        <f t="shared" si="478"/>
        <v>0</v>
      </c>
      <c r="FT68" s="59">
        <f t="shared" si="479"/>
        <v>0</v>
      </c>
      <c r="FU68" s="60">
        <f t="shared" si="480"/>
        <v>0</v>
      </c>
      <c r="FV68" s="59">
        <f t="shared" si="481"/>
        <v>0</v>
      </c>
      <c r="FW68" s="60">
        <f t="shared" si="482"/>
        <v>0</v>
      </c>
      <c r="FX68" s="59">
        <f t="shared" si="483"/>
        <v>0</v>
      </c>
      <c r="FY68" s="60">
        <f t="shared" si="484"/>
        <v>0</v>
      </c>
      <c r="FZ68" s="59">
        <f t="shared" si="485"/>
        <v>0</v>
      </c>
      <c r="GA68" s="60">
        <f t="shared" si="486"/>
        <v>0</v>
      </c>
      <c r="GB68" s="59">
        <f t="shared" si="487"/>
        <v>0</v>
      </c>
      <c r="GC68" s="55">
        <f t="shared" si="488"/>
        <v>0</v>
      </c>
      <c r="GD68" s="59">
        <f t="shared" si="489"/>
        <v>0</v>
      </c>
      <c r="GE68" s="60">
        <f t="shared" si="490"/>
        <v>0</v>
      </c>
      <c r="GF68" s="59">
        <f t="shared" si="491"/>
        <v>0</v>
      </c>
      <c r="GG68" s="60">
        <f t="shared" si="492"/>
        <v>0</v>
      </c>
      <c r="GH68" s="59">
        <f t="shared" si="493"/>
        <v>0</v>
      </c>
      <c r="GI68" s="55">
        <f t="shared" si="494"/>
        <v>0</v>
      </c>
      <c r="GJ68" s="59">
        <f t="shared" si="495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498"/>
        <v>0.91</v>
      </c>
      <c r="GR68" s="55">
        <f t="shared" si="498"/>
        <v>0.89</v>
      </c>
      <c r="GS68" s="55">
        <f t="shared" si="498"/>
        <v>0.87</v>
      </c>
      <c r="GT68" s="55">
        <f t="shared" si="498"/>
        <v>0.85</v>
      </c>
      <c r="GU68" s="55">
        <f t="shared" si="498"/>
        <v>0.83</v>
      </c>
      <c r="GV68" s="55">
        <f t="shared" si="498"/>
        <v>0.80999999999999994</v>
      </c>
      <c r="GW68" s="55">
        <f t="shared" si="498"/>
        <v>0.78999999999999992</v>
      </c>
      <c r="GX68" s="55">
        <f t="shared" si="498"/>
        <v>0.76999999999999991</v>
      </c>
      <c r="GY68" s="55">
        <f t="shared" si="498"/>
        <v>0.74999999999999989</v>
      </c>
      <c r="GZ68" s="55">
        <f t="shared" si="498"/>
        <v>0.72999999999999987</v>
      </c>
      <c r="HA68" s="55">
        <f t="shared" si="498"/>
        <v>0.70999999999999985</v>
      </c>
      <c r="HB68" s="55">
        <f t="shared" si="498"/>
        <v>0.68999999999999984</v>
      </c>
      <c r="HC68" s="55">
        <f t="shared" si="498"/>
        <v>0.66999999999999982</v>
      </c>
      <c r="HD68" s="55">
        <f t="shared" si="498"/>
        <v>0.6499999999999998</v>
      </c>
      <c r="HE68" s="55">
        <f t="shared" si="498"/>
        <v>0.62999999999999978</v>
      </c>
      <c r="HF68" s="55">
        <f t="shared" si="498"/>
        <v>0.60999999999999976</v>
      </c>
      <c r="HG68" s="55">
        <f t="shared" si="498"/>
        <v>0.58999999999999975</v>
      </c>
      <c r="HH68" s="55">
        <f t="shared" si="498"/>
        <v>0.56999999999999973</v>
      </c>
    </row>
    <row r="69" spans="1:216" x14ac:dyDescent="0.3">
      <c r="A69" s="2">
        <v>7</v>
      </c>
      <c r="C69" s="38" t="s">
        <v>141</v>
      </c>
      <c r="D69" s="42">
        <v>0</v>
      </c>
      <c r="E69" s="71">
        <f t="shared" si="365"/>
        <v>0</v>
      </c>
      <c r="H69" s="55">
        <f t="shared" si="61"/>
        <v>0</v>
      </c>
      <c r="I69" s="55">
        <f t="shared" si="62"/>
        <v>0</v>
      </c>
      <c r="J69" s="59">
        <f t="shared" si="63"/>
        <v>0</v>
      </c>
      <c r="K69" s="55">
        <f t="shared" si="366"/>
        <v>0</v>
      </c>
      <c r="L69" s="59">
        <f t="shared" si="367"/>
        <v>0</v>
      </c>
      <c r="M69" s="55">
        <f t="shared" si="368"/>
        <v>0</v>
      </c>
      <c r="N69" s="59">
        <f t="shared" si="369"/>
        <v>0</v>
      </c>
      <c r="O69" s="55">
        <f t="shared" si="370"/>
        <v>0</v>
      </c>
      <c r="P69" s="59">
        <f t="shared" si="371"/>
        <v>0</v>
      </c>
      <c r="Q69" s="57">
        <f t="shared" si="372"/>
        <v>0</v>
      </c>
      <c r="R69" s="59">
        <f t="shared" si="373"/>
        <v>0</v>
      </c>
      <c r="S69" s="55">
        <f t="shared" si="374"/>
        <v>0</v>
      </c>
      <c r="T69" s="59">
        <f t="shared" si="375"/>
        <v>0</v>
      </c>
      <c r="U69" s="57">
        <f t="shared" si="376"/>
        <v>0</v>
      </c>
      <c r="V69" s="59">
        <f t="shared" si="377"/>
        <v>0</v>
      </c>
      <c r="W69" s="60">
        <f t="shared" si="378"/>
        <v>0</v>
      </c>
      <c r="X69" s="59">
        <f t="shared" si="379"/>
        <v>0</v>
      </c>
      <c r="Y69" s="57">
        <f t="shared" si="380"/>
        <v>0</v>
      </c>
      <c r="Z69" s="59">
        <f t="shared" si="381"/>
        <v>0</v>
      </c>
      <c r="AA69" s="55">
        <f t="shared" si="382"/>
        <v>0</v>
      </c>
      <c r="AB69" s="59">
        <f t="shared" si="383"/>
        <v>0</v>
      </c>
      <c r="AC69" s="60">
        <f t="shared" si="384"/>
        <v>0</v>
      </c>
      <c r="AD69" s="59">
        <f t="shared" si="385"/>
        <v>0</v>
      </c>
      <c r="AE69" s="60">
        <f t="shared" si="386"/>
        <v>0</v>
      </c>
      <c r="AF69" s="59">
        <f t="shared" si="387"/>
        <v>0</v>
      </c>
      <c r="AG69" s="60">
        <f t="shared" si="388"/>
        <v>0</v>
      </c>
      <c r="AH69" s="59">
        <f t="shared" si="389"/>
        <v>0</v>
      </c>
      <c r="AI69" s="55">
        <f t="shared" si="390"/>
        <v>0</v>
      </c>
      <c r="AJ69" s="59">
        <f t="shared" si="391"/>
        <v>0</v>
      </c>
      <c r="AK69" s="60">
        <f t="shared" si="392"/>
        <v>0</v>
      </c>
      <c r="AL69" s="59">
        <f t="shared" si="393"/>
        <v>0</v>
      </c>
      <c r="AM69" s="60">
        <f t="shared" si="394"/>
        <v>0</v>
      </c>
      <c r="AN69" s="59">
        <f t="shared" si="395"/>
        <v>0</v>
      </c>
      <c r="AO69" s="60">
        <f t="shared" si="396"/>
        <v>0</v>
      </c>
      <c r="AP69" s="59">
        <f t="shared" si="397"/>
        <v>0</v>
      </c>
      <c r="AQ69" s="60">
        <f t="shared" si="398"/>
        <v>0</v>
      </c>
      <c r="AR69" s="59">
        <f t="shared" si="399"/>
        <v>0</v>
      </c>
      <c r="AS69" s="55">
        <f t="shared" si="400"/>
        <v>0</v>
      </c>
      <c r="AT69" s="59">
        <f t="shared" si="401"/>
        <v>0</v>
      </c>
      <c r="AU69" s="60">
        <f t="shared" si="402"/>
        <v>0</v>
      </c>
      <c r="AV69" s="59">
        <f t="shared" si="403"/>
        <v>0</v>
      </c>
      <c r="AW69" s="60">
        <f t="shared" si="404"/>
        <v>0</v>
      </c>
      <c r="AX69" s="59">
        <f t="shared" si="405"/>
        <v>0</v>
      </c>
      <c r="AY69" s="55">
        <f t="shared" si="406"/>
        <v>0</v>
      </c>
      <c r="AZ69" s="59">
        <f t="shared" si="407"/>
        <v>0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08"/>
        <v>0.91</v>
      </c>
      <c r="BH69" s="55">
        <f t="shared" si="408"/>
        <v>0.89</v>
      </c>
      <c r="BI69" s="55">
        <f t="shared" si="408"/>
        <v>0.87</v>
      </c>
      <c r="BJ69" s="55">
        <f t="shared" si="408"/>
        <v>0.85</v>
      </c>
      <c r="BK69" s="55">
        <f t="shared" si="408"/>
        <v>0.83</v>
      </c>
      <c r="BL69" s="55">
        <f t="shared" si="408"/>
        <v>0.80999999999999994</v>
      </c>
      <c r="BM69" s="55">
        <f t="shared" si="408"/>
        <v>0.78999999999999992</v>
      </c>
      <c r="BN69" s="55">
        <f t="shared" si="408"/>
        <v>0.76999999999999991</v>
      </c>
      <c r="BO69" s="55">
        <f t="shared" si="408"/>
        <v>0.74999999999999989</v>
      </c>
      <c r="BP69" s="55">
        <f t="shared" si="408"/>
        <v>0.72999999999999987</v>
      </c>
      <c r="BQ69" s="55">
        <f t="shared" si="408"/>
        <v>0.70999999999999985</v>
      </c>
      <c r="BR69" s="55">
        <f t="shared" si="408"/>
        <v>0.68999999999999984</v>
      </c>
      <c r="BS69" s="55">
        <f t="shared" si="408"/>
        <v>0.66999999999999982</v>
      </c>
      <c r="BT69" s="55">
        <f t="shared" si="408"/>
        <v>0.6499999999999998</v>
      </c>
      <c r="BU69" s="55">
        <f t="shared" si="408"/>
        <v>0.62999999999999978</v>
      </c>
      <c r="BV69" s="55">
        <f t="shared" si="408"/>
        <v>0.60999999999999976</v>
      </c>
      <c r="BW69" s="55">
        <f t="shared" si="408"/>
        <v>0.58999999999999975</v>
      </c>
      <c r="BX69" s="55">
        <f t="shared" si="408"/>
        <v>0.56999999999999973</v>
      </c>
      <c r="BZ69" s="55">
        <f t="shared" si="88"/>
        <v>0</v>
      </c>
      <c r="CA69" s="55">
        <f t="shared" si="89"/>
        <v>0</v>
      </c>
      <c r="CB69" s="59">
        <f t="shared" si="409"/>
        <v>0</v>
      </c>
      <c r="CC69" s="55">
        <f t="shared" si="410"/>
        <v>0</v>
      </c>
      <c r="CD69" s="59">
        <f t="shared" si="411"/>
        <v>0</v>
      </c>
      <c r="CE69" s="55">
        <f t="shared" si="412"/>
        <v>0</v>
      </c>
      <c r="CF69" s="59">
        <f t="shared" si="413"/>
        <v>0</v>
      </c>
      <c r="CG69" s="55">
        <f t="shared" si="414"/>
        <v>0</v>
      </c>
      <c r="CH69" s="59">
        <f t="shared" si="415"/>
        <v>0</v>
      </c>
      <c r="CI69" s="57">
        <f t="shared" si="416"/>
        <v>0</v>
      </c>
      <c r="CJ69" s="59">
        <f t="shared" si="417"/>
        <v>0</v>
      </c>
      <c r="CK69" s="55">
        <f t="shared" si="418"/>
        <v>0</v>
      </c>
      <c r="CL69" s="59">
        <f t="shared" si="419"/>
        <v>0</v>
      </c>
      <c r="CM69" s="57">
        <f t="shared" si="420"/>
        <v>0</v>
      </c>
      <c r="CN69" s="59">
        <f t="shared" si="421"/>
        <v>0</v>
      </c>
      <c r="CO69" s="60">
        <f t="shared" si="422"/>
        <v>0</v>
      </c>
      <c r="CP69" s="59">
        <f t="shared" si="423"/>
        <v>0</v>
      </c>
      <c r="CQ69" s="57">
        <f t="shared" si="424"/>
        <v>0</v>
      </c>
      <c r="CR69" s="59">
        <f t="shared" si="425"/>
        <v>0</v>
      </c>
      <c r="CS69" s="55">
        <f t="shared" si="426"/>
        <v>0</v>
      </c>
      <c r="CT69" s="59">
        <f t="shared" si="427"/>
        <v>0</v>
      </c>
      <c r="CU69" s="60">
        <f t="shared" si="428"/>
        <v>0</v>
      </c>
      <c r="CV69" s="59">
        <f t="shared" si="429"/>
        <v>0</v>
      </c>
      <c r="CW69" s="60">
        <f t="shared" si="430"/>
        <v>0</v>
      </c>
      <c r="CX69" s="59">
        <f t="shared" si="431"/>
        <v>0</v>
      </c>
      <c r="CY69" s="60">
        <f t="shared" si="432"/>
        <v>0</v>
      </c>
      <c r="CZ69" s="59">
        <f t="shared" si="433"/>
        <v>0</v>
      </c>
      <c r="DA69" s="55">
        <f t="shared" si="434"/>
        <v>0</v>
      </c>
      <c r="DB69" s="59">
        <f t="shared" si="435"/>
        <v>0</v>
      </c>
      <c r="DC69" s="60">
        <f t="shared" si="436"/>
        <v>0</v>
      </c>
      <c r="DD69" s="59">
        <f t="shared" si="437"/>
        <v>0</v>
      </c>
      <c r="DE69" s="60">
        <f t="shared" si="438"/>
        <v>0</v>
      </c>
      <c r="DF69" s="59">
        <f t="shared" si="439"/>
        <v>0</v>
      </c>
      <c r="DG69" s="60">
        <f t="shared" si="440"/>
        <v>0</v>
      </c>
      <c r="DH69" s="59">
        <f t="shared" si="441"/>
        <v>0</v>
      </c>
      <c r="DI69" s="60">
        <f t="shared" si="442"/>
        <v>0</v>
      </c>
      <c r="DJ69" s="59">
        <f t="shared" si="443"/>
        <v>0</v>
      </c>
      <c r="DK69" s="55">
        <f t="shared" si="444"/>
        <v>0</v>
      </c>
      <c r="DL69" s="59">
        <f t="shared" si="445"/>
        <v>0</v>
      </c>
      <c r="DM69" s="60">
        <f t="shared" si="446"/>
        <v>0</v>
      </c>
      <c r="DN69" s="59">
        <f t="shared" si="447"/>
        <v>0</v>
      </c>
      <c r="DO69" s="60">
        <f t="shared" si="448"/>
        <v>0</v>
      </c>
      <c r="DP69" s="59">
        <f t="shared" si="449"/>
        <v>0</v>
      </c>
      <c r="DQ69" s="55">
        <f t="shared" si="450"/>
        <v>0</v>
      </c>
      <c r="DR69" s="59">
        <f t="shared" si="451"/>
        <v>0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497"/>
        <v>0.91</v>
      </c>
      <c r="DZ69" s="55">
        <f t="shared" si="497"/>
        <v>0.89</v>
      </c>
      <c r="EA69" s="55">
        <f t="shared" si="497"/>
        <v>0.87</v>
      </c>
      <c r="EB69" s="55">
        <f t="shared" si="497"/>
        <v>0.85</v>
      </c>
      <c r="EC69" s="55">
        <f t="shared" si="497"/>
        <v>0.83</v>
      </c>
      <c r="ED69" s="55">
        <f t="shared" si="497"/>
        <v>0.80999999999999994</v>
      </c>
      <c r="EE69" s="55">
        <f t="shared" si="497"/>
        <v>0.78999999999999992</v>
      </c>
      <c r="EF69" s="55">
        <f t="shared" si="497"/>
        <v>0.76999999999999991</v>
      </c>
      <c r="EG69" s="55">
        <f t="shared" si="497"/>
        <v>0.74999999999999989</v>
      </c>
      <c r="EH69" s="55">
        <f t="shared" si="497"/>
        <v>0.72999999999999987</v>
      </c>
      <c r="EI69" s="55">
        <f t="shared" si="497"/>
        <v>0.70999999999999985</v>
      </c>
      <c r="EJ69" s="55">
        <f t="shared" si="497"/>
        <v>0.68999999999999984</v>
      </c>
      <c r="EK69" s="55">
        <f t="shared" si="497"/>
        <v>0.66999999999999982</v>
      </c>
      <c r="EL69" s="55">
        <f t="shared" si="497"/>
        <v>0.6499999999999998</v>
      </c>
      <c r="EM69" s="55">
        <f t="shared" si="497"/>
        <v>0.62999999999999978</v>
      </c>
      <c r="EN69" s="55">
        <f t="shared" si="497"/>
        <v>0.60999999999999976</v>
      </c>
      <c r="EO69" s="55">
        <f t="shared" si="497"/>
        <v>0.58999999999999975</v>
      </c>
      <c r="EP69" s="55">
        <f t="shared" si="497"/>
        <v>0.56999999999999973</v>
      </c>
      <c r="ER69" s="55">
        <f t="shared" si="142"/>
        <v>0</v>
      </c>
      <c r="ES69" s="55">
        <f t="shared" si="116"/>
        <v>0</v>
      </c>
      <c r="ET69" s="59">
        <f t="shared" si="453"/>
        <v>0</v>
      </c>
      <c r="EU69" s="55">
        <f t="shared" si="454"/>
        <v>0</v>
      </c>
      <c r="EV69" s="59">
        <f t="shared" si="455"/>
        <v>0</v>
      </c>
      <c r="EW69" s="55">
        <f t="shared" si="456"/>
        <v>0</v>
      </c>
      <c r="EX69" s="59">
        <f t="shared" si="457"/>
        <v>0</v>
      </c>
      <c r="EY69" s="55">
        <f t="shared" si="458"/>
        <v>0</v>
      </c>
      <c r="EZ69" s="59">
        <f t="shared" si="459"/>
        <v>0</v>
      </c>
      <c r="FA69" s="57">
        <f t="shared" si="460"/>
        <v>0</v>
      </c>
      <c r="FB69" s="59">
        <f t="shared" si="461"/>
        <v>0</v>
      </c>
      <c r="FC69" s="55">
        <f t="shared" si="462"/>
        <v>0</v>
      </c>
      <c r="FD69" s="59">
        <f t="shared" si="463"/>
        <v>0</v>
      </c>
      <c r="FE69" s="57">
        <f t="shared" si="464"/>
        <v>0</v>
      </c>
      <c r="FF69" s="59">
        <f t="shared" si="465"/>
        <v>0</v>
      </c>
      <c r="FG69" s="60">
        <f t="shared" si="466"/>
        <v>0</v>
      </c>
      <c r="FH69" s="59">
        <f t="shared" si="467"/>
        <v>0</v>
      </c>
      <c r="FI69" s="57">
        <f t="shared" si="468"/>
        <v>0</v>
      </c>
      <c r="FJ69" s="59">
        <f t="shared" si="469"/>
        <v>0</v>
      </c>
      <c r="FK69" s="55">
        <f t="shared" si="470"/>
        <v>0</v>
      </c>
      <c r="FL69" s="59">
        <f t="shared" si="471"/>
        <v>0</v>
      </c>
      <c r="FM69" s="60">
        <f t="shared" si="472"/>
        <v>0</v>
      </c>
      <c r="FN69" s="59">
        <f t="shared" si="473"/>
        <v>0</v>
      </c>
      <c r="FO69" s="60">
        <f t="shared" si="474"/>
        <v>0</v>
      </c>
      <c r="FP69" s="59">
        <f t="shared" si="475"/>
        <v>0</v>
      </c>
      <c r="FQ69" s="60">
        <f t="shared" si="476"/>
        <v>0</v>
      </c>
      <c r="FR69" s="59">
        <f t="shared" si="477"/>
        <v>0</v>
      </c>
      <c r="FS69" s="55">
        <f t="shared" si="478"/>
        <v>0</v>
      </c>
      <c r="FT69" s="59">
        <f t="shared" si="479"/>
        <v>0</v>
      </c>
      <c r="FU69" s="60">
        <f t="shared" si="480"/>
        <v>0</v>
      </c>
      <c r="FV69" s="59">
        <f t="shared" si="481"/>
        <v>0</v>
      </c>
      <c r="FW69" s="60">
        <f t="shared" si="482"/>
        <v>0</v>
      </c>
      <c r="FX69" s="59">
        <f t="shared" si="483"/>
        <v>0</v>
      </c>
      <c r="FY69" s="60">
        <f t="shared" si="484"/>
        <v>0</v>
      </c>
      <c r="FZ69" s="59">
        <f t="shared" si="485"/>
        <v>0</v>
      </c>
      <c r="GA69" s="60">
        <f t="shared" si="486"/>
        <v>0</v>
      </c>
      <c r="GB69" s="59">
        <f t="shared" si="487"/>
        <v>0</v>
      </c>
      <c r="GC69" s="55">
        <f t="shared" si="488"/>
        <v>0</v>
      </c>
      <c r="GD69" s="59">
        <f t="shared" si="489"/>
        <v>0</v>
      </c>
      <c r="GE69" s="60">
        <f t="shared" si="490"/>
        <v>0</v>
      </c>
      <c r="GF69" s="59">
        <f t="shared" si="491"/>
        <v>0</v>
      </c>
      <c r="GG69" s="60">
        <f t="shared" si="492"/>
        <v>0</v>
      </c>
      <c r="GH69" s="59">
        <f t="shared" si="493"/>
        <v>0</v>
      </c>
      <c r="GI69" s="55">
        <f t="shared" si="494"/>
        <v>0</v>
      </c>
      <c r="GJ69" s="59">
        <f t="shared" si="495"/>
        <v>0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498"/>
        <v>0.91</v>
      </c>
      <c r="GR69" s="55">
        <f t="shared" si="498"/>
        <v>0.89</v>
      </c>
      <c r="GS69" s="55">
        <f t="shared" si="498"/>
        <v>0.87</v>
      </c>
      <c r="GT69" s="55">
        <f t="shared" si="498"/>
        <v>0.85</v>
      </c>
      <c r="GU69" s="55">
        <f t="shared" si="498"/>
        <v>0.83</v>
      </c>
      <c r="GV69" s="55">
        <f t="shared" si="498"/>
        <v>0.80999999999999994</v>
      </c>
      <c r="GW69" s="55">
        <f t="shared" si="498"/>
        <v>0.78999999999999992</v>
      </c>
      <c r="GX69" s="55">
        <f t="shared" si="498"/>
        <v>0.76999999999999991</v>
      </c>
      <c r="GY69" s="55">
        <f t="shared" si="498"/>
        <v>0.74999999999999989</v>
      </c>
      <c r="GZ69" s="55">
        <f t="shared" si="498"/>
        <v>0.72999999999999987</v>
      </c>
      <c r="HA69" s="55">
        <f t="shared" si="498"/>
        <v>0.70999999999999985</v>
      </c>
      <c r="HB69" s="55">
        <f t="shared" si="498"/>
        <v>0.68999999999999984</v>
      </c>
      <c r="HC69" s="55">
        <f t="shared" si="498"/>
        <v>0.66999999999999982</v>
      </c>
      <c r="HD69" s="55">
        <f t="shared" si="498"/>
        <v>0.6499999999999998</v>
      </c>
      <c r="HE69" s="55">
        <f t="shared" si="498"/>
        <v>0.62999999999999978</v>
      </c>
      <c r="HF69" s="55">
        <f t="shared" si="498"/>
        <v>0.60999999999999976</v>
      </c>
      <c r="HG69" s="55">
        <f t="shared" si="498"/>
        <v>0.58999999999999975</v>
      </c>
      <c r="HH69" s="55">
        <f t="shared" si="498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1">
        <f t="shared" si="365"/>
        <v>0</v>
      </c>
      <c r="H70" s="55">
        <f t="shared" si="61"/>
        <v>0</v>
      </c>
      <c r="I70" s="55">
        <f t="shared" si="62"/>
        <v>0</v>
      </c>
      <c r="J70" s="59">
        <f t="shared" si="63"/>
        <v>0</v>
      </c>
      <c r="K70" s="55">
        <f t="shared" si="366"/>
        <v>0</v>
      </c>
      <c r="L70" s="59">
        <f t="shared" si="367"/>
        <v>0</v>
      </c>
      <c r="M70" s="55">
        <f t="shared" si="368"/>
        <v>0</v>
      </c>
      <c r="N70" s="59">
        <f t="shared" si="369"/>
        <v>0</v>
      </c>
      <c r="O70" s="55">
        <f t="shared" si="370"/>
        <v>0</v>
      </c>
      <c r="P70" s="59">
        <f t="shared" si="371"/>
        <v>0</v>
      </c>
      <c r="Q70" s="57">
        <f t="shared" si="372"/>
        <v>0</v>
      </c>
      <c r="R70" s="59">
        <f t="shared" si="373"/>
        <v>0</v>
      </c>
      <c r="S70" s="55">
        <f t="shared" si="374"/>
        <v>0</v>
      </c>
      <c r="T70" s="59">
        <f t="shared" si="375"/>
        <v>0</v>
      </c>
      <c r="U70" s="57">
        <f t="shared" si="376"/>
        <v>0</v>
      </c>
      <c r="V70" s="59">
        <f t="shared" si="377"/>
        <v>0</v>
      </c>
      <c r="W70" s="60">
        <f t="shared" si="378"/>
        <v>0</v>
      </c>
      <c r="X70" s="59">
        <f t="shared" si="379"/>
        <v>0</v>
      </c>
      <c r="Y70" s="57">
        <f t="shared" si="380"/>
        <v>0</v>
      </c>
      <c r="Z70" s="59">
        <f t="shared" si="381"/>
        <v>0</v>
      </c>
      <c r="AA70" s="55">
        <f t="shared" si="382"/>
        <v>0</v>
      </c>
      <c r="AB70" s="59">
        <f t="shared" si="383"/>
        <v>0</v>
      </c>
      <c r="AC70" s="60">
        <f t="shared" si="384"/>
        <v>0</v>
      </c>
      <c r="AD70" s="59">
        <f t="shared" si="385"/>
        <v>0</v>
      </c>
      <c r="AE70" s="60">
        <f t="shared" si="386"/>
        <v>0</v>
      </c>
      <c r="AF70" s="59">
        <f t="shared" si="387"/>
        <v>0</v>
      </c>
      <c r="AG70" s="60">
        <f t="shared" si="388"/>
        <v>0</v>
      </c>
      <c r="AH70" s="59">
        <f t="shared" si="389"/>
        <v>0</v>
      </c>
      <c r="AI70" s="55">
        <f t="shared" si="390"/>
        <v>0</v>
      </c>
      <c r="AJ70" s="59">
        <f t="shared" si="391"/>
        <v>0</v>
      </c>
      <c r="AK70" s="60">
        <f t="shared" si="392"/>
        <v>0</v>
      </c>
      <c r="AL70" s="59">
        <f t="shared" si="393"/>
        <v>0</v>
      </c>
      <c r="AM70" s="60">
        <f t="shared" si="394"/>
        <v>0</v>
      </c>
      <c r="AN70" s="59">
        <f t="shared" si="395"/>
        <v>0</v>
      </c>
      <c r="AO70" s="60">
        <f t="shared" si="396"/>
        <v>0</v>
      </c>
      <c r="AP70" s="59">
        <f t="shared" si="397"/>
        <v>0</v>
      </c>
      <c r="AQ70" s="60">
        <f t="shared" si="398"/>
        <v>0</v>
      </c>
      <c r="AR70" s="59">
        <f t="shared" si="399"/>
        <v>0</v>
      </c>
      <c r="AS70" s="55">
        <f t="shared" si="400"/>
        <v>0</v>
      </c>
      <c r="AT70" s="59">
        <f t="shared" si="401"/>
        <v>0</v>
      </c>
      <c r="AU70" s="60">
        <f t="shared" si="402"/>
        <v>0</v>
      </c>
      <c r="AV70" s="59">
        <f t="shared" si="403"/>
        <v>0</v>
      </c>
      <c r="AW70" s="60">
        <f t="shared" si="404"/>
        <v>0</v>
      </c>
      <c r="AX70" s="59">
        <f t="shared" si="405"/>
        <v>0</v>
      </c>
      <c r="AY70" s="55">
        <f t="shared" si="406"/>
        <v>0</v>
      </c>
      <c r="AZ70" s="59">
        <f t="shared" si="407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08"/>
        <v>0.91</v>
      </c>
      <c r="BH70" s="55">
        <f t="shared" si="408"/>
        <v>0.89</v>
      </c>
      <c r="BI70" s="55">
        <f t="shared" si="408"/>
        <v>0.87</v>
      </c>
      <c r="BJ70" s="55">
        <f t="shared" si="408"/>
        <v>0.85</v>
      </c>
      <c r="BK70" s="55">
        <f t="shared" si="408"/>
        <v>0.83</v>
      </c>
      <c r="BL70" s="55">
        <f t="shared" si="408"/>
        <v>0.80999999999999994</v>
      </c>
      <c r="BM70" s="55">
        <f t="shared" si="408"/>
        <v>0.78999999999999992</v>
      </c>
      <c r="BN70" s="55">
        <f t="shared" si="408"/>
        <v>0.76999999999999991</v>
      </c>
      <c r="BO70" s="55">
        <f t="shared" si="408"/>
        <v>0.74999999999999989</v>
      </c>
      <c r="BP70" s="55">
        <f t="shared" si="408"/>
        <v>0.72999999999999987</v>
      </c>
      <c r="BQ70" s="55">
        <f t="shared" si="408"/>
        <v>0.70999999999999985</v>
      </c>
      <c r="BR70" s="55">
        <f t="shared" si="408"/>
        <v>0.68999999999999984</v>
      </c>
      <c r="BS70" s="55">
        <f t="shared" si="408"/>
        <v>0.66999999999999982</v>
      </c>
      <c r="BT70" s="55">
        <f t="shared" si="408"/>
        <v>0.6499999999999998</v>
      </c>
      <c r="BU70" s="55">
        <f t="shared" si="408"/>
        <v>0.62999999999999978</v>
      </c>
      <c r="BV70" s="55">
        <f t="shared" si="408"/>
        <v>0.60999999999999976</v>
      </c>
      <c r="BW70" s="55">
        <f t="shared" si="408"/>
        <v>0.58999999999999975</v>
      </c>
      <c r="BX70" s="55">
        <f t="shared" si="408"/>
        <v>0.56999999999999973</v>
      </c>
      <c r="BZ70" s="55">
        <f t="shared" si="88"/>
        <v>0</v>
      </c>
      <c r="CA70" s="55">
        <f t="shared" si="89"/>
        <v>0</v>
      </c>
      <c r="CB70" s="59">
        <f t="shared" si="409"/>
        <v>0</v>
      </c>
      <c r="CC70" s="55">
        <f t="shared" si="410"/>
        <v>0</v>
      </c>
      <c r="CD70" s="59">
        <f t="shared" si="411"/>
        <v>0</v>
      </c>
      <c r="CE70" s="55">
        <f t="shared" si="412"/>
        <v>0</v>
      </c>
      <c r="CF70" s="59">
        <f t="shared" si="413"/>
        <v>0</v>
      </c>
      <c r="CG70" s="55">
        <f t="shared" si="414"/>
        <v>0</v>
      </c>
      <c r="CH70" s="59">
        <f t="shared" si="415"/>
        <v>0</v>
      </c>
      <c r="CI70" s="57">
        <f t="shared" si="416"/>
        <v>0</v>
      </c>
      <c r="CJ70" s="59">
        <f t="shared" si="417"/>
        <v>0</v>
      </c>
      <c r="CK70" s="55">
        <f t="shared" si="418"/>
        <v>0</v>
      </c>
      <c r="CL70" s="59">
        <f t="shared" si="419"/>
        <v>0</v>
      </c>
      <c r="CM70" s="57">
        <f t="shared" si="420"/>
        <v>0</v>
      </c>
      <c r="CN70" s="59">
        <f t="shared" si="421"/>
        <v>0</v>
      </c>
      <c r="CO70" s="60">
        <f t="shared" si="422"/>
        <v>0</v>
      </c>
      <c r="CP70" s="59">
        <f t="shared" si="423"/>
        <v>0</v>
      </c>
      <c r="CQ70" s="57">
        <f t="shared" si="424"/>
        <v>0</v>
      </c>
      <c r="CR70" s="59">
        <f t="shared" si="425"/>
        <v>0</v>
      </c>
      <c r="CS70" s="55">
        <f t="shared" si="426"/>
        <v>0</v>
      </c>
      <c r="CT70" s="59">
        <f t="shared" si="427"/>
        <v>0</v>
      </c>
      <c r="CU70" s="60">
        <f t="shared" si="428"/>
        <v>0</v>
      </c>
      <c r="CV70" s="59">
        <f t="shared" si="429"/>
        <v>0</v>
      </c>
      <c r="CW70" s="60">
        <f t="shared" si="430"/>
        <v>0</v>
      </c>
      <c r="CX70" s="59">
        <f t="shared" si="431"/>
        <v>0</v>
      </c>
      <c r="CY70" s="60">
        <f t="shared" si="432"/>
        <v>0</v>
      </c>
      <c r="CZ70" s="59">
        <f t="shared" si="433"/>
        <v>0</v>
      </c>
      <c r="DA70" s="55">
        <f t="shared" si="434"/>
        <v>0</v>
      </c>
      <c r="DB70" s="59">
        <f t="shared" si="435"/>
        <v>0</v>
      </c>
      <c r="DC70" s="60">
        <f t="shared" si="436"/>
        <v>0</v>
      </c>
      <c r="DD70" s="59">
        <f t="shared" si="437"/>
        <v>0</v>
      </c>
      <c r="DE70" s="60">
        <f t="shared" si="438"/>
        <v>0</v>
      </c>
      <c r="DF70" s="59">
        <f t="shared" si="439"/>
        <v>0</v>
      </c>
      <c r="DG70" s="60">
        <f t="shared" si="440"/>
        <v>0</v>
      </c>
      <c r="DH70" s="59">
        <f t="shared" si="441"/>
        <v>0</v>
      </c>
      <c r="DI70" s="60">
        <f t="shared" si="442"/>
        <v>0</v>
      </c>
      <c r="DJ70" s="59">
        <f t="shared" si="443"/>
        <v>0</v>
      </c>
      <c r="DK70" s="55">
        <f t="shared" si="444"/>
        <v>0</v>
      </c>
      <c r="DL70" s="59">
        <f t="shared" si="445"/>
        <v>0</v>
      </c>
      <c r="DM70" s="60">
        <f t="shared" si="446"/>
        <v>0</v>
      </c>
      <c r="DN70" s="59">
        <f t="shared" si="447"/>
        <v>0</v>
      </c>
      <c r="DO70" s="60">
        <f t="shared" si="448"/>
        <v>0</v>
      </c>
      <c r="DP70" s="59">
        <f t="shared" si="449"/>
        <v>0</v>
      </c>
      <c r="DQ70" s="55">
        <f t="shared" si="450"/>
        <v>0</v>
      </c>
      <c r="DR70" s="59">
        <f t="shared" si="451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497"/>
        <v>0.91</v>
      </c>
      <c r="DZ70" s="55">
        <f t="shared" si="497"/>
        <v>0.89</v>
      </c>
      <c r="EA70" s="55">
        <f t="shared" si="497"/>
        <v>0.87</v>
      </c>
      <c r="EB70" s="55">
        <f t="shared" si="497"/>
        <v>0.85</v>
      </c>
      <c r="EC70" s="55">
        <f t="shared" si="497"/>
        <v>0.83</v>
      </c>
      <c r="ED70" s="55">
        <f t="shared" si="497"/>
        <v>0.80999999999999994</v>
      </c>
      <c r="EE70" s="55">
        <f t="shared" si="497"/>
        <v>0.78999999999999992</v>
      </c>
      <c r="EF70" s="55">
        <f t="shared" si="497"/>
        <v>0.76999999999999991</v>
      </c>
      <c r="EG70" s="55">
        <f t="shared" si="497"/>
        <v>0.74999999999999989</v>
      </c>
      <c r="EH70" s="55">
        <f t="shared" si="497"/>
        <v>0.72999999999999987</v>
      </c>
      <c r="EI70" s="55">
        <f t="shared" si="497"/>
        <v>0.70999999999999985</v>
      </c>
      <c r="EJ70" s="55">
        <f t="shared" si="497"/>
        <v>0.68999999999999984</v>
      </c>
      <c r="EK70" s="55">
        <f t="shared" si="497"/>
        <v>0.66999999999999982</v>
      </c>
      <c r="EL70" s="55">
        <f t="shared" si="497"/>
        <v>0.6499999999999998</v>
      </c>
      <c r="EM70" s="55">
        <f t="shared" si="497"/>
        <v>0.62999999999999978</v>
      </c>
      <c r="EN70" s="55">
        <f t="shared" si="497"/>
        <v>0.60999999999999976</v>
      </c>
      <c r="EO70" s="55">
        <f t="shared" si="497"/>
        <v>0.58999999999999975</v>
      </c>
      <c r="EP70" s="55">
        <f t="shared" si="497"/>
        <v>0.56999999999999973</v>
      </c>
      <c r="ER70" s="55">
        <f t="shared" si="142"/>
        <v>0</v>
      </c>
      <c r="ES70" s="55">
        <f t="shared" si="116"/>
        <v>0</v>
      </c>
      <c r="ET70" s="59">
        <f t="shared" si="453"/>
        <v>0</v>
      </c>
      <c r="EU70" s="55">
        <f t="shared" si="454"/>
        <v>0</v>
      </c>
      <c r="EV70" s="59">
        <f t="shared" si="455"/>
        <v>0</v>
      </c>
      <c r="EW70" s="55">
        <f t="shared" si="456"/>
        <v>0</v>
      </c>
      <c r="EX70" s="59">
        <f t="shared" si="457"/>
        <v>0</v>
      </c>
      <c r="EY70" s="55">
        <f t="shared" si="458"/>
        <v>0</v>
      </c>
      <c r="EZ70" s="59">
        <f t="shared" si="459"/>
        <v>0</v>
      </c>
      <c r="FA70" s="57">
        <f t="shared" si="460"/>
        <v>0</v>
      </c>
      <c r="FB70" s="59">
        <f t="shared" si="461"/>
        <v>0</v>
      </c>
      <c r="FC70" s="55">
        <f t="shared" si="462"/>
        <v>0</v>
      </c>
      <c r="FD70" s="59">
        <f t="shared" si="463"/>
        <v>0</v>
      </c>
      <c r="FE70" s="57">
        <f t="shared" si="464"/>
        <v>0</v>
      </c>
      <c r="FF70" s="59">
        <f t="shared" si="465"/>
        <v>0</v>
      </c>
      <c r="FG70" s="60">
        <f t="shared" si="466"/>
        <v>0</v>
      </c>
      <c r="FH70" s="59">
        <f t="shared" si="467"/>
        <v>0</v>
      </c>
      <c r="FI70" s="57">
        <f t="shared" si="468"/>
        <v>0</v>
      </c>
      <c r="FJ70" s="59">
        <f t="shared" si="469"/>
        <v>0</v>
      </c>
      <c r="FK70" s="55">
        <f t="shared" si="470"/>
        <v>0</v>
      </c>
      <c r="FL70" s="59">
        <f t="shared" si="471"/>
        <v>0</v>
      </c>
      <c r="FM70" s="60">
        <f t="shared" si="472"/>
        <v>0</v>
      </c>
      <c r="FN70" s="59">
        <f t="shared" si="473"/>
        <v>0</v>
      </c>
      <c r="FO70" s="60">
        <f t="shared" si="474"/>
        <v>0</v>
      </c>
      <c r="FP70" s="59">
        <f t="shared" si="475"/>
        <v>0</v>
      </c>
      <c r="FQ70" s="60">
        <f t="shared" si="476"/>
        <v>0</v>
      </c>
      <c r="FR70" s="59">
        <f t="shared" si="477"/>
        <v>0</v>
      </c>
      <c r="FS70" s="55">
        <f t="shared" si="478"/>
        <v>0</v>
      </c>
      <c r="FT70" s="59">
        <f t="shared" si="479"/>
        <v>0</v>
      </c>
      <c r="FU70" s="60">
        <f t="shared" si="480"/>
        <v>0</v>
      </c>
      <c r="FV70" s="59">
        <f t="shared" si="481"/>
        <v>0</v>
      </c>
      <c r="FW70" s="60">
        <f t="shared" si="482"/>
        <v>0</v>
      </c>
      <c r="FX70" s="59">
        <f t="shared" si="483"/>
        <v>0</v>
      </c>
      <c r="FY70" s="60">
        <f t="shared" si="484"/>
        <v>0</v>
      </c>
      <c r="FZ70" s="59">
        <f t="shared" si="485"/>
        <v>0</v>
      </c>
      <c r="GA70" s="60">
        <f t="shared" si="486"/>
        <v>0</v>
      </c>
      <c r="GB70" s="59">
        <f t="shared" si="487"/>
        <v>0</v>
      </c>
      <c r="GC70" s="55">
        <f t="shared" si="488"/>
        <v>0</v>
      </c>
      <c r="GD70" s="59">
        <f t="shared" si="489"/>
        <v>0</v>
      </c>
      <c r="GE70" s="60">
        <f t="shared" si="490"/>
        <v>0</v>
      </c>
      <c r="GF70" s="59">
        <f t="shared" si="491"/>
        <v>0</v>
      </c>
      <c r="GG70" s="60">
        <f t="shared" si="492"/>
        <v>0</v>
      </c>
      <c r="GH70" s="59">
        <f t="shared" si="493"/>
        <v>0</v>
      </c>
      <c r="GI70" s="55">
        <f t="shared" si="494"/>
        <v>0</v>
      </c>
      <c r="GJ70" s="59">
        <f t="shared" si="495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498"/>
        <v>0.91</v>
      </c>
      <c r="GR70" s="55">
        <f t="shared" si="498"/>
        <v>0.89</v>
      </c>
      <c r="GS70" s="55">
        <f t="shared" si="498"/>
        <v>0.87</v>
      </c>
      <c r="GT70" s="55">
        <f t="shared" si="498"/>
        <v>0.85</v>
      </c>
      <c r="GU70" s="55">
        <f t="shared" si="498"/>
        <v>0.83</v>
      </c>
      <c r="GV70" s="55">
        <f t="shared" si="498"/>
        <v>0.80999999999999994</v>
      </c>
      <c r="GW70" s="55">
        <f t="shared" si="498"/>
        <v>0.78999999999999992</v>
      </c>
      <c r="GX70" s="55">
        <f t="shared" si="498"/>
        <v>0.76999999999999991</v>
      </c>
      <c r="GY70" s="55">
        <f t="shared" si="498"/>
        <v>0.74999999999999989</v>
      </c>
      <c r="GZ70" s="55">
        <f t="shared" si="498"/>
        <v>0.72999999999999987</v>
      </c>
      <c r="HA70" s="55">
        <f t="shared" si="498"/>
        <v>0.70999999999999985</v>
      </c>
      <c r="HB70" s="55">
        <f t="shared" si="498"/>
        <v>0.68999999999999984</v>
      </c>
      <c r="HC70" s="55">
        <f t="shared" si="498"/>
        <v>0.66999999999999982</v>
      </c>
      <c r="HD70" s="55">
        <f t="shared" si="498"/>
        <v>0.6499999999999998</v>
      </c>
      <c r="HE70" s="55">
        <f t="shared" si="498"/>
        <v>0.62999999999999978</v>
      </c>
      <c r="HF70" s="55">
        <f t="shared" si="498"/>
        <v>0.60999999999999976</v>
      </c>
      <c r="HG70" s="55">
        <f t="shared" si="498"/>
        <v>0.58999999999999975</v>
      </c>
      <c r="HH70" s="55">
        <f t="shared" si="498"/>
        <v>0.56999999999999973</v>
      </c>
    </row>
    <row r="71" spans="1:216" x14ac:dyDescent="0.3">
      <c r="A71" s="2">
        <v>9</v>
      </c>
      <c r="C71" s="38" t="s">
        <v>154</v>
      </c>
      <c r="D71" s="42">
        <v>0</v>
      </c>
      <c r="E71" s="71">
        <f t="shared" si="365"/>
        <v>0</v>
      </c>
      <c r="H71" s="55">
        <f t="shared" si="61"/>
        <v>0</v>
      </c>
      <c r="I71" s="55">
        <f t="shared" si="62"/>
        <v>0</v>
      </c>
      <c r="J71" s="59">
        <f t="shared" si="63"/>
        <v>0</v>
      </c>
      <c r="K71" s="55">
        <f t="shared" si="366"/>
        <v>0</v>
      </c>
      <c r="L71" s="59">
        <f t="shared" si="367"/>
        <v>0</v>
      </c>
      <c r="M71" s="55">
        <f t="shared" si="368"/>
        <v>0</v>
      </c>
      <c r="N71" s="59">
        <f t="shared" si="369"/>
        <v>0</v>
      </c>
      <c r="O71" s="55">
        <f t="shared" si="370"/>
        <v>0</v>
      </c>
      <c r="P71" s="59">
        <f t="shared" si="371"/>
        <v>0</v>
      </c>
      <c r="Q71" s="57">
        <f t="shared" si="372"/>
        <v>0</v>
      </c>
      <c r="R71" s="59">
        <f t="shared" si="373"/>
        <v>0</v>
      </c>
      <c r="S71" s="55">
        <f t="shared" si="374"/>
        <v>0</v>
      </c>
      <c r="T71" s="59">
        <f t="shared" si="375"/>
        <v>0</v>
      </c>
      <c r="U71" s="57">
        <f t="shared" si="376"/>
        <v>0</v>
      </c>
      <c r="V71" s="59">
        <f t="shared" si="377"/>
        <v>0</v>
      </c>
      <c r="W71" s="60">
        <f t="shared" si="378"/>
        <v>0</v>
      </c>
      <c r="X71" s="59">
        <f t="shared" si="379"/>
        <v>0</v>
      </c>
      <c r="Y71" s="57">
        <f t="shared" si="380"/>
        <v>0</v>
      </c>
      <c r="Z71" s="59">
        <f t="shared" si="381"/>
        <v>0</v>
      </c>
      <c r="AA71" s="55">
        <f t="shared" si="382"/>
        <v>0</v>
      </c>
      <c r="AB71" s="59">
        <f t="shared" si="383"/>
        <v>0</v>
      </c>
      <c r="AC71" s="60">
        <f t="shared" si="384"/>
        <v>0</v>
      </c>
      <c r="AD71" s="59">
        <f t="shared" si="385"/>
        <v>0</v>
      </c>
      <c r="AE71" s="60">
        <f t="shared" si="386"/>
        <v>0</v>
      </c>
      <c r="AF71" s="59">
        <f t="shared" si="387"/>
        <v>0</v>
      </c>
      <c r="AG71" s="60">
        <f t="shared" si="388"/>
        <v>0</v>
      </c>
      <c r="AH71" s="59">
        <f t="shared" si="389"/>
        <v>0</v>
      </c>
      <c r="AI71" s="55">
        <f t="shared" si="390"/>
        <v>0</v>
      </c>
      <c r="AJ71" s="59">
        <f t="shared" si="391"/>
        <v>0</v>
      </c>
      <c r="AK71" s="60">
        <f t="shared" si="392"/>
        <v>0</v>
      </c>
      <c r="AL71" s="59">
        <f t="shared" si="393"/>
        <v>0</v>
      </c>
      <c r="AM71" s="60">
        <f t="shared" si="394"/>
        <v>0</v>
      </c>
      <c r="AN71" s="59">
        <f t="shared" si="395"/>
        <v>0</v>
      </c>
      <c r="AO71" s="60">
        <f t="shared" si="396"/>
        <v>0</v>
      </c>
      <c r="AP71" s="59">
        <f t="shared" si="397"/>
        <v>0</v>
      </c>
      <c r="AQ71" s="60">
        <f t="shared" si="398"/>
        <v>0</v>
      </c>
      <c r="AR71" s="59">
        <f t="shared" si="399"/>
        <v>0</v>
      </c>
      <c r="AS71" s="55">
        <f t="shared" si="400"/>
        <v>0</v>
      </c>
      <c r="AT71" s="59">
        <f t="shared" si="401"/>
        <v>0</v>
      </c>
      <c r="AU71" s="60">
        <f t="shared" si="402"/>
        <v>0</v>
      </c>
      <c r="AV71" s="59">
        <f t="shared" si="403"/>
        <v>0</v>
      </c>
      <c r="AW71" s="60">
        <f t="shared" si="404"/>
        <v>0</v>
      </c>
      <c r="AX71" s="59">
        <f t="shared" si="405"/>
        <v>0</v>
      </c>
      <c r="AY71" s="55">
        <f t="shared" si="406"/>
        <v>0</v>
      </c>
      <c r="AZ71" s="59">
        <f t="shared" si="407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08"/>
        <v>0.91</v>
      </c>
      <c r="BH71" s="55">
        <f t="shared" si="408"/>
        <v>0.89</v>
      </c>
      <c r="BI71" s="55">
        <f t="shared" si="408"/>
        <v>0.87</v>
      </c>
      <c r="BJ71" s="55">
        <f t="shared" si="408"/>
        <v>0.85</v>
      </c>
      <c r="BK71" s="55">
        <f t="shared" si="408"/>
        <v>0.83</v>
      </c>
      <c r="BL71" s="55">
        <f t="shared" si="408"/>
        <v>0.80999999999999994</v>
      </c>
      <c r="BM71" s="55">
        <f t="shared" si="408"/>
        <v>0.78999999999999992</v>
      </c>
      <c r="BN71" s="55">
        <f t="shared" si="408"/>
        <v>0.76999999999999991</v>
      </c>
      <c r="BO71" s="55">
        <f t="shared" si="408"/>
        <v>0.74999999999999989</v>
      </c>
      <c r="BP71" s="55">
        <f t="shared" si="408"/>
        <v>0.72999999999999987</v>
      </c>
      <c r="BQ71" s="55">
        <f t="shared" si="408"/>
        <v>0.70999999999999985</v>
      </c>
      <c r="BR71" s="55">
        <f t="shared" si="408"/>
        <v>0.68999999999999984</v>
      </c>
      <c r="BS71" s="55">
        <f t="shared" si="408"/>
        <v>0.66999999999999982</v>
      </c>
      <c r="BT71" s="55">
        <f t="shared" si="408"/>
        <v>0.6499999999999998</v>
      </c>
      <c r="BU71" s="55">
        <f t="shared" si="408"/>
        <v>0.62999999999999978</v>
      </c>
      <c r="BV71" s="55">
        <f t="shared" si="408"/>
        <v>0.60999999999999976</v>
      </c>
      <c r="BW71" s="55">
        <f t="shared" si="408"/>
        <v>0.58999999999999975</v>
      </c>
      <c r="BX71" s="55">
        <f t="shared" si="408"/>
        <v>0.56999999999999973</v>
      </c>
      <c r="BZ71" s="55">
        <f t="shared" si="88"/>
        <v>0</v>
      </c>
      <c r="CA71" s="55">
        <f t="shared" si="89"/>
        <v>0</v>
      </c>
      <c r="CB71" s="59">
        <f t="shared" si="409"/>
        <v>0</v>
      </c>
      <c r="CC71" s="55">
        <f t="shared" si="410"/>
        <v>0</v>
      </c>
      <c r="CD71" s="59">
        <f t="shared" si="411"/>
        <v>0</v>
      </c>
      <c r="CE71" s="55">
        <f t="shared" si="412"/>
        <v>0</v>
      </c>
      <c r="CF71" s="59">
        <f t="shared" si="413"/>
        <v>0</v>
      </c>
      <c r="CG71" s="55">
        <f t="shared" si="414"/>
        <v>0</v>
      </c>
      <c r="CH71" s="59">
        <f t="shared" si="415"/>
        <v>0</v>
      </c>
      <c r="CI71" s="57">
        <f t="shared" si="416"/>
        <v>0</v>
      </c>
      <c r="CJ71" s="59">
        <f t="shared" si="417"/>
        <v>0</v>
      </c>
      <c r="CK71" s="55">
        <f t="shared" si="418"/>
        <v>0</v>
      </c>
      <c r="CL71" s="59">
        <f t="shared" si="419"/>
        <v>0</v>
      </c>
      <c r="CM71" s="57">
        <f t="shared" si="420"/>
        <v>0</v>
      </c>
      <c r="CN71" s="59">
        <f t="shared" si="421"/>
        <v>0</v>
      </c>
      <c r="CO71" s="60">
        <f t="shared" si="422"/>
        <v>0</v>
      </c>
      <c r="CP71" s="59">
        <f t="shared" si="423"/>
        <v>0</v>
      </c>
      <c r="CQ71" s="57">
        <f t="shared" si="424"/>
        <v>0</v>
      </c>
      <c r="CR71" s="59">
        <f t="shared" si="425"/>
        <v>0</v>
      </c>
      <c r="CS71" s="55">
        <f t="shared" si="426"/>
        <v>0</v>
      </c>
      <c r="CT71" s="59">
        <f t="shared" si="427"/>
        <v>0</v>
      </c>
      <c r="CU71" s="60">
        <f t="shared" si="428"/>
        <v>0</v>
      </c>
      <c r="CV71" s="59">
        <f t="shared" si="429"/>
        <v>0</v>
      </c>
      <c r="CW71" s="60">
        <f t="shared" si="430"/>
        <v>0</v>
      </c>
      <c r="CX71" s="59">
        <f t="shared" si="431"/>
        <v>0</v>
      </c>
      <c r="CY71" s="60">
        <f t="shared" si="432"/>
        <v>0</v>
      </c>
      <c r="CZ71" s="59">
        <f t="shared" si="433"/>
        <v>0</v>
      </c>
      <c r="DA71" s="55">
        <f t="shared" si="434"/>
        <v>0</v>
      </c>
      <c r="DB71" s="59">
        <f t="shared" si="435"/>
        <v>0</v>
      </c>
      <c r="DC71" s="60">
        <f t="shared" si="436"/>
        <v>0</v>
      </c>
      <c r="DD71" s="59">
        <f t="shared" si="437"/>
        <v>0</v>
      </c>
      <c r="DE71" s="60">
        <f t="shared" si="438"/>
        <v>0</v>
      </c>
      <c r="DF71" s="59">
        <f t="shared" si="439"/>
        <v>0</v>
      </c>
      <c r="DG71" s="60">
        <f t="shared" si="440"/>
        <v>0</v>
      </c>
      <c r="DH71" s="59">
        <f t="shared" si="441"/>
        <v>0</v>
      </c>
      <c r="DI71" s="60">
        <f t="shared" si="442"/>
        <v>0</v>
      </c>
      <c r="DJ71" s="59">
        <f t="shared" si="443"/>
        <v>0</v>
      </c>
      <c r="DK71" s="55">
        <f t="shared" si="444"/>
        <v>0</v>
      </c>
      <c r="DL71" s="59">
        <f t="shared" si="445"/>
        <v>0</v>
      </c>
      <c r="DM71" s="60">
        <f t="shared" si="446"/>
        <v>0</v>
      </c>
      <c r="DN71" s="59">
        <f t="shared" si="447"/>
        <v>0</v>
      </c>
      <c r="DO71" s="60">
        <f t="shared" si="448"/>
        <v>0</v>
      </c>
      <c r="DP71" s="59">
        <f t="shared" si="449"/>
        <v>0</v>
      </c>
      <c r="DQ71" s="55">
        <f t="shared" si="450"/>
        <v>0</v>
      </c>
      <c r="DR71" s="59">
        <f t="shared" si="451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497"/>
        <v>0.91</v>
      </c>
      <c r="DZ71" s="55">
        <f t="shared" si="497"/>
        <v>0.89</v>
      </c>
      <c r="EA71" s="55">
        <f t="shared" si="497"/>
        <v>0.87</v>
      </c>
      <c r="EB71" s="55">
        <f t="shared" si="497"/>
        <v>0.85</v>
      </c>
      <c r="EC71" s="55">
        <f t="shared" si="497"/>
        <v>0.83</v>
      </c>
      <c r="ED71" s="55">
        <f t="shared" si="497"/>
        <v>0.80999999999999994</v>
      </c>
      <c r="EE71" s="55">
        <f t="shared" si="497"/>
        <v>0.78999999999999992</v>
      </c>
      <c r="EF71" s="55">
        <f t="shared" si="497"/>
        <v>0.76999999999999991</v>
      </c>
      <c r="EG71" s="55">
        <f t="shared" si="497"/>
        <v>0.74999999999999989</v>
      </c>
      <c r="EH71" s="55">
        <f t="shared" si="497"/>
        <v>0.72999999999999987</v>
      </c>
      <c r="EI71" s="55">
        <f t="shared" si="497"/>
        <v>0.70999999999999985</v>
      </c>
      <c r="EJ71" s="55">
        <f t="shared" si="497"/>
        <v>0.68999999999999984</v>
      </c>
      <c r="EK71" s="55">
        <f t="shared" si="497"/>
        <v>0.66999999999999982</v>
      </c>
      <c r="EL71" s="55">
        <f t="shared" si="497"/>
        <v>0.6499999999999998</v>
      </c>
      <c r="EM71" s="55">
        <f t="shared" si="497"/>
        <v>0.62999999999999978</v>
      </c>
      <c r="EN71" s="55">
        <f t="shared" si="497"/>
        <v>0.60999999999999976</v>
      </c>
      <c r="EO71" s="55">
        <f t="shared" si="497"/>
        <v>0.58999999999999975</v>
      </c>
      <c r="EP71" s="55">
        <f t="shared" si="497"/>
        <v>0.56999999999999973</v>
      </c>
      <c r="ER71" s="55">
        <f t="shared" si="142"/>
        <v>0</v>
      </c>
      <c r="ES71" s="55">
        <f t="shared" si="116"/>
        <v>0</v>
      </c>
      <c r="ET71" s="59">
        <f t="shared" si="453"/>
        <v>0</v>
      </c>
      <c r="EU71" s="55">
        <f t="shared" si="454"/>
        <v>0</v>
      </c>
      <c r="EV71" s="59">
        <f t="shared" si="455"/>
        <v>0</v>
      </c>
      <c r="EW71" s="55">
        <f t="shared" si="456"/>
        <v>0</v>
      </c>
      <c r="EX71" s="59">
        <f t="shared" si="457"/>
        <v>0</v>
      </c>
      <c r="EY71" s="55">
        <f t="shared" si="458"/>
        <v>0</v>
      </c>
      <c r="EZ71" s="59">
        <f t="shared" si="459"/>
        <v>0</v>
      </c>
      <c r="FA71" s="57">
        <f t="shared" si="460"/>
        <v>0</v>
      </c>
      <c r="FB71" s="59">
        <f t="shared" si="461"/>
        <v>0</v>
      </c>
      <c r="FC71" s="55">
        <f t="shared" si="462"/>
        <v>0</v>
      </c>
      <c r="FD71" s="59">
        <f t="shared" si="463"/>
        <v>0</v>
      </c>
      <c r="FE71" s="57">
        <f t="shared" si="464"/>
        <v>0</v>
      </c>
      <c r="FF71" s="59">
        <f t="shared" si="465"/>
        <v>0</v>
      </c>
      <c r="FG71" s="60">
        <f t="shared" si="466"/>
        <v>0</v>
      </c>
      <c r="FH71" s="59">
        <f t="shared" si="467"/>
        <v>0</v>
      </c>
      <c r="FI71" s="57">
        <f t="shared" si="468"/>
        <v>0</v>
      </c>
      <c r="FJ71" s="59">
        <f t="shared" si="469"/>
        <v>0</v>
      </c>
      <c r="FK71" s="55">
        <f t="shared" si="470"/>
        <v>0</v>
      </c>
      <c r="FL71" s="59">
        <f t="shared" si="471"/>
        <v>0</v>
      </c>
      <c r="FM71" s="60">
        <f t="shared" si="472"/>
        <v>0</v>
      </c>
      <c r="FN71" s="59">
        <f t="shared" si="473"/>
        <v>0</v>
      </c>
      <c r="FO71" s="60">
        <f t="shared" si="474"/>
        <v>0</v>
      </c>
      <c r="FP71" s="59">
        <f t="shared" si="475"/>
        <v>0</v>
      </c>
      <c r="FQ71" s="60">
        <f t="shared" si="476"/>
        <v>0</v>
      </c>
      <c r="FR71" s="59">
        <f t="shared" si="477"/>
        <v>0</v>
      </c>
      <c r="FS71" s="55">
        <f t="shared" si="478"/>
        <v>0</v>
      </c>
      <c r="FT71" s="59">
        <f t="shared" si="479"/>
        <v>0</v>
      </c>
      <c r="FU71" s="60">
        <f t="shared" si="480"/>
        <v>0</v>
      </c>
      <c r="FV71" s="59">
        <f t="shared" si="481"/>
        <v>0</v>
      </c>
      <c r="FW71" s="60">
        <f t="shared" si="482"/>
        <v>0</v>
      </c>
      <c r="FX71" s="59">
        <f t="shared" si="483"/>
        <v>0</v>
      </c>
      <c r="FY71" s="60">
        <f t="shared" si="484"/>
        <v>0</v>
      </c>
      <c r="FZ71" s="59">
        <f t="shared" si="485"/>
        <v>0</v>
      </c>
      <c r="GA71" s="60">
        <f t="shared" si="486"/>
        <v>0</v>
      </c>
      <c r="GB71" s="59">
        <f t="shared" si="487"/>
        <v>0</v>
      </c>
      <c r="GC71" s="55">
        <f t="shared" si="488"/>
        <v>0</v>
      </c>
      <c r="GD71" s="59">
        <f t="shared" si="489"/>
        <v>0</v>
      </c>
      <c r="GE71" s="60">
        <f t="shared" si="490"/>
        <v>0</v>
      </c>
      <c r="GF71" s="59">
        <f t="shared" si="491"/>
        <v>0</v>
      </c>
      <c r="GG71" s="60">
        <f t="shared" si="492"/>
        <v>0</v>
      </c>
      <c r="GH71" s="59">
        <f t="shared" si="493"/>
        <v>0</v>
      </c>
      <c r="GI71" s="55">
        <f t="shared" si="494"/>
        <v>0</v>
      </c>
      <c r="GJ71" s="59">
        <f t="shared" si="495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498"/>
        <v>0.91</v>
      </c>
      <c r="GR71" s="55">
        <f t="shared" si="498"/>
        <v>0.89</v>
      </c>
      <c r="GS71" s="55">
        <f t="shared" si="498"/>
        <v>0.87</v>
      </c>
      <c r="GT71" s="55">
        <f t="shared" si="498"/>
        <v>0.85</v>
      </c>
      <c r="GU71" s="55">
        <f t="shared" si="498"/>
        <v>0.83</v>
      </c>
      <c r="GV71" s="55">
        <f t="shared" si="498"/>
        <v>0.80999999999999994</v>
      </c>
      <c r="GW71" s="55">
        <f t="shared" si="498"/>
        <v>0.78999999999999992</v>
      </c>
      <c r="GX71" s="55">
        <f t="shared" si="498"/>
        <v>0.76999999999999991</v>
      </c>
      <c r="GY71" s="55">
        <f t="shared" si="498"/>
        <v>0.74999999999999989</v>
      </c>
      <c r="GZ71" s="55">
        <f t="shared" si="498"/>
        <v>0.72999999999999987</v>
      </c>
      <c r="HA71" s="55">
        <f t="shared" si="498"/>
        <v>0.70999999999999985</v>
      </c>
      <c r="HB71" s="55">
        <f t="shared" si="498"/>
        <v>0.68999999999999984</v>
      </c>
      <c r="HC71" s="55">
        <f t="shared" si="498"/>
        <v>0.66999999999999982</v>
      </c>
      <c r="HD71" s="55">
        <f t="shared" si="498"/>
        <v>0.6499999999999998</v>
      </c>
      <c r="HE71" s="55">
        <f t="shared" si="498"/>
        <v>0.62999999999999978</v>
      </c>
      <c r="HF71" s="55">
        <f t="shared" si="498"/>
        <v>0.60999999999999976</v>
      </c>
      <c r="HG71" s="55">
        <f t="shared" si="498"/>
        <v>0.58999999999999975</v>
      </c>
      <c r="HH71" s="55">
        <f t="shared" si="498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1">
        <f t="shared" si="365"/>
        <v>0</v>
      </c>
      <c r="H72" s="55">
        <f t="shared" si="61"/>
        <v>0</v>
      </c>
      <c r="I72" s="55">
        <f t="shared" si="62"/>
        <v>0</v>
      </c>
      <c r="J72" s="59">
        <f t="shared" si="63"/>
        <v>0</v>
      </c>
      <c r="K72" s="55">
        <f t="shared" si="366"/>
        <v>0</v>
      </c>
      <c r="L72" s="59">
        <f t="shared" si="367"/>
        <v>0</v>
      </c>
      <c r="M72" s="55">
        <f t="shared" si="368"/>
        <v>0</v>
      </c>
      <c r="N72" s="59">
        <f t="shared" si="369"/>
        <v>0</v>
      </c>
      <c r="O72" s="55">
        <f t="shared" si="370"/>
        <v>0</v>
      </c>
      <c r="P72" s="59">
        <f t="shared" si="371"/>
        <v>0</v>
      </c>
      <c r="Q72" s="57">
        <f t="shared" si="372"/>
        <v>0</v>
      </c>
      <c r="R72" s="59">
        <f t="shared" si="373"/>
        <v>0</v>
      </c>
      <c r="S72" s="55">
        <f t="shared" si="374"/>
        <v>0</v>
      </c>
      <c r="T72" s="59">
        <f t="shared" si="375"/>
        <v>0</v>
      </c>
      <c r="U72" s="57">
        <f t="shared" si="376"/>
        <v>0</v>
      </c>
      <c r="V72" s="59">
        <f t="shared" si="377"/>
        <v>0</v>
      </c>
      <c r="W72" s="60">
        <f t="shared" si="378"/>
        <v>0</v>
      </c>
      <c r="X72" s="59">
        <f t="shared" si="379"/>
        <v>0</v>
      </c>
      <c r="Y72" s="57">
        <f t="shared" si="380"/>
        <v>0</v>
      </c>
      <c r="Z72" s="59">
        <f t="shared" si="381"/>
        <v>0</v>
      </c>
      <c r="AA72" s="55">
        <f t="shared" si="382"/>
        <v>0</v>
      </c>
      <c r="AB72" s="59">
        <f t="shared" si="383"/>
        <v>0</v>
      </c>
      <c r="AC72" s="60">
        <f t="shared" si="384"/>
        <v>0</v>
      </c>
      <c r="AD72" s="59">
        <f t="shared" si="385"/>
        <v>0</v>
      </c>
      <c r="AE72" s="60">
        <f t="shared" si="386"/>
        <v>0</v>
      </c>
      <c r="AF72" s="59">
        <f t="shared" si="387"/>
        <v>0</v>
      </c>
      <c r="AG72" s="60">
        <f t="shared" si="388"/>
        <v>0</v>
      </c>
      <c r="AH72" s="59">
        <f t="shared" si="389"/>
        <v>0</v>
      </c>
      <c r="AI72" s="55">
        <f t="shared" si="390"/>
        <v>0</v>
      </c>
      <c r="AJ72" s="59">
        <f t="shared" si="391"/>
        <v>0</v>
      </c>
      <c r="AK72" s="60">
        <f t="shared" si="392"/>
        <v>0</v>
      </c>
      <c r="AL72" s="59">
        <f t="shared" si="393"/>
        <v>0</v>
      </c>
      <c r="AM72" s="60">
        <f t="shared" si="394"/>
        <v>0</v>
      </c>
      <c r="AN72" s="59">
        <f t="shared" si="395"/>
        <v>0</v>
      </c>
      <c r="AO72" s="60">
        <f t="shared" si="396"/>
        <v>0</v>
      </c>
      <c r="AP72" s="59">
        <f t="shared" si="397"/>
        <v>0</v>
      </c>
      <c r="AQ72" s="60">
        <f t="shared" si="398"/>
        <v>0</v>
      </c>
      <c r="AR72" s="59">
        <f t="shared" si="399"/>
        <v>0</v>
      </c>
      <c r="AS72" s="55">
        <f t="shared" si="400"/>
        <v>0</v>
      </c>
      <c r="AT72" s="59">
        <f t="shared" si="401"/>
        <v>0</v>
      </c>
      <c r="AU72" s="60">
        <f t="shared" si="402"/>
        <v>0</v>
      </c>
      <c r="AV72" s="59">
        <f t="shared" si="403"/>
        <v>0</v>
      </c>
      <c r="AW72" s="60">
        <f t="shared" si="404"/>
        <v>0</v>
      </c>
      <c r="AX72" s="59">
        <f t="shared" si="405"/>
        <v>0</v>
      </c>
      <c r="AY72" s="55">
        <f t="shared" si="406"/>
        <v>0</v>
      </c>
      <c r="AZ72" s="59">
        <f t="shared" si="407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08"/>
        <v>0.91</v>
      </c>
      <c r="BH72" s="55">
        <f t="shared" si="408"/>
        <v>0.89</v>
      </c>
      <c r="BI72" s="55">
        <f t="shared" si="408"/>
        <v>0.87</v>
      </c>
      <c r="BJ72" s="55">
        <f t="shared" si="408"/>
        <v>0.85</v>
      </c>
      <c r="BK72" s="55">
        <f t="shared" si="408"/>
        <v>0.83</v>
      </c>
      <c r="BL72" s="55">
        <f t="shared" si="408"/>
        <v>0.80999999999999994</v>
      </c>
      <c r="BM72" s="55">
        <f t="shared" si="408"/>
        <v>0.78999999999999992</v>
      </c>
      <c r="BN72" s="55">
        <f t="shared" si="408"/>
        <v>0.76999999999999991</v>
      </c>
      <c r="BO72" s="55">
        <f t="shared" si="408"/>
        <v>0.74999999999999989</v>
      </c>
      <c r="BP72" s="55">
        <f t="shared" si="408"/>
        <v>0.72999999999999987</v>
      </c>
      <c r="BQ72" s="55">
        <f t="shared" si="408"/>
        <v>0.70999999999999985</v>
      </c>
      <c r="BR72" s="55">
        <f t="shared" si="408"/>
        <v>0.68999999999999984</v>
      </c>
      <c r="BS72" s="55">
        <f t="shared" si="408"/>
        <v>0.66999999999999982</v>
      </c>
      <c r="BT72" s="55">
        <f t="shared" si="408"/>
        <v>0.6499999999999998</v>
      </c>
      <c r="BU72" s="55">
        <f t="shared" si="408"/>
        <v>0.62999999999999978</v>
      </c>
      <c r="BV72" s="55">
        <f t="shared" si="408"/>
        <v>0.60999999999999976</v>
      </c>
      <c r="BW72" s="55">
        <f t="shared" si="408"/>
        <v>0.58999999999999975</v>
      </c>
      <c r="BX72" s="55">
        <f t="shared" si="408"/>
        <v>0.56999999999999973</v>
      </c>
      <c r="BZ72" s="55">
        <f t="shared" si="88"/>
        <v>0</v>
      </c>
      <c r="CA72" s="55">
        <f t="shared" si="89"/>
        <v>0</v>
      </c>
      <c r="CB72" s="59">
        <f t="shared" si="409"/>
        <v>0</v>
      </c>
      <c r="CC72" s="55">
        <f t="shared" si="410"/>
        <v>0</v>
      </c>
      <c r="CD72" s="59">
        <f t="shared" si="411"/>
        <v>0</v>
      </c>
      <c r="CE72" s="55">
        <f t="shared" si="412"/>
        <v>0</v>
      </c>
      <c r="CF72" s="59">
        <f t="shared" si="413"/>
        <v>0</v>
      </c>
      <c r="CG72" s="55">
        <f t="shared" si="414"/>
        <v>0</v>
      </c>
      <c r="CH72" s="59">
        <f t="shared" si="415"/>
        <v>0</v>
      </c>
      <c r="CI72" s="57">
        <f t="shared" si="416"/>
        <v>0</v>
      </c>
      <c r="CJ72" s="59">
        <f t="shared" si="417"/>
        <v>0</v>
      </c>
      <c r="CK72" s="55">
        <f t="shared" si="418"/>
        <v>0</v>
      </c>
      <c r="CL72" s="59">
        <f t="shared" si="419"/>
        <v>0</v>
      </c>
      <c r="CM72" s="57">
        <f t="shared" si="420"/>
        <v>0</v>
      </c>
      <c r="CN72" s="59">
        <f t="shared" si="421"/>
        <v>0</v>
      </c>
      <c r="CO72" s="60">
        <f t="shared" si="422"/>
        <v>0</v>
      </c>
      <c r="CP72" s="59">
        <f t="shared" si="423"/>
        <v>0</v>
      </c>
      <c r="CQ72" s="57">
        <f t="shared" si="424"/>
        <v>0</v>
      </c>
      <c r="CR72" s="59">
        <f t="shared" si="425"/>
        <v>0</v>
      </c>
      <c r="CS72" s="55">
        <f t="shared" si="426"/>
        <v>0</v>
      </c>
      <c r="CT72" s="59">
        <f t="shared" si="427"/>
        <v>0</v>
      </c>
      <c r="CU72" s="60">
        <f t="shared" si="428"/>
        <v>0</v>
      </c>
      <c r="CV72" s="59">
        <f t="shared" si="429"/>
        <v>0</v>
      </c>
      <c r="CW72" s="60">
        <f t="shared" si="430"/>
        <v>0</v>
      </c>
      <c r="CX72" s="59">
        <f t="shared" si="431"/>
        <v>0</v>
      </c>
      <c r="CY72" s="60">
        <f t="shared" si="432"/>
        <v>0</v>
      </c>
      <c r="CZ72" s="59">
        <f t="shared" si="433"/>
        <v>0</v>
      </c>
      <c r="DA72" s="55">
        <f t="shared" si="434"/>
        <v>0</v>
      </c>
      <c r="DB72" s="59">
        <f t="shared" si="435"/>
        <v>0</v>
      </c>
      <c r="DC72" s="60">
        <f t="shared" si="436"/>
        <v>0</v>
      </c>
      <c r="DD72" s="59">
        <f t="shared" si="437"/>
        <v>0</v>
      </c>
      <c r="DE72" s="60">
        <f t="shared" si="438"/>
        <v>0</v>
      </c>
      <c r="DF72" s="59">
        <f t="shared" si="439"/>
        <v>0</v>
      </c>
      <c r="DG72" s="60">
        <f t="shared" si="440"/>
        <v>0</v>
      </c>
      <c r="DH72" s="59">
        <f t="shared" si="441"/>
        <v>0</v>
      </c>
      <c r="DI72" s="60">
        <f t="shared" si="442"/>
        <v>0</v>
      </c>
      <c r="DJ72" s="59">
        <f t="shared" si="443"/>
        <v>0</v>
      </c>
      <c r="DK72" s="55">
        <f t="shared" si="444"/>
        <v>0</v>
      </c>
      <c r="DL72" s="59">
        <f t="shared" si="445"/>
        <v>0</v>
      </c>
      <c r="DM72" s="60">
        <f t="shared" si="446"/>
        <v>0</v>
      </c>
      <c r="DN72" s="59">
        <f t="shared" si="447"/>
        <v>0</v>
      </c>
      <c r="DO72" s="60">
        <f t="shared" si="448"/>
        <v>0</v>
      </c>
      <c r="DP72" s="59">
        <f t="shared" si="449"/>
        <v>0</v>
      </c>
      <c r="DQ72" s="55">
        <f t="shared" si="450"/>
        <v>0</v>
      </c>
      <c r="DR72" s="59">
        <f t="shared" si="451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497"/>
        <v>0.91</v>
      </c>
      <c r="DZ72" s="55">
        <f t="shared" si="497"/>
        <v>0.89</v>
      </c>
      <c r="EA72" s="55">
        <f t="shared" si="497"/>
        <v>0.87</v>
      </c>
      <c r="EB72" s="55">
        <f t="shared" si="497"/>
        <v>0.85</v>
      </c>
      <c r="EC72" s="55">
        <f t="shared" si="497"/>
        <v>0.83</v>
      </c>
      <c r="ED72" s="55">
        <f t="shared" si="497"/>
        <v>0.80999999999999994</v>
      </c>
      <c r="EE72" s="55">
        <f t="shared" si="497"/>
        <v>0.78999999999999992</v>
      </c>
      <c r="EF72" s="55">
        <f t="shared" si="497"/>
        <v>0.76999999999999991</v>
      </c>
      <c r="EG72" s="55">
        <f t="shared" si="497"/>
        <v>0.74999999999999989</v>
      </c>
      <c r="EH72" s="55">
        <f t="shared" si="497"/>
        <v>0.72999999999999987</v>
      </c>
      <c r="EI72" s="55">
        <f t="shared" si="497"/>
        <v>0.70999999999999985</v>
      </c>
      <c r="EJ72" s="55">
        <f t="shared" si="497"/>
        <v>0.68999999999999984</v>
      </c>
      <c r="EK72" s="55">
        <f t="shared" si="497"/>
        <v>0.66999999999999982</v>
      </c>
      <c r="EL72" s="55">
        <f t="shared" si="497"/>
        <v>0.6499999999999998</v>
      </c>
      <c r="EM72" s="55">
        <f t="shared" si="497"/>
        <v>0.62999999999999978</v>
      </c>
      <c r="EN72" s="55">
        <f t="shared" si="497"/>
        <v>0.60999999999999976</v>
      </c>
      <c r="EO72" s="55">
        <f t="shared" si="497"/>
        <v>0.58999999999999975</v>
      </c>
      <c r="EP72" s="55">
        <f t="shared" si="497"/>
        <v>0.56999999999999973</v>
      </c>
      <c r="ER72" s="55">
        <f t="shared" si="142"/>
        <v>0</v>
      </c>
      <c r="ES72" s="55">
        <f t="shared" si="116"/>
        <v>0</v>
      </c>
      <c r="ET72" s="59">
        <f t="shared" si="453"/>
        <v>0</v>
      </c>
      <c r="EU72" s="55">
        <f t="shared" si="454"/>
        <v>0</v>
      </c>
      <c r="EV72" s="59">
        <f t="shared" si="455"/>
        <v>0</v>
      </c>
      <c r="EW72" s="55">
        <f t="shared" si="456"/>
        <v>0</v>
      </c>
      <c r="EX72" s="59">
        <f t="shared" si="457"/>
        <v>0</v>
      </c>
      <c r="EY72" s="55">
        <f t="shared" si="458"/>
        <v>0</v>
      </c>
      <c r="EZ72" s="59">
        <f t="shared" si="459"/>
        <v>0</v>
      </c>
      <c r="FA72" s="57">
        <f t="shared" si="460"/>
        <v>0</v>
      </c>
      <c r="FB72" s="59">
        <f t="shared" si="461"/>
        <v>0</v>
      </c>
      <c r="FC72" s="55">
        <f t="shared" si="462"/>
        <v>0</v>
      </c>
      <c r="FD72" s="59">
        <f t="shared" si="463"/>
        <v>0</v>
      </c>
      <c r="FE72" s="57">
        <f t="shared" si="464"/>
        <v>0</v>
      </c>
      <c r="FF72" s="59">
        <f t="shared" si="465"/>
        <v>0</v>
      </c>
      <c r="FG72" s="60">
        <f t="shared" si="466"/>
        <v>0</v>
      </c>
      <c r="FH72" s="59">
        <f t="shared" si="467"/>
        <v>0</v>
      </c>
      <c r="FI72" s="57">
        <f t="shared" si="468"/>
        <v>0</v>
      </c>
      <c r="FJ72" s="59">
        <f t="shared" si="469"/>
        <v>0</v>
      </c>
      <c r="FK72" s="55">
        <f t="shared" si="470"/>
        <v>0</v>
      </c>
      <c r="FL72" s="59">
        <f t="shared" si="471"/>
        <v>0</v>
      </c>
      <c r="FM72" s="60">
        <f t="shared" si="472"/>
        <v>0</v>
      </c>
      <c r="FN72" s="59">
        <f t="shared" si="473"/>
        <v>0</v>
      </c>
      <c r="FO72" s="60">
        <f t="shared" si="474"/>
        <v>0</v>
      </c>
      <c r="FP72" s="59">
        <f t="shared" si="475"/>
        <v>0</v>
      </c>
      <c r="FQ72" s="60">
        <f t="shared" si="476"/>
        <v>0</v>
      </c>
      <c r="FR72" s="59">
        <f t="shared" si="477"/>
        <v>0</v>
      </c>
      <c r="FS72" s="55">
        <f t="shared" si="478"/>
        <v>0</v>
      </c>
      <c r="FT72" s="59">
        <f t="shared" si="479"/>
        <v>0</v>
      </c>
      <c r="FU72" s="60">
        <f t="shared" si="480"/>
        <v>0</v>
      </c>
      <c r="FV72" s="59">
        <f t="shared" si="481"/>
        <v>0</v>
      </c>
      <c r="FW72" s="60">
        <f t="shared" si="482"/>
        <v>0</v>
      </c>
      <c r="FX72" s="59">
        <f t="shared" si="483"/>
        <v>0</v>
      </c>
      <c r="FY72" s="60">
        <f t="shared" si="484"/>
        <v>0</v>
      </c>
      <c r="FZ72" s="59">
        <f t="shared" si="485"/>
        <v>0</v>
      </c>
      <c r="GA72" s="60">
        <f t="shared" si="486"/>
        <v>0</v>
      </c>
      <c r="GB72" s="59">
        <f t="shared" si="487"/>
        <v>0</v>
      </c>
      <c r="GC72" s="55">
        <f t="shared" si="488"/>
        <v>0</v>
      </c>
      <c r="GD72" s="59">
        <f t="shared" si="489"/>
        <v>0</v>
      </c>
      <c r="GE72" s="60">
        <f t="shared" si="490"/>
        <v>0</v>
      </c>
      <c r="GF72" s="59">
        <f t="shared" si="491"/>
        <v>0</v>
      </c>
      <c r="GG72" s="60">
        <f t="shared" si="492"/>
        <v>0</v>
      </c>
      <c r="GH72" s="59">
        <f t="shared" si="493"/>
        <v>0</v>
      </c>
      <c r="GI72" s="55">
        <f t="shared" si="494"/>
        <v>0</v>
      </c>
      <c r="GJ72" s="59">
        <f t="shared" si="495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498"/>
        <v>0.91</v>
      </c>
      <c r="GR72" s="55">
        <f t="shared" si="498"/>
        <v>0.89</v>
      </c>
      <c r="GS72" s="55">
        <f t="shared" si="498"/>
        <v>0.87</v>
      </c>
      <c r="GT72" s="55">
        <f t="shared" si="498"/>
        <v>0.85</v>
      </c>
      <c r="GU72" s="55">
        <f t="shared" si="498"/>
        <v>0.83</v>
      </c>
      <c r="GV72" s="55">
        <f t="shared" si="498"/>
        <v>0.80999999999999994</v>
      </c>
      <c r="GW72" s="55">
        <f t="shared" si="498"/>
        <v>0.78999999999999992</v>
      </c>
      <c r="GX72" s="55">
        <f t="shared" si="498"/>
        <v>0.76999999999999991</v>
      </c>
      <c r="GY72" s="55">
        <f t="shared" si="498"/>
        <v>0.74999999999999989</v>
      </c>
      <c r="GZ72" s="55">
        <f t="shared" si="498"/>
        <v>0.72999999999999987</v>
      </c>
      <c r="HA72" s="55">
        <f t="shared" si="498"/>
        <v>0.70999999999999985</v>
      </c>
      <c r="HB72" s="55">
        <f t="shared" si="498"/>
        <v>0.68999999999999984</v>
      </c>
      <c r="HC72" s="55">
        <f t="shared" si="498"/>
        <v>0.66999999999999982</v>
      </c>
      <c r="HD72" s="55">
        <f t="shared" si="498"/>
        <v>0.6499999999999998</v>
      </c>
      <c r="HE72" s="55">
        <f t="shared" si="498"/>
        <v>0.62999999999999978</v>
      </c>
      <c r="HF72" s="55">
        <f t="shared" si="498"/>
        <v>0.60999999999999976</v>
      </c>
      <c r="HG72" s="55">
        <f t="shared" si="498"/>
        <v>0.58999999999999975</v>
      </c>
      <c r="HH72" s="55">
        <f t="shared" si="498"/>
        <v>0.56999999999999973</v>
      </c>
    </row>
    <row r="73" spans="1:216" x14ac:dyDescent="0.3">
      <c r="A73" s="2">
        <v>11</v>
      </c>
      <c r="C73" s="38" t="s">
        <v>134</v>
      </c>
      <c r="D73" s="42">
        <f>TRUNC(325.576328684508,-1)</f>
        <v>320</v>
      </c>
      <c r="E73" s="71">
        <f t="shared" si="365"/>
        <v>1050</v>
      </c>
      <c r="F73" s="2" t="s">
        <v>316</v>
      </c>
      <c r="H73" s="55">
        <f t="shared" si="61"/>
        <v>1155</v>
      </c>
      <c r="I73" s="55">
        <f t="shared" si="62"/>
        <v>1155</v>
      </c>
      <c r="J73" s="59">
        <f t="shared" si="63"/>
        <v>3818.1990000000001</v>
      </c>
      <c r="K73" s="55">
        <f t="shared" si="366"/>
        <v>1120.3499999999999</v>
      </c>
      <c r="L73" s="59">
        <f t="shared" si="367"/>
        <v>3703.6530299999999</v>
      </c>
      <c r="M73" s="55">
        <f t="shared" si="368"/>
        <v>1097.25</v>
      </c>
      <c r="N73" s="59">
        <f t="shared" si="369"/>
        <v>3627.2890499999999</v>
      </c>
      <c r="O73" s="55">
        <f t="shared" si="370"/>
        <v>1074.1500000000001</v>
      </c>
      <c r="P73" s="59">
        <f t="shared" si="371"/>
        <v>3550.9250700000002</v>
      </c>
      <c r="Q73" s="57">
        <f t="shared" si="372"/>
        <v>1051.05</v>
      </c>
      <c r="R73" s="59">
        <f t="shared" si="373"/>
        <v>3474.5610900000001</v>
      </c>
      <c r="S73" s="55">
        <f t="shared" si="374"/>
        <v>1027.95</v>
      </c>
      <c r="T73" s="59">
        <f t="shared" si="375"/>
        <v>3398.1971100000001</v>
      </c>
      <c r="U73" s="57">
        <f t="shared" si="376"/>
        <v>1004.85</v>
      </c>
      <c r="V73" s="59">
        <f t="shared" si="377"/>
        <v>3321.83313</v>
      </c>
      <c r="W73" s="60">
        <f t="shared" si="378"/>
        <v>981.75</v>
      </c>
      <c r="X73" s="59">
        <f t="shared" si="379"/>
        <v>3245.4691499999999</v>
      </c>
      <c r="Y73" s="57">
        <f t="shared" si="380"/>
        <v>958.65</v>
      </c>
      <c r="Z73" s="59">
        <f t="shared" si="381"/>
        <v>3169.1051699999998</v>
      </c>
      <c r="AA73" s="55">
        <f t="shared" si="382"/>
        <v>935.55</v>
      </c>
      <c r="AB73" s="59">
        <f t="shared" si="383"/>
        <v>3092.7411899999997</v>
      </c>
      <c r="AC73" s="60">
        <f t="shared" si="384"/>
        <v>912.44999999999993</v>
      </c>
      <c r="AD73" s="59">
        <f t="shared" si="385"/>
        <v>3016.3772099999996</v>
      </c>
      <c r="AE73" s="60">
        <f t="shared" si="386"/>
        <v>889.34999999999991</v>
      </c>
      <c r="AF73" s="59">
        <f t="shared" si="387"/>
        <v>2940.0132299999996</v>
      </c>
      <c r="AG73" s="60">
        <f t="shared" si="388"/>
        <v>866.24999999999989</v>
      </c>
      <c r="AH73" s="59">
        <f t="shared" si="389"/>
        <v>2863.6492499999995</v>
      </c>
      <c r="AI73" s="55">
        <f t="shared" si="390"/>
        <v>843.14999999999986</v>
      </c>
      <c r="AJ73" s="59">
        <f t="shared" si="391"/>
        <v>2787.2852699999994</v>
      </c>
      <c r="AK73" s="60">
        <f t="shared" si="392"/>
        <v>820.04999999999984</v>
      </c>
      <c r="AL73" s="59">
        <f t="shared" si="393"/>
        <v>2710.9212899999993</v>
      </c>
      <c r="AM73" s="60">
        <f t="shared" si="394"/>
        <v>796.94999999999982</v>
      </c>
      <c r="AN73" s="59">
        <f t="shared" si="395"/>
        <v>2634.5573099999992</v>
      </c>
      <c r="AO73" s="60">
        <f t="shared" si="396"/>
        <v>773.8499999999998</v>
      </c>
      <c r="AP73" s="59">
        <f t="shared" si="397"/>
        <v>2558.1933299999996</v>
      </c>
      <c r="AQ73" s="60">
        <f t="shared" si="398"/>
        <v>750.74999999999977</v>
      </c>
      <c r="AR73" s="59">
        <f t="shared" si="399"/>
        <v>2481.8293499999995</v>
      </c>
      <c r="AS73" s="55">
        <f t="shared" si="400"/>
        <v>727.64999999999975</v>
      </c>
      <c r="AT73" s="59">
        <f t="shared" si="401"/>
        <v>2405.4653699999994</v>
      </c>
      <c r="AU73" s="60">
        <f t="shared" si="402"/>
        <v>704.54999999999973</v>
      </c>
      <c r="AV73" s="59">
        <f t="shared" si="403"/>
        <v>2329.1013899999994</v>
      </c>
      <c r="AW73" s="60">
        <f t="shared" si="404"/>
        <v>681.4499999999997</v>
      </c>
      <c r="AX73" s="59">
        <f t="shared" si="405"/>
        <v>2252.7374099999993</v>
      </c>
      <c r="AY73" s="55">
        <f t="shared" si="406"/>
        <v>658.34999999999968</v>
      </c>
      <c r="AZ73" s="59">
        <f t="shared" si="407"/>
        <v>2176.3734299999992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08"/>
        <v>0.91</v>
      </c>
      <c r="BH73" s="55">
        <f t="shared" si="408"/>
        <v>0.89</v>
      </c>
      <c r="BI73" s="55">
        <f t="shared" si="408"/>
        <v>0.87</v>
      </c>
      <c r="BJ73" s="55">
        <f t="shared" si="408"/>
        <v>0.85</v>
      </c>
      <c r="BK73" s="55">
        <f t="shared" si="408"/>
        <v>0.83</v>
      </c>
      <c r="BL73" s="55">
        <f t="shared" si="408"/>
        <v>0.80999999999999994</v>
      </c>
      <c r="BM73" s="55">
        <f t="shared" si="408"/>
        <v>0.78999999999999992</v>
      </c>
      <c r="BN73" s="55">
        <f t="shared" si="408"/>
        <v>0.76999999999999991</v>
      </c>
      <c r="BO73" s="55">
        <f t="shared" si="408"/>
        <v>0.74999999999999989</v>
      </c>
      <c r="BP73" s="55">
        <f t="shared" si="408"/>
        <v>0.72999999999999987</v>
      </c>
      <c r="BQ73" s="55">
        <f t="shared" si="408"/>
        <v>0.70999999999999985</v>
      </c>
      <c r="BR73" s="55">
        <f t="shared" si="408"/>
        <v>0.68999999999999984</v>
      </c>
      <c r="BS73" s="55">
        <f t="shared" si="408"/>
        <v>0.66999999999999982</v>
      </c>
      <c r="BT73" s="55">
        <f t="shared" si="408"/>
        <v>0.6499999999999998</v>
      </c>
      <c r="BU73" s="55">
        <f t="shared" si="408"/>
        <v>0.62999999999999978</v>
      </c>
      <c r="BV73" s="55">
        <f t="shared" si="408"/>
        <v>0.60999999999999976</v>
      </c>
      <c r="BW73" s="55">
        <f t="shared" si="408"/>
        <v>0.58999999999999975</v>
      </c>
      <c r="BX73" s="55">
        <f t="shared" si="408"/>
        <v>0.56999999999999973</v>
      </c>
      <c r="BZ73" s="55">
        <f t="shared" si="88"/>
        <v>1051.05</v>
      </c>
      <c r="CA73" s="55">
        <f t="shared" si="89"/>
        <v>1051.05</v>
      </c>
      <c r="CB73" s="59">
        <f t="shared" si="409"/>
        <v>3474.5610900000001</v>
      </c>
      <c r="CC73" s="55">
        <f t="shared" si="410"/>
        <v>1019.5184999999999</v>
      </c>
      <c r="CD73" s="59">
        <f t="shared" si="411"/>
        <v>3370.3242572999998</v>
      </c>
      <c r="CE73" s="55">
        <f t="shared" si="412"/>
        <v>998.49749999999995</v>
      </c>
      <c r="CF73" s="59">
        <f t="shared" si="413"/>
        <v>3300.8330354999998</v>
      </c>
      <c r="CG73" s="55">
        <f t="shared" si="414"/>
        <v>977.47649999999999</v>
      </c>
      <c r="CH73" s="59">
        <f t="shared" si="415"/>
        <v>3231.3418136999999</v>
      </c>
      <c r="CI73" s="57">
        <f t="shared" si="416"/>
        <v>956.45550000000003</v>
      </c>
      <c r="CJ73" s="59">
        <f t="shared" si="417"/>
        <v>3161.8505919000004</v>
      </c>
      <c r="CK73" s="55">
        <f t="shared" si="418"/>
        <v>935.43449999999996</v>
      </c>
      <c r="CL73" s="59">
        <f t="shared" si="419"/>
        <v>3092.3593701</v>
      </c>
      <c r="CM73" s="57">
        <f t="shared" si="420"/>
        <v>914.4135</v>
      </c>
      <c r="CN73" s="59">
        <f t="shared" si="421"/>
        <v>3022.8681483</v>
      </c>
      <c r="CO73" s="60">
        <f t="shared" si="422"/>
        <v>893.39249999999993</v>
      </c>
      <c r="CP73" s="59">
        <f t="shared" si="423"/>
        <v>2953.3769264999996</v>
      </c>
      <c r="CQ73" s="57">
        <f t="shared" si="424"/>
        <v>872.37149999999997</v>
      </c>
      <c r="CR73" s="59">
        <f t="shared" si="425"/>
        <v>2883.8857047000001</v>
      </c>
      <c r="CS73" s="55">
        <f t="shared" si="426"/>
        <v>851.3504999999999</v>
      </c>
      <c r="CT73" s="59">
        <f t="shared" si="427"/>
        <v>2814.3944828999997</v>
      </c>
      <c r="CU73" s="60">
        <f t="shared" si="428"/>
        <v>830.32949999999994</v>
      </c>
      <c r="CV73" s="59">
        <f t="shared" si="429"/>
        <v>2744.9032610999998</v>
      </c>
      <c r="CW73" s="60">
        <f t="shared" si="430"/>
        <v>809.30849999999987</v>
      </c>
      <c r="CX73" s="59">
        <f t="shared" si="431"/>
        <v>2675.4120392999998</v>
      </c>
      <c r="CY73" s="60">
        <f t="shared" si="432"/>
        <v>788.2874999999998</v>
      </c>
      <c r="CZ73" s="59">
        <f t="shared" si="433"/>
        <v>2605.9208174999994</v>
      </c>
      <c r="DA73" s="55">
        <f t="shared" si="434"/>
        <v>767.26649999999984</v>
      </c>
      <c r="DB73" s="59">
        <f t="shared" si="435"/>
        <v>2536.4295956999995</v>
      </c>
      <c r="DC73" s="60">
        <f t="shared" si="436"/>
        <v>746.24549999999977</v>
      </c>
      <c r="DD73" s="59">
        <f t="shared" si="437"/>
        <v>2466.9383738999991</v>
      </c>
      <c r="DE73" s="60">
        <f t="shared" si="438"/>
        <v>725.22449999999981</v>
      </c>
      <c r="DF73" s="59">
        <f t="shared" si="439"/>
        <v>2397.4471520999996</v>
      </c>
      <c r="DG73" s="60">
        <f t="shared" si="440"/>
        <v>704.20349999999974</v>
      </c>
      <c r="DH73" s="59">
        <f t="shared" si="441"/>
        <v>2327.9559302999992</v>
      </c>
      <c r="DI73" s="60">
        <f t="shared" si="442"/>
        <v>683.18249999999978</v>
      </c>
      <c r="DJ73" s="59">
        <f t="shared" si="443"/>
        <v>2258.4647084999992</v>
      </c>
      <c r="DK73" s="55">
        <f t="shared" si="444"/>
        <v>662.16149999999971</v>
      </c>
      <c r="DL73" s="59">
        <f t="shared" si="445"/>
        <v>2188.9734866999993</v>
      </c>
      <c r="DM73" s="60">
        <f t="shared" si="446"/>
        <v>641.14049999999975</v>
      </c>
      <c r="DN73" s="59">
        <f t="shared" si="447"/>
        <v>2119.4822648999993</v>
      </c>
      <c r="DO73" s="60">
        <f t="shared" si="448"/>
        <v>620.11949999999968</v>
      </c>
      <c r="DP73" s="59">
        <f t="shared" si="449"/>
        <v>2049.9910430999989</v>
      </c>
      <c r="DQ73" s="55">
        <f t="shared" si="450"/>
        <v>599.09849999999972</v>
      </c>
      <c r="DR73" s="59">
        <f t="shared" si="451"/>
        <v>1980.4998212999992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497"/>
        <v>0.91</v>
      </c>
      <c r="DZ73" s="55">
        <f t="shared" si="497"/>
        <v>0.89</v>
      </c>
      <c r="EA73" s="55">
        <f t="shared" si="497"/>
        <v>0.87</v>
      </c>
      <c r="EB73" s="55">
        <f t="shared" si="497"/>
        <v>0.85</v>
      </c>
      <c r="EC73" s="55">
        <f t="shared" si="497"/>
        <v>0.83</v>
      </c>
      <c r="ED73" s="55">
        <f t="shared" si="497"/>
        <v>0.80999999999999994</v>
      </c>
      <c r="EE73" s="55">
        <f t="shared" si="497"/>
        <v>0.78999999999999992</v>
      </c>
      <c r="EF73" s="55">
        <f t="shared" si="497"/>
        <v>0.76999999999999991</v>
      </c>
      <c r="EG73" s="55">
        <f t="shared" si="497"/>
        <v>0.74999999999999989</v>
      </c>
      <c r="EH73" s="55">
        <f t="shared" si="497"/>
        <v>0.72999999999999987</v>
      </c>
      <c r="EI73" s="55">
        <f t="shared" si="497"/>
        <v>0.70999999999999985</v>
      </c>
      <c r="EJ73" s="55">
        <f t="shared" si="497"/>
        <v>0.68999999999999984</v>
      </c>
      <c r="EK73" s="55">
        <f t="shared" si="497"/>
        <v>0.66999999999999982</v>
      </c>
      <c r="EL73" s="55">
        <f t="shared" si="497"/>
        <v>0.6499999999999998</v>
      </c>
      <c r="EM73" s="55">
        <f t="shared" si="497"/>
        <v>0.62999999999999978</v>
      </c>
      <c r="EN73" s="55">
        <f t="shared" si="497"/>
        <v>0.60999999999999976</v>
      </c>
      <c r="EO73" s="55">
        <f t="shared" si="497"/>
        <v>0.58999999999999975</v>
      </c>
      <c r="EP73" s="55">
        <f t="shared" si="497"/>
        <v>0.56999999999999973</v>
      </c>
      <c r="ER73" s="55">
        <f t="shared" si="142"/>
        <v>956.45550000000003</v>
      </c>
      <c r="ES73" s="55">
        <f t="shared" si="116"/>
        <v>956.45550000000003</v>
      </c>
      <c r="ET73" s="59">
        <f t="shared" si="453"/>
        <v>3161.8505919000004</v>
      </c>
      <c r="EU73" s="55">
        <f t="shared" si="454"/>
        <v>927.76183500000002</v>
      </c>
      <c r="EV73" s="59">
        <f t="shared" si="455"/>
        <v>3066.9950741430002</v>
      </c>
      <c r="EW73" s="55">
        <f t="shared" si="456"/>
        <v>908.63272499999994</v>
      </c>
      <c r="EX73" s="59">
        <f t="shared" si="457"/>
        <v>3003.7580623049998</v>
      </c>
      <c r="EY73" s="55">
        <f t="shared" si="458"/>
        <v>889.50361500000008</v>
      </c>
      <c r="EZ73" s="59">
        <f t="shared" si="459"/>
        <v>2940.5210504670004</v>
      </c>
      <c r="FA73" s="57">
        <f t="shared" si="460"/>
        <v>870.37450500000011</v>
      </c>
      <c r="FB73" s="59">
        <f t="shared" si="461"/>
        <v>2877.2840386290004</v>
      </c>
      <c r="FC73" s="55">
        <f t="shared" si="462"/>
        <v>851.24539500000003</v>
      </c>
      <c r="FD73" s="59">
        <f t="shared" si="463"/>
        <v>2814.047026791</v>
      </c>
      <c r="FE73" s="57">
        <f t="shared" si="464"/>
        <v>832.11628500000006</v>
      </c>
      <c r="FF73" s="59">
        <f t="shared" si="465"/>
        <v>2750.8100149530001</v>
      </c>
      <c r="FG73" s="60">
        <f t="shared" si="466"/>
        <v>812.98717499999998</v>
      </c>
      <c r="FH73" s="59">
        <f t="shared" si="467"/>
        <v>2687.5730031150001</v>
      </c>
      <c r="FI73" s="57">
        <f t="shared" si="468"/>
        <v>793.85806500000001</v>
      </c>
      <c r="FJ73" s="59">
        <f t="shared" si="469"/>
        <v>2624.3359912770002</v>
      </c>
      <c r="FK73" s="55">
        <f t="shared" si="470"/>
        <v>774.72895499999993</v>
      </c>
      <c r="FL73" s="59">
        <f t="shared" si="471"/>
        <v>2561.0989794389998</v>
      </c>
      <c r="FM73" s="60">
        <f t="shared" si="472"/>
        <v>755.59984499999996</v>
      </c>
      <c r="FN73" s="59">
        <f t="shared" si="473"/>
        <v>2497.8619676009998</v>
      </c>
      <c r="FO73" s="60">
        <f t="shared" si="474"/>
        <v>736.47073499999988</v>
      </c>
      <c r="FP73" s="59">
        <f t="shared" si="475"/>
        <v>2434.6249557629994</v>
      </c>
      <c r="FQ73" s="60">
        <f t="shared" si="476"/>
        <v>717.34162499999991</v>
      </c>
      <c r="FR73" s="59">
        <f t="shared" si="477"/>
        <v>2371.3879439249999</v>
      </c>
      <c r="FS73" s="55">
        <f t="shared" si="478"/>
        <v>698.21251499999994</v>
      </c>
      <c r="FT73" s="59">
        <f t="shared" si="479"/>
        <v>2308.150932087</v>
      </c>
      <c r="FU73" s="60">
        <f t="shared" si="480"/>
        <v>679.08340499999986</v>
      </c>
      <c r="FV73" s="59">
        <f t="shared" si="481"/>
        <v>2244.9139202489996</v>
      </c>
      <c r="FW73" s="60">
        <f t="shared" si="482"/>
        <v>659.95429499999989</v>
      </c>
      <c r="FX73" s="59">
        <f t="shared" si="483"/>
        <v>2181.6769084109997</v>
      </c>
      <c r="FY73" s="60">
        <f t="shared" si="484"/>
        <v>640.82518499999981</v>
      </c>
      <c r="FZ73" s="59">
        <f t="shared" si="485"/>
        <v>2118.4398965729993</v>
      </c>
      <c r="GA73" s="60">
        <f t="shared" si="486"/>
        <v>621.69607499999984</v>
      </c>
      <c r="GB73" s="59">
        <f t="shared" si="487"/>
        <v>2055.2028847349993</v>
      </c>
      <c r="GC73" s="55">
        <f t="shared" si="488"/>
        <v>602.56696499999975</v>
      </c>
      <c r="GD73" s="59">
        <f t="shared" si="489"/>
        <v>1991.9658728969991</v>
      </c>
      <c r="GE73" s="60">
        <f t="shared" si="490"/>
        <v>583.43785499999979</v>
      </c>
      <c r="GF73" s="59">
        <f t="shared" si="491"/>
        <v>1928.7288610589994</v>
      </c>
      <c r="GG73" s="60">
        <f t="shared" si="492"/>
        <v>564.30874499999982</v>
      </c>
      <c r="GH73" s="59">
        <f t="shared" si="493"/>
        <v>1865.4918492209995</v>
      </c>
      <c r="GI73" s="55">
        <f t="shared" si="494"/>
        <v>545.17963499999973</v>
      </c>
      <c r="GJ73" s="59">
        <f t="shared" si="495"/>
        <v>1802.2548373829991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498"/>
        <v>0.91</v>
      </c>
      <c r="GR73" s="55">
        <f t="shared" si="498"/>
        <v>0.89</v>
      </c>
      <c r="GS73" s="55">
        <f t="shared" si="498"/>
        <v>0.87</v>
      </c>
      <c r="GT73" s="55">
        <f t="shared" si="498"/>
        <v>0.85</v>
      </c>
      <c r="GU73" s="55">
        <f t="shared" si="498"/>
        <v>0.83</v>
      </c>
      <c r="GV73" s="55">
        <f t="shared" si="498"/>
        <v>0.80999999999999994</v>
      </c>
      <c r="GW73" s="55">
        <f t="shared" si="498"/>
        <v>0.78999999999999992</v>
      </c>
      <c r="GX73" s="55">
        <f t="shared" si="498"/>
        <v>0.76999999999999991</v>
      </c>
      <c r="GY73" s="55">
        <f t="shared" si="498"/>
        <v>0.74999999999999989</v>
      </c>
      <c r="GZ73" s="55">
        <f t="shared" si="498"/>
        <v>0.72999999999999987</v>
      </c>
      <c r="HA73" s="55">
        <f t="shared" si="498"/>
        <v>0.70999999999999985</v>
      </c>
      <c r="HB73" s="55">
        <f t="shared" si="498"/>
        <v>0.68999999999999984</v>
      </c>
      <c r="HC73" s="55">
        <f t="shared" si="498"/>
        <v>0.66999999999999982</v>
      </c>
      <c r="HD73" s="55">
        <f t="shared" si="498"/>
        <v>0.6499999999999998</v>
      </c>
      <c r="HE73" s="55">
        <f t="shared" si="498"/>
        <v>0.62999999999999978</v>
      </c>
      <c r="HF73" s="55">
        <f t="shared" si="498"/>
        <v>0.60999999999999976</v>
      </c>
      <c r="HG73" s="55">
        <f t="shared" si="498"/>
        <v>0.58999999999999975</v>
      </c>
      <c r="HH73" s="55">
        <f t="shared" si="498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65"/>
        <v>0</v>
      </c>
      <c r="H74" s="55">
        <f t="shared" si="61"/>
        <v>0</v>
      </c>
      <c r="I74" s="55">
        <f t="shared" si="62"/>
        <v>0</v>
      </c>
      <c r="J74" s="59">
        <f t="shared" si="63"/>
        <v>0</v>
      </c>
      <c r="K74" s="55">
        <f t="shared" si="366"/>
        <v>0</v>
      </c>
      <c r="L74" s="59">
        <f t="shared" si="367"/>
        <v>0</v>
      </c>
      <c r="M74" s="55">
        <f t="shared" si="368"/>
        <v>0</v>
      </c>
      <c r="N74" s="59">
        <f t="shared" si="369"/>
        <v>0</v>
      </c>
      <c r="O74" s="55">
        <f t="shared" si="370"/>
        <v>0</v>
      </c>
      <c r="P74" s="59">
        <f t="shared" si="371"/>
        <v>0</v>
      </c>
      <c r="Q74" s="57">
        <f t="shared" si="372"/>
        <v>0</v>
      </c>
      <c r="R74" s="59">
        <f t="shared" si="373"/>
        <v>0</v>
      </c>
      <c r="S74" s="55">
        <f t="shared" si="374"/>
        <v>0</v>
      </c>
      <c r="T74" s="59">
        <f t="shared" si="375"/>
        <v>0</v>
      </c>
      <c r="U74" s="57">
        <f t="shared" si="376"/>
        <v>0</v>
      </c>
      <c r="V74" s="59">
        <f t="shared" si="377"/>
        <v>0</v>
      </c>
      <c r="W74" s="60">
        <f t="shared" si="378"/>
        <v>0</v>
      </c>
      <c r="X74" s="59">
        <f t="shared" si="379"/>
        <v>0</v>
      </c>
      <c r="Y74" s="57">
        <f t="shared" si="380"/>
        <v>0</v>
      </c>
      <c r="Z74" s="59">
        <f t="shared" si="381"/>
        <v>0</v>
      </c>
      <c r="AA74" s="55">
        <f t="shared" si="382"/>
        <v>0</v>
      </c>
      <c r="AB74" s="59">
        <f t="shared" si="383"/>
        <v>0</v>
      </c>
      <c r="AC74" s="60">
        <f t="shared" si="384"/>
        <v>0</v>
      </c>
      <c r="AD74" s="59">
        <f t="shared" si="385"/>
        <v>0</v>
      </c>
      <c r="AE74" s="60">
        <f t="shared" si="386"/>
        <v>0</v>
      </c>
      <c r="AF74" s="59">
        <f t="shared" si="387"/>
        <v>0</v>
      </c>
      <c r="AG74" s="60">
        <f t="shared" si="388"/>
        <v>0</v>
      </c>
      <c r="AH74" s="59">
        <f t="shared" si="389"/>
        <v>0</v>
      </c>
      <c r="AI74" s="55">
        <f t="shared" si="390"/>
        <v>0</v>
      </c>
      <c r="AJ74" s="59">
        <f t="shared" si="391"/>
        <v>0</v>
      </c>
      <c r="AK74" s="60">
        <f t="shared" si="392"/>
        <v>0</v>
      </c>
      <c r="AL74" s="59">
        <f t="shared" si="393"/>
        <v>0</v>
      </c>
      <c r="AM74" s="60">
        <f t="shared" si="394"/>
        <v>0</v>
      </c>
      <c r="AN74" s="59">
        <f t="shared" si="395"/>
        <v>0</v>
      </c>
      <c r="AO74" s="60">
        <f t="shared" si="396"/>
        <v>0</v>
      </c>
      <c r="AP74" s="59">
        <f t="shared" si="397"/>
        <v>0</v>
      </c>
      <c r="AQ74" s="60">
        <f t="shared" si="398"/>
        <v>0</v>
      </c>
      <c r="AR74" s="59">
        <f t="shared" si="399"/>
        <v>0</v>
      </c>
      <c r="AS74" s="55">
        <f t="shared" si="400"/>
        <v>0</v>
      </c>
      <c r="AT74" s="59">
        <f t="shared" si="401"/>
        <v>0</v>
      </c>
      <c r="AU74" s="60">
        <f t="shared" si="402"/>
        <v>0</v>
      </c>
      <c r="AV74" s="59">
        <f t="shared" si="403"/>
        <v>0</v>
      </c>
      <c r="AW74" s="60">
        <f t="shared" si="404"/>
        <v>0</v>
      </c>
      <c r="AX74" s="59">
        <f t="shared" si="405"/>
        <v>0</v>
      </c>
      <c r="AY74" s="55">
        <f t="shared" si="406"/>
        <v>0</v>
      </c>
      <c r="AZ74" s="59">
        <f t="shared" si="407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08"/>
        <v>0.91</v>
      </c>
      <c r="BH74" s="55">
        <f t="shared" si="408"/>
        <v>0.89</v>
      </c>
      <c r="BI74" s="55">
        <f t="shared" si="408"/>
        <v>0.87</v>
      </c>
      <c r="BJ74" s="55">
        <f t="shared" si="408"/>
        <v>0.85</v>
      </c>
      <c r="BK74" s="55">
        <f t="shared" si="408"/>
        <v>0.83</v>
      </c>
      <c r="BL74" s="55">
        <f t="shared" si="408"/>
        <v>0.80999999999999994</v>
      </c>
      <c r="BM74" s="55">
        <f t="shared" si="408"/>
        <v>0.78999999999999992</v>
      </c>
      <c r="BN74" s="55">
        <f t="shared" si="408"/>
        <v>0.76999999999999991</v>
      </c>
      <c r="BO74" s="55">
        <f t="shared" si="408"/>
        <v>0.74999999999999989</v>
      </c>
      <c r="BP74" s="55">
        <f t="shared" si="408"/>
        <v>0.72999999999999987</v>
      </c>
      <c r="BQ74" s="55">
        <f t="shared" si="408"/>
        <v>0.70999999999999985</v>
      </c>
      <c r="BR74" s="55">
        <f t="shared" si="408"/>
        <v>0.68999999999999984</v>
      </c>
      <c r="BS74" s="55">
        <f t="shared" si="408"/>
        <v>0.66999999999999982</v>
      </c>
      <c r="BT74" s="55">
        <f t="shared" si="408"/>
        <v>0.6499999999999998</v>
      </c>
      <c r="BU74" s="55">
        <f t="shared" si="408"/>
        <v>0.62999999999999978</v>
      </c>
      <c r="BV74" s="55">
        <f t="shared" si="408"/>
        <v>0.60999999999999976</v>
      </c>
      <c r="BW74" s="55">
        <f t="shared" si="408"/>
        <v>0.58999999999999975</v>
      </c>
      <c r="BX74" s="55">
        <f t="shared" si="408"/>
        <v>0.56999999999999973</v>
      </c>
      <c r="BZ74" s="55">
        <f t="shared" si="88"/>
        <v>0</v>
      </c>
      <c r="CA74" s="55">
        <f t="shared" si="89"/>
        <v>0</v>
      </c>
      <c r="CB74" s="59">
        <f t="shared" si="409"/>
        <v>0</v>
      </c>
      <c r="CC74" s="55">
        <f t="shared" si="410"/>
        <v>0</v>
      </c>
      <c r="CD74" s="59">
        <f t="shared" si="411"/>
        <v>0</v>
      </c>
      <c r="CE74" s="55">
        <f t="shared" si="412"/>
        <v>0</v>
      </c>
      <c r="CF74" s="59">
        <f t="shared" si="413"/>
        <v>0</v>
      </c>
      <c r="CG74" s="55">
        <f t="shared" si="414"/>
        <v>0</v>
      </c>
      <c r="CH74" s="59">
        <f t="shared" si="415"/>
        <v>0</v>
      </c>
      <c r="CI74" s="57">
        <f t="shared" si="416"/>
        <v>0</v>
      </c>
      <c r="CJ74" s="59">
        <f t="shared" si="417"/>
        <v>0</v>
      </c>
      <c r="CK74" s="55">
        <f t="shared" si="418"/>
        <v>0</v>
      </c>
      <c r="CL74" s="59">
        <f t="shared" si="419"/>
        <v>0</v>
      </c>
      <c r="CM74" s="57">
        <f t="shared" si="420"/>
        <v>0</v>
      </c>
      <c r="CN74" s="59">
        <f t="shared" si="421"/>
        <v>0</v>
      </c>
      <c r="CO74" s="60">
        <f t="shared" si="422"/>
        <v>0</v>
      </c>
      <c r="CP74" s="59">
        <f t="shared" si="423"/>
        <v>0</v>
      </c>
      <c r="CQ74" s="57">
        <f t="shared" si="424"/>
        <v>0</v>
      </c>
      <c r="CR74" s="59">
        <f t="shared" si="425"/>
        <v>0</v>
      </c>
      <c r="CS74" s="55">
        <f t="shared" si="426"/>
        <v>0</v>
      </c>
      <c r="CT74" s="59">
        <f t="shared" si="427"/>
        <v>0</v>
      </c>
      <c r="CU74" s="60">
        <f t="shared" si="428"/>
        <v>0</v>
      </c>
      <c r="CV74" s="59">
        <f t="shared" si="429"/>
        <v>0</v>
      </c>
      <c r="CW74" s="60">
        <f t="shared" si="430"/>
        <v>0</v>
      </c>
      <c r="CX74" s="59">
        <f t="shared" si="431"/>
        <v>0</v>
      </c>
      <c r="CY74" s="60">
        <f t="shared" si="432"/>
        <v>0</v>
      </c>
      <c r="CZ74" s="59">
        <f t="shared" si="433"/>
        <v>0</v>
      </c>
      <c r="DA74" s="55">
        <f t="shared" si="434"/>
        <v>0</v>
      </c>
      <c r="DB74" s="59">
        <f t="shared" si="435"/>
        <v>0</v>
      </c>
      <c r="DC74" s="60">
        <f t="shared" si="436"/>
        <v>0</v>
      </c>
      <c r="DD74" s="59">
        <f t="shared" si="437"/>
        <v>0</v>
      </c>
      <c r="DE74" s="60">
        <f t="shared" si="438"/>
        <v>0</v>
      </c>
      <c r="DF74" s="59">
        <f t="shared" si="439"/>
        <v>0</v>
      </c>
      <c r="DG74" s="60">
        <f t="shared" si="440"/>
        <v>0</v>
      </c>
      <c r="DH74" s="59">
        <f t="shared" si="441"/>
        <v>0</v>
      </c>
      <c r="DI74" s="60">
        <f t="shared" si="442"/>
        <v>0</v>
      </c>
      <c r="DJ74" s="59">
        <f t="shared" si="443"/>
        <v>0</v>
      </c>
      <c r="DK74" s="55">
        <f t="shared" si="444"/>
        <v>0</v>
      </c>
      <c r="DL74" s="59">
        <f t="shared" si="445"/>
        <v>0</v>
      </c>
      <c r="DM74" s="60">
        <f t="shared" si="446"/>
        <v>0</v>
      </c>
      <c r="DN74" s="59">
        <f t="shared" si="447"/>
        <v>0</v>
      </c>
      <c r="DO74" s="60">
        <f t="shared" si="448"/>
        <v>0</v>
      </c>
      <c r="DP74" s="59">
        <f t="shared" si="449"/>
        <v>0</v>
      </c>
      <c r="DQ74" s="55">
        <f t="shared" si="450"/>
        <v>0</v>
      </c>
      <c r="DR74" s="59">
        <f t="shared" si="451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497"/>
        <v>0.91</v>
      </c>
      <c r="DZ74" s="55">
        <f t="shared" si="497"/>
        <v>0.89</v>
      </c>
      <c r="EA74" s="55">
        <f t="shared" si="497"/>
        <v>0.87</v>
      </c>
      <c r="EB74" s="55">
        <f t="shared" si="497"/>
        <v>0.85</v>
      </c>
      <c r="EC74" s="55">
        <f t="shared" si="497"/>
        <v>0.83</v>
      </c>
      <c r="ED74" s="55">
        <f t="shared" si="497"/>
        <v>0.80999999999999994</v>
      </c>
      <c r="EE74" s="55">
        <f t="shared" si="497"/>
        <v>0.78999999999999992</v>
      </c>
      <c r="EF74" s="55">
        <f t="shared" si="497"/>
        <v>0.76999999999999991</v>
      </c>
      <c r="EG74" s="55">
        <f t="shared" si="497"/>
        <v>0.74999999999999989</v>
      </c>
      <c r="EH74" s="55">
        <f t="shared" si="497"/>
        <v>0.72999999999999987</v>
      </c>
      <c r="EI74" s="55">
        <f t="shared" si="497"/>
        <v>0.70999999999999985</v>
      </c>
      <c r="EJ74" s="55">
        <f t="shared" si="497"/>
        <v>0.68999999999999984</v>
      </c>
      <c r="EK74" s="55">
        <f t="shared" si="497"/>
        <v>0.66999999999999982</v>
      </c>
      <c r="EL74" s="55">
        <f t="shared" si="497"/>
        <v>0.6499999999999998</v>
      </c>
      <c r="EM74" s="55">
        <f t="shared" si="497"/>
        <v>0.62999999999999978</v>
      </c>
      <c r="EN74" s="55">
        <f t="shared" si="497"/>
        <v>0.60999999999999976</v>
      </c>
      <c r="EO74" s="55">
        <f t="shared" si="497"/>
        <v>0.58999999999999975</v>
      </c>
      <c r="EP74" s="55">
        <f t="shared" si="497"/>
        <v>0.56999999999999973</v>
      </c>
      <c r="ER74" s="55">
        <f t="shared" si="142"/>
        <v>0</v>
      </c>
      <c r="ES74" s="55">
        <f t="shared" si="116"/>
        <v>0</v>
      </c>
      <c r="ET74" s="59">
        <f t="shared" si="453"/>
        <v>0</v>
      </c>
      <c r="EU74" s="55">
        <f t="shared" si="454"/>
        <v>0</v>
      </c>
      <c r="EV74" s="59">
        <f t="shared" si="455"/>
        <v>0</v>
      </c>
      <c r="EW74" s="55">
        <f t="shared" si="456"/>
        <v>0</v>
      </c>
      <c r="EX74" s="59">
        <f t="shared" si="457"/>
        <v>0</v>
      </c>
      <c r="EY74" s="55">
        <f t="shared" si="458"/>
        <v>0</v>
      </c>
      <c r="EZ74" s="59">
        <f t="shared" si="459"/>
        <v>0</v>
      </c>
      <c r="FA74" s="57">
        <f t="shared" si="460"/>
        <v>0</v>
      </c>
      <c r="FB74" s="59">
        <f t="shared" si="461"/>
        <v>0</v>
      </c>
      <c r="FC74" s="55">
        <f t="shared" si="462"/>
        <v>0</v>
      </c>
      <c r="FD74" s="59">
        <f t="shared" si="463"/>
        <v>0</v>
      </c>
      <c r="FE74" s="57">
        <f t="shared" si="464"/>
        <v>0</v>
      </c>
      <c r="FF74" s="59">
        <f t="shared" si="465"/>
        <v>0</v>
      </c>
      <c r="FG74" s="60">
        <f t="shared" si="466"/>
        <v>0</v>
      </c>
      <c r="FH74" s="59">
        <f t="shared" si="467"/>
        <v>0</v>
      </c>
      <c r="FI74" s="57">
        <f t="shared" si="468"/>
        <v>0</v>
      </c>
      <c r="FJ74" s="59">
        <f t="shared" si="469"/>
        <v>0</v>
      </c>
      <c r="FK74" s="55">
        <f t="shared" si="470"/>
        <v>0</v>
      </c>
      <c r="FL74" s="59">
        <f t="shared" si="471"/>
        <v>0</v>
      </c>
      <c r="FM74" s="60">
        <f t="shared" si="472"/>
        <v>0</v>
      </c>
      <c r="FN74" s="59">
        <f t="shared" si="473"/>
        <v>0</v>
      </c>
      <c r="FO74" s="60">
        <f t="shared" si="474"/>
        <v>0</v>
      </c>
      <c r="FP74" s="59">
        <f t="shared" si="475"/>
        <v>0</v>
      </c>
      <c r="FQ74" s="60">
        <f t="shared" si="476"/>
        <v>0</v>
      </c>
      <c r="FR74" s="59">
        <f t="shared" si="477"/>
        <v>0</v>
      </c>
      <c r="FS74" s="55">
        <f t="shared" si="478"/>
        <v>0</v>
      </c>
      <c r="FT74" s="59">
        <f t="shared" si="479"/>
        <v>0</v>
      </c>
      <c r="FU74" s="60">
        <f t="shared" si="480"/>
        <v>0</v>
      </c>
      <c r="FV74" s="59">
        <f t="shared" si="481"/>
        <v>0</v>
      </c>
      <c r="FW74" s="60">
        <f t="shared" si="482"/>
        <v>0</v>
      </c>
      <c r="FX74" s="59">
        <f t="shared" si="483"/>
        <v>0</v>
      </c>
      <c r="FY74" s="60">
        <f t="shared" si="484"/>
        <v>0</v>
      </c>
      <c r="FZ74" s="59">
        <f t="shared" si="485"/>
        <v>0</v>
      </c>
      <c r="GA74" s="60">
        <f t="shared" si="486"/>
        <v>0</v>
      </c>
      <c r="GB74" s="59">
        <f t="shared" si="487"/>
        <v>0</v>
      </c>
      <c r="GC74" s="55">
        <f t="shared" si="488"/>
        <v>0</v>
      </c>
      <c r="GD74" s="59">
        <f t="shared" si="489"/>
        <v>0</v>
      </c>
      <c r="GE74" s="60">
        <f t="shared" si="490"/>
        <v>0</v>
      </c>
      <c r="GF74" s="59">
        <f t="shared" si="491"/>
        <v>0</v>
      </c>
      <c r="GG74" s="60">
        <f t="shared" si="492"/>
        <v>0</v>
      </c>
      <c r="GH74" s="59">
        <f t="shared" si="493"/>
        <v>0</v>
      </c>
      <c r="GI74" s="55">
        <f t="shared" si="494"/>
        <v>0</v>
      </c>
      <c r="GJ74" s="59">
        <f t="shared" si="495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498"/>
        <v>0.91</v>
      </c>
      <c r="GR74" s="55">
        <f t="shared" si="498"/>
        <v>0.89</v>
      </c>
      <c r="GS74" s="55">
        <f t="shared" si="498"/>
        <v>0.87</v>
      </c>
      <c r="GT74" s="55">
        <f t="shared" si="498"/>
        <v>0.85</v>
      </c>
      <c r="GU74" s="55">
        <f t="shared" si="498"/>
        <v>0.83</v>
      </c>
      <c r="GV74" s="55">
        <f t="shared" si="498"/>
        <v>0.80999999999999994</v>
      </c>
      <c r="GW74" s="55">
        <f t="shared" si="498"/>
        <v>0.78999999999999992</v>
      </c>
      <c r="GX74" s="55">
        <f t="shared" si="498"/>
        <v>0.76999999999999991</v>
      </c>
      <c r="GY74" s="55">
        <f t="shared" si="498"/>
        <v>0.74999999999999989</v>
      </c>
      <c r="GZ74" s="55">
        <f t="shared" si="498"/>
        <v>0.72999999999999987</v>
      </c>
      <c r="HA74" s="55">
        <f t="shared" si="498"/>
        <v>0.70999999999999985</v>
      </c>
      <c r="HB74" s="55">
        <f t="shared" si="498"/>
        <v>0.68999999999999984</v>
      </c>
      <c r="HC74" s="55">
        <f t="shared" si="498"/>
        <v>0.66999999999999982</v>
      </c>
      <c r="HD74" s="55">
        <f t="shared" si="498"/>
        <v>0.6499999999999998</v>
      </c>
      <c r="HE74" s="55">
        <f t="shared" si="498"/>
        <v>0.62999999999999978</v>
      </c>
      <c r="HF74" s="55">
        <f t="shared" si="498"/>
        <v>0.60999999999999976</v>
      </c>
      <c r="HG74" s="55">
        <f t="shared" si="498"/>
        <v>0.58999999999999975</v>
      </c>
      <c r="HH74" s="55">
        <f t="shared" si="498"/>
        <v>0.56999999999999973</v>
      </c>
    </row>
    <row r="75" spans="1:216" x14ac:dyDescent="0.3">
      <c r="A75" s="2">
        <v>13</v>
      </c>
      <c r="C75" s="38" t="s">
        <v>122</v>
      </c>
      <c r="D75" s="42">
        <f>TRUNC(14720.8450810403,-1)</f>
        <v>14720</v>
      </c>
      <c r="E75" s="71">
        <f t="shared" si="365"/>
        <v>48660</v>
      </c>
      <c r="H75" s="55">
        <f t="shared" si="61"/>
        <v>53526.000000000007</v>
      </c>
      <c r="I75" s="55">
        <f t="shared" si="62"/>
        <v>53526.000000000007</v>
      </c>
      <c r="J75" s="59">
        <f t="shared" si="63"/>
        <v>176946.25080000004</v>
      </c>
      <c r="K75" s="55">
        <f t="shared" si="366"/>
        <v>51920.220000000008</v>
      </c>
      <c r="L75" s="59">
        <f t="shared" si="367"/>
        <v>171637.86327600002</v>
      </c>
      <c r="M75" s="55">
        <f t="shared" si="368"/>
        <v>50849.700000000004</v>
      </c>
      <c r="N75" s="59">
        <f t="shared" si="369"/>
        <v>168098.93826000002</v>
      </c>
      <c r="O75" s="55">
        <f t="shared" si="370"/>
        <v>49779.180000000008</v>
      </c>
      <c r="P75" s="59">
        <f t="shared" si="371"/>
        <v>164560.01324400003</v>
      </c>
      <c r="Q75" s="57">
        <f t="shared" si="372"/>
        <v>48708.660000000011</v>
      </c>
      <c r="R75" s="59">
        <f t="shared" si="373"/>
        <v>161021.08822800004</v>
      </c>
      <c r="S75" s="55">
        <f t="shared" si="374"/>
        <v>47638.140000000007</v>
      </c>
      <c r="T75" s="59">
        <f t="shared" si="375"/>
        <v>157482.16321200001</v>
      </c>
      <c r="U75" s="57">
        <f t="shared" si="376"/>
        <v>46567.62</v>
      </c>
      <c r="V75" s="59">
        <f t="shared" si="377"/>
        <v>153943.23819600002</v>
      </c>
      <c r="W75" s="60">
        <f t="shared" si="378"/>
        <v>45497.100000000006</v>
      </c>
      <c r="X75" s="59">
        <f t="shared" si="379"/>
        <v>150404.31318000003</v>
      </c>
      <c r="Y75" s="57">
        <f t="shared" si="380"/>
        <v>44426.58</v>
      </c>
      <c r="Z75" s="59">
        <f t="shared" si="381"/>
        <v>146865.388164</v>
      </c>
      <c r="AA75" s="55">
        <f t="shared" si="382"/>
        <v>43356.060000000005</v>
      </c>
      <c r="AB75" s="59">
        <f t="shared" si="383"/>
        <v>143326.46314800001</v>
      </c>
      <c r="AC75" s="60">
        <f t="shared" si="384"/>
        <v>42285.54</v>
      </c>
      <c r="AD75" s="59">
        <f t="shared" si="385"/>
        <v>139787.53813200002</v>
      </c>
      <c r="AE75" s="60">
        <f t="shared" si="386"/>
        <v>41215.020000000004</v>
      </c>
      <c r="AF75" s="59">
        <f t="shared" si="387"/>
        <v>136248.61311600002</v>
      </c>
      <c r="AG75" s="60">
        <f t="shared" si="388"/>
        <v>40144.5</v>
      </c>
      <c r="AH75" s="59">
        <f t="shared" si="389"/>
        <v>132709.6881</v>
      </c>
      <c r="AI75" s="55">
        <f t="shared" si="390"/>
        <v>39073.979999999996</v>
      </c>
      <c r="AJ75" s="59">
        <f t="shared" si="391"/>
        <v>129170.76308399999</v>
      </c>
      <c r="AK75" s="60">
        <f t="shared" si="392"/>
        <v>38003.46</v>
      </c>
      <c r="AL75" s="59">
        <f t="shared" si="393"/>
        <v>125631.838068</v>
      </c>
      <c r="AM75" s="60">
        <f t="shared" si="394"/>
        <v>36932.939999999995</v>
      </c>
      <c r="AN75" s="59">
        <f t="shared" si="395"/>
        <v>122092.91305199999</v>
      </c>
      <c r="AO75" s="60">
        <f t="shared" si="396"/>
        <v>35862.42</v>
      </c>
      <c r="AP75" s="59">
        <f t="shared" si="397"/>
        <v>118553.988036</v>
      </c>
      <c r="AQ75" s="60">
        <f t="shared" si="398"/>
        <v>34791.899999999994</v>
      </c>
      <c r="AR75" s="59">
        <f t="shared" si="399"/>
        <v>115015.06301999999</v>
      </c>
      <c r="AS75" s="55">
        <f t="shared" si="400"/>
        <v>33721.37999999999</v>
      </c>
      <c r="AT75" s="59">
        <f t="shared" si="401"/>
        <v>111476.13800399996</v>
      </c>
      <c r="AU75" s="60">
        <f t="shared" si="402"/>
        <v>32650.859999999993</v>
      </c>
      <c r="AV75" s="59">
        <f t="shared" si="403"/>
        <v>107937.21298799998</v>
      </c>
      <c r="AW75" s="60">
        <f t="shared" si="404"/>
        <v>31580.339999999989</v>
      </c>
      <c r="AX75" s="59">
        <f t="shared" si="405"/>
        <v>104398.28797199996</v>
      </c>
      <c r="AY75" s="55">
        <f t="shared" si="406"/>
        <v>30509.819999999989</v>
      </c>
      <c r="AZ75" s="59">
        <f t="shared" si="407"/>
        <v>100859.36295599997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08"/>
        <v>0.91</v>
      </c>
      <c r="BH75" s="55">
        <f t="shared" si="408"/>
        <v>0.89</v>
      </c>
      <c r="BI75" s="55">
        <f t="shared" si="408"/>
        <v>0.87</v>
      </c>
      <c r="BJ75" s="55">
        <f t="shared" si="408"/>
        <v>0.85</v>
      </c>
      <c r="BK75" s="55">
        <f t="shared" si="408"/>
        <v>0.83</v>
      </c>
      <c r="BL75" s="55">
        <f t="shared" si="408"/>
        <v>0.80999999999999994</v>
      </c>
      <c r="BM75" s="55">
        <f t="shared" si="408"/>
        <v>0.78999999999999992</v>
      </c>
      <c r="BN75" s="55">
        <f t="shared" si="408"/>
        <v>0.76999999999999991</v>
      </c>
      <c r="BO75" s="55">
        <f t="shared" si="408"/>
        <v>0.74999999999999989</v>
      </c>
      <c r="BP75" s="55">
        <f t="shared" si="408"/>
        <v>0.72999999999999987</v>
      </c>
      <c r="BQ75" s="55">
        <f t="shared" si="408"/>
        <v>0.70999999999999985</v>
      </c>
      <c r="BR75" s="55">
        <f t="shared" si="408"/>
        <v>0.68999999999999984</v>
      </c>
      <c r="BS75" s="55">
        <f t="shared" si="408"/>
        <v>0.66999999999999982</v>
      </c>
      <c r="BT75" s="55">
        <f t="shared" si="408"/>
        <v>0.6499999999999998</v>
      </c>
      <c r="BU75" s="55">
        <f t="shared" si="408"/>
        <v>0.62999999999999978</v>
      </c>
      <c r="BV75" s="55">
        <f t="shared" si="408"/>
        <v>0.60999999999999976</v>
      </c>
      <c r="BW75" s="55">
        <f t="shared" si="408"/>
        <v>0.58999999999999975</v>
      </c>
      <c r="BX75" s="55">
        <f t="shared" si="408"/>
        <v>0.56999999999999973</v>
      </c>
      <c r="BZ75" s="55">
        <f t="shared" si="88"/>
        <v>48708.660000000011</v>
      </c>
      <c r="CA75" s="55">
        <f t="shared" si="89"/>
        <v>48708.660000000011</v>
      </c>
      <c r="CB75" s="59">
        <f t="shared" si="409"/>
        <v>161021.08822800004</v>
      </c>
      <c r="CC75" s="55">
        <f t="shared" si="410"/>
        <v>47247.400200000011</v>
      </c>
      <c r="CD75" s="59">
        <f t="shared" si="411"/>
        <v>156190.45558116003</v>
      </c>
      <c r="CE75" s="55">
        <f t="shared" si="412"/>
        <v>46273.227000000006</v>
      </c>
      <c r="CF75" s="59">
        <f t="shared" si="413"/>
        <v>152970.03381660001</v>
      </c>
      <c r="CG75" s="55">
        <f t="shared" si="414"/>
        <v>45299.053800000009</v>
      </c>
      <c r="CH75" s="59">
        <f t="shared" si="415"/>
        <v>149749.61205204003</v>
      </c>
      <c r="CI75" s="57">
        <f t="shared" si="416"/>
        <v>44324.880600000011</v>
      </c>
      <c r="CJ75" s="59">
        <f t="shared" si="417"/>
        <v>146529.19028748004</v>
      </c>
      <c r="CK75" s="55">
        <f t="shared" si="418"/>
        <v>43350.707400000007</v>
      </c>
      <c r="CL75" s="59">
        <f t="shared" si="419"/>
        <v>143308.76852292003</v>
      </c>
      <c r="CM75" s="57">
        <f t="shared" si="420"/>
        <v>42376.534200000009</v>
      </c>
      <c r="CN75" s="59">
        <f t="shared" si="421"/>
        <v>140088.34675836004</v>
      </c>
      <c r="CO75" s="60">
        <f t="shared" si="422"/>
        <v>41402.361000000012</v>
      </c>
      <c r="CP75" s="59">
        <f t="shared" si="423"/>
        <v>136867.92499380003</v>
      </c>
      <c r="CQ75" s="57">
        <f t="shared" si="424"/>
        <v>40428.187800000007</v>
      </c>
      <c r="CR75" s="59">
        <f t="shared" si="425"/>
        <v>133647.50322924001</v>
      </c>
      <c r="CS75" s="55">
        <f t="shared" si="426"/>
        <v>39454.01460000001</v>
      </c>
      <c r="CT75" s="59">
        <f t="shared" si="427"/>
        <v>130427.08146468003</v>
      </c>
      <c r="CU75" s="60">
        <f t="shared" si="428"/>
        <v>38479.841400000005</v>
      </c>
      <c r="CV75" s="59">
        <f t="shared" si="429"/>
        <v>127206.65970012001</v>
      </c>
      <c r="CW75" s="60">
        <f t="shared" si="430"/>
        <v>37505.668200000007</v>
      </c>
      <c r="CX75" s="59">
        <f t="shared" si="431"/>
        <v>123986.23793556003</v>
      </c>
      <c r="CY75" s="60">
        <f t="shared" si="432"/>
        <v>36531.495000000003</v>
      </c>
      <c r="CZ75" s="59">
        <f t="shared" si="433"/>
        <v>120765.81617100001</v>
      </c>
      <c r="DA75" s="55">
        <f t="shared" si="434"/>
        <v>35557.321800000005</v>
      </c>
      <c r="DB75" s="59">
        <f t="shared" si="435"/>
        <v>117545.39440644001</v>
      </c>
      <c r="DC75" s="60">
        <f t="shared" si="436"/>
        <v>34583.1486</v>
      </c>
      <c r="DD75" s="59">
        <f t="shared" si="437"/>
        <v>114324.97264188</v>
      </c>
      <c r="DE75" s="60">
        <f t="shared" si="438"/>
        <v>33608.975400000003</v>
      </c>
      <c r="DF75" s="59">
        <f t="shared" si="439"/>
        <v>111104.55087732001</v>
      </c>
      <c r="DG75" s="60">
        <f t="shared" si="440"/>
        <v>32634.802199999998</v>
      </c>
      <c r="DH75" s="59">
        <f t="shared" si="441"/>
        <v>107884.12911276</v>
      </c>
      <c r="DI75" s="60">
        <f t="shared" si="442"/>
        <v>31660.628999999997</v>
      </c>
      <c r="DJ75" s="59">
        <f t="shared" si="443"/>
        <v>104663.7073482</v>
      </c>
      <c r="DK75" s="55">
        <f t="shared" si="444"/>
        <v>30686.455799999996</v>
      </c>
      <c r="DL75" s="59">
        <f t="shared" si="445"/>
        <v>101443.28558363998</v>
      </c>
      <c r="DM75" s="60">
        <f t="shared" si="446"/>
        <v>29712.282599999995</v>
      </c>
      <c r="DN75" s="59">
        <f t="shared" si="447"/>
        <v>98222.863819079983</v>
      </c>
      <c r="DO75" s="60">
        <f t="shared" si="448"/>
        <v>28738.109399999994</v>
      </c>
      <c r="DP75" s="59">
        <f t="shared" si="449"/>
        <v>95002.442054519983</v>
      </c>
      <c r="DQ75" s="55">
        <f t="shared" si="450"/>
        <v>27763.936199999993</v>
      </c>
      <c r="DR75" s="59">
        <f t="shared" si="451"/>
        <v>91782.020289959983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497"/>
        <v>0.91</v>
      </c>
      <c r="DZ75" s="55">
        <f t="shared" si="497"/>
        <v>0.89</v>
      </c>
      <c r="EA75" s="55">
        <f t="shared" si="497"/>
        <v>0.87</v>
      </c>
      <c r="EB75" s="55">
        <f t="shared" si="497"/>
        <v>0.85</v>
      </c>
      <c r="EC75" s="55">
        <f t="shared" si="497"/>
        <v>0.83</v>
      </c>
      <c r="ED75" s="55">
        <f t="shared" si="497"/>
        <v>0.80999999999999994</v>
      </c>
      <c r="EE75" s="55">
        <f t="shared" si="497"/>
        <v>0.78999999999999992</v>
      </c>
      <c r="EF75" s="55">
        <f t="shared" si="497"/>
        <v>0.76999999999999991</v>
      </c>
      <c r="EG75" s="55">
        <f t="shared" si="497"/>
        <v>0.74999999999999989</v>
      </c>
      <c r="EH75" s="55">
        <f t="shared" si="497"/>
        <v>0.72999999999999987</v>
      </c>
      <c r="EI75" s="55">
        <f t="shared" si="497"/>
        <v>0.70999999999999985</v>
      </c>
      <c r="EJ75" s="55">
        <f t="shared" si="497"/>
        <v>0.68999999999999984</v>
      </c>
      <c r="EK75" s="55">
        <f t="shared" si="497"/>
        <v>0.66999999999999982</v>
      </c>
      <c r="EL75" s="55">
        <f t="shared" si="497"/>
        <v>0.6499999999999998</v>
      </c>
      <c r="EM75" s="55">
        <f t="shared" si="497"/>
        <v>0.62999999999999978</v>
      </c>
      <c r="EN75" s="55">
        <f t="shared" si="497"/>
        <v>0.60999999999999976</v>
      </c>
      <c r="EO75" s="55">
        <f t="shared" si="497"/>
        <v>0.58999999999999975</v>
      </c>
      <c r="EP75" s="55">
        <f t="shared" si="497"/>
        <v>0.56999999999999973</v>
      </c>
      <c r="ER75" s="55">
        <f t="shared" si="142"/>
        <v>44324.880600000011</v>
      </c>
      <c r="ES75" s="55">
        <f t="shared" si="116"/>
        <v>44324.880600000011</v>
      </c>
      <c r="ET75" s="59">
        <f t="shared" si="453"/>
        <v>146529.19028748004</v>
      </c>
      <c r="EU75" s="55">
        <f t="shared" si="454"/>
        <v>42995.134182000009</v>
      </c>
      <c r="EV75" s="59">
        <f t="shared" si="455"/>
        <v>142133.31457885564</v>
      </c>
      <c r="EW75" s="55">
        <f t="shared" si="456"/>
        <v>42108.63657000001</v>
      </c>
      <c r="EX75" s="59">
        <f t="shared" si="457"/>
        <v>139202.73077310604</v>
      </c>
      <c r="EY75" s="55">
        <f t="shared" si="458"/>
        <v>41222.13895800001</v>
      </c>
      <c r="EZ75" s="59">
        <f t="shared" si="459"/>
        <v>136272.14696735644</v>
      </c>
      <c r="FA75" s="57">
        <f t="shared" si="460"/>
        <v>40335.641346000011</v>
      </c>
      <c r="FB75" s="59">
        <f t="shared" si="461"/>
        <v>133341.56316160684</v>
      </c>
      <c r="FC75" s="55">
        <f t="shared" si="462"/>
        <v>39449.143734000012</v>
      </c>
      <c r="FD75" s="59">
        <f t="shared" si="463"/>
        <v>130410.97935585724</v>
      </c>
      <c r="FE75" s="57">
        <f t="shared" si="464"/>
        <v>38562.646122000013</v>
      </c>
      <c r="FF75" s="59">
        <f t="shared" si="465"/>
        <v>127480.39555010764</v>
      </c>
      <c r="FG75" s="60">
        <f t="shared" si="466"/>
        <v>37676.148510000006</v>
      </c>
      <c r="FH75" s="59">
        <f t="shared" si="467"/>
        <v>124549.81174435803</v>
      </c>
      <c r="FI75" s="57">
        <f t="shared" si="468"/>
        <v>36789.650898000007</v>
      </c>
      <c r="FJ75" s="59">
        <f t="shared" si="469"/>
        <v>121619.22793860843</v>
      </c>
      <c r="FK75" s="55">
        <f t="shared" si="470"/>
        <v>35903.153286000008</v>
      </c>
      <c r="FL75" s="59">
        <f t="shared" si="471"/>
        <v>118688.64413285883</v>
      </c>
      <c r="FM75" s="60">
        <f t="shared" si="472"/>
        <v>35016.655674000009</v>
      </c>
      <c r="FN75" s="59">
        <f t="shared" si="473"/>
        <v>115758.06032710923</v>
      </c>
      <c r="FO75" s="60">
        <f t="shared" si="474"/>
        <v>34130.158062000002</v>
      </c>
      <c r="FP75" s="59">
        <f t="shared" si="475"/>
        <v>112827.47652135961</v>
      </c>
      <c r="FQ75" s="60">
        <f t="shared" si="476"/>
        <v>33243.660450000003</v>
      </c>
      <c r="FR75" s="59">
        <f t="shared" si="477"/>
        <v>109896.89271561001</v>
      </c>
      <c r="FS75" s="55">
        <f t="shared" si="478"/>
        <v>32357.162838000004</v>
      </c>
      <c r="FT75" s="59">
        <f t="shared" si="479"/>
        <v>106966.30890986041</v>
      </c>
      <c r="FU75" s="60">
        <f t="shared" si="480"/>
        <v>31470.665226000001</v>
      </c>
      <c r="FV75" s="59">
        <f t="shared" si="481"/>
        <v>104035.72510411081</v>
      </c>
      <c r="FW75" s="60">
        <f t="shared" si="482"/>
        <v>30584.167614000002</v>
      </c>
      <c r="FX75" s="59">
        <f t="shared" si="483"/>
        <v>101105.14129836121</v>
      </c>
      <c r="FY75" s="60">
        <f t="shared" si="484"/>
        <v>29697.670001999999</v>
      </c>
      <c r="FZ75" s="59">
        <f t="shared" si="485"/>
        <v>98174.557492611595</v>
      </c>
      <c r="GA75" s="60">
        <f t="shared" si="486"/>
        <v>28811.17239</v>
      </c>
      <c r="GB75" s="59">
        <f t="shared" si="487"/>
        <v>95243.973686861995</v>
      </c>
      <c r="GC75" s="55">
        <f t="shared" si="488"/>
        <v>27924.674777999997</v>
      </c>
      <c r="GD75" s="59">
        <f t="shared" si="489"/>
        <v>92313.389881112395</v>
      </c>
      <c r="GE75" s="60">
        <f t="shared" si="490"/>
        <v>27038.177165999998</v>
      </c>
      <c r="GF75" s="59">
        <f t="shared" si="491"/>
        <v>89382.806075362794</v>
      </c>
      <c r="GG75" s="60">
        <f t="shared" si="492"/>
        <v>26151.679553999995</v>
      </c>
      <c r="GH75" s="59">
        <f t="shared" si="493"/>
        <v>86452.222269613179</v>
      </c>
      <c r="GI75" s="55">
        <f t="shared" si="494"/>
        <v>25265.181941999996</v>
      </c>
      <c r="GJ75" s="59">
        <f t="shared" si="495"/>
        <v>83521.638463863594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498"/>
        <v>0.91</v>
      </c>
      <c r="GR75" s="55">
        <f t="shared" si="498"/>
        <v>0.89</v>
      </c>
      <c r="GS75" s="55">
        <f t="shared" si="498"/>
        <v>0.87</v>
      </c>
      <c r="GT75" s="55">
        <f t="shared" si="498"/>
        <v>0.85</v>
      </c>
      <c r="GU75" s="55">
        <f t="shared" si="498"/>
        <v>0.83</v>
      </c>
      <c r="GV75" s="55">
        <f t="shared" si="498"/>
        <v>0.80999999999999994</v>
      </c>
      <c r="GW75" s="55">
        <f t="shared" si="498"/>
        <v>0.78999999999999992</v>
      </c>
      <c r="GX75" s="55">
        <f t="shared" si="498"/>
        <v>0.76999999999999991</v>
      </c>
      <c r="GY75" s="55">
        <f t="shared" si="498"/>
        <v>0.74999999999999989</v>
      </c>
      <c r="GZ75" s="55">
        <f t="shared" si="498"/>
        <v>0.72999999999999987</v>
      </c>
      <c r="HA75" s="55">
        <f t="shared" si="498"/>
        <v>0.70999999999999985</v>
      </c>
      <c r="HB75" s="55">
        <f t="shared" si="498"/>
        <v>0.68999999999999984</v>
      </c>
      <c r="HC75" s="55">
        <f t="shared" si="498"/>
        <v>0.66999999999999982</v>
      </c>
      <c r="HD75" s="55">
        <f t="shared" si="498"/>
        <v>0.6499999999999998</v>
      </c>
      <c r="HE75" s="55">
        <f t="shared" si="498"/>
        <v>0.62999999999999978</v>
      </c>
      <c r="HF75" s="55">
        <f t="shared" si="498"/>
        <v>0.60999999999999976</v>
      </c>
      <c r="HG75" s="55">
        <f t="shared" si="498"/>
        <v>0.58999999999999975</v>
      </c>
      <c r="HH75" s="55">
        <f t="shared" si="498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65"/>
        <v>0</v>
      </c>
      <c r="H76" s="55">
        <f t="shared" si="61"/>
        <v>0</v>
      </c>
      <c r="I76" s="55">
        <f t="shared" si="62"/>
        <v>0</v>
      </c>
      <c r="J76" s="59">
        <f t="shared" si="63"/>
        <v>0</v>
      </c>
      <c r="K76" s="55">
        <f t="shared" si="366"/>
        <v>0</v>
      </c>
      <c r="L76" s="59">
        <f t="shared" si="367"/>
        <v>0</v>
      </c>
      <c r="M76" s="55">
        <f t="shared" si="368"/>
        <v>0</v>
      </c>
      <c r="N76" s="59">
        <f t="shared" si="369"/>
        <v>0</v>
      </c>
      <c r="O76" s="55">
        <f t="shared" si="370"/>
        <v>0</v>
      </c>
      <c r="P76" s="59">
        <f t="shared" si="371"/>
        <v>0</v>
      </c>
      <c r="Q76" s="57">
        <f t="shared" si="372"/>
        <v>0</v>
      </c>
      <c r="R76" s="59">
        <f t="shared" si="373"/>
        <v>0</v>
      </c>
      <c r="S76" s="55">
        <f t="shared" si="374"/>
        <v>0</v>
      </c>
      <c r="T76" s="59">
        <f t="shared" si="375"/>
        <v>0</v>
      </c>
      <c r="U76" s="57">
        <f t="shared" si="376"/>
        <v>0</v>
      </c>
      <c r="V76" s="59">
        <f t="shared" si="377"/>
        <v>0</v>
      </c>
      <c r="W76" s="60">
        <f t="shared" si="378"/>
        <v>0</v>
      </c>
      <c r="X76" s="59">
        <f t="shared" si="379"/>
        <v>0</v>
      </c>
      <c r="Y76" s="57">
        <f t="shared" si="380"/>
        <v>0</v>
      </c>
      <c r="Z76" s="59">
        <f t="shared" si="381"/>
        <v>0</v>
      </c>
      <c r="AA76" s="55">
        <f t="shared" si="382"/>
        <v>0</v>
      </c>
      <c r="AB76" s="59">
        <f t="shared" si="383"/>
        <v>0</v>
      </c>
      <c r="AC76" s="60">
        <f t="shared" si="384"/>
        <v>0</v>
      </c>
      <c r="AD76" s="59">
        <f t="shared" si="385"/>
        <v>0</v>
      </c>
      <c r="AE76" s="60">
        <f t="shared" si="386"/>
        <v>0</v>
      </c>
      <c r="AF76" s="59">
        <f t="shared" si="387"/>
        <v>0</v>
      </c>
      <c r="AG76" s="60">
        <f t="shared" si="388"/>
        <v>0</v>
      </c>
      <c r="AH76" s="59">
        <f t="shared" si="389"/>
        <v>0</v>
      </c>
      <c r="AI76" s="55">
        <f t="shared" si="390"/>
        <v>0</v>
      </c>
      <c r="AJ76" s="59">
        <f t="shared" si="391"/>
        <v>0</v>
      </c>
      <c r="AK76" s="60">
        <f t="shared" si="392"/>
        <v>0</v>
      </c>
      <c r="AL76" s="59">
        <f t="shared" si="393"/>
        <v>0</v>
      </c>
      <c r="AM76" s="60">
        <f t="shared" si="394"/>
        <v>0</v>
      </c>
      <c r="AN76" s="59">
        <f t="shared" si="395"/>
        <v>0</v>
      </c>
      <c r="AO76" s="60">
        <f t="shared" si="396"/>
        <v>0</v>
      </c>
      <c r="AP76" s="59">
        <f t="shared" si="397"/>
        <v>0</v>
      </c>
      <c r="AQ76" s="60">
        <f t="shared" si="398"/>
        <v>0</v>
      </c>
      <c r="AR76" s="59">
        <f t="shared" si="399"/>
        <v>0</v>
      </c>
      <c r="AS76" s="55">
        <f t="shared" si="400"/>
        <v>0</v>
      </c>
      <c r="AT76" s="59">
        <f t="shared" si="401"/>
        <v>0</v>
      </c>
      <c r="AU76" s="60">
        <f t="shared" si="402"/>
        <v>0</v>
      </c>
      <c r="AV76" s="59">
        <f t="shared" si="403"/>
        <v>0</v>
      </c>
      <c r="AW76" s="60">
        <f t="shared" si="404"/>
        <v>0</v>
      </c>
      <c r="AX76" s="59">
        <f t="shared" si="405"/>
        <v>0</v>
      </c>
      <c r="AY76" s="55">
        <f t="shared" si="406"/>
        <v>0</v>
      </c>
      <c r="AZ76" s="59">
        <f t="shared" si="407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08"/>
        <v>0.91</v>
      </c>
      <c r="BH76" s="55">
        <f t="shared" si="408"/>
        <v>0.89</v>
      </c>
      <c r="BI76" s="55">
        <f t="shared" si="408"/>
        <v>0.87</v>
      </c>
      <c r="BJ76" s="55">
        <f t="shared" si="408"/>
        <v>0.85</v>
      </c>
      <c r="BK76" s="55">
        <f t="shared" si="408"/>
        <v>0.83</v>
      </c>
      <c r="BL76" s="55">
        <f t="shared" si="408"/>
        <v>0.80999999999999994</v>
      </c>
      <c r="BM76" s="55">
        <f t="shared" si="408"/>
        <v>0.78999999999999992</v>
      </c>
      <c r="BN76" s="55">
        <f t="shared" si="408"/>
        <v>0.76999999999999991</v>
      </c>
      <c r="BO76" s="55">
        <f t="shared" si="408"/>
        <v>0.74999999999999989</v>
      </c>
      <c r="BP76" s="55">
        <f t="shared" si="408"/>
        <v>0.72999999999999987</v>
      </c>
      <c r="BQ76" s="55">
        <f t="shared" si="408"/>
        <v>0.70999999999999985</v>
      </c>
      <c r="BR76" s="55">
        <f t="shared" si="408"/>
        <v>0.68999999999999984</v>
      </c>
      <c r="BS76" s="55">
        <f t="shared" si="408"/>
        <v>0.66999999999999982</v>
      </c>
      <c r="BT76" s="55">
        <f t="shared" si="408"/>
        <v>0.6499999999999998</v>
      </c>
      <c r="BU76" s="55">
        <f t="shared" si="408"/>
        <v>0.62999999999999978</v>
      </c>
      <c r="BV76" s="55">
        <f t="shared" si="408"/>
        <v>0.60999999999999976</v>
      </c>
      <c r="BW76" s="55">
        <f t="shared" si="408"/>
        <v>0.58999999999999975</v>
      </c>
      <c r="BX76" s="55">
        <f t="shared" si="408"/>
        <v>0.56999999999999973</v>
      </c>
      <c r="BZ76" s="55">
        <f t="shared" si="88"/>
        <v>0</v>
      </c>
      <c r="CA76" s="55">
        <f t="shared" si="89"/>
        <v>0</v>
      </c>
      <c r="CB76" s="59">
        <f t="shared" si="409"/>
        <v>0</v>
      </c>
      <c r="CC76" s="55">
        <f t="shared" si="410"/>
        <v>0</v>
      </c>
      <c r="CD76" s="59">
        <f t="shared" si="411"/>
        <v>0</v>
      </c>
      <c r="CE76" s="55">
        <f t="shared" si="412"/>
        <v>0</v>
      </c>
      <c r="CF76" s="59">
        <f t="shared" si="413"/>
        <v>0</v>
      </c>
      <c r="CG76" s="55">
        <f t="shared" si="414"/>
        <v>0</v>
      </c>
      <c r="CH76" s="59">
        <f t="shared" si="415"/>
        <v>0</v>
      </c>
      <c r="CI76" s="57">
        <f t="shared" si="416"/>
        <v>0</v>
      </c>
      <c r="CJ76" s="59">
        <f t="shared" si="417"/>
        <v>0</v>
      </c>
      <c r="CK76" s="55">
        <f t="shared" si="418"/>
        <v>0</v>
      </c>
      <c r="CL76" s="59">
        <f t="shared" si="419"/>
        <v>0</v>
      </c>
      <c r="CM76" s="57">
        <f t="shared" si="420"/>
        <v>0</v>
      </c>
      <c r="CN76" s="59">
        <f t="shared" si="421"/>
        <v>0</v>
      </c>
      <c r="CO76" s="60">
        <f t="shared" si="422"/>
        <v>0</v>
      </c>
      <c r="CP76" s="59">
        <f t="shared" si="423"/>
        <v>0</v>
      </c>
      <c r="CQ76" s="57">
        <f t="shared" si="424"/>
        <v>0</v>
      </c>
      <c r="CR76" s="59">
        <f t="shared" si="425"/>
        <v>0</v>
      </c>
      <c r="CS76" s="55">
        <f t="shared" si="426"/>
        <v>0</v>
      </c>
      <c r="CT76" s="59">
        <f t="shared" si="427"/>
        <v>0</v>
      </c>
      <c r="CU76" s="60">
        <f t="shared" si="428"/>
        <v>0</v>
      </c>
      <c r="CV76" s="59">
        <f t="shared" si="429"/>
        <v>0</v>
      </c>
      <c r="CW76" s="60">
        <f t="shared" si="430"/>
        <v>0</v>
      </c>
      <c r="CX76" s="59">
        <f t="shared" si="431"/>
        <v>0</v>
      </c>
      <c r="CY76" s="60">
        <f t="shared" si="432"/>
        <v>0</v>
      </c>
      <c r="CZ76" s="59">
        <f t="shared" si="433"/>
        <v>0</v>
      </c>
      <c r="DA76" s="55">
        <f t="shared" si="434"/>
        <v>0</v>
      </c>
      <c r="DB76" s="59">
        <f t="shared" si="435"/>
        <v>0</v>
      </c>
      <c r="DC76" s="60">
        <f t="shared" si="436"/>
        <v>0</v>
      </c>
      <c r="DD76" s="59">
        <f t="shared" si="437"/>
        <v>0</v>
      </c>
      <c r="DE76" s="60">
        <f t="shared" si="438"/>
        <v>0</v>
      </c>
      <c r="DF76" s="59">
        <f t="shared" si="439"/>
        <v>0</v>
      </c>
      <c r="DG76" s="60">
        <f t="shared" si="440"/>
        <v>0</v>
      </c>
      <c r="DH76" s="59">
        <f t="shared" si="441"/>
        <v>0</v>
      </c>
      <c r="DI76" s="60">
        <f t="shared" si="442"/>
        <v>0</v>
      </c>
      <c r="DJ76" s="59">
        <f t="shared" si="443"/>
        <v>0</v>
      </c>
      <c r="DK76" s="55">
        <f t="shared" si="444"/>
        <v>0</v>
      </c>
      <c r="DL76" s="59">
        <f t="shared" si="445"/>
        <v>0</v>
      </c>
      <c r="DM76" s="60">
        <f t="shared" si="446"/>
        <v>0</v>
      </c>
      <c r="DN76" s="59">
        <f t="shared" si="447"/>
        <v>0</v>
      </c>
      <c r="DO76" s="60">
        <f t="shared" si="448"/>
        <v>0</v>
      </c>
      <c r="DP76" s="59">
        <f t="shared" si="449"/>
        <v>0</v>
      </c>
      <c r="DQ76" s="55">
        <f t="shared" si="450"/>
        <v>0</v>
      </c>
      <c r="DR76" s="59">
        <f t="shared" si="451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497"/>
        <v>0.91</v>
      </c>
      <c r="DZ76" s="55">
        <f t="shared" si="497"/>
        <v>0.89</v>
      </c>
      <c r="EA76" s="55">
        <f t="shared" si="497"/>
        <v>0.87</v>
      </c>
      <c r="EB76" s="55">
        <f t="shared" si="497"/>
        <v>0.85</v>
      </c>
      <c r="EC76" s="55">
        <f t="shared" si="497"/>
        <v>0.83</v>
      </c>
      <c r="ED76" s="55">
        <f t="shared" si="497"/>
        <v>0.80999999999999994</v>
      </c>
      <c r="EE76" s="55">
        <f t="shared" si="497"/>
        <v>0.78999999999999992</v>
      </c>
      <c r="EF76" s="55">
        <f t="shared" si="497"/>
        <v>0.76999999999999991</v>
      </c>
      <c r="EG76" s="55">
        <f t="shared" si="497"/>
        <v>0.74999999999999989</v>
      </c>
      <c r="EH76" s="55">
        <f t="shared" si="497"/>
        <v>0.72999999999999987</v>
      </c>
      <c r="EI76" s="55">
        <f t="shared" si="497"/>
        <v>0.70999999999999985</v>
      </c>
      <c r="EJ76" s="55">
        <f t="shared" si="497"/>
        <v>0.68999999999999984</v>
      </c>
      <c r="EK76" s="55">
        <f t="shared" si="497"/>
        <v>0.66999999999999982</v>
      </c>
      <c r="EL76" s="55">
        <f t="shared" si="497"/>
        <v>0.6499999999999998</v>
      </c>
      <c r="EM76" s="55">
        <f t="shared" si="497"/>
        <v>0.62999999999999978</v>
      </c>
      <c r="EN76" s="55">
        <f t="shared" si="497"/>
        <v>0.60999999999999976</v>
      </c>
      <c r="EO76" s="55">
        <f t="shared" si="497"/>
        <v>0.58999999999999975</v>
      </c>
      <c r="EP76" s="55">
        <f t="shared" si="497"/>
        <v>0.56999999999999973</v>
      </c>
      <c r="ER76" s="55">
        <f t="shared" si="142"/>
        <v>0</v>
      </c>
      <c r="ES76" s="55">
        <f t="shared" si="116"/>
        <v>0</v>
      </c>
      <c r="ET76" s="59">
        <f t="shared" si="453"/>
        <v>0</v>
      </c>
      <c r="EU76" s="55">
        <f t="shared" si="454"/>
        <v>0</v>
      </c>
      <c r="EV76" s="59">
        <f t="shared" si="455"/>
        <v>0</v>
      </c>
      <c r="EW76" s="55">
        <f t="shared" si="456"/>
        <v>0</v>
      </c>
      <c r="EX76" s="59">
        <f t="shared" si="457"/>
        <v>0</v>
      </c>
      <c r="EY76" s="55">
        <f t="shared" si="458"/>
        <v>0</v>
      </c>
      <c r="EZ76" s="59">
        <f t="shared" si="459"/>
        <v>0</v>
      </c>
      <c r="FA76" s="57">
        <f t="shared" si="460"/>
        <v>0</v>
      </c>
      <c r="FB76" s="59">
        <f t="shared" si="461"/>
        <v>0</v>
      </c>
      <c r="FC76" s="55">
        <f t="shared" si="462"/>
        <v>0</v>
      </c>
      <c r="FD76" s="59">
        <f t="shared" si="463"/>
        <v>0</v>
      </c>
      <c r="FE76" s="57">
        <f t="shared" si="464"/>
        <v>0</v>
      </c>
      <c r="FF76" s="59">
        <f t="shared" si="465"/>
        <v>0</v>
      </c>
      <c r="FG76" s="60">
        <f t="shared" si="466"/>
        <v>0</v>
      </c>
      <c r="FH76" s="59">
        <f t="shared" si="467"/>
        <v>0</v>
      </c>
      <c r="FI76" s="57">
        <f t="shared" si="468"/>
        <v>0</v>
      </c>
      <c r="FJ76" s="59">
        <f t="shared" si="469"/>
        <v>0</v>
      </c>
      <c r="FK76" s="55">
        <f t="shared" si="470"/>
        <v>0</v>
      </c>
      <c r="FL76" s="59">
        <f t="shared" si="471"/>
        <v>0</v>
      </c>
      <c r="FM76" s="60">
        <f t="shared" si="472"/>
        <v>0</v>
      </c>
      <c r="FN76" s="59">
        <f t="shared" si="473"/>
        <v>0</v>
      </c>
      <c r="FO76" s="60">
        <f t="shared" si="474"/>
        <v>0</v>
      </c>
      <c r="FP76" s="59">
        <f t="shared" si="475"/>
        <v>0</v>
      </c>
      <c r="FQ76" s="60">
        <f t="shared" si="476"/>
        <v>0</v>
      </c>
      <c r="FR76" s="59">
        <f t="shared" si="477"/>
        <v>0</v>
      </c>
      <c r="FS76" s="55">
        <f t="shared" si="478"/>
        <v>0</v>
      </c>
      <c r="FT76" s="59">
        <f t="shared" si="479"/>
        <v>0</v>
      </c>
      <c r="FU76" s="60">
        <f t="shared" si="480"/>
        <v>0</v>
      </c>
      <c r="FV76" s="59">
        <f t="shared" si="481"/>
        <v>0</v>
      </c>
      <c r="FW76" s="60">
        <f t="shared" si="482"/>
        <v>0</v>
      </c>
      <c r="FX76" s="59">
        <f t="shared" si="483"/>
        <v>0</v>
      </c>
      <c r="FY76" s="60">
        <f t="shared" si="484"/>
        <v>0</v>
      </c>
      <c r="FZ76" s="59">
        <f t="shared" si="485"/>
        <v>0</v>
      </c>
      <c r="GA76" s="60">
        <f t="shared" si="486"/>
        <v>0</v>
      </c>
      <c r="GB76" s="59">
        <f t="shared" si="487"/>
        <v>0</v>
      </c>
      <c r="GC76" s="55">
        <f t="shared" si="488"/>
        <v>0</v>
      </c>
      <c r="GD76" s="59">
        <f t="shared" si="489"/>
        <v>0</v>
      </c>
      <c r="GE76" s="60">
        <f t="shared" si="490"/>
        <v>0</v>
      </c>
      <c r="GF76" s="59">
        <f t="shared" si="491"/>
        <v>0</v>
      </c>
      <c r="GG76" s="60">
        <f t="shared" si="492"/>
        <v>0</v>
      </c>
      <c r="GH76" s="59">
        <f t="shared" si="493"/>
        <v>0</v>
      </c>
      <c r="GI76" s="55">
        <f t="shared" si="494"/>
        <v>0</v>
      </c>
      <c r="GJ76" s="59">
        <f t="shared" si="495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498"/>
        <v>0.91</v>
      </c>
      <c r="GR76" s="55">
        <f t="shared" si="498"/>
        <v>0.89</v>
      </c>
      <c r="GS76" s="55">
        <f t="shared" si="498"/>
        <v>0.87</v>
      </c>
      <c r="GT76" s="55">
        <f t="shared" si="498"/>
        <v>0.85</v>
      </c>
      <c r="GU76" s="55">
        <f t="shared" si="498"/>
        <v>0.83</v>
      </c>
      <c r="GV76" s="55">
        <f t="shared" si="498"/>
        <v>0.80999999999999994</v>
      </c>
      <c r="GW76" s="55">
        <f t="shared" si="498"/>
        <v>0.78999999999999992</v>
      </c>
      <c r="GX76" s="55">
        <f t="shared" si="498"/>
        <v>0.76999999999999991</v>
      </c>
      <c r="GY76" s="55">
        <f t="shared" si="498"/>
        <v>0.74999999999999989</v>
      </c>
      <c r="GZ76" s="55">
        <f t="shared" si="498"/>
        <v>0.72999999999999987</v>
      </c>
      <c r="HA76" s="55">
        <f t="shared" si="498"/>
        <v>0.70999999999999985</v>
      </c>
      <c r="HB76" s="55">
        <f t="shared" si="498"/>
        <v>0.68999999999999984</v>
      </c>
      <c r="HC76" s="55">
        <f t="shared" si="498"/>
        <v>0.66999999999999982</v>
      </c>
      <c r="HD76" s="55">
        <f t="shared" si="498"/>
        <v>0.6499999999999998</v>
      </c>
      <c r="HE76" s="55">
        <f t="shared" si="498"/>
        <v>0.62999999999999978</v>
      </c>
      <c r="HF76" s="55">
        <f t="shared" si="498"/>
        <v>0.60999999999999976</v>
      </c>
      <c r="HG76" s="55">
        <f t="shared" si="498"/>
        <v>0.58999999999999975</v>
      </c>
      <c r="HH76" s="55">
        <f t="shared" si="498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65"/>
        <v>0</v>
      </c>
      <c r="H77" s="55">
        <f t="shared" si="61"/>
        <v>0</v>
      </c>
      <c r="I77" s="55">
        <f t="shared" si="62"/>
        <v>0</v>
      </c>
      <c r="J77" s="59">
        <f t="shared" si="63"/>
        <v>0</v>
      </c>
      <c r="K77" s="55">
        <f t="shared" si="366"/>
        <v>0</v>
      </c>
      <c r="L77" s="59">
        <f t="shared" si="367"/>
        <v>0</v>
      </c>
      <c r="M77" s="55">
        <f t="shared" si="368"/>
        <v>0</v>
      </c>
      <c r="N77" s="59">
        <f t="shared" si="369"/>
        <v>0</v>
      </c>
      <c r="O77" s="55">
        <f t="shared" si="370"/>
        <v>0</v>
      </c>
      <c r="P77" s="59">
        <f t="shared" si="371"/>
        <v>0</v>
      </c>
      <c r="Q77" s="57">
        <f t="shared" si="372"/>
        <v>0</v>
      </c>
      <c r="R77" s="59">
        <f t="shared" si="373"/>
        <v>0</v>
      </c>
      <c r="S77" s="55">
        <f t="shared" si="374"/>
        <v>0</v>
      </c>
      <c r="T77" s="59">
        <f t="shared" si="375"/>
        <v>0</v>
      </c>
      <c r="U77" s="57">
        <f t="shared" si="376"/>
        <v>0</v>
      </c>
      <c r="V77" s="59">
        <f t="shared" si="377"/>
        <v>0</v>
      </c>
      <c r="W77" s="60">
        <f t="shared" si="378"/>
        <v>0</v>
      </c>
      <c r="X77" s="59">
        <f t="shared" si="379"/>
        <v>0</v>
      </c>
      <c r="Y77" s="57">
        <f t="shared" si="380"/>
        <v>0</v>
      </c>
      <c r="Z77" s="59">
        <f t="shared" si="381"/>
        <v>0</v>
      </c>
      <c r="AA77" s="55">
        <f t="shared" si="382"/>
        <v>0</v>
      </c>
      <c r="AB77" s="59">
        <f t="shared" si="383"/>
        <v>0</v>
      </c>
      <c r="AC77" s="60">
        <f t="shared" si="384"/>
        <v>0</v>
      </c>
      <c r="AD77" s="59">
        <f t="shared" si="385"/>
        <v>0</v>
      </c>
      <c r="AE77" s="60">
        <f t="shared" si="386"/>
        <v>0</v>
      </c>
      <c r="AF77" s="59">
        <f t="shared" si="387"/>
        <v>0</v>
      </c>
      <c r="AG77" s="60">
        <f t="shared" si="388"/>
        <v>0</v>
      </c>
      <c r="AH77" s="59">
        <f t="shared" si="389"/>
        <v>0</v>
      </c>
      <c r="AI77" s="55">
        <f t="shared" si="390"/>
        <v>0</v>
      </c>
      <c r="AJ77" s="59">
        <f t="shared" si="391"/>
        <v>0</v>
      </c>
      <c r="AK77" s="60">
        <f t="shared" si="392"/>
        <v>0</v>
      </c>
      <c r="AL77" s="59">
        <f t="shared" si="393"/>
        <v>0</v>
      </c>
      <c r="AM77" s="60">
        <f t="shared" si="394"/>
        <v>0</v>
      </c>
      <c r="AN77" s="59">
        <f t="shared" si="395"/>
        <v>0</v>
      </c>
      <c r="AO77" s="60">
        <f t="shared" si="396"/>
        <v>0</v>
      </c>
      <c r="AP77" s="59">
        <f t="shared" si="397"/>
        <v>0</v>
      </c>
      <c r="AQ77" s="60">
        <f t="shared" si="398"/>
        <v>0</v>
      </c>
      <c r="AR77" s="59">
        <f t="shared" si="399"/>
        <v>0</v>
      </c>
      <c r="AS77" s="55">
        <f t="shared" si="400"/>
        <v>0</v>
      </c>
      <c r="AT77" s="59">
        <f t="shared" si="401"/>
        <v>0</v>
      </c>
      <c r="AU77" s="60">
        <f t="shared" si="402"/>
        <v>0</v>
      </c>
      <c r="AV77" s="59">
        <f t="shared" si="403"/>
        <v>0</v>
      </c>
      <c r="AW77" s="60">
        <f t="shared" si="404"/>
        <v>0</v>
      </c>
      <c r="AX77" s="59">
        <f t="shared" si="405"/>
        <v>0</v>
      </c>
      <c r="AY77" s="55">
        <f t="shared" si="406"/>
        <v>0</v>
      </c>
      <c r="AZ77" s="59">
        <f t="shared" si="407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08"/>
        <v>0.91</v>
      </c>
      <c r="BH77" s="55">
        <f t="shared" si="408"/>
        <v>0.89</v>
      </c>
      <c r="BI77" s="55">
        <f t="shared" si="408"/>
        <v>0.87</v>
      </c>
      <c r="BJ77" s="55">
        <f t="shared" ref="BJ77:BX77" si="499">+BI77-0.02</f>
        <v>0.85</v>
      </c>
      <c r="BK77" s="55">
        <f t="shared" si="499"/>
        <v>0.83</v>
      </c>
      <c r="BL77" s="55">
        <f t="shared" si="499"/>
        <v>0.80999999999999994</v>
      </c>
      <c r="BM77" s="55">
        <f t="shared" si="499"/>
        <v>0.78999999999999992</v>
      </c>
      <c r="BN77" s="55">
        <f t="shared" si="499"/>
        <v>0.76999999999999991</v>
      </c>
      <c r="BO77" s="55">
        <f t="shared" si="499"/>
        <v>0.74999999999999989</v>
      </c>
      <c r="BP77" s="55">
        <f t="shared" si="499"/>
        <v>0.72999999999999987</v>
      </c>
      <c r="BQ77" s="55">
        <f t="shared" si="499"/>
        <v>0.70999999999999985</v>
      </c>
      <c r="BR77" s="55">
        <f t="shared" si="499"/>
        <v>0.68999999999999984</v>
      </c>
      <c r="BS77" s="55">
        <f t="shared" si="499"/>
        <v>0.66999999999999982</v>
      </c>
      <c r="BT77" s="55">
        <f t="shared" si="499"/>
        <v>0.6499999999999998</v>
      </c>
      <c r="BU77" s="55">
        <f t="shared" si="499"/>
        <v>0.62999999999999978</v>
      </c>
      <c r="BV77" s="55">
        <f t="shared" si="499"/>
        <v>0.60999999999999976</v>
      </c>
      <c r="BW77" s="55">
        <f t="shared" si="499"/>
        <v>0.58999999999999975</v>
      </c>
      <c r="BX77" s="55">
        <f t="shared" si="499"/>
        <v>0.56999999999999973</v>
      </c>
      <c r="BZ77" s="55">
        <f t="shared" si="88"/>
        <v>0</v>
      </c>
      <c r="CA77" s="55">
        <f t="shared" si="89"/>
        <v>0</v>
      </c>
      <c r="CB77" s="59">
        <f t="shared" si="409"/>
        <v>0</v>
      </c>
      <c r="CC77" s="55">
        <f t="shared" si="410"/>
        <v>0</v>
      </c>
      <c r="CD77" s="59">
        <f t="shared" si="411"/>
        <v>0</v>
      </c>
      <c r="CE77" s="55">
        <f t="shared" si="412"/>
        <v>0</v>
      </c>
      <c r="CF77" s="59">
        <f t="shared" si="413"/>
        <v>0</v>
      </c>
      <c r="CG77" s="55">
        <f t="shared" si="414"/>
        <v>0</v>
      </c>
      <c r="CH77" s="59">
        <f t="shared" si="415"/>
        <v>0</v>
      </c>
      <c r="CI77" s="57">
        <f t="shared" si="416"/>
        <v>0</v>
      </c>
      <c r="CJ77" s="59">
        <f t="shared" si="417"/>
        <v>0</v>
      </c>
      <c r="CK77" s="55">
        <f t="shared" si="418"/>
        <v>0</v>
      </c>
      <c r="CL77" s="59">
        <f t="shared" si="419"/>
        <v>0</v>
      </c>
      <c r="CM77" s="57">
        <f t="shared" si="420"/>
        <v>0</v>
      </c>
      <c r="CN77" s="59">
        <f t="shared" si="421"/>
        <v>0</v>
      </c>
      <c r="CO77" s="60">
        <f t="shared" si="422"/>
        <v>0</v>
      </c>
      <c r="CP77" s="59">
        <f t="shared" si="423"/>
        <v>0</v>
      </c>
      <c r="CQ77" s="57">
        <f t="shared" si="424"/>
        <v>0</v>
      </c>
      <c r="CR77" s="59">
        <f t="shared" si="425"/>
        <v>0</v>
      </c>
      <c r="CS77" s="55">
        <f t="shared" si="426"/>
        <v>0</v>
      </c>
      <c r="CT77" s="59">
        <f t="shared" si="427"/>
        <v>0</v>
      </c>
      <c r="CU77" s="60">
        <f t="shared" si="428"/>
        <v>0</v>
      </c>
      <c r="CV77" s="59">
        <f t="shared" si="429"/>
        <v>0</v>
      </c>
      <c r="CW77" s="60">
        <f t="shared" si="430"/>
        <v>0</v>
      </c>
      <c r="CX77" s="59">
        <f t="shared" si="431"/>
        <v>0</v>
      </c>
      <c r="CY77" s="60">
        <f t="shared" si="432"/>
        <v>0</v>
      </c>
      <c r="CZ77" s="59">
        <f t="shared" si="433"/>
        <v>0</v>
      </c>
      <c r="DA77" s="55">
        <f t="shared" si="434"/>
        <v>0</v>
      </c>
      <c r="DB77" s="59">
        <f t="shared" si="435"/>
        <v>0</v>
      </c>
      <c r="DC77" s="60">
        <f t="shared" si="436"/>
        <v>0</v>
      </c>
      <c r="DD77" s="59">
        <f t="shared" si="437"/>
        <v>0</v>
      </c>
      <c r="DE77" s="60">
        <f t="shared" si="438"/>
        <v>0</v>
      </c>
      <c r="DF77" s="59">
        <f t="shared" si="439"/>
        <v>0</v>
      </c>
      <c r="DG77" s="60">
        <f t="shared" si="440"/>
        <v>0</v>
      </c>
      <c r="DH77" s="59">
        <f t="shared" si="441"/>
        <v>0</v>
      </c>
      <c r="DI77" s="60">
        <f t="shared" si="442"/>
        <v>0</v>
      </c>
      <c r="DJ77" s="59">
        <f t="shared" si="443"/>
        <v>0</v>
      </c>
      <c r="DK77" s="55">
        <f t="shared" si="444"/>
        <v>0</v>
      </c>
      <c r="DL77" s="59">
        <f t="shared" si="445"/>
        <v>0</v>
      </c>
      <c r="DM77" s="60">
        <f t="shared" si="446"/>
        <v>0</v>
      </c>
      <c r="DN77" s="59">
        <f t="shared" si="447"/>
        <v>0</v>
      </c>
      <c r="DO77" s="60">
        <f t="shared" si="448"/>
        <v>0</v>
      </c>
      <c r="DP77" s="59">
        <f t="shared" si="449"/>
        <v>0</v>
      </c>
      <c r="DQ77" s="55">
        <f t="shared" si="450"/>
        <v>0</v>
      </c>
      <c r="DR77" s="59">
        <f t="shared" si="451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497"/>
        <v>0.91</v>
      </c>
      <c r="DZ77" s="55">
        <f t="shared" si="497"/>
        <v>0.89</v>
      </c>
      <c r="EA77" s="55">
        <f t="shared" si="497"/>
        <v>0.87</v>
      </c>
      <c r="EB77" s="55">
        <f t="shared" si="497"/>
        <v>0.85</v>
      </c>
      <c r="EC77" s="55">
        <f t="shared" si="497"/>
        <v>0.83</v>
      </c>
      <c r="ED77" s="55">
        <f t="shared" si="497"/>
        <v>0.80999999999999994</v>
      </c>
      <c r="EE77" s="55">
        <f t="shared" si="497"/>
        <v>0.78999999999999992</v>
      </c>
      <c r="EF77" s="55">
        <f t="shared" si="497"/>
        <v>0.76999999999999991</v>
      </c>
      <c r="EG77" s="55">
        <f t="shared" si="497"/>
        <v>0.74999999999999989</v>
      </c>
      <c r="EH77" s="55">
        <f t="shared" si="497"/>
        <v>0.72999999999999987</v>
      </c>
      <c r="EI77" s="55">
        <f t="shared" si="497"/>
        <v>0.70999999999999985</v>
      </c>
      <c r="EJ77" s="55">
        <f t="shared" si="497"/>
        <v>0.68999999999999984</v>
      </c>
      <c r="EK77" s="55">
        <f t="shared" si="497"/>
        <v>0.66999999999999982</v>
      </c>
      <c r="EL77" s="55">
        <f t="shared" si="497"/>
        <v>0.6499999999999998</v>
      </c>
      <c r="EM77" s="55">
        <f t="shared" si="497"/>
        <v>0.62999999999999978</v>
      </c>
      <c r="EN77" s="55">
        <f t="shared" si="497"/>
        <v>0.60999999999999976</v>
      </c>
      <c r="EO77" s="55">
        <f t="shared" si="497"/>
        <v>0.58999999999999975</v>
      </c>
      <c r="EP77" s="55">
        <f t="shared" si="497"/>
        <v>0.56999999999999973</v>
      </c>
      <c r="ER77" s="55">
        <f t="shared" si="142"/>
        <v>0</v>
      </c>
      <c r="ES77" s="55">
        <f t="shared" si="116"/>
        <v>0</v>
      </c>
      <c r="ET77" s="59">
        <f t="shared" si="453"/>
        <v>0</v>
      </c>
      <c r="EU77" s="55">
        <f t="shared" si="454"/>
        <v>0</v>
      </c>
      <c r="EV77" s="59">
        <f t="shared" si="455"/>
        <v>0</v>
      </c>
      <c r="EW77" s="55">
        <f t="shared" si="456"/>
        <v>0</v>
      </c>
      <c r="EX77" s="59">
        <f t="shared" si="457"/>
        <v>0</v>
      </c>
      <c r="EY77" s="55">
        <f t="shared" si="458"/>
        <v>0</v>
      </c>
      <c r="EZ77" s="59">
        <f t="shared" si="459"/>
        <v>0</v>
      </c>
      <c r="FA77" s="57">
        <f t="shared" si="460"/>
        <v>0</v>
      </c>
      <c r="FB77" s="59">
        <f t="shared" si="461"/>
        <v>0</v>
      </c>
      <c r="FC77" s="55">
        <f t="shared" si="462"/>
        <v>0</v>
      </c>
      <c r="FD77" s="59">
        <f t="shared" si="463"/>
        <v>0</v>
      </c>
      <c r="FE77" s="57">
        <f t="shared" si="464"/>
        <v>0</v>
      </c>
      <c r="FF77" s="59">
        <f t="shared" si="465"/>
        <v>0</v>
      </c>
      <c r="FG77" s="60">
        <f t="shared" si="466"/>
        <v>0</v>
      </c>
      <c r="FH77" s="59">
        <f t="shared" si="467"/>
        <v>0</v>
      </c>
      <c r="FI77" s="57">
        <f t="shared" si="468"/>
        <v>0</v>
      </c>
      <c r="FJ77" s="59">
        <f t="shared" si="469"/>
        <v>0</v>
      </c>
      <c r="FK77" s="55">
        <f t="shared" si="470"/>
        <v>0</v>
      </c>
      <c r="FL77" s="59">
        <f t="shared" si="471"/>
        <v>0</v>
      </c>
      <c r="FM77" s="60">
        <f t="shared" si="472"/>
        <v>0</v>
      </c>
      <c r="FN77" s="59">
        <f t="shared" si="473"/>
        <v>0</v>
      </c>
      <c r="FO77" s="60">
        <f t="shared" si="474"/>
        <v>0</v>
      </c>
      <c r="FP77" s="59">
        <f t="shared" si="475"/>
        <v>0</v>
      </c>
      <c r="FQ77" s="60">
        <f t="shared" si="476"/>
        <v>0</v>
      </c>
      <c r="FR77" s="59">
        <f t="shared" si="477"/>
        <v>0</v>
      </c>
      <c r="FS77" s="55">
        <f t="shared" si="478"/>
        <v>0</v>
      </c>
      <c r="FT77" s="59">
        <f t="shared" si="479"/>
        <v>0</v>
      </c>
      <c r="FU77" s="60">
        <f t="shared" si="480"/>
        <v>0</v>
      </c>
      <c r="FV77" s="59">
        <f t="shared" si="481"/>
        <v>0</v>
      </c>
      <c r="FW77" s="60">
        <f t="shared" si="482"/>
        <v>0</v>
      </c>
      <c r="FX77" s="59">
        <f t="shared" si="483"/>
        <v>0</v>
      </c>
      <c r="FY77" s="60">
        <f t="shared" si="484"/>
        <v>0</v>
      </c>
      <c r="FZ77" s="59">
        <f t="shared" si="485"/>
        <v>0</v>
      </c>
      <c r="GA77" s="60">
        <f t="shared" si="486"/>
        <v>0</v>
      </c>
      <c r="GB77" s="59">
        <f t="shared" si="487"/>
        <v>0</v>
      </c>
      <c r="GC77" s="55">
        <f t="shared" si="488"/>
        <v>0</v>
      </c>
      <c r="GD77" s="59">
        <f t="shared" si="489"/>
        <v>0</v>
      </c>
      <c r="GE77" s="60">
        <f t="shared" si="490"/>
        <v>0</v>
      </c>
      <c r="GF77" s="59">
        <f t="shared" si="491"/>
        <v>0</v>
      </c>
      <c r="GG77" s="60">
        <f t="shared" si="492"/>
        <v>0</v>
      </c>
      <c r="GH77" s="59">
        <f t="shared" si="493"/>
        <v>0</v>
      </c>
      <c r="GI77" s="55">
        <f t="shared" si="494"/>
        <v>0</v>
      </c>
      <c r="GJ77" s="59">
        <f t="shared" si="495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498"/>
        <v>0.91</v>
      </c>
      <c r="GR77" s="55">
        <f t="shared" si="498"/>
        <v>0.89</v>
      </c>
      <c r="GS77" s="55">
        <f t="shared" si="498"/>
        <v>0.87</v>
      </c>
      <c r="GT77" s="55">
        <f t="shared" si="498"/>
        <v>0.85</v>
      </c>
      <c r="GU77" s="55">
        <f t="shared" si="498"/>
        <v>0.83</v>
      </c>
      <c r="GV77" s="55">
        <f t="shared" si="498"/>
        <v>0.80999999999999994</v>
      </c>
      <c r="GW77" s="55">
        <f t="shared" si="498"/>
        <v>0.78999999999999992</v>
      </c>
      <c r="GX77" s="55">
        <f t="shared" si="498"/>
        <v>0.76999999999999991</v>
      </c>
      <c r="GY77" s="55">
        <f t="shared" si="498"/>
        <v>0.74999999999999989</v>
      </c>
      <c r="GZ77" s="55">
        <f t="shared" si="498"/>
        <v>0.72999999999999987</v>
      </c>
      <c r="HA77" s="55">
        <f t="shared" si="498"/>
        <v>0.70999999999999985</v>
      </c>
      <c r="HB77" s="55">
        <f t="shared" si="498"/>
        <v>0.68999999999999984</v>
      </c>
      <c r="HC77" s="55">
        <f t="shared" si="498"/>
        <v>0.66999999999999982</v>
      </c>
      <c r="HD77" s="55">
        <f t="shared" si="498"/>
        <v>0.6499999999999998</v>
      </c>
      <c r="HE77" s="55">
        <f t="shared" si="498"/>
        <v>0.62999999999999978</v>
      </c>
      <c r="HF77" s="55">
        <f t="shared" si="498"/>
        <v>0.60999999999999976</v>
      </c>
      <c r="HG77" s="55">
        <f t="shared" si="498"/>
        <v>0.58999999999999975</v>
      </c>
      <c r="HH77" s="55">
        <f t="shared" si="498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65"/>
        <v>0</v>
      </c>
      <c r="H78" s="55">
        <f t="shared" si="61"/>
        <v>0</v>
      </c>
      <c r="I78" s="55">
        <f t="shared" si="62"/>
        <v>0</v>
      </c>
      <c r="J78" s="59">
        <f t="shared" si="63"/>
        <v>0</v>
      </c>
      <c r="K78" s="55">
        <f t="shared" si="366"/>
        <v>0</v>
      </c>
      <c r="L78" s="59">
        <f t="shared" si="367"/>
        <v>0</v>
      </c>
      <c r="M78" s="55">
        <f t="shared" si="368"/>
        <v>0</v>
      </c>
      <c r="N78" s="59">
        <f t="shared" si="369"/>
        <v>0</v>
      </c>
      <c r="O78" s="55">
        <f t="shared" si="370"/>
        <v>0</v>
      </c>
      <c r="P78" s="59">
        <f t="shared" si="371"/>
        <v>0</v>
      </c>
      <c r="Q78" s="57">
        <f t="shared" si="372"/>
        <v>0</v>
      </c>
      <c r="R78" s="59">
        <f t="shared" si="373"/>
        <v>0</v>
      </c>
      <c r="S78" s="55">
        <f t="shared" si="374"/>
        <v>0</v>
      </c>
      <c r="T78" s="59">
        <f t="shared" si="375"/>
        <v>0</v>
      </c>
      <c r="U78" s="57">
        <f t="shared" si="376"/>
        <v>0</v>
      </c>
      <c r="V78" s="59">
        <f t="shared" si="377"/>
        <v>0</v>
      </c>
      <c r="W78" s="60">
        <f t="shared" si="378"/>
        <v>0</v>
      </c>
      <c r="X78" s="59">
        <f t="shared" si="379"/>
        <v>0</v>
      </c>
      <c r="Y78" s="57">
        <f t="shared" si="380"/>
        <v>0</v>
      </c>
      <c r="Z78" s="59">
        <f t="shared" si="381"/>
        <v>0</v>
      </c>
      <c r="AA78" s="55">
        <f t="shared" si="382"/>
        <v>0</v>
      </c>
      <c r="AB78" s="59">
        <f t="shared" si="383"/>
        <v>0</v>
      </c>
      <c r="AC78" s="60">
        <f t="shared" si="384"/>
        <v>0</v>
      </c>
      <c r="AD78" s="59">
        <f t="shared" si="385"/>
        <v>0</v>
      </c>
      <c r="AE78" s="60">
        <f t="shared" si="386"/>
        <v>0</v>
      </c>
      <c r="AF78" s="59">
        <f t="shared" si="387"/>
        <v>0</v>
      </c>
      <c r="AG78" s="60">
        <f t="shared" si="388"/>
        <v>0</v>
      </c>
      <c r="AH78" s="59">
        <f t="shared" si="389"/>
        <v>0</v>
      </c>
      <c r="AI78" s="55">
        <f t="shared" si="390"/>
        <v>0</v>
      </c>
      <c r="AJ78" s="59">
        <f t="shared" si="391"/>
        <v>0</v>
      </c>
      <c r="AK78" s="60">
        <f t="shared" si="392"/>
        <v>0</v>
      </c>
      <c r="AL78" s="59">
        <f t="shared" si="393"/>
        <v>0</v>
      </c>
      <c r="AM78" s="60">
        <f t="shared" si="394"/>
        <v>0</v>
      </c>
      <c r="AN78" s="59">
        <f t="shared" si="395"/>
        <v>0</v>
      </c>
      <c r="AO78" s="60">
        <f t="shared" si="396"/>
        <v>0</v>
      </c>
      <c r="AP78" s="59">
        <f t="shared" si="397"/>
        <v>0</v>
      </c>
      <c r="AQ78" s="60">
        <f t="shared" si="398"/>
        <v>0</v>
      </c>
      <c r="AR78" s="59">
        <f t="shared" si="399"/>
        <v>0</v>
      </c>
      <c r="AS78" s="55">
        <f t="shared" si="400"/>
        <v>0</v>
      </c>
      <c r="AT78" s="59">
        <f t="shared" si="401"/>
        <v>0</v>
      </c>
      <c r="AU78" s="60">
        <f t="shared" si="402"/>
        <v>0</v>
      </c>
      <c r="AV78" s="59">
        <f t="shared" si="403"/>
        <v>0</v>
      </c>
      <c r="AW78" s="60">
        <f t="shared" si="404"/>
        <v>0</v>
      </c>
      <c r="AX78" s="59">
        <f t="shared" si="405"/>
        <v>0</v>
      </c>
      <c r="AY78" s="55">
        <f t="shared" si="406"/>
        <v>0</v>
      </c>
      <c r="AZ78" s="59">
        <f t="shared" si="407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0">+BF78-0.02</f>
        <v>0.91</v>
      </c>
      <c r="BH78" s="55">
        <f t="shared" si="500"/>
        <v>0.89</v>
      </c>
      <c r="BI78" s="55">
        <f t="shared" si="500"/>
        <v>0.87</v>
      </c>
      <c r="BJ78" s="55">
        <f t="shared" si="500"/>
        <v>0.85</v>
      </c>
      <c r="BK78" s="55">
        <f t="shared" si="500"/>
        <v>0.83</v>
      </c>
      <c r="BL78" s="55">
        <f t="shared" si="500"/>
        <v>0.80999999999999994</v>
      </c>
      <c r="BM78" s="55">
        <f t="shared" si="500"/>
        <v>0.78999999999999992</v>
      </c>
      <c r="BN78" s="55">
        <f t="shared" si="500"/>
        <v>0.76999999999999991</v>
      </c>
      <c r="BO78" s="55">
        <f t="shared" si="500"/>
        <v>0.74999999999999989</v>
      </c>
      <c r="BP78" s="55">
        <f t="shared" si="500"/>
        <v>0.72999999999999987</v>
      </c>
      <c r="BQ78" s="55">
        <f t="shared" si="500"/>
        <v>0.70999999999999985</v>
      </c>
      <c r="BR78" s="55">
        <f t="shared" si="500"/>
        <v>0.68999999999999984</v>
      </c>
      <c r="BS78" s="55">
        <f t="shared" si="500"/>
        <v>0.66999999999999982</v>
      </c>
      <c r="BT78" s="55">
        <f t="shared" si="500"/>
        <v>0.6499999999999998</v>
      </c>
      <c r="BU78" s="55">
        <f t="shared" si="500"/>
        <v>0.62999999999999978</v>
      </c>
      <c r="BV78" s="55">
        <f t="shared" si="500"/>
        <v>0.60999999999999976</v>
      </c>
      <c r="BW78" s="55">
        <f t="shared" si="500"/>
        <v>0.58999999999999975</v>
      </c>
      <c r="BX78" s="55">
        <f t="shared" si="500"/>
        <v>0.56999999999999973</v>
      </c>
      <c r="BZ78" s="55">
        <f t="shared" si="88"/>
        <v>0</v>
      </c>
      <c r="CA78" s="55">
        <f t="shared" si="89"/>
        <v>0</v>
      </c>
      <c r="CB78" s="59">
        <f t="shared" si="409"/>
        <v>0</v>
      </c>
      <c r="CC78" s="55">
        <f t="shared" si="410"/>
        <v>0</v>
      </c>
      <c r="CD78" s="59">
        <f t="shared" si="411"/>
        <v>0</v>
      </c>
      <c r="CE78" s="55">
        <f t="shared" si="412"/>
        <v>0</v>
      </c>
      <c r="CF78" s="59">
        <f t="shared" si="413"/>
        <v>0</v>
      </c>
      <c r="CG78" s="55">
        <f t="shared" si="414"/>
        <v>0</v>
      </c>
      <c r="CH78" s="59">
        <f t="shared" si="415"/>
        <v>0</v>
      </c>
      <c r="CI78" s="57">
        <f t="shared" si="416"/>
        <v>0</v>
      </c>
      <c r="CJ78" s="59">
        <f t="shared" si="417"/>
        <v>0</v>
      </c>
      <c r="CK78" s="55">
        <f t="shared" si="418"/>
        <v>0</v>
      </c>
      <c r="CL78" s="59">
        <f t="shared" si="419"/>
        <v>0</v>
      </c>
      <c r="CM78" s="57">
        <f t="shared" si="420"/>
        <v>0</v>
      </c>
      <c r="CN78" s="59">
        <f t="shared" si="421"/>
        <v>0</v>
      </c>
      <c r="CO78" s="60">
        <f t="shared" si="422"/>
        <v>0</v>
      </c>
      <c r="CP78" s="59">
        <f t="shared" si="423"/>
        <v>0</v>
      </c>
      <c r="CQ78" s="57">
        <f t="shared" si="424"/>
        <v>0</v>
      </c>
      <c r="CR78" s="59">
        <f t="shared" si="425"/>
        <v>0</v>
      </c>
      <c r="CS78" s="55">
        <f t="shared" si="426"/>
        <v>0</v>
      </c>
      <c r="CT78" s="59">
        <f t="shared" si="427"/>
        <v>0</v>
      </c>
      <c r="CU78" s="60">
        <f t="shared" si="428"/>
        <v>0</v>
      </c>
      <c r="CV78" s="59">
        <f t="shared" si="429"/>
        <v>0</v>
      </c>
      <c r="CW78" s="60">
        <f t="shared" si="430"/>
        <v>0</v>
      </c>
      <c r="CX78" s="59">
        <f t="shared" si="431"/>
        <v>0</v>
      </c>
      <c r="CY78" s="60">
        <f t="shared" si="432"/>
        <v>0</v>
      </c>
      <c r="CZ78" s="59">
        <f t="shared" si="433"/>
        <v>0</v>
      </c>
      <c r="DA78" s="55">
        <f t="shared" si="434"/>
        <v>0</v>
      </c>
      <c r="DB78" s="59">
        <f t="shared" si="435"/>
        <v>0</v>
      </c>
      <c r="DC78" s="60">
        <f t="shared" si="436"/>
        <v>0</v>
      </c>
      <c r="DD78" s="59">
        <f t="shared" si="437"/>
        <v>0</v>
      </c>
      <c r="DE78" s="60">
        <f t="shared" si="438"/>
        <v>0</v>
      </c>
      <c r="DF78" s="59">
        <f t="shared" si="439"/>
        <v>0</v>
      </c>
      <c r="DG78" s="60">
        <f t="shared" si="440"/>
        <v>0</v>
      </c>
      <c r="DH78" s="59">
        <f t="shared" si="441"/>
        <v>0</v>
      </c>
      <c r="DI78" s="60">
        <f t="shared" si="442"/>
        <v>0</v>
      </c>
      <c r="DJ78" s="59">
        <f t="shared" si="443"/>
        <v>0</v>
      </c>
      <c r="DK78" s="55">
        <f t="shared" si="444"/>
        <v>0</v>
      </c>
      <c r="DL78" s="59">
        <f t="shared" si="445"/>
        <v>0</v>
      </c>
      <c r="DM78" s="60">
        <f t="shared" si="446"/>
        <v>0</v>
      </c>
      <c r="DN78" s="59">
        <f t="shared" si="447"/>
        <v>0</v>
      </c>
      <c r="DO78" s="60">
        <f t="shared" si="448"/>
        <v>0</v>
      </c>
      <c r="DP78" s="59">
        <f t="shared" si="449"/>
        <v>0</v>
      </c>
      <c r="DQ78" s="55">
        <f t="shared" si="450"/>
        <v>0</v>
      </c>
      <c r="DR78" s="59">
        <f t="shared" si="451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497"/>
        <v>0.91</v>
      </c>
      <c r="DZ78" s="55">
        <f t="shared" si="497"/>
        <v>0.89</v>
      </c>
      <c r="EA78" s="55">
        <f t="shared" si="497"/>
        <v>0.87</v>
      </c>
      <c r="EB78" s="55">
        <f t="shared" ref="EB78:EP78" si="501">+EA78-0.02</f>
        <v>0.85</v>
      </c>
      <c r="EC78" s="55">
        <f t="shared" si="501"/>
        <v>0.83</v>
      </c>
      <c r="ED78" s="55">
        <f t="shared" si="501"/>
        <v>0.80999999999999994</v>
      </c>
      <c r="EE78" s="55">
        <f t="shared" si="501"/>
        <v>0.78999999999999992</v>
      </c>
      <c r="EF78" s="55">
        <f t="shared" si="501"/>
        <v>0.76999999999999991</v>
      </c>
      <c r="EG78" s="55">
        <f t="shared" si="501"/>
        <v>0.74999999999999989</v>
      </c>
      <c r="EH78" s="55">
        <f t="shared" si="501"/>
        <v>0.72999999999999987</v>
      </c>
      <c r="EI78" s="55">
        <f t="shared" si="501"/>
        <v>0.70999999999999985</v>
      </c>
      <c r="EJ78" s="55">
        <f t="shared" si="501"/>
        <v>0.68999999999999984</v>
      </c>
      <c r="EK78" s="55">
        <f t="shared" si="501"/>
        <v>0.66999999999999982</v>
      </c>
      <c r="EL78" s="55">
        <f t="shared" si="501"/>
        <v>0.6499999999999998</v>
      </c>
      <c r="EM78" s="55">
        <f t="shared" si="501"/>
        <v>0.62999999999999978</v>
      </c>
      <c r="EN78" s="55">
        <f t="shared" si="501"/>
        <v>0.60999999999999976</v>
      </c>
      <c r="EO78" s="55">
        <f t="shared" si="501"/>
        <v>0.58999999999999975</v>
      </c>
      <c r="EP78" s="55">
        <f t="shared" si="501"/>
        <v>0.56999999999999973</v>
      </c>
      <c r="ER78" s="55">
        <f t="shared" si="142"/>
        <v>0</v>
      </c>
      <c r="ES78" s="55">
        <f t="shared" si="116"/>
        <v>0</v>
      </c>
      <c r="ET78" s="59">
        <f t="shared" si="453"/>
        <v>0</v>
      </c>
      <c r="EU78" s="55">
        <f t="shared" si="454"/>
        <v>0</v>
      </c>
      <c r="EV78" s="59">
        <f t="shared" si="455"/>
        <v>0</v>
      </c>
      <c r="EW78" s="55">
        <f t="shared" si="456"/>
        <v>0</v>
      </c>
      <c r="EX78" s="59">
        <f t="shared" si="457"/>
        <v>0</v>
      </c>
      <c r="EY78" s="55">
        <f t="shared" si="458"/>
        <v>0</v>
      </c>
      <c r="EZ78" s="59">
        <f t="shared" si="459"/>
        <v>0</v>
      </c>
      <c r="FA78" s="57">
        <f t="shared" si="460"/>
        <v>0</v>
      </c>
      <c r="FB78" s="59">
        <f t="shared" si="461"/>
        <v>0</v>
      </c>
      <c r="FC78" s="55">
        <f t="shared" si="462"/>
        <v>0</v>
      </c>
      <c r="FD78" s="59">
        <f t="shared" si="463"/>
        <v>0</v>
      </c>
      <c r="FE78" s="57">
        <f t="shared" si="464"/>
        <v>0</v>
      </c>
      <c r="FF78" s="59">
        <f t="shared" si="465"/>
        <v>0</v>
      </c>
      <c r="FG78" s="60">
        <f t="shared" si="466"/>
        <v>0</v>
      </c>
      <c r="FH78" s="59">
        <f t="shared" si="467"/>
        <v>0</v>
      </c>
      <c r="FI78" s="57">
        <f t="shared" si="468"/>
        <v>0</v>
      </c>
      <c r="FJ78" s="59">
        <f t="shared" si="469"/>
        <v>0</v>
      </c>
      <c r="FK78" s="55">
        <f t="shared" si="470"/>
        <v>0</v>
      </c>
      <c r="FL78" s="59">
        <f t="shared" si="471"/>
        <v>0</v>
      </c>
      <c r="FM78" s="60">
        <f t="shared" si="472"/>
        <v>0</v>
      </c>
      <c r="FN78" s="59">
        <f t="shared" si="473"/>
        <v>0</v>
      </c>
      <c r="FO78" s="60">
        <f t="shared" si="474"/>
        <v>0</v>
      </c>
      <c r="FP78" s="59">
        <f t="shared" si="475"/>
        <v>0</v>
      </c>
      <c r="FQ78" s="60">
        <f t="shared" si="476"/>
        <v>0</v>
      </c>
      <c r="FR78" s="59">
        <f t="shared" si="477"/>
        <v>0</v>
      </c>
      <c r="FS78" s="55">
        <f t="shared" si="478"/>
        <v>0</v>
      </c>
      <c r="FT78" s="59">
        <f t="shared" si="479"/>
        <v>0</v>
      </c>
      <c r="FU78" s="60">
        <f t="shared" si="480"/>
        <v>0</v>
      </c>
      <c r="FV78" s="59">
        <f t="shared" si="481"/>
        <v>0</v>
      </c>
      <c r="FW78" s="60">
        <f t="shared" si="482"/>
        <v>0</v>
      </c>
      <c r="FX78" s="59">
        <f t="shared" si="483"/>
        <v>0</v>
      </c>
      <c r="FY78" s="60">
        <f t="shared" si="484"/>
        <v>0</v>
      </c>
      <c r="FZ78" s="59">
        <f t="shared" si="485"/>
        <v>0</v>
      </c>
      <c r="GA78" s="60">
        <f t="shared" si="486"/>
        <v>0</v>
      </c>
      <c r="GB78" s="59">
        <f t="shared" si="487"/>
        <v>0</v>
      </c>
      <c r="GC78" s="55">
        <f t="shared" si="488"/>
        <v>0</v>
      </c>
      <c r="GD78" s="59">
        <f t="shared" si="489"/>
        <v>0</v>
      </c>
      <c r="GE78" s="60">
        <f t="shared" si="490"/>
        <v>0</v>
      </c>
      <c r="GF78" s="59">
        <f t="shared" si="491"/>
        <v>0</v>
      </c>
      <c r="GG78" s="60">
        <f t="shared" si="492"/>
        <v>0</v>
      </c>
      <c r="GH78" s="59">
        <f t="shared" si="493"/>
        <v>0</v>
      </c>
      <c r="GI78" s="55">
        <f t="shared" si="494"/>
        <v>0</v>
      </c>
      <c r="GJ78" s="59">
        <f t="shared" si="495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498"/>
        <v>0.91</v>
      </c>
      <c r="GR78" s="55">
        <f t="shared" si="498"/>
        <v>0.89</v>
      </c>
      <c r="GS78" s="55">
        <f t="shared" si="498"/>
        <v>0.87</v>
      </c>
      <c r="GT78" s="55">
        <f t="shared" ref="GT78:HH78" si="502">+GS78-0.02</f>
        <v>0.85</v>
      </c>
      <c r="GU78" s="55">
        <f t="shared" si="502"/>
        <v>0.83</v>
      </c>
      <c r="GV78" s="55">
        <f t="shared" si="502"/>
        <v>0.80999999999999994</v>
      </c>
      <c r="GW78" s="55">
        <f t="shared" si="502"/>
        <v>0.78999999999999992</v>
      </c>
      <c r="GX78" s="55">
        <f t="shared" si="502"/>
        <v>0.76999999999999991</v>
      </c>
      <c r="GY78" s="55">
        <f t="shared" si="502"/>
        <v>0.74999999999999989</v>
      </c>
      <c r="GZ78" s="55">
        <f t="shared" si="502"/>
        <v>0.72999999999999987</v>
      </c>
      <c r="HA78" s="55">
        <f t="shared" si="502"/>
        <v>0.70999999999999985</v>
      </c>
      <c r="HB78" s="55">
        <f t="shared" si="502"/>
        <v>0.68999999999999984</v>
      </c>
      <c r="HC78" s="55">
        <f t="shared" si="502"/>
        <v>0.66999999999999982</v>
      </c>
      <c r="HD78" s="55">
        <f t="shared" si="502"/>
        <v>0.6499999999999998</v>
      </c>
      <c r="HE78" s="55">
        <f t="shared" si="502"/>
        <v>0.62999999999999978</v>
      </c>
      <c r="HF78" s="55">
        <f t="shared" si="502"/>
        <v>0.60999999999999976</v>
      </c>
      <c r="HG78" s="55">
        <f t="shared" si="502"/>
        <v>0.58999999999999975</v>
      </c>
      <c r="HH78" s="55">
        <f t="shared" si="502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1">
        <f t="shared" si="365"/>
        <v>0</v>
      </c>
      <c r="H79" s="55">
        <f t="shared" si="61"/>
        <v>0</v>
      </c>
      <c r="I79" s="55">
        <f t="shared" si="62"/>
        <v>0</v>
      </c>
      <c r="J79" s="59">
        <f t="shared" si="63"/>
        <v>0</v>
      </c>
      <c r="K79" s="55">
        <f t="shared" si="366"/>
        <v>0</v>
      </c>
      <c r="L79" s="59">
        <f t="shared" si="367"/>
        <v>0</v>
      </c>
      <c r="M79" s="55">
        <f t="shared" si="368"/>
        <v>0</v>
      </c>
      <c r="N79" s="59">
        <f t="shared" si="369"/>
        <v>0</v>
      </c>
      <c r="O79" s="55">
        <f t="shared" si="370"/>
        <v>0</v>
      </c>
      <c r="P79" s="59">
        <f t="shared" si="371"/>
        <v>0</v>
      </c>
      <c r="Q79" s="57">
        <f t="shared" si="372"/>
        <v>0</v>
      </c>
      <c r="R79" s="59">
        <f t="shared" si="373"/>
        <v>0</v>
      </c>
      <c r="S79" s="55">
        <f t="shared" si="374"/>
        <v>0</v>
      </c>
      <c r="T79" s="59">
        <f t="shared" si="375"/>
        <v>0</v>
      </c>
      <c r="U79" s="57">
        <f t="shared" si="376"/>
        <v>0</v>
      </c>
      <c r="V79" s="59">
        <f t="shared" si="377"/>
        <v>0</v>
      </c>
      <c r="W79" s="60">
        <f t="shared" si="378"/>
        <v>0</v>
      </c>
      <c r="X79" s="59">
        <f t="shared" si="379"/>
        <v>0</v>
      </c>
      <c r="Y79" s="57">
        <f t="shared" si="380"/>
        <v>0</v>
      </c>
      <c r="Z79" s="59">
        <f t="shared" si="381"/>
        <v>0</v>
      </c>
      <c r="AA79" s="55">
        <f t="shared" si="382"/>
        <v>0</v>
      </c>
      <c r="AB79" s="59">
        <f t="shared" si="383"/>
        <v>0</v>
      </c>
      <c r="AC79" s="60">
        <f t="shared" si="384"/>
        <v>0</v>
      </c>
      <c r="AD79" s="59">
        <f t="shared" si="385"/>
        <v>0</v>
      </c>
      <c r="AE79" s="60">
        <f t="shared" si="386"/>
        <v>0</v>
      </c>
      <c r="AF79" s="59">
        <f t="shared" si="387"/>
        <v>0</v>
      </c>
      <c r="AG79" s="60">
        <f t="shared" si="388"/>
        <v>0</v>
      </c>
      <c r="AH79" s="59">
        <f t="shared" si="389"/>
        <v>0</v>
      </c>
      <c r="AI79" s="55">
        <f t="shared" si="390"/>
        <v>0</v>
      </c>
      <c r="AJ79" s="59">
        <f t="shared" si="391"/>
        <v>0</v>
      </c>
      <c r="AK79" s="60">
        <f t="shared" si="392"/>
        <v>0</v>
      </c>
      <c r="AL79" s="59">
        <f t="shared" si="393"/>
        <v>0</v>
      </c>
      <c r="AM79" s="60">
        <f t="shared" si="394"/>
        <v>0</v>
      </c>
      <c r="AN79" s="59">
        <f t="shared" si="395"/>
        <v>0</v>
      </c>
      <c r="AO79" s="60">
        <f t="shared" si="396"/>
        <v>0</v>
      </c>
      <c r="AP79" s="59">
        <f t="shared" si="397"/>
        <v>0</v>
      </c>
      <c r="AQ79" s="60">
        <f t="shared" si="398"/>
        <v>0</v>
      </c>
      <c r="AR79" s="59">
        <f t="shared" si="399"/>
        <v>0</v>
      </c>
      <c r="AS79" s="55">
        <f t="shared" si="400"/>
        <v>0</v>
      </c>
      <c r="AT79" s="59">
        <f t="shared" si="401"/>
        <v>0</v>
      </c>
      <c r="AU79" s="60">
        <f t="shared" si="402"/>
        <v>0</v>
      </c>
      <c r="AV79" s="59">
        <f t="shared" si="403"/>
        <v>0</v>
      </c>
      <c r="AW79" s="60">
        <f t="shared" si="404"/>
        <v>0</v>
      </c>
      <c r="AX79" s="59">
        <f t="shared" si="405"/>
        <v>0</v>
      </c>
      <c r="AY79" s="55">
        <f t="shared" si="406"/>
        <v>0</v>
      </c>
      <c r="AZ79" s="59">
        <f t="shared" si="407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0"/>
        <v>0.91</v>
      </c>
      <c r="BH79" s="55">
        <f t="shared" si="500"/>
        <v>0.89</v>
      </c>
      <c r="BI79" s="55">
        <f t="shared" si="500"/>
        <v>0.87</v>
      </c>
      <c r="BJ79" s="55">
        <f t="shared" si="500"/>
        <v>0.85</v>
      </c>
      <c r="BK79" s="55">
        <f t="shared" si="500"/>
        <v>0.83</v>
      </c>
      <c r="BL79" s="55">
        <f t="shared" si="500"/>
        <v>0.80999999999999994</v>
      </c>
      <c r="BM79" s="55">
        <f t="shared" si="500"/>
        <v>0.78999999999999992</v>
      </c>
      <c r="BN79" s="55">
        <f t="shared" si="500"/>
        <v>0.76999999999999991</v>
      </c>
      <c r="BO79" s="55">
        <f t="shared" si="500"/>
        <v>0.74999999999999989</v>
      </c>
      <c r="BP79" s="55">
        <f t="shared" si="500"/>
        <v>0.72999999999999987</v>
      </c>
      <c r="BQ79" s="55">
        <f t="shared" si="500"/>
        <v>0.70999999999999985</v>
      </c>
      <c r="BR79" s="55">
        <f t="shared" si="500"/>
        <v>0.68999999999999984</v>
      </c>
      <c r="BS79" s="55">
        <f t="shared" si="500"/>
        <v>0.66999999999999982</v>
      </c>
      <c r="BT79" s="55">
        <f t="shared" si="500"/>
        <v>0.6499999999999998</v>
      </c>
      <c r="BU79" s="55">
        <f t="shared" si="500"/>
        <v>0.62999999999999978</v>
      </c>
      <c r="BV79" s="55">
        <f t="shared" si="500"/>
        <v>0.60999999999999976</v>
      </c>
      <c r="BW79" s="55">
        <f t="shared" si="500"/>
        <v>0.58999999999999975</v>
      </c>
      <c r="BX79" s="55">
        <f t="shared" si="500"/>
        <v>0.56999999999999973</v>
      </c>
      <c r="BZ79" s="55">
        <f t="shared" si="88"/>
        <v>0</v>
      </c>
      <c r="CA79" s="55">
        <f t="shared" si="89"/>
        <v>0</v>
      </c>
      <c r="CB79" s="59">
        <f t="shared" si="409"/>
        <v>0</v>
      </c>
      <c r="CC79" s="55">
        <f t="shared" si="410"/>
        <v>0</v>
      </c>
      <c r="CD79" s="59">
        <f t="shared" si="411"/>
        <v>0</v>
      </c>
      <c r="CE79" s="55">
        <f t="shared" si="412"/>
        <v>0</v>
      </c>
      <c r="CF79" s="59">
        <f t="shared" si="413"/>
        <v>0</v>
      </c>
      <c r="CG79" s="55">
        <f t="shared" si="414"/>
        <v>0</v>
      </c>
      <c r="CH79" s="59">
        <f t="shared" si="415"/>
        <v>0</v>
      </c>
      <c r="CI79" s="57">
        <f t="shared" si="416"/>
        <v>0</v>
      </c>
      <c r="CJ79" s="59">
        <f t="shared" si="417"/>
        <v>0</v>
      </c>
      <c r="CK79" s="55">
        <f t="shared" si="418"/>
        <v>0</v>
      </c>
      <c r="CL79" s="59">
        <f t="shared" si="419"/>
        <v>0</v>
      </c>
      <c r="CM79" s="57">
        <f t="shared" si="420"/>
        <v>0</v>
      </c>
      <c r="CN79" s="59">
        <f t="shared" si="421"/>
        <v>0</v>
      </c>
      <c r="CO79" s="60">
        <f t="shared" si="422"/>
        <v>0</v>
      </c>
      <c r="CP79" s="59">
        <f t="shared" si="423"/>
        <v>0</v>
      </c>
      <c r="CQ79" s="57">
        <f t="shared" si="424"/>
        <v>0</v>
      </c>
      <c r="CR79" s="59">
        <f t="shared" si="425"/>
        <v>0</v>
      </c>
      <c r="CS79" s="55">
        <f t="shared" si="426"/>
        <v>0</v>
      </c>
      <c r="CT79" s="59">
        <f t="shared" si="427"/>
        <v>0</v>
      </c>
      <c r="CU79" s="60">
        <f t="shared" si="428"/>
        <v>0</v>
      </c>
      <c r="CV79" s="59">
        <f t="shared" si="429"/>
        <v>0</v>
      </c>
      <c r="CW79" s="60">
        <f t="shared" si="430"/>
        <v>0</v>
      </c>
      <c r="CX79" s="59">
        <f t="shared" si="431"/>
        <v>0</v>
      </c>
      <c r="CY79" s="60">
        <f t="shared" si="432"/>
        <v>0</v>
      </c>
      <c r="CZ79" s="59">
        <f t="shared" si="433"/>
        <v>0</v>
      </c>
      <c r="DA79" s="55">
        <f t="shared" si="434"/>
        <v>0</v>
      </c>
      <c r="DB79" s="59">
        <f t="shared" si="435"/>
        <v>0</v>
      </c>
      <c r="DC79" s="60">
        <f t="shared" si="436"/>
        <v>0</v>
      </c>
      <c r="DD79" s="59">
        <f t="shared" si="437"/>
        <v>0</v>
      </c>
      <c r="DE79" s="60">
        <f t="shared" si="438"/>
        <v>0</v>
      </c>
      <c r="DF79" s="59">
        <f t="shared" si="439"/>
        <v>0</v>
      </c>
      <c r="DG79" s="60">
        <f t="shared" si="440"/>
        <v>0</v>
      </c>
      <c r="DH79" s="59">
        <f t="shared" si="441"/>
        <v>0</v>
      </c>
      <c r="DI79" s="60">
        <f t="shared" si="442"/>
        <v>0</v>
      </c>
      <c r="DJ79" s="59">
        <f t="shared" si="443"/>
        <v>0</v>
      </c>
      <c r="DK79" s="55">
        <f t="shared" si="444"/>
        <v>0</v>
      </c>
      <c r="DL79" s="59">
        <f t="shared" si="445"/>
        <v>0</v>
      </c>
      <c r="DM79" s="60">
        <f t="shared" si="446"/>
        <v>0</v>
      </c>
      <c r="DN79" s="59">
        <f t="shared" si="447"/>
        <v>0</v>
      </c>
      <c r="DO79" s="60">
        <f t="shared" si="448"/>
        <v>0</v>
      </c>
      <c r="DP79" s="59">
        <f t="shared" si="449"/>
        <v>0</v>
      </c>
      <c r="DQ79" s="55">
        <f t="shared" si="450"/>
        <v>0</v>
      </c>
      <c r="DR79" s="59">
        <f t="shared" si="451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03">+DX79-0.02</f>
        <v>0.91</v>
      </c>
      <c r="DZ79" s="55">
        <f t="shared" si="503"/>
        <v>0.89</v>
      </c>
      <c r="EA79" s="55">
        <f t="shared" si="503"/>
        <v>0.87</v>
      </c>
      <c r="EB79" s="55">
        <f t="shared" si="503"/>
        <v>0.85</v>
      </c>
      <c r="EC79" s="55">
        <f t="shared" si="503"/>
        <v>0.83</v>
      </c>
      <c r="ED79" s="55">
        <f t="shared" si="503"/>
        <v>0.80999999999999994</v>
      </c>
      <c r="EE79" s="55">
        <f t="shared" si="503"/>
        <v>0.78999999999999992</v>
      </c>
      <c r="EF79" s="55">
        <f t="shared" si="503"/>
        <v>0.76999999999999991</v>
      </c>
      <c r="EG79" s="55">
        <f t="shared" si="503"/>
        <v>0.74999999999999989</v>
      </c>
      <c r="EH79" s="55">
        <f t="shared" si="503"/>
        <v>0.72999999999999987</v>
      </c>
      <c r="EI79" s="55">
        <f t="shared" si="503"/>
        <v>0.70999999999999985</v>
      </c>
      <c r="EJ79" s="55">
        <f t="shared" si="503"/>
        <v>0.68999999999999984</v>
      </c>
      <c r="EK79" s="55">
        <f t="shared" si="503"/>
        <v>0.66999999999999982</v>
      </c>
      <c r="EL79" s="55">
        <f t="shared" si="503"/>
        <v>0.6499999999999998</v>
      </c>
      <c r="EM79" s="55">
        <f t="shared" si="503"/>
        <v>0.62999999999999978</v>
      </c>
      <c r="EN79" s="55">
        <f t="shared" si="503"/>
        <v>0.60999999999999976</v>
      </c>
      <c r="EO79" s="55">
        <f t="shared" si="503"/>
        <v>0.58999999999999975</v>
      </c>
      <c r="EP79" s="55">
        <f t="shared" si="503"/>
        <v>0.56999999999999973</v>
      </c>
      <c r="ER79" s="55">
        <f t="shared" si="142"/>
        <v>0</v>
      </c>
      <c r="ES79" s="55">
        <f t="shared" si="116"/>
        <v>0</v>
      </c>
      <c r="ET79" s="59">
        <f t="shared" si="453"/>
        <v>0</v>
      </c>
      <c r="EU79" s="55">
        <f t="shared" si="454"/>
        <v>0</v>
      </c>
      <c r="EV79" s="59">
        <f t="shared" si="455"/>
        <v>0</v>
      </c>
      <c r="EW79" s="55">
        <f t="shared" si="456"/>
        <v>0</v>
      </c>
      <c r="EX79" s="59">
        <f t="shared" si="457"/>
        <v>0</v>
      </c>
      <c r="EY79" s="55">
        <f t="shared" si="458"/>
        <v>0</v>
      </c>
      <c r="EZ79" s="59">
        <f t="shared" si="459"/>
        <v>0</v>
      </c>
      <c r="FA79" s="57">
        <f t="shared" si="460"/>
        <v>0</v>
      </c>
      <c r="FB79" s="59">
        <f t="shared" si="461"/>
        <v>0</v>
      </c>
      <c r="FC79" s="55">
        <f t="shared" si="462"/>
        <v>0</v>
      </c>
      <c r="FD79" s="59">
        <f t="shared" si="463"/>
        <v>0</v>
      </c>
      <c r="FE79" s="57">
        <f t="shared" si="464"/>
        <v>0</v>
      </c>
      <c r="FF79" s="59">
        <f t="shared" si="465"/>
        <v>0</v>
      </c>
      <c r="FG79" s="60">
        <f t="shared" si="466"/>
        <v>0</v>
      </c>
      <c r="FH79" s="59">
        <f t="shared" si="467"/>
        <v>0</v>
      </c>
      <c r="FI79" s="57">
        <f t="shared" si="468"/>
        <v>0</v>
      </c>
      <c r="FJ79" s="59">
        <f t="shared" si="469"/>
        <v>0</v>
      </c>
      <c r="FK79" s="55">
        <f t="shared" si="470"/>
        <v>0</v>
      </c>
      <c r="FL79" s="59">
        <f t="shared" si="471"/>
        <v>0</v>
      </c>
      <c r="FM79" s="60">
        <f t="shared" si="472"/>
        <v>0</v>
      </c>
      <c r="FN79" s="59">
        <f t="shared" si="473"/>
        <v>0</v>
      </c>
      <c r="FO79" s="60">
        <f t="shared" si="474"/>
        <v>0</v>
      </c>
      <c r="FP79" s="59">
        <f t="shared" si="475"/>
        <v>0</v>
      </c>
      <c r="FQ79" s="60">
        <f t="shared" si="476"/>
        <v>0</v>
      </c>
      <c r="FR79" s="59">
        <f t="shared" si="477"/>
        <v>0</v>
      </c>
      <c r="FS79" s="55">
        <f t="shared" si="478"/>
        <v>0</v>
      </c>
      <c r="FT79" s="59">
        <f t="shared" si="479"/>
        <v>0</v>
      </c>
      <c r="FU79" s="60">
        <f t="shared" si="480"/>
        <v>0</v>
      </c>
      <c r="FV79" s="59">
        <f t="shared" si="481"/>
        <v>0</v>
      </c>
      <c r="FW79" s="60">
        <f t="shared" si="482"/>
        <v>0</v>
      </c>
      <c r="FX79" s="59">
        <f t="shared" si="483"/>
        <v>0</v>
      </c>
      <c r="FY79" s="60">
        <f t="shared" si="484"/>
        <v>0</v>
      </c>
      <c r="FZ79" s="59">
        <f t="shared" si="485"/>
        <v>0</v>
      </c>
      <c r="GA79" s="60">
        <f t="shared" si="486"/>
        <v>0</v>
      </c>
      <c r="GB79" s="59">
        <f t="shared" si="487"/>
        <v>0</v>
      </c>
      <c r="GC79" s="55">
        <f t="shared" si="488"/>
        <v>0</v>
      </c>
      <c r="GD79" s="59">
        <f t="shared" si="489"/>
        <v>0</v>
      </c>
      <c r="GE79" s="60">
        <f t="shared" si="490"/>
        <v>0</v>
      </c>
      <c r="GF79" s="59">
        <f t="shared" si="491"/>
        <v>0</v>
      </c>
      <c r="GG79" s="60">
        <f t="shared" si="492"/>
        <v>0</v>
      </c>
      <c r="GH79" s="59">
        <f t="shared" si="493"/>
        <v>0</v>
      </c>
      <c r="GI79" s="55">
        <f t="shared" si="494"/>
        <v>0</v>
      </c>
      <c r="GJ79" s="59">
        <f t="shared" si="495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04">+GP79-0.02</f>
        <v>0.91</v>
      </c>
      <c r="GR79" s="55">
        <f t="shared" si="504"/>
        <v>0.89</v>
      </c>
      <c r="GS79" s="55">
        <f t="shared" si="504"/>
        <v>0.87</v>
      </c>
      <c r="GT79" s="55">
        <f t="shared" si="504"/>
        <v>0.85</v>
      </c>
      <c r="GU79" s="55">
        <f t="shared" si="504"/>
        <v>0.83</v>
      </c>
      <c r="GV79" s="55">
        <f t="shared" si="504"/>
        <v>0.80999999999999994</v>
      </c>
      <c r="GW79" s="55">
        <f t="shared" si="504"/>
        <v>0.78999999999999992</v>
      </c>
      <c r="GX79" s="55">
        <f t="shared" si="504"/>
        <v>0.76999999999999991</v>
      </c>
      <c r="GY79" s="55">
        <f t="shared" si="504"/>
        <v>0.74999999999999989</v>
      </c>
      <c r="GZ79" s="55">
        <f t="shared" si="504"/>
        <v>0.72999999999999987</v>
      </c>
      <c r="HA79" s="55">
        <f t="shared" si="504"/>
        <v>0.70999999999999985</v>
      </c>
      <c r="HB79" s="55">
        <f t="shared" si="504"/>
        <v>0.68999999999999984</v>
      </c>
      <c r="HC79" s="55">
        <f t="shared" si="504"/>
        <v>0.66999999999999982</v>
      </c>
      <c r="HD79" s="55">
        <f t="shared" si="504"/>
        <v>0.6499999999999998</v>
      </c>
      <c r="HE79" s="55">
        <f t="shared" si="504"/>
        <v>0.62999999999999978</v>
      </c>
      <c r="HF79" s="55">
        <f t="shared" si="504"/>
        <v>0.60999999999999976</v>
      </c>
      <c r="HG79" s="55">
        <f t="shared" si="504"/>
        <v>0.58999999999999975</v>
      </c>
      <c r="HH79" s="55">
        <f t="shared" si="504"/>
        <v>0.56999999999999973</v>
      </c>
    </row>
    <row r="80" spans="1:216" x14ac:dyDescent="0.3">
      <c r="A80" s="2">
        <v>18</v>
      </c>
      <c r="C80" s="38" t="s">
        <v>142</v>
      </c>
      <c r="D80" s="42">
        <f>TRUNC(13058.7448171881,-1)</f>
        <v>13050</v>
      </c>
      <c r="E80" s="71">
        <f t="shared" si="365"/>
        <v>43140</v>
      </c>
      <c r="H80" s="55">
        <f t="shared" si="61"/>
        <v>47454.000000000007</v>
      </c>
      <c r="I80" s="55">
        <f t="shared" si="62"/>
        <v>47454.000000000007</v>
      </c>
      <c r="J80" s="59">
        <f t="shared" si="63"/>
        <v>156873.43320000003</v>
      </c>
      <c r="K80" s="55">
        <f t="shared" si="366"/>
        <v>46030.380000000005</v>
      </c>
      <c r="L80" s="59">
        <f t="shared" si="367"/>
        <v>152167.23020400002</v>
      </c>
      <c r="M80" s="55">
        <f t="shared" si="368"/>
        <v>45081.3</v>
      </c>
      <c r="N80" s="59">
        <f t="shared" si="369"/>
        <v>149029.76154000001</v>
      </c>
      <c r="O80" s="55">
        <f t="shared" si="370"/>
        <v>44132.220000000008</v>
      </c>
      <c r="P80" s="59">
        <f t="shared" si="371"/>
        <v>145892.29287600002</v>
      </c>
      <c r="Q80" s="57">
        <f t="shared" si="372"/>
        <v>43183.140000000007</v>
      </c>
      <c r="R80" s="59">
        <f t="shared" si="373"/>
        <v>142754.82421200004</v>
      </c>
      <c r="S80" s="55">
        <f t="shared" si="374"/>
        <v>42234.060000000005</v>
      </c>
      <c r="T80" s="59">
        <f t="shared" si="375"/>
        <v>139617.35554800002</v>
      </c>
      <c r="U80" s="57">
        <f t="shared" si="376"/>
        <v>41284.980000000003</v>
      </c>
      <c r="V80" s="59">
        <f t="shared" si="377"/>
        <v>136479.88688400001</v>
      </c>
      <c r="W80" s="60">
        <f t="shared" si="378"/>
        <v>40335.900000000009</v>
      </c>
      <c r="X80" s="59">
        <f t="shared" si="379"/>
        <v>133342.41822000002</v>
      </c>
      <c r="Y80" s="57">
        <f t="shared" si="380"/>
        <v>39386.820000000007</v>
      </c>
      <c r="Z80" s="59">
        <f t="shared" si="381"/>
        <v>130204.94955600002</v>
      </c>
      <c r="AA80" s="55">
        <f t="shared" si="382"/>
        <v>38437.740000000005</v>
      </c>
      <c r="AB80" s="59">
        <f t="shared" si="383"/>
        <v>127067.48089200002</v>
      </c>
      <c r="AC80" s="60">
        <f t="shared" si="384"/>
        <v>37488.660000000003</v>
      </c>
      <c r="AD80" s="59">
        <f t="shared" si="385"/>
        <v>123930.01222800002</v>
      </c>
      <c r="AE80" s="60">
        <f t="shared" si="386"/>
        <v>36539.58</v>
      </c>
      <c r="AF80" s="59">
        <f t="shared" si="387"/>
        <v>120792.54356400001</v>
      </c>
      <c r="AG80" s="60">
        <f t="shared" si="388"/>
        <v>35590.5</v>
      </c>
      <c r="AH80" s="59">
        <f t="shared" si="389"/>
        <v>117655.07490000001</v>
      </c>
      <c r="AI80" s="55">
        <f t="shared" si="390"/>
        <v>34641.42</v>
      </c>
      <c r="AJ80" s="59">
        <f t="shared" si="391"/>
        <v>114517.60623599999</v>
      </c>
      <c r="AK80" s="60">
        <f t="shared" si="392"/>
        <v>33692.339999999997</v>
      </c>
      <c r="AL80" s="59">
        <f t="shared" si="393"/>
        <v>111380.13757199999</v>
      </c>
      <c r="AM80" s="60">
        <f t="shared" si="394"/>
        <v>32743.26</v>
      </c>
      <c r="AN80" s="59">
        <f t="shared" si="395"/>
        <v>108242.66890799999</v>
      </c>
      <c r="AO80" s="60">
        <f t="shared" si="396"/>
        <v>31794.179999999997</v>
      </c>
      <c r="AP80" s="59">
        <f t="shared" si="397"/>
        <v>105105.20024399999</v>
      </c>
      <c r="AQ80" s="60">
        <f t="shared" si="398"/>
        <v>30845.099999999995</v>
      </c>
      <c r="AR80" s="59">
        <f t="shared" si="399"/>
        <v>101967.73157999999</v>
      </c>
      <c r="AS80" s="55">
        <f t="shared" si="400"/>
        <v>29896.019999999993</v>
      </c>
      <c r="AT80" s="59">
        <f t="shared" si="401"/>
        <v>98830.262915999978</v>
      </c>
      <c r="AU80" s="60">
        <f t="shared" si="402"/>
        <v>28946.939999999995</v>
      </c>
      <c r="AV80" s="59">
        <f t="shared" si="403"/>
        <v>95692.794251999992</v>
      </c>
      <c r="AW80" s="60">
        <f t="shared" si="404"/>
        <v>27997.859999999993</v>
      </c>
      <c r="AX80" s="59">
        <f t="shared" si="405"/>
        <v>92555.325587999978</v>
      </c>
      <c r="AY80" s="55">
        <f t="shared" si="406"/>
        <v>27048.779999999992</v>
      </c>
      <c r="AZ80" s="59">
        <f t="shared" si="407"/>
        <v>89417.856923999978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0"/>
        <v>0.91</v>
      </c>
      <c r="BH80" s="55">
        <f t="shared" si="500"/>
        <v>0.89</v>
      </c>
      <c r="BI80" s="55">
        <f t="shared" si="500"/>
        <v>0.87</v>
      </c>
      <c r="BJ80" s="55">
        <f t="shared" si="500"/>
        <v>0.85</v>
      </c>
      <c r="BK80" s="55">
        <f t="shared" si="500"/>
        <v>0.83</v>
      </c>
      <c r="BL80" s="55">
        <f t="shared" si="500"/>
        <v>0.80999999999999994</v>
      </c>
      <c r="BM80" s="55">
        <f t="shared" si="500"/>
        <v>0.78999999999999992</v>
      </c>
      <c r="BN80" s="55">
        <f t="shared" si="500"/>
        <v>0.76999999999999991</v>
      </c>
      <c r="BO80" s="55">
        <f t="shared" si="500"/>
        <v>0.74999999999999989</v>
      </c>
      <c r="BP80" s="55">
        <f t="shared" si="500"/>
        <v>0.72999999999999987</v>
      </c>
      <c r="BQ80" s="55">
        <f t="shared" si="500"/>
        <v>0.70999999999999985</v>
      </c>
      <c r="BR80" s="55">
        <f t="shared" si="500"/>
        <v>0.68999999999999984</v>
      </c>
      <c r="BS80" s="55">
        <f t="shared" si="500"/>
        <v>0.66999999999999982</v>
      </c>
      <c r="BT80" s="55">
        <f t="shared" si="500"/>
        <v>0.6499999999999998</v>
      </c>
      <c r="BU80" s="55">
        <f t="shared" si="500"/>
        <v>0.62999999999999978</v>
      </c>
      <c r="BV80" s="55">
        <f t="shared" si="500"/>
        <v>0.60999999999999976</v>
      </c>
      <c r="BW80" s="55">
        <f t="shared" si="500"/>
        <v>0.58999999999999975</v>
      </c>
      <c r="BX80" s="55">
        <f t="shared" si="500"/>
        <v>0.56999999999999973</v>
      </c>
      <c r="BZ80" s="55">
        <f t="shared" si="88"/>
        <v>43183.140000000007</v>
      </c>
      <c r="CA80" s="55">
        <f t="shared" si="89"/>
        <v>43183.140000000007</v>
      </c>
      <c r="CB80" s="59">
        <f t="shared" si="409"/>
        <v>142754.82421200004</v>
      </c>
      <c r="CC80" s="55">
        <f t="shared" si="410"/>
        <v>41887.645800000006</v>
      </c>
      <c r="CD80" s="59">
        <f t="shared" si="411"/>
        <v>138472.17948564002</v>
      </c>
      <c r="CE80" s="55">
        <f t="shared" si="412"/>
        <v>41023.983000000007</v>
      </c>
      <c r="CF80" s="59">
        <f t="shared" si="413"/>
        <v>135617.08300140002</v>
      </c>
      <c r="CG80" s="55">
        <f t="shared" si="414"/>
        <v>40160.320200000009</v>
      </c>
      <c r="CH80" s="59">
        <f t="shared" si="415"/>
        <v>132761.98651716002</v>
      </c>
      <c r="CI80" s="57">
        <f t="shared" si="416"/>
        <v>39296.657400000011</v>
      </c>
      <c r="CJ80" s="59">
        <f t="shared" si="417"/>
        <v>129906.89003292004</v>
      </c>
      <c r="CK80" s="55">
        <f t="shared" si="418"/>
        <v>38432.994600000005</v>
      </c>
      <c r="CL80" s="59">
        <f t="shared" si="419"/>
        <v>127051.79354868003</v>
      </c>
      <c r="CM80" s="57">
        <f t="shared" si="420"/>
        <v>37569.331800000007</v>
      </c>
      <c r="CN80" s="59">
        <f t="shared" si="421"/>
        <v>124196.69706444003</v>
      </c>
      <c r="CO80" s="60">
        <f t="shared" si="422"/>
        <v>36705.669000000002</v>
      </c>
      <c r="CP80" s="59">
        <f t="shared" si="423"/>
        <v>121341.60058020001</v>
      </c>
      <c r="CQ80" s="57">
        <f t="shared" si="424"/>
        <v>35842.006200000003</v>
      </c>
      <c r="CR80" s="59">
        <f t="shared" si="425"/>
        <v>118486.50409596002</v>
      </c>
      <c r="CS80" s="55">
        <f t="shared" si="426"/>
        <v>34978.343400000005</v>
      </c>
      <c r="CT80" s="59">
        <f t="shared" si="427"/>
        <v>115631.40761172002</v>
      </c>
      <c r="CU80" s="60">
        <f t="shared" si="428"/>
        <v>34114.6806</v>
      </c>
      <c r="CV80" s="59">
        <f t="shared" si="429"/>
        <v>112776.31112748</v>
      </c>
      <c r="CW80" s="60">
        <f t="shared" si="430"/>
        <v>33251.017800000001</v>
      </c>
      <c r="CX80" s="59">
        <f t="shared" si="431"/>
        <v>109921.21464324</v>
      </c>
      <c r="CY80" s="60">
        <f t="shared" si="432"/>
        <v>32387.355</v>
      </c>
      <c r="CZ80" s="59">
        <f t="shared" si="433"/>
        <v>107066.11815900001</v>
      </c>
      <c r="DA80" s="55">
        <f t="shared" si="434"/>
        <v>31523.692199999998</v>
      </c>
      <c r="DB80" s="59">
        <f t="shared" si="435"/>
        <v>104211.02167475999</v>
      </c>
      <c r="DC80" s="60">
        <f t="shared" si="436"/>
        <v>30660.029399999999</v>
      </c>
      <c r="DD80" s="59">
        <f t="shared" si="437"/>
        <v>101355.92519052001</v>
      </c>
      <c r="DE80" s="60">
        <f t="shared" si="438"/>
        <v>29796.366599999998</v>
      </c>
      <c r="DF80" s="59">
        <f t="shared" si="439"/>
        <v>98500.828706279994</v>
      </c>
      <c r="DG80" s="60">
        <f t="shared" si="440"/>
        <v>28932.703799999996</v>
      </c>
      <c r="DH80" s="59">
        <f t="shared" si="441"/>
        <v>95645.732222039995</v>
      </c>
      <c r="DI80" s="60">
        <f t="shared" si="442"/>
        <v>28069.040999999997</v>
      </c>
      <c r="DJ80" s="59">
        <f t="shared" si="443"/>
        <v>92790.635737799996</v>
      </c>
      <c r="DK80" s="55">
        <f t="shared" si="444"/>
        <v>27205.378199999996</v>
      </c>
      <c r="DL80" s="59">
        <f t="shared" si="445"/>
        <v>89935.539253559982</v>
      </c>
      <c r="DM80" s="60">
        <f t="shared" si="446"/>
        <v>26341.715399999994</v>
      </c>
      <c r="DN80" s="59">
        <f t="shared" si="447"/>
        <v>87080.442769319983</v>
      </c>
      <c r="DO80" s="60">
        <f t="shared" si="448"/>
        <v>25478.052599999992</v>
      </c>
      <c r="DP80" s="59">
        <f t="shared" si="449"/>
        <v>84225.34628507997</v>
      </c>
      <c r="DQ80" s="55">
        <f t="shared" si="450"/>
        <v>24614.389799999994</v>
      </c>
      <c r="DR80" s="59">
        <f t="shared" si="451"/>
        <v>81370.249800839985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3"/>
        <v>0.91</v>
      </c>
      <c r="DZ80" s="55">
        <f t="shared" si="503"/>
        <v>0.89</v>
      </c>
      <c r="EA80" s="55">
        <f t="shared" si="503"/>
        <v>0.87</v>
      </c>
      <c r="EB80" s="55">
        <f t="shared" si="503"/>
        <v>0.85</v>
      </c>
      <c r="EC80" s="55">
        <f t="shared" si="503"/>
        <v>0.83</v>
      </c>
      <c r="ED80" s="55">
        <f t="shared" si="503"/>
        <v>0.80999999999999994</v>
      </c>
      <c r="EE80" s="55">
        <f t="shared" si="503"/>
        <v>0.78999999999999992</v>
      </c>
      <c r="EF80" s="55">
        <f t="shared" si="503"/>
        <v>0.76999999999999991</v>
      </c>
      <c r="EG80" s="55">
        <f t="shared" si="503"/>
        <v>0.74999999999999989</v>
      </c>
      <c r="EH80" s="55">
        <f t="shared" si="503"/>
        <v>0.72999999999999987</v>
      </c>
      <c r="EI80" s="55">
        <f t="shared" si="503"/>
        <v>0.70999999999999985</v>
      </c>
      <c r="EJ80" s="55">
        <f t="shared" si="503"/>
        <v>0.68999999999999984</v>
      </c>
      <c r="EK80" s="55">
        <f t="shared" si="503"/>
        <v>0.66999999999999982</v>
      </c>
      <c r="EL80" s="55">
        <f t="shared" si="503"/>
        <v>0.6499999999999998</v>
      </c>
      <c r="EM80" s="55">
        <f t="shared" si="503"/>
        <v>0.62999999999999978</v>
      </c>
      <c r="EN80" s="55">
        <f t="shared" si="503"/>
        <v>0.60999999999999976</v>
      </c>
      <c r="EO80" s="55">
        <f t="shared" si="503"/>
        <v>0.58999999999999975</v>
      </c>
      <c r="EP80" s="55">
        <f t="shared" si="503"/>
        <v>0.56999999999999973</v>
      </c>
      <c r="ER80" s="55">
        <f t="shared" si="142"/>
        <v>39296.657400000011</v>
      </c>
      <c r="ES80" s="55">
        <f t="shared" si="116"/>
        <v>39296.657400000011</v>
      </c>
      <c r="ET80" s="59">
        <f t="shared" si="453"/>
        <v>129906.89003292004</v>
      </c>
      <c r="EU80" s="55">
        <f t="shared" si="454"/>
        <v>38117.757678000009</v>
      </c>
      <c r="EV80" s="59">
        <f t="shared" si="455"/>
        <v>126009.68333193244</v>
      </c>
      <c r="EW80" s="55">
        <f t="shared" si="456"/>
        <v>37331.824530000005</v>
      </c>
      <c r="EX80" s="59">
        <f t="shared" si="457"/>
        <v>123411.54553127402</v>
      </c>
      <c r="EY80" s="55">
        <f t="shared" si="458"/>
        <v>36545.891382000009</v>
      </c>
      <c r="EZ80" s="59">
        <f t="shared" si="459"/>
        <v>120813.40773061563</v>
      </c>
      <c r="FA80" s="57">
        <f t="shared" si="460"/>
        <v>35759.958234000012</v>
      </c>
      <c r="FB80" s="59">
        <f t="shared" si="461"/>
        <v>118215.26992995724</v>
      </c>
      <c r="FC80" s="55">
        <f t="shared" si="462"/>
        <v>34974.025086000009</v>
      </c>
      <c r="FD80" s="59">
        <f t="shared" si="463"/>
        <v>115617.13212929883</v>
      </c>
      <c r="FE80" s="57">
        <f t="shared" si="464"/>
        <v>34188.091938000012</v>
      </c>
      <c r="FF80" s="59">
        <f t="shared" si="465"/>
        <v>113018.99432864045</v>
      </c>
      <c r="FG80" s="60">
        <f t="shared" si="466"/>
        <v>33402.158790000009</v>
      </c>
      <c r="FH80" s="59">
        <f t="shared" si="467"/>
        <v>110420.85652798203</v>
      </c>
      <c r="FI80" s="57">
        <f t="shared" si="468"/>
        <v>32616.225642000009</v>
      </c>
      <c r="FJ80" s="59">
        <f t="shared" si="469"/>
        <v>107822.71872732363</v>
      </c>
      <c r="FK80" s="55">
        <f t="shared" si="470"/>
        <v>31830.292494000005</v>
      </c>
      <c r="FL80" s="59">
        <f t="shared" si="471"/>
        <v>105224.58092666522</v>
      </c>
      <c r="FM80" s="60">
        <f t="shared" si="472"/>
        <v>31044.359346000005</v>
      </c>
      <c r="FN80" s="59">
        <f t="shared" si="473"/>
        <v>102626.44312600682</v>
      </c>
      <c r="FO80" s="60">
        <f t="shared" si="474"/>
        <v>30258.426198000005</v>
      </c>
      <c r="FP80" s="59">
        <f t="shared" si="475"/>
        <v>100028.30532534841</v>
      </c>
      <c r="FQ80" s="60">
        <f t="shared" si="476"/>
        <v>29472.493050000005</v>
      </c>
      <c r="FR80" s="59">
        <f t="shared" si="477"/>
        <v>97430.167524690012</v>
      </c>
      <c r="FS80" s="55">
        <f t="shared" si="478"/>
        <v>28686.559902000005</v>
      </c>
      <c r="FT80" s="59">
        <f t="shared" si="479"/>
        <v>94832.029724031614</v>
      </c>
      <c r="FU80" s="60">
        <f t="shared" si="480"/>
        <v>27900.626754000001</v>
      </c>
      <c r="FV80" s="59">
        <f t="shared" si="481"/>
        <v>92233.891923373201</v>
      </c>
      <c r="FW80" s="60">
        <f t="shared" si="482"/>
        <v>27114.693606000001</v>
      </c>
      <c r="FX80" s="59">
        <f t="shared" si="483"/>
        <v>89635.754122714803</v>
      </c>
      <c r="FY80" s="60">
        <f t="shared" si="484"/>
        <v>26328.760458000001</v>
      </c>
      <c r="FZ80" s="59">
        <f t="shared" si="485"/>
        <v>87037.616322056405</v>
      </c>
      <c r="GA80" s="60">
        <f t="shared" si="486"/>
        <v>25542.827310000001</v>
      </c>
      <c r="GB80" s="59">
        <f t="shared" si="487"/>
        <v>84439.478521398007</v>
      </c>
      <c r="GC80" s="55">
        <f t="shared" si="488"/>
        <v>24756.894161999997</v>
      </c>
      <c r="GD80" s="59">
        <f t="shared" si="489"/>
        <v>81841.340720739594</v>
      </c>
      <c r="GE80" s="60">
        <f t="shared" si="490"/>
        <v>23970.961013999997</v>
      </c>
      <c r="GF80" s="59">
        <f t="shared" si="491"/>
        <v>79243.202920081196</v>
      </c>
      <c r="GG80" s="60">
        <f t="shared" si="492"/>
        <v>23185.027865999997</v>
      </c>
      <c r="GH80" s="59">
        <f t="shared" si="493"/>
        <v>76645.065119422798</v>
      </c>
      <c r="GI80" s="55">
        <f t="shared" si="494"/>
        <v>22399.094717999997</v>
      </c>
      <c r="GJ80" s="59">
        <f t="shared" si="495"/>
        <v>74046.927318764385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4"/>
        <v>0.91</v>
      </c>
      <c r="GR80" s="55">
        <f t="shared" si="504"/>
        <v>0.89</v>
      </c>
      <c r="GS80" s="55">
        <f t="shared" si="504"/>
        <v>0.87</v>
      </c>
      <c r="GT80" s="55">
        <f t="shared" si="504"/>
        <v>0.85</v>
      </c>
      <c r="GU80" s="55">
        <f t="shared" si="504"/>
        <v>0.83</v>
      </c>
      <c r="GV80" s="55">
        <f t="shared" si="504"/>
        <v>0.80999999999999994</v>
      </c>
      <c r="GW80" s="55">
        <f t="shared" si="504"/>
        <v>0.78999999999999992</v>
      </c>
      <c r="GX80" s="55">
        <f t="shared" si="504"/>
        <v>0.76999999999999991</v>
      </c>
      <c r="GY80" s="55">
        <f t="shared" si="504"/>
        <v>0.74999999999999989</v>
      </c>
      <c r="GZ80" s="55">
        <f t="shared" si="504"/>
        <v>0.72999999999999987</v>
      </c>
      <c r="HA80" s="55">
        <f t="shared" si="504"/>
        <v>0.70999999999999985</v>
      </c>
      <c r="HB80" s="55">
        <f t="shared" si="504"/>
        <v>0.68999999999999984</v>
      </c>
      <c r="HC80" s="55">
        <f t="shared" si="504"/>
        <v>0.66999999999999982</v>
      </c>
      <c r="HD80" s="55">
        <f t="shared" si="504"/>
        <v>0.6499999999999998</v>
      </c>
      <c r="HE80" s="55">
        <f t="shared" si="504"/>
        <v>0.62999999999999978</v>
      </c>
      <c r="HF80" s="55">
        <f t="shared" si="504"/>
        <v>0.60999999999999976</v>
      </c>
      <c r="HG80" s="55">
        <f t="shared" si="504"/>
        <v>0.58999999999999975</v>
      </c>
      <c r="HH80" s="55">
        <f t="shared" si="504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65"/>
        <v>0</v>
      </c>
      <c r="H81" s="55">
        <f t="shared" si="61"/>
        <v>0</v>
      </c>
      <c r="I81" s="55">
        <f t="shared" si="62"/>
        <v>0</v>
      </c>
      <c r="J81" s="59">
        <f t="shared" si="63"/>
        <v>0</v>
      </c>
      <c r="K81" s="55">
        <f t="shared" si="366"/>
        <v>0</v>
      </c>
      <c r="L81" s="59">
        <f t="shared" si="367"/>
        <v>0</v>
      </c>
      <c r="M81" s="55">
        <f t="shared" si="368"/>
        <v>0</v>
      </c>
      <c r="N81" s="59">
        <f t="shared" si="369"/>
        <v>0</v>
      </c>
      <c r="O81" s="55">
        <f t="shared" si="370"/>
        <v>0</v>
      </c>
      <c r="P81" s="59">
        <f t="shared" si="371"/>
        <v>0</v>
      </c>
      <c r="Q81" s="57">
        <f t="shared" si="372"/>
        <v>0</v>
      </c>
      <c r="R81" s="59">
        <f t="shared" si="373"/>
        <v>0</v>
      </c>
      <c r="S81" s="55">
        <f t="shared" si="374"/>
        <v>0</v>
      </c>
      <c r="T81" s="59">
        <f t="shared" si="375"/>
        <v>0</v>
      </c>
      <c r="U81" s="57">
        <f t="shared" si="376"/>
        <v>0</v>
      </c>
      <c r="V81" s="59">
        <f t="shared" si="377"/>
        <v>0</v>
      </c>
      <c r="W81" s="60">
        <f t="shared" si="378"/>
        <v>0</v>
      </c>
      <c r="X81" s="59">
        <f t="shared" si="379"/>
        <v>0</v>
      </c>
      <c r="Y81" s="57">
        <f t="shared" si="380"/>
        <v>0</v>
      </c>
      <c r="Z81" s="59">
        <f t="shared" si="381"/>
        <v>0</v>
      </c>
      <c r="AA81" s="55">
        <f t="shared" si="382"/>
        <v>0</v>
      </c>
      <c r="AB81" s="59">
        <f t="shared" si="383"/>
        <v>0</v>
      </c>
      <c r="AC81" s="60">
        <f t="shared" si="384"/>
        <v>0</v>
      </c>
      <c r="AD81" s="59">
        <f t="shared" si="385"/>
        <v>0</v>
      </c>
      <c r="AE81" s="60">
        <f t="shared" si="386"/>
        <v>0</v>
      </c>
      <c r="AF81" s="59">
        <f t="shared" si="387"/>
        <v>0</v>
      </c>
      <c r="AG81" s="60">
        <f t="shared" si="388"/>
        <v>0</v>
      </c>
      <c r="AH81" s="59">
        <f t="shared" si="389"/>
        <v>0</v>
      </c>
      <c r="AI81" s="55">
        <f t="shared" si="390"/>
        <v>0</v>
      </c>
      <c r="AJ81" s="59">
        <f t="shared" si="391"/>
        <v>0</v>
      </c>
      <c r="AK81" s="60">
        <f t="shared" si="392"/>
        <v>0</v>
      </c>
      <c r="AL81" s="59">
        <f t="shared" si="393"/>
        <v>0</v>
      </c>
      <c r="AM81" s="60">
        <f t="shared" si="394"/>
        <v>0</v>
      </c>
      <c r="AN81" s="59">
        <f t="shared" si="395"/>
        <v>0</v>
      </c>
      <c r="AO81" s="60">
        <f t="shared" si="396"/>
        <v>0</v>
      </c>
      <c r="AP81" s="59">
        <f t="shared" si="397"/>
        <v>0</v>
      </c>
      <c r="AQ81" s="60">
        <f t="shared" si="398"/>
        <v>0</v>
      </c>
      <c r="AR81" s="59">
        <f t="shared" si="399"/>
        <v>0</v>
      </c>
      <c r="AS81" s="55">
        <f t="shared" si="400"/>
        <v>0</v>
      </c>
      <c r="AT81" s="59">
        <f t="shared" si="401"/>
        <v>0</v>
      </c>
      <c r="AU81" s="60">
        <f t="shared" si="402"/>
        <v>0</v>
      </c>
      <c r="AV81" s="59">
        <f t="shared" si="403"/>
        <v>0</v>
      </c>
      <c r="AW81" s="60">
        <f t="shared" si="404"/>
        <v>0</v>
      </c>
      <c r="AX81" s="59">
        <f t="shared" si="405"/>
        <v>0</v>
      </c>
      <c r="AY81" s="55">
        <f t="shared" si="406"/>
        <v>0</v>
      </c>
      <c r="AZ81" s="59">
        <f t="shared" si="407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0"/>
        <v>0.91</v>
      </c>
      <c r="BH81" s="55">
        <f t="shared" si="500"/>
        <v>0.89</v>
      </c>
      <c r="BI81" s="55">
        <f t="shared" si="500"/>
        <v>0.87</v>
      </c>
      <c r="BJ81" s="55">
        <f t="shared" si="500"/>
        <v>0.85</v>
      </c>
      <c r="BK81" s="55">
        <f t="shared" si="500"/>
        <v>0.83</v>
      </c>
      <c r="BL81" s="55">
        <f t="shared" si="500"/>
        <v>0.80999999999999994</v>
      </c>
      <c r="BM81" s="55">
        <f t="shared" si="500"/>
        <v>0.78999999999999992</v>
      </c>
      <c r="BN81" s="55">
        <f t="shared" si="500"/>
        <v>0.76999999999999991</v>
      </c>
      <c r="BO81" s="55">
        <f t="shared" si="500"/>
        <v>0.74999999999999989</v>
      </c>
      <c r="BP81" s="55">
        <f t="shared" si="500"/>
        <v>0.72999999999999987</v>
      </c>
      <c r="BQ81" s="55">
        <f t="shared" si="500"/>
        <v>0.70999999999999985</v>
      </c>
      <c r="BR81" s="55">
        <f t="shared" si="500"/>
        <v>0.68999999999999984</v>
      </c>
      <c r="BS81" s="55">
        <f t="shared" si="500"/>
        <v>0.66999999999999982</v>
      </c>
      <c r="BT81" s="55">
        <f t="shared" si="500"/>
        <v>0.6499999999999998</v>
      </c>
      <c r="BU81" s="55">
        <f t="shared" si="500"/>
        <v>0.62999999999999978</v>
      </c>
      <c r="BV81" s="55">
        <f t="shared" si="500"/>
        <v>0.60999999999999976</v>
      </c>
      <c r="BW81" s="55">
        <f t="shared" si="500"/>
        <v>0.58999999999999975</v>
      </c>
      <c r="BX81" s="55">
        <f t="shared" si="500"/>
        <v>0.56999999999999973</v>
      </c>
      <c r="BZ81" s="55">
        <f t="shared" si="88"/>
        <v>0</v>
      </c>
      <c r="CA81" s="55">
        <f t="shared" si="89"/>
        <v>0</v>
      </c>
      <c r="CB81" s="59">
        <f t="shared" si="409"/>
        <v>0</v>
      </c>
      <c r="CC81" s="55">
        <f t="shared" si="410"/>
        <v>0</v>
      </c>
      <c r="CD81" s="59">
        <f t="shared" si="411"/>
        <v>0</v>
      </c>
      <c r="CE81" s="55">
        <f t="shared" si="412"/>
        <v>0</v>
      </c>
      <c r="CF81" s="59">
        <f t="shared" si="413"/>
        <v>0</v>
      </c>
      <c r="CG81" s="55">
        <f t="shared" si="414"/>
        <v>0</v>
      </c>
      <c r="CH81" s="59">
        <f t="shared" si="415"/>
        <v>0</v>
      </c>
      <c r="CI81" s="57">
        <f t="shared" si="416"/>
        <v>0</v>
      </c>
      <c r="CJ81" s="59">
        <f t="shared" si="417"/>
        <v>0</v>
      </c>
      <c r="CK81" s="55">
        <f t="shared" si="418"/>
        <v>0</v>
      </c>
      <c r="CL81" s="59">
        <f t="shared" si="419"/>
        <v>0</v>
      </c>
      <c r="CM81" s="57">
        <f t="shared" si="420"/>
        <v>0</v>
      </c>
      <c r="CN81" s="59">
        <f t="shared" si="421"/>
        <v>0</v>
      </c>
      <c r="CO81" s="60">
        <f t="shared" si="422"/>
        <v>0</v>
      </c>
      <c r="CP81" s="59">
        <f t="shared" si="423"/>
        <v>0</v>
      </c>
      <c r="CQ81" s="57">
        <f t="shared" si="424"/>
        <v>0</v>
      </c>
      <c r="CR81" s="59">
        <f t="shared" si="425"/>
        <v>0</v>
      </c>
      <c r="CS81" s="55">
        <f t="shared" si="426"/>
        <v>0</v>
      </c>
      <c r="CT81" s="59">
        <f t="shared" si="427"/>
        <v>0</v>
      </c>
      <c r="CU81" s="60">
        <f t="shared" si="428"/>
        <v>0</v>
      </c>
      <c r="CV81" s="59">
        <f t="shared" si="429"/>
        <v>0</v>
      </c>
      <c r="CW81" s="60">
        <f t="shared" si="430"/>
        <v>0</v>
      </c>
      <c r="CX81" s="59">
        <f t="shared" si="431"/>
        <v>0</v>
      </c>
      <c r="CY81" s="60">
        <f t="shared" si="432"/>
        <v>0</v>
      </c>
      <c r="CZ81" s="59">
        <f t="shared" si="433"/>
        <v>0</v>
      </c>
      <c r="DA81" s="55">
        <f t="shared" si="434"/>
        <v>0</v>
      </c>
      <c r="DB81" s="59">
        <f t="shared" si="435"/>
        <v>0</v>
      </c>
      <c r="DC81" s="60">
        <f t="shared" si="436"/>
        <v>0</v>
      </c>
      <c r="DD81" s="59">
        <f t="shared" si="437"/>
        <v>0</v>
      </c>
      <c r="DE81" s="60">
        <f t="shared" si="438"/>
        <v>0</v>
      </c>
      <c r="DF81" s="59">
        <f t="shared" si="439"/>
        <v>0</v>
      </c>
      <c r="DG81" s="60">
        <f t="shared" si="440"/>
        <v>0</v>
      </c>
      <c r="DH81" s="59">
        <f t="shared" si="441"/>
        <v>0</v>
      </c>
      <c r="DI81" s="60">
        <f t="shared" si="442"/>
        <v>0</v>
      </c>
      <c r="DJ81" s="59">
        <f t="shared" si="443"/>
        <v>0</v>
      </c>
      <c r="DK81" s="55">
        <f t="shared" si="444"/>
        <v>0</v>
      </c>
      <c r="DL81" s="59">
        <f t="shared" si="445"/>
        <v>0</v>
      </c>
      <c r="DM81" s="60">
        <f t="shared" si="446"/>
        <v>0</v>
      </c>
      <c r="DN81" s="59">
        <f t="shared" si="447"/>
        <v>0</v>
      </c>
      <c r="DO81" s="60">
        <f t="shared" si="448"/>
        <v>0</v>
      </c>
      <c r="DP81" s="59">
        <f t="shared" si="449"/>
        <v>0</v>
      </c>
      <c r="DQ81" s="55">
        <f t="shared" si="450"/>
        <v>0</v>
      </c>
      <c r="DR81" s="59">
        <f t="shared" si="451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3"/>
        <v>0.91</v>
      </c>
      <c r="DZ81" s="55">
        <f t="shared" si="503"/>
        <v>0.89</v>
      </c>
      <c r="EA81" s="55">
        <f t="shared" si="503"/>
        <v>0.87</v>
      </c>
      <c r="EB81" s="55">
        <f t="shared" si="503"/>
        <v>0.85</v>
      </c>
      <c r="EC81" s="55">
        <f t="shared" si="503"/>
        <v>0.83</v>
      </c>
      <c r="ED81" s="55">
        <f t="shared" si="503"/>
        <v>0.80999999999999994</v>
      </c>
      <c r="EE81" s="55">
        <f t="shared" si="503"/>
        <v>0.78999999999999992</v>
      </c>
      <c r="EF81" s="55">
        <f t="shared" si="503"/>
        <v>0.76999999999999991</v>
      </c>
      <c r="EG81" s="55">
        <f t="shared" si="503"/>
        <v>0.74999999999999989</v>
      </c>
      <c r="EH81" s="55">
        <f t="shared" si="503"/>
        <v>0.72999999999999987</v>
      </c>
      <c r="EI81" s="55">
        <f t="shared" si="503"/>
        <v>0.70999999999999985</v>
      </c>
      <c r="EJ81" s="55">
        <f t="shared" si="503"/>
        <v>0.68999999999999984</v>
      </c>
      <c r="EK81" s="55">
        <f t="shared" si="503"/>
        <v>0.66999999999999982</v>
      </c>
      <c r="EL81" s="55">
        <f t="shared" si="503"/>
        <v>0.6499999999999998</v>
      </c>
      <c r="EM81" s="55">
        <f t="shared" si="503"/>
        <v>0.62999999999999978</v>
      </c>
      <c r="EN81" s="55">
        <f t="shared" si="503"/>
        <v>0.60999999999999976</v>
      </c>
      <c r="EO81" s="55">
        <f t="shared" si="503"/>
        <v>0.58999999999999975</v>
      </c>
      <c r="EP81" s="55">
        <f t="shared" si="503"/>
        <v>0.56999999999999973</v>
      </c>
      <c r="ER81" s="55">
        <f t="shared" si="142"/>
        <v>0</v>
      </c>
      <c r="ES81" s="55">
        <f t="shared" si="116"/>
        <v>0</v>
      </c>
      <c r="ET81" s="59">
        <f t="shared" si="453"/>
        <v>0</v>
      </c>
      <c r="EU81" s="55">
        <f t="shared" si="454"/>
        <v>0</v>
      </c>
      <c r="EV81" s="59">
        <f t="shared" si="455"/>
        <v>0</v>
      </c>
      <c r="EW81" s="55">
        <f t="shared" si="456"/>
        <v>0</v>
      </c>
      <c r="EX81" s="59">
        <f t="shared" si="457"/>
        <v>0</v>
      </c>
      <c r="EY81" s="55">
        <f t="shared" si="458"/>
        <v>0</v>
      </c>
      <c r="EZ81" s="59">
        <f t="shared" si="459"/>
        <v>0</v>
      </c>
      <c r="FA81" s="57">
        <f t="shared" si="460"/>
        <v>0</v>
      </c>
      <c r="FB81" s="59">
        <f t="shared" si="461"/>
        <v>0</v>
      </c>
      <c r="FC81" s="55">
        <f t="shared" si="462"/>
        <v>0</v>
      </c>
      <c r="FD81" s="59">
        <f t="shared" si="463"/>
        <v>0</v>
      </c>
      <c r="FE81" s="57">
        <f t="shared" si="464"/>
        <v>0</v>
      </c>
      <c r="FF81" s="59">
        <f t="shared" si="465"/>
        <v>0</v>
      </c>
      <c r="FG81" s="60">
        <f t="shared" si="466"/>
        <v>0</v>
      </c>
      <c r="FH81" s="59">
        <f t="shared" si="467"/>
        <v>0</v>
      </c>
      <c r="FI81" s="57">
        <f t="shared" si="468"/>
        <v>0</v>
      </c>
      <c r="FJ81" s="59">
        <f t="shared" si="469"/>
        <v>0</v>
      </c>
      <c r="FK81" s="55">
        <f t="shared" si="470"/>
        <v>0</v>
      </c>
      <c r="FL81" s="59">
        <f t="shared" si="471"/>
        <v>0</v>
      </c>
      <c r="FM81" s="60">
        <f t="shared" si="472"/>
        <v>0</v>
      </c>
      <c r="FN81" s="59">
        <f t="shared" si="473"/>
        <v>0</v>
      </c>
      <c r="FO81" s="60">
        <f t="shared" si="474"/>
        <v>0</v>
      </c>
      <c r="FP81" s="59">
        <f t="shared" si="475"/>
        <v>0</v>
      </c>
      <c r="FQ81" s="60">
        <f t="shared" si="476"/>
        <v>0</v>
      </c>
      <c r="FR81" s="59">
        <f t="shared" si="477"/>
        <v>0</v>
      </c>
      <c r="FS81" s="55">
        <f t="shared" si="478"/>
        <v>0</v>
      </c>
      <c r="FT81" s="59">
        <f t="shared" si="479"/>
        <v>0</v>
      </c>
      <c r="FU81" s="60">
        <f t="shared" si="480"/>
        <v>0</v>
      </c>
      <c r="FV81" s="59">
        <f t="shared" si="481"/>
        <v>0</v>
      </c>
      <c r="FW81" s="60">
        <f t="shared" si="482"/>
        <v>0</v>
      </c>
      <c r="FX81" s="59">
        <f t="shared" si="483"/>
        <v>0</v>
      </c>
      <c r="FY81" s="60">
        <f t="shared" si="484"/>
        <v>0</v>
      </c>
      <c r="FZ81" s="59">
        <f t="shared" si="485"/>
        <v>0</v>
      </c>
      <c r="GA81" s="60">
        <f t="shared" si="486"/>
        <v>0</v>
      </c>
      <c r="GB81" s="59">
        <f t="shared" si="487"/>
        <v>0</v>
      </c>
      <c r="GC81" s="55">
        <f t="shared" si="488"/>
        <v>0</v>
      </c>
      <c r="GD81" s="59">
        <f t="shared" si="489"/>
        <v>0</v>
      </c>
      <c r="GE81" s="60">
        <f t="shared" si="490"/>
        <v>0</v>
      </c>
      <c r="GF81" s="59">
        <f t="shared" si="491"/>
        <v>0</v>
      </c>
      <c r="GG81" s="60">
        <f t="shared" si="492"/>
        <v>0</v>
      </c>
      <c r="GH81" s="59">
        <f t="shared" si="493"/>
        <v>0</v>
      </c>
      <c r="GI81" s="55">
        <f t="shared" si="494"/>
        <v>0</v>
      </c>
      <c r="GJ81" s="59">
        <f t="shared" si="495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4"/>
        <v>0.91</v>
      </c>
      <c r="GR81" s="55">
        <f t="shared" si="504"/>
        <v>0.89</v>
      </c>
      <c r="GS81" s="55">
        <f t="shared" si="504"/>
        <v>0.87</v>
      </c>
      <c r="GT81" s="55">
        <f t="shared" si="504"/>
        <v>0.85</v>
      </c>
      <c r="GU81" s="55">
        <f t="shared" si="504"/>
        <v>0.83</v>
      </c>
      <c r="GV81" s="55">
        <f t="shared" si="504"/>
        <v>0.80999999999999994</v>
      </c>
      <c r="GW81" s="55">
        <f t="shared" si="504"/>
        <v>0.78999999999999992</v>
      </c>
      <c r="GX81" s="55">
        <f t="shared" si="504"/>
        <v>0.76999999999999991</v>
      </c>
      <c r="GY81" s="55">
        <f t="shared" si="504"/>
        <v>0.74999999999999989</v>
      </c>
      <c r="GZ81" s="55">
        <f t="shared" si="504"/>
        <v>0.72999999999999987</v>
      </c>
      <c r="HA81" s="55">
        <f t="shared" si="504"/>
        <v>0.70999999999999985</v>
      </c>
      <c r="HB81" s="55">
        <f t="shared" si="504"/>
        <v>0.68999999999999984</v>
      </c>
      <c r="HC81" s="55">
        <f t="shared" si="504"/>
        <v>0.66999999999999982</v>
      </c>
      <c r="HD81" s="55">
        <f t="shared" si="504"/>
        <v>0.6499999999999998</v>
      </c>
      <c r="HE81" s="55">
        <f t="shared" si="504"/>
        <v>0.62999999999999978</v>
      </c>
      <c r="HF81" s="55">
        <f t="shared" si="504"/>
        <v>0.60999999999999976</v>
      </c>
      <c r="HG81" s="55">
        <f t="shared" si="504"/>
        <v>0.58999999999999975</v>
      </c>
      <c r="HH81" s="55">
        <f t="shared" si="504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65"/>
        <v>0</v>
      </c>
      <c r="H82" s="55">
        <f t="shared" si="61"/>
        <v>0</v>
      </c>
      <c r="I82" s="55">
        <f t="shared" si="62"/>
        <v>0</v>
      </c>
      <c r="J82" s="59">
        <f t="shared" si="63"/>
        <v>0</v>
      </c>
      <c r="K82" s="55">
        <f t="shared" si="366"/>
        <v>0</v>
      </c>
      <c r="L82" s="59">
        <f t="shared" si="367"/>
        <v>0</v>
      </c>
      <c r="M82" s="55">
        <f t="shared" si="368"/>
        <v>0</v>
      </c>
      <c r="N82" s="59">
        <f t="shared" si="369"/>
        <v>0</v>
      </c>
      <c r="O82" s="55">
        <f t="shared" si="370"/>
        <v>0</v>
      </c>
      <c r="P82" s="59">
        <f t="shared" si="371"/>
        <v>0</v>
      </c>
      <c r="Q82" s="57">
        <f t="shared" si="372"/>
        <v>0</v>
      </c>
      <c r="R82" s="59">
        <f t="shared" si="373"/>
        <v>0</v>
      </c>
      <c r="S82" s="55">
        <f t="shared" si="374"/>
        <v>0</v>
      </c>
      <c r="T82" s="59">
        <f t="shared" si="375"/>
        <v>0</v>
      </c>
      <c r="U82" s="57">
        <f t="shared" si="376"/>
        <v>0</v>
      </c>
      <c r="V82" s="59">
        <f t="shared" si="377"/>
        <v>0</v>
      </c>
      <c r="W82" s="60">
        <f t="shared" si="378"/>
        <v>0</v>
      </c>
      <c r="X82" s="59">
        <f t="shared" si="379"/>
        <v>0</v>
      </c>
      <c r="Y82" s="57">
        <f t="shared" si="380"/>
        <v>0</v>
      </c>
      <c r="Z82" s="59">
        <f t="shared" si="381"/>
        <v>0</v>
      </c>
      <c r="AA82" s="55">
        <f t="shared" si="382"/>
        <v>0</v>
      </c>
      <c r="AB82" s="59">
        <f t="shared" si="383"/>
        <v>0</v>
      </c>
      <c r="AC82" s="60">
        <f t="shared" si="384"/>
        <v>0</v>
      </c>
      <c r="AD82" s="59">
        <f t="shared" si="385"/>
        <v>0</v>
      </c>
      <c r="AE82" s="60">
        <f t="shared" si="386"/>
        <v>0</v>
      </c>
      <c r="AF82" s="59">
        <f t="shared" si="387"/>
        <v>0</v>
      </c>
      <c r="AG82" s="60">
        <f t="shared" si="388"/>
        <v>0</v>
      </c>
      <c r="AH82" s="59">
        <f t="shared" si="389"/>
        <v>0</v>
      </c>
      <c r="AI82" s="55">
        <f t="shared" si="390"/>
        <v>0</v>
      </c>
      <c r="AJ82" s="59">
        <f t="shared" si="391"/>
        <v>0</v>
      </c>
      <c r="AK82" s="60">
        <f t="shared" si="392"/>
        <v>0</v>
      </c>
      <c r="AL82" s="59">
        <f t="shared" si="393"/>
        <v>0</v>
      </c>
      <c r="AM82" s="60">
        <f t="shared" si="394"/>
        <v>0</v>
      </c>
      <c r="AN82" s="59">
        <f t="shared" si="395"/>
        <v>0</v>
      </c>
      <c r="AO82" s="60">
        <f t="shared" si="396"/>
        <v>0</v>
      </c>
      <c r="AP82" s="59">
        <f t="shared" si="397"/>
        <v>0</v>
      </c>
      <c r="AQ82" s="60">
        <f t="shared" si="398"/>
        <v>0</v>
      </c>
      <c r="AR82" s="59">
        <f t="shared" si="399"/>
        <v>0</v>
      </c>
      <c r="AS82" s="55">
        <f t="shared" si="400"/>
        <v>0</v>
      </c>
      <c r="AT82" s="59">
        <f t="shared" si="401"/>
        <v>0</v>
      </c>
      <c r="AU82" s="60">
        <f t="shared" si="402"/>
        <v>0</v>
      </c>
      <c r="AV82" s="59">
        <f t="shared" si="403"/>
        <v>0</v>
      </c>
      <c r="AW82" s="60">
        <f t="shared" si="404"/>
        <v>0</v>
      </c>
      <c r="AX82" s="59">
        <f t="shared" si="405"/>
        <v>0</v>
      </c>
      <c r="AY82" s="55">
        <f t="shared" si="406"/>
        <v>0</v>
      </c>
      <c r="AZ82" s="59">
        <f t="shared" si="407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0"/>
        <v>0.91</v>
      </c>
      <c r="BH82" s="55">
        <f t="shared" si="500"/>
        <v>0.89</v>
      </c>
      <c r="BI82" s="55">
        <f t="shared" si="500"/>
        <v>0.87</v>
      </c>
      <c r="BJ82" s="55">
        <f t="shared" si="500"/>
        <v>0.85</v>
      </c>
      <c r="BK82" s="55">
        <f t="shared" si="500"/>
        <v>0.83</v>
      </c>
      <c r="BL82" s="55">
        <f t="shared" si="500"/>
        <v>0.80999999999999994</v>
      </c>
      <c r="BM82" s="55">
        <f t="shared" si="500"/>
        <v>0.78999999999999992</v>
      </c>
      <c r="BN82" s="55">
        <f t="shared" si="500"/>
        <v>0.76999999999999991</v>
      </c>
      <c r="BO82" s="55">
        <f t="shared" si="500"/>
        <v>0.74999999999999989</v>
      </c>
      <c r="BP82" s="55">
        <f t="shared" si="500"/>
        <v>0.72999999999999987</v>
      </c>
      <c r="BQ82" s="55">
        <f t="shared" si="500"/>
        <v>0.70999999999999985</v>
      </c>
      <c r="BR82" s="55">
        <f t="shared" si="500"/>
        <v>0.68999999999999984</v>
      </c>
      <c r="BS82" s="55">
        <f t="shared" si="500"/>
        <v>0.66999999999999982</v>
      </c>
      <c r="BT82" s="55">
        <f t="shared" si="500"/>
        <v>0.6499999999999998</v>
      </c>
      <c r="BU82" s="55">
        <f t="shared" si="500"/>
        <v>0.62999999999999978</v>
      </c>
      <c r="BV82" s="55">
        <f t="shared" si="500"/>
        <v>0.60999999999999976</v>
      </c>
      <c r="BW82" s="55">
        <f t="shared" si="500"/>
        <v>0.58999999999999975</v>
      </c>
      <c r="BX82" s="55">
        <f t="shared" si="500"/>
        <v>0.56999999999999973</v>
      </c>
      <c r="BZ82" s="55">
        <f t="shared" si="88"/>
        <v>0</v>
      </c>
      <c r="CA82" s="55">
        <f t="shared" si="89"/>
        <v>0</v>
      </c>
      <c r="CB82" s="59">
        <f t="shared" si="409"/>
        <v>0</v>
      </c>
      <c r="CC82" s="55">
        <f t="shared" si="410"/>
        <v>0</v>
      </c>
      <c r="CD82" s="59">
        <f t="shared" si="411"/>
        <v>0</v>
      </c>
      <c r="CE82" s="55">
        <f t="shared" si="412"/>
        <v>0</v>
      </c>
      <c r="CF82" s="59">
        <f t="shared" si="413"/>
        <v>0</v>
      </c>
      <c r="CG82" s="55">
        <f t="shared" si="414"/>
        <v>0</v>
      </c>
      <c r="CH82" s="59">
        <f t="shared" si="415"/>
        <v>0</v>
      </c>
      <c r="CI82" s="57">
        <f t="shared" si="416"/>
        <v>0</v>
      </c>
      <c r="CJ82" s="59">
        <f t="shared" si="417"/>
        <v>0</v>
      </c>
      <c r="CK82" s="55">
        <f t="shared" si="418"/>
        <v>0</v>
      </c>
      <c r="CL82" s="59">
        <f t="shared" si="419"/>
        <v>0</v>
      </c>
      <c r="CM82" s="57">
        <f t="shared" si="420"/>
        <v>0</v>
      </c>
      <c r="CN82" s="59">
        <f t="shared" si="421"/>
        <v>0</v>
      </c>
      <c r="CO82" s="60">
        <f t="shared" si="422"/>
        <v>0</v>
      </c>
      <c r="CP82" s="59">
        <f t="shared" si="423"/>
        <v>0</v>
      </c>
      <c r="CQ82" s="57">
        <f t="shared" si="424"/>
        <v>0</v>
      </c>
      <c r="CR82" s="59">
        <f t="shared" si="425"/>
        <v>0</v>
      </c>
      <c r="CS82" s="55">
        <f t="shared" si="426"/>
        <v>0</v>
      </c>
      <c r="CT82" s="59">
        <f t="shared" si="427"/>
        <v>0</v>
      </c>
      <c r="CU82" s="60">
        <f t="shared" si="428"/>
        <v>0</v>
      </c>
      <c r="CV82" s="59">
        <f t="shared" si="429"/>
        <v>0</v>
      </c>
      <c r="CW82" s="60">
        <f t="shared" si="430"/>
        <v>0</v>
      </c>
      <c r="CX82" s="59">
        <f t="shared" si="431"/>
        <v>0</v>
      </c>
      <c r="CY82" s="60">
        <f t="shared" si="432"/>
        <v>0</v>
      </c>
      <c r="CZ82" s="59">
        <f t="shared" si="433"/>
        <v>0</v>
      </c>
      <c r="DA82" s="55">
        <f t="shared" si="434"/>
        <v>0</v>
      </c>
      <c r="DB82" s="59">
        <f t="shared" si="435"/>
        <v>0</v>
      </c>
      <c r="DC82" s="60">
        <f t="shared" si="436"/>
        <v>0</v>
      </c>
      <c r="DD82" s="59">
        <f t="shared" si="437"/>
        <v>0</v>
      </c>
      <c r="DE82" s="60">
        <f t="shared" si="438"/>
        <v>0</v>
      </c>
      <c r="DF82" s="59">
        <f t="shared" si="439"/>
        <v>0</v>
      </c>
      <c r="DG82" s="60">
        <f t="shared" si="440"/>
        <v>0</v>
      </c>
      <c r="DH82" s="59">
        <f t="shared" si="441"/>
        <v>0</v>
      </c>
      <c r="DI82" s="60">
        <f t="shared" si="442"/>
        <v>0</v>
      </c>
      <c r="DJ82" s="59">
        <f t="shared" si="443"/>
        <v>0</v>
      </c>
      <c r="DK82" s="55">
        <f t="shared" si="444"/>
        <v>0</v>
      </c>
      <c r="DL82" s="59">
        <f t="shared" si="445"/>
        <v>0</v>
      </c>
      <c r="DM82" s="60">
        <f t="shared" si="446"/>
        <v>0</v>
      </c>
      <c r="DN82" s="59">
        <f t="shared" si="447"/>
        <v>0</v>
      </c>
      <c r="DO82" s="60">
        <f t="shared" si="448"/>
        <v>0</v>
      </c>
      <c r="DP82" s="59">
        <f t="shared" si="449"/>
        <v>0</v>
      </c>
      <c r="DQ82" s="55">
        <f t="shared" si="450"/>
        <v>0</v>
      </c>
      <c r="DR82" s="59">
        <f t="shared" si="451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3"/>
        <v>0.91</v>
      </c>
      <c r="DZ82" s="55">
        <f t="shared" si="503"/>
        <v>0.89</v>
      </c>
      <c r="EA82" s="55">
        <f t="shared" si="503"/>
        <v>0.87</v>
      </c>
      <c r="EB82" s="55">
        <f t="shared" si="503"/>
        <v>0.85</v>
      </c>
      <c r="EC82" s="55">
        <f t="shared" si="503"/>
        <v>0.83</v>
      </c>
      <c r="ED82" s="55">
        <f t="shared" si="503"/>
        <v>0.80999999999999994</v>
      </c>
      <c r="EE82" s="55">
        <f t="shared" si="503"/>
        <v>0.78999999999999992</v>
      </c>
      <c r="EF82" s="55">
        <f t="shared" si="503"/>
        <v>0.76999999999999991</v>
      </c>
      <c r="EG82" s="55">
        <f t="shared" si="503"/>
        <v>0.74999999999999989</v>
      </c>
      <c r="EH82" s="55">
        <f t="shared" si="503"/>
        <v>0.72999999999999987</v>
      </c>
      <c r="EI82" s="55">
        <f t="shared" si="503"/>
        <v>0.70999999999999985</v>
      </c>
      <c r="EJ82" s="55">
        <f t="shared" si="503"/>
        <v>0.68999999999999984</v>
      </c>
      <c r="EK82" s="55">
        <f t="shared" si="503"/>
        <v>0.66999999999999982</v>
      </c>
      <c r="EL82" s="55">
        <f t="shared" si="503"/>
        <v>0.6499999999999998</v>
      </c>
      <c r="EM82" s="55">
        <f t="shared" si="503"/>
        <v>0.62999999999999978</v>
      </c>
      <c r="EN82" s="55">
        <f t="shared" si="503"/>
        <v>0.60999999999999976</v>
      </c>
      <c r="EO82" s="55">
        <f t="shared" si="503"/>
        <v>0.58999999999999975</v>
      </c>
      <c r="EP82" s="55">
        <f t="shared" si="503"/>
        <v>0.56999999999999973</v>
      </c>
      <c r="ER82" s="55">
        <f t="shared" si="142"/>
        <v>0</v>
      </c>
      <c r="ES82" s="55">
        <f t="shared" si="116"/>
        <v>0</v>
      </c>
      <c r="ET82" s="59">
        <f t="shared" si="453"/>
        <v>0</v>
      </c>
      <c r="EU82" s="55">
        <f t="shared" si="454"/>
        <v>0</v>
      </c>
      <c r="EV82" s="59">
        <f t="shared" si="455"/>
        <v>0</v>
      </c>
      <c r="EW82" s="55">
        <f t="shared" si="456"/>
        <v>0</v>
      </c>
      <c r="EX82" s="59">
        <f t="shared" si="457"/>
        <v>0</v>
      </c>
      <c r="EY82" s="55">
        <f t="shared" si="458"/>
        <v>0</v>
      </c>
      <c r="EZ82" s="59">
        <f t="shared" si="459"/>
        <v>0</v>
      </c>
      <c r="FA82" s="57">
        <f t="shared" si="460"/>
        <v>0</v>
      </c>
      <c r="FB82" s="59">
        <f t="shared" si="461"/>
        <v>0</v>
      </c>
      <c r="FC82" s="55">
        <f t="shared" si="462"/>
        <v>0</v>
      </c>
      <c r="FD82" s="59">
        <f t="shared" si="463"/>
        <v>0</v>
      </c>
      <c r="FE82" s="57">
        <f t="shared" si="464"/>
        <v>0</v>
      </c>
      <c r="FF82" s="59">
        <f t="shared" si="465"/>
        <v>0</v>
      </c>
      <c r="FG82" s="60">
        <f t="shared" si="466"/>
        <v>0</v>
      </c>
      <c r="FH82" s="59">
        <f t="shared" si="467"/>
        <v>0</v>
      </c>
      <c r="FI82" s="57">
        <f t="shared" si="468"/>
        <v>0</v>
      </c>
      <c r="FJ82" s="59">
        <f t="shared" si="469"/>
        <v>0</v>
      </c>
      <c r="FK82" s="55">
        <f t="shared" si="470"/>
        <v>0</v>
      </c>
      <c r="FL82" s="59">
        <f t="shared" si="471"/>
        <v>0</v>
      </c>
      <c r="FM82" s="60">
        <f t="shared" si="472"/>
        <v>0</v>
      </c>
      <c r="FN82" s="59">
        <f t="shared" si="473"/>
        <v>0</v>
      </c>
      <c r="FO82" s="60">
        <f t="shared" si="474"/>
        <v>0</v>
      </c>
      <c r="FP82" s="59">
        <f t="shared" si="475"/>
        <v>0</v>
      </c>
      <c r="FQ82" s="60">
        <f t="shared" si="476"/>
        <v>0</v>
      </c>
      <c r="FR82" s="59">
        <f t="shared" si="477"/>
        <v>0</v>
      </c>
      <c r="FS82" s="55">
        <f t="shared" si="478"/>
        <v>0</v>
      </c>
      <c r="FT82" s="59">
        <f t="shared" si="479"/>
        <v>0</v>
      </c>
      <c r="FU82" s="60">
        <f t="shared" si="480"/>
        <v>0</v>
      </c>
      <c r="FV82" s="59">
        <f t="shared" si="481"/>
        <v>0</v>
      </c>
      <c r="FW82" s="60">
        <f t="shared" si="482"/>
        <v>0</v>
      </c>
      <c r="FX82" s="59">
        <f t="shared" si="483"/>
        <v>0</v>
      </c>
      <c r="FY82" s="60">
        <f t="shared" si="484"/>
        <v>0</v>
      </c>
      <c r="FZ82" s="59">
        <f t="shared" si="485"/>
        <v>0</v>
      </c>
      <c r="GA82" s="60">
        <f t="shared" si="486"/>
        <v>0</v>
      </c>
      <c r="GB82" s="59">
        <f t="shared" si="487"/>
        <v>0</v>
      </c>
      <c r="GC82" s="55">
        <f t="shared" si="488"/>
        <v>0</v>
      </c>
      <c r="GD82" s="59">
        <f t="shared" si="489"/>
        <v>0</v>
      </c>
      <c r="GE82" s="60">
        <f t="shared" si="490"/>
        <v>0</v>
      </c>
      <c r="GF82" s="59">
        <f t="shared" si="491"/>
        <v>0</v>
      </c>
      <c r="GG82" s="60">
        <f t="shared" si="492"/>
        <v>0</v>
      </c>
      <c r="GH82" s="59">
        <f t="shared" si="493"/>
        <v>0</v>
      </c>
      <c r="GI82" s="55">
        <f t="shared" si="494"/>
        <v>0</v>
      </c>
      <c r="GJ82" s="59">
        <f t="shared" si="495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4"/>
        <v>0.91</v>
      </c>
      <c r="GR82" s="55">
        <f t="shared" si="504"/>
        <v>0.89</v>
      </c>
      <c r="GS82" s="55">
        <f t="shared" si="504"/>
        <v>0.87</v>
      </c>
      <c r="GT82" s="55">
        <f t="shared" si="504"/>
        <v>0.85</v>
      </c>
      <c r="GU82" s="55">
        <f t="shared" si="504"/>
        <v>0.83</v>
      </c>
      <c r="GV82" s="55">
        <f t="shared" si="504"/>
        <v>0.80999999999999994</v>
      </c>
      <c r="GW82" s="55">
        <f t="shared" si="504"/>
        <v>0.78999999999999992</v>
      </c>
      <c r="GX82" s="55">
        <f t="shared" si="504"/>
        <v>0.76999999999999991</v>
      </c>
      <c r="GY82" s="55">
        <f t="shared" si="504"/>
        <v>0.74999999999999989</v>
      </c>
      <c r="GZ82" s="55">
        <f t="shared" si="504"/>
        <v>0.72999999999999987</v>
      </c>
      <c r="HA82" s="55">
        <f t="shared" si="504"/>
        <v>0.70999999999999985</v>
      </c>
      <c r="HB82" s="55">
        <f t="shared" si="504"/>
        <v>0.68999999999999984</v>
      </c>
      <c r="HC82" s="55">
        <f t="shared" si="504"/>
        <v>0.66999999999999982</v>
      </c>
      <c r="HD82" s="55">
        <f t="shared" si="504"/>
        <v>0.6499999999999998</v>
      </c>
      <c r="HE82" s="55">
        <f t="shared" si="504"/>
        <v>0.62999999999999978</v>
      </c>
      <c r="HF82" s="55">
        <f t="shared" si="504"/>
        <v>0.60999999999999976</v>
      </c>
      <c r="HG82" s="55">
        <f t="shared" si="504"/>
        <v>0.58999999999999975</v>
      </c>
      <c r="HH82" s="55">
        <f t="shared" si="504"/>
        <v>0.56999999999999973</v>
      </c>
    </row>
    <row r="83" spans="1:216" x14ac:dyDescent="0.3">
      <c r="A83" s="2">
        <v>21</v>
      </c>
      <c r="C83" s="38" t="s">
        <v>35</v>
      </c>
      <c r="D83" s="42">
        <f>TRUNC(13179.8565774595,-1)</f>
        <v>13170</v>
      </c>
      <c r="E83" s="71">
        <f t="shared" si="365"/>
        <v>43530</v>
      </c>
      <c r="H83" s="55">
        <f t="shared" si="61"/>
        <v>47883.000000000007</v>
      </c>
      <c r="I83" s="55">
        <f t="shared" si="62"/>
        <v>47883.000000000007</v>
      </c>
      <c r="J83" s="59">
        <f t="shared" si="63"/>
        <v>158291.62140000003</v>
      </c>
      <c r="K83" s="55">
        <f t="shared" si="366"/>
        <v>46446.510000000009</v>
      </c>
      <c r="L83" s="59">
        <f t="shared" si="367"/>
        <v>153542.87275800004</v>
      </c>
      <c r="M83" s="55">
        <f t="shared" si="368"/>
        <v>45488.850000000006</v>
      </c>
      <c r="N83" s="59">
        <f t="shared" si="369"/>
        <v>150377.04033000002</v>
      </c>
      <c r="O83" s="55">
        <f t="shared" si="370"/>
        <v>44531.19000000001</v>
      </c>
      <c r="P83" s="59">
        <f t="shared" si="371"/>
        <v>147211.20790200002</v>
      </c>
      <c r="Q83" s="57">
        <f t="shared" si="372"/>
        <v>43573.530000000006</v>
      </c>
      <c r="R83" s="59">
        <f t="shared" si="373"/>
        <v>144045.37547400003</v>
      </c>
      <c r="S83" s="55">
        <f t="shared" si="374"/>
        <v>42615.87000000001</v>
      </c>
      <c r="T83" s="59">
        <f t="shared" si="375"/>
        <v>140879.54304600004</v>
      </c>
      <c r="U83" s="57">
        <f t="shared" si="376"/>
        <v>41658.210000000006</v>
      </c>
      <c r="V83" s="59">
        <f t="shared" si="377"/>
        <v>137713.71061800001</v>
      </c>
      <c r="W83" s="60">
        <f t="shared" si="378"/>
        <v>40700.550000000003</v>
      </c>
      <c r="X83" s="59">
        <f t="shared" si="379"/>
        <v>134547.87819000002</v>
      </c>
      <c r="Y83" s="57">
        <f t="shared" si="380"/>
        <v>39742.890000000007</v>
      </c>
      <c r="Z83" s="59">
        <f t="shared" si="381"/>
        <v>131382.04576200002</v>
      </c>
      <c r="AA83" s="55">
        <f t="shared" si="382"/>
        <v>38785.230000000003</v>
      </c>
      <c r="AB83" s="59">
        <f t="shared" si="383"/>
        <v>128216.21333400001</v>
      </c>
      <c r="AC83" s="60">
        <f t="shared" si="384"/>
        <v>37827.57</v>
      </c>
      <c r="AD83" s="59">
        <f t="shared" si="385"/>
        <v>125050.38090600001</v>
      </c>
      <c r="AE83" s="60">
        <f t="shared" si="386"/>
        <v>36869.910000000003</v>
      </c>
      <c r="AF83" s="59">
        <f t="shared" si="387"/>
        <v>121884.54847800001</v>
      </c>
      <c r="AG83" s="60">
        <f t="shared" si="388"/>
        <v>35912.25</v>
      </c>
      <c r="AH83" s="59">
        <f t="shared" si="389"/>
        <v>118718.71605</v>
      </c>
      <c r="AI83" s="55">
        <f t="shared" si="390"/>
        <v>34954.589999999997</v>
      </c>
      <c r="AJ83" s="59">
        <f t="shared" si="391"/>
        <v>115552.88362199999</v>
      </c>
      <c r="AK83" s="60">
        <f t="shared" si="392"/>
        <v>33996.93</v>
      </c>
      <c r="AL83" s="59">
        <f t="shared" si="393"/>
        <v>112387.051194</v>
      </c>
      <c r="AM83" s="60">
        <f t="shared" si="394"/>
        <v>33039.269999999997</v>
      </c>
      <c r="AN83" s="59">
        <f t="shared" si="395"/>
        <v>109221.21876599999</v>
      </c>
      <c r="AO83" s="60">
        <f t="shared" si="396"/>
        <v>32081.609999999997</v>
      </c>
      <c r="AP83" s="59">
        <f t="shared" si="397"/>
        <v>106055.386338</v>
      </c>
      <c r="AQ83" s="60">
        <f t="shared" si="398"/>
        <v>31123.949999999993</v>
      </c>
      <c r="AR83" s="59">
        <f t="shared" si="399"/>
        <v>102889.55390999999</v>
      </c>
      <c r="AS83" s="55">
        <f t="shared" si="400"/>
        <v>30166.289999999994</v>
      </c>
      <c r="AT83" s="59">
        <f t="shared" si="401"/>
        <v>99723.721481999979</v>
      </c>
      <c r="AU83" s="60">
        <f t="shared" si="402"/>
        <v>29208.629999999994</v>
      </c>
      <c r="AV83" s="59">
        <f t="shared" si="403"/>
        <v>96557.889053999985</v>
      </c>
      <c r="AW83" s="60">
        <f t="shared" si="404"/>
        <v>28250.969999999994</v>
      </c>
      <c r="AX83" s="59">
        <f t="shared" si="405"/>
        <v>93392.056625999976</v>
      </c>
      <c r="AY83" s="55">
        <f t="shared" si="406"/>
        <v>27293.30999999999</v>
      </c>
      <c r="AZ83" s="59">
        <f t="shared" si="407"/>
        <v>90226.224197999967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0"/>
        <v>0.91</v>
      </c>
      <c r="BH83" s="55">
        <f t="shared" si="500"/>
        <v>0.89</v>
      </c>
      <c r="BI83" s="55">
        <f t="shared" si="500"/>
        <v>0.87</v>
      </c>
      <c r="BJ83" s="55">
        <f t="shared" si="500"/>
        <v>0.85</v>
      </c>
      <c r="BK83" s="55">
        <f t="shared" si="500"/>
        <v>0.83</v>
      </c>
      <c r="BL83" s="55">
        <f t="shared" si="500"/>
        <v>0.80999999999999994</v>
      </c>
      <c r="BM83" s="55">
        <f t="shared" si="500"/>
        <v>0.78999999999999992</v>
      </c>
      <c r="BN83" s="55">
        <f t="shared" si="500"/>
        <v>0.76999999999999991</v>
      </c>
      <c r="BO83" s="55">
        <f t="shared" si="500"/>
        <v>0.74999999999999989</v>
      </c>
      <c r="BP83" s="55">
        <f t="shared" si="500"/>
        <v>0.72999999999999987</v>
      </c>
      <c r="BQ83" s="55">
        <f t="shared" si="500"/>
        <v>0.70999999999999985</v>
      </c>
      <c r="BR83" s="55">
        <f t="shared" si="500"/>
        <v>0.68999999999999984</v>
      </c>
      <c r="BS83" s="55">
        <f t="shared" si="500"/>
        <v>0.66999999999999982</v>
      </c>
      <c r="BT83" s="55">
        <f t="shared" si="500"/>
        <v>0.6499999999999998</v>
      </c>
      <c r="BU83" s="55">
        <f t="shared" si="500"/>
        <v>0.62999999999999978</v>
      </c>
      <c r="BV83" s="55">
        <f t="shared" si="500"/>
        <v>0.60999999999999976</v>
      </c>
      <c r="BW83" s="55">
        <f t="shared" si="500"/>
        <v>0.58999999999999975</v>
      </c>
      <c r="BX83" s="55">
        <f t="shared" si="500"/>
        <v>0.56999999999999973</v>
      </c>
      <c r="BZ83" s="55">
        <f t="shared" si="88"/>
        <v>43573.530000000006</v>
      </c>
      <c r="CA83" s="55">
        <f t="shared" si="89"/>
        <v>43573.530000000006</v>
      </c>
      <c r="CB83" s="59">
        <f t="shared" si="409"/>
        <v>144045.37547400003</v>
      </c>
      <c r="CC83" s="55">
        <f t="shared" si="410"/>
        <v>42266.324100000005</v>
      </c>
      <c r="CD83" s="59">
        <f t="shared" si="411"/>
        <v>139724.01420978003</v>
      </c>
      <c r="CE83" s="55">
        <f t="shared" si="412"/>
        <v>41394.853500000005</v>
      </c>
      <c r="CF83" s="59">
        <f t="shared" si="413"/>
        <v>136843.10670030001</v>
      </c>
      <c r="CG83" s="55">
        <f t="shared" si="414"/>
        <v>40523.382900000011</v>
      </c>
      <c r="CH83" s="59">
        <f t="shared" si="415"/>
        <v>133962.19919082004</v>
      </c>
      <c r="CI83" s="57">
        <f t="shared" si="416"/>
        <v>39651.912300000004</v>
      </c>
      <c r="CJ83" s="59">
        <f t="shared" si="417"/>
        <v>131081.29168134002</v>
      </c>
      <c r="CK83" s="55">
        <f t="shared" si="418"/>
        <v>38780.441700000003</v>
      </c>
      <c r="CL83" s="59">
        <f t="shared" si="419"/>
        <v>128200.38417186002</v>
      </c>
      <c r="CM83" s="57">
        <f t="shared" si="420"/>
        <v>37908.971100000002</v>
      </c>
      <c r="CN83" s="59">
        <f t="shared" si="421"/>
        <v>125319.47666238001</v>
      </c>
      <c r="CO83" s="60">
        <f t="shared" si="422"/>
        <v>37037.500500000002</v>
      </c>
      <c r="CP83" s="59">
        <f t="shared" si="423"/>
        <v>122438.5691529</v>
      </c>
      <c r="CQ83" s="57">
        <f t="shared" si="424"/>
        <v>36166.029900000001</v>
      </c>
      <c r="CR83" s="59">
        <f t="shared" si="425"/>
        <v>119557.66164342001</v>
      </c>
      <c r="CS83" s="55">
        <f t="shared" si="426"/>
        <v>35294.559300000001</v>
      </c>
      <c r="CT83" s="59">
        <f t="shared" si="427"/>
        <v>116676.75413394</v>
      </c>
      <c r="CU83" s="60">
        <f t="shared" si="428"/>
        <v>34423.0887</v>
      </c>
      <c r="CV83" s="59">
        <f t="shared" si="429"/>
        <v>113795.84662446</v>
      </c>
      <c r="CW83" s="60">
        <f t="shared" si="430"/>
        <v>33551.6181</v>
      </c>
      <c r="CX83" s="59">
        <f t="shared" si="431"/>
        <v>110914.93911498001</v>
      </c>
      <c r="CY83" s="60">
        <f t="shared" si="432"/>
        <v>32680.147499999999</v>
      </c>
      <c r="CZ83" s="59">
        <f t="shared" si="433"/>
        <v>108034.0316055</v>
      </c>
      <c r="DA83" s="55">
        <f t="shared" si="434"/>
        <v>31808.676899999999</v>
      </c>
      <c r="DB83" s="59">
        <f t="shared" si="435"/>
        <v>105153.12409601999</v>
      </c>
      <c r="DC83" s="60">
        <f t="shared" si="436"/>
        <v>30937.206299999998</v>
      </c>
      <c r="DD83" s="59">
        <f t="shared" si="437"/>
        <v>102272.21658654</v>
      </c>
      <c r="DE83" s="60">
        <f t="shared" si="438"/>
        <v>30065.735699999997</v>
      </c>
      <c r="DF83" s="59">
        <f t="shared" si="439"/>
        <v>99391.309077059996</v>
      </c>
      <c r="DG83" s="60">
        <f t="shared" si="440"/>
        <v>29194.265099999997</v>
      </c>
      <c r="DH83" s="59">
        <f t="shared" si="441"/>
        <v>96510.401567579989</v>
      </c>
      <c r="DI83" s="60">
        <f t="shared" si="442"/>
        <v>28322.794499999996</v>
      </c>
      <c r="DJ83" s="59">
        <f t="shared" si="443"/>
        <v>93629.494058099983</v>
      </c>
      <c r="DK83" s="55">
        <f t="shared" si="444"/>
        <v>27451.323899999996</v>
      </c>
      <c r="DL83" s="59">
        <f t="shared" si="445"/>
        <v>90748.586548619991</v>
      </c>
      <c r="DM83" s="60">
        <f t="shared" si="446"/>
        <v>26579.853299999995</v>
      </c>
      <c r="DN83" s="59">
        <f t="shared" si="447"/>
        <v>87867.679039139985</v>
      </c>
      <c r="DO83" s="60">
        <f t="shared" si="448"/>
        <v>25708.382699999991</v>
      </c>
      <c r="DP83" s="59">
        <f t="shared" si="449"/>
        <v>84986.771529659978</v>
      </c>
      <c r="DQ83" s="55">
        <f t="shared" si="450"/>
        <v>24836.91209999999</v>
      </c>
      <c r="DR83" s="59">
        <f t="shared" si="451"/>
        <v>82105.864020179972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3"/>
        <v>0.91</v>
      </c>
      <c r="DZ83" s="55">
        <f t="shared" si="503"/>
        <v>0.89</v>
      </c>
      <c r="EA83" s="55">
        <f t="shared" si="503"/>
        <v>0.87</v>
      </c>
      <c r="EB83" s="55">
        <f t="shared" si="503"/>
        <v>0.85</v>
      </c>
      <c r="EC83" s="55">
        <f t="shared" si="503"/>
        <v>0.83</v>
      </c>
      <c r="ED83" s="55">
        <f t="shared" si="503"/>
        <v>0.80999999999999994</v>
      </c>
      <c r="EE83" s="55">
        <f t="shared" si="503"/>
        <v>0.78999999999999992</v>
      </c>
      <c r="EF83" s="55">
        <f t="shared" si="503"/>
        <v>0.76999999999999991</v>
      </c>
      <c r="EG83" s="55">
        <f t="shared" si="503"/>
        <v>0.74999999999999989</v>
      </c>
      <c r="EH83" s="55">
        <f t="shared" si="503"/>
        <v>0.72999999999999987</v>
      </c>
      <c r="EI83" s="55">
        <f t="shared" si="503"/>
        <v>0.70999999999999985</v>
      </c>
      <c r="EJ83" s="55">
        <f t="shared" si="503"/>
        <v>0.68999999999999984</v>
      </c>
      <c r="EK83" s="55">
        <f t="shared" si="503"/>
        <v>0.66999999999999982</v>
      </c>
      <c r="EL83" s="55">
        <f t="shared" si="503"/>
        <v>0.6499999999999998</v>
      </c>
      <c r="EM83" s="55">
        <f t="shared" si="503"/>
        <v>0.62999999999999978</v>
      </c>
      <c r="EN83" s="55">
        <f t="shared" si="503"/>
        <v>0.60999999999999976</v>
      </c>
      <c r="EO83" s="55">
        <f t="shared" si="503"/>
        <v>0.58999999999999975</v>
      </c>
      <c r="EP83" s="55">
        <f t="shared" si="503"/>
        <v>0.56999999999999973</v>
      </c>
      <c r="ER83" s="55">
        <f t="shared" si="142"/>
        <v>39651.912300000004</v>
      </c>
      <c r="ES83" s="55">
        <f t="shared" si="116"/>
        <v>39651.912300000004</v>
      </c>
      <c r="ET83" s="59">
        <f t="shared" si="453"/>
        <v>131081.29168134002</v>
      </c>
      <c r="EU83" s="55">
        <f t="shared" si="454"/>
        <v>38462.354931000002</v>
      </c>
      <c r="EV83" s="59">
        <f t="shared" si="455"/>
        <v>127148.85293089981</v>
      </c>
      <c r="EW83" s="55">
        <f t="shared" si="456"/>
        <v>37669.316685000005</v>
      </c>
      <c r="EX83" s="59">
        <f t="shared" si="457"/>
        <v>124527.22709727302</v>
      </c>
      <c r="EY83" s="55">
        <f t="shared" si="458"/>
        <v>36876.278439000009</v>
      </c>
      <c r="EZ83" s="59">
        <f t="shared" si="459"/>
        <v>121905.60126364623</v>
      </c>
      <c r="FA83" s="57">
        <f t="shared" si="460"/>
        <v>36083.240193000005</v>
      </c>
      <c r="FB83" s="59">
        <f t="shared" si="461"/>
        <v>119283.97543001942</v>
      </c>
      <c r="FC83" s="55">
        <f t="shared" si="462"/>
        <v>35290.201947000001</v>
      </c>
      <c r="FD83" s="59">
        <f t="shared" si="463"/>
        <v>116662.34959639261</v>
      </c>
      <c r="FE83" s="57">
        <f t="shared" si="464"/>
        <v>34497.163701000005</v>
      </c>
      <c r="FF83" s="59">
        <f t="shared" si="465"/>
        <v>114040.72376276582</v>
      </c>
      <c r="FG83" s="60">
        <f t="shared" si="466"/>
        <v>33704.125455000001</v>
      </c>
      <c r="FH83" s="59">
        <f t="shared" si="467"/>
        <v>111419.09792913901</v>
      </c>
      <c r="FI83" s="57">
        <f t="shared" si="468"/>
        <v>32911.087209000005</v>
      </c>
      <c r="FJ83" s="59">
        <f t="shared" si="469"/>
        <v>108797.47209551222</v>
      </c>
      <c r="FK83" s="55">
        <f t="shared" si="470"/>
        <v>32118.048963000001</v>
      </c>
      <c r="FL83" s="59">
        <f t="shared" si="471"/>
        <v>106175.84626188541</v>
      </c>
      <c r="FM83" s="60">
        <f t="shared" si="472"/>
        <v>31325.010717000001</v>
      </c>
      <c r="FN83" s="59">
        <f t="shared" si="473"/>
        <v>103554.2204282586</v>
      </c>
      <c r="FO83" s="60">
        <f t="shared" si="474"/>
        <v>30531.972470999997</v>
      </c>
      <c r="FP83" s="59">
        <f t="shared" si="475"/>
        <v>100932.5945946318</v>
      </c>
      <c r="FQ83" s="60">
        <f t="shared" si="476"/>
        <v>29738.934224999997</v>
      </c>
      <c r="FR83" s="59">
        <f t="shared" si="477"/>
        <v>98310.968761004988</v>
      </c>
      <c r="FS83" s="55">
        <f t="shared" si="478"/>
        <v>28945.895978999997</v>
      </c>
      <c r="FT83" s="59">
        <f t="shared" si="479"/>
        <v>95689.342927378195</v>
      </c>
      <c r="FU83" s="60">
        <f t="shared" si="480"/>
        <v>28152.857732999997</v>
      </c>
      <c r="FV83" s="59">
        <f t="shared" si="481"/>
        <v>93067.717093751387</v>
      </c>
      <c r="FW83" s="60">
        <f t="shared" si="482"/>
        <v>27359.819486999997</v>
      </c>
      <c r="FX83" s="59">
        <f t="shared" si="483"/>
        <v>90446.091260124595</v>
      </c>
      <c r="FY83" s="60">
        <f t="shared" si="484"/>
        <v>26566.781240999997</v>
      </c>
      <c r="FZ83" s="59">
        <f t="shared" si="485"/>
        <v>87824.465426497787</v>
      </c>
      <c r="GA83" s="60">
        <f t="shared" si="486"/>
        <v>25773.742994999993</v>
      </c>
      <c r="GB83" s="59">
        <f t="shared" si="487"/>
        <v>85202.83959287098</v>
      </c>
      <c r="GC83" s="55">
        <f t="shared" si="488"/>
        <v>24980.704748999993</v>
      </c>
      <c r="GD83" s="59">
        <f t="shared" si="489"/>
        <v>82581.213759244172</v>
      </c>
      <c r="GE83" s="60">
        <f t="shared" si="490"/>
        <v>24187.666502999993</v>
      </c>
      <c r="GF83" s="59">
        <f t="shared" si="491"/>
        <v>79959.587925617379</v>
      </c>
      <c r="GG83" s="60">
        <f t="shared" si="492"/>
        <v>23394.628256999993</v>
      </c>
      <c r="GH83" s="59">
        <f t="shared" si="493"/>
        <v>77337.962091990572</v>
      </c>
      <c r="GI83" s="55">
        <f t="shared" si="494"/>
        <v>22601.590010999993</v>
      </c>
      <c r="GJ83" s="59">
        <f t="shared" si="495"/>
        <v>74716.336258363779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4"/>
        <v>0.91</v>
      </c>
      <c r="GR83" s="55">
        <f t="shared" si="504"/>
        <v>0.89</v>
      </c>
      <c r="GS83" s="55">
        <f t="shared" si="504"/>
        <v>0.87</v>
      </c>
      <c r="GT83" s="55">
        <f t="shared" si="504"/>
        <v>0.85</v>
      </c>
      <c r="GU83" s="55">
        <f t="shared" si="504"/>
        <v>0.83</v>
      </c>
      <c r="GV83" s="55">
        <f t="shared" si="504"/>
        <v>0.80999999999999994</v>
      </c>
      <c r="GW83" s="55">
        <f t="shared" si="504"/>
        <v>0.78999999999999992</v>
      </c>
      <c r="GX83" s="55">
        <f t="shared" si="504"/>
        <v>0.76999999999999991</v>
      </c>
      <c r="GY83" s="55">
        <f t="shared" si="504"/>
        <v>0.74999999999999989</v>
      </c>
      <c r="GZ83" s="55">
        <f t="shared" si="504"/>
        <v>0.72999999999999987</v>
      </c>
      <c r="HA83" s="55">
        <f t="shared" si="504"/>
        <v>0.70999999999999985</v>
      </c>
      <c r="HB83" s="55">
        <f t="shared" si="504"/>
        <v>0.68999999999999984</v>
      </c>
      <c r="HC83" s="55">
        <f t="shared" si="504"/>
        <v>0.66999999999999982</v>
      </c>
      <c r="HD83" s="55">
        <f t="shared" si="504"/>
        <v>0.6499999999999998</v>
      </c>
      <c r="HE83" s="55">
        <f t="shared" si="504"/>
        <v>0.62999999999999978</v>
      </c>
      <c r="HF83" s="55">
        <f t="shared" si="504"/>
        <v>0.60999999999999976</v>
      </c>
      <c r="HG83" s="55">
        <f t="shared" si="504"/>
        <v>0.58999999999999975</v>
      </c>
      <c r="HH83" s="55">
        <f t="shared" si="504"/>
        <v>0.56999999999999973</v>
      </c>
    </row>
    <row r="84" spans="1:216" x14ac:dyDescent="0.3">
      <c r="A84" s="2">
        <v>22</v>
      </c>
      <c r="C84" s="38" t="s">
        <v>36</v>
      </c>
      <c r="D84" s="42">
        <v>0</v>
      </c>
      <c r="E84" s="71">
        <f t="shared" si="365"/>
        <v>0</v>
      </c>
      <c r="H84" s="55">
        <f t="shared" ref="H84:H147" si="505">+E84*1.1</f>
        <v>0</v>
      </c>
      <c r="I84" s="55">
        <f t="shared" ref="I84:I147" si="506">+H84</f>
        <v>0</v>
      </c>
      <c r="J84" s="59">
        <f t="shared" ref="J84:J147" si="507">+I84*3.3058</f>
        <v>0</v>
      </c>
      <c r="K84" s="55">
        <f t="shared" si="366"/>
        <v>0</v>
      </c>
      <c r="L84" s="59">
        <f t="shared" si="367"/>
        <v>0</v>
      </c>
      <c r="M84" s="55">
        <f t="shared" si="368"/>
        <v>0</v>
      </c>
      <c r="N84" s="59">
        <f t="shared" si="369"/>
        <v>0</v>
      </c>
      <c r="O84" s="55">
        <f t="shared" si="370"/>
        <v>0</v>
      </c>
      <c r="P84" s="59">
        <f t="shared" si="371"/>
        <v>0</v>
      </c>
      <c r="Q84" s="57">
        <f t="shared" si="372"/>
        <v>0</v>
      </c>
      <c r="R84" s="59">
        <f t="shared" si="373"/>
        <v>0</v>
      </c>
      <c r="S84" s="55">
        <f t="shared" si="374"/>
        <v>0</v>
      </c>
      <c r="T84" s="59">
        <f t="shared" si="375"/>
        <v>0</v>
      </c>
      <c r="U84" s="57">
        <f t="shared" si="376"/>
        <v>0</v>
      </c>
      <c r="V84" s="59">
        <f t="shared" si="377"/>
        <v>0</v>
      </c>
      <c r="W84" s="60">
        <f t="shared" si="378"/>
        <v>0</v>
      </c>
      <c r="X84" s="59">
        <f t="shared" si="379"/>
        <v>0</v>
      </c>
      <c r="Y84" s="57">
        <f t="shared" si="380"/>
        <v>0</v>
      </c>
      <c r="Z84" s="59">
        <f t="shared" si="381"/>
        <v>0</v>
      </c>
      <c r="AA84" s="55">
        <f t="shared" si="382"/>
        <v>0</v>
      </c>
      <c r="AB84" s="59">
        <f t="shared" si="383"/>
        <v>0</v>
      </c>
      <c r="AC84" s="60">
        <f t="shared" si="384"/>
        <v>0</v>
      </c>
      <c r="AD84" s="59">
        <f t="shared" si="385"/>
        <v>0</v>
      </c>
      <c r="AE84" s="60">
        <f t="shared" si="386"/>
        <v>0</v>
      </c>
      <c r="AF84" s="59">
        <f t="shared" si="387"/>
        <v>0</v>
      </c>
      <c r="AG84" s="60">
        <f t="shared" si="388"/>
        <v>0</v>
      </c>
      <c r="AH84" s="59">
        <f t="shared" si="389"/>
        <v>0</v>
      </c>
      <c r="AI84" s="55">
        <f t="shared" si="390"/>
        <v>0</v>
      </c>
      <c r="AJ84" s="59">
        <f t="shared" si="391"/>
        <v>0</v>
      </c>
      <c r="AK84" s="60">
        <f t="shared" si="392"/>
        <v>0</v>
      </c>
      <c r="AL84" s="59">
        <f t="shared" si="393"/>
        <v>0</v>
      </c>
      <c r="AM84" s="60">
        <f t="shared" si="394"/>
        <v>0</v>
      </c>
      <c r="AN84" s="59">
        <f t="shared" si="395"/>
        <v>0</v>
      </c>
      <c r="AO84" s="60">
        <f t="shared" si="396"/>
        <v>0</v>
      </c>
      <c r="AP84" s="59">
        <f t="shared" si="397"/>
        <v>0</v>
      </c>
      <c r="AQ84" s="60">
        <f t="shared" si="398"/>
        <v>0</v>
      </c>
      <c r="AR84" s="59">
        <f t="shared" si="399"/>
        <v>0</v>
      </c>
      <c r="AS84" s="55">
        <f t="shared" si="400"/>
        <v>0</v>
      </c>
      <c r="AT84" s="59">
        <f t="shared" si="401"/>
        <v>0</v>
      </c>
      <c r="AU84" s="60">
        <f t="shared" si="402"/>
        <v>0</v>
      </c>
      <c r="AV84" s="59">
        <f t="shared" si="403"/>
        <v>0</v>
      </c>
      <c r="AW84" s="60">
        <f t="shared" si="404"/>
        <v>0</v>
      </c>
      <c r="AX84" s="59">
        <f t="shared" si="405"/>
        <v>0</v>
      </c>
      <c r="AY84" s="55">
        <f t="shared" si="406"/>
        <v>0</v>
      </c>
      <c r="AZ84" s="59">
        <f t="shared" si="407"/>
        <v>0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0"/>
        <v>0.91</v>
      </c>
      <c r="BH84" s="55">
        <f t="shared" si="500"/>
        <v>0.89</v>
      </c>
      <c r="BI84" s="55">
        <f t="shared" si="500"/>
        <v>0.87</v>
      </c>
      <c r="BJ84" s="55">
        <f t="shared" si="500"/>
        <v>0.85</v>
      </c>
      <c r="BK84" s="55">
        <f t="shared" si="500"/>
        <v>0.83</v>
      </c>
      <c r="BL84" s="55">
        <f t="shared" si="500"/>
        <v>0.80999999999999994</v>
      </c>
      <c r="BM84" s="55">
        <f t="shared" si="500"/>
        <v>0.78999999999999992</v>
      </c>
      <c r="BN84" s="55">
        <f t="shared" si="500"/>
        <v>0.76999999999999991</v>
      </c>
      <c r="BO84" s="55">
        <f t="shared" si="500"/>
        <v>0.74999999999999989</v>
      </c>
      <c r="BP84" s="55">
        <f t="shared" si="500"/>
        <v>0.72999999999999987</v>
      </c>
      <c r="BQ84" s="55">
        <f t="shared" si="500"/>
        <v>0.70999999999999985</v>
      </c>
      <c r="BR84" s="55">
        <f t="shared" si="500"/>
        <v>0.68999999999999984</v>
      </c>
      <c r="BS84" s="55">
        <f t="shared" si="500"/>
        <v>0.66999999999999982</v>
      </c>
      <c r="BT84" s="55">
        <f t="shared" si="500"/>
        <v>0.6499999999999998</v>
      </c>
      <c r="BU84" s="55">
        <f t="shared" si="500"/>
        <v>0.62999999999999978</v>
      </c>
      <c r="BV84" s="55">
        <f t="shared" si="500"/>
        <v>0.60999999999999976</v>
      </c>
      <c r="BW84" s="55">
        <f t="shared" si="500"/>
        <v>0.58999999999999975</v>
      </c>
      <c r="BX84" s="55">
        <f t="shared" si="500"/>
        <v>0.56999999999999973</v>
      </c>
      <c r="BZ84" s="55">
        <f t="shared" ref="BZ84:BZ147" si="508">+H84*0.91</f>
        <v>0</v>
      </c>
      <c r="CA84" s="55">
        <f t="shared" ref="CA84:CA147" si="509">+BZ84</f>
        <v>0</v>
      </c>
      <c r="CB84" s="59">
        <f t="shared" si="409"/>
        <v>0</v>
      </c>
      <c r="CC84" s="55">
        <f t="shared" si="410"/>
        <v>0</v>
      </c>
      <c r="CD84" s="59">
        <f t="shared" si="411"/>
        <v>0</v>
      </c>
      <c r="CE84" s="55">
        <f t="shared" si="412"/>
        <v>0</v>
      </c>
      <c r="CF84" s="59">
        <f t="shared" si="413"/>
        <v>0</v>
      </c>
      <c r="CG84" s="55">
        <f t="shared" si="414"/>
        <v>0</v>
      </c>
      <c r="CH84" s="59">
        <f t="shared" si="415"/>
        <v>0</v>
      </c>
      <c r="CI84" s="57">
        <f t="shared" si="416"/>
        <v>0</v>
      </c>
      <c r="CJ84" s="59">
        <f t="shared" si="417"/>
        <v>0</v>
      </c>
      <c r="CK84" s="55">
        <f t="shared" si="418"/>
        <v>0</v>
      </c>
      <c r="CL84" s="59">
        <f t="shared" si="419"/>
        <v>0</v>
      </c>
      <c r="CM84" s="57">
        <f t="shared" si="420"/>
        <v>0</v>
      </c>
      <c r="CN84" s="59">
        <f t="shared" si="421"/>
        <v>0</v>
      </c>
      <c r="CO84" s="60">
        <f t="shared" si="422"/>
        <v>0</v>
      </c>
      <c r="CP84" s="59">
        <f t="shared" si="423"/>
        <v>0</v>
      </c>
      <c r="CQ84" s="57">
        <f t="shared" si="424"/>
        <v>0</v>
      </c>
      <c r="CR84" s="59">
        <f t="shared" si="425"/>
        <v>0</v>
      </c>
      <c r="CS84" s="55">
        <f t="shared" si="426"/>
        <v>0</v>
      </c>
      <c r="CT84" s="59">
        <f t="shared" si="427"/>
        <v>0</v>
      </c>
      <c r="CU84" s="60">
        <f t="shared" si="428"/>
        <v>0</v>
      </c>
      <c r="CV84" s="59">
        <f t="shared" si="429"/>
        <v>0</v>
      </c>
      <c r="CW84" s="60">
        <f t="shared" si="430"/>
        <v>0</v>
      </c>
      <c r="CX84" s="59">
        <f t="shared" si="431"/>
        <v>0</v>
      </c>
      <c r="CY84" s="60">
        <f t="shared" si="432"/>
        <v>0</v>
      </c>
      <c r="CZ84" s="59">
        <f t="shared" si="433"/>
        <v>0</v>
      </c>
      <c r="DA84" s="55">
        <f t="shared" si="434"/>
        <v>0</v>
      </c>
      <c r="DB84" s="59">
        <f t="shared" si="435"/>
        <v>0</v>
      </c>
      <c r="DC84" s="60">
        <f t="shared" si="436"/>
        <v>0</v>
      </c>
      <c r="DD84" s="59">
        <f t="shared" si="437"/>
        <v>0</v>
      </c>
      <c r="DE84" s="60">
        <f t="shared" si="438"/>
        <v>0</v>
      </c>
      <c r="DF84" s="59">
        <f t="shared" si="439"/>
        <v>0</v>
      </c>
      <c r="DG84" s="60">
        <f t="shared" si="440"/>
        <v>0</v>
      </c>
      <c r="DH84" s="59">
        <f t="shared" si="441"/>
        <v>0</v>
      </c>
      <c r="DI84" s="60">
        <f t="shared" si="442"/>
        <v>0</v>
      </c>
      <c r="DJ84" s="59">
        <f t="shared" si="443"/>
        <v>0</v>
      </c>
      <c r="DK84" s="55">
        <f t="shared" si="444"/>
        <v>0</v>
      </c>
      <c r="DL84" s="59">
        <f t="shared" si="445"/>
        <v>0</v>
      </c>
      <c r="DM84" s="60">
        <f t="shared" si="446"/>
        <v>0</v>
      </c>
      <c r="DN84" s="59">
        <f t="shared" si="447"/>
        <v>0</v>
      </c>
      <c r="DO84" s="60">
        <f t="shared" si="448"/>
        <v>0</v>
      </c>
      <c r="DP84" s="59">
        <f t="shared" si="449"/>
        <v>0</v>
      </c>
      <c r="DQ84" s="55">
        <f t="shared" si="450"/>
        <v>0</v>
      </c>
      <c r="DR84" s="59">
        <f t="shared" si="451"/>
        <v>0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3"/>
        <v>0.91</v>
      </c>
      <c r="DZ84" s="55">
        <f t="shared" si="503"/>
        <v>0.89</v>
      </c>
      <c r="EA84" s="55">
        <f t="shared" si="503"/>
        <v>0.87</v>
      </c>
      <c r="EB84" s="55">
        <f t="shared" si="503"/>
        <v>0.85</v>
      </c>
      <c r="EC84" s="55">
        <f t="shared" si="503"/>
        <v>0.83</v>
      </c>
      <c r="ED84" s="55">
        <f t="shared" si="503"/>
        <v>0.80999999999999994</v>
      </c>
      <c r="EE84" s="55">
        <f t="shared" si="503"/>
        <v>0.78999999999999992</v>
      </c>
      <c r="EF84" s="55">
        <f t="shared" si="503"/>
        <v>0.76999999999999991</v>
      </c>
      <c r="EG84" s="55">
        <f t="shared" si="503"/>
        <v>0.74999999999999989</v>
      </c>
      <c r="EH84" s="55">
        <f t="shared" si="503"/>
        <v>0.72999999999999987</v>
      </c>
      <c r="EI84" s="55">
        <f t="shared" si="503"/>
        <v>0.70999999999999985</v>
      </c>
      <c r="EJ84" s="55">
        <f t="shared" si="503"/>
        <v>0.68999999999999984</v>
      </c>
      <c r="EK84" s="55">
        <f t="shared" si="503"/>
        <v>0.66999999999999982</v>
      </c>
      <c r="EL84" s="55">
        <f t="shared" si="503"/>
        <v>0.6499999999999998</v>
      </c>
      <c r="EM84" s="55">
        <f t="shared" si="503"/>
        <v>0.62999999999999978</v>
      </c>
      <c r="EN84" s="55">
        <f t="shared" si="503"/>
        <v>0.60999999999999976</v>
      </c>
      <c r="EO84" s="55">
        <f t="shared" si="503"/>
        <v>0.58999999999999975</v>
      </c>
      <c r="EP84" s="55">
        <f t="shared" si="503"/>
        <v>0.56999999999999973</v>
      </c>
      <c r="ER84" s="55">
        <f t="shared" si="142"/>
        <v>0</v>
      </c>
      <c r="ES84" s="55">
        <f t="shared" ref="ES84:ES147" si="510">+ER84</f>
        <v>0</v>
      </c>
      <c r="ET84" s="59">
        <f t="shared" si="453"/>
        <v>0</v>
      </c>
      <c r="EU84" s="55">
        <f t="shared" si="454"/>
        <v>0</v>
      </c>
      <c r="EV84" s="59">
        <f t="shared" si="455"/>
        <v>0</v>
      </c>
      <c r="EW84" s="55">
        <f t="shared" si="456"/>
        <v>0</v>
      </c>
      <c r="EX84" s="59">
        <f t="shared" si="457"/>
        <v>0</v>
      </c>
      <c r="EY84" s="55">
        <f t="shared" si="458"/>
        <v>0</v>
      </c>
      <c r="EZ84" s="59">
        <f t="shared" si="459"/>
        <v>0</v>
      </c>
      <c r="FA84" s="57">
        <f t="shared" si="460"/>
        <v>0</v>
      </c>
      <c r="FB84" s="59">
        <f t="shared" si="461"/>
        <v>0</v>
      </c>
      <c r="FC84" s="55">
        <f t="shared" si="462"/>
        <v>0</v>
      </c>
      <c r="FD84" s="59">
        <f t="shared" si="463"/>
        <v>0</v>
      </c>
      <c r="FE84" s="57">
        <f t="shared" si="464"/>
        <v>0</v>
      </c>
      <c r="FF84" s="59">
        <f t="shared" si="465"/>
        <v>0</v>
      </c>
      <c r="FG84" s="60">
        <f t="shared" si="466"/>
        <v>0</v>
      </c>
      <c r="FH84" s="59">
        <f t="shared" si="467"/>
        <v>0</v>
      </c>
      <c r="FI84" s="57">
        <f t="shared" si="468"/>
        <v>0</v>
      </c>
      <c r="FJ84" s="59">
        <f t="shared" si="469"/>
        <v>0</v>
      </c>
      <c r="FK84" s="55">
        <f t="shared" si="470"/>
        <v>0</v>
      </c>
      <c r="FL84" s="59">
        <f t="shared" si="471"/>
        <v>0</v>
      </c>
      <c r="FM84" s="60">
        <f t="shared" si="472"/>
        <v>0</v>
      </c>
      <c r="FN84" s="59">
        <f t="shared" si="473"/>
        <v>0</v>
      </c>
      <c r="FO84" s="60">
        <f t="shared" si="474"/>
        <v>0</v>
      </c>
      <c r="FP84" s="59">
        <f t="shared" si="475"/>
        <v>0</v>
      </c>
      <c r="FQ84" s="60">
        <f t="shared" si="476"/>
        <v>0</v>
      </c>
      <c r="FR84" s="59">
        <f t="shared" si="477"/>
        <v>0</v>
      </c>
      <c r="FS84" s="55">
        <f t="shared" si="478"/>
        <v>0</v>
      </c>
      <c r="FT84" s="59">
        <f t="shared" si="479"/>
        <v>0</v>
      </c>
      <c r="FU84" s="60">
        <f t="shared" si="480"/>
        <v>0</v>
      </c>
      <c r="FV84" s="59">
        <f t="shared" si="481"/>
        <v>0</v>
      </c>
      <c r="FW84" s="60">
        <f t="shared" si="482"/>
        <v>0</v>
      </c>
      <c r="FX84" s="59">
        <f t="shared" si="483"/>
        <v>0</v>
      </c>
      <c r="FY84" s="60">
        <f t="shared" si="484"/>
        <v>0</v>
      </c>
      <c r="FZ84" s="59">
        <f t="shared" si="485"/>
        <v>0</v>
      </c>
      <c r="GA84" s="60">
        <f t="shared" si="486"/>
        <v>0</v>
      </c>
      <c r="GB84" s="59">
        <f t="shared" si="487"/>
        <v>0</v>
      </c>
      <c r="GC84" s="55">
        <f t="shared" si="488"/>
        <v>0</v>
      </c>
      <c r="GD84" s="59">
        <f t="shared" si="489"/>
        <v>0</v>
      </c>
      <c r="GE84" s="60">
        <f t="shared" si="490"/>
        <v>0</v>
      </c>
      <c r="GF84" s="59">
        <f t="shared" si="491"/>
        <v>0</v>
      </c>
      <c r="GG84" s="60">
        <f t="shared" si="492"/>
        <v>0</v>
      </c>
      <c r="GH84" s="59">
        <f t="shared" si="493"/>
        <v>0</v>
      </c>
      <c r="GI84" s="55">
        <f t="shared" si="494"/>
        <v>0</v>
      </c>
      <c r="GJ84" s="59">
        <f t="shared" si="495"/>
        <v>0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4"/>
        <v>0.91</v>
      </c>
      <c r="GR84" s="55">
        <f t="shared" si="504"/>
        <v>0.89</v>
      </c>
      <c r="GS84" s="55">
        <f t="shared" si="504"/>
        <v>0.87</v>
      </c>
      <c r="GT84" s="55">
        <f t="shared" si="504"/>
        <v>0.85</v>
      </c>
      <c r="GU84" s="55">
        <f t="shared" si="504"/>
        <v>0.83</v>
      </c>
      <c r="GV84" s="55">
        <f t="shared" si="504"/>
        <v>0.80999999999999994</v>
      </c>
      <c r="GW84" s="55">
        <f t="shared" si="504"/>
        <v>0.78999999999999992</v>
      </c>
      <c r="GX84" s="55">
        <f t="shared" si="504"/>
        <v>0.76999999999999991</v>
      </c>
      <c r="GY84" s="55">
        <f t="shared" si="504"/>
        <v>0.74999999999999989</v>
      </c>
      <c r="GZ84" s="55">
        <f t="shared" si="504"/>
        <v>0.72999999999999987</v>
      </c>
      <c r="HA84" s="55">
        <f t="shared" si="504"/>
        <v>0.70999999999999985</v>
      </c>
      <c r="HB84" s="55">
        <f t="shared" si="504"/>
        <v>0.68999999999999984</v>
      </c>
      <c r="HC84" s="55">
        <f t="shared" si="504"/>
        <v>0.66999999999999982</v>
      </c>
      <c r="HD84" s="55">
        <f t="shared" si="504"/>
        <v>0.6499999999999998</v>
      </c>
      <c r="HE84" s="55">
        <f t="shared" si="504"/>
        <v>0.62999999999999978</v>
      </c>
      <c r="HF84" s="55">
        <f t="shared" si="504"/>
        <v>0.60999999999999976</v>
      </c>
      <c r="HG84" s="55">
        <f t="shared" si="504"/>
        <v>0.58999999999999975</v>
      </c>
      <c r="HH84" s="55">
        <f t="shared" si="504"/>
        <v>0.56999999999999973</v>
      </c>
    </row>
    <row r="85" spans="1:216" x14ac:dyDescent="0.3">
      <c r="A85" s="2">
        <v>23</v>
      </c>
      <c r="C85" s="38" t="s">
        <v>37</v>
      </c>
      <c r="D85" s="42">
        <v>0</v>
      </c>
      <c r="E85" s="71">
        <f t="shared" si="365"/>
        <v>0</v>
      </c>
      <c r="H85" s="55">
        <f t="shared" si="505"/>
        <v>0</v>
      </c>
      <c r="I85" s="55">
        <f t="shared" si="506"/>
        <v>0</v>
      </c>
      <c r="J85" s="59">
        <f t="shared" si="507"/>
        <v>0</v>
      </c>
      <c r="K85" s="55">
        <f t="shared" si="366"/>
        <v>0</v>
      </c>
      <c r="L85" s="59">
        <f t="shared" si="367"/>
        <v>0</v>
      </c>
      <c r="M85" s="55">
        <f t="shared" si="368"/>
        <v>0</v>
      </c>
      <c r="N85" s="59">
        <f t="shared" si="369"/>
        <v>0</v>
      </c>
      <c r="O85" s="55">
        <f t="shared" si="370"/>
        <v>0</v>
      </c>
      <c r="P85" s="59">
        <f t="shared" si="371"/>
        <v>0</v>
      </c>
      <c r="Q85" s="57">
        <f t="shared" si="372"/>
        <v>0</v>
      </c>
      <c r="R85" s="59">
        <f t="shared" si="373"/>
        <v>0</v>
      </c>
      <c r="S85" s="55">
        <f t="shared" si="374"/>
        <v>0</v>
      </c>
      <c r="T85" s="59">
        <f t="shared" si="375"/>
        <v>0</v>
      </c>
      <c r="U85" s="57">
        <f t="shared" si="376"/>
        <v>0</v>
      </c>
      <c r="V85" s="59">
        <f t="shared" si="377"/>
        <v>0</v>
      </c>
      <c r="W85" s="60">
        <f t="shared" si="378"/>
        <v>0</v>
      </c>
      <c r="X85" s="59">
        <f t="shared" si="379"/>
        <v>0</v>
      </c>
      <c r="Y85" s="57">
        <f t="shared" si="380"/>
        <v>0</v>
      </c>
      <c r="Z85" s="59">
        <f t="shared" si="381"/>
        <v>0</v>
      </c>
      <c r="AA85" s="55">
        <f t="shared" si="382"/>
        <v>0</v>
      </c>
      <c r="AB85" s="59">
        <f t="shared" si="383"/>
        <v>0</v>
      </c>
      <c r="AC85" s="60">
        <f t="shared" si="384"/>
        <v>0</v>
      </c>
      <c r="AD85" s="59">
        <f t="shared" si="385"/>
        <v>0</v>
      </c>
      <c r="AE85" s="60">
        <f t="shared" si="386"/>
        <v>0</v>
      </c>
      <c r="AF85" s="59">
        <f t="shared" si="387"/>
        <v>0</v>
      </c>
      <c r="AG85" s="60">
        <f t="shared" si="388"/>
        <v>0</v>
      </c>
      <c r="AH85" s="59">
        <f t="shared" si="389"/>
        <v>0</v>
      </c>
      <c r="AI85" s="55">
        <f t="shared" si="390"/>
        <v>0</v>
      </c>
      <c r="AJ85" s="59">
        <f t="shared" si="391"/>
        <v>0</v>
      </c>
      <c r="AK85" s="60">
        <f t="shared" si="392"/>
        <v>0</v>
      </c>
      <c r="AL85" s="59">
        <f t="shared" si="393"/>
        <v>0</v>
      </c>
      <c r="AM85" s="60">
        <f t="shared" si="394"/>
        <v>0</v>
      </c>
      <c r="AN85" s="59">
        <f t="shared" si="395"/>
        <v>0</v>
      </c>
      <c r="AO85" s="60">
        <f t="shared" si="396"/>
        <v>0</v>
      </c>
      <c r="AP85" s="59">
        <f t="shared" si="397"/>
        <v>0</v>
      </c>
      <c r="AQ85" s="60">
        <f t="shared" si="398"/>
        <v>0</v>
      </c>
      <c r="AR85" s="59">
        <f t="shared" si="399"/>
        <v>0</v>
      </c>
      <c r="AS85" s="55">
        <f t="shared" si="400"/>
        <v>0</v>
      </c>
      <c r="AT85" s="59">
        <f t="shared" si="401"/>
        <v>0</v>
      </c>
      <c r="AU85" s="60">
        <f t="shared" si="402"/>
        <v>0</v>
      </c>
      <c r="AV85" s="59">
        <f t="shared" si="403"/>
        <v>0</v>
      </c>
      <c r="AW85" s="60">
        <f t="shared" si="404"/>
        <v>0</v>
      </c>
      <c r="AX85" s="59">
        <f t="shared" si="405"/>
        <v>0</v>
      </c>
      <c r="AY85" s="55">
        <f t="shared" si="406"/>
        <v>0</v>
      </c>
      <c r="AZ85" s="59">
        <f t="shared" si="407"/>
        <v>0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0"/>
        <v>0.91</v>
      </c>
      <c r="BH85" s="55">
        <f t="shared" si="500"/>
        <v>0.89</v>
      </c>
      <c r="BI85" s="55">
        <f t="shared" si="500"/>
        <v>0.87</v>
      </c>
      <c r="BJ85" s="55">
        <f t="shared" si="500"/>
        <v>0.85</v>
      </c>
      <c r="BK85" s="55">
        <f t="shared" si="500"/>
        <v>0.83</v>
      </c>
      <c r="BL85" s="55">
        <f t="shared" si="500"/>
        <v>0.80999999999999994</v>
      </c>
      <c r="BM85" s="55">
        <f t="shared" si="500"/>
        <v>0.78999999999999992</v>
      </c>
      <c r="BN85" s="55">
        <f t="shared" si="500"/>
        <v>0.76999999999999991</v>
      </c>
      <c r="BO85" s="55">
        <f t="shared" si="500"/>
        <v>0.74999999999999989</v>
      </c>
      <c r="BP85" s="55">
        <f t="shared" si="500"/>
        <v>0.72999999999999987</v>
      </c>
      <c r="BQ85" s="55">
        <f t="shared" si="500"/>
        <v>0.70999999999999985</v>
      </c>
      <c r="BR85" s="55">
        <f t="shared" si="500"/>
        <v>0.68999999999999984</v>
      </c>
      <c r="BS85" s="55">
        <f t="shared" si="500"/>
        <v>0.66999999999999982</v>
      </c>
      <c r="BT85" s="55">
        <f t="shared" si="500"/>
        <v>0.6499999999999998</v>
      </c>
      <c r="BU85" s="55">
        <f t="shared" si="500"/>
        <v>0.62999999999999978</v>
      </c>
      <c r="BV85" s="55">
        <f t="shared" si="500"/>
        <v>0.60999999999999976</v>
      </c>
      <c r="BW85" s="55">
        <f t="shared" si="500"/>
        <v>0.58999999999999975</v>
      </c>
      <c r="BX85" s="55">
        <f t="shared" si="500"/>
        <v>0.56999999999999973</v>
      </c>
      <c r="BZ85" s="55">
        <f t="shared" si="508"/>
        <v>0</v>
      </c>
      <c r="CA85" s="55">
        <f t="shared" si="509"/>
        <v>0</v>
      </c>
      <c r="CB85" s="59">
        <f t="shared" si="409"/>
        <v>0</v>
      </c>
      <c r="CC85" s="55">
        <f t="shared" si="410"/>
        <v>0</v>
      </c>
      <c r="CD85" s="59">
        <f t="shared" si="411"/>
        <v>0</v>
      </c>
      <c r="CE85" s="55">
        <f t="shared" si="412"/>
        <v>0</v>
      </c>
      <c r="CF85" s="59">
        <f t="shared" si="413"/>
        <v>0</v>
      </c>
      <c r="CG85" s="55">
        <f t="shared" si="414"/>
        <v>0</v>
      </c>
      <c r="CH85" s="59">
        <f t="shared" si="415"/>
        <v>0</v>
      </c>
      <c r="CI85" s="57">
        <f t="shared" si="416"/>
        <v>0</v>
      </c>
      <c r="CJ85" s="59">
        <f t="shared" si="417"/>
        <v>0</v>
      </c>
      <c r="CK85" s="55">
        <f t="shared" si="418"/>
        <v>0</v>
      </c>
      <c r="CL85" s="59">
        <f t="shared" si="419"/>
        <v>0</v>
      </c>
      <c r="CM85" s="57">
        <f t="shared" si="420"/>
        <v>0</v>
      </c>
      <c r="CN85" s="59">
        <f t="shared" si="421"/>
        <v>0</v>
      </c>
      <c r="CO85" s="60">
        <f t="shared" si="422"/>
        <v>0</v>
      </c>
      <c r="CP85" s="59">
        <f t="shared" si="423"/>
        <v>0</v>
      </c>
      <c r="CQ85" s="57">
        <f t="shared" si="424"/>
        <v>0</v>
      </c>
      <c r="CR85" s="59">
        <f t="shared" si="425"/>
        <v>0</v>
      </c>
      <c r="CS85" s="55">
        <f t="shared" si="426"/>
        <v>0</v>
      </c>
      <c r="CT85" s="59">
        <f t="shared" si="427"/>
        <v>0</v>
      </c>
      <c r="CU85" s="60">
        <f t="shared" si="428"/>
        <v>0</v>
      </c>
      <c r="CV85" s="59">
        <f t="shared" si="429"/>
        <v>0</v>
      </c>
      <c r="CW85" s="60">
        <f t="shared" si="430"/>
        <v>0</v>
      </c>
      <c r="CX85" s="59">
        <f t="shared" si="431"/>
        <v>0</v>
      </c>
      <c r="CY85" s="60">
        <f t="shared" si="432"/>
        <v>0</v>
      </c>
      <c r="CZ85" s="59">
        <f t="shared" si="433"/>
        <v>0</v>
      </c>
      <c r="DA85" s="55">
        <f t="shared" si="434"/>
        <v>0</v>
      </c>
      <c r="DB85" s="59">
        <f t="shared" si="435"/>
        <v>0</v>
      </c>
      <c r="DC85" s="60">
        <f t="shared" si="436"/>
        <v>0</v>
      </c>
      <c r="DD85" s="59">
        <f t="shared" si="437"/>
        <v>0</v>
      </c>
      <c r="DE85" s="60">
        <f t="shared" si="438"/>
        <v>0</v>
      </c>
      <c r="DF85" s="59">
        <f t="shared" si="439"/>
        <v>0</v>
      </c>
      <c r="DG85" s="60">
        <f t="shared" si="440"/>
        <v>0</v>
      </c>
      <c r="DH85" s="59">
        <f t="shared" si="441"/>
        <v>0</v>
      </c>
      <c r="DI85" s="60">
        <f t="shared" si="442"/>
        <v>0</v>
      </c>
      <c r="DJ85" s="59">
        <f t="shared" si="443"/>
        <v>0</v>
      </c>
      <c r="DK85" s="55">
        <f t="shared" si="444"/>
        <v>0</v>
      </c>
      <c r="DL85" s="59">
        <f t="shared" si="445"/>
        <v>0</v>
      </c>
      <c r="DM85" s="60">
        <f t="shared" si="446"/>
        <v>0</v>
      </c>
      <c r="DN85" s="59">
        <f t="shared" si="447"/>
        <v>0</v>
      </c>
      <c r="DO85" s="60">
        <f t="shared" si="448"/>
        <v>0</v>
      </c>
      <c r="DP85" s="59">
        <f t="shared" si="449"/>
        <v>0</v>
      </c>
      <c r="DQ85" s="55">
        <f t="shared" si="450"/>
        <v>0</v>
      </c>
      <c r="DR85" s="59">
        <f t="shared" si="451"/>
        <v>0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03"/>
        <v>0.91</v>
      </c>
      <c r="DZ85" s="55">
        <f t="shared" si="503"/>
        <v>0.89</v>
      </c>
      <c r="EA85" s="55">
        <f t="shared" si="503"/>
        <v>0.87</v>
      </c>
      <c r="EB85" s="55">
        <f t="shared" si="503"/>
        <v>0.85</v>
      </c>
      <c r="EC85" s="55">
        <f t="shared" si="503"/>
        <v>0.83</v>
      </c>
      <c r="ED85" s="55">
        <f t="shared" si="503"/>
        <v>0.80999999999999994</v>
      </c>
      <c r="EE85" s="55">
        <f t="shared" si="503"/>
        <v>0.78999999999999992</v>
      </c>
      <c r="EF85" s="55">
        <f t="shared" si="503"/>
        <v>0.76999999999999991</v>
      </c>
      <c r="EG85" s="55">
        <f t="shared" si="503"/>
        <v>0.74999999999999989</v>
      </c>
      <c r="EH85" s="55">
        <f t="shared" si="503"/>
        <v>0.72999999999999987</v>
      </c>
      <c r="EI85" s="55">
        <f t="shared" si="503"/>
        <v>0.70999999999999985</v>
      </c>
      <c r="EJ85" s="55">
        <f t="shared" si="503"/>
        <v>0.68999999999999984</v>
      </c>
      <c r="EK85" s="55">
        <f t="shared" si="503"/>
        <v>0.66999999999999982</v>
      </c>
      <c r="EL85" s="55">
        <f t="shared" si="503"/>
        <v>0.6499999999999998</v>
      </c>
      <c r="EM85" s="55">
        <f t="shared" si="503"/>
        <v>0.62999999999999978</v>
      </c>
      <c r="EN85" s="55">
        <f t="shared" si="503"/>
        <v>0.60999999999999976</v>
      </c>
      <c r="EO85" s="55">
        <f t="shared" si="503"/>
        <v>0.58999999999999975</v>
      </c>
      <c r="EP85" s="55">
        <f t="shared" si="503"/>
        <v>0.56999999999999973</v>
      </c>
      <c r="ER85" s="55">
        <f t="shared" si="142"/>
        <v>0</v>
      </c>
      <c r="ES85" s="55">
        <f t="shared" si="510"/>
        <v>0</v>
      </c>
      <c r="ET85" s="59">
        <f t="shared" si="453"/>
        <v>0</v>
      </c>
      <c r="EU85" s="55">
        <f t="shared" si="454"/>
        <v>0</v>
      </c>
      <c r="EV85" s="59">
        <f t="shared" si="455"/>
        <v>0</v>
      </c>
      <c r="EW85" s="55">
        <f t="shared" si="456"/>
        <v>0</v>
      </c>
      <c r="EX85" s="59">
        <f t="shared" si="457"/>
        <v>0</v>
      </c>
      <c r="EY85" s="55">
        <f t="shared" si="458"/>
        <v>0</v>
      </c>
      <c r="EZ85" s="59">
        <f t="shared" si="459"/>
        <v>0</v>
      </c>
      <c r="FA85" s="57">
        <f t="shared" si="460"/>
        <v>0</v>
      </c>
      <c r="FB85" s="59">
        <f t="shared" si="461"/>
        <v>0</v>
      </c>
      <c r="FC85" s="55">
        <f t="shared" si="462"/>
        <v>0</v>
      </c>
      <c r="FD85" s="59">
        <f t="shared" si="463"/>
        <v>0</v>
      </c>
      <c r="FE85" s="57">
        <f t="shared" si="464"/>
        <v>0</v>
      </c>
      <c r="FF85" s="59">
        <f t="shared" si="465"/>
        <v>0</v>
      </c>
      <c r="FG85" s="60">
        <f t="shared" si="466"/>
        <v>0</v>
      </c>
      <c r="FH85" s="59">
        <f t="shared" si="467"/>
        <v>0</v>
      </c>
      <c r="FI85" s="57">
        <f t="shared" si="468"/>
        <v>0</v>
      </c>
      <c r="FJ85" s="59">
        <f t="shared" si="469"/>
        <v>0</v>
      </c>
      <c r="FK85" s="55">
        <f t="shared" si="470"/>
        <v>0</v>
      </c>
      <c r="FL85" s="59">
        <f t="shared" si="471"/>
        <v>0</v>
      </c>
      <c r="FM85" s="60">
        <f t="shared" si="472"/>
        <v>0</v>
      </c>
      <c r="FN85" s="59">
        <f t="shared" si="473"/>
        <v>0</v>
      </c>
      <c r="FO85" s="60">
        <f t="shared" si="474"/>
        <v>0</v>
      </c>
      <c r="FP85" s="59">
        <f t="shared" si="475"/>
        <v>0</v>
      </c>
      <c r="FQ85" s="60">
        <f t="shared" si="476"/>
        <v>0</v>
      </c>
      <c r="FR85" s="59">
        <f t="shared" si="477"/>
        <v>0</v>
      </c>
      <c r="FS85" s="55">
        <f t="shared" si="478"/>
        <v>0</v>
      </c>
      <c r="FT85" s="59">
        <f t="shared" si="479"/>
        <v>0</v>
      </c>
      <c r="FU85" s="60">
        <f t="shared" si="480"/>
        <v>0</v>
      </c>
      <c r="FV85" s="59">
        <f t="shared" si="481"/>
        <v>0</v>
      </c>
      <c r="FW85" s="60">
        <f t="shared" si="482"/>
        <v>0</v>
      </c>
      <c r="FX85" s="59">
        <f t="shared" si="483"/>
        <v>0</v>
      </c>
      <c r="FY85" s="60">
        <f t="shared" si="484"/>
        <v>0</v>
      </c>
      <c r="FZ85" s="59">
        <f t="shared" si="485"/>
        <v>0</v>
      </c>
      <c r="GA85" s="60">
        <f t="shared" si="486"/>
        <v>0</v>
      </c>
      <c r="GB85" s="59">
        <f t="shared" si="487"/>
        <v>0</v>
      </c>
      <c r="GC85" s="55">
        <f t="shared" si="488"/>
        <v>0</v>
      </c>
      <c r="GD85" s="59">
        <f t="shared" si="489"/>
        <v>0</v>
      </c>
      <c r="GE85" s="60">
        <f t="shared" si="490"/>
        <v>0</v>
      </c>
      <c r="GF85" s="59">
        <f t="shared" si="491"/>
        <v>0</v>
      </c>
      <c r="GG85" s="60">
        <f t="shared" si="492"/>
        <v>0</v>
      </c>
      <c r="GH85" s="59">
        <f t="shared" si="493"/>
        <v>0</v>
      </c>
      <c r="GI85" s="55">
        <f t="shared" si="494"/>
        <v>0</v>
      </c>
      <c r="GJ85" s="59">
        <f t="shared" si="495"/>
        <v>0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04"/>
        <v>0.91</v>
      </c>
      <c r="GR85" s="55">
        <f t="shared" si="504"/>
        <v>0.89</v>
      </c>
      <c r="GS85" s="55">
        <f t="shared" si="504"/>
        <v>0.87</v>
      </c>
      <c r="GT85" s="55">
        <f t="shared" si="504"/>
        <v>0.85</v>
      </c>
      <c r="GU85" s="55">
        <f t="shared" si="504"/>
        <v>0.83</v>
      </c>
      <c r="GV85" s="55">
        <f t="shared" si="504"/>
        <v>0.80999999999999994</v>
      </c>
      <c r="GW85" s="55">
        <f t="shared" si="504"/>
        <v>0.78999999999999992</v>
      </c>
      <c r="GX85" s="55">
        <f t="shared" si="504"/>
        <v>0.76999999999999991</v>
      </c>
      <c r="GY85" s="55">
        <f t="shared" si="504"/>
        <v>0.74999999999999989</v>
      </c>
      <c r="GZ85" s="55">
        <f t="shared" si="504"/>
        <v>0.72999999999999987</v>
      </c>
      <c r="HA85" s="55">
        <f t="shared" si="504"/>
        <v>0.70999999999999985</v>
      </c>
      <c r="HB85" s="55">
        <f t="shared" si="504"/>
        <v>0.68999999999999984</v>
      </c>
      <c r="HC85" s="55">
        <f t="shared" si="504"/>
        <v>0.66999999999999982</v>
      </c>
      <c r="HD85" s="55">
        <f t="shared" si="504"/>
        <v>0.6499999999999998</v>
      </c>
      <c r="HE85" s="55">
        <f t="shared" si="504"/>
        <v>0.62999999999999978</v>
      </c>
      <c r="HF85" s="55">
        <f t="shared" si="504"/>
        <v>0.60999999999999976</v>
      </c>
      <c r="HG85" s="55">
        <f t="shared" si="504"/>
        <v>0.58999999999999975</v>
      </c>
      <c r="HH85" s="55">
        <f t="shared" si="504"/>
        <v>0.56999999999999973</v>
      </c>
    </row>
    <row r="86" spans="1:216" x14ac:dyDescent="0.3">
      <c r="A86" s="2">
        <v>24</v>
      </c>
      <c r="C86" s="38" t="s">
        <v>38</v>
      </c>
      <c r="D86" s="42">
        <f>TRUNC(5698.19185827365,-1)</f>
        <v>5690</v>
      </c>
      <c r="E86" s="71">
        <f t="shared" si="365"/>
        <v>18810</v>
      </c>
      <c r="H86" s="55">
        <f t="shared" si="505"/>
        <v>20691</v>
      </c>
      <c r="I86" s="55">
        <f t="shared" si="506"/>
        <v>20691</v>
      </c>
      <c r="J86" s="59">
        <f t="shared" si="507"/>
        <v>68400.307799999995</v>
      </c>
      <c r="K86" s="55">
        <f t="shared" si="366"/>
        <v>20070.27</v>
      </c>
      <c r="L86" s="59">
        <f t="shared" si="367"/>
        <v>66348.298565999998</v>
      </c>
      <c r="M86" s="55">
        <f t="shared" si="368"/>
        <v>19656.45</v>
      </c>
      <c r="N86" s="59">
        <f t="shared" si="369"/>
        <v>64980.292410000002</v>
      </c>
      <c r="O86" s="55">
        <f t="shared" si="370"/>
        <v>19242.63</v>
      </c>
      <c r="P86" s="59">
        <f t="shared" si="371"/>
        <v>63612.286254000006</v>
      </c>
      <c r="Q86" s="57">
        <f t="shared" si="372"/>
        <v>18828.810000000001</v>
      </c>
      <c r="R86" s="59">
        <f t="shared" si="373"/>
        <v>62244.280098000003</v>
      </c>
      <c r="S86" s="55">
        <f t="shared" si="374"/>
        <v>18414.990000000002</v>
      </c>
      <c r="T86" s="59">
        <f t="shared" si="375"/>
        <v>60876.273942000007</v>
      </c>
      <c r="U86" s="57">
        <f t="shared" si="376"/>
        <v>18001.169999999998</v>
      </c>
      <c r="V86" s="59">
        <f t="shared" si="377"/>
        <v>59508.267785999997</v>
      </c>
      <c r="W86" s="60">
        <f t="shared" si="378"/>
        <v>17587.349999999999</v>
      </c>
      <c r="X86" s="59">
        <f t="shared" si="379"/>
        <v>58140.261629999994</v>
      </c>
      <c r="Y86" s="57">
        <f t="shared" si="380"/>
        <v>17173.53</v>
      </c>
      <c r="Z86" s="59">
        <f t="shared" si="381"/>
        <v>56772.255473999998</v>
      </c>
      <c r="AA86" s="55">
        <f t="shared" si="382"/>
        <v>16759.71</v>
      </c>
      <c r="AB86" s="59">
        <f t="shared" si="383"/>
        <v>55404.249318000002</v>
      </c>
      <c r="AC86" s="60">
        <f t="shared" si="384"/>
        <v>16345.889999999998</v>
      </c>
      <c r="AD86" s="59">
        <f t="shared" si="385"/>
        <v>54036.243161999992</v>
      </c>
      <c r="AE86" s="60">
        <f t="shared" si="386"/>
        <v>15932.069999999998</v>
      </c>
      <c r="AF86" s="59">
        <f t="shared" si="387"/>
        <v>52668.237005999996</v>
      </c>
      <c r="AG86" s="60">
        <f t="shared" si="388"/>
        <v>15518.249999999998</v>
      </c>
      <c r="AH86" s="59">
        <f t="shared" si="389"/>
        <v>51300.230849999993</v>
      </c>
      <c r="AI86" s="55">
        <f t="shared" si="390"/>
        <v>15104.429999999997</v>
      </c>
      <c r="AJ86" s="59">
        <f t="shared" si="391"/>
        <v>49932.22469399999</v>
      </c>
      <c r="AK86" s="60">
        <f t="shared" si="392"/>
        <v>14690.609999999997</v>
      </c>
      <c r="AL86" s="59">
        <f t="shared" si="393"/>
        <v>48564.218537999994</v>
      </c>
      <c r="AM86" s="60">
        <f t="shared" si="394"/>
        <v>14276.789999999997</v>
      </c>
      <c r="AN86" s="59">
        <f t="shared" si="395"/>
        <v>47196.212381999991</v>
      </c>
      <c r="AO86" s="60">
        <f t="shared" si="396"/>
        <v>13862.969999999996</v>
      </c>
      <c r="AP86" s="59">
        <f t="shared" si="397"/>
        <v>45828.206225999988</v>
      </c>
      <c r="AQ86" s="60">
        <f t="shared" si="398"/>
        <v>13449.149999999996</v>
      </c>
      <c r="AR86" s="59">
        <f t="shared" si="399"/>
        <v>44460.200069999984</v>
      </c>
      <c r="AS86" s="55">
        <f t="shared" si="400"/>
        <v>13035.329999999996</v>
      </c>
      <c r="AT86" s="59">
        <f t="shared" si="401"/>
        <v>43092.193913999989</v>
      </c>
      <c r="AU86" s="60">
        <f t="shared" si="402"/>
        <v>12621.509999999995</v>
      </c>
      <c r="AV86" s="59">
        <f t="shared" si="403"/>
        <v>41724.187757999985</v>
      </c>
      <c r="AW86" s="60">
        <f t="shared" si="404"/>
        <v>12207.689999999995</v>
      </c>
      <c r="AX86" s="59">
        <f t="shared" si="405"/>
        <v>40356.181601999982</v>
      </c>
      <c r="AY86" s="55">
        <f t="shared" si="406"/>
        <v>11793.869999999994</v>
      </c>
      <c r="AZ86" s="59">
        <f t="shared" si="407"/>
        <v>38988.175445999979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0"/>
        <v>0.91</v>
      </c>
      <c r="BH86" s="55">
        <f t="shared" si="500"/>
        <v>0.89</v>
      </c>
      <c r="BI86" s="55">
        <f t="shared" si="500"/>
        <v>0.87</v>
      </c>
      <c r="BJ86" s="55">
        <f t="shared" si="500"/>
        <v>0.85</v>
      </c>
      <c r="BK86" s="55">
        <f t="shared" si="500"/>
        <v>0.83</v>
      </c>
      <c r="BL86" s="55">
        <f t="shared" si="500"/>
        <v>0.80999999999999994</v>
      </c>
      <c r="BM86" s="55">
        <f t="shared" si="500"/>
        <v>0.78999999999999992</v>
      </c>
      <c r="BN86" s="55">
        <f t="shared" si="500"/>
        <v>0.76999999999999991</v>
      </c>
      <c r="BO86" s="55">
        <f t="shared" si="500"/>
        <v>0.74999999999999989</v>
      </c>
      <c r="BP86" s="55">
        <f t="shared" si="500"/>
        <v>0.72999999999999987</v>
      </c>
      <c r="BQ86" s="55">
        <f t="shared" si="500"/>
        <v>0.70999999999999985</v>
      </c>
      <c r="BR86" s="55">
        <f t="shared" si="500"/>
        <v>0.68999999999999984</v>
      </c>
      <c r="BS86" s="55">
        <f t="shared" si="500"/>
        <v>0.66999999999999982</v>
      </c>
      <c r="BT86" s="55">
        <f t="shared" si="500"/>
        <v>0.6499999999999998</v>
      </c>
      <c r="BU86" s="55">
        <f t="shared" si="500"/>
        <v>0.62999999999999978</v>
      </c>
      <c r="BV86" s="55">
        <f t="shared" si="500"/>
        <v>0.60999999999999976</v>
      </c>
      <c r="BW86" s="55">
        <f t="shared" si="500"/>
        <v>0.58999999999999975</v>
      </c>
      <c r="BX86" s="55">
        <f t="shared" si="500"/>
        <v>0.56999999999999973</v>
      </c>
      <c r="BZ86" s="55">
        <f t="shared" si="508"/>
        <v>18828.810000000001</v>
      </c>
      <c r="CA86" s="55">
        <f t="shared" si="509"/>
        <v>18828.810000000001</v>
      </c>
      <c r="CB86" s="59">
        <f t="shared" si="409"/>
        <v>62244.280098000003</v>
      </c>
      <c r="CC86" s="55">
        <f t="shared" si="410"/>
        <v>18263.9457</v>
      </c>
      <c r="CD86" s="59">
        <f t="shared" si="411"/>
        <v>60376.951695060001</v>
      </c>
      <c r="CE86" s="55">
        <f t="shared" si="412"/>
        <v>17887.369500000001</v>
      </c>
      <c r="CF86" s="59">
        <f t="shared" si="413"/>
        <v>59132.066093100002</v>
      </c>
      <c r="CG86" s="55">
        <f t="shared" si="414"/>
        <v>17510.793300000001</v>
      </c>
      <c r="CH86" s="59">
        <f t="shared" si="415"/>
        <v>57887.180491140003</v>
      </c>
      <c r="CI86" s="57">
        <f t="shared" si="416"/>
        <v>17134.217100000002</v>
      </c>
      <c r="CJ86" s="59">
        <f t="shared" si="417"/>
        <v>56642.294889180004</v>
      </c>
      <c r="CK86" s="55">
        <f t="shared" si="418"/>
        <v>16757.640900000002</v>
      </c>
      <c r="CL86" s="59">
        <f t="shared" si="419"/>
        <v>55397.409287220005</v>
      </c>
      <c r="CM86" s="57">
        <f t="shared" si="420"/>
        <v>16381.064700000001</v>
      </c>
      <c r="CN86" s="59">
        <f t="shared" si="421"/>
        <v>54152.523685260006</v>
      </c>
      <c r="CO86" s="60">
        <f t="shared" si="422"/>
        <v>16004.488500000001</v>
      </c>
      <c r="CP86" s="59">
        <f t="shared" si="423"/>
        <v>52907.638083300008</v>
      </c>
      <c r="CQ86" s="57">
        <f t="shared" si="424"/>
        <v>15627.9123</v>
      </c>
      <c r="CR86" s="59">
        <f t="shared" si="425"/>
        <v>51662.752481340001</v>
      </c>
      <c r="CS86" s="55">
        <f t="shared" si="426"/>
        <v>15251.3361</v>
      </c>
      <c r="CT86" s="59">
        <f t="shared" si="427"/>
        <v>50417.866879380003</v>
      </c>
      <c r="CU86" s="60">
        <f t="shared" si="428"/>
        <v>14874.759899999999</v>
      </c>
      <c r="CV86" s="59">
        <f t="shared" si="429"/>
        <v>49172.981277419996</v>
      </c>
      <c r="CW86" s="60">
        <f t="shared" si="430"/>
        <v>14498.1837</v>
      </c>
      <c r="CX86" s="59">
        <f t="shared" si="431"/>
        <v>47928.095675459997</v>
      </c>
      <c r="CY86" s="60">
        <f t="shared" si="432"/>
        <v>14121.607499999998</v>
      </c>
      <c r="CZ86" s="59">
        <f t="shared" si="433"/>
        <v>46683.210073499999</v>
      </c>
      <c r="DA86" s="55">
        <f t="shared" si="434"/>
        <v>13745.031299999999</v>
      </c>
      <c r="DB86" s="59">
        <f t="shared" si="435"/>
        <v>45438.32447154</v>
      </c>
      <c r="DC86" s="60">
        <f t="shared" si="436"/>
        <v>13368.455099999997</v>
      </c>
      <c r="DD86" s="59">
        <f t="shared" si="437"/>
        <v>44193.438869579993</v>
      </c>
      <c r="DE86" s="60">
        <f t="shared" si="438"/>
        <v>12991.878899999998</v>
      </c>
      <c r="DF86" s="59">
        <f t="shared" si="439"/>
        <v>42948.553267619995</v>
      </c>
      <c r="DG86" s="60">
        <f t="shared" si="440"/>
        <v>12615.302699999997</v>
      </c>
      <c r="DH86" s="59">
        <f t="shared" si="441"/>
        <v>41703.667665659988</v>
      </c>
      <c r="DI86" s="60">
        <f t="shared" si="442"/>
        <v>12238.726499999997</v>
      </c>
      <c r="DJ86" s="59">
        <f t="shared" si="443"/>
        <v>40458.78206369999</v>
      </c>
      <c r="DK86" s="55">
        <f t="shared" si="444"/>
        <v>11862.150299999998</v>
      </c>
      <c r="DL86" s="59">
        <f t="shared" si="445"/>
        <v>39213.896461739991</v>
      </c>
      <c r="DM86" s="60">
        <f t="shared" si="446"/>
        <v>11485.574099999996</v>
      </c>
      <c r="DN86" s="59">
        <f t="shared" si="447"/>
        <v>37969.010859779992</v>
      </c>
      <c r="DO86" s="60">
        <f t="shared" si="448"/>
        <v>11108.997899999997</v>
      </c>
      <c r="DP86" s="59">
        <f t="shared" si="449"/>
        <v>36724.125257819993</v>
      </c>
      <c r="DQ86" s="55">
        <f t="shared" si="450"/>
        <v>10732.421699999995</v>
      </c>
      <c r="DR86" s="59">
        <f t="shared" si="451"/>
        <v>35479.239655859987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3"/>
        <v>0.91</v>
      </c>
      <c r="DZ86" s="55">
        <f t="shared" si="503"/>
        <v>0.89</v>
      </c>
      <c r="EA86" s="55">
        <f t="shared" si="503"/>
        <v>0.87</v>
      </c>
      <c r="EB86" s="55">
        <f t="shared" si="503"/>
        <v>0.85</v>
      </c>
      <c r="EC86" s="55">
        <f t="shared" si="503"/>
        <v>0.83</v>
      </c>
      <c r="ED86" s="55">
        <f t="shared" si="503"/>
        <v>0.80999999999999994</v>
      </c>
      <c r="EE86" s="55">
        <f t="shared" si="503"/>
        <v>0.78999999999999992</v>
      </c>
      <c r="EF86" s="55">
        <f t="shared" si="503"/>
        <v>0.76999999999999991</v>
      </c>
      <c r="EG86" s="55">
        <f t="shared" si="503"/>
        <v>0.74999999999999989</v>
      </c>
      <c r="EH86" s="55">
        <f t="shared" si="503"/>
        <v>0.72999999999999987</v>
      </c>
      <c r="EI86" s="55">
        <f t="shared" si="503"/>
        <v>0.70999999999999985</v>
      </c>
      <c r="EJ86" s="55">
        <f t="shared" si="503"/>
        <v>0.68999999999999984</v>
      </c>
      <c r="EK86" s="55">
        <f t="shared" si="503"/>
        <v>0.66999999999999982</v>
      </c>
      <c r="EL86" s="55">
        <f t="shared" si="503"/>
        <v>0.6499999999999998</v>
      </c>
      <c r="EM86" s="55">
        <f t="shared" si="503"/>
        <v>0.62999999999999978</v>
      </c>
      <c r="EN86" s="55">
        <f t="shared" si="503"/>
        <v>0.60999999999999976</v>
      </c>
      <c r="EO86" s="55">
        <f t="shared" si="503"/>
        <v>0.58999999999999975</v>
      </c>
      <c r="EP86" s="55">
        <f t="shared" si="503"/>
        <v>0.56999999999999973</v>
      </c>
      <c r="ER86" s="55">
        <f t="shared" si="142"/>
        <v>17134.217100000002</v>
      </c>
      <c r="ES86" s="55">
        <f t="shared" si="510"/>
        <v>17134.217100000002</v>
      </c>
      <c r="ET86" s="59">
        <f t="shared" si="453"/>
        <v>56642.294889180004</v>
      </c>
      <c r="EU86" s="55">
        <f t="shared" si="454"/>
        <v>16620.190587000001</v>
      </c>
      <c r="EV86" s="59">
        <f t="shared" si="455"/>
        <v>54943.026042504607</v>
      </c>
      <c r="EW86" s="55">
        <f t="shared" si="456"/>
        <v>16277.506245</v>
      </c>
      <c r="EX86" s="59">
        <f t="shared" si="457"/>
        <v>53810.180144721002</v>
      </c>
      <c r="EY86" s="55">
        <f t="shared" si="458"/>
        <v>15934.821903000002</v>
      </c>
      <c r="EZ86" s="59">
        <f t="shared" si="459"/>
        <v>52677.334246937404</v>
      </c>
      <c r="FA86" s="57">
        <f t="shared" si="460"/>
        <v>15592.137561000001</v>
      </c>
      <c r="FB86" s="59">
        <f t="shared" si="461"/>
        <v>51544.488349153806</v>
      </c>
      <c r="FC86" s="55">
        <f t="shared" si="462"/>
        <v>15249.453219000001</v>
      </c>
      <c r="FD86" s="59">
        <f t="shared" si="463"/>
        <v>50411.6424513702</v>
      </c>
      <c r="FE86" s="57">
        <f t="shared" si="464"/>
        <v>14906.768877000002</v>
      </c>
      <c r="FF86" s="59">
        <f t="shared" si="465"/>
        <v>49278.79655358661</v>
      </c>
      <c r="FG86" s="60">
        <f t="shared" si="466"/>
        <v>14564.084535000002</v>
      </c>
      <c r="FH86" s="59">
        <f t="shared" si="467"/>
        <v>48145.950655803004</v>
      </c>
      <c r="FI86" s="57">
        <f t="shared" si="468"/>
        <v>14221.400193000001</v>
      </c>
      <c r="FJ86" s="59">
        <f t="shared" si="469"/>
        <v>47013.104758019406</v>
      </c>
      <c r="FK86" s="55">
        <f t="shared" si="470"/>
        <v>13878.715851000001</v>
      </c>
      <c r="FL86" s="59">
        <f t="shared" si="471"/>
        <v>45880.258860235801</v>
      </c>
      <c r="FM86" s="60">
        <f t="shared" si="472"/>
        <v>13536.031509</v>
      </c>
      <c r="FN86" s="59">
        <f t="shared" si="473"/>
        <v>44747.412962452203</v>
      </c>
      <c r="FO86" s="60">
        <f t="shared" si="474"/>
        <v>13193.347167</v>
      </c>
      <c r="FP86" s="59">
        <f t="shared" si="475"/>
        <v>43614.567064668598</v>
      </c>
      <c r="FQ86" s="60">
        <f t="shared" si="476"/>
        <v>12850.662824999999</v>
      </c>
      <c r="FR86" s="59">
        <f t="shared" si="477"/>
        <v>42481.721166885</v>
      </c>
      <c r="FS86" s="55">
        <f t="shared" si="478"/>
        <v>12507.978482999999</v>
      </c>
      <c r="FT86" s="59">
        <f t="shared" si="479"/>
        <v>41348.875269101394</v>
      </c>
      <c r="FU86" s="60">
        <f t="shared" si="480"/>
        <v>12165.294140999998</v>
      </c>
      <c r="FV86" s="59">
        <f t="shared" si="481"/>
        <v>40216.029371317796</v>
      </c>
      <c r="FW86" s="60">
        <f t="shared" si="482"/>
        <v>11822.609798999998</v>
      </c>
      <c r="FX86" s="59">
        <f t="shared" si="483"/>
        <v>39083.183473534191</v>
      </c>
      <c r="FY86" s="60">
        <f t="shared" si="484"/>
        <v>11479.925456999998</v>
      </c>
      <c r="FZ86" s="59">
        <f t="shared" si="485"/>
        <v>37950.337575750593</v>
      </c>
      <c r="GA86" s="60">
        <f t="shared" si="486"/>
        <v>11137.241114999997</v>
      </c>
      <c r="GB86" s="59">
        <f t="shared" si="487"/>
        <v>36817.491677966995</v>
      </c>
      <c r="GC86" s="55">
        <f t="shared" si="488"/>
        <v>10794.556772999997</v>
      </c>
      <c r="GD86" s="59">
        <f t="shared" si="489"/>
        <v>35684.645780183389</v>
      </c>
      <c r="GE86" s="60">
        <f t="shared" si="490"/>
        <v>10451.872430999996</v>
      </c>
      <c r="GF86" s="59">
        <f t="shared" si="491"/>
        <v>34551.799882399791</v>
      </c>
      <c r="GG86" s="60">
        <f t="shared" si="492"/>
        <v>10109.188088999997</v>
      </c>
      <c r="GH86" s="59">
        <f t="shared" si="493"/>
        <v>33418.953984616193</v>
      </c>
      <c r="GI86" s="55">
        <f t="shared" si="494"/>
        <v>9766.503746999997</v>
      </c>
      <c r="GJ86" s="59">
        <f t="shared" si="495"/>
        <v>32286.108086832592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4"/>
        <v>0.91</v>
      </c>
      <c r="GR86" s="55">
        <f t="shared" si="504"/>
        <v>0.89</v>
      </c>
      <c r="GS86" s="55">
        <f t="shared" si="504"/>
        <v>0.87</v>
      </c>
      <c r="GT86" s="55">
        <f t="shared" si="504"/>
        <v>0.85</v>
      </c>
      <c r="GU86" s="55">
        <f t="shared" si="504"/>
        <v>0.83</v>
      </c>
      <c r="GV86" s="55">
        <f t="shared" si="504"/>
        <v>0.80999999999999994</v>
      </c>
      <c r="GW86" s="55">
        <f t="shared" si="504"/>
        <v>0.78999999999999992</v>
      </c>
      <c r="GX86" s="55">
        <f t="shared" si="504"/>
        <v>0.76999999999999991</v>
      </c>
      <c r="GY86" s="55">
        <f t="shared" si="504"/>
        <v>0.74999999999999989</v>
      </c>
      <c r="GZ86" s="55">
        <f t="shared" si="504"/>
        <v>0.72999999999999987</v>
      </c>
      <c r="HA86" s="55">
        <f t="shared" si="504"/>
        <v>0.70999999999999985</v>
      </c>
      <c r="HB86" s="55">
        <f t="shared" si="504"/>
        <v>0.68999999999999984</v>
      </c>
      <c r="HC86" s="55">
        <f t="shared" si="504"/>
        <v>0.66999999999999982</v>
      </c>
      <c r="HD86" s="55">
        <f t="shared" si="504"/>
        <v>0.6499999999999998</v>
      </c>
      <c r="HE86" s="55">
        <f t="shared" si="504"/>
        <v>0.62999999999999978</v>
      </c>
      <c r="HF86" s="55">
        <f t="shared" si="504"/>
        <v>0.60999999999999976</v>
      </c>
      <c r="HG86" s="55">
        <f t="shared" si="504"/>
        <v>0.58999999999999975</v>
      </c>
      <c r="HH86" s="55">
        <f t="shared" si="504"/>
        <v>0.56999999999999973</v>
      </c>
    </row>
    <row r="87" spans="1:216" x14ac:dyDescent="0.3">
      <c r="A87" s="2">
        <v>25</v>
      </c>
      <c r="C87" s="38" t="s">
        <v>150</v>
      </c>
      <c r="D87" s="42">
        <v>0</v>
      </c>
      <c r="E87" s="71">
        <f t="shared" si="365"/>
        <v>0</v>
      </c>
      <c r="H87" s="55">
        <f t="shared" si="505"/>
        <v>0</v>
      </c>
      <c r="I87" s="55">
        <f t="shared" si="506"/>
        <v>0</v>
      </c>
      <c r="J87" s="59">
        <f t="shared" si="507"/>
        <v>0</v>
      </c>
      <c r="K87" s="55">
        <f t="shared" si="366"/>
        <v>0</v>
      </c>
      <c r="L87" s="59">
        <f t="shared" si="367"/>
        <v>0</v>
      </c>
      <c r="M87" s="55">
        <f t="shared" si="368"/>
        <v>0</v>
      </c>
      <c r="N87" s="59">
        <f t="shared" si="369"/>
        <v>0</v>
      </c>
      <c r="O87" s="55">
        <f t="shared" si="370"/>
        <v>0</v>
      </c>
      <c r="P87" s="59">
        <f t="shared" si="371"/>
        <v>0</v>
      </c>
      <c r="Q87" s="57">
        <f t="shared" si="372"/>
        <v>0</v>
      </c>
      <c r="R87" s="59">
        <f t="shared" si="373"/>
        <v>0</v>
      </c>
      <c r="S87" s="55">
        <f t="shared" si="374"/>
        <v>0</v>
      </c>
      <c r="T87" s="59">
        <f t="shared" si="375"/>
        <v>0</v>
      </c>
      <c r="U87" s="57">
        <f t="shared" si="376"/>
        <v>0</v>
      </c>
      <c r="V87" s="59">
        <f t="shared" si="377"/>
        <v>0</v>
      </c>
      <c r="W87" s="60">
        <f t="shared" si="378"/>
        <v>0</v>
      </c>
      <c r="X87" s="59">
        <f t="shared" si="379"/>
        <v>0</v>
      </c>
      <c r="Y87" s="57">
        <f t="shared" si="380"/>
        <v>0</v>
      </c>
      <c r="Z87" s="59">
        <f t="shared" si="381"/>
        <v>0</v>
      </c>
      <c r="AA87" s="55">
        <f t="shared" si="382"/>
        <v>0</v>
      </c>
      <c r="AB87" s="59">
        <f t="shared" si="383"/>
        <v>0</v>
      </c>
      <c r="AC87" s="60">
        <f t="shared" si="384"/>
        <v>0</v>
      </c>
      <c r="AD87" s="59">
        <f t="shared" si="385"/>
        <v>0</v>
      </c>
      <c r="AE87" s="60">
        <f t="shared" si="386"/>
        <v>0</v>
      </c>
      <c r="AF87" s="59">
        <f t="shared" si="387"/>
        <v>0</v>
      </c>
      <c r="AG87" s="60">
        <f t="shared" si="388"/>
        <v>0</v>
      </c>
      <c r="AH87" s="59">
        <f t="shared" si="389"/>
        <v>0</v>
      </c>
      <c r="AI87" s="55">
        <f t="shared" si="390"/>
        <v>0</v>
      </c>
      <c r="AJ87" s="59">
        <f t="shared" si="391"/>
        <v>0</v>
      </c>
      <c r="AK87" s="60">
        <f t="shared" si="392"/>
        <v>0</v>
      </c>
      <c r="AL87" s="59">
        <f t="shared" si="393"/>
        <v>0</v>
      </c>
      <c r="AM87" s="60">
        <f t="shared" si="394"/>
        <v>0</v>
      </c>
      <c r="AN87" s="59">
        <f t="shared" si="395"/>
        <v>0</v>
      </c>
      <c r="AO87" s="60">
        <f t="shared" si="396"/>
        <v>0</v>
      </c>
      <c r="AP87" s="59">
        <f t="shared" si="397"/>
        <v>0</v>
      </c>
      <c r="AQ87" s="60">
        <f t="shared" si="398"/>
        <v>0</v>
      </c>
      <c r="AR87" s="59">
        <f t="shared" si="399"/>
        <v>0</v>
      </c>
      <c r="AS87" s="55">
        <f t="shared" si="400"/>
        <v>0</v>
      </c>
      <c r="AT87" s="59">
        <f t="shared" si="401"/>
        <v>0</v>
      </c>
      <c r="AU87" s="60">
        <f t="shared" si="402"/>
        <v>0</v>
      </c>
      <c r="AV87" s="59">
        <f t="shared" si="403"/>
        <v>0</v>
      </c>
      <c r="AW87" s="60">
        <f t="shared" si="404"/>
        <v>0</v>
      </c>
      <c r="AX87" s="59">
        <f t="shared" si="405"/>
        <v>0</v>
      </c>
      <c r="AY87" s="55">
        <f t="shared" si="406"/>
        <v>0</v>
      </c>
      <c r="AZ87" s="59">
        <f t="shared" si="407"/>
        <v>0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0"/>
        <v>0.91</v>
      </c>
      <c r="BH87" s="55">
        <f t="shared" si="500"/>
        <v>0.89</v>
      </c>
      <c r="BI87" s="55">
        <f t="shared" si="500"/>
        <v>0.87</v>
      </c>
      <c r="BJ87" s="55">
        <f t="shared" si="500"/>
        <v>0.85</v>
      </c>
      <c r="BK87" s="55">
        <f t="shared" si="500"/>
        <v>0.83</v>
      </c>
      <c r="BL87" s="55">
        <f t="shared" si="500"/>
        <v>0.80999999999999994</v>
      </c>
      <c r="BM87" s="55">
        <f t="shared" si="500"/>
        <v>0.78999999999999992</v>
      </c>
      <c r="BN87" s="55">
        <f t="shared" si="500"/>
        <v>0.76999999999999991</v>
      </c>
      <c r="BO87" s="55">
        <f t="shared" si="500"/>
        <v>0.74999999999999989</v>
      </c>
      <c r="BP87" s="55">
        <f t="shared" si="500"/>
        <v>0.72999999999999987</v>
      </c>
      <c r="BQ87" s="55">
        <f t="shared" si="500"/>
        <v>0.70999999999999985</v>
      </c>
      <c r="BR87" s="55">
        <f t="shared" si="500"/>
        <v>0.68999999999999984</v>
      </c>
      <c r="BS87" s="55">
        <f t="shared" si="500"/>
        <v>0.66999999999999982</v>
      </c>
      <c r="BT87" s="55">
        <f t="shared" si="500"/>
        <v>0.6499999999999998</v>
      </c>
      <c r="BU87" s="55">
        <f t="shared" si="500"/>
        <v>0.62999999999999978</v>
      </c>
      <c r="BV87" s="55">
        <f t="shared" si="500"/>
        <v>0.60999999999999976</v>
      </c>
      <c r="BW87" s="55">
        <f t="shared" si="500"/>
        <v>0.58999999999999975</v>
      </c>
      <c r="BX87" s="55">
        <f t="shared" si="500"/>
        <v>0.56999999999999973</v>
      </c>
      <c r="BZ87" s="55">
        <f t="shared" si="508"/>
        <v>0</v>
      </c>
      <c r="CA87" s="55">
        <f t="shared" si="509"/>
        <v>0</v>
      </c>
      <c r="CB87" s="59">
        <f t="shared" si="409"/>
        <v>0</v>
      </c>
      <c r="CC87" s="55">
        <f t="shared" si="410"/>
        <v>0</v>
      </c>
      <c r="CD87" s="59">
        <f t="shared" si="411"/>
        <v>0</v>
      </c>
      <c r="CE87" s="55">
        <f t="shared" si="412"/>
        <v>0</v>
      </c>
      <c r="CF87" s="59">
        <f t="shared" si="413"/>
        <v>0</v>
      </c>
      <c r="CG87" s="55">
        <f t="shared" si="414"/>
        <v>0</v>
      </c>
      <c r="CH87" s="59">
        <f t="shared" si="415"/>
        <v>0</v>
      </c>
      <c r="CI87" s="57">
        <f t="shared" si="416"/>
        <v>0</v>
      </c>
      <c r="CJ87" s="59">
        <f t="shared" si="417"/>
        <v>0</v>
      </c>
      <c r="CK87" s="55">
        <f t="shared" si="418"/>
        <v>0</v>
      </c>
      <c r="CL87" s="59">
        <f t="shared" si="419"/>
        <v>0</v>
      </c>
      <c r="CM87" s="57">
        <f t="shared" si="420"/>
        <v>0</v>
      </c>
      <c r="CN87" s="59">
        <f t="shared" si="421"/>
        <v>0</v>
      </c>
      <c r="CO87" s="60">
        <f t="shared" si="422"/>
        <v>0</v>
      </c>
      <c r="CP87" s="59">
        <f t="shared" si="423"/>
        <v>0</v>
      </c>
      <c r="CQ87" s="57">
        <f t="shared" si="424"/>
        <v>0</v>
      </c>
      <c r="CR87" s="59">
        <f t="shared" si="425"/>
        <v>0</v>
      </c>
      <c r="CS87" s="55">
        <f t="shared" si="426"/>
        <v>0</v>
      </c>
      <c r="CT87" s="59">
        <f t="shared" si="427"/>
        <v>0</v>
      </c>
      <c r="CU87" s="60">
        <f t="shared" si="428"/>
        <v>0</v>
      </c>
      <c r="CV87" s="59">
        <f t="shared" si="429"/>
        <v>0</v>
      </c>
      <c r="CW87" s="60">
        <f t="shared" si="430"/>
        <v>0</v>
      </c>
      <c r="CX87" s="59">
        <f t="shared" si="431"/>
        <v>0</v>
      </c>
      <c r="CY87" s="60">
        <f t="shared" si="432"/>
        <v>0</v>
      </c>
      <c r="CZ87" s="59">
        <f t="shared" si="433"/>
        <v>0</v>
      </c>
      <c r="DA87" s="55">
        <f t="shared" si="434"/>
        <v>0</v>
      </c>
      <c r="DB87" s="59">
        <f t="shared" si="435"/>
        <v>0</v>
      </c>
      <c r="DC87" s="60">
        <f t="shared" si="436"/>
        <v>0</v>
      </c>
      <c r="DD87" s="59">
        <f t="shared" si="437"/>
        <v>0</v>
      </c>
      <c r="DE87" s="60">
        <f t="shared" si="438"/>
        <v>0</v>
      </c>
      <c r="DF87" s="59">
        <f t="shared" si="439"/>
        <v>0</v>
      </c>
      <c r="DG87" s="60">
        <f t="shared" si="440"/>
        <v>0</v>
      </c>
      <c r="DH87" s="59">
        <f t="shared" si="441"/>
        <v>0</v>
      </c>
      <c r="DI87" s="60">
        <f t="shared" si="442"/>
        <v>0</v>
      </c>
      <c r="DJ87" s="59">
        <f t="shared" si="443"/>
        <v>0</v>
      </c>
      <c r="DK87" s="55">
        <f t="shared" si="444"/>
        <v>0</v>
      </c>
      <c r="DL87" s="59">
        <f t="shared" si="445"/>
        <v>0</v>
      </c>
      <c r="DM87" s="60">
        <f t="shared" si="446"/>
        <v>0</v>
      </c>
      <c r="DN87" s="59">
        <f t="shared" si="447"/>
        <v>0</v>
      </c>
      <c r="DO87" s="60">
        <f t="shared" si="448"/>
        <v>0</v>
      </c>
      <c r="DP87" s="59">
        <f t="shared" si="449"/>
        <v>0</v>
      </c>
      <c r="DQ87" s="55">
        <f t="shared" si="450"/>
        <v>0</v>
      </c>
      <c r="DR87" s="59">
        <f t="shared" si="451"/>
        <v>0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3"/>
        <v>0.91</v>
      </c>
      <c r="DZ87" s="55">
        <f t="shared" si="503"/>
        <v>0.89</v>
      </c>
      <c r="EA87" s="55">
        <f t="shared" si="503"/>
        <v>0.87</v>
      </c>
      <c r="EB87" s="55">
        <f t="shared" si="503"/>
        <v>0.85</v>
      </c>
      <c r="EC87" s="55">
        <f t="shared" si="503"/>
        <v>0.83</v>
      </c>
      <c r="ED87" s="55">
        <f t="shared" si="503"/>
        <v>0.80999999999999994</v>
      </c>
      <c r="EE87" s="55">
        <f t="shared" si="503"/>
        <v>0.78999999999999992</v>
      </c>
      <c r="EF87" s="55">
        <f t="shared" si="503"/>
        <v>0.76999999999999991</v>
      </c>
      <c r="EG87" s="55">
        <f t="shared" si="503"/>
        <v>0.74999999999999989</v>
      </c>
      <c r="EH87" s="55">
        <f t="shared" si="503"/>
        <v>0.72999999999999987</v>
      </c>
      <c r="EI87" s="55">
        <f t="shared" si="503"/>
        <v>0.70999999999999985</v>
      </c>
      <c r="EJ87" s="55">
        <f t="shared" si="503"/>
        <v>0.68999999999999984</v>
      </c>
      <c r="EK87" s="55">
        <f t="shared" si="503"/>
        <v>0.66999999999999982</v>
      </c>
      <c r="EL87" s="55">
        <f t="shared" si="503"/>
        <v>0.6499999999999998</v>
      </c>
      <c r="EM87" s="55">
        <f t="shared" si="503"/>
        <v>0.62999999999999978</v>
      </c>
      <c r="EN87" s="55">
        <f t="shared" si="503"/>
        <v>0.60999999999999976</v>
      </c>
      <c r="EO87" s="55">
        <f t="shared" si="503"/>
        <v>0.58999999999999975</v>
      </c>
      <c r="EP87" s="55">
        <f t="shared" si="503"/>
        <v>0.56999999999999973</v>
      </c>
      <c r="ER87" s="55">
        <f t="shared" si="142"/>
        <v>0</v>
      </c>
      <c r="ES87" s="55">
        <f t="shared" si="510"/>
        <v>0</v>
      </c>
      <c r="ET87" s="59">
        <f t="shared" si="453"/>
        <v>0</v>
      </c>
      <c r="EU87" s="55">
        <f t="shared" si="454"/>
        <v>0</v>
      </c>
      <c r="EV87" s="59">
        <f t="shared" si="455"/>
        <v>0</v>
      </c>
      <c r="EW87" s="55">
        <f t="shared" si="456"/>
        <v>0</v>
      </c>
      <c r="EX87" s="59">
        <f t="shared" si="457"/>
        <v>0</v>
      </c>
      <c r="EY87" s="55">
        <f t="shared" si="458"/>
        <v>0</v>
      </c>
      <c r="EZ87" s="59">
        <f t="shared" si="459"/>
        <v>0</v>
      </c>
      <c r="FA87" s="57">
        <f t="shared" si="460"/>
        <v>0</v>
      </c>
      <c r="FB87" s="59">
        <f t="shared" si="461"/>
        <v>0</v>
      </c>
      <c r="FC87" s="55">
        <f t="shared" si="462"/>
        <v>0</v>
      </c>
      <c r="FD87" s="59">
        <f t="shared" si="463"/>
        <v>0</v>
      </c>
      <c r="FE87" s="57">
        <f t="shared" si="464"/>
        <v>0</v>
      </c>
      <c r="FF87" s="59">
        <f t="shared" si="465"/>
        <v>0</v>
      </c>
      <c r="FG87" s="60">
        <f t="shared" si="466"/>
        <v>0</v>
      </c>
      <c r="FH87" s="59">
        <f t="shared" si="467"/>
        <v>0</v>
      </c>
      <c r="FI87" s="57">
        <f t="shared" si="468"/>
        <v>0</v>
      </c>
      <c r="FJ87" s="59">
        <f t="shared" si="469"/>
        <v>0</v>
      </c>
      <c r="FK87" s="55">
        <f t="shared" si="470"/>
        <v>0</v>
      </c>
      <c r="FL87" s="59">
        <f t="shared" si="471"/>
        <v>0</v>
      </c>
      <c r="FM87" s="60">
        <f t="shared" si="472"/>
        <v>0</v>
      </c>
      <c r="FN87" s="59">
        <f t="shared" si="473"/>
        <v>0</v>
      </c>
      <c r="FO87" s="60">
        <f t="shared" si="474"/>
        <v>0</v>
      </c>
      <c r="FP87" s="59">
        <f t="shared" si="475"/>
        <v>0</v>
      </c>
      <c r="FQ87" s="60">
        <f t="shared" si="476"/>
        <v>0</v>
      </c>
      <c r="FR87" s="59">
        <f t="shared" si="477"/>
        <v>0</v>
      </c>
      <c r="FS87" s="55">
        <f t="shared" si="478"/>
        <v>0</v>
      </c>
      <c r="FT87" s="59">
        <f t="shared" si="479"/>
        <v>0</v>
      </c>
      <c r="FU87" s="60">
        <f t="shared" si="480"/>
        <v>0</v>
      </c>
      <c r="FV87" s="59">
        <f t="shared" si="481"/>
        <v>0</v>
      </c>
      <c r="FW87" s="60">
        <f t="shared" si="482"/>
        <v>0</v>
      </c>
      <c r="FX87" s="59">
        <f t="shared" si="483"/>
        <v>0</v>
      </c>
      <c r="FY87" s="60">
        <f t="shared" si="484"/>
        <v>0</v>
      </c>
      <c r="FZ87" s="59">
        <f t="shared" si="485"/>
        <v>0</v>
      </c>
      <c r="GA87" s="60">
        <f t="shared" si="486"/>
        <v>0</v>
      </c>
      <c r="GB87" s="59">
        <f t="shared" si="487"/>
        <v>0</v>
      </c>
      <c r="GC87" s="55">
        <f t="shared" si="488"/>
        <v>0</v>
      </c>
      <c r="GD87" s="59">
        <f t="shared" si="489"/>
        <v>0</v>
      </c>
      <c r="GE87" s="60">
        <f t="shared" si="490"/>
        <v>0</v>
      </c>
      <c r="GF87" s="59">
        <f t="shared" si="491"/>
        <v>0</v>
      </c>
      <c r="GG87" s="60">
        <f t="shared" si="492"/>
        <v>0</v>
      </c>
      <c r="GH87" s="59">
        <f t="shared" si="493"/>
        <v>0</v>
      </c>
      <c r="GI87" s="55">
        <f t="shared" si="494"/>
        <v>0</v>
      </c>
      <c r="GJ87" s="59">
        <f t="shared" si="495"/>
        <v>0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4"/>
        <v>0.91</v>
      </c>
      <c r="GR87" s="55">
        <f t="shared" si="504"/>
        <v>0.89</v>
      </c>
      <c r="GS87" s="55">
        <f t="shared" si="504"/>
        <v>0.87</v>
      </c>
      <c r="GT87" s="55">
        <f t="shared" si="504"/>
        <v>0.85</v>
      </c>
      <c r="GU87" s="55">
        <f t="shared" si="504"/>
        <v>0.83</v>
      </c>
      <c r="GV87" s="55">
        <f t="shared" si="504"/>
        <v>0.80999999999999994</v>
      </c>
      <c r="GW87" s="55">
        <f t="shared" si="504"/>
        <v>0.78999999999999992</v>
      </c>
      <c r="GX87" s="55">
        <f t="shared" si="504"/>
        <v>0.76999999999999991</v>
      </c>
      <c r="GY87" s="55">
        <f t="shared" si="504"/>
        <v>0.74999999999999989</v>
      </c>
      <c r="GZ87" s="55">
        <f t="shared" si="504"/>
        <v>0.72999999999999987</v>
      </c>
      <c r="HA87" s="55">
        <f t="shared" si="504"/>
        <v>0.70999999999999985</v>
      </c>
      <c r="HB87" s="55">
        <f t="shared" si="504"/>
        <v>0.68999999999999984</v>
      </c>
      <c r="HC87" s="55">
        <f t="shared" si="504"/>
        <v>0.66999999999999982</v>
      </c>
      <c r="HD87" s="55">
        <f t="shared" si="504"/>
        <v>0.6499999999999998</v>
      </c>
      <c r="HE87" s="55">
        <f t="shared" si="504"/>
        <v>0.62999999999999978</v>
      </c>
      <c r="HF87" s="55">
        <f t="shared" si="504"/>
        <v>0.60999999999999976</v>
      </c>
      <c r="HG87" s="55">
        <f t="shared" si="504"/>
        <v>0.58999999999999975</v>
      </c>
      <c r="HH87" s="55">
        <f t="shared" si="504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TRUNC(1422.87353938937+22380.9104787034+5558.33000376932,-1)</f>
        <v>29360</v>
      </c>
      <c r="E88" s="72">
        <f t="shared" si="365"/>
        <v>97050</v>
      </c>
      <c r="F88" s="2" t="s">
        <v>315</v>
      </c>
      <c r="H88" s="55">
        <f t="shared" si="505"/>
        <v>106755.00000000001</v>
      </c>
      <c r="I88" s="55">
        <f t="shared" si="506"/>
        <v>106755.00000000001</v>
      </c>
      <c r="J88" s="59">
        <f t="shared" si="507"/>
        <v>352910.67900000006</v>
      </c>
      <c r="K88" s="55">
        <f t="shared" si="366"/>
        <v>103552.35</v>
      </c>
      <c r="L88" s="59">
        <f t="shared" si="367"/>
        <v>342323.35863000003</v>
      </c>
      <c r="M88" s="55">
        <f t="shared" si="368"/>
        <v>101417.25000000001</v>
      </c>
      <c r="N88" s="59">
        <f t="shared" si="369"/>
        <v>335265.14505000005</v>
      </c>
      <c r="O88" s="55">
        <f t="shared" si="370"/>
        <v>99282.150000000023</v>
      </c>
      <c r="P88" s="59">
        <f t="shared" si="371"/>
        <v>328206.93147000007</v>
      </c>
      <c r="Q88" s="57">
        <f t="shared" si="372"/>
        <v>97147.050000000017</v>
      </c>
      <c r="R88" s="59">
        <f t="shared" si="373"/>
        <v>321148.71789000009</v>
      </c>
      <c r="S88" s="55">
        <f t="shared" si="374"/>
        <v>95011.950000000012</v>
      </c>
      <c r="T88" s="59">
        <f t="shared" si="375"/>
        <v>314090.50431000005</v>
      </c>
      <c r="U88" s="57">
        <f t="shared" si="376"/>
        <v>92876.85</v>
      </c>
      <c r="V88" s="59">
        <f t="shared" si="377"/>
        <v>307032.29073000001</v>
      </c>
      <c r="W88" s="60">
        <f t="shared" si="378"/>
        <v>90741.750000000015</v>
      </c>
      <c r="X88" s="59">
        <f t="shared" si="379"/>
        <v>299974.07715000003</v>
      </c>
      <c r="Y88" s="57">
        <f t="shared" si="380"/>
        <v>88606.650000000009</v>
      </c>
      <c r="Z88" s="59">
        <f t="shared" si="381"/>
        <v>292915.86357000005</v>
      </c>
      <c r="AA88" s="55">
        <f t="shared" si="382"/>
        <v>86471.55</v>
      </c>
      <c r="AB88" s="59">
        <f t="shared" si="383"/>
        <v>285857.64999000001</v>
      </c>
      <c r="AC88" s="60">
        <f t="shared" si="384"/>
        <v>84336.45</v>
      </c>
      <c r="AD88" s="59">
        <f t="shared" si="385"/>
        <v>278799.43641000002</v>
      </c>
      <c r="AE88" s="60">
        <f t="shared" si="386"/>
        <v>82201.350000000006</v>
      </c>
      <c r="AF88" s="59">
        <f t="shared" si="387"/>
        <v>271741.22283000004</v>
      </c>
      <c r="AG88" s="60">
        <f t="shared" si="388"/>
        <v>80066.25</v>
      </c>
      <c r="AH88" s="59">
        <f t="shared" si="389"/>
        <v>264683.00925</v>
      </c>
      <c r="AI88" s="55">
        <f t="shared" si="390"/>
        <v>77931.149999999994</v>
      </c>
      <c r="AJ88" s="59">
        <f t="shared" si="391"/>
        <v>257624.79566999999</v>
      </c>
      <c r="AK88" s="60">
        <f t="shared" si="392"/>
        <v>75796.049999999988</v>
      </c>
      <c r="AL88" s="59">
        <f t="shared" si="393"/>
        <v>250566.58208999995</v>
      </c>
      <c r="AM88" s="60">
        <f t="shared" si="394"/>
        <v>73660.95</v>
      </c>
      <c r="AN88" s="59">
        <f t="shared" si="395"/>
        <v>243508.36851</v>
      </c>
      <c r="AO88" s="60">
        <f t="shared" si="396"/>
        <v>71525.849999999991</v>
      </c>
      <c r="AP88" s="59">
        <f t="shared" si="397"/>
        <v>236450.15492999999</v>
      </c>
      <c r="AQ88" s="60">
        <f t="shared" si="398"/>
        <v>69390.749999999985</v>
      </c>
      <c r="AR88" s="59">
        <f t="shared" si="399"/>
        <v>229391.94134999995</v>
      </c>
      <c r="AS88" s="55">
        <f t="shared" si="400"/>
        <v>67255.64999999998</v>
      </c>
      <c r="AT88" s="59">
        <f t="shared" si="401"/>
        <v>222333.72776999994</v>
      </c>
      <c r="AU88" s="60">
        <f t="shared" si="402"/>
        <v>65120.549999999981</v>
      </c>
      <c r="AV88" s="59">
        <f t="shared" si="403"/>
        <v>215275.51418999993</v>
      </c>
      <c r="AW88" s="60">
        <f t="shared" si="404"/>
        <v>62985.449999999983</v>
      </c>
      <c r="AX88" s="59">
        <f t="shared" si="405"/>
        <v>208217.30060999995</v>
      </c>
      <c r="AY88" s="55">
        <f t="shared" si="406"/>
        <v>60850.349999999977</v>
      </c>
      <c r="AZ88" s="59">
        <f t="shared" si="407"/>
        <v>201159.08702999994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0"/>
        <v>0.91</v>
      </c>
      <c r="BH88" s="55">
        <f t="shared" si="500"/>
        <v>0.89</v>
      </c>
      <c r="BI88" s="55">
        <f t="shared" si="500"/>
        <v>0.87</v>
      </c>
      <c r="BJ88" s="55">
        <f t="shared" si="500"/>
        <v>0.85</v>
      </c>
      <c r="BK88" s="55">
        <f t="shared" si="500"/>
        <v>0.83</v>
      </c>
      <c r="BL88" s="55">
        <f t="shared" si="500"/>
        <v>0.80999999999999994</v>
      </c>
      <c r="BM88" s="55">
        <f t="shared" si="500"/>
        <v>0.78999999999999992</v>
      </c>
      <c r="BN88" s="55">
        <f t="shared" si="500"/>
        <v>0.76999999999999991</v>
      </c>
      <c r="BO88" s="55">
        <f t="shared" si="500"/>
        <v>0.74999999999999989</v>
      </c>
      <c r="BP88" s="55">
        <f t="shared" si="500"/>
        <v>0.72999999999999987</v>
      </c>
      <c r="BQ88" s="55">
        <f t="shared" si="500"/>
        <v>0.70999999999999985</v>
      </c>
      <c r="BR88" s="55">
        <f t="shared" si="500"/>
        <v>0.68999999999999984</v>
      </c>
      <c r="BS88" s="55">
        <f t="shared" si="500"/>
        <v>0.66999999999999982</v>
      </c>
      <c r="BT88" s="55">
        <f t="shared" si="500"/>
        <v>0.6499999999999998</v>
      </c>
      <c r="BU88" s="55">
        <f t="shared" si="500"/>
        <v>0.62999999999999978</v>
      </c>
      <c r="BV88" s="55">
        <f t="shared" si="500"/>
        <v>0.60999999999999976</v>
      </c>
      <c r="BW88" s="55">
        <f t="shared" si="500"/>
        <v>0.58999999999999975</v>
      </c>
      <c r="BX88" s="55">
        <f t="shared" si="500"/>
        <v>0.56999999999999973</v>
      </c>
      <c r="BZ88" s="55">
        <f t="shared" si="508"/>
        <v>97147.050000000017</v>
      </c>
      <c r="CA88" s="55">
        <f t="shared" si="509"/>
        <v>97147.050000000017</v>
      </c>
      <c r="CB88" s="59">
        <f t="shared" si="409"/>
        <v>321148.71789000009</v>
      </c>
      <c r="CC88" s="55">
        <f t="shared" si="410"/>
        <v>94232.638500000015</v>
      </c>
      <c r="CD88" s="59">
        <f t="shared" si="411"/>
        <v>311514.25635330006</v>
      </c>
      <c r="CE88" s="55">
        <f t="shared" si="412"/>
        <v>92289.697500000009</v>
      </c>
      <c r="CF88" s="59">
        <f t="shared" si="413"/>
        <v>305091.28199550003</v>
      </c>
      <c r="CG88" s="55">
        <f t="shared" si="414"/>
        <v>90346.756500000018</v>
      </c>
      <c r="CH88" s="59">
        <f t="shared" si="415"/>
        <v>298668.30763770005</v>
      </c>
      <c r="CI88" s="57">
        <f t="shared" si="416"/>
        <v>88403.815500000026</v>
      </c>
      <c r="CJ88" s="59">
        <f t="shared" si="417"/>
        <v>292245.33327990008</v>
      </c>
      <c r="CK88" s="55">
        <f t="shared" si="418"/>
        <v>86460.87450000002</v>
      </c>
      <c r="CL88" s="59">
        <f t="shared" si="419"/>
        <v>285822.35892210004</v>
      </c>
      <c r="CM88" s="57">
        <f t="shared" si="420"/>
        <v>84517.933500000014</v>
      </c>
      <c r="CN88" s="59">
        <f t="shared" si="421"/>
        <v>279399.38456430007</v>
      </c>
      <c r="CO88" s="60">
        <f t="shared" si="422"/>
        <v>82574.992500000008</v>
      </c>
      <c r="CP88" s="59">
        <f t="shared" si="423"/>
        <v>272976.41020650003</v>
      </c>
      <c r="CQ88" s="57">
        <f t="shared" si="424"/>
        <v>80632.051500000016</v>
      </c>
      <c r="CR88" s="59">
        <f t="shared" si="425"/>
        <v>266553.43584870006</v>
      </c>
      <c r="CS88" s="55">
        <f t="shared" si="426"/>
        <v>78689.11050000001</v>
      </c>
      <c r="CT88" s="59">
        <f t="shared" si="427"/>
        <v>260130.46149090005</v>
      </c>
      <c r="CU88" s="60">
        <f t="shared" si="428"/>
        <v>76746.169500000004</v>
      </c>
      <c r="CV88" s="59">
        <f t="shared" si="429"/>
        <v>253707.48713310002</v>
      </c>
      <c r="CW88" s="60">
        <f t="shared" si="430"/>
        <v>74803.228499999997</v>
      </c>
      <c r="CX88" s="59">
        <f t="shared" si="431"/>
        <v>247284.51277529998</v>
      </c>
      <c r="CY88" s="60">
        <f t="shared" si="432"/>
        <v>72860.287500000006</v>
      </c>
      <c r="CZ88" s="59">
        <f t="shared" si="433"/>
        <v>240861.53841750004</v>
      </c>
      <c r="DA88" s="55">
        <f t="shared" si="434"/>
        <v>70917.3465</v>
      </c>
      <c r="DB88" s="59">
        <f t="shared" si="435"/>
        <v>234438.5640597</v>
      </c>
      <c r="DC88" s="60">
        <f t="shared" si="436"/>
        <v>68974.405499999993</v>
      </c>
      <c r="DD88" s="59">
        <f t="shared" si="437"/>
        <v>228015.5897019</v>
      </c>
      <c r="DE88" s="60">
        <f t="shared" si="438"/>
        <v>67031.464500000002</v>
      </c>
      <c r="DF88" s="59">
        <f t="shared" si="439"/>
        <v>221592.61534410002</v>
      </c>
      <c r="DG88" s="60">
        <f t="shared" si="440"/>
        <v>65088.523499999996</v>
      </c>
      <c r="DH88" s="59">
        <f t="shared" si="441"/>
        <v>215169.64098629999</v>
      </c>
      <c r="DI88" s="60">
        <f t="shared" si="442"/>
        <v>63145.58249999999</v>
      </c>
      <c r="DJ88" s="59">
        <f t="shared" si="443"/>
        <v>208746.66662849998</v>
      </c>
      <c r="DK88" s="55">
        <f t="shared" si="444"/>
        <v>61202.641499999991</v>
      </c>
      <c r="DL88" s="59">
        <f t="shared" si="445"/>
        <v>202323.69227069998</v>
      </c>
      <c r="DM88" s="60">
        <f t="shared" si="446"/>
        <v>59259.700499999984</v>
      </c>
      <c r="DN88" s="59">
        <f t="shared" si="447"/>
        <v>195900.71791289994</v>
      </c>
      <c r="DO88" s="60">
        <f t="shared" si="448"/>
        <v>57316.759499999986</v>
      </c>
      <c r="DP88" s="59">
        <f t="shared" si="449"/>
        <v>189477.74355509997</v>
      </c>
      <c r="DQ88" s="55">
        <f t="shared" si="450"/>
        <v>55373.818499999987</v>
      </c>
      <c r="DR88" s="59">
        <f t="shared" si="451"/>
        <v>183054.76919729996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3"/>
        <v>0.91</v>
      </c>
      <c r="DZ88" s="55">
        <f t="shared" si="503"/>
        <v>0.89</v>
      </c>
      <c r="EA88" s="55">
        <f t="shared" si="503"/>
        <v>0.87</v>
      </c>
      <c r="EB88" s="55">
        <f t="shared" si="503"/>
        <v>0.85</v>
      </c>
      <c r="EC88" s="55">
        <f t="shared" si="503"/>
        <v>0.83</v>
      </c>
      <c r="ED88" s="55">
        <f t="shared" si="503"/>
        <v>0.80999999999999994</v>
      </c>
      <c r="EE88" s="55">
        <f t="shared" si="503"/>
        <v>0.78999999999999992</v>
      </c>
      <c r="EF88" s="55">
        <f t="shared" si="503"/>
        <v>0.76999999999999991</v>
      </c>
      <c r="EG88" s="55">
        <f t="shared" si="503"/>
        <v>0.74999999999999989</v>
      </c>
      <c r="EH88" s="55">
        <f t="shared" si="503"/>
        <v>0.72999999999999987</v>
      </c>
      <c r="EI88" s="55">
        <f t="shared" si="503"/>
        <v>0.70999999999999985</v>
      </c>
      <c r="EJ88" s="55">
        <f t="shared" si="503"/>
        <v>0.68999999999999984</v>
      </c>
      <c r="EK88" s="55">
        <f t="shared" si="503"/>
        <v>0.66999999999999982</v>
      </c>
      <c r="EL88" s="55">
        <f t="shared" si="503"/>
        <v>0.6499999999999998</v>
      </c>
      <c r="EM88" s="55">
        <f t="shared" si="503"/>
        <v>0.62999999999999978</v>
      </c>
      <c r="EN88" s="55">
        <f t="shared" si="503"/>
        <v>0.60999999999999976</v>
      </c>
      <c r="EO88" s="55">
        <f t="shared" si="503"/>
        <v>0.58999999999999975</v>
      </c>
      <c r="EP88" s="55">
        <f t="shared" si="503"/>
        <v>0.56999999999999973</v>
      </c>
      <c r="ER88" s="55">
        <f t="shared" si="142"/>
        <v>88403.815500000026</v>
      </c>
      <c r="ES88" s="55">
        <f t="shared" si="510"/>
        <v>88403.815500000026</v>
      </c>
      <c r="ET88" s="59">
        <f t="shared" si="453"/>
        <v>292245.33327990008</v>
      </c>
      <c r="EU88" s="55">
        <f t="shared" si="454"/>
        <v>85751.70103500002</v>
      </c>
      <c r="EV88" s="59">
        <f t="shared" si="455"/>
        <v>283477.97328150307</v>
      </c>
      <c r="EW88" s="55">
        <f t="shared" si="456"/>
        <v>83983.624725000016</v>
      </c>
      <c r="EX88" s="59">
        <f t="shared" si="457"/>
        <v>277633.06661590503</v>
      </c>
      <c r="EY88" s="55">
        <f t="shared" si="458"/>
        <v>82215.548415000027</v>
      </c>
      <c r="EZ88" s="59">
        <f t="shared" si="459"/>
        <v>271788.1599503071</v>
      </c>
      <c r="FA88" s="57">
        <f t="shared" si="460"/>
        <v>80447.472105000023</v>
      </c>
      <c r="FB88" s="59">
        <f t="shared" si="461"/>
        <v>265943.25328470906</v>
      </c>
      <c r="FC88" s="55">
        <f t="shared" si="462"/>
        <v>78679.395795000019</v>
      </c>
      <c r="FD88" s="59">
        <f t="shared" si="463"/>
        <v>260098.34661911108</v>
      </c>
      <c r="FE88" s="57">
        <f t="shared" si="464"/>
        <v>76911.319485000029</v>
      </c>
      <c r="FF88" s="59">
        <f t="shared" si="465"/>
        <v>254253.43995351309</v>
      </c>
      <c r="FG88" s="60">
        <f t="shared" si="466"/>
        <v>75143.243175000025</v>
      </c>
      <c r="FH88" s="59">
        <f t="shared" si="467"/>
        <v>248408.53328791508</v>
      </c>
      <c r="FI88" s="57">
        <f t="shared" si="468"/>
        <v>73375.166865000021</v>
      </c>
      <c r="FJ88" s="59">
        <f t="shared" si="469"/>
        <v>242563.62662231707</v>
      </c>
      <c r="FK88" s="55">
        <f t="shared" si="470"/>
        <v>71607.090555000017</v>
      </c>
      <c r="FL88" s="59">
        <f t="shared" si="471"/>
        <v>236718.71995671905</v>
      </c>
      <c r="FM88" s="60">
        <f t="shared" si="472"/>
        <v>69839.014245000013</v>
      </c>
      <c r="FN88" s="59">
        <f t="shared" si="473"/>
        <v>230873.81329112104</v>
      </c>
      <c r="FO88" s="60">
        <f t="shared" si="474"/>
        <v>68070.937935000009</v>
      </c>
      <c r="FP88" s="59">
        <f t="shared" si="475"/>
        <v>225028.90662552303</v>
      </c>
      <c r="FQ88" s="60">
        <f t="shared" si="476"/>
        <v>66302.861625000005</v>
      </c>
      <c r="FR88" s="59">
        <f t="shared" si="477"/>
        <v>219183.99995992501</v>
      </c>
      <c r="FS88" s="55">
        <f t="shared" si="478"/>
        <v>64534.785315000008</v>
      </c>
      <c r="FT88" s="59">
        <f t="shared" si="479"/>
        <v>213339.09329432703</v>
      </c>
      <c r="FU88" s="60">
        <f t="shared" si="480"/>
        <v>62766.709005000004</v>
      </c>
      <c r="FV88" s="59">
        <f t="shared" si="481"/>
        <v>207494.18662872902</v>
      </c>
      <c r="FW88" s="60">
        <f t="shared" si="482"/>
        <v>60998.632695</v>
      </c>
      <c r="FX88" s="59">
        <f t="shared" si="483"/>
        <v>201649.279963131</v>
      </c>
      <c r="FY88" s="60">
        <f t="shared" si="484"/>
        <v>59230.556385000004</v>
      </c>
      <c r="FZ88" s="59">
        <f t="shared" si="485"/>
        <v>195804.37329753302</v>
      </c>
      <c r="GA88" s="60">
        <f t="shared" si="486"/>
        <v>57462.480074999999</v>
      </c>
      <c r="GB88" s="59">
        <f t="shared" si="487"/>
        <v>189959.46663193501</v>
      </c>
      <c r="GC88" s="55">
        <f t="shared" si="488"/>
        <v>55694.403764999995</v>
      </c>
      <c r="GD88" s="59">
        <f t="shared" si="489"/>
        <v>184114.55996633699</v>
      </c>
      <c r="GE88" s="60">
        <f t="shared" si="490"/>
        <v>53926.327454999999</v>
      </c>
      <c r="GF88" s="59">
        <f t="shared" si="491"/>
        <v>178269.65330073901</v>
      </c>
      <c r="GG88" s="60">
        <f t="shared" si="492"/>
        <v>52158.251144999995</v>
      </c>
      <c r="GH88" s="59">
        <f t="shared" si="493"/>
        <v>172424.746635141</v>
      </c>
      <c r="GI88" s="55">
        <f t="shared" si="494"/>
        <v>50390.174834999991</v>
      </c>
      <c r="GJ88" s="59">
        <f t="shared" si="495"/>
        <v>166579.83996954298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4"/>
        <v>0.91</v>
      </c>
      <c r="GR88" s="55">
        <f t="shared" si="504"/>
        <v>0.89</v>
      </c>
      <c r="GS88" s="55">
        <f t="shared" si="504"/>
        <v>0.87</v>
      </c>
      <c r="GT88" s="55">
        <f t="shared" si="504"/>
        <v>0.85</v>
      </c>
      <c r="GU88" s="55">
        <f t="shared" si="504"/>
        <v>0.83</v>
      </c>
      <c r="GV88" s="55">
        <f t="shared" si="504"/>
        <v>0.80999999999999994</v>
      </c>
      <c r="GW88" s="55">
        <f t="shared" si="504"/>
        <v>0.78999999999999992</v>
      </c>
      <c r="GX88" s="55">
        <f t="shared" si="504"/>
        <v>0.76999999999999991</v>
      </c>
      <c r="GY88" s="55">
        <f t="shared" si="504"/>
        <v>0.74999999999999989</v>
      </c>
      <c r="GZ88" s="55">
        <f t="shared" si="504"/>
        <v>0.72999999999999987</v>
      </c>
      <c r="HA88" s="55">
        <f t="shared" si="504"/>
        <v>0.70999999999999985</v>
      </c>
      <c r="HB88" s="55">
        <f t="shared" si="504"/>
        <v>0.68999999999999984</v>
      </c>
      <c r="HC88" s="55">
        <f t="shared" si="504"/>
        <v>0.66999999999999982</v>
      </c>
      <c r="HD88" s="55">
        <f t="shared" si="504"/>
        <v>0.6499999999999998</v>
      </c>
      <c r="HE88" s="55">
        <f t="shared" si="504"/>
        <v>0.62999999999999978</v>
      </c>
      <c r="HF88" s="55">
        <f t="shared" si="504"/>
        <v>0.60999999999999976</v>
      </c>
      <c r="HG88" s="55">
        <f t="shared" si="504"/>
        <v>0.58999999999999975</v>
      </c>
      <c r="HH88" s="55">
        <f t="shared" si="504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185370</v>
      </c>
      <c r="E89" s="39">
        <f>SUM(E63:E88)</f>
        <v>612760</v>
      </c>
      <c r="H89" s="55">
        <f t="shared" si="505"/>
        <v>674036</v>
      </c>
      <c r="I89" s="55">
        <f t="shared" si="506"/>
        <v>674036</v>
      </c>
      <c r="J89" s="59">
        <f t="shared" si="507"/>
        <v>2228228.2088000001</v>
      </c>
      <c r="K89" s="55">
        <f t="shared" si="366"/>
        <v>653814.91999999993</v>
      </c>
      <c r="L89" s="59">
        <f t="shared" si="367"/>
        <v>2161381.3625359996</v>
      </c>
      <c r="M89" s="55">
        <f t="shared" si="368"/>
        <v>640334.19999999995</v>
      </c>
      <c r="N89" s="59">
        <f t="shared" si="369"/>
        <v>2116816.7983599999</v>
      </c>
      <c r="O89" s="55">
        <f t="shared" si="370"/>
        <v>626853.48</v>
      </c>
      <c r="P89" s="59">
        <f t="shared" si="371"/>
        <v>2072252.2341839999</v>
      </c>
      <c r="Q89" s="57">
        <f t="shared" si="372"/>
        <v>613372.76</v>
      </c>
      <c r="R89" s="59">
        <f t="shared" si="373"/>
        <v>2027687.670008</v>
      </c>
      <c r="S89" s="55">
        <f t="shared" si="374"/>
        <v>599892.04</v>
      </c>
      <c r="T89" s="59">
        <f t="shared" si="375"/>
        <v>1983123.1058320003</v>
      </c>
      <c r="U89" s="57">
        <f t="shared" si="376"/>
        <v>586411.31999999995</v>
      </c>
      <c r="V89" s="59">
        <f t="shared" si="377"/>
        <v>1938558.5416559998</v>
      </c>
      <c r="W89" s="60">
        <f t="shared" si="378"/>
        <v>572930.6</v>
      </c>
      <c r="X89" s="59">
        <f t="shared" si="379"/>
        <v>1893993.9774799999</v>
      </c>
      <c r="Y89" s="57">
        <f t="shared" si="380"/>
        <v>559449.88</v>
      </c>
      <c r="Z89" s="59">
        <f t="shared" si="381"/>
        <v>1849429.4133040002</v>
      </c>
      <c r="AA89" s="55">
        <f t="shared" si="382"/>
        <v>545969.15999999992</v>
      </c>
      <c r="AB89" s="59">
        <f t="shared" si="383"/>
        <v>1804864.8491279997</v>
      </c>
      <c r="AC89" s="60">
        <f t="shared" si="384"/>
        <v>532488.43999999994</v>
      </c>
      <c r="AD89" s="59">
        <f t="shared" si="385"/>
        <v>1760300.2849519998</v>
      </c>
      <c r="AE89" s="60">
        <f t="shared" si="386"/>
        <v>519007.71999999991</v>
      </c>
      <c r="AF89" s="59">
        <f t="shared" si="387"/>
        <v>1715735.7207759998</v>
      </c>
      <c r="AG89" s="60">
        <f t="shared" si="388"/>
        <v>505526.99999999994</v>
      </c>
      <c r="AH89" s="59">
        <f t="shared" si="389"/>
        <v>1671171.1565999999</v>
      </c>
      <c r="AI89" s="55">
        <f t="shared" si="390"/>
        <v>492046.27999999991</v>
      </c>
      <c r="AJ89" s="59">
        <f t="shared" si="391"/>
        <v>1626606.5924239997</v>
      </c>
      <c r="AK89" s="60">
        <f t="shared" si="392"/>
        <v>478565.55999999988</v>
      </c>
      <c r="AL89" s="59">
        <f t="shared" si="393"/>
        <v>1582042.0282479997</v>
      </c>
      <c r="AM89" s="60">
        <f t="shared" si="394"/>
        <v>465084.83999999991</v>
      </c>
      <c r="AN89" s="59">
        <f t="shared" si="395"/>
        <v>1537477.4640719998</v>
      </c>
      <c r="AO89" s="60">
        <f t="shared" si="396"/>
        <v>451604.11999999988</v>
      </c>
      <c r="AP89" s="59">
        <f t="shared" si="397"/>
        <v>1492912.8998959996</v>
      </c>
      <c r="AQ89" s="60">
        <f t="shared" si="398"/>
        <v>438123.39999999985</v>
      </c>
      <c r="AR89" s="59">
        <f t="shared" si="399"/>
        <v>1448348.3357199996</v>
      </c>
      <c r="AS89" s="55">
        <f t="shared" si="400"/>
        <v>424642.67999999988</v>
      </c>
      <c r="AT89" s="59">
        <f t="shared" si="401"/>
        <v>1403783.7715439997</v>
      </c>
      <c r="AU89" s="60">
        <f t="shared" si="402"/>
        <v>411161.95999999985</v>
      </c>
      <c r="AV89" s="59">
        <f t="shared" si="403"/>
        <v>1359219.2073679995</v>
      </c>
      <c r="AW89" s="60">
        <f t="shared" si="404"/>
        <v>397681.23999999982</v>
      </c>
      <c r="AX89" s="59">
        <f t="shared" si="405"/>
        <v>1314654.6431919995</v>
      </c>
      <c r="AY89" s="55">
        <f t="shared" si="406"/>
        <v>384200.51999999984</v>
      </c>
      <c r="AZ89" s="59">
        <f t="shared" si="407"/>
        <v>1270090.0790159996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0"/>
        <v>0.91</v>
      </c>
      <c r="BH89" s="55">
        <f t="shared" si="500"/>
        <v>0.89</v>
      </c>
      <c r="BI89" s="55">
        <f t="shared" si="500"/>
        <v>0.87</v>
      </c>
      <c r="BJ89" s="55">
        <f t="shared" si="500"/>
        <v>0.85</v>
      </c>
      <c r="BK89" s="55">
        <f t="shared" si="500"/>
        <v>0.83</v>
      </c>
      <c r="BL89" s="55">
        <f t="shared" si="500"/>
        <v>0.80999999999999994</v>
      </c>
      <c r="BM89" s="55">
        <f t="shared" si="500"/>
        <v>0.78999999999999992</v>
      </c>
      <c r="BN89" s="55">
        <f t="shared" si="500"/>
        <v>0.76999999999999991</v>
      </c>
      <c r="BO89" s="55">
        <f t="shared" si="500"/>
        <v>0.74999999999999989</v>
      </c>
      <c r="BP89" s="55">
        <f t="shared" si="500"/>
        <v>0.72999999999999987</v>
      </c>
      <c r="BQ89" s="55">
        <f t="shared" si="500"/>
        <v>0.70999999999999985</v>
      </c>
      <c r="BR89" s="55">
        <f t="shared" si="500"/>
        <v>0.68999999999999984</v>
      </c>
      <c r="BS89" s="55">
        <f t="shared" si="500"/>
        <v>0.66999999999999982</v>
      </c>
      <c r="BT89" s="55">
        <f t="shared" si="500"/>
        <v>0.6499999999999998</v>
      </c>
      <c r="BU89" s="55">
        <f t="shared" si="500"/>
        <v>0.62999999999999978</v>
      </c>
      <c r="BV89" s="55">
        <f t="shared" si="500"/>
        <v>0.60999999999999976</v>
      </c>
      <c r="BW89" s="55">
        <f t="shared" si="500"/>
        <v>0.58999999999999975</v>
      </c>
      <c r="BX89" s="55">
        <f t="shared" si="500"/>
        <v>0.56999999999999973</v>
      </c>
      <c r="BZ89" s="55">
        <f t="shared" si="508"/>
        <v>613372.76</v>
      </c>
      <c r="CA89" s="55">
        <f t="shared" si="509"/>
        <v>613372.76</v>
      </c>
      <c r="CB89" s="59">
        <f t="shared" si="409"/>
        <v>2027687.670008</v>
      </c>
      <c r="CC89" s="55">
        <f t="shared" si="410"/>
        <v>594971.57719999994</v>
      </c>
      <c r="CD89" s="59">
        <f t="shared" si="411"/>
        <v>1966857.0399077598</v>
      </c>
      <c r="CE89" s="55">
        <f t="shared" si="412"/>
        <v>582704.12199999997</v>
      </c>
      <c r="CF89" s="59">
        <f t="shared" si="413"/>
        <v>1926303.2865076</v>
      </c>
      <c r="CG89" s="55">
        <f t="shared" si="414"/>
        <v>570436.66680000001</v>
      </c>
      <c r="CH89" s="59">
        <f t="shared" si="415"/>
        <v>1885749.53310744</v>
      </c>
      <c r="CI89" s="57">
        <f t="shared" si="416"/>
        <v>558169.21160000004</v>
      </c>
      <c r="CJ89" s="59">
        <f t="shared" si="417"/>
        <v>1845195.7797072802</v>
      </c>
      <c r="CK89" s="55">
        <f t="shared" si="418"/>
        <v>545901.75640000007</v>
      </c>
      <c r="CL89" s="59">
        <f t="shared" si="419"/>
        <v>1804642.0263071202</v>
      </c>
      <c r="CM89" s="57">
        <f t="shared" si="420"/>
        <v>533634.30119999999</v>
      </c>
      <c r="CN89" s="59">
        <f t="shared" si="421"/>
        <v>1764088.27290696</v>
      </c>
      <c r="CO89" s="60">
        <f t="shared" si="422"/>
        <v>521366.84600000002</v>
      </c>
      <c r="CP89" s="59">
        <f t="shared" si="423"/>
        <v>1723534.5195068</v>
      </c>
      <c r="CQ89" s="57">
        <f t="shared" si="424"/>
        <v>509099.39079999999</v>
      </c>
      <c r="CR89" s="59">
        <f t="shared" si="425"/>
        <v>1682980.76610664</v>
      </c>
      <c r="CS89" s="55">
        <f t="shared" si="426"/>
        <v>496831.93559999997</v>
      </c>
      <c r="CT89" s="59">
        <f t="shared" si="427"/>
        <v>1642427.01270648</v>
      </c>
      <c r="CU89" s="60">
        <f t="shared" si="428"/>
        <v>484564.48039999994</v>
      </c>
      <c r="CV89" s="59">
        <f t="shared" si="429"/>
        <v>1601873.2593063198</v>
      </c>
      <c r="CW89" s="60">
        <f t="shared" si="430"/>
        <v>472297.02519999997</v>
      </c>
      <c r="CX89" s="59">
        <f t="shared" si="431"/>
        <v>1561319.50590616</v>
      </c>
      <c r="CY89" s="60">
        <f t="shared" si="432"/>
        <v>460029.56999999995</v>
      </c>
      <c r="CZ89" s="59">
        <f t="shared" si="433"/>
        <v>1520765.7525059998</v>
      </c>
      <c r="DA89" s="55">
        <f t="shared" si="434"/>
        <v>447762.11479999992</v>
      </c>
      <c r="DB89" s="59">
        <f t="shared" si="435"/>
        <v>1480211.9991058398</v>
      </c>
      <c r="DC89" s="60">
        <f t="shared" si="436"/>
        <v>435494.6595999999</v>
      </c>
      <c r="DD89" s="59">
        <f t="shared" si="437"/>
        <v>1439658.2457056798</v>
      </c>
      <c r="DE89" s="60">
        <f t="shared" si="438"/>
        <v>423227.20439999993</v>
      </c>
      <c r="DF89" s="59">
        <f t="shared" si="439"/>
        <v>1399104.4923055198</v>
      </c>
      <c r="DG89" s="60">
        <f t="shared" si="440"/>
        <v>410959.7491999999</v>
      </c>
      <c r="DH89" s="59">
        <f t="shared" si="441"/>
        <v>1358550.7389053598</v>
      </c>
      <c r="DI89" s="60">
        <f t="shared" si="442"/>
        <v>398692.29399999988</v>
      </c>
      <c r="DJ89" s="59">
        <f t="shared" si="443"/>
        <v>1317996.9855051995</v>
      </c>
      <c r="DK89" s="55">
        <f t="shared" si="444"/>
        <v>386424.83879999985</v>
      </c>
      <c r="DL89" s="59">
        <f t="shared" si="445"/>
        <v>1277443.2321050395</v>
      </c>
      <c r="DM89" s="60">
        <f t="shared" si="446"/>
        <v>374157.38359999988</v>
      </c>
      <c r="DN89" s="59">
        <f t="shared" si="447"/>
        <v>1236889.4787048798</v>
      </c>
      <c r="DO89" s="60">
        <f t="shared" si="448"/>
        <v>361889.92839999986</v>
      </c>
      <c r="DP89" s="59">
        <f t="shared" si="449"/>
        <v>1196335.7253047195</v>
      </c>
      <c r="DQ89" s="55">
        <f t="shared" si="450"/>
        <v>349622.47319999983</v>
      </c>
      <c r="DR89" s="59">
        <f t="shared" si="451"/>
        <v>1155781.9719045595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3"/>
        <v>0.91</v>
      </c>
      <c r="DZ89" s="55">
        <f t="shared" si="503"/>
        <v>0.89</v>
      </c>
      <c r="EA89" s="55">
        <f t="shared" si="503"/>
        <v>0.87</v>
      </c>
      <c r="EB89" s="55">
        <f t="shared" si="503"/>
        <v>0.85</v>
      </c>
      <c r="EC89" s="55">
        <f t="shared" si="503"/>
        <v>0.83</v>
      </c>
      <c r="ED89" s="55">
        <f t="shared" si="503"/>
        <v>0.80999999999999994</v>
      </c>
      <c r="EE89" s="55">
        <f t="shared" si="503"/>
        <v>0.78999999999999992</v>
      </c>
      <c r="EF89" s="55">
        <f t="shared" si="503"/>
        <v>0.76999999999999991</v>
      </c>
      <c r="EG89" s="55">
        <f t="shared" si="503"/>
        <v>0.74999999999999989</v>
      </c>
      <c r="EH89" s="55">
        <f t="shared" si="503"/>
        <v>0.72999999999999987</v>
      </c>
      <c r="EI89" s="55">
        <f t="shared" si="503"/>
        <v>0.70999999999999985</v>
      </c>
      <c r="EJ89" s="55">
        <f t="shared" si="503"/>
        <v>0.68999999999999984</v>
      </c>
      <c r="EK89" s="55">
        <f t="shared" si="503"/>
        <v>0.66999999999999982</v>
      </c>
      <c r="EL89" s="55">
        <f t="shared" si="503"/>
        <v>0.6499999999999998</v>
      </c>
      <c r="EM89" s="55">
        <f t="shared" si="503"/>
        <v>0.62999999999999978</v>
      </c>
      <c r="EN89" s="55">
        <f t="shared" si="503"/>
        <v>0.60999999999999976</v>
      </c>
      <c r="EO89" s="55">
        <f t="shared" si="503"/>
        <v>0.58999999999999975</v>
      </c>
      <c r="EP89" s="55">
        <f t="shared" si="503"/>
        <v>0.56999999999999973</v>
      </c>
      <c r="ER89" s="55">
        <f t="shared" si="142"/>
        <v>558169.21160000004</v>
      </c>
      <c r="ES89" s="55">
        <f t="shared" si="510"/>
        <v>558169.21160000004</v>
      </c>
      <c r="ET89" s="59">
        <f t="shared" si="453"/>
        <v>1845195.7797072802</v>
      </c>
      <c r="EU89" s="55">
        <f t="shared" si="454"/>
        <v>541424.13525200007</v>
      </c>
      <c r="EV89" s="59">
        <f t="shared" si="455"/>
        <v>1789839.906316062</v>
      </c>
      <c r="EW89" s="55">
        <f t="shared" si="456"/>
        <v>530260.75101999997</v>
      </c>
      <c r="EX89" s="59">
        <f t="shared" si="457"/>
        <v>1752935.9907219158</v>
      </c>
      <c r="EY89" s="55">
        <f t="shared" si="458"/>
        <v>519097.36678800004</v>
      </c>
      <c r="EZ89" s="59">
        <f t="shared" si="459"/>
        <v>1716032.0751277707</v>
      </c>
      <c r="FA89" s="57">
        <f t="shared" si="460"/>
        <v>507933.98255600006</v>
      </c>
      <c r="FB89" s="59">
        <f t="shared" si="461"/>
        <v>1679128.159533625</v>
      </c>
      <c r="FC89" s="55">
        <f t="shared" si="462"/>
        <v>496770.59832400002</v>
      </c>
      <c r="FD89" s="59">
        <f t="shared" si="463"/>
        <v>1642224.2439394793</v>
      </c>
      <c r="FE89" s="57">
        <f t="shared" si="464"/>
        <v>485607.21409200004</v>
      </c>
      <c r="FF89" s="59">
        <f t="shared" si="465"/>
        <v>1605320.3283453337</v>
      </c>
      <c r="FG89" s="60">
        <f t="shared" si="466"/>
        <v>474443.82986</v>
      </c>
      <c r="FH89" s="59">
        <f t="shared" si="467"/>
        <v>1568416.412751188</v>
      </c>
      <c r="FI89" s="57">
        <f t="shared" si="468"/>
        <v>463280.44562800002</v>
      </c>
      <c r="FJ89" s="59">
        <f t="shared" si="469"/>
        <v>1531512.4971570424</v>
      </c>
      <c r="FK89" s="55">
        <f t="shared" si="470"/>
        <v>452117.06139599998</v>
      </c>
      <c r="FL89" s="59">
        <f t="shared" si="471"/>
        <v>1494608.5815628967</v>
      </c>
      <c r="FM89" s="60">
        <f t="shared" si="472"/>
        <v>440953.67716399999</v>
      </c>
      <c r="FN89" s="59">
        <f t="shared" si="473"/>
        <v>1457704.6659687513</v>
      </c>
      <c r="FO89" s="60">
        <f t="shared" si="474"/>
        <v>429790.29293199995</v>
      </c>
      <c r="FP89" s="59">
        <f t="shared" si="475"/>
        <v>1420800.7503746054</v>
      </c>
      <c r="FQ89" s="60">
        <f t="shared" si="476"/>
        <v>418626.90869999997</v>
      </c>
      <c r="FR89" s="59">
        <f t="shared" si="477"/>
        <v>1383896.83478046</v>
      </c>
      <c r="FS89" s="55">
        <f t="shared" si="478"/>
        <v>407463.52446799993</v>
      </c>
      <c r="FT89" s="59">
        <f t="shared" si="479"/>
        <v>1346992.9191863141</v>
      </c>
      <c r="FU89" s="60">
        <f t="shared" si="480"/>
        <v>396300.14023599995</v>
      </c>
      <c r="FV89" s="59">
        <f t="shared" si="481"/>
        <v>1310089.0035921687</v>
      </c>
      <c r="FW89" s="60">
        <f t="shared" si="482"/>
        <v>385136.75600399991</v>
      </c>
      <c r="FX89" s="59">
        <f t="shared" si="483"/>
        <v>1273185.087998023</v>
      </c>
      <c r="FY89" s="60">
        <f t="shared" si="484"/>
        <v>373973.37177199993</v>
      </c>
      <c r="FZ89" s="59">
        <f t="shared" si="485"/>
        <v>1236281.1724038774</v>
      </c>
      <c r="GA89" s="60">
        <f t="shared" si="486"/>
        <v>362809.98753999989</v>
      </c>
      <c r="GB89" s="59">
        <f t="shared" si="487"/>
        <v>1199377.2568097317</v>
      </c>
      <c r="GC89" s="55">
        <f t="shared" si="488"/>
        <v>351646.6033079999</v>
      </c>
      <c r="GD89" s="59">
        <f t="shared" si="489"/>
        <v>1162473.3412155861</v>
      </c>
      <c r="GE89" s="60">
        <f t="shared" si="490"/>
        <v>340483.21907599992</v>
      </c>
      <c r="GF89" s="59">
        <f t="shared" si="491"/>
        <v>1125569.4256214406</v>
      </c>
      <c r="GG89" s="60">
        <f t="shared" si="492"/>
        <v>329319.83484399988</v>
      </c>
      <c r="GH89" s="59">
        <f t="shared" si="493"/>
        <v>1088665.5100272947</v>
      </c>
      <c r="GI89" s="55">
        <f t="shared" si="494"/>
        <v>318156.4506119999</v>
      </c>
      <c r="GJ89" s="59">
        <f t="shared" si="495"/>
        <v>1051761.5944331493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4"/>
        <v>0.91</v>
      </c>
      <c r="GR89" s="55">
        <f t="shared" si="504"/>
        <v>0.89</v>
      </c>
      <c r="GS89" s="55">
        <f t="shared" si="504"/>
        <v>0.87</v>
      </c>
      <c r="GT89" s="55">
        <f t="shared" si="504"/>
        <v>0.85</v>
      </c>
      <c r="GU89" s="55">
        <f t="shared" si="504"/>
        <v>0.83</v>
      </c>
      <c r="GV89" s="55">
        <f t="shared" si="504"/>
        <v>0.80999999999999994</v>
      </c>
      <c r="GW89" s="55">
        <f t="shared" si="504"/>
        <v>0.78999999999999992</v>
      </c>
      <c r="GX89" s="55">
        <f t="shared" si="504"/>
        <v>0.76999999999999991</v>
      </c>
      <c r="GY89" s="55">
        <f t="shared" si="504"/>
        <v>0.74999999999999989</v>
      </c>
      <c r="GZ89" s="55">
        <f t="shared" si="504"/>
        <v>0.72999999999999987</v>
      </c>
      <c r="HA89" s="55">
        <f t="shared" si="504"/>
        <v>0.70999999999999985</v>
      </c>
      <c r="HB89" s="55">
        <f t="shared" si="504"/>
        <v>0.68999999999999984</v>
      </c>
      <c r="HC89" s="55">
        <f t="shared" si="504"/>
        <v>0.66999999999999982</v>
      </c>
      <c r="HD89" s="55">
        <f t="shared" si="504"/>
        <v>0.6499999999999998</v>
      </c>
      <c r="HE89" s="55">
        <f t="shared" si="504"/>
        <v>0.62999999999999978</v>
      </c>
      <c r="HF89" s="55">
        <f t="shared" si="504"/>
        <v>0.60999999999999976</v>
      </c>
      <c r="HG89" s="55">
        <f t="shared" si="504"/>
        <v>0.58999999999999975</v>
      </c>
      <c r="HH89" s="55">
        <f t="shared" si="504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1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2">+DW90-0.02</f>
        <v>0.91</v>
      </c>
      <c r="DY90" s="61">
        <f t="shared" si="512"/>
        <v>0.89</v>
      </c>
      <c r="DZ90" s="61">
        <f t="shared" si="512"/>
        <v>0.87</v>
      </c>
      <c r="EA90" s="61">
        <f t="shared" si="512"/>
        <v>0.85</v>
      </c>
      <c r="EB90" s="61">
        <f t="shared" si="512"/>
        <v>0.83</v>
      </c>
      <c r="EC90" s="61">
        <f t="shared" si="512"/>
        <v>0.80999999999999994</v>
      </c>
      <c r="ED90" s="61">
        <f t="shared" si="512"/>
        <v>0.78999999999999992</v>
      </c>
      <c r="EE90" s="61">
        <f t="shared" si="512"/>
        <v>0.76999999999999991</v>
      </c>
      <c r="EF90" s="61">
        <f t="shared" si="512"/>
        <v>0.74999999999999989</v>
      </c>
      <c r="EG90" s="61">
        <f t="shared" si="512"/>
        <v>0.72999999999999987</v>
      </c>
      <c r="EH90" s="61">
        <f t="shared" si="512"/>
        <v>0.70999999999999985</v>
      </c>
      <c r="EI90" s="61">
        <f t="shared" si="512"/>
        <v>0.68999999999999984</v>
      </c>
      <c r="EJ90" s="61">
        <f t="shared" si="512"/>
        <v>0.66999999999999982</v>
      </c>
      <c r="EK90" s="61">
        <f t="shared" si="512"/>
        <v>0.6499999999999998</v>
      </c>
      <c r="EL90" s="61">
        <f t="shared" si="512"/>
        <v>0.62999999999999978</v>
      </c>
      <c r="EM90" s="61">
        <f t="shared" si="512"/>
        <v>0.60999999999999976</v>
      </c>
      <c r="EN90" s="61">
        <f t="shared" si="512"/>
        <v>0.58999999999999975</v>
      </c>
      <c r="EO90" s="61">
        <f t="shared" si="512"/>
        <v>0.56999999999999973</v>
      </c>
      <c r="EQ90" s="61">
        <f t="shared" ref="EQ90:EQ91" si="513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14">+GO90-0.02</f>
        <v>0.91</v>
      </c>
      <c r="GQ90" s="61">
        <f t="shared" si="514"/>
        <v>0.89</v>
      </c>
      <c r="GR90" s="61">
        <f t="shared" si="514"/>
        <v>0.87</v>
      </c>
      <c r="GS90" s="61">
        <f t="shared" si="514"/>
        <v>0.85</v>
      </c>
      <c r="GT90" s="61">
        <f t="shared" si="514"/>
        <v>0.83</v>
      </c>
      <c r="GU90" s="61">
        <f t="shared" si="514"/>
        <v>0.80999999999999994</v>
      </c>
      <c r="GV90" s="61">
        <f t="shared" si="514"/>
        <v>0.78999999999999992</v>
      </c>
      <c r="GW90" s="61">
        <f t="shared" si="514"/>
        <v>0.76999999999999991</v>
      </c>
      <c r="GX90" s="61">
        <f t="shared" si="514"/>
        <v>0.74999999999999989</v>
      </c>
      <c r="GY90" s="61">
        <f t="shared" si="514"/>
        <v>0.72999999999999987</v>
      </c>
      <c r="GZ90" s="61">
        <f t="shared" si="514"/>
        <v>0.70999999999999985</v>
      </c>
      <c r="HA90" s="61">
        <f t="shared" si="514"/>
        <v>0.68999999999999984</v>
      </c>
      <c r="HB90" s="61">
        <f t="shared" si="514"/>
        <v>0.66999999999999982</v>
      </c>
      <c r="HC90" s="61">
        <f t="shared" si="514"/>
        <v>0.6499999999999998</v>
      </c>
      <c r="HD90" s="61">
        <f t="shared" si="514"/>
        <v>0.62999999999999978</v>
      </c>
      <c r="HE90" s="61">
        <f t="shared" si="514"/>
        <v>0.60999999999999976</v>
      </c>
      <c r="HF90" s="61">
        <f t="shared" si="514"/>
        <v>0.58999999999999975</v>
      </c>
      <c r="HG90" s="61">
        <f t="shared" si="514"/>
        <v>0.56999999999999973</v>
      </c>
    </row>
    <row r="91" spans="1:216" s="64" customFormat="1" ht="17.25" thickBot="1" x14ac:dyDescent="0.35">
      <c r="B91" s="64" t="s">
        <v>299</v>
      </c>
      <c r="C91" s="64" t="s">
        <v>298</v>
      </c>
      <c r="D91" s="65" t="s">
        <v>272</v>
      </c>
      <c r="E91" s="65" t="s">
        <v>155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1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2"/>
        <v>0.91</v>
      </c>
      <c r="DY91" s="61">
        <f t="shared" si="512"/>
        <v>0.89</v>
      </c>
      <c r="DZ91" s="61">
        <f t="shared" si="512"/>
        <v>0.87</v>
      </c>
      <c r="EA91" s="61">
        <f t="shared" si="512"/>
        <v>0.85</v>
      </c>
      <c r="EB91" s="61">
        <f t="shared" si="512"/>
        <v>0.83</v>
      </c>
      <c r="EC91" s="61">
        <f t="shared" si="512"/>
        <v>0.80999999999999994</v>
      </c>
      <c r="ED91" s="61">
        <f t="shared" si="512"/>
        <v>0.78999999999999992</v>
      </c>
      <c r="EE91" s="61">
        <f t="shared" si="512"/>
        <v>0.76999999999999991</v>
      </c>
      <c r="EF91" s="61">
        <f t="shared" si="512"/>
        <v>0.74999999999999989</v>
      </c>
      <c r="EG91" s="61">
        <f t="shared" si="512"/>
        <v>0.72999999999999987</v>
      </c>
      <c r="EH91" s="61">
        <f t="shared" si="512"/>
        <v>0.70999999999999985</v>
      </c>
      <c r="EI91" s="61">
        <f t="shared" si="512"/>
        <v>0.68999999999999984</v>
      </c>
      <c r="EJ91" s="61">
        <f t="shared" si="512"/>
        <v>0.66999999999999982</v>
      </c>
      <c r="EK91" s="61">
        <f t="shared" si="512"/>
        <v>0.6499999999999998</v>
      </c>
      <c r="EL91" s="61">
        <f t="shared" si="512"/>
        <v>0.62999999999999978</v>
      </c>
      <c r="EM91" s="61">
        <f t="shared" si="512"/>
        <v>0.60999999999999976</v>
      </c>
      <c r="EN91" s="61">
        <f t="shared" si="512"/>
        <v>0.58999999999999975</v>
      </c>
      <c r="EO91" s="61">
        <f t="shared" si="512"/>
        <v>0.56999999999999973</v>
      </c>
      <c r="EQ91" s="61">
        <f t="shared" si="513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14"/>
        <v>0.91</v>
      </c>
      <c r="GQ91" s="61">
        <f t="shared" si="514"/>
        <v>0.89</v>
      </c>
      <c r="GR91" s="61">
        <f t="shared" si="514"/>
        <v>0.87</v>
      </c>
      <c r="GS91" s="61">
        <f t="shared" si="514"/>
        <v>0.85</v>
      </c>
      <c r="GT91" s="61">
        <f t="shared" si="514"/>
        <v>0.83</v>
      </c>
      <c r="GU91" s="61">
        <f t="shared" si="514"/>
        <v>0.80999999999999994</v>
      </c>
      <c r="GV91" s="61">
        <f t="shared" si="514"/>
        <v>0.78999999999999992</v>
      </c>
      <c r="GW91" s="61">
        <f t="shared" si="514"/>
        <v>0.76999999999999991</v>
      </c>
      <c r="GX91" s="61">
        <f t="shared" si="514"/>
        <v>0.74999999999999989</v>
      </c>
      <c r="GY91" s="61">
        <f t="shared" si="514"/>
        <v>0.72999999999999987</v>
      </c>
      <c r="GZ91" s="61">
        <f t="shared" si="514"/>
        <v>0.70999999999999985</v>
      </c>
      <c r="HA91" s="61">
        <f t="shared" si="514"/>
        <v>0.68999999999999984</v>
      </c>
      <c r="HB91" s="61">
        <f t="shared" si="514"/>
        <v>0.66999999999999982</v>
      </c>
      <c r="HC91" s="61">
        <f t="shared" si="514"/>
        <v>0.6499999999999998</v>
      </c>
      <c r="HD91" s="61">
        <f t="shared" si="514"/>
        <v>0.62999999999999978</v>
      </c>
      <c r="HE91" s="61">
        <f t="shared" si="514"/>
        <v>0.60999999999999976</v>
      </c>
      <c r="HF91" s="61">
        <f t="shared" si="514"/>
        <v>0.58999999999999975</v>
      </c>
      <c r="HG91" s="61">
        <f t="shared" si="514"/>
        <v>0.56999999999999973</v>
      </c>
    </row>
    <row r="92" spans="1:216" x14ac:dyDescent="0.3">
      <c r="A92" s="2">
        <v>1</v>
      </c>
      <c r="C92" s="38" t="s">
        <v>39</v>
      </c>
      <c r="D92" s="40">
        <v>0</v>
      </c>
      <c r="E92" s="70">
        <f t="shared" ref="E92:E112" si="515">TRUNC(+D92*3.3058,-1)</f>
        <v>0</v>
      </c>
      <c r="H92" s="55">
        <f t="shared" si="505"/>
        <v>0</v>
      </c>
      <c r="I92" s="55">
        <f t="shared" si="506"/>
        <v>0</v>
      </c>
      <c r="J92" s="59">
        <f t="shared" si="507"/>
        <v>0</v>
      </c>
      <c r="K92" s="55">
        <f t="shared" ref="K92:K113" si="516">+I92*BD92</f>
        <v>0</v>
      </c>
      <c r="L92" s="59">
        <f t="shared" ref="L92:L113" si="517">+K92*3.3058</f>
        <v>0</v>
      </c>
      <c r="M92" s="55">
        <f t="shared" ref="M92:M113" si="518">+I92*BE92</f>
        <v>0</v>
      </c>
      <c r="N92" s="59">
        <f t="shared" ref="N92:N113" si="519">+M92*3.3058</f>
        <v>0</v>
      </c>
      <c r="O92" s="55">
        <f t="shared" ref="O92:O113" si="520">+I92*BF92</f>
        <v>0</v>
      </c>
      <c r="P92" s="59">
        <f t="shared" ref="P92:P113" si="521">+O92*3.3058</f>
        <v>0</v>
      </c>
      <c r="Q92" s="57">
        <f t="shared" ref="Q92:Q113" si="522">+I92*BG92</f>
        <v>0</v>
      </c>
      <c r="R92" s="59">
        <f t="shared" ref="R92:R113" si="523">+Q92*3.3058</f>
        <v>0</v>
      </c>
      <c r="S92" s="55">
        <f t="shared" ref="S92:S113" si="524">+I92*BH92</f>
        <v>0</v>
      </c>
      <c r="T92" s="59">
        <f t="shared" ref="T92:T113" si="525">+S92*3.3058</f>
        <v>0</v>
      </c>
      <c r="U92" s="57">
        <f t="shared" ref="U92:U113" si="526">+I92*BI92</f>
        <v>0</v>
      </c>
      <c r="V92" s="59">
        <f t="shared" ref="V92:V113" si="527">+U92*3.3058</f>
        <v>0</v>
      </c>
      <c r="W92" s="60">
        <f t="shared" ref="W92:W113" si="528">+I92*BJ92</f>
        <v>0</v>
      </c>
      <c r="X92" s="59">
        <f t="shared" ref="X92:X113" si="529">+W92*3.3058</f>
        <v>0</v>
      </c>
      <c r="Y92" s="57">
        <f t="shared" ref="Y92:Y113" si="530">+I92*BK92</f>
        <v>0</v>
      </c>
      <c r="Z92" s="59">
        <f t="shared" ref="Z92:Z113" si="531">+Y92*3.3058</f>
        <v>0</v>
      </c>
      <c r="AA92" s="55">
        <f t="shared" ref="AA92:AA113" si="532">+I92*BL92</f>
        <v>0</v>
      </c>
      <c r="AB92" s="59">
        <f t="shared" ref="AB92:AB113" si="533">+AA92*3.3058</f>
        <v>0</v>
      </c>
      <c r="AC92" s="60">
        <f t="shared" ref="AC92:AC113" si="534">+I92*BM92</f>
        <v>0</v>
      </c>
      <c r="AD92" s="59">
        <f t="shared" ref="AD92:AD113" si="535">+AC92*3.3058</f>
        <v>0</v>
      </c>
      <c r="AE92" s="60">
        <f t="shared" ref="AE92:AE113" si="536">+I92*BN92</f>
        <v>0</v>
      </c>
      <c r="AF92" s="59">
        <f t="shared" ref="AF92:AF113" si="537">+AE92*3.3058</f>
        <v>0</v>
      </c>
      <c r="AG92" s="60">
        <f t="shared" ref="AG92:AG113" si="538">+I92*BO92</f>
        <v>0</v>
      </c>
      <c r="AH92" s="59">
        <f t="shared" ref="AH92:AH113" si="539">+AG92*3.3058</f>
        <v>0</v>
      </c>
      <c r="AI92" s="55">
        <f t="shared" ref="AI92:AI113" si="540">+I92*BP92</f>
        <v>0</v>
      </c>
      <c r="AJ92" s="59">
        <f t="shared" ref="AJ92:AJ113" si="541">+AI92*3.3058</f>
        <v>0</v>
      </c>
      <c r="AK92" s="60">
        <f t="shared" ref="AK92:AK113" si="542">+I92*BQ92</f>
        <v>0</v>
      </c>
      <c r="AL92" s="59">
        <f t="shared" ref="AL92:AL113" si="543">+AK92*3.3058</f>
        <v>0</v>
      </c>
      <c r="AM92" s="60">
        <f t="shared" ref="AM92:AM113" si="544">+I92*BR92</f>
        <v>0</v>
      </c>
      <c r="AN92" s="59">
        <f t="shared" ref="AN92:AN113" si="545">+AM92*3.3058</f>
        <v>0</v>
      </c>
      <c r="AO92" s="60">
        <f t="shared" ref="AO92:AO113" si="546">+I92*BS92</f>
        <v>0</v>
      </c>
      <c r="AP92" s="59">
        <f t="shared" ref="AP92:AP113" si="547">+AO92*3.3058</f>
        <v>0</v>
      </c>
      <c r="AQ92" s="60">
        <f t="shared" ref="AQ92:AQ113" si="548">+I92*BT92</f>
        <v>0</v>
      </c>
      <c r="AR92" s="59">
        <f t="shared" ref="AR92:AR113" si="549">+AQ92*3.3058</f>
        <v>0</v>
      </c>
      <c r="AS92" s="55">
        <f t="shared" ref="AS92:AS113" si="550">+I92*BU92</f>
        <v>0</v>
      </c>
      <c r="AT92" s="59">
        <f t="shared" ref="AT92:AT113" si="551">+AS92*3.3058</f>
        <v>0</v>
      </c>
      <c r="AU92" s="60">
        <f t="shared" ref="AU92:AU113" si="552">+I92*BV92</f>
        <v>0</v>
      </c>
      <c r="AV92" s="59">
        <f t="shared" ref="AV92:AV113" si="553">+AU92*3.3058</f>
        <v>0</v>
      </c>
      <c r="AW92" s="60">
        <f t="shared" ref="AW92:AW113" si="554">+I92*BW92</f>
        <v>0</v>
      </c>
      <c r="AX92" s="59">
        <f t="shared" ref="AX92:AX113" si="555">+AW92*3.3058</f>
        <v>0</v>
      </c>
      <c r="AY92" s="55">
        <f t="shared" ref="AY92:AY113" si="556">+I92*BX92</f>
        <v>0</v>
      </c>
      <c r="AZ92" s="59">
        <f t="shared" ref="AZ92:AZ113" si="557">+AY92*3.3058</f>
        <v>0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58">+BF92-0.02</f>
        <v>0.91</v>
      </c>
      <c r="BH92" s="55">
        <f t="shared" si="558"/>
        <v>0.89</v>
      </c>
      <c r="BI92" s="55">
        <f t="shared" si="558"/>
        <v>0.87</v>
      </c>
      <c r="BJ92" s="55">
        <f t="shared" si="558"/>
        <v>0.85</v>
      </c>
      <c r="BK92" s="55">
        <f t="shared" si="558"/>
        <v>0.83</v>
      </c>
      <c r="BL92" s="55">
        <f t="shared" si="558"/>
        <v>0.80999999999999994</v>
      </c>
      <c r="BM92" s="55">
        <f t="shared" si="558"/>
        <v>0.78999999999999992</v>
      </c>
      <c r="BN92" s="55">
        <f t="shared" si="558"/>
        <v>0.76999999999999991</v>
      </c>
      <c r="BO92" s="55">
        <f t="shared" si="558"/>
        <v>0.74999999999999989</v>
      </c>
      <c r="BP92" s="55">
        <f t="shared" si="558"/>
        <v>0.72999999999999987</v>
      </c>
      <c r="BQ92" s="55">
        <f t="shared" si="558"/>
        <v>0.70999999999999985</v>
      </c>
      <c r="BR92" s="55">
        <f t="shared" si="558"/>
        <v>0.68999999999999984</v>
      </c>
      <c r="BS92" s="55">
        <f t="shared" si="558"/>
        <v>0.66999999999999982</v>
      </c>
      <c r="BT92" s="55">
        <f t="shared" si="558"/>
        <v>0.6499999999999998</v>
      </c>
      <c r="BU92" s="55">
        <f t="shared" si="558"/>
        <v>0.62999999999999978</v>
      </c>
      <c r="BV92" s="55">
        <f t="shared" si="558"/>
        <v>0.60999999999999976</v>
      </c>
      <c r="BW92" s="55">
        <f t="shared" si="558"/>
        <v>0.58999999999999975</v>
      </c>
      <c r="BX92" s="55">
        <f t="shared" si="558"/>
        <v>0.56999999999999973</v>
      </c>
      <c r="BZ92" s="55">
        <f t="shared" si="508"/>
        <v>0</v>
      </c>
      <c r="CA92" s="55">
        <f t="shared" si="509"/>
        <v>0</v>
      </c>
      <c r="CB92" s="59">
        <f t="shared" ref="CB92:CB113" si="559">+CA92*3.3058</f>
        <v>0</v>
      </c>
      <c r="CC92" s="55">
        <f t="shared" ref="CC92:CC113" si="560">+CA92*DV92</f>
        <v>0</v>
      </c>
      <c r="CD92" s="59">
        <f t="shared" ref="CD92:CD113" si="561">+CC92*3.3058</f>
        <v>0</v>
      </c>
      <c r="CE92" s="55">
        <f t="shared" ref="CE92:CE113" si="562">+CA92*DW92</f>
        <v>0</v>
      </c>
      <c r="CF92" s="59">
        <f t="shared" ref="CF92:CF113" si="563">+CE92*3.3058</f>
        <v>0</v>
      </c>
      <c r="CG92" s="55">
        <f t="shared" ref="CG92:CG113" si="564">+CA92*DX92</f>
        <v>0</v>
      </c>
      <c r="CH92" s="59">
        <f t="shared" ref="CH92:CH113" si="565">+CG92*3.3058</f>
        <v>0</v>
      </c>
      <c r="CI92" s="57">
        <f t="shared" ref="CI92:CI113" si="566">+CA92*DY92</f>
        <v>0</v>
      </c>
      <c r="CJ92" s="59">
        <f t="shared" ref="CJ92:CJ113" si="567">+CI92*3.3058</f>
        <v>0</v>
      </c>
      <c r="CK92" s="55">
        <f t="shared" ref="CK92:CK113" si="568">+CA92*DZ92</f>
        <v>0</v>
      </c>
      <c r="CL92" s="59">
        <f t="shared" ref="CL92:CL113" si="569">+CK92*3.3058</f>
        <v>0</v>
      </c>
      <c r="CM92" s="57">
        <f t="shared" ref="CM92:CM113" si="570">+CA92*EA92</f>
        <v>0</v>
      </c>
      <c r="CN92" s="59">
        <f t="shared" ref="CN92:CN113" si="571">+CM92*3.3058</f>
        <v>0</v>
      </c>
      <c r="CO92" s="60">
        <f t="shared" ref="CO92:CO113" si="572">+CA92*EB92</f>
        <v>0</v>
      </c>
      <c r="CP92" s="59">
        <f t="shared" ref="CP92:CP113" si="573">+CO92*3.3058</f>
        <v>0</v>
      </c>
      <c r="CQ92" s="57">
        <f t="shared" ref="CQ92:CQ113" si="574">+CA92*EC92</f>
        <v>0</v>
      </c>
      <c r="CR92" s="59">
        <f t="shared" ref="CR92:CR113" si="575">+CQ92*3.3058</f>
        <v>0</v>
      </c>
      <c r="CS92" s="55">
        <f t="shared" ref="CS92:CS113" si="576">+CA92*ED92</f>
        <v>0</v>
      </c>
      <c r="CT92" s="59">
        <f t="shared" ref="CT92:CT113" si="577">+CS92*3.3058</f>
        <v>0</v>
      </c>
      <c r="CU92" s="60">
        <f t="shared" ref="CU92:CU113" si="578">+CA92*EE92</f>
        <v>0</v>
      </c>
      <c r="CV92" s="59">
        <f t="shared" ref="CV92:CV113" si="579">+CU92*3.3058</f>
        <v>0</v>
      </c>
      <c r="CW92" s="60">
        <f t="shared" ref="CW92:CW113" si="580">+CA92*EF92</f>
        <v>0</v>
      </c>
      <c r="CX92" s="59">
        <f t="shared" ref="CX92:CX113" si="581">+CW92*3.3058</f>
        <v>0</v>
      </c>
      <c r="CY92" s="60">
        <f t="shared" ref="CY92:CY113" si="582">+CA92*EG92</f>
        <v>0</v>
      </c>
      <c r="CZ92" s="59">
        <f t="shared" ref="CZ92:CZ113" si="583">+CY92*3.3058</f>
        <v>0</v>
      </c>
      <c r="DA92" s="55">
        <f t="shared" ref="DA92:DA113" si="584">+CA92*EH92</f>
        <v>0</v>
      </c>
      <c r="DB92" s="59">
        <f t="shared" ref="DB92:DB113" si="585">+DA92*3.3058</f>
        <v>0</v>
      </c>
      <c r="DC92" s="60">
        <f t="shared" ref="DC92:DC113" si="586">+CA92*EI92</f>
        <v>0</v>
      </c>
      <c r="DD92" s="59">
        <f t="shared" ref="DD92:DD113" si="587">+DC92*3.3058</f>
        <v>0</v>
      </c>
      <c r="DE92" s="60">
        <f t="shared" ref="DE92:DE113" si="588">+CA92*EJ92</f>
        <v>0</v>
      </c>
      <c r="DF92" s="59">
        <f t="shared" ref="DF92:DF113" si="589">+DE92*3.3058</f>
        <v>0</v>
      </c>
      <c r="DG92" s="60">
        <f t="shared" ref="DG92:DG113" si="590">+CA92*EK92</f>
        <v>0</v>
      </c>
      <c r="DH92" s="59">
        <f t="shared" ref="DH92:DH113" si="591">+DG92*3.3058</f>
        <v>0</v>
      </c>
      <c r="DI92" s="60">
        <f t="shared" ref="DI92:DI113" si="592">+CA92*EL92</f>
        <v>0</v>
      </c>
      <c r="DJ92" s="59">
        <f t="shared" ref="DJ92:DJ113" si="593">+DI92*3.3058</f>
        <v>0</v>
      </c>
      <c r="DK92" s="55">
        <f t="shared" ref="DK92:DK113" si="594">+CA92*EM92</f>
        <v>0</v>
      </c>
      <c r="DL92" s="59">
        <f t="shared" ref="DL92:DL113" si="595">+DK92*3.3058</f>
        <v>0</v>
      </c>
      <c r="DM92" s="60">
        <f t="shared" ref="DM92:DM113" si="596">+CA92*EN92</f>
        <v>0</v>
      </c>
      <c r="DN92" s="59">
        <f t="shared" ref="DN92:DN113" si="597">+DM92*3.3058</f>
        <v>0</v>
      </c>
      <c r="DO92" s="60">
        <f t="shared" ref="DO92:DO113" si="598">+CA92*EO92</f>
        <v>0</v>
      </c>
      <c r="DP92" s="59">
        <f t="shared" ref="DP92:DP113" si="599">+DO92*3.3058</f>
        <v>0</v>
      </c>
      <c r="DQ92" s="55">
        <f t="shared" ref="DQ92:DQ113" si="600">+CA92*EP92</f>
        <v>0</v>
      </c>
      <c r="DR92" s="59">
        <f t="shared" ref="DR92:DR113" si="601">+DQ92*3.3058</f>
        <v>0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3"/>
        <v>0.91</v>
      </c>
      <c r="DZ92" s="55">
        <f t="shared" si="503"/>
        <v>0.89</v>
      </c>
      <c r="EA92" s="55">
        <f t="shared" si="503"/>
        <v>0.87</v>
      </c>
      <c r="EB92" s="55">
        <f t="shared" si="503"/>
        <v>0.85</v>
      </c>
      <c r="EC92" s="55">
        <f t="shared" si="503"/>
        <v>0.83</v>
      </c>
      <c r="ED92" s="55">
        <f t="shared" si="503"/>
        <v>0.80999999999999994</v>
      </c>
      <c r="EE92" s="55">
        <f t="shared" si="503"/>
        <v>0.78999999999999992</v>
      </c>
      <c r="EF92" s="55">
        <f t="shared" si="503"/>
        <v>0.76999999999999991</v>
      </c>
      <c r="EG92" s="55">
        <f t="shared" si="503"/>
        <v>0.74999999999999989</v>
      </c>
      <c r="EH92" s="55">
        <f t="shared" si="503"/>
        <v>0.72999999999999987</v>
      </c>
      <c r="EI92" s="55">
        <f t="shared" si="503"/>
        <v>0.70999999999999985</v>
      </c>
      <c r="EJ92" s="55">
        <f t="shared" si="503"/>
        <v>0.68999999999999984</v>
      </c>
      <c r="EK92" s="55">
        <f t="shared" si="503"/>
        <v>0.66999999999999982</v>
      </c>
      <c r="EL92" s="55">
        <f t="shared" si="503"/>
        <v>0.6499999999999998</v>
      </c>
      <c r="EM92" s="55">
        <f t="shared" si="503"/>
        <v>0.62999999999999978</v>
      </c>
      <c r="EN92" s="55">
        <f t="shared" si="503"/>
        <v>0.60999999999999976</v>
      </c>
      <c r="EO92" s="55">
        <f t="shared" si="503"/>
        <v>0.58999999999999975</v>
      </c>
      <c r="EP92" s="55">
        <f t="shared" si="503"/>
        <v>0.56999999999999973</v>
      </c>
      <c r="ER92" s="55">
        <f t="shared" si="142"/>
        <v>0</v>
      </c>
      <c r="ES92" s="55">
        <f t="shared" si="510"/>
        <v>0</v>
      </c>
      <c r="ET92" s="59">
        <f t="shared" ref="ET92:ET113" si="602">+ES92*3.3058</f>
        <v>0</v>
      </c>
      <c r="EU92" s="55">
        <f t="shared" ref="EU92:EU113" si="603">+ES92*GN92</f>
        <v>0</v>
      </c>
      <c r="EV92" s="59">
        <f t="shared" ref="EV92:EV113" si="604">+EU92*3.3058</f>
        <v>0</v>
      </c>
      <c r="EW92" s="55">
        <f t="shared" ref="EW92:EW113" si="605">+ES92*GO92</f>
        <v>0</v>
      </c>
      <c r="EX92" s="59">
        <f t="shared" ref="EX92:EX113" si="606">+EW92*3.3058</f>
        <v>0</v>
      </c>
      <c r="EY92" s="55">
        <f t="shared" ref="EY92:EY113" si="607">+ES92*GP92</f>
        <v>0</v>
      </c>
      <c r="EZ92" s="59">
        <f t="shared" ref="EZ92:EZ113" si="608">+EY92*3.3058</f>
        <v>0</v>
      </c>
      <c r="FA92" s="57">
        <f t="shared" ref="FA92:FA113" si="609">+ES92*GQ92</f>
        <v>0</v>
      </c>
      <c r="FB92" s="59">
        <f t="shared" ref="FB92:FB113" si="610">+FA92*3.3058</f>
        <v>0</v>
      </c>
      <c r="FC92" s="55">
        <f t="shared" ref="FC92:FC113" si="611">+ES92*GR92</f>
        <v>0</v>
      </c>
      <c r="FD92" s="59">
        <f t="shared" ref="FD92:FD113" si="612">+FC92*3.3058</f>
        <v>0</v>
      </c>
      <c r="FE92" s="57">
        <f t="shared" ref="FE92:FE113" si="613">+ES92*GS92</f>
        <v>0</v>
      </c>
      <c r="FF92" s="59">
        <f t="shared" ref="FF92:FF113" si="614">+FE92*3.3058</f>
        <v>0</v>
      </c>
      <c r="FG92" s="60">
        <f t="shared" ref="FG92:FG113" si="615">+ES92*GT92</f>
        <v>0</v>
      </c>
      <c r="FH92" s="59">
        <f t="shared" ref="FH92:FH113" si="616">+FG92*3.3058</f>
        <v>0</v>
      </c>
      <c r="FI92" s="57">
        <f t="shared" ref="FI92:FI113" si="617">+ES92*GU92</f>
        <v>0</v>
      </c>
      <c r="FJ92" s="59">
        <f t="shared" ref="FJ92:FJ113" si="618">+FI92*3.3058</f>
        <v>0</v>
      </c>
      <c r="FK92" s="55">
        <f t="shared" ref="FK92:FK113" si="619">+ES92*GV92</f>
        <v>0</v>
      </c>
      <c r="FL92" s="59">
        <f t="shared" ref="FL92:FL113" si="620">+FK92*3.3058</f>
        <v>0</v>
      </c>
      <c r="FM92" s="60">
        <f t="shared" ref="FM92:FM113" si="621">+ES92*GW92</f>
        <v>0</v>
      </c>
      <c r="FN92" s="59">
        <f t="shared" ref="FN92:FN113" si="622">+FM92*3.3058</f>
        <v>0</v>
      </c>
      <c r="FO92" s="60">
        <f t="shared" ref="FO92:FO113" si="623">+ES92*GX92</f>
        <v>0</v>
      </c>
      <c r="FP92" s="59">
        <f t="shared" ref="FP92:FP113" si="624">+FO92*3.3058</f>
        <v>0</v>
      </c>
      <c r="FQ92" s="60">
        <f t="shared" ref="FQ92:FQ113" si="625">+ES92*GY92</f>
        <v>0</v>
      </c>
      <c r="FR92" s="59">
        <f t="shared" ref="FR92:FR113" si="626">+FQ92*3.3058</f>
        <v>0</v>
      </c>
      <c r="FS92" s="55">
        <f t="shared" ref="FS92:FS113" si="627">+ES92*GZ92</f>
        <v>0</v>
      </c>
      <c r="FT92" s="59">
        <f t="shared" ref="FT92:FT113" si="628">+FS92*3.3058</f>
        <v>0</v>
      </c>
      <c r="FU92" s="60">
        <f t="shared" ref="FU92:FU113" si="629">+ES92*HA92</f>
        <v>0</v>
      </c>
      <c r="FV92" s="59">
        <f t="shared" ref="FV92:FV113" si="630">+FU92*3.3058</f>
        <v>0</v>
      </c>
      <c r="FW92" s="60">
        <f t="shared" ref="FW92:FW113" si="631">+ES92*HB92</f>
        <v>0</v>
      </c>
      <c r="FX92" s="59">
        <f t="shared" ref="FX92:FX113" si="632">+FW92*3.3058</f>
        <v>0</v>
      </c>
      <c r="FY92" s="60">
        <f t="shared" ref="FY92:FY113" si="633">+ES92*HC92</f>
        <v>0</v>
      </c>
      <c r="FZ92" s="59">
        <f t="shared" ref="FZ92:FZ113" si="634">+FY92*3.3058</f>
        <v>0</v>
      </c>
      <c r="GA92" s="60">
        <f t="shared" ref="GA92:GA113" si="635">+ES92*HD92</f>
        <v>0</v>
      </c>
      <c r="GB92" s="59">
        <f t="shared" ref="GB92:GB113" si="636">+GA92*3.3058</f>
        <v>0</v>
      </c>
      <c r="GC92" s="55">
        <f t="shared" ref="GC92:GC113" si="637">+ES92*HE92</f>
        <v>0</v>
      </c>
      <c r="GD92" s="59">
        <f t="shared" ref="GD92:GD113" si="638">+GC92*3.3058</f>
        <v>0</v>
      </c>
      <c r="GE92" s="60">
        <f t="shared" ref="GE92:GE113" si="639">+ES92*HF92</f>
        <v>0</v>
      </c>
      <c r="GF92" s="59">
        <f t="shared" ref="GF92:GF113" si="640">+GE92*3.3058</f>
        <v>0</v>
      </c>
      <c r="GG92" s="60">
        <f t="shared" ref="GG92:GG113" si="641">+ES92*HG92</f>
        <v>0</v>
      </c>
      <c r="GH92" s="59">
        <f t="shared" ref="GH92:GH113" si="642">+GG92*3.3058</f>
        <v>0</v>
      </c>
      <c r="GI92" s="55">
        <f t="shared" ref="GI92:GI113" si="643">+ES92*HH92</f>
        <v>0</v>
      </c>
      <c r="GJ92" s="59">
        <f t="shared" ref="GJ92:GJ113" si="644">+GI92*3.3058</f>
        <v>0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4"/>
        <v>0.91</v>
      </c>
      <c r="GR92" s="55">
        <f t="shared" si="504"/>
        <v>0.89</v>
      </c>
      <c r="GS92" s="55">
        <f t="shared" si="504"/>
        <v>0.87</v>
      </c>
      <c r="GT92" s="55">
        <f t="shared" si="504"/>
        <v>0.85</v>
      </c>
      <c r="GU92" s="55">
        <f t="shared" si="504"/>
        <v>0.83</v>
      </c>
      <c r="GV92" s="55">
        <f t="shared" si="504"/>
        <v>0.80999999999999994</v>
      </c>
      <c r="GW92" s="55">
        <f t="shared" si="504"/>
        <v>0.78999999999999992</v>
      </c>
      <c r="GX92" s="55">
        <f t="shared" si="504"/>
        <v>0.76999999999999991</v>
      </c>
      <c r="GY92" s="55">
        <f t="shared" si="504"/>
        <v>0.74999999999999989</v>
      </c>
      <c r="GZ92" s="55">
        <f t="shared" si="504"/>
        <v>0.72999999999999987</v>
      </c>
      <c r="HA92" s="55">
        <f t="shared" si="504"/>
        <v>0.70999999999999985</v>
      </c>
      <c r="HB92" s="55">
        <f t="shared" si="504"/>
        <v>0.68999999999999984</v>
      </c>
      <c r="HC92" s="55">
        <f t="shared" si="504"/>
        <v>0.66999999999999982</v>
      </c>
      <c r="HD92" s="55">
        <f t="shared" si="504"/>
        <v>0.6499999999999998</v>
      </c>
      <c r="HE92" s="55">
        <f t="shared" si="504"/>
        <v>0.62999999999999978</v>
      </c>
      <c r="HF92" s="55">
        <f t="shared" si="504"/>
        <v>0.60999999999999976</v>
      </c>
      <c r="HG92" s="55">
        <f t="shared" si="504"/>
        <v>0.58999999999999975</v>
      </c>
      <c r="HH92" s="55">
        <f t="shared" si="504"/>
        <v>0.56999999999999973</v>
      </c>
    </row>
    <row r="93" spans="1:216" x14ac:dyDescent="0.3">
      <c r="A93" s="2">
        <v>2</v>
      </c>
      <c r="C93" s="38" t="s">
        <v>40</v>
      </c>
      <c r="D93" s="42">
        <v>0</v>
      </c>
      <c r="E93" s="71">
        <f t="shared" si="515"/>
        <v>0</v>
      </c>
      <c r="H93" s="55">
        <f t="shared" si="505"/>
        <v>0</v>
      </c>
      <c r="I93" s="55">
        <f t="shared" si="506"/>
        <v>0</v>
      </c>
      <c r="J93" s="59">
        <f t="shared" si="507"/>
        <v>0</v>
      </c>
      <c r="K93" s="55">
        <f t="shared" si="516"/>
        <v>0</v>
      </c>
      <c r="L93" s="59">
        <f t="shared" si="517"/>
        <v>0</v>
      </c>
      <c r="M93" s="55">
        <f t="shared" si="518"/>
        <v>0</v>
      </c>
      <c r="N93" s="59">
        <f t="shared" si="519"/>
        <v>0</v>
      </c>
      <c r="O93" s="55">
        <f t="shared" si="520"/>
        <v>0</v>
      </c>
      <c r="P93" s="59">
        <f t="shared" si="521"/>
        <v>0</v>
      </c>
      <c r="Q93" s="57">
        <f t="shared" si="522"/>
        <v>0</v>
      </c>
      <c r="R93" s="59">
        <f t="shared" si="523"/>
        <v>0</v>
      </c>
      <c r="S93" s="55">
        <f t="shared" si="524"/>
        <v>0</v>
      </c>
      <c r="T93" s="59">
        <f t="shared" si="525"/>
        <v>0</v>
      </c>
      <c r="U93" s="57">
        <f t="shared" si="526"/>
        <v>0</v>
      </c>
      <c r="V93" s="59">
        <f t="shared" si="527"/>
        <v>0</v>
      </c>
      <c r="W93" s="60">
        <f t="shared" si="528"/>
        <v>0</v>
      </c>
      <c r="X93" s="59">
        <f t="shared" si="529"/>
        <v>0</v>
      </c>
      <c r="Y93" s="57">
        <f t="shared" si="530"/>
        <v>0</v>
      </c>
      <c r="Z93" s="59">
        <f t="shared" si="531"/>
        <v>0</v>
      </c>
      <c r="AA93" s="55">
        <f t="shared" si="532"/>
        <v>0</v>
      </c>
      <c r="AB93" s="59">
        <f t="shared" si="533"/>
        <v>0</v>
      </c>
      <c r="AC93" s="60">
        <f t="shared" si="534"/>
        <v>0</v>
      </c>
      <c r="AD93" s="59">
        <f t="shared" si="535"/>
        <v>0</v>
      </c>
      <c r="AE93" s="60">
        <f t="shared" si="536"/>
        <v>0</v>
      </c>
      <c r="AF93" s="59">
        <f t="shared" si="537"/>
        <v>0</v>
      </c>
      <c r="AG93" s="60">
        <f t="shared" si="538"/>
        <v>0</v>
      </c>
      <c r="AH93" s="59">
        <f t="shared" si="539"/>
        <v>0</v>
      </c>
      <c r="AI93" s="55">
        <f t="shared" si="540"/>
        <v>0</v>
      </c>
      <c r="AJ93" s="59">
        <f t="shared" si="541"/>
        <v>0</v>
      </c>
      <c r="AK93" s="60">
        <f t="shared" si="542"/>
        <v>0</v>
      </c>
      <c r="AL93" s="59">
        <f t="shared" si="543"/>
        <v>0</v>
      </c>
      <c r="AM93" s="60">
        <f t="shared" si="544"/>
        <v>0</v>
      </c>
      <c r="AN93" s="59">
        <f t="shared" si="545"/>
        <v>0</v>
      </c>
      <c r="AO93" s="60">
        <f t="shared" si="546"/>
        <v>0</v>
      </c>
      <c r="AP93" s="59">
        <f t="shared" si="547"/>
        <v>0</v>
      </c>
      <c r="AQ93" s="60">
        <f t="shared" si="548"/>
        <v>0</v>
      </c>
      <c r="AR93" s="59">
        <f t="shared" si="549"/>
        <v>0</v>
      </c>
      <c r="AS93" s="55">
        <f t="shared" si="550"/>
        <v>0</v>
      </c>
      <c r="AT93" s="59">
        <f t="shared" si="551"/>
        <v>0</v>
      </c>
      <c r="AU93" s="60">
        <f t="shared" si="552"/>
        <v>0</v>
      </c>
      <c r="AV93" s="59">
        <f t="shared" si="553"/>
        <v>0</v>
      </c>
      <c r="AW93" s="60">
        <f t="shared" si="554"/>
        <v>0</v>
      </c>
      <c r="AX93" s="59">
        <f t="shared" si="555"/>
        <v>0</v>
      </c>
      <c r="AY93" s="55">
        <f t="shared" si="556"/>
        <v>0</v>
      </c>
      <c r="AZ93" s="59">
        <f t="shared" si="557"/>
        <v>0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58"/>
        <v>0.91</v>
      </c>
      <c r="BH93" s="55">
        <f t="shared" si="558"/>
        <v>0.89</v>
      </c>
      <c r="BI93" s="55">
        <f t="shared" si="558"/>
        <v>0.87</v>
      </c>
      <c r="BJ93" s="55">
        <f t="shared" si="558"/>
        <v>0.85</v>
      </c>
      <c r="BK93" s="55">
        <f t="shared" si="558"/>
        <v>0.83</v>
      </c>
      <c r="BL93" s="55">
        <f t="shared" si="558"/>
        <v>0.80999999999999994</v>
      </c>
      <c r="BM93" s="55">
        <f t="shared" si="558"/>
        <v>0.78999999999999992</v>
      </c>
      <c r="BN93" s="55">
        <f t="shared" si="558"/>
        <v>0.76999999999999991</v>
      </c>
      <c r="BO93" s="55">
        <f t="shared" si="558"/>
        <v>0.74999999999999989</v>
      </c>
      <c r="BP93" s="55">
        <f t="shared" si="558"/>
        <v>0.72999999999999987</v>
      </c>
      <c r="BQ93" s="55">
        <f t="shared" si="558"/>
        <v>0.70999999999999985</v>
      </c>
      <c r="BR93" s="55">
        <f t="shared" si="558"/>
        <v>0.68999999999999984</v>
      </c>
      <c r="BS93" s="55">
        <f t="shared" si="558"/>
        <v>0.66999999999999982</v>
      </c>
      <c r="BT93" s="55">
        <f t="shared" si="558"/>
        <v>0.6499999999999998</v>
      </c>
      <c r="BU93" s="55">
        <f t="shared" si="558"/>
        <v>0.62999999999999978</v>
      </c>
      <c r="BV93" s="55">
        <f t="shared" si="558"/>
        <v>0.60999999999999976</v>
      </c>
      <c r="BW93" s="55">
        <f t="shared" si="558"/>
        <v>0.58999999999999975</v>
      </c>
      <c r="BX93" s="55">
        <f t="shared" si="558"/>
        <v>0.56999999999999973</v>
      </c>
      <c r="BZ93" s="55">
        <f t="shared" si="508"/>
        <v>0</v>
      </c>
      <c r="CA93" s="55">
        <f t="shared" si="509"/>
        <v>0</v>
      </c>
      <c r="CB93" s="59">
        <f t="shared" si="559"/>
        <v>0</v>
      </c>
      <c r="CC93" s="55">
        <f t="shared" si="560"/>
        <v>0</v>
      </c>
      <c r="CD93" s="59">
        <f t="shared" si="561"/>
        <v>0</v>
      </c>
      <c r="CE93" s="55">
        <f t="shared" si="562"/>
        <v>0</v>
      </c>
      <c r="CF93" s="59">
        <f t="shared" si="563"/>
        <v>0</v>
      </c>
      <c r="CG93" s="55">
        <f t="shared" si="564"/>
        <v>0</v>
      </c>
      <c r="CH93" s="59">
        <f t="shared" si="565"/>
        <v>0</v>
      </c>
      <c r="CI93" s="57">
        <f t="shared" si="566"/>
        <v>0</v>
      </c>
      <c r="CJ93" s="59">
        <f t="shared" si="567"/>
        <v>0</v>
      </c>
      <c r="CK93" s="55">
        <f t="shared" si="568"/>
        <v>0</v>
      </c>
      <c r="CL93" s="59">
        <f t="shared" si="569"/>
        <v>0</v>
      </c>
      <c r="CM93" s="57">
        <f t="shared" si="570"/>
        <v>0</v>
      </c>
      <c r="CN93" s="59">
        <f t="shared" si="571"/>
        <v>0</v>
      </c>
      <c r="CO93" s="60">
        <f t="shared" si="572"/>
        <v>0</v>
      </c>
      <c r="CP93" s="59">
        <f t="shared" si="573"/>
        <v>0</v>
      </c>
      <c r="CQ93" s="57">
        <f t="shared" si="574"/>
        <v>0</v>
      </c>
      <c r="CR93" s="59">
        <f t="shared" si="575"/>
        <v>0</v>
      </c>
      <c r="CS93" s="55">
        <f t="shared" si="576"/>
        <v>0</v>
      </c>
      <c r="CT93" s="59">
        <f t="shared" si="577"/>
        <v>0</v>
      </c>
      <c r="CU93" s="60">
        <f t="shared" si="578"/>
        <v>0</v>
      </c>
      <c r="CV93" s="59">
        <f t="shared" si="579"/>
        <v>0</v>
      </c>
      <c r="CW93" s="60">
        <f t="shared" si="580"/>
        <v>0</v>
      </c>
      <c r="CX93" s="59">
        <f t="shared" si="581"/>
        <v>0</v>
      </c>
      <c r="CY93" s="60">
        <f t="shared" si="582"/>
        <v>0</v>
      </c>
      <c r="CZ93" s="59">
        <f t="shared" si="583"/>
        <v>0</v>
      </c>
      <c r="DA93" s="55">
        <f t="shared" si="584"/>
        <v>0</v>
      </c>
      <c r="DB93" s="59">
        <f t="shared" si="585"/>
        <v>0</v>
      </c>
      <c r="DC93" s="60">
        <f t="shared" si="586"/>
        <v>0</v>
      </c>
      <c r="DD93" s="59">
        <f t="shared" si="587"/>
        <v>0</v>
      </c>
      <c r="DE93" s="60">
        <f t="shared" si="588"/>
        <v>0</v>
      </c>
      <c r="DF93" s="59">
        <f t="shared" si="589"/>
        <v>0</v>
      </c>
      <c r="DG93" s="60">
        <f t="shared" si="590"/>
        <v>0</v>
      </c>
      <c r="DH93" s="59">
        <f t="shared" si="591"/>
        <v>0</v>
      </c>
      <c r="DI93" s="60">
        <f t="shared" si="592"/>
        <v>0</v>
      </c>
      <c r="DJ93" s="59">
        <f t="shared" si="593"/>
        <v>0</v>
      </c>
      <c r="DK93" s="55">
        <f t="shared" si="594"/>
        <v>0</v>
      </c>
      <c r="DL93" s="59">
        <f t="shared" si="595"/>
        <v>0</v>
      </c>
      <c r="DM93" s="60">
        <f t="shared" si="596"/>
        <v>0</v>
      </c>
      <c r="DN93" s="59">
        <f t="shared" si="597"/>
        <v>0</v>
      </c>
      <c r="DO93" s="60">
        <f t="shared" si="598"/>
        <v>0</v>
      </c>
      <c r="DP93" s="59">
        <f t="shared" si="599"/>
        <v>0</v>
      </c>
      <c r="DQ93" s="55">
        <f t="shared" si="600"/>
        <v>0</v>
      </c>
      <c r="DR93" s="59">
        <f t="shared" si="601"/>
        <v>0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3"/>
        <v>0.91</v>
      </c>
      <c r="DZ93" s="55">
        <f t="shared" si="503"/>
        <v>0.89</v>
      </c>
      <c r="EA93" s="55">
        <f t="shared" si="503"/>
        <v>0.87</v>
      </c>
      <c r="EB93" s="55">
        <f t="shared" ref="EB93:EP93" si="645">+EA93-0.02</f>
        <v>0.85</v>
      </c>
      <c r="EC93" s="55">
        <f t="shared" si="645"/>
        <v>0.83</v>
      </c>
      <c r="ED93" s="55">
        <f t="shared" si="645"/>
        <v>0.80999999999999994</v>
      </c>
      <c r="EE93" s="55">
        <f t="shared" si="645"/>
        <v>0.78999999999999992</v>
      </c>
      <c r="EF93" s="55">
        <f t="shared" si="645"/>
        <v>0.76999999999999991</v>
      </c>
      <c r="EG93" s="55">
        <f t="shared" si="645"/>
        <v>0.74999999999999989</v>
      </c>
      <c r="EH93" s="55">
        <f t="shared" si="645"/>
        <v>0.72999999999999987</v>
      </c>
      <c r="EI93" s="55">
        <f t="shared" si="645"/>
        <v>0.70999999999999985</v>
      </c>
      <c r="EJ93" s="55">
        <f t="shared" si="645"/>
        <v>0.68999999999999984</v>
      </c>
      <c r="EK93" s="55">
        <f t="shared" si="645"/>
        <v>0.66999999999999982</v>
      </c>
      <c r="EL93" s="55">
        <f t="shared" si="645"/>
        <v>0.6499999999999998</v>
      </c>
      <c r="EM93" s="55">
        <f t="shared" si="645"/>
        <v>0.62999999999999978</v>
      </c>
      <c r="EN93" s="55">
        <f t="shared" si="645"/>
        <v>0.60999999999999976</v>
      </c>
      <c r="EO93" s="55">
        <f t="shared" si="645"/>
        <v>0.58999999999999975</v>
      </c>
      <c r="EP93" s="55">
        <f t="shared" si="645"/>
        <v>0.56999999999999973</v>
      </c>
      <c r="ER93" s="55">
        <f t="shared" si="142"/>
        <v>0</v>
      </c>
      <c r="ES93" s="55">
        <f t="shared" si="510"/>
        <v>0</v>
      </c>
      <c r="ET93" s="59">
        <f t="shared" si="602"/>
        <v>0</v>
      </c>
      <c r="EU93" s="55">
        <f t="shared" si="603"/>
        <v>0</v>
      </c>
      <c r="EV93" s="59">
        <f t="shared" si="604"/>
        <v>0</v>
      </c>
      <c r="EW93" s="55">
        <f t="shared" si="605"/>
        <v>0</v>
      </c>
      <c r="EX93" s="59">
        <f t="shared" si="606"/>
        <v>0</v>
      </c>
      <c r="EY93" s="55">
        <f t="shared" si="607"/>
        <v>0</v>
      </c>
      <c r="EZ93" s="59">
        <f t="shared" si="608"/>
        <v>0</v>
      </c>
      <c r="FA93" s="57">
        <f t="shared" si="609"/>
        <v>0</v>
      </c>
      <c r="FB93" s="59">
        <f t="shared" si="610"/>
        <v>0</v>
      </c>
      <c r="FC93" s="55">
        <f t="shared" si="611"/>
        <v>0</v>
      </c>
      <c r="FD93" s="59">
        <f t="shared" si="612"/>
        <v>0</v>
      </c>
      <c r="FE93" s="57">
        <f t="shared" si="613"/>
        <v>0</v>
      </c>
      <c r="FF93" s="59">
        <f t="shared" si="614"/>
        <v>0</v>
      </c>
      <c r="FG93" s="60">
        <f t="shared" si="615"/>
        <v>0</v>
      </c>
      <c r="FH93" s="59">
        <f t="shared" si="616"/>
        <v>0</v>
      </c>
      <c r="FI93" s="57">
        <f t="shared" si="617"/>
        <v>0</v>
      </c>
      <c r="FJ93" s="59">
        <f t="shared" si="618"/>
        <v>0</v>
      </c>
      <c r="FK93" s="55">
        <f t="shared" si="619"/>
        <v>0</v>
      </c>
      <c r="FL93" s="59">
        <f t="shared" si="620"/>
        <v>0</v>
      </c>
      <c r="FM93" s="60">
        <f t="shared" si="621"/>
        <v>0</v>
      </c>
      <c r="FN93" s="59">
        <f t="shared" si="622"/>
        <v>0</v>
      </c>
      <c r="FO93" s="60">
        <f t="shared" si="623"/>
        <v>0</v>
      </c>
      <c r="FP93" s="59">
        <f t="shared" si="624"/>
        <v>0</v>
      </c>
      <c r="FQ93" s="60">
        <f t="shared" si="625"/>
        <v>0</v>
      </c>
      <c r="FR93" s="59">
        <f t="shared" si="626"/>
        <v>0</v>
      </c>
      <c r="FS93" s="55">
        <f t="shared" si="627"/>
        <v>0</v>
      </c>
      <c r="FT93" s="59">
        <f t="shared" si="628"/>
        <v>0</v>
      </c>
      <c r="FU93" s="60">
        <f t="shared" si="629"/>
        <v>0</v>
      </c>
      <c r="FV93" s="59">
        <f t="shared" si="630"/>
        <v>0</v>
      </c>
      <c r="FW93" s="60">
        <f t="shared" si="631"/>
        <v>0</v>
      </c>
      <c r="FX93" s="59">
        <f t="shared" si="632"/>
        <v>0</v>
      </c>
      <c r="FY93" s="60">
        <f t="shared" si="633"/>
        <v>0</v>
      </c>
      <c r="FZ93" s="59">
        <f t="shared" si="634"/>
        <v>0</v>
      </c>
      <c r="GA93" s="60">
        <f t="shared" si="635"/>
        <v>0</v>
      </c>
      <c r="GB93" s="59">
        <f t="shared" si="636"/>
        <v>0</v>
      </c>
      <c r="GC93" s="55">
        <f t="shared" si="637"/>
        <v>0</v>
      </c>
      <c r="GD93" s="59">
        <f t="shared" si="638"/>
        <v>0</v>
      </c>
      <c r="GE93" s="60">
        <f t="shared" si="639"/>
        <v>0</v>
      </c>
      <c r="GF93" s="59">
        <f t="shared" si="640"/>
        <v>0</v>
      </c>
      <c r="GG93" s="60">
        <f t="shared" si="641"/>
        <v>0</v>
      </c>
      <c r="GH93" s="59">
        <f t="shared" si="642"/>
        <v>0</v>
      </c>
      <c r="GI93" s="55">
        <f t="shared" si="643"/>
        <v>0</v>
      </c>
      <c r="GJ93" s="59">
        <f t="shared" si="644"/>
        <v>0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4"/>
        <v>0.91</v>
      </c>
      <c r="GR93" s="55">
        <f t="shared" si="504"/>
        <v>0.89</v>
      </c>
      <c r="GS93" s="55">
        <f t="shared" si="504"/>
        <v>0.87</v>
      </c>
      <c r="GT93" s="55">
        <f t="shared" ref="GT93:HH93" si="646">+GS93-0.02</f>
        <v>0.85</v>
      </c>
      <c r="GU93" s="55">
        <f t="shared" si="646"/>
        <v>0.83</v>
      </c>
      <c r="GV93" s="55">
        <f t="shared" si="646"/>
        <v>0.80999999999999994</v>
      </c>
      <c r="GW93" s="55">
        <f t="shared" si="646"/>
        <v>0.78999999999999992</v>
      </c>
      <c r="GX93" s="55">
        <f t="shared" si="646"/>
        <v>0.76999999999999991</v>
      </c>
      <c r="GY93" s="55">
        <f t="shared" si="646"/>
        <v>0.74999999999999989</v>
      </c>
      <c r="GZ93" s="55">
        <f t="shared" si="646"/>
        <v>0.72999999999999987</v>
      </c>
      <c r="HA93" s="55">
        <f t="shared" si="646"/>
        <v>0.70999999999999985</v>
      </c>
      <c r="HB93" s="55">
        <f t="shared" si="646"/>
        <v>0.68999999999999984</v>
      </c>
      <c r="HC93" s="55">
        <f t="shared" si="646"/>
        <v>0.66999999999999982</v>
      </c>
      <c r="HD93" s="55">
        <f t="shared" si="646"/>
        <v>0.6499999999999998</v>
      </c>
      <c r="HE93" s="55">
        <f t="shared" si="646"/>
        <v>0.62999999999999978</v>
      </c>
      <c r="HF93" s="55">
        <f t="shared" si="646"/>
        <v>0.60999999999999976</v>
      </c>
      <c r="HG93" s="55">
        <f t="shared" si="646"/>
        <v>0.58999999999999975</v>
      </c>
      <c r="HH93" s="55">
        <f t="shared" si="646"/>
        <v>0.56999999999999973</v>
      </c>
    </row>
    <row r="94" spans="1:216" x14ac:dyDescent="0.3">
      <c r="A94" s="2">
        <v>3</v>
      </c>
      <c r="C94" s="38" t="s">
        <v>41</v>
      </c>
      <c r="D94" s="42">
        <f>TRUNC(6940.91556728232+224.82171127026,-1)</f>
        <v>7160</v>
      </c>
      <c r="E94" s="71">
        <f t="shared" si="515"/>
        <v>23660</v>
      </c>
      <c r="F94" s="2" t="s">
        <v>311</v>
      </c>
      <c r="H94" s="55">
        <f t="shared" si="505"/>
        <v>26026.000000000004</v>
      </c>
      <c r="I94" s="55">
        <f t="shared" si="506"/>
        <v>26026.000000000004</v>
      </c>
      <c r="J94" s="59">
        <f t="shared" si="507"/>
        <v>86036.750800000009</v>
      </c>
      <c r="K94" s="55">
        <f t="shared" si="516"/>
        <v>25245.22</v>
      </c>
      <c r="L94" s="59">
        <f t="shared" si="517"/>
        <v>83455.648276000007</v>
      </c>
      <c r="M94" s="55">
        <f t="shared" si="518"/>
        <v>24724.7</v>
      </c>
      <c r="N94" s="59">
        <f t="shared" si="519"/>
        <v>81734.913260000001</v>
      </c>
      <c r="O94" s="55">
        <f t="shared" si="520"/>
        <v>24204.180000000004</v>
      </c>
      <c r="P94" s="59">
        <f t="shared" si="521"/>
        <v>80014.17824400001</v>
      </c>
      <c r="Q94" s="57">
        <f t="shared" si="522"/>
        <v>23683.660000000003</v>
      </c>
      <c r="R94" s="59">
        <f t="shared" si="523"/>
        <v>78293.443228000018</v>
      </c>
      <c r="S94" s="55">
        <f t="shared" si="524"/>
        <v>23163.140000000003</v>
      </c>
      <c r="T94" s="59">
        <f t="shared" si="525"/>
        <v>76572.708212000012</v>
      </c>
      <c r="U94" s="57">
        <f t="shared" si="526"/>
        <v>22642.620000000003</v>
      </c>
      <c r="V94" s="59">
        <f t="shared" si="527"/>
        <v>74851.973196000006</v>
      </c>
      <c r="W94" s="60">
        <f t="shared" si="528"/>
        <v>22122.100000000002</v>
      </c>
      <c r="X94" s="59">
        <f t="shared" si="529"/>
        <v>73131.238180000015</v>
      </c>
      <c r="Y94" s="57">
        <f t="shared" si="530"/>
        <v>21601.58</v>
      </c>
      <c r="Z94" s="59">
        <f t="shared" si="531"/>
        <v>71410.503164000009</v>
      </c>
      <c r="AA94" s="55">
        <f t="shared" si="532"/>
        <v>21081.06</v>
      </c>
      <c r="AB94" s="59">
        <f t="shared" si="533"/>
        <v>69689.768148000003</v>
      </c>
      <c r="AC94" s="60">
        <f t="shared" si="534"/>
        <v>20560.54</v>
      </c>
      <c r="AD94" s="59">
        <f t="shared" si="535"/>
        <v>67969.033132000011</v>
      </c>
      <c r="AE94" s="60">
        <f t="shared" si="536"/>
        <v>20040.02</v>
      </c>
      <c r="AF94" s="59">
        <f t="shared" si="537"/>
        <v>66248.298116000005</v>
      </c>
      <c r="AG94" s="60">
        <f t="shared" si="538"/>
        <v>19519.5</v>
      </c>
      <c r="AH94" s="59">
        <f t="shared" si="539"/>
        <v>64527.563099999999</v>
      </c>
      <c r="AI94" s="55">
        <f t="shared" si="540"/>
        <v>18998.98</v>
      </c>
      <c r="AJ94" s="59">
        <f t="shared" si="541"/>
        <v>62806.828084000001</v>
      </c>
      <c r="AK94" s="60">
        <f t="shared" si="542"/>
        <v>18478.46</v>
      </c>
      <c r="AL94" s="59">
        <f t="shared" si="543"/>
        <v>61086.093068000002</v>
      </c>
      <c r="AM94" s="60">
        <f t="shared" si="544"/>
        <v>17957.939999999999</v>
      </c>
      <c r="AN94" s="59">
        <f t="shared" si="545"/>
        <v>59365.358051999996</v>
      </c>
      <c r="AO94" s="60">
        <f t="shared" si="546"/>
        <v>17437.419999999998</v>
      </c>
      <c r="AP94" s="59">
        <f t="shared" si="547"/>
        <v>57644.623035999997</v>
      </c>
      <c r="AQ94" s="60">
        <f t="shared" si="548"/>
        <v>16916.899999999998</v>
      </c>
      <c r="AR94" s="59">
        <f t="shared" si="549"/>
        <v>55923.888019999991</v>
      </c>
      <c r="AS94" s="55">
        <f t="shared" si="550"/>
        <v>16396.379999999997</v>
      </c>
      <c r="AT94" s="59">
        <f t="shared" si="551"/>
        <v>54203.153003999993</v>
      </c>
      <c r="AU94" s="60">
        <f t="shared" si="552"/>
        <v>15875.859999999997</v>
      </c>
      <c r="AV94" s="59">
        <f t="shared" si="553"/>
        <v>52482.417987999994</v>
      </c>
      <c r="AW94" s="60">
        <f t="shared" si="554"/>
        <v>15355.339999999995</v>
      </c>
      <c r="AX94" s="59">
        <f t="shared" si="555"/>
        <v>50761.682971999981</v>
      </c>
      <c r="AY94" s="55">
        <f t="shared" si="556"/>
        <v>14834.819999999994</v>
      </c>
      <c r="AZ94" s="59">
        <f t="shared" si="557"/>
        <v>49040.947955999982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58"/>
        <v>0.91</v>
      </c>
      <c r="BH94" s="55">
        <f t="shared" si="558"/>
        <v>0.89</v>
      </c>
      <c r="BI94" s="55">
        <f t="shared" si="558"/>
        <v>0.87</v>
      </c>
      <c r="BJ94" s="55">
        <f t="shared" si="558"/>
        <v>0.85</v>
      </c>
      <c r="BK94" s="55">
        <f t="shared" si="558"/>
        <v>0.83</v>
      </c>
      <c r="BL94" s="55">
        <f t="shared" si="558"/>
        <v>0.80999999999999994</v>
      </c>
      <c r="BM94" s="55">
        <f t="shared" si="558"/>
        <v>0.78999999999999992</v>
      </c>
      <c r="BN94" s="55">
        <f t="shared" si="558"/>
        <v>0.76999999999999991</v>
      </c>
      <c r="BO94" s="55">
        <f t="shared" si="558"/>
        <v>0.74999999999999989</v>
      </c>
      <c r="BP94" s="55">
        <f t="shared" si="558"/>
        <v>0.72999999999999987</v>
      </c>
      <c r="BQ94" s="55">
        <f t="shared" si="558"/>
        <v>0.70999999999999985</v>
      </c>
      <c r="BR94" s="55">
        <f t="shared" si="558"/>
        <v>0.68999999999999984</v>
      </c>
      <c r="BS94" s="55">
        <f t="shared" si="558"/>
        <v>0.66999999999999982</v>
      </c>
      <c r="BT94" s="55">
        <f t="shared" si="558"/>
        <v>0.6499999999999998</v>
      </c>
      <c r="BU94" s="55">
        <f t="shared" si="558"/>
        <v>0.62999999999999978</v>
      </c>
      <c r="BV94" s="55">
        <f t="shared" si="558"/>
        <v>0.60999999999999976</v>
      </c>
      <c r="BW94" s="55">
        <f t="shared" si="558"/>
        <v>0.58999999999999975</v>
      </c>
      <c r="BX94" s="55">
        <f t="shared" si="558"/>
        <v>0.56999999999999973</v>
      </c>
      <c r="BZ94" s="55">
        <f t="shared" si="508"/>
        <v>23683.660000000003</v>
      </c>
      <c r="CA94" s="55">
        <f t="shared" si="509"/>
        <v>23683.660000000003</v>
      </c>
      <c r="CB94" s="59">
        <f t="shared" si="559"/>
        <v>78293.443228000018</v>
      </c>
      <c r="CC94" s="55">
        <f t="shared" si="560"/>
        <v>22973.150200000004</v>
      </c>
      <c r="CD94" s="59">
        <f t="shared" si="561"/>
        <v>75944.639931160011</v>
      </c>
      <c r="CE94" s="55">
        <f t="shared" si="562"/>
        <v>22499.477000000003</v>
      </c>
      <c r="CF94" s="59">
        <f t="shared" si="563"/>
        <v>74378.771066600006</v>
      </c>
      <c r="CG94" s="55">
        <f t="shared" si="564"/>
        <v>22025.803800000005</v>
      </c>
      <c r="CH94" s="59">
        <f t="shared" si="565"/>
        <v>72812.902202040015</v>
      </c>
      <c r="CI94" s="57">
        <f t="shared" si="566"/>
        <v>21552.130600000004</v>
      </c>
      <c r="CJ94" s="59">
        <f t="shared" si="567"/>
        <v>71247.03333748001</v>
      </c>
      <c r="CK94" s="55">
        <f t="shared" si="568"/>
        <v>21078.457400000003</v>
      </c>
      <c r="CL94" s="59">
        <f t="shared" si="569"/>
        <v>69681.164472920005</v>
      </c>
      <c r="CM94" s="57">
        <f t="shared" si="570"/>
        <v>20604.784200000002</v>
      </c>
      <c r="CN94" s="59">
        <f t="shared" si="571"/>
        <v>68115.295608360015</v>
      </c>
      <c r="CO94" s="60">
        <f t="shared" si="572"/>
        <v>20131.111000000001</v>
      </c>
      <c r="CP94" s="59">
        <f t="shared" si="573"/>
        <v>66549.42674380001</v>
      </c>
      <c r="CQ94" s="57">
        <f t="shared" si="574"/>
        <v>19657.437800000003</v>
      </c>
      <c r="CR94" s="59">
        <f t="shared" si="575"/>
        <v>64983.557879240012</v>
      </c>
      <c r="CS94" s="55">
        <f t="shared" si="576"/>
        <v>19183.764600000002</v>
      </c>
      <c r="CT94" s="59">
        <f t="shared" si="577"/>
        <v>63417.689014680007</v>
      </c>
      <c r="CU94" s="60">
        <f t="shared" si="578"/>
        <v>18710.091400000001</v>
      </c>
      <c r="CV94" s="59">
        <f t="shared" si="579"/>
        <v>61851.820150120002</v>
      </c>
      <c r="CW94" s="60">
        <f t="shared" si="580"/>
        <v>18236.4182</v>
      </c>
      <c r="CX94" s="59">
        <f t="shared" si="581"/>
        <v>60285.951285560004</v>
      </c>
      <c r="CY94" s="60">
        <f t="shared" si="582"/>
        <v>17762.744999999999</v>
      </c>
      <c r="CZ94" s="59">
        <f t="shared" si="583"/>
        <v>58720.082420999999</v>
      </c>
      <c r="DA94" s="55">
        <f t="shared" si="584"/>
        <v>17289.071799999998</v>
      </c>
      <c r="DB94" s="59">
        <f t="shared" si="585"/>
        <v>57154.213556439994</v>
      </c>
      <c r="DC94" s="60">
        <f t="shared" si="586"/>
        <v>16815.3986</v>
      </c>
      <c r="DD94" s="59">
        <f t="shared" si="587"/>
        <v>55588.344691880004</v>
      </c>
      <c r="DE94" s="60">
        <f t="shared" si="588"/>
        <v>16341.725399999999</v>
      </c>
      <c r="DF94" s="59">
        <f t="shared" si="589"/>
        <v>54022.475827319999</v>
      </c>
      <c r="DG94" s="60">
        <f t="shared" si="590"/>
        <v>15868.052199999998</v>
      </c>
      <c r="DH94" s="59">
        <f t="shared" si="591"/>
        <v>52456.606962759994</v>
      </c>
      <c r="DI94" s="60">
        <f t="shared" si="592"/>
        <v>15394.378999999997</v>
      </c>
      <c r="DJ94" s="59">
        <f t="shared" si="593"/>
        <v>50890.738098199989</v>
      </c>
      <c r="DK94" s="55">
        <f t="shared" si="594"/>
        <v>14920.705799999998</v>
      </c>
      <c r="DL94" s="59">
        <f t="shared" si="595"/>
        <v>49324.869233639991</v>
      </c>
      <c r="DM94" s="60">
        <f t="shared" si="596"/>
        <v>14447.032599999997</v>
      </c>
      <c r="DN94" s="59">
        <f t="shared" si="597"/>
        <v>47759.000369079993</v>
      </c>
      <c r="DO94" s="60">
        <f t="shared" si="598"/>
        <v>13973.359399999996</v>
      </c>
      <c r="DP94" s="59">
        <f t="shared" si="599"/>
        <v>46193.131504519988</v>
      </c>
      <c r="DQ94" s="55">
        <f t="shared" si="600"/>
        <v>13499.686199999996</v>
      </c>
      <c r="DR94" s="59">
        <f t="shared" si="601"/>
        <v>44627.26263995999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47">+DX94-0.02</f>
        <v>0.91</v>
      </c>
      <c r="DZ94" s="55">
        <f t="shared" si="647"/>
        <v>0.89</v>
      </c>
      <c r="EA94" s="55">
        <f t="shared" si="647"/>
        <v>0.87</v>
      </c>
      <c r="EB94" s="55">
        <f t="shared" si="647"/>
        <v>0.85</v>
      </c>
      <c r="EC94" s="55">
        <f t="shared" si="647"/>
        <v>0.83</v>
      </c>
      <c r="ED94" s="55">
        <f t="shared" si="647"/>
        <v>0.80999999999999994</v>
      </c>
      <c r="EE94" s="55">
        <f t="shared" si="647"/>
        <v>0.78999999999999992</v>
      </c>
      <c r="EF94" s="55">
        <f t="shared" si="647"/>
        <v>0.76999999999999991</v>
      </c>
      <c r="EG94" s="55">
        <f t="shared" si="647"/>
        <v>0.74999999999999989</v>
      </c>
      <c r="EH94" s="55">
        <f t="shared" si="647"/>
        <v>0.72999999999999987</v>
      </c>
      <c r="EI94" s="55">
        <f t="shared" si="647"/>
        <v>0.70999999999999985</v>
      </c>
      <c r="EJ94" s="55">
        <f t="shared" si="647"/>
        <v>0.68999999999999984</v>
      </c>
      <c r="EK94" s="55">
        <f t="shared" si="647"/>
        <v>0.66999999999999982</v>
      </c>
      <c r="EL94" s="55">
        <f t="shared" si="647"/>
        <v>0.6499999999999998</v>
      </c>
      <c r="EM94" s="55">
        <f t="shared" si="647"/>
        <v>0.62999999999999978</v>
      </c>
      <c r="EN94" s="55">
        <f t="shared" si="647"/>
        <v>0.60999999999999976</v>
      </c>
      <c r="EO94" s="55">
        <f t="shared" si="647"/>
        <v>0.58999999999999975</v>
      </c>
      <c r="EP94" s="55">
        <f t="shared" si="647"/>
        <v>0.56999999999999973</v>
      </c>
      <c r="ER94" s="55">
        <f t="shared" ref="ER94:ER155" si="648">+BZ94*0.91</f>
        <v>21552.130600000004</v>
      </c>
      <c r="ES94" s="55">
        <f t="shared" si="510"/>
        <v>21552.130600000004</v>
      </c>
      <c r="ET94" s="59">
        <f t="shared" si="602"/>
        <v>71247.03333748001</v>
      </c>
      <c r="EU94" s="55">
        <f t="shared" si="603"/>
        <v>20905.566682000004</v>
      </c>
      <c r="EV94" s="59">
        <f t="shared" si="604"/>
        <v>69109.622337355613</v>
      </c>
      <c r="EW94" s="55">
        <f t="shared" si="605"/>
        <v>20474.524070000003</v>
      </c>
      <c r="EX94" s="59">
        <f t="shared" si="606"/>
        <v>67684.681670606005</v>
      </c>
      <c r="EY94" s="55">
        <f t="shared" si="607"/>
        <v>20043.481458000006</v>
      </c>
      <c r="EZ94" s="59">
        <f t="shared" si="608"/>
        <v>66259.741003856427</v>
      </c>
      <c r="FA94" s="57">
        <f t="shared" si="609"/>
        <v>19612.438846000005</v>
      </c>
      <c r="FB94" s="59">
        <f t="shared" si="610"/>
        <v>64834.800337106819</v>
      </c>
      <c r="FC94" s="55">
        <f t="shared" si="611"/>
        <v>19181.396234000003</v>
      </c>
      <c r="FD94" s="59">
        <f t="shared" si="612"/>
        <v>63409.859670357211</v>
      </c>
      <c r="FE94" s="57">
        <f t="shared" si="613"/>
        <v>18750.353622000002</v>
      </c>
      <c r="FF94" s="59">
        <f t="shared" si="614"/>
        <v>61984.919003607611</v>
      </c>
      <c r="FG94" s="60">
        <f t="shared" si="615"/>
        <v>18319.311010000001</v>
      </c>
      <c r="FH94" s="59">
        <f t="shared" si="616"/>
        <v>60559.978336858003</v>
      </c>
      <c r="FI94" s="57">
        <f t="shared" si="617"/>
        <v>17888.268398000004</v>
      </c>
      <c r="FJ94" s="59">
        <f t="shared" si="618"/>
        <v>59135.037670108417</v>
      </c>
      <c r="FK94" s="55">
        <f t="shared" si="619"/>
        <v>17457.225786000003</v>
      </c>
      <c r="FL94" s="59">
        <f t="shared" si="620"/>
        <v>57710.097003358809</v>
      </c>
      <c r="FM94" s="60">
        <f t="shared" si="621"/>
        <v>17026.183174000002</v>
      </c>
      <c r="FN94" s="59">
        <f t="shared" si="622"/>
        <v>56285.156336609209</v>
      </c>
      <c r="FO94" s="60">
        <f t="shared" si="623"/>
        <v>16595.140562000001</v>
      </c>
      <c r="FP94" s="59">
        <f t="shared" si="624"/>
        <v>54860.215669859601</v>
      </c>
      <c r="FQ94" s="60">
        <f t="shared" si="625"/>
        <v>16164.097950000001</v>
      </c>
      <c r="FR94" s="59">
        <f t="shared" si="626"/>
        <v>53435.275003110008</v>
      </c>
      <c r="FS94" s="55">
        <f t="shared" si="627"/>
        <v>15733.055338</v>
      </c>
      <c r="FT94" s="59">
        <f t="shared" si="628"/>
        <v>52010.3343363604</v>
      </c>
      <c r="FU94" s="60">
        <f t="shared" si="629"/>
        <v>15302.012725999999</v>
      </c>
      <c r="FV94" s="59">
        <f t="shared" si="630"/>
        <v>50585.393669610799</v>
      </c>
      <c r="FW94" s="60">
        <f t="shared" si="631"/>
        <v>14870.970114</v>
      </c>
      <c r="FX94" s="59">
        <f t="shared" si="632"/>
        <v>49160.453002861199</v>
      </c>
      <c r="FY94" s="60">
        <f t="shared" si="633"/>
        <v>14439.927501999999</v>
      </c>
      <c r="FZ94" s="59">
        <f t="shared" si="634"/>
        <v>47735.512336111598</v>
      </c>
      <c r="GA94" s="60">
        <f t="shared" si="635"/>
        <v>14008.884889999998</v>
      </c>
      <c r="GB94" s="59">
        <f t="shared" si="636"/>
        <v>46310.571669361991</v>
      </c>
      <c r="GC94" s="55">
        <f t="shared" si="637"/>
        <v>13577.842277999998</v>
      </c>
      <c r="GD94" s="59">
        <f t="shared" si="638"/>
        <v>44885.631002612397</v>
      </c>
      <c r="GE94" s="60">
        <f t="shared" si="639"/>
        <v>13146.799665999997</v>
      </c>
      <c r="GF94" s="59">
        <f t="shared" si="640"/>
        <v>43460.69033586279</v>
      </c>
      <c r="GG94" s="60">
        <f t="shared" si="641"/>
        <v>12715.757053999996</v>
      </c>
      <c r="GH94" s="59">
        <f t="shared" si="642"/>
        <v>42035.749669113189</v>
      </c>
      <c r="GI94" s="55">
        <f t="shared" si="643"/>
        <v>12284.714441999997</v>
      </c>
      <c r="GJ94" s="59">
        <f t="shared" si="644"/>
        <v>40610.809002363589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49">+GP94-0.02</f>
        <v>0.91</v>
      </c>
      <c r="GR94" s="55">
        <f t="shared" si="649"/>
        <v>0.89</v>
      </c>
      <c r="GS94" s="55">
        <f t="shared" si="649"/>
        <v>0.87</v>
      </c>
      <c r="GT94" s="55">
        <f t="shared" si="649"/>
        <v>0.85</v>
      </c>
      <c r="GU94" s="55">
        <f t="shared" si="649"/>
        <v>0.83</v>
      </c>
      <c r="GV94" s="55">
        <f t="shared" si="649"/>
        <v>0.80999999999999994</v>
      </c>
      <c r="GW94" s="55">
        <f t="shared" si="649"/>
        <v>0.78999999999999992</v>
      </c>
      <c r="GX94" s="55">
        <f t="shared" si="649"/>
        <v>0.76999999999999991</v>
      </c>
      <c r="GY94" s="55">
        <f t="shared" si="649"/>
        <v>0.74999999999999989</v>
      </c>
      <c r="GZ94" s="55">
        <f t="shared" si="649"/>
        <v>0.72999999999999987</v>
      </c>
      <c r="HA94" s="55">
        <f t="shared" si="649"/>
        <v>0.70999999999999985</v>
      </c>
      <c r="HB94" s="55">
        <f t="shared" si="649"/>
        <v>0.68999999999999984</v>
      </c>
      <c r="HC94" s="55">
        <f t="shared" si="649"/>
        <v>0.66999999999999982</v>
      </c>
      <c r="HD94" s="55">
        <f t="shared" si="649"/>
        <v>0.6499999999999998</v>
      </c>
      <c r="HE94" s="55">
        <f t="shared" si="649"/>
        <v>0.62999999999999978</v>
      </c>
      <c r="HF94" s="55">
        <f t="shared" si="649"/>
        <v>0.60999999999999976</v>
      </c>
      <c r="HG94" s="55">
        <f t="shared" si="649"/>
        <v>0.58999999999999975</v>
      </c>
      <c r="HH94" s="55">
        <f t="shared" si="649"/>
        <v>0.56999999999999973</v>
      </c>
    </row>
    <row r="95" spans="1:216" x14ac:dyDescent="0.3">
      <c r="A95" s="2">
        <v>4</v>
      </c>
      <c r="C95" s="38" t="s">
        <v>42</v>
      </c>
      <c r="D95" s="42">
        <f>TRUNC(486.879004900113,-1)</f>
        <v>480</v>
      </c>
      <c r="E95" s="71">
        <f t="shared" si="515"/>
        <v>1580</v>
      </c>
      <c r="H95" s="55">
        <f t="shared" si="505"/>
        <v>1738.0000000000002</v>
      </c>
      <c r="I95" s="55">
        <f t="shared" si="506"/>
        <v>1738.0000000000002</v>
      </c>
      <c r="J95" s="59">
        <f t="shared" si="507"/>
        <v>5745.4804000000013</v>
      </c>
      <c r="K95" s="55">
        <f t="shared" si="516"/>
        <v>1685.8600000000001</v>
      </c>
      <c r="L95" s="59">
        <f t="shared" si="517"/>
        <v>5573.1159880000005</v>
      </c>
      <c r="M95" s="55">
        <f t="shared" si="518"/>
        <v>1651.1000000000001</v>
      </c>
      <c r="N95" s="59">
        <f t="shared" si="519"/>
        <v>5458.2063800000005</v>
      </c>
      <c r="O95" s="55">
        <f t="shared" si="520"/>
        <v>1616.3400000000004</v>
      </c>
      <c r="P95" s="59">
        <f t="shared" si="521"/>
        <v>5343.2967720000015</v>
      </c>
      <c r="Q95" s="57">
        <f t="shared" si="522"/>
        <v>1581.5800000000002</v>
      </c>
      <c r="R95" s="59">
        <f t="shared" si="523"/>
        <v>5228.3871640000007</v>
      </c>
      <c r="S95" s="55">
        <f t="shared" si="524"/>
        <v>1546.8200000000002</v>
      </c>
      <c r="T95" s="59">
        <f t="shared" si="525"/>
        <v>5113.4775560000007</v>
      </c>
      <c r="U95" s="57">
        <f t="shared" si="526"/>
        <v>1512.0600000000002</v>
      </c>
      <c r="V95" s="59">
        <f t="shared" si="527"/>
        <v>4998.5679480000008</v>
      </c>
      <c r="W95" s="60">
        <f t="shared" si="528"/>
        <v>1477.3000000000002</v>
      </c>
      <c r="X95" s="59">
        <f t="shared" si="529"/>
        <v>4883.6583400000009</v>
      </c>
      <c r="Y95" s="57">
        <f t="shared" si="530"/>
        <v>1442.5400000000002</v>
      </c>
      <c r="Z95" s="59">
        <f t="shared" si="531"/>
        <v>4768.7487320000009</v>
      </c>
      <c r="AA95" s="55">
        <f t="shared" si="532"/>
        <v>1407.78</v>
      </c>
      <c r="AB95" s="59">
        <f t="shared" si="533"/>
        <v>4653.8391240000001</v>
      </c>
      <c r="AC95" s="60">
        <f t="shared" si="534"/>
        <v>1373.02</v>
      </c>
      <c r="AD95" s="59">
        <f t="shared" si="535"/>
        <v>4538.9295160000001</v>
      </c>
      <c r="AE95" s="60">
        <f t="shared" si="536"/>
        <v>1338.26</v>
      </c>
      <c r="AF95" s="59">
        <f t="shared" si="537"/>
        <v>4424.0199080000002</v>
      </c>
      <c r="AG95" s="60">
        <f t="shared" si="538"/>
        <v>1303.5</v>
      </c>
      <c r="AH95" s="59">
        <f t="shared" si="539"/>
        <v>4309.1103000000003</v>
      </c>
      <c r="AI95" s="55">
        <f t="shared" si="540"/>
        <v>1268.74</v>
      </c>
      <c r="AJ95" s="59">
        <f t="shared" si="541"/>
        <v>4194.2006920000003</v>
      </c>
      <c r="AK95" s="60">
        <f t="shared" si="542"/>
        <v>1233.98</v>
      </c>
      <c r="AL95" s="59">
        <f t="shared" si="543"/>
        <v>4079.291084</v>
      </c>
      <c r="AM95" s="60">
        <f t="shared" si="544"/>
        <v>1199.2199999999998</v>
      </c>
      <c r="AN95" s="59">
        <f t="shared" si="545"/>
        <v>3964.3814759999996</v>
      </c>
      <c r="AO95" s="60">
        <f t="shared" si="546"/>
        <v>1164.4599999999998</v>
      </c>
      <c r="AP95" s="59">
        <f t="shared" si="547"/>
        <v>3849.4718679999996</v>
      </c>
      <c r="AQ95" s="60">
        <f t="shared" si="548"/>
        <v>1129.6999999999998</v>
      </c>
      <c r="AR95" s="59">
        <f t="shared" si="549"/>
        <v>3734.5622599999997</v>
      </c>
      <c r="AS95" s="55">
        <f t="shared" si="550"/>
        <v>1094.9399999999998</v>
      </c>
      <c r="AT95" s="59">
        <f t="shared" si="551"/>
        <v>3619.6526519999993</v>
      </c>
      <c r="AU95" s="60">
        <f t="shared" si="552"/>
        <v>1060.1799999999998</v>
      </c>
      <c r="AV95" s="59">
        <f t="shared" si="553"/>
        <v>3504.7430439999994</v>
      </c>
      <c r="AW95" s="60">
        <f t="shared" si="554"/>
        <v>1025.4199999999996</v>
      </c>
      <c r="AX95" s="59">
        <f t="shared" si="555"/>
        <v>3389.833435999999</v>
      </c>
      <c r="AY95" s="55">
        <f t="shared" si="556"/>
        <v>990.65999999999963</v>
      </c>
      <c r="AZ95" s="59">
        <f t="shared" si="557"/>
        <v>3274.923827999999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58"/>
        <v>0.91</v>
      </c>
      <c r="BH95" s="55">
        <f t="shared" si="558"/>
        <v>0.89</v>
      </c>
      <c r="BI95" s="55">
        <f t="shared" si="558"/>
        <v>0.87</v>
      </c>
      <c r="BJ95" s="55">
        <f t="shared" si="558"/>
        <v>0.85</v>
      </c>
      <c r="BK95" s="55">
        <f t="shared" si="558"/>
        <v>0.83</v>
      </c>
      <c r="BL95" s="55">
        <f t="shared" si="558"/>
        <v>0.80999999999999994</v>
      </c>
      <c r="BM95" s="55">
        <f t="shared" si="558"/>
        <v>0.78999999999999992</v>
      </c>
      <c r="BN95" s="55">
        <f t="shared" si="558"/>
        <v>0.76999999999999991</v>
      </c>
      <c r="BO95" s="55">
        <f t="shared" si="558"/>
        <v>0.74999999999999989</v>
      </c>
      <c r="BP95" s="55">
        <f t="shared" si="558"/>
        <v>0.72999999999999987</v>
      </c>
      <c r="BQ95" s="55">
        <f t="shared" si="558"/>
        <v>0.70999999999999985</v>
      </c>
      <c r="BR95" s="55">
        <f t="shared" si="558"/>
        <v>0.68999999999999984</v>
      </c>
      <c r="BS95" s="55">
        <f t="shared" si="558"/>
        <v>0.66999999999999982</v>
      </c>
      <c r="BT95" s="55">
        <f t="shared" si="558"/>
        <v>0.6499999999999998</v>
      </c>
      <c r="BU95" s="55">
        <f t="shared" si="558"/>
        <v>0.62999999999999978</v>
      </c>
      <c r="BV95" s="55">
        <f t="shared" si="558"/>
        <v>0.60999999999999976</v>
      </c>
      <c r="BW95" s="55">
        <f t="shared" si="558"/>
        <v>0.58999999999999975</v>
      </c>
      <c r="BX95" s="55">
        <f t="shared" si="558"/>
        <v>0.56999999999999973</v>
      </c>
      <c r="BZ95" s="55">
        <f t="shared" si="508"/>
        <v>1581.5800000000002</v>
      </c>
      <c r="CA95" s="55">
        <f t="shared" si="509"/>
        <v>1581.5800000000002</v>
      </c>
      <c r="CB95" s="59">
        <f t="shared" si="559"/>
        <v>5228.3871640000007</v>
      </c>
      <c r="CC95" s="55">
        <f t="shared" si="560"/>
        <v>1534.1326000000001</v>
      </c>
      <c r="CD95" s="59">
        <f t="shared" si="561"/>
        <v>5071.5355490800002</v>
      </c>
      <c r="CE95" s="55">
        <f t="shared" si="562"/>
        <v>1502.501</v>
      </c>
      <c r="CF95" s="59">
        <f t="shared" si="563"/>
        <v>4966.9678058</v>
      </c>
      <c r="CG95" s="55">
        <f t="shared" si="564"/>
        <v>1470.8694000000003</v>
      </c>
      <c r="CH95" s="59">
        <f t="shared" si="565"/>
        <v>4862.4000625200006</v>
      </c>
      <c r="CI95" s="57">
        <f t="shared" si="566"/>
        <v>1439.2378000000001</v>
      </c>
      <c r="CJ95" s="59">
        <f t="shared" si="567"/>
        <v>4757.8323192400003</v>
      </c>
      <c r="CK95" s="55">
        <f t="shared" si="568"/>
        <v>1407.6062000000002</v>
      </c>
      <c r="CL95" s="59">
        <f t="shared" si="569"/>
        <v>4653.2645759600009</v>
      </c>
      <c r="CM95" s="57">
        <f t="shared" si="570"/>
        <v>1375.9746000000002</v>
      </c>
      <c r="CN95" s="59">
        <f t="shared" si="571"/>
        <v>4548.6968326800006</v>
      </c>
      <c r="CO95" s="60">
        <f t="shared" si="572"/>
        <v>1344.3430000000001</v>
      </c>
      <c r="CP95" s="59">
        <f t="shared" si="573"/>
        <v>4444.1290894000003</v>
      </c>
      <c r="CQ95" s="57">
        <f t="shared" si="574"/>
        <v>1312.7114000000001</v>
      </c>
      <c r="CR95" s="59">
        <f t="shared" si="575"/>
        <v>4339.561346120001</v>
      </c>
      <c r="CS95" s="55">
        <f t="shared" si="576"/>
        <v>1281.0798</v>
      </c>
      <c r="CT95" s="59">
        <f t="shared" si="577"/>
        <v>4234.9936028399998</v>
      </c>
      <c r="CU95" s="60">
        <f t="shared" si="578"/>
        <v>1249.4482</v>
      </c>
      <c r="CV95" s="59">
        <f t="shared" si="579"/>
        <v>4130.4258595600004</v>
      </c>
      <c r="CW95" s="60">
        <f t="shared" si="580"/>
        <v>1217.8165999999999</v>
      </c>
      <c r="CX95" s="59">
        <f t="shared" si="581"/>
        <v>4025.8581162799996</v>
      </c>
      <c r="CY95" s="60">
        <f t="shared" si="582"/>
        <v>1186.1849999999999</v>
      </c>
      <c r="CZ95" s="59">
        <f t="shared" si="583"/>
        <v>3921.2903729999998</v>
      </c>
      <c r="DA95" s="55">
        <f t="shared" si="584"/>
        <v>1154.5534</v>
      </c>
      <c r="DB95" s="59">
        <f t="shared" si="585"/>
        <v>3816.72262972</v>
      </c>
      <c r="DC95" s="60">
        <f t="shared" si="586"/>
        <v>1122.9217999999998</v>
      </c>
      <c r="DD95" s="59">
        <f t="shared" si="587"/>
        <v>3712.1548864399997</v>
      </c>
      <c r="DE95" s="60">
        <f t="shared" si="588"/>
        <v>1091.2901999999999</v>
      </c>
      <c r="DF95" s="59">
        <f t="shared" si="589"/>
        <v>3607.5871431599999</v>
      </c>
      <c r="DG95" s="60">
        <f t="shared" si="590"/>
        <v>1059.6585999999998</v>
      </c>
      <c r="DH95" s="59">
        <f t="shared" si="591"/>
        <v>3503.0193998799991</v>
      </c>
      <c r="DI95" s="60">
        <f t="shared" si="592"/>
        <v>1028.0269999999998</v>
      </c>
      <c r="DJ95" s="59">
        <f t="shared" si="593"/>
        <v>3398.4516565999993</v>
      </c>
      <c r="DK95" s="55">
        <f t="shared" si="594"/>
        <v>996.39539999999977</v>
      </c>
      <c r="DL95" s="59">
        <f t="shared" si="595"/>
        <v>3293.8839133199995</v>
      </c>
      <c r="DM95" s="60">
        <f t="shared" si="596"/>
        <v>964.76379999999972</v>
      </c>
      <c r="DN95" s="59">
        <f t="shared" si="597"/>
        <v>3189.3161700399992</v>
      </c>
      <c r="DO95" s="60">
        <f t="shared" si="598"/>
        <v>933.13219999999967</v>
      </c>
      <c r="DP95" s="59">
        <f t="shared" si="599"/>
        <v>3084.7484267599989</v>
      </c>
      <c r="DQ95" s="55">
        <f t="shared" si="600"/>
        <v>901.50059999999962</v>
      </c>
      <c r="DR95" s="59">
        <f t="shared" si="601"/>
        <v>2980.1806834799986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47"/>
        <v>0.91</v>
      </c>
      <c r="DZ95" s="55">
        <f t="shared" si="647"/>
        <v>0.89</v>
      </c>
      <c r="EA95" s="55">
        <f t="shared" si="647"/>
        <v>0.87</v>
      </c>
      <c r="EB95" s="55">
        <f t="shared" si="647"/>
        <v>0.85</v>
      </c>
      <c r="EC95" s="55">
        <f t="shared" si="647"/>
        <v>0.83</v>
      </c>
      <c r="ED95" s="55">
        <f t="shared" si="647"/>
        <v>0.80999999999999994</v>
      </c>
      <c r="EE95" s="55">
        <f t="shared" si="647"/>
        <v>0.78999999999999992</v>
      </c>
      <c r="EF95" s="55">
        <f t="shared" si="647"/>
        <v>0.76999999999999991</v>
      </c>
      <c r="EG95" s="55">
        <f t="shared" si="647"/>
        <v>0.74999999999999989</v>
      </c>
      <c r="EH95" s="55">
        <f t="shared" si="647"/>
        <v>0.72999999999999987</v>
      </c>
      <c r="EI95" s="55">
        <f t="shared" si="647"/>
        <v>0.70999999999999985</v>
      </c>
      <c r="EJ95" s="55">
        <f t="shared" si="647"/>
        <v>0.68999999999999984</v>
      </c>
      <c r="EK95" s="55">
        <f t="shared" si="647"/>
        <v>0.66999999999999982</v>
      </c>
      <c r="EL95" s="55">
        <f t="shared" si="647"/>
        <v>0.6499999999999998</v>
      </c>
      <c r="EM95" s="55">
        <f t="shared" si="647"/>
        <v>0.62999999999999978</v>
      </c>
      <c r="EN95" s="55">
        <f t="shared" si="647"/>
        <v>0.60999999999999976</v>
      </c>
      <c r="EO95" s="55">
        <f t="shared" si="647"/>
        <v>0.58999999999999975</v>
      </c>
      <c r="EP95" s="55">
        <f t="shared" si="647"/>
        <v>0.56999999999999973</v>
      </c>
      <c r="ER95" s="55">
        <f t="shared" si="648"/>
        <v>1439.2378000000001</v>
      </c>
      <c r="ES95" s="55">
        <f t="shared" si="510"/>
        <v>1439.2378000000001</v>
      </c>
      <c r="ET95" s="59">
        <f t="shared" si="602"/>
        <v>4757.8323192400003</v>
      </c>
      <c r="EU95" s="55">
        <f t="shared" si="603"/>
        <v>1396.0606660000001</v>
      </c>
      <c r="EV95" s="59">
        <f t="shared" si="604"/>
        <v>4615.0973496628003</v>
      </c>
      <c r="EW95" s="55">
        <f t="shared" si="605"/>
        <v>1367.2759100000001</v>
      </c>
      <c r="EX95" s="59">
        <f t="shared" si="606"/>
        <v>4519.940703278</v>
      </c>
      <c r="EY95" s="55">
        <f t="shared" si="607"/>
        <v>1338.4911540000003</v>
      </c>
      <c r="EZ95" s="59">
        <f t="shared" si="608"/>
        <v>4424.7840568932006</v>
      </c>
      <c r="FA95" s="57">
        <f t="shared" si="609"/>
        <v>1309.706398</v>
      </c>
      <c r="FB95" s="59">
        <f t="shared" si="610"/>
        <v>4329.6274105084003</v>
      </c>
      <c r="FC95" s="55">
        <f t="shared" si="611"/>
        <v>1280.921642</v>
      </c>
      <c r="FD95" s="59">
        <f t="shared" si="612"/>
        <v>4234.4707641236</v>
      </c>
      <c r="FE95" s="57">
        <f t="shared" si="613"/>
        <v>1252.136886</v>
      </c>
      <c r="FF95" s="59">
        <f t="shared" si="614"/>
        <v>4139.3141177387997</v>
      </c>
      <c r="FG95" s="60">
        <f t="shared" si="615"/>
        <v>1223.35213</v>
      </c>
      <c r="FH95" s="59">
        <f t="shared" si="616"/>
        <v>4044.1574713539999</v>
      </c>
      <c r="FI95" s="57">
        <f t="shared" si="617"/>
        <v>1194.567374</v>
      </c>
      <c r="FJ95" s="59">
        <f t="shared" si="618"/>
        <v>3949.0008249692</v>
      </c>
      <c r="FK95" s="55">
        <f t="shared" si="619"/>
        <v>1165.782618</v>
      </c>
      <c r="FL95" s="59">
        <f t="shared" si="620"/>
        <v>3853.8441785843997</v>
      </c>
      <c r="FM95" s="60">
        <f t="shared" si="621"/>
        <v>1136.9978619999999</v>
      </c>
      <c r="FN95" s="59">
        <f t="shared" si="622"/>
        <v>3758.6875321995999</v>
      </c>
      <c r="FO95" s="60">
        <f t="shared" si="623"/>
        <v>1108.2131059999999</v>
      </c>
      <c r="FP95" s="59">
        <f t="shared" si="624"/>
        <v>3663.5308858148001</v>
      </c>
      <c r="FQ95" s="60">
        <f t="shared" si="625"/>
        <v>1079.4283499999999</v>
      </c>
      <c r="FR95" s="59">
        <f t="shared" si="626"/>
        <v>3568.3742394299998</v>
      </c>
      <c r="FS95" s="55">
        <f t="shared" si="627"/>
        <v>1050.6435939999999</v>
      </c>
      <c r="FT95" s="59">
        <f t="shared" si="628"/>
        <v>3473.2175930451999</v>
      </c>
      <c r="FU95" s="60">
        <f t="shared" si="629"/>
        <v>1021.8588379999999</v>
      </c>
      <c r="FV95" s="59">
        <f t="shared" si="630"/>
        <v>3378.0609466603996</v>
      </c>
      <c r="FW95" s="60">
        <f t="shared" si="631"/>
        <v>993.07408199999986</v>
      </c>
      <c r="FX95" s="59">
        <f t="shared" si="632"/>
        <v>3282.9043002755998</v>
      </c>
      <c r="FY95" s="60">
        <f t="shared" si="633"/>
        <v>964.28932599999985</v>
      </c>
      <c r="FZ95" s="59">
        <f t="shared" si="634"/>
        <v>3187.7476538907995</v>
      </c>
      <c r="GA95" s="60">
        <f t="shared" si="635"/>
        <v>935.50456999999983</v>
      </c>
      <c r="GB95" s="59">
        <f t="shared" si="636"/>
        <v>3092.5910075059996</v>
      </c>
      <c r="GC95" s="55">
        <f t="shared" si="637"/>
        <v>906.7198139999997</v>
      </c>
      <c r="GD95" s="59">
        <f t="shared" si="638"/>
        <v>2997.4343611211989</v>
      </c>
      <c r="GE95" s="60">
        <f t="shared" si="639"/>
        <v>877.93505799999969</v>
      </c>
      <c r="GF95" s="59">
        <f t="shared" si="640"/>
        <v>2902.277714736399</v>
      </c>
      <c r="GG95" s="60">
        <f t="shared" si="641"/>
        <v>849.15030199999967</v>
      </c>
      <c r="GH95" s="59">
        <f t="shared" si="642"/>
        <v>2807.1210683515988</v>
      </c>
      <c r="GI95" s="55">
        <f t="shared" si="643"/>
        <v>820.36554599999965</v>
      </c>
      <c r="GJ95" s="59">
        <f t="shared" si="644"/>
        <v>2711.9644219667989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49"/>
        <v>0.91</v>
      </c>
      <c r="GR95" s="55">
        <f t="shared" si="649"/>
        <v>0.89</v>
      </c>
      <c r="GS95" s="55">
        <f t="shared" si="649"/>
        <v>0.87</v>
      </c>
      <c r="GT95" s="55">
        <f t="shared" si="649"/>
        <v>0.85</v>
      </c>
      <c r="GU95" s="55">
        <f t="shared" si="649"/>
        <v>0.83</v>
      </c>
      <c r="GV95" s="55">
        <f t="shared" si="649"/>
        <v>0.80999999999999994</v>
      </c>
      <c r="GW95" s="55">
        <f t="shared" si="649"/>
        <v>0.78999999999999992</v>
      </c>
      <c r="GX95" s="55">
        <f t="shared" si="649"/>
        <v>0.76999999999999991</v>
      </c>
      <c r="GY95" s="55">
        <f t="shared" si="649"/>
        <v>0.74999999999999989</v>
      </c>
      <c r="GZ95" s="55">
        <f t="shared" si="649"/>
        <v>0.72999999999999987</v>
      </c>
      <c r="HA95" s="55">
        <f t="shared" si="649"/>
        <v>0.70999999999999985</v>
      </c>
      <c r="HB95" s="55">
        <f t="shared" si="649"/>
        <v>0.68999999999999984</v>
      </c>
      <c r="HC95" s="55">
        <f t="shared" si="649"/>
        <v>0.66999999999999982</v>
      </c>
      <c r="HD95" s="55">
        <f t="shared" si="649"/>
        <v>0.6499999999999998</v>
      </c>
      <c r="HE95" s="55">
        <f t="shared" si="649"/>
        <v>0.62999999999999978</v>
      </c>
      <c r="HF95" s="55">
        <f t="shared" si="649"/>
        <v>0.60999999999999976</v>
      </c>
      <c r="HG95" s="55">
        <f t="shared" si="649"/>
        <v>0.58999999999999975</v>
      </c>
      <c r="HH95" s="55">
        <f t="shared" si="649"/>
        <v>0.56999999999999973</v>
      </c>
    </row>
    <row r="96" spans="1:216" x14ac:dyDescent="0.3">
      <c r="A96" s="2">
        <v>5</v>
      </c>
      <c r="C96" s="38" t="s">
        <v>43</v>
      </c>
      <c r="D96" s="42">
        <f>TRUNC(2868.62627214474,-1)</f>
        <v>2860</v>
      </c>
      <c r="E96" s="71">
        <f t="shared" si="515"/>
        <v>9450</v>
      </c>
      <c r="H96" s="55">
        <f t="shared" si="505"/>
        <v>10395</v>
      </c>
      <c r="I96" s="55">
        <f t="shared" si="506"/>
        <v>10395</v>
      </c>
      <c r="J96" s="59">
        <f t="shared" si="507"/>
        <v>34363.790999999997</v>
      </c>
      <c r="K96" s="55">
        <f t="shared" si="516"/>
        <v>10083.15</v>
      </c>
      <c r="L96" s="59">
        <f t="shared" si="517"/>
        <v>33332.877269999997</v>
      </c>
      <c r="M96" s="55">
        <f t="shared" si="518"/>
        <v>9875.25</v>
      </c>
      <c r="N96" s="59">
        <f t="shared" si="519"/>
        <v>32645.601450000002</v>
      </c>
      <c r="O96" s="55">
        <f t="shared" si="520"/>
        <v>9667.35</v>
      </c>
      <c r="P96" s="59">
        <f t="shared" si="521"/>
        <v>31958.325630000003</v>
      </c>
      <c r="Q96" s="57">
        <f t="shared" si="522"/>
        <v>9459.4500000000007</v>
      </c>
      <c r="R96" s="59">
        <f t="shared" si="523"/>
        <v>31271.049810000004</v>
      </c>
      <c r="S96" s="55">
        <f t="shared" si="524"/>
        <v>9251.5499999999993</v>
      </c>
      <c r="T96" s="59">
        <f t="shared" si="525"/>
        <v>30583.773989999998</v>
      </c>
      <c r="U96" s="57">
        <f t="shared" si="526"/>
        <v>9043.65</v>
      </c>
      <c r="V96" s="59">
        <f t="shared" si="527"/>
        <v>29896.498169999999</v>
      </c>
      <c r="W96" s="60">
        <f t="shared" si="528"/>
        <v>8835.75</v>
      </c>
      <c r="X96" s="59">
        <f t="shared" si="529"/>
        <v>29209.22235</v>
      </c>
      <c r="Y96" s="57">
        <f t="shared" si="530"/>
        <v>8627.85</v>
      </c>
      <c r="Z96" s="59">
        <f t="shared" si="531"/>
        <v>28521.946530000001</v>
      </c>
      <c r="AA96" s="55">
        <f t="shared" si="532"/>
        <v>8419.9499999999989</v>
      </c>
      <c r="AB96" s="59">
        <f t="shared" si="533"/>
        <v>27834.670709999999</v>
      </c>
      <c r="AC96" s="60">
        <f t="shared" si="534"/>
        <v>8212.0499999999993</v>
      </c>
      <c r="AD96" s="59">
        <f t="shared" si="535"/>
        <v>27147.39489</v>
      </c>
      <c r="AE96" s="60">
        <f t="shared" si="536"/>
        <v>8004.1499999999987</v>
      </c>
      <c r="AF96" s="59">
        <f t="shared" si="537"/>
        <v>26460.119069999997</v>
      </c>
      <c r="AG96" s="60">
        <f t="shared" si="538"/>
        <v>7796.2499999999991</v>
      </c>
      <c r="AH96" s="59">
        <f t="shared" si="539"/>
        <v>25772.843249999998</v>
      </c>
      <c r="AI96" s="55">
        <f t="shared" si="540"/>
        <v>7588.3499999999985</v>
      </c>
      <c r="AJ96" s="59">
        <f t="shared" si="541"/>
        <v>25085.567429999996</v>
      </c>
      <c r="AK96" s="60">
        <f t="shared" si="542"/>
        <v>7380.4499999999989</v>
      </c>
      <c r="AL96" s="59">
        <f t="shared" si="543"/>
        <v>24398.291609999997</v>
      </c>
      <c r="AM96" s="60">
        <f t="shared" si="544"/>
        <v>7172.5499999999984</v>
      </c>
      <c r="AN96" s="59">
        <f t="shared" si="545"/>
        <v>23711.015789999994</v>
      </c>
      <c r="AO96" s="60">
        <f t="shared" si="546"/>
        <v>6964.6499999999978</v>
      </c>
      <c r="AP96" s="59">
        <f t="shared" si="547"/>
        <v>23023.739969999995</v>
      </c>
      <c r="AQ96" s="60">
        <f t="shared" si="548"/>
        <v>6756.7499999999982</v>
      </c>
      <c r="AR96" s="59">
        <f t="shared" si="549"/>
        <v>22336.464149999996</v>
      </c>
      <c r="AS96" s="55">
        <f t="shared" si="550"/>
        <v>6548.8499999999976</v>
      </c>
      <c r="AT96" s="59">
        <f t="shared" si="551"/>
        <v>21649.188329999994</v>
      </c>
      <c r="AU96" s="60">
        <f t="shared" si="552"/>
        <v>6340.949999999998</v>
      </c>
      <c r="AV96" s="59">
        <f t="shared" si="553"/>
        <v>20961.912509999995</v>
      </c>
      <c r="AW96" s="60">
        <f t="shared" si="554"/>
        <v>6133.0499999999975</v>
      </c>
      <c r="AX96" s="59">
        <f t="shared" si="555"/>
        <v>20274.636689999992</v>
      </c>
      <c r="AY96" s="55">
        <f t="shared" si="556"/>
        <v>5925.1499999999969</v>
      </c>
      <c r="AZ96" s="59">
        <f t="shared" si="557"/>
        <v>19587.36086999999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58"/>
        <v>0.91</v>
      </c>
      <c r="BH96" s="55">
        <f t="shared" si="558"/>
        <v>0.89</v>
      </c>
      <c r="BI96" s="55">
        <f t="shared" si="558"/>
        <v>0.87</v>
      </c>
      <c r="BJ96" s="55">
        <f t="shared" si="558"/>
        <v>0.85</v>
      </c>
      <c r="BK96" s="55">
        <f t="shared" si="558"/>
        <v>0.83</v>
      </c>
      <c r="BL96" s="55">
        <f t="shared" si="558"/>
        <v>0.80999999999999994</v>
      </c>
      <c r="BM96" s="55">
        <f t="shared" si="558"/>
        <v>0.78999999999999992</v>
      </c>
      <c r="BN96" s="55">
        <f t="shared" si="558"/>
        <v>0.76999999999999991</v>
      </c>
      <c r="BO96" s="55">
        <f t="shared" si="558"/>
        <v>0.74999999999999989</v>
      </c>
      <c r="BP96" s="55">
        <f t="shared" si="558"/>
        <v>0.72999999999999987</v>
      </c>
      <c r="BQ96" s="55">
        <f t="shared" si="558"/>
        <v>0.70999999999999985</v>
      </c>
      <c r="BR96" s="55">
        <f t="shared" si="558"/>
        <v>0.68999999999999984</v>
      </c>
      <c r="BS96" s="55">
        <f t="shared" si="558"/>
        <v>0.66999999999999982</v>
      </c>
      <c r="BT96" s="55">
        <f t="shared" si="558"/>
        <v>0.6499999999999998</v>
      </c>
      <c r="BU96" s="55">
        <f t="shared" si="558"/>
        <v>0.62999999999999978</v>
      </c>
      <c r="BV96" s="55">
        <f t="shared" si="558"/>
        <v>0.60999999999999976</v>
      </c>
      <c r="BW96" s="55">
        <f t="shared" si="558"/>
        <v>0.58999999999999975</v>
      </c>
      <c r="BX96" s="55">
        <f t="shared" si="558"/>
        <v>0.56999999999999973</v>
      </c>
      <c r="BZ96" s="55">
        <f t="shared" si="508"/>
        <v>9459.4500000000007</v>
      </c>
      <c r="CA96" s="55">
        <f t="shared" si="509"/>
        <v>9459.4500000000007</v>
      </c>
      <c r="CB96" s="59">
        <f t="shared" si="559"/>
        <v>31271.049810000004</v>
      </c>
      <c r="CC96" s="55">
        <f t="shared" si="560"/>
        <v>9175.6665000000012</v>
      </c>
      <c r="CD96" s="59">
        <f t="shared" si="561"/>
        <v>30332.918315700004</v>
      </c>
      <c r="CE96" s="55">
        <f t="shared" si="562"/>
        <v>8986.4775000000009</v>
      </c>
      <c r="CF96" s="59">
        <f t="shared" si="563"/>
        <v>29707.497319500002</v>
      </c>
      <c r="CG96" s="55">
        <f t="shared" si="564"/>
        <v>8797.2885000000006</v>
      </c>
      <c r="CH96" s="59">
        <f t="shared" si="565"/>
        <v>29082.076323300003</v>
      </c>
      <c r="CI96" s="57">
        <f t="shared" si="566"/>
        <v>8608.0995000000003</v>
      </c>
      <c r="CJ96" s="59">
        <f t="shared" si="567"/>
        <v>28456.655327100001</v>
      </c>
      <c r="CK96" s="55">
        <f t="shared" si="568"/>
        <v>8418.9105</v>
      </c>
      <c r="CL96" s="59">
        <f t="shared" si="569"/>
        <v>27831.234330899999</v>
      </c>
      <c r="CM96" s="57">
        <f t="shared" si="570"/>
        <v>8229.7215000000015</v>
      </c>
      <c r="CN96" s="59">
        <f t="shared" si="571"/>
        <v>27205.813334700004</v>
      </c>
      <c r="CO96" s="60">
        <f t="shared" si="572"/>
        <v>8040.5325000000003</v>
      </c>
      <c r="CP96" s="59">
        <f t="shared" si="573"/>
        <v>26580.392338500002</v>
      </c>
      <c r="CQ96" s="57">
        <f t="shared" si="574"/>
        <v>7851.3434999999999</v>
      </c>
      <c r="CR96" s="59">
        <f t="shared" si="575"/>
        <v>25954.971342299999</v>
      </c>
      <c r="CS96" s="55">
        <f t="shared" si="576"/>
        <v>7662.1544999999996</v>
      </c>
      <c r="CT96" s="59">
        <f t="shared" si="577"/>
        <v>25329.550346100001</v>
      </c>
      <c r="CU96" s="60">
        <f t="shared" si="578"/>
        <v>7472.9655000000002</v>
      </c>
      <c r="CV96" s="59">
        <f t="shared" si="579"/>
        <v>24704.129349900002</v>
      </c>
      <c r="CW96" s="60">
        <f t="shared" si="580"/>
        <v>7283.7764999999999</v>
      </c>
      <c r="CX96" s="59">
        <f t="shared" si="581"/>
        <v>24078.7083537</v>
      </c>
      <c r="CY96" s="60">
        <f t="shared" si="582"/>
        <v>7094.5874999999996</v>
      </c>
      <c r="CZ96" s="59">
        <f t="shared" si="583"/>
        <v>23453.287357499998</v>
      </c>
      <c r="DA96" s="55">
        <f t="shared" si="584"/>
        <v>6905.3984999999993</v>
      </c>
      <c r="DB96" s="59">
        <f t="shared" si="585"/>
        <v>22827.866361299999</v>
      </c>
      <c r="DC96" s="60">
        <f t="shared" si="586"/>
        <v>6716.209499999999</v>
      </c>
      <c r="DD96" s="59">
        <f t="shared" si="587"/>
        <v>22202.445365099997</v>
      </c>
      <c r="DE96" s="60">
        <f t="shared" si="588"/>
        <v>6527.0204999999987</v>
      </c>
      <c r="DF96" s="59">
        <f t="shared" si="589"/>
        <v>21577.024368899994</v>
      </c>
      <c r="DG96" s="60">
        <f t="shared" si="590"/>
        <v>6337.8314999999984</v>
      </c>
      <c r="DH96" s="59">
        <f t="shared" si="591"/>
        <v>20951.603372699996</v>
      </c>
      <c r="DI96" s="60">
        <f t="shared" si="592"/>
        <v>6148.642499999999</v>
      </c>
      <c r="DJ96" s="59">
        <f t="shared" si="593"/>
        <v>20326.182376499997</v>
      </c>
      <c r="DK96" s="55">
        <f t="shared" si="594"/>
        <v>5959.4534999999987</v>
      </c>
      <c r="DL96" s="59">
        <f t="shared" si="595"/>
        <v>19700.761380299995</v>
      </c>
      <c r="DM96" s="60">
        <f t="shared" si="596"/>
        <v>5770.2644999999984</v>
      </c>
      <c r="DN96" s="59">
        <f t="shared" si="597"/>
        <v>19075.340384099996</v>
      </c>
      <c r="DO96" s="60">
        <f t="shared" si="598"/>
        <v>5581.0754999999981</v>
      </c>
      <c r="DP96" s="59">
        <f t="shared" si="599"/>
        <v>18449.919387899994</v>
      </c>
      <c r="DQ96" s="55">
        <f t="shared" si="600"/>
        <v>5391.8864999999978</v>
      </c>
      <c r="DR96" s="59">
        <f t="shared" si="601"/>
        <v>17824.498391699992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47"/>
        <v>0.91</v>
      </c>
      <c r="DZ96" s="55">
        <f t="shared" si="647"/>
        <v>0.89</v>
      </c>
      <c r="EA96" s="55">
        <f t="shared" si="647"/>
        <v>0.87</v>
      </c>
      <c r="EB96" s="55">
        <f t="shared" si="647"/>
        <v>0.85</v>
      </c>
      <c r="EC96" s="55">
        <f t="shared" si="647"/>
        <v>0.83</v>
      </c>
      <c r="ED96" s="55">
        <f t="shared" si="647"/>
        <v>0.80999999999999994</v>
      </c>
      <c r="EE96" s="55">
        <f t="shared" si="647"/>
        <v>0.78999999999999992</v>
      </c>
      <c r="EF96" s="55">
        <f t="shared" si="647"/>
        <v>0.76999999999999991</v>
      </c>
      <c r="EG96" s="55">
        <f t="shared" si="647"/>
        <v>0.74999999999999989</v>
      </c>
      <c r="EH96" s="55">
        <f t="shared" si="647"/>
        <v>0.72999999999999987</v>
      </c>
      <c r="EI96" s="55">
        <f t="shared" si="647"/>
        <v>0.70999999999999985</v>
      </c>
      <c r="EJ96" s="55">
        <f t="shared" si="647"/>
        <v>0.68999999999999984</v>
      </c>
      <c r="EK96" s="55">
        <f t="shared" si="647"/>
        <v>0.66999999999999982</v>
      </c>
      <c r="EL96" s="55">
        <f t="shared" si="647"/>
        <v>0.6499999999999998</v>
      </c>
      <c r="EM96" s="55">
        <f t="shared" si="647"/>
        <v>0.62999999999999978</v>
      </c>
      <c r="EN96" s="55">
        <f t="shared" si="647"/>
        <v>0.60999999999999976</v>
      </c>
      <c r="EO96" s="55">
        <f t="shared" si="647"/>
        <v>0.58999999999999975</v>
      </c>
      <c r="EP96" s="55">
        <f t="shared" si="647"/>
        <v>0.56999999999999973</v>
      </c>
      <c r="ER96" s="55">
        <f t="shared" si="648"/>
        <v>8608.0995000000003</v>
      </c>
      <c r="ES96" s="55">
        <f t="shared" si="510"/>
        <v>8608.0995000000003</v>
      </c>
      <c r="ET96" s="59">
        <f t="shared" si="602"/>
        <v>28456.655327100001</v>
      </c>
      <c r="EU96" s="55">
        <f t="shared" si="603"/>
        <v>8349.8565149999995</v>
      </c>
      <c r="EV96" s="59">
        <f t="shared" si="604"/>
        <v>27602.955667286999</v>
      </c>
      <c r="EW96" s="55">
        <f t="shared" si="605"/>
        <v>8177.6945249999999</v>
      </c>
      <c r="EX96" s="59">
        <f t="shared" si="606"/>
        <v>27033.822560745</v>
      </c>
      <c r="EY96" s="55">
        <f t="shared" si="607"/>
        <v>8005.5325350000003</v>
      </c>
      <c r="EZ96" s="59">
        <f t="shared" si="608"/>
        <v>26464.689454203002</v>
      </c>
      <c r="FA96" s="57">
        <f t="shared" si="609"/>
        <v>7833.3705450000007</v>
      </c>
      <c r="FB96" s="59">
        <f t="shared" si="610"/>
        <v>25895.556347661004</v>
      </c>
      <c r="FC96" s="55">
        <f t="shared" si="611"/>
        <v>7661.2085550000002</v>
      </c>
      <c r="FD96" s="59">
        <f t="shared" si="612"/>
        <v>25326.423241119002</v>
      </c>
      <c r="FE96" s="57">
        <f t="shared" si="613"/>
        <v>7489.0465650000006</v>
      </c>
      <c r="FF96" s="59">
        <f t="shared" si="614"/>
        <v>24757.290134577001</v>
      </c>
      <c r="FG96" s="60">
        <f t="shared" si="615"/>
        <v>7316.884575</v>
      </c>
      <c r="FH96" s="59">
        <f t="shared" si="616"/>
        <v>24188.157028035002</v>
      </c>
      <c r="FI96" s="57">
        <f t="shared" si="617"/>
        <v>7144.7225849999995</v>
      </c>
      <c r="FJ96" s="59">
        <f t="shared" si="618"/>
        <v>23619.023921493001</v>
      </c>
      <c r="FK96" s="55">
        <f t="shared" si="619"/>
        <v>6972.5605949999999</v>
      </c>
      <c r="FL96" s="59">
        <f t="shared" si="620"/>
        <v>23049.890814950999</v>
      </c>
      <c r="FM96" s="60">
        <f t="shared" si="621"/>
        <v>6800.3986049999994</v>
      </c>
      <c r="FN96" s="59">
        <f t="shared" si="622"/>
        <v>22480.757708408997</v>
      </c>
      <c r="FO96" s="60">
        <f t="shared" si="623"/>
        <v>6628.2366149999998</v>
      </c>
      <c r="FP96" s="59">
        <f t="shared" si="624"/>
        <v>21911.624601866999</v>
      </c>
      <c r="FQ96" s="60">
        <f t="shared" si="625"/>
        <v>6456.0746249999993</v>
      </c>
      <c r="FR96" s="59">
        <f t="shared" si="626"/>
        <v>21342.491495324997</v>
      </c>
      <c r="FS96" s="55">
        <f t="shared" si="627"/>
        <v>6283.9126349999988</v>
      </c>
      <c r="FT96" s="59">
        <f t="shared" si="628"/>
        <v>20773.358388782995</v>
      </c>
      <c r="FU96" s="60">
        <f t="shared" si="629"/>
        <v>6111.7506449999992</v>
      </c>
      <c r="FV96" s="59">
        <f t="shared" si="630"/>
        <v>20204.225282240997</v>
      </c>
      <c r="FW96" s="60">
        <f t="shared" si="631"/>
        <v>5939.5886549999987</v>
      </c>
      <c r="FX96" s="59">
        <f t="shared" si="632"/>
        <v>19635.092175698996</v>
      </c>
      <c r="FY96" s="60">
        <f t="shared" si="633"/>
        <v>5767.426664999999</v>
      </c>
      <c r="FZ96" s="59">
        <f t="shared" si="634"/>
        <v>19065.959069156997</v>
      </c>
      <c r="GA96" s="60">
        <f t="shared" si="635"/>
        <v>5595.2646749999985</v>
      </c>
      <c r="GB96" s="59">
        <f t="shared" si="636"/>
        <v>18496.825962614996</v>
      </c>
      <c r="GC96" s="55">
        <f t="shared" si="637"/>
        <v>5423.102684999998</v>
      </c>
      <c r="GD96" s="59">
        <f t="shared" si="638"/>
        <v>17927.692856072994</v>
      </c>
      <c r="GE96" s="60">
        <f t="shared" si="639"/>
        <v>5250.9406949999984</v>
      </c>
      <c r="GF96" s="59">
        <f t="shared" si="640"/>
        <v>17358.559749530996</v>
      </c>
      <c r="GG96" s="60">
        <f t="shared" si="641"/>
        <v>5078.7787049999979</v>
      </c>
      <c r="GH96" s="59">
        <f t="shared" si="642"/>
        <v>16789.426642988994</v>
      </c>
      <c r="GI96" s="55">
        <f t="shared" si="643"/>
        <v>4906.6167149999974</v>
      </c>
      <c r="GJ96" s="59">
        <f t="shared" si="644"/>
        <v>16220.293536446992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49"/>
        <v>0.91</v>
      </c>
      <c r="GR96" s="55">
        <f t="shared" si="649"/>
        <v>0.89</v>
      </c>
      <c r="GS96" s="55">
        <f t="shared" si="649"/>
        <v>0.87</v>
      </c>
      <c r="GT96" s="55">
        <f t="shared" si="649"/>
        <v>0.85</v>
      </c>
      <c r="GU96" s="55">
        <f t="shared" si="649"/>
        <v>0.83</v>
      </c>
      <c r="GV96" s="55">
        <f t="shared" si="649"/>
        <v>0.80999999999999994</v>
      </c>
      <c r="GW96" s="55">
        <f t="shared" si="649"/>
        <v>0.78999999999999992</v>
      </c>
      <c r="GX96" s="55">
        <f t="shared" si="649"/>
        <v>0.76999999999999991</v>
      </c>
      <c r="GY96" s="55">
        <f t="shared" si="649"/>
        <v>0.74999999999999989</v>
      </c>
      <c r="GZ96" s="55">
        <f t="shared" si="649"/>
        <v>0.72999999999999987</v>
      </c>
      <c r="HA96" s="55">
        <f t="shared" si="649"/>
        <v>0.70999999999999985</v>
      </c>
      <c r="HB96" s="55">
        <f t="shared" si="649"/>
        <v>0.68999999999999984</v>
      </c>
      <c r="HC96" s="55">
        <f t="shared" si="649"/>
        <v>0.66999999999999982</v>
      </c>
      <c r="HD96" s="55">
        <f t="shared" si="649"/>
        <v>0.6499999999999998</v>
      </c>
      <c r="HE96" s="55">
        <f t="shared" si="649"/>
        <v>0.62999999999999978</v>
      </c>
      <c r="HF96" s="55">
        <f t="shared" si="649"/>
        <v>0.60999999999999976</v>
      </c>
      <c r="HG96" s="55">
        <f t="shared" si="649"/>
        <v>0.58999999999999975</v>
      </c>
      <c r="HH96" s="55">
        <f t="shared" si="649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1">
        <f t="shared" si="515"/>
        <v>0</v>
      </c>
      <c r="H97" s="55">
        <f t="shared" si="505"/>
        <v>0</v>
      </c>
      <c r="I97" s="55">
        <f t="shared" si="506"/>
        <v>0</v>
      </c>
      <c r="J97" s="59">
        <f t="shared" si="507"/>
        <v>0</v>
      </c>
      <c r="K97" s="55">
        <f t="shared" si="516"/>
        <v>0</v>
      </c>
      <c r="L97" s="59">
        <f t="shared" si="517"/>
        <v>0</v>
      </c>
      <c r="M97" s="55">
        <f t="shared" si="518"/>
        <v>0</v>
      </c>
      <c r="N97" s="59">
        <f t="shared" si="519"/>
        <v>0</v>
      </c>
      <c r="O97" s="55">
        <f t="shared" si="520"/>
        <v>0</v>
      </c>
      <c r="P97" s="59">
        <f t="shared" si="521"/>
        <v>0</v>
      </c>
      <c r="Q97" s="57">
        <f t="shared" si="522"/>
        <v>0</v>
      </c>
      <c r="R97" s="59">
        <f t="shared" si="523"/>
        <v>0</v>
      </c>
      <c r="S97" s="55">
        <f t="shared" si="524"/>
        <v>0</v>
      </c>
      <c r="T97" s="59">
        <f t="shared" si="525"/>
        <v>0</v>
      </c>
      <c r="U97" s="57">
        <f t="shared" si="526"/>
        <v>0</v>
      </c>
      <c r="V97" s="59">
        <f t="shared" si="527"/>
        <v>0</v>
      </c>
      <c r="W97" s="60">
        <f t="shared" si="528"/>
        <v>0</v>
      </c>
      <c r="X97" s="59">
        <f t="shared" si="529"/>
        <v>0</v>
      </c>
      <c r="Y97" s="57">
        <f t="shared" si="530"/>
        <v>0</v>
      </c>
      <c r="Z97" s="59">
        <f t="shared" si="531"/>
        <v>0</v>
      </c>
      <c r="AA97" s="55">
        <f t="shared" si="532"/>
        <v>0</v>
      </c>
      <c r="AB97" s="59">
        <f t="shared" si="533"/>
        <v>0</v>
      </c>
      <c r="AC97" s="60">
        <f t="shared" si="534"/>
        <v>0</v>
      </c>
      <c r="AD97" s="59">
        <f t="shared" si="535"/>
        <v>0</v>
      </c>
      <c r="AE97" s="60">
        <f t="shared" si="536"/>
        <v>0</v>
      </c>
      <c r="AF97" s="59">
        <f t="shared" si="537"/>
        <v>0</v>
      </c>
      <c r="AG97" s="60">
        <f t="shared" si="538"/>
        <v>0</v>
      </c>
      <c r="AH97" s="59">
        <f t="shared" si="539"/>
        <v>0</v>
      </c>
      <c r="AI97" s="55">
        <f t="shared" si="540"/>
        <v>0</v>
      </c>
      <c r="AJ97" s="59">
        <f t="shared" si="541"/>
        <v>0</v>
      </c>
      <c r="AK97" s="60">
        <f t="shared" si="542"/>
        <v>0</v>
      </c>
      <c r="AL97" s="59">
        <f t="shared" si="543"/>
        <v>0</v>
      </c>
      <c r="AM97" s="60">
        <f t="shared" si="544"/>
        <v>0</v>
      </c>
      <c r="AN97" s="59">
        <f t="shared" si="545"/>
        <v>0</v>
      </c>
      <c r="AO97" s="60">
        <f t="shared" si="546"/>
        <v>0</v>
      </c>
      <c r="AP97" s="59">
        <f t="shared" si="547"/>
        <v>0</v>
      </c>
      <c r="AQ97" s="60">
        <f t="shared" si="548"/>
        <v>0</v>
      </c>
      <c r="AR97" s="59">
        <f t="shared" si="549"/>
        <v>0</v>
      </c>
      <c r="AS97" s="55">
        <f t="shared" si="550"/>
        <v>0</v>
      </c>
      <c r="AT97" s="59">
        <f t="shared" si="551"/>
        <v>0</v>
      </c>
      <c r="AU97" s="60">
        <f t="shared" si="552"/>
        <v>0</v>
      </c>
      <c r="AV97" s="59">
        <f t="shared" si="553"/>
        <v>0</v>
      </c>
      <c r="AW97" s="60">
        <f t="shared" si="554"/>
        <v>0</v>
      </c>
      <c r="AX97" s="59">
        <f t="shared" si="555"/>
        <v>0</v>
      </c>
      <c r="AY97" s="55">
        <f t="shared" si="556"/>
        <v>0</v>
      </c>
      <c r="AZ97" s="59">
        <f t="shared" si="557"/>
        <v>0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58"/>
        <v>0.91</v>
      </c>
      <c r="BH97" s="55">
        <f t="shared" si="558"/>
        <v>0.89</v>
      </c>
      <c r="BI97" s="55">
        <f t="shared" si="558"/>
        <v>0.87</v>
      </c>
      <c r="BJ97" s="55">
        <f t="shared" si="558"/>
        <v>0.85</v>
      </c>
      <c r="BK97" s="55">
        <f t="shared" si="558"/>
        <v>0.83</v>
      </c>
      <c r="BL97" s="55">
        <f t="shared" si="558"/>
        <v>0.80999999999999994</v>
      </c>
      <c r="BM97" s="55">
        <f t="shared" si="558"/>
        <v>0.78999999999999992</v>
      </c>
      <c r="BN97" s="55">
        <f t="shared" si="558"/>
        <v>0.76999999999999991</v>
      </c>
      <c r="BO97" s="55">
        <f t="shared" si="558"/>
        <v>0.74999999999999989</v>
      </c>
      <c r="BP97" s="55">
        <f t="shared" si="558"/>
        <v>0.72999999999999987</v>
      </c>
      <c r="BQ97" s="55">
        <f t="shared" si="558"/>
        <v>0.70999999999999985</v>
      </c>
      <c r="BR97" s="55">
        <f t="shared" si="558"/>
        <v>0.68999999999999984</v>
      </c>
      <c r="BS97" s="55">
        <f t="shared" si="558"/>
        <v>0.66999999999999982</v>
      </c>
      <c r="BT97" s="55">
        <f t="shared" si="558"/>
        <v>0.6499999999999998</v>
      </c>
      <c r="BU97" s="55">
        <f t="shared" si="558"/>
        <v>0.62999999999999978</v>
      </c>
      <c r="BV97" s="55">
        <f t="shared" si="558"/>
        <v>0.60999999999999976</v>
      </c>
      <c r="BW97" s="55">
        <f t="shared" si="558"/>
        <v>0.58999999999999975</v>
      </c>
      <c r="BX97" s="55">
        <f t="shared" si="558"/>
        <v>0.56999999999999973</v>
      </c>
      <c r="BZ97" s="55">
        <f t="shared" si="508"/>
        <v>0</v>
      </c>
      <c r="CA97" s="55">
        <f t="shared" si="509"/>
        <v>0</v>
      </c>
      <c r="CB97" s="59">
        <f t="shared" si="559"/>
        <v>0</v>
      </c>
      <c r="CC97" s="55">
        <f t="shared" si="560"/>
        <v>0</v>
      </c>
      <c r="CD97" s="59">
        <f t="shared" si="561"/>
        <v>0</v>
      </c>
      <c r="CE97" s="55">
        <f t="shared" si="562"/>
        <v>0</v>
      </c>
      <c r="CF97" s="59">
        <f t="shared" si="563"/>
        <v>0</v>
      </c>
      <c r="CG97" s="55">
        <f t="shared" si="564"/>
        <v>0</v>
      </c>
      <c r="CH97" s="59">
        <f t="shared" si="565"/>
        <v>0</v>
      </c>
      <c r="CI97" s="57">
        <f t="shared" si="566"/>
        <v>0</v>
      </c>
      <c r="CJ97" s="59">
        <f t="shared" si="567"/>
        <v>0</v>
      </c>
      <c r="CK97" s="55">
        <f t="shared" si="568"/>
        <v>0</v>
      </c>
      <c r="CL97" s="59">
        <f t="shared" si="569"/>
        <v>0</v>
      </c>
      <c r="CM97" s="57">
        <f t="shared" si="570"/>
        <v>0</v>
      </c>
      <c r="CN97" s="59">
        <f t="shared" si="571"/>
        <v>0</v>
      </c>
      <c r="CO97" s="60">
        <f t="shared" si="572"/>
        <v>0</v>
      </c>
      <c r="CP97" s="59">
        <f t="shared" si="573"/>
        <v>0</v>
      </c>
      <c r="CQ97" s="57">
        <f t="shared" si="574"/>
        <v>0</v>
      </c>
      <c r="CR97" s="59">
        <f t="shared" si="575"/>
        <v>0</v>
      </c>
      <c r="CS97" s="55">
        <f t="shared" si="576"/>
        <v>0</v>
      </c>
      <c r="CT97" s="59">
        <f t="shared" si="577"/>
        <v>0</v>
      </c>
      <c r="CU97" s="60">
        <f t="shared" si="578"/>
        <v>0</v>
      </c>
      <c r="CV97" s="59">
        <f t="shared" si="579"/>
        <v>0</v>
      </c>
      <c r="CW97" s="60">
        <f t="shared" si="580"/>
        <v>0</v>
      </c>
      <c r="CX97" s="59">
        <f t="shared" si="581"/>
        <v>0</v>
      </c>
      <c r="CY97" s="60">
        <f t="shared" si="582"/>
        <v>0</v>
      </c>
      <c r="CZ97" s="59">
        <f t="shared" si="583"/>
        <v>0</v>
      </c>
      <c r="DA97" s="55">
        <f t="shared" si="584"/>
        <v>0</v>
      </c>
      <c r="DB97" s="59">
        <f t="shared" si="585"/>
        <v>0</v>
      </c>
      <c r="DC97" s="60">
        <f t="shared" si="586"/>
        <v>0</v>
      </c>
      <c r="DD97" s="59">
        <f t="shared" si="587"/>
        <v>0</v>
      </c>
      <c r="DE97" s="60">
        <f t="shared" si="588"/>
        <v>0</v>
      </c>
      <c r="DF97" s="59">
        <f t="shared" si="589"/>
        <v>0</v>
      </c>
      <c r="DG97" s="60">
        <f t="shared" si="590"/>
        <v>0</v>
      </c>
      <c r="DH97" s="59">
        <f t="shared" si="591"/>
        <v>0</v>
      </c>
      <c r="DI97" s="60">
        <f t="shared" si="592"/>
        <v>0</v>
      </c>
      <c r="DJ97" s="59">
        <f t="shared" si="593"/>
        <v>0</v>
      </c>
      <c r="DK97" s="55">
        <f t="shared" si="594"/>
        <v>0</v>
      </c>
      <c r="DL97" s="59">
        <f t="shared" si="595"/>
        <v>0</v>
      </c>
      <c r="DM97" s="60">
        <f t="shared" si="596"/>
        <v>0</v>
      </c>
      <c r="DN97" s="59">
        <f t="shared" si="597"/>
        <v>0</v>
      </c>
      <c r="DO97" s="60">
        <f t="shared" si="598"/>
        <v>0</v>
      </c>
      <c r="DP97" s="59">
        <f t="shared" si="599"/>
        <v>0</v>
      </c>
      <c r="DQ97" s="55">
        <f t="shared" si="600"/>
        <v>0</v>
      </c>
      <c r="DR97" s="59">
        <f t="shared" si="601"/>
        <v>0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47"/>
        <v>0.91</v>
      </c>
      <c r="DZ97" s="55">
        <f t="shared" si="647"/>
        <v>0.89</v>
      </c>
      <c r="EA97" s="55">
        <f t="shared" si="647"/>
        <v>0.87</v>
      </c>
      <c r="EB97" s="55">
        <f t="shared" si="647"/>
        <v>0.85</v>
      </c>
      <c r="EC97" s="55">
        <f t="shared" si="647"/>
        <v>0.83</v>
      </c>
      <c r="ED97" s="55">
        <f t="shared" si="647"/>
        <v>0.80999999999999994</v>
      </c>
      <c r="EE97" s="55">
        <f t="shared" si="647"/>
        <v>0.78999999999999992</v>
      </c>
      <c r="EF97" s="55">
        <f t="shared" si="647"/>
        <v>0.76999999999999991</v>
      </c>
      <c r="EG97" s="55">
        <f t="shared" si="647"/>
        <v>0.74999999999999989</v>
      </c>
      <c r="EH97" s="55">
        <f t="shared" si="647"/>
        <v>0.72999999999999987</v>
      </c>
      <c r="EI97" s="55">
        <f t="shared" si="647"/>
        <v>0.70999999999999985</v>
      </c>
      <c r="EJ97" s="55">
        <f t="shared" si="647"/>
        <v>0.68999999999999984</v>
      </c>
      <c r="EK97" s="55">
        <f t="shared" si="647"/>
        <v>0.66999999999999982</v>
      </c>
      <c r="EL97" s="55">
        <f t="shared" si="647"/>
        <v>0.6499999999999998</v>
      </c>
      <c r="EM97" s="55">
        <f t="shared" si="647"/>
        <v>0.62999999999999978</v>
      </c>
      <c r="EN97" s="55">
        <f t="shared" si="647"/>
        <v>0.60999999999999976</v>
      </c>
      <c r="EO97" s="55">
        <f t="shared" si="647"/>
        <v>0.58999999999999975</v>
      </c>
      <c r="EP97" s="55">
        <f t="shared" si="647"/>
        <v>0.56999999999999973</v>
      </c>
      <c r="ER97" s="55">
        <f t="shared" si="648"/>
        <v>0</v>
      </c>
      <c r="ES97" s="55">
        <f t="shared" si="510"/>
        <v>0</v>
      </c>
      <c r="ET97" s="59">
        <f t="shared" si="602"/>
        <v>0</v>
      </c>
      <c r="EU97" s="55">
        <f t="shared" si="603"/>
        <v>0</v>
      </c>
      <c r="EV97" s="59">
        <f t="shared" si="604"/>
        <v>0</v>
      </c>
      <c r="EW97" s="55">
        <f t="shared" si="605"/>
        <v>0</v>
      </c>
      <c r="EX97" s="59">
        <f t="shared" si="606"/>
        <v>0</v>
      </c>
      <c r="EY97" s="55">
        <f t="shared" si="607"/>
        <v>0</v>
      </c>
      <c r="EZ97" s="59">
        <f t="shared" si="608"/>
        <v>0</v>
      </c>
      <c r="FA97" s="57">
        <f t="shared" si="609"/>
        <v>0</v>
      </c>
      <c r="FB97" s="59">
        <f t="shared" si="610"/>
        <v>0</v>
      </c>
      <c r="FC97" s="55">
        <f t="shared" si="611"/>
        <v>0</v>
      </c>
      <c r="FD97" s="59">
        <f t="shared" si="612"/>
        <v>0</v>
      </c>
      <c r="FE97" s="57">
        <f t="shared" si="613"/>
        <v>0</v>
      </c>
      <c r="FF97" s="59">
        <f t="shared" si="614"/>
        <v>0</v>
      </c>
      <c r="FG97" s="60">
        <f t="shared" si="615"/>
        <v>0</v>
      </c>
      <c r="FH97" s="59">
        <f t="shared" si="616"/>
        <v>0</v>
      </c>
      <c r="FI97" s="57">
        <f t="shared" si="617"/>
        <v>0</v>
      </c>
      <c r="FJ97" s="59">
        <f t="shared" si="618"/>
        <v>0</v>
      </c>
      <c r="FK97" s="55">
        <f t="shared" si="619"/>
        <v>0</v>
      </c>
      <c r="FL97" s="59">
        <f t="shared" si="620"/>
        <v>0</v>
      </c>
      <c r="FM97" s="60">
        <f t="shared" si="621"/>
        <v>0</v>
      </c>
      <c r="FN97" s="59">
        <f t="shared" si="622"/>
        <v>0</v>
      </c>
      <c r="FO97" s="60">
        <f t="shared" si="623"/>
        <v>0</v>
      </c>
      <c r="FP97" s="59">
        <f t="shared" si="624"/>
        <v>0</v>
      </c>
      <c r="FQ97" s="60">
        <f t="shared" si="625"/>
        <v>0</v>
      </c>
      <c r="FR97" s="59">
        <f t="shared" si="626"/>
        <v>0</v>
      </c>
      <c r="FS97" s="55">
        <f t="shared" si="627"/>
        <v>0</v>
      </c>
      <c r="FT97" s="59">
        <f t="shared" si="628"/>
        <v>0</v>
      </c>
      <c r="FU97" s="60">
        <f t="shared" si="629"/>
        <v>0</v>
      </c>
      <c r="FV97" s="59">
        <f t="shared" si="630"/>
        <v>0</v>
      </c>
      <c r="FW97" s="60">
        <f t="shared" si="631"/>
        <v>0</v>
      </c>
      <c r="FX97" s="59">
        <f t="shared" si="632"/>
        <v>0</v>
      </c>
      <c r="FY97" s="60">
        <f t="shared" si="633"/>
        <v>0</v>
      </c>
      <c r="FZ97" s="59">
        <f t="shared" si="634"/>
        <v>0</v>
      </c>
      <c r="GA97" s="60">
        <f t="shared" si="635"/>
        <v>0</v>
      </c>
      <c r="GB97" s="59">
        <f t="shared" si="636"/>
        <v>0</v>
      </c>
      <c r="GC97" s="55">
        <f t="shared" si="637"/>
        <v>0</v>
      </c>
      <c r="GD97" s="59">
        <f t="shared" si="638"/>
        <v>0</v>
      </c>
      <c r="GE97" s="60">
        <f t="shared" si="639"/>
        <v>0</v>
      </c>
      <c r="GF97" s="59">
        <f t="shared" si="640"/>
        <v>0</v>
      </c>
      <c r="GG97" s="60">
        <f t="shared" si="641"/>
        <v>0</v>
      </c>
      <c r="GH97" s="59">
        <f t="shared" si="642"/>
        <v>0</v>
      </c>
      <c r="GI97" s="55">
        <f t="shared" si="643"/>
        <v>0</v>
      </c>
      <c r="GJ97" s="59">
        <f t="shared" si="644"/>
        <v>0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49"/>
        <v>0.91</v>
      </c>
      <c r="GR97" s="55">
        <f t="shared" si="649"/>
        <v>0.89</v>
      </c>
      <c r="GS97" s="55">
        <f t="shared" si="649"/>
        <v>0.87</v>
      </c>
      <c r="GT97" s="55">
        <f t="shared" si="649"/>
        <v>0.85</v>
      </c>
      <c r="GU97" s="55">
        <f t="shared" si="649"/>
        <v>0.83</v>
      </c>
      <c r="GV97" s="55">
        <f t="shared" si="649"/>
        <v>0.80999999999999994</v>
      </c>
      <c r="GW97" s="55">
        <f t="shared" si="649"/>
        <v>0.78999999999999992</v>
      </c>
      <c r="GX97" s="55">
        <f t="shared" si="649"/>
        <v>0.76999999999999991</v>
      </c>
      <c r="GY97" s="55">
        <f t="shared" si="649"/>
        <v>0.74999999999999989</v>
      </c>
      <c r="GZ97" s="55">
        <f t="shared" si="649"/>
        <v>0.72999999999999987</v>
      </c>
      <c r="HA97" s="55">
        <f t="shared" si="649"/>
        <v>0.70999999999999985</v>
      </c>
      <c r="HB97" s="55">
        <f t="shared" si="649"/>
        <v>0.68999999999999984</v>
      </c>
      <c r="HC97" s="55">
        <f t="shared" si="649"/>
        <v>0.66999999999999982</v>
      </c>
      <c r="HD97" s="55">
        <f t="shared" si="649"/>
        <v>0.6499999999999998</v>
      </c>
      <c r="HE97" s="55">
        <f t="shared" si="649"/>
        <v>0.62999999999999978</v>
      </c>
      <c r="HF97" s="55">
        <f t="shared" si="649"/>
        <v>0.60999999999999976</v>
      </c>
      <c r="HG97" s="55">
        <f t="shared" si="649"/>
        <v>0.58999999999999975</v>
      </c>
      <c r="HH97" s="55">
        <f t="shared" si="649"/>
        <v>0.56999999999999973</v>
      </c>
    </row>
    <row r="98" spans="1:216" x14ac:dyDescent="0.3">
      <c r="A98" s="2">
        <v>7</v>
      </c>
      <c r="C98" s="38" t="s">
        <v>45</v>
      </c>
      <c r="D98" s="42">
        <f>TRUNC(1044.51507727101+695.617037316246,-1)</f>
        <v>1740</v>
      </c>
      <c r="E98" s="71">
        <f t="shared" si="515"/>
        <v>5750</v>
      </c>
      <c r="F98" s="2" t="s">
        <v>310</v>
      </c>
      <c r="H98" s="55">
        <f t="shared" si="505"/>
        <v>6325.0000000000009</v>
      </c>
      <c r="I98" s="55">
        <f t="shared" si="506"/>
        <v>6325.0000000000009</v>
      </c>
      <c r="J98" s="59">
        <f t="shared" si="507"/>
        <v>20909.185000000005</v>
      </c>
      <c r="K98" s="55">
        <f t="shared" si="516"/>
        <v>6135.2500000000009</v>
      </c>
      <c r="L98" s="59">
        <f t="shared" si="517"/>
        <v>20281.909450000003</v>
      </c>
      <c r="M98" s="55">
        <f t="shared" si="518"/>
        <v>6008.7500000000009</v>
      </c>
      <c r="N98" s="59">
        <f t="shared" si="519"/>
        <v>19863.725750000005</v>
      </c>
      <c r="O98" s="55">
        <f t="shared" si="520"/>
        <v>5882.2500000000009</v>
      </c>
      <c r="P98" s="59">
        <f t="shared" si="521"/>
        <v>19445.542050000004</v>
      </c>
      <c r="Q98" s="57">
        <f t="shared" si="522"/>
        <v>5755.7500000000009</v>
      </c>
      <c r="R98" s="59">
        <f t="shared" si="523"/>
        <v>19027.358350000002</v>
      </c>
      <c r="S98" s="55">
        <f t="shared" si="524"/>
        <v>5629.2500000000009</v>
      </c>
      <c r="T98" s="59">
        <f t="shared" si="525"/>
        <v>18609.174650000004</v>
      </c>
      <c r="U98" s="57">
        <f t="shared" si="526"/>
        <v>5502.7500000000009</v>
      </c>
      <c r="V98" s="59">
        <f t="shared" si="527"/>
        <v>18190.990950000003</v>
      </c>
      <c r="W98" s="60">
        <f t="shared" si="528"/>
        <v>5376.2500000000009</v>
      </c>
      <c r="X98" s="59">
        <f t="shared" si="529"/>
        <v>17772.807250000002</v>
      </c>
      <c r="Y98" s="57">
        <f t="shared" si="530"/>
        <v>5249.7500000000009</v>
      </c>
      <c r="Z98" s="59">
        <f t="shared" si="531"/>
        <v>17354.623550000004</v>
      </c>
      <c r="AA98" s="55">
        <f t="shared" si="532"/>
        <v>5123.25</v>
      </c>
      <c r="AB98" s="59">
        <f t="shared" si="533"/>
        <v>16936.439849999999</v>
      </c>
      <c r="AC98" s="60">
        <f t="shared" si="534"/>
        <v>4996.75</v>
      </c>
      <c r="AD98" s="59">
        <f t="shared" si="535"/>
        <v>16518.256150000001</v>
      </c>
      <c r="AE98" s="60">
        <f t="shared" si="536"/>
        <v>4870.25</v>
      </c>
      <c r="AF98" s="59">
        <f t="shared" si="537"/>
        <v>16100.07245</v>
      </c>
      <c r="AG98" s="60">
        <f t="shared" si="538"/>
        <v>4743.75</v>
      </c>
      <c r="AH98" s="59">
        <f t="shared" si="539"/>
        <v>15681.88875</v>
      </c>
      <c r="AI98" s="55">
        <f t="shared" si="540"/>
        <v>4617.25</v>
      </c>
      <c r="AJ98" s="59">
        <f t="shared" si="541"/>
        <v>15263.70505</v>
      </c>
      <c r="AK98" s="60">
        <f t="shared" si="542"/>
        <v>4490.75</v>
      </c>
      <c r="AL98" s="59">
        <f t="shared" si="543"/>
        <v>14845.521350000001</v>
      </c>
      <c r="AM98" s="60">
        <f t="shared" si="544"/>
        <v>4364.25</v>
      </c>
      <c r="AN98" s="59">
        <f t="shared" si="545"/>
        <v>14427.337649999999</v>
      </c>
      <c r="AO98" s="60">
        <f t="shared" si="546"/>
        <v>4237.7499999999991</v>
      </c>
      <c r="AP98" s="59">
        <f t="shared" si="547"/>
        <v>14009.153949999998</v>
      </c>
      <c r="AQ98" s="60">
        <f t="shared" si="548"/>
        <v>4111.2499999999991</v>
      </c>
      <c r="AR98" s="59">
        <f t="shared" si="549"/>
        <v>13590.970249999997</v>
      </c>
      <c r="AS98" s="55">
        <f t="shared" si="550"/>
        <v>3984.7499999999991</v>
      </c>
      <c r="AT98" s="59">
        <f t="shared" si="551"/>
        <v>13172.786549999997</v>
      </c>
      <c r="AU98" s="60">
        <f t="shared" si="552"/>
        <v>3858.2499999999991</v>
      </c>
      <c r="AV98" s="59">
        <f t="shared" si="553"/>
        <v>12754.602849999997</v>
      </c>
      <c r="AW98" s="60">
        <f t="shared" si="554"/>
        <v>3731.7499999999991</v>
      </c>
      <c r="AX98" s="59">
        <f t="shared" si="555"/>
        <v>12336.419149999998</v>
      </c>
      <c r="AY98" s="55">
        <f t="shared" si="556"/>
        <v>3605.2499999999986</v>
      </c>
      <c r="AZ98" s="59">
        <f t="shared" si="557"/>
        <v>11918.235449999996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58"/>
        <v>0.91</v>
      </c>
      <c r="BH98" s="55">
        <f t="shared" si="558"/>
        <v>0.89</v>
      </c>
      <c r="BI98" s="55">
        <f t="shared" si="558"/>
        <v>0.87</v>
      </c>
      <c r="BJ98" s="55">
        <f t="shared" si="558"/>
        <v>0.85</v>
      </c>
      <c r="BK98" s="55">
        <f t="shared" si="558"/>
        <v>0.83</v>
      </c>
      <c r="BL98" s="55">
        <f t="shared" si="558"/>
        <v>0.80999999999999994</v>
      </c>
      <c r="BM98" s="55">
        <f t="shared" si="558"/>
        <v>0.78999999999999992</v>
      </c>
      <c r="BN98" s="55">
        <f t="shared" si="558"/>
        <v>0.76999999999999991</v>
      </c>
      <c r="BO98" s="55">
        <f t="shared" si="558"/>
        <v>0.74999999999999989</v>
      </c>
      <c r="BP98" s="55">
        <f t="shared" si="558"/>
        <v>0.72999999999999987</v>
      </c>
      <c r="BQ98" s="55">
        <f t="shared" si="558"/>
        <v>0.70999999999999985</v>
      </c>
      <c r="BR98" s="55">
        <f t="shared" si="558"/>
        <v>0.68999999999999984</v>
      </c>
      <c r="BS98" s="55">
        <f t="shared" si="558"/>
        <v>0.66999999999999982</v>
      </c>
      <c r="BT98" s="55">
        <f t="shared" si="558"/>
        <v>0.6499999999999998</v>
      </c>
      <c r="BU98" s="55">
        <f t="shared" si="558"/>
        <v>0.62999999999999978</v>
      </c>
      <c r="BV98" s="55">
        <f t="shared" si="558"/>
        <v>0.60999999999999976</v>
      </c>
      <c r="BW98" s="55">
        <f t="shared" si="558"/>
        <v>0.58999999999999975</v>
      </c>
      <c r="BX98" s="55">
        <f t="shared" si="558"/>
        <v>0.56999999999999973</v>
      </c>
      <c r="BZ98" s="55">
        <f t="shared" si="508"/>
        <v>5755.7500000000009</v>
      </c>
      <c r="CA98" s="55">
        <f t="shared" si="509"/>
        <v>5755.7500000000009</v>
      </c>
      <c r="CB98" s="59">
        <f t="shared" si="559"/>
        <v>19027.358350000002</v>
      </c>
      <c r="CC98" s="55">
        <f t="shared" si="560"/>
        <v>5583.0775000000003</v>
      </c>
      <c r="CD98" s="59">
        <f t="shared" si="561"/>
        <v>18456.537599500003</v>
      </c>
      <c r="CE98" s="55">
        <f t="shared" si="562"/>
        <v>5467.9625000000005</v>
      </c>
      <c r="CF98" s="59">
        <f t="shared" si="563"/>
        <v>18075.990432500002</v>
      </c>
      <c r="CG98" s="55">
        <f t="shared" si="564"/>
        <v>5352.8475000000008</v>
      </c>
      <c r="CH98" s="59">
        <f t="shared" si="565"/>
        <v>17695.443265500002</v>
      </c>
      <c r="CI98" s="57">
        <f t="shared" si="566"/>
        <v>5237.732500000001</v>
      </c>
      <c r="CJ98" s="59">
        <f t="shared" si="567"/>
        <v>17314.896098500005</v>
      </c>
      <c r="CK98" s="55">
        <f t="shared" si="568"/>
        <v>5122.6175000000012</v>
      </c>
      <c r="CL98" s="59">
        <f t="shared" si="569"/>
        <v>16934.348931500004</v>
      </c>
      <c r="CM98" s="57">
        <f t="shared" si="570"/>
        <v>5007.5025000000005</v>
      </c>
      <c r="CN98" s="59">
        <f t="shared" si="571"/>
        <v>16553.801764500004</v>
      </c>
      <c r="CO98" s="60">
        <f t="shared" si="572"/>
        <v>4892.3875000000007</v>
      </c>
      <c r="CP98" s="59">
        <f t="shared" si="573"/>
        <v>16173.254597500003</v>
      </c>
      <c r="CQ98" s="57">
        <f t="shared" si="574"/>
        <v>4777.2725000000009</v>
      </c>
      <c r="CR98" s="59">
        <f t="shared" si="575"/>
        <v>15792.707430500004</v>
      </c>
      <c r="CS98" s="55">
        <f t="shared" si="576"/>
        <v>4662.1575000000003</v>
      </c>
      <c r="CT98" s="59">
        <f t="shared" si="577"/>
        <v>15412.160263500002</v>
      </c>
      <c r="CU98" s="60">
        <f t="shared" si="578"/>
        <v>4547.0425000000005</v>
      </c>
      <c r="CV98" s="59">
        <f t="shared" si="579"/>
        <v>15031.613096500001</v>
      </c>
      <c r="CW98" s="60">
        <f t="shared" si="580"/>
        <v>4431.9274999999998</v>
      </c>
      <c r="CX98" s="59">
        <f t="shared" si="581"/>
        <v>14651.0659295</v>
      </c>
      <c r="CY98" s="60">
        <f t="shared" si="582"/>
        <v>4316.8125</v>
      </c>
      <c r="CZ98" s="59">
        <f t="shared" si="583"/>
        <v>14270.5187625</v>
      </c>
      <c r="DA98" s="55">
        <f t="shared" si="584"/>
        <v>4201.6975000000002</v>
      </c>
      <c r="DB98" s="59">
        <f t="shared" si="585"/>
        <v>13889.971595500001</v>
      </c>
      <c r="DC98" s="60">
        <f t="shared" si="586"/>
        <v>4086.5825</v>
      </c>
      <c r="DD98" s="59">
        <f t="shared" si="587"/>
        <v>13509.4244285</v>
      </c>
      <c r="DE98" s="60">
        <f t="shared" si="588"/>
        <v>3971.4674999999997</v>
      </c>
      <c r="DF98" s="59">
        <f t="shared" si="589"/>
        <v>13128.8772615</v>
      </c>
      <c r="DG98" s="60">
        <f t="shared" si="590"/>
        <v>3856.3524999999995</v>
      </c>
      <c r="DH98" s="59">
        <f t="shared" si="591"/>
        <v>12748.330094499999</v>
      </c>
      <c r="DI98" s="60">
        <f t="shared" si="592"/>
        <v>3741.2374999999993</v>
      </c>
      <c r="DJ98" s="59">
        <f t="shared" si="593"/>
        <v>12367.782927499999</v>
      </c>
      <c r="DK98" s="55">
        <f t="shared" si="594"/>
        <v>3626.1224999999995</v>
      </c>
      <c r="DL98" s="59">
        <f t="shared" si="595"/>
        <v>11987.235760499998</v>
      </c>
      <c r="DM98" s="60">
        <f t="shared" si="596"/>
        <v>3511.0074999999993</v>
      </c>
      <c r="DN98" s="59">
        <f t="shared" si="597"/>
        <v>11606.688593499997</v>
      </c>
      <c r="DO98" s="60">
        <f t="shared" si="598"/>
        <v>3395.892499999999</v>
      </c>
      <c r="DP98" s="59">
        <f t="shared" si="599"/>
        <v>11226.141426499997</v>
      </c>
      <c r="DQ98" s="55">
        <f t="shared" si="600"/>
        <v>3280.7774999999988</v>
      </c>
      <c r="DR98" s="59">
        <f t="shared" si="601"/>
        <v>10845.594259499996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47"/>
        <v>0.91</v>
      </c>
      <c r="DZ98" s="55">
        <f t="shared" si="647"/>
        <v>0.89</v>
      </c>
      <c r="EA98" s="55">
        <f t="shared" si="647"/>
        <v>0.87</v>
      </c>
      <c r="EB98" s="55">
        <f t="shared" si="647"/>
        <v>0.85</v>
      </c>
      <c r="EC98" s="55">
        <f t="shared" si="647"/>
        <v>0.83</v>
      </c>
      <c r="ED98" s="55">
        <f t="shared" si="647"/>
        <v>0.80999999999999994</v>
      </c>
      <c r="EE98" s="55">
        <f t="shared" si="647"/>
        <v>0.78999999999999992</v>
      </c>
      <c r="EF98" s="55">
        <f t="shared" si="647"/>
        <v>0.76999999999999991</v>
      </c>
      <c r="EG98" s="55">
        <f t="shared" si="647"/>
        <v>0.74999999999999989</v>
      </c>
      <c r="EH98" s="55">
        <f t="shared" si="647"/>
        <v>0.72999999999999987</v>
      </c>
      <c r="EI98" s="55">
        <f t="shared" si="647"/>
        <v>0.70999999999999985</v>
      </c>
      <c r="EJ98" s="55">
        <f t="shared" si="647"/>
        <v>0.68999999999999984</v>
      </c>
      <c r="EK98" s="55">
        <f t="shared" si="647"/>
        <v>0.66999999999999982</v>
      </c>
      <c r="EL98" s="55">
        <f t="shared" si="647"/>
        <v>0.6499999999999998</v>
      </c>
      <c r="EM98" s="55">
        <f t="shared" si="647"/>
        <v>0.62999999999999978</v>
      </c>
      <c r="EN98" s="55">
        <f t="shared" si="647"/>
        <v>0.60999999999999976</v>
      </c>
      <c r="EO98" s="55">
        <f t="shared" si="647"/>
        <v>0.58999999999999975</v>
      </c>
      <c r="EP98" s="55">
        <f t="shared" si="647"/>
        <v>0.56999999999999973</v>
      </c>
      <c r="ER98" s="55">
        <f t="shared" si="648"/>
        <v>5237.732500000001</v>
      </c>
      <c r="ES98" s="55">
        <f t="shared" si="510"/>
        <v>5237.732500000001</v>
      </c>
      <c r="ET98" s="59">
        <f t="shared" si="602"/>
        <v>17314.896098500005</v>
      </c>
      <c r="EU98" s="55">
        <f t="shared" si="603"/>
        <v>5080.6005250000007</v>
      </c>
      <c r="EV98" s="59">
        <f t="shared" si="604"/>
        <v>16795.449215545003</v>
      </c>
      <c r="EW98" s="55">
        <f t="shared" si="605"/>
        <v>4975.8458750000009</v>
      </c>
      <c r="EX98" s="59">
        <f t="shared" si="606"/>
        <v>16449.151293575003</v>
      </c>
      <c r="EY98" s="55">
        <f t="shared" si="607"/>
        <v>4871.091225000001</v>
      </c>
      <c r="EZ98" s="59">
        <f t="shared" si="608"/>
        <v>16102.853371605004</v>
      </c>
      <c r="FA98" s="57">
        <f t="shared" si="609"/>
        <v>4766.3365750000012</v>
      </c>
      <c r="FB98" s="59">
        <f t="shared" si="610"/>
        <v>15756.555449635005</v>
      </c>
      <c r="FC98" s="55">
        <f t="shared" si="611"/>
        <v>4661.5819250000013</v>
      </c>
      <c r="FD98" s="59">
        <f t="shared" si="612"/>
        <v>15410.257527665004</v>
      </c>
      <c r="FE98" s="57">
        <f t="shared" si="613"/>
        <v>4556.8272750000006</v>
      </c>
      <c r="FF98" s="59">
        <f t="shared" si="614"/>
        <v>15063.959605695001</v>
      </c>
      <c r="FG98" s="60">
        <f t="shared" si="615"/>
        <v>4452.0726250000007</v>
      </c>
      <c r="FH98" s="59">
        <f t="shared" si="616"/>
        <v>14717.661683725002</v>
      </c>
      <c r="FI98" s="57">
        <f t="shared" si="617"/>
        <v>4347.3179750000008</v>
      </c>
      <c r="FJ98" s="59">
        <f t="shared" si="618"/>
        <v>14371.363761755003</v>
      </c>
      <c r="FK98" s="55">
        <f t="shared" si="619"/>
        <v>4242.5633250000001</v>
      </c>
      <c r="FL98" s="59">
        <f t="shared" si="620"/>
        <v>14025.065839785</v>
      </c>
      <c r="FM98" s="60">
        <f t="shared" si="621"/>
        <v>4137.8086750000002</v>
      </c>
      <c r="FN98" s="59">
        <f t="shared" si="622"/>
        <v>13678.767917815001</v>
      </c>
      <c r="FO98" s="60">
        <f t="shared" si="623"/>
        <v>4033.0540250000004</v>
      </c>
      <c r="FP98" s="59">
        <f t="shared" si="624"/>
        <v>13332.469995845002</v>
      </c>
      <c r="FQ98" s="60">
        <f t="shared" si="625"/>
        <v>3928.2993750000001</v>
      </c>
      <c r="FR98" s="59">
        <f t="shared" si="626"/>
        <v>12986.172073875001</v>
      </c>
      <c r="FS98" s="55">
        <f t="shared" si="627"/>
        <v>3823.5447250000002</v>
      </c>
      <c r="FT98" s="59">
        <f t="shared" si="628"/>
        <v>12639.874151905002</v>
      </c>
      <c r="FU98" s="60">
        <f t="shared" si="629"/>
        <v>3718.7900749999999</v>
      </c>
      <c r="FV98" s="59">
        <f t="shared" si="630"/>
        <v>12293.576229934999</v>
      </c>
      <c r="FW98" s="60">
        <f t="shared" si="631"/>
        <v>3614.035425</v>
      </c>
      <c r="FX98" s="59">
        <f t="shared" si="632"/>
        <v>11947.278307965</v>
      </c>
      <c r="FY98" s="60">
        <f t="shared" si="633"/>
        <v>3509.2807749999997</v>
      </c>
      <c r="FZ98" s="59">
        <f t="shared" si="634"/>
        <v>11600.980385994999</v>
      </c>
      <c r="GA98" s="60">
        <f t="shared" si="635"/>
        <v>3404.5261249999994</v>
      </c>
      <c r="GB98" s="59">
        <f t="shared" si="636"/>
        <v>11254.682464024998</v>
      </c>
      <c r="GC98" s="55">
        <f t="shared" si="637"/>
        <v>3299.7714749999996</v>
      </c>
      <c r="GD98" s="59">
        <f t="shared" si="638"/>
        <v>10908.384542054999</v>
      </c>
      <c r="GE98" s="60">
        <f t="shared" si="639"/>
        <v>3195.0168249999992</v>
      </c>
      <c r="GF98" s="59">
        <f t="shared" si="640"/>
        <v>10562.086620084998</v>
      </c>
      <c r="GG98" s="60">
        <f t="shared" si="641"/>
        <v>3090.2621749999994</v>
      </c>
      <c r="GH98" s="59">
        <f t="shared" si="642"/>
        <v>10215.788698114999</v>
      </c>
      <c r="GI98" s="55">
        <f t="shared" si="643"/>
        <v>2985.5075249999991</v>
      </c>
      <c r="GJ98" s="59">
        <f t="shared" si="644"/>
        <v>9869.4907761449977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49"/>
        <v>0.91</v>
      </c>
      <c r="GR98" s="55">
        <f t="shared" si="649"/>
        <v>0.89</v>
      </c>
      <c r="GS98" s="55">
        <f t="shared" si="649"/>
        <v>0.87</v>
      </c>
      <c r="GT98" s="55">
        <f t="shared" si="649"/>
        <v>0.85</v>
      </c>
      <c r="GU98" s="55">
        <f t="shared" si="649"/>
        <v>0.83</v>
      </c>
      <c r="GV98" s="55">
        <f t="shared" si="649"/>
        <v>0.80999999999999994</v>
      </c>
      <c r="GW98" s="55">
        <f t="shared" si="649"/>
        <v>0.78999999999999992</v>
      </c>
      <c r="GX98" s="55">
        <f t="shared" si="649"/>
        <v>0.76999999999999991</v>
      </c>
      <c r="GY98" s="55">
        <f t="shared" si="649"/>
        <v>0.74999999999999989</v>
      </c>
      <c r="GZ98" s="55">
        <f t="shared" si="649"/>
        <v>0.72999999999999987</v>
      </c>
      <c r="HA98" s="55">
        <f t="shared" si="649"/>
        <v>0.70999999999999985</v>
      </c>
      <c r="HB98" s="55">
        <f t="shared" si="649"/>
        <v>0.68999999999999984</v>
      </c>
      <c r="HC98" s="55">
        <f t="shared" si="649"/>
        <v>0.66999999999999982</v>
      </c>
      <c r="HD98" s="55">
        <f t="shared" si="649"/>
        <v>0.6499999999999998</v>
      </c>
      <c r="HE98" s="55">
        <f t="shared" si="649"/>
        <v>0.62999999999999978</v>
      </c>
      <c r="HF98" s="55">
        <f t="shared" si="649"/>
        <v>0.60999999999999976</v>
      </c>
      <c r="HG98" s="55">
        <f t="shared" si="649"/>
        <v>0.58999999999999975</v>
      </c>
      <c r="HH98" s="55">
        <f t="shared" si="649"/>
        <v>0.56999999999999973</v>
      </c>
    </row>
    <row r="99" spans="1:216" x14ac:dyDescent="0.3">
      <c r="A99" s="2">
        <v>8</v>
      </c>
      <c r="C99" s="38" t="s">
        <v>46</v>
      </c>
      <c r="D99" s="42">
        <v>0</v>
      </c>
      <c r="E99" s="71">
        <f t="shared" si="515"/>
        <v>0</v>
      </c>
      <c r="H99" s="55">
        <f t="shared" si="505"/>
        <v>0</v>
      </c>
      <c r="I99" s="55">
        <f t="shared" si="506"/>
        <v>0</v>
      </c>
      <c r="J99" s="59">
        <f t="shared" si="507"/>
        <v>0</v>
      </c>
      <c r="K99" s="55">
        <f t="shared" si="516"/>
        <v>0</v>
      </c>
      <c r="L99" s="59">
        <f t="shared" si="517"/>
        <v>0</v>
      </c>
      <c r="M99" s="55">
        <f t="shared" si="518"/>
        <v>0</v>
      </c>
      <c r="N99" s="59">
        <f t="shared" si="519"/>
        <v>0</v>
      </c>
      <c r="O99" s="55">
        <f t="shared" si="520"/>
        <v>0</v>
      </c>
      <c r="P99" s="59">
        <f t="shared" si="521"/>
        <v>0</v>
      </c>
      <c r="Q99" s="57">
        <f t="shared" si="522"/>
        <v>0</v>
      </c>
      <c r="R99" s="59">
        <f t="shared" si="523"/>
        <v>0</v>
      </c>
      <c r="S99" s="55">
        <f t="shared" si="524"/>
        <v>0</v>
      </c>
      <c r="T99" s="59">
        <f t="shared" si="525"/>
        <v>0</v>
      </c>
      <c r="U99" s="57">
        <f t="shared" si="526"/>
        <v>0</v>
      </c>
      <c r="V99" s="59">
        <f t="shared" si="527"/>
        <v>0</v>
      </c>
      <c r="W99" s="60">
        <f t="shared" si="528"/>
        <v>0</v>
      </c>
      <c r="X99" s="59">
        <f t="shared" si="529"/>
        <v>0</v>
      </c>
      <c r="Y99" s="57">
        <f t="shared" si="530"/>
        <v>0</v>
      </c>
      <c r="Z99" s="59">
        <f t="shared" si="531"/>
        <v>0</v>
      </c>
      <c r="AA99" s="55">
        <f t="shared" si="532"/>
        <v>0</v>
      </c>
      <c r="AB99" s="59">
        <f t="shared" si="533"/>
        <v>0</v>
      </c>
      <c r="AC99" s="60">
        <f t="shared" si="534"/>
        <v>0</v>
      </c>
      <c r="AD99" s="59">
        <f t="shared" si="535"/>
        <v>0</v>
      </c>
      <c r="AE99" s="60">
        <f t="shared" si="536"/>
        <v>0</v>
      </c>
      <c r="AF99" s="59">
        <f t="shared" si="537"/>
        <v>0</v>
      </c>
      <c r="AG99" s="60">
        <f t="shared" si="538"/>
        <v>0</v>
      </c>
      <c r="AH99" s="59">
        <f t="shared" si="539"/>
        <v>0</v>
      </c>
      <c r="AI99" s="55">
        <f t="shared" si="540"/>
        <v>0</v>
      </c>
      <c r="AJ99" s="59">
        <f t="shared" si="541"/>
        <v>0</v>
      </c>
      <c r="AK99" s="60">
        <f t="shared" si="542"/>
        <v>0</v>
      </c>
      <c r="AL99" s="59">
        <f t="shared" si="543"/>
        <v>0</v>
      </c>
      <c r="AM99" s="60">
        <f t="shared" si="544"/>
        <v>0</v>
      </c>
      <c r="AN99" s="59">
        <f t="shared" si="545"/>
        <v>0</v>
      </c>
      <c r="AO99" s="60">
        <f t="shared" si="546"/>
        <v>0</v>
      </c>
      <c r="AP99" s="59">
        <f t="shared" si="547"/>
        <v>0</v>
      </c>
      <c r="AQ99" s="60">
        <f t="shared" si="548"/>
        <v>0</v>
      </c>
      <c r="AR99" s="59">
        <f t="shared" si="549"/>
        <v>0</v>
      </c>
      <c r="AS99" s="55">
        <f t="shared" si="550"/>
        <v>0</v>
      </c>
      <c r="AT99" s="59">
        <f t="shared" si="551"/>
        <v>0</v>
      </c>
      <c r="AU99" s="60">
        <f t="shared" si="552"/>
        <v>0</v>
      </c>
      <c r="AV99" s="59">
        <f t="shared" si="553"/>
        <v>0</v>
      </c>
      <c r="AW99" s="60">
        <f t="shared" si="554"/>
        <v>0</v>
      </c>
      <c r="AX99" s="59">
        <f t="shared" si="555"/>
        <v>0</v>
      </c>
      <c r="AY99" s="55">
        <f t="shared" si="556"/>
        <v>0</v>
      </c>
      <c r="AZ99" s="59">
        <f t="shared" si="557"/>
        <v>0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58"/>
        <v>0.91</v>
      </c>
      <c r="BH99" s="55">
        <f t="shared" si="558"/>
        <v>0.89</v>
      </c>
      <c r="BI99" s="55">
        <f t="shared" si="558"/>
        <v>0.87</v>
      </c>
      <c r="BJ99" s="55">
        <f t="shared" si="558"/>
        <v>0.85</v>
      </c>
      <c r="BK99" s="55">
        <f t="shared" si="558"/>
        <v>0.83</v>
      </c>
      <c r="BL99" s="55">
        <f t="shared" si="558"/>
        <v>0.80999999999999994</v>
      </c>
      <c r="BM99" s="55">
        <f t="shared" si="558"/>
        <v>0.78999999999999992</v>
      </c>
      <c r="BN99" s="55">
        <f t="shared" si="558"/>
        <v>0.76999999999999991</v>
      </c>
      <c r="BO99" s="55">
        <f t="shared" si="558"/>
        <v>0.74999999999999989</v>
      </c>
      <c r="BP99" s="55">
        <f t="shared" si="558"/>
        <v>0.72999999999999987</v>
      </c>
      <c r="BQ99" s="55">
        <f t="shared" si="558"/>
        <v>0.70999999999999985</v>
      </c>
      <c r="BR99" s="55">
        <f t="shared" si="558"/>
        <v>0.68999999999999984</v>
      </c>
      <c r="BS99" s="55">
        <f t="shared" si="558"/>
        <v>0.66999999999999982</v>
      </c>
      <c r="BT99" s="55">
        <f t="shared" si="558"/>
        <v>0.6499999999999998</v>
      </c>
      <c r="BU99" s="55">
        <f t="shared" si="558"/>
        <v>0.62999999999999978</v>
      </c>
      <c r="BV99" s="55">
        <f t="shared" si="558"/>
        <v>0.60999999999999976</v>
      </c>
      <c r="BW99" s="55">
        <f t="shared" si="558"/>
        <v>0.58999999999999975</v>
      </c>
      <c r="BX99" s="55">
        <f t="shared" si="558"/>
        <v>0.56999999999999973</v>
      </c>
      <c r="BZ99" s="55">
        <f t="shared" si="508"/>
        <v>0</v>
      </c>
      <c r="CA99" s="55">
        <f t="shared" si="509"/>
        <v>0</v>
      </c>
      <c r="CB99" s="59">
        <f t="shared" si="559"/>
        <v>0</v>
      </c>
      <c r="CC99" s="55">
        <f t="shared" si="560"/>
        <v>0</v>
      </c>
      <c r="CD99" s="59">
        <f t="shared" si="561"/>
        <v>0</v>
      </c>
      <c r="CE99" s="55">
        <f t="shared" si="562"/>
        <v>0</v>
      </c>
      <c r="CF99" s="59">
        <f t="shared" si="563"/>
        <v>0</v>
      </c>
      <c r="CG99" s="55">
        <f t="shared" si="564"/>
        <v>0</v>
      </c>
      <c r="CH99" s="59">
        <f t="shared" si="565"/>
        <v>0</v>
      </c>
      <c r="CI99" s="57">
        <f t="shared" si="566"/>
        <v>0</v>
      </c>
      <c r="CJ99" s="59">
        <f t="shared" si="567"/>
        <v>0</v>
      </c>
      <c r="CK99" s="55">
        <f t="shared" si="568"/>
        <v>0</v>
      </c>
      <c r="CL99" s="59">
        <f t="shared" si="569"/>
        <v>0</v>
      </c>
      <c r="CM99" s="57">
        <f t="shared" si="570"/>
        <v>0</v>
      </c>
      <c r="CN99" s="59">
        <f t="shared" si="571"/>
        <v>0</v>
      </c>
      <c r="CO99" s="60">
        <f t="shared" si="572"/>
        <v>0</v>
      </c>
      <c r="CP99" s="59">
        <f t="shared" si="573"/>
        <v>0</v>
      </c>
      <c r="CQ99" s="57">
        <f t="shared" si="574"/>
        <v>0</v>
      </c>
      <c r="CR99" s="59">
        <f t="shared" si="575"/>
        <v>0</v>
      </c>
      <c r="CS99" s="55">
        <f t="shared" si="576"/>
        <v>0</v>
      </c>
      <c r="CT99" s="59">
        <f t="shared" si="577"/>
        <v>0</v>
      </c>
      <c r="CU99" s="60">
        <f t="shared" si="578"/>
        <v>0</v>
      </c>
      <c r="CV99" s="59">
        <f t="shared" si="579"/>
        <v>0</v>
      </c>
      <c r="CW99" s="60">
        <f t="shared" si="580"/>
        <v>0</v>
      </c>
      <c r="CX99" s="59">
        <f t="shared" si="581"/>
        <v>0</v>
      </c>
      <c r="CY99" s="60">
        <f t="shared" si="582"/>
        <v>0</v>
      </c>
      <c r="CZ99" s="59">
        <f t="shared" si="583"/>
        <v>0</v>
      </c>
      <c r="DA99" s="55">
        <f t="shared" si="584"/>
        <v>0</v>
      </c>
      <c r="DB99" s="59">
        <f t="shared" si="585"/>
        <v>0</v>
      </c>
      <c r="DC99" s="60">
        <f t="shared" si="586"/>
        <v>0</v>
      </c>
      <c r="DD99" s="59">
        <f t="shared" si="587"/>
        <v>0</v>
      </c>
      <c r="DE99" s="60">
        <f t="shared" si="588"/>
        <v>0</v>
      </c>
      <c r="DF99" s="59">
        <f t="shared" si="589"/>
        <v>0</v>
      </c>
      <c r="DG99" s="60">
        <f t="shared" si="590"/>
        <v>0</v>
      </c>
      <c r="DH99" s="59">
        <f t="shared" si="591"/>
        <v>0</v>
      </c>
      <c r="DI99" s="60">
        <f t="shared" si="592"/>
        <v>0</v>
      </c>
      <c r="DJ99" s="59">
        <f t="shared" si="593"/>
        <v>0</v>
      </c>
      <c r="DK99" s="55">
        <f t="shared" si="594"/>
        <v>0</v>
      </c>
      <c r="DL99" s="59">
        <f t="shared" si="595"/>
        <v>0</v>
      </c>
      <c r="DM99" s="60">
        <f t="shared" si="596"/>
        <v>0</v>
      </c>
      <c r="DN99" s="59">
        <f t="shared" si="597"/>
        <v>0</v>
      </c>
      <c r="DO99" s="60">
        <f t="shared" si="598"/>
        <v>0</v>
      </c>
      <c r="DP99" s="59">
        <f t="shared" si="599"/>
        <v>0</v>
      </c>
      <c r="DQ99" s="55">
        <f t="shared" si="600"/>
        <v>0</v>
      </c>
      <c r="DR99" s="59">
        <f t="shared" si="601"/>
        <v>0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47"/>
        <v>0.91</v>
      </c>
      <c r="DZ99" s="55">
        <f t="shared" si="647"/>
        <v>0.89</v>
      </c>
      <c r="EA99" s="55">
        <f t="shared" si="647"/>
        <v>0.87</v>
      </c>
      <c r="EB99" s="55">
        <f t="shared" si="647"/>
        <v>0.85</v>
      </c>
      <c r="EC99" s="55">
        <f t="shared" si="647"/>
        <v>0.83</v>
      </c>
      <c r="ED99" s="55">
        <f t="shared" si="647"/>
        <v>0.80999999999999994</v>
      </c>
      <c r="EE99" s="55">
        <f t="shared" si="647"/>
        <v>0.78999999999999992</v>
      </c>
      <c r="EF99" s="55">
        <f t="shared" si="647"/>
        <v>0.76999999999999991</v>
      </c>
      <c r="EG99" s="55">
        <f t="shared" si="647"/>
        <v>0.74999999999999989</v>
      </c>
      <c r="EH99" s="55">
        <f t="shared" si="647"/>
        <v>0.72999999999999987</v>
      </c>
      <c r="EI99" s="55">
        <f t="shared" si="647"/>
        <v>0.70999999999999985</v>
      </c>
      <c r="EJ99" s="55">
        <f t="shared" si="647"/>
        <v>0.68999999999999984</v>
      </c>
      <c r="EK99" s="55">
        <f t="shared" si="647"/>
        <v>0.66999999999999982</v>
      </c>
      <c r="EL99" s="55">
        <f t="shared" si="647"/>
        <v>0.6499999999999998</v>
      </c>
      <c r="EM99" s="55">
        <f t="shared" si="647"/>
        <v>0.62999999999999978</v>
      </c>
      <c r="EN99" s="55">
        <f t="shared" si="647"/>
        <v>0.60999999999999976</v>
      </c>
      <c r="EO99" s="55">
        <f t="shared" si="647"/>
        <v>0.58999999999999975</v>
      </c>
      <c r="EP99" s="55">
        <f t="shared" si="647"/>
        <v>0.56999999999999973</v>
      </c>
      <c r="ER99" s="55">
        <f t="shared" si="648"/>
        <v>0</v>
      </c>
      <c r="ES99" s="55">
        <f t="shared" si="510"/>
        <v>0</v>
      </c>
      <c r="ET99" s="59">
        <f t="shared" si="602"/>
        <v>0</v>
      </c>
      <c r="EU99" s="55">
        <f t="shared" si="603"/>
        <v>0</v>
      </c>
      <c r="EV99" s="59">
        <f t="shared" si="604"/>
        <v>0</v>
      </c>
      <c r="EW99" s="55">
        <f t="shared" si="605"/>
        <v>0</v>
      </c>
      <c r="EX99" s="59">
        <f t="shared" si="606"/>
        <v>0</v>
      </c>
      <c r="EY99" s="55">
        <f t="shared" si="607"/>
        <v>0</v>
      </c>
      <c r="EZ99" s="59">
        <f t="shared" si="608"/>
        <v>0</v>
      </c>
      <c r="FA99" s="57">
        <f t="shared" si="609"/>
        <v>0</v>
      </c>
      <c r="FB99" s="59">
        <f t="shared" si="610"/>
        <v>0</v>
      </c>
      <c r="FC99" s="55">
        <f t="shared" si="611"/>
        <v>0</v>
      </c>
      <c r="FD99" s="59">
        <f t="shared" si="612"/>
        <v>0</v>
      </c>
      <c r="FE99" s="57">
        <f t="shared" si="613"/>
        <v>0</v>
      </c>
      <c r="FF99" s="59">
        <f t="shared" si="614"/>
        <v>0</v>
      </c>
      <c r="FG99" s="60">
        <f t="shared" si="615"/>
        <v>0</v>
      </c>
      <c r="FH99" s="59">
        <f t="shared" si="616"/>
        <v>0</v>
      </c>
      <c r="FI99" s="57">
        <f t="shared" si="617"/>
        <v>0</v>
      </c>
      <c r="FJ99" s="59">
        <f t="shared" si="618"/>
        <v>0</v>
      </c>
      <c r="FK99" s="55">
        <f t="shared" si="619"/>
        <v>0</v>
      </c>
      <c r="FL99" s="59">
        <f t="shared" si="620"/>
        <v>0</v>
      </c>
      <c r="FM99" s="60">
        <f t="shared" si="621"/>
        <v>0</v>
      </c>
      <c r="FN99" s="59">
        <f t="shared" si="622"/>
        <v>0</v>
      </c>
      <c r="FO99" s="60">
        <f t="shared" si="623"/>
        <v>0</v>
      </c>
      <c r="FP99" s="59">
        <f t="shared" si="624"/>
        <v>0</v>
      </c>
      <c r="FQ99" s="60">
        <f t="shared" si="625"/>
        <v>0</v>
      </c>
      <c r="FR99" s="59">
        <f t="shared" si="626"/>
        <v>0</v>
      </c>
      <c r="FS99" s="55">
        <f t="shared" si="627"/>
        <v>0</v>
      </c>
      <c r="FT99" s="59">
        <f t="shared" si="628"/>
        <v>0</v>
      </c>
      <c r="FU99" s="60">
        <f t="shared" si="629"/>
        <v>0</v>
      </c>
      <c r="FV99" s="59">
        <f t="shared" si="630"/>
        <v>0</v>
      </c>
      <c r="FW99" s="60">
        <f t="shared" si="631"/>
        <v>0</v>
      </c>
      <c r="FX99" s="59">
        <f t="shared" si="632"/>
        <v>0</v>
      </c>
      <c r="FY99" s="60">
        <f t="shared" si="633"/>
        <v>0</v>
      </c>
      <c r="FZ99" s="59">
        <f t="shared" si="634"/>
        <v>0</v>
      </c>
      <c r="GA99" s="60">
        <f t="shared" si="635"/>
        <v>0</v>
      </c>
      <c r="GB99" s="59">
        <f t="shared" si="636"/>
        <v>0</v>
      </c>
      <c r="GC99" s="55">
        <f t="shared" si="637"/>
        <v>0</v>
      </c>
      <c r="GD99" s="59">
        <f t="shared" si="638"/>
        <v>0</v>
      </c>
      <c r="GE99" s="60">
        <f t="shared" si="639"/>
        <v>0</v>
      </c>
      <c r="GF99" s="59">
        <f t="shared" si="640"/>
        <v>0</v>
      </c>
      <c r="GG99" s="60">
        <f t="shared" si="641"/>
        <v>0</v>
      </c>
      <c r="GH99" s="59">
        <f t="shared" si="642"/>
        <v>0</v>
      </c>
      <c r="GI99" s="55">
        <f t="shared" si="643"/>
        <v>0</v>
      </c>
      <c r="GJ99" s="59">
        <f t="shared" si="644"/>
        <v>0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49"/>
        <v>0.91</v>
      </c>
      <c r="GR99" s="55">
        <f t="shared" si="649"/>
        <v>0.89</v>
      </c>
      <c r="GS99" s="55">
        <f t="shared" si="649"/>
        <v>0.87</v>
      </c>
      <c r="GT99" s="55">
        <f t="shared" si="649"/>
        <v>0.85</v>
      </c>
      <c r="GU99" s="55">
        <f t="shared" si="649"/>
        <v>0.83</v>
      </c>
      <c r="GV99" s="55">
        <f t="shared" si="649"/>
        <v>0.80999999999999994</v>
      </c>
      <c r="GW99" s="55">
        <f t="shared" si="649"/>
        <v>0.78999999999999992</v>
      </c>
      <c r="GX99" s="55">
        <f t="shared" si="649"/>
        <v>0.76999999999999991</v>
      </c>
      <c r="GY99" s="55">
        <f t="shared" si="649"/>
        <v>0.74999999999999989</v>
      </c>
      <c r="GZ99" s="55">
        <f t="shared" si="649"/>
        <v>0.72999999999999987</v>
      </c>
      <c r="HA99" s="55">
        <f t="shared" si="649"/>
        <v>0.70999999999999985</v>
      </c>
      <c r="HB99" s="55">
        <f t="shared" si="649"/>
        <v>0.68999999999999984</v>
      </c>
      <c r="HC99" s="55">
        <f t="shared" si="649"/>
        <v>0.66999999999999982</v>
      </c>
      <c r="HD99" s="55">
        <f t="shared" si="649"/>
        <v>0.6499999999999998</v>
      </c>
      <c r="HE99" s="55">
        <f t="shared" si="649"/>
        <v>0.62999999999999978</v>
      </c>
      <c r="HF99" s="55">
        <f t="shared" si="649"/>
        <v>0.60999999999999976</v>
      </c>
      <c r="HG99" s="55">
        <f t="shared" si="649"/>
        <v>0.58999999999999975</v>
      </c>
      <c r="HH99" s="55">
        <f t="shared" si="649"/>
        <v>0.56999999999999973</v>
      </c>
    </row>
    <row r="100" spans="1:216" x14ac:dyDescent="0.3">
      <c r="A100" s="2">
        <v>9</v>
      </c>
      <c r="C100" s="38" t="s">
        <v>136</v>
      </c>
      <c r="D100" s="42">
        <f>TRUNC(1013.5963060686,-1)</f>
        <v>1010</v>
      </c>
      <c r="E100" s="71">
        <f t="shared" si="515"/>
        <v>3330</v>
      </c>
      <c r="F100" s="2" t="s">
        <v>309</v>
      </c>
      <c r="H100" s="55">
        <f t="shared" si="505"/>
        <v>3663.0000000000005</v>
      </c>
      <c r="I100" s="55">
        <f t="shared" si="506"/>
        <v>3663.0000000000005</v>
      </c>
      <c r="J100" s="59">
        <f t="shared" si="507"/>
        <v>12109.145400000001</v>
      </c>
      <c r="K100" s="55">
        <f t="shared" si="516"/>
        <v>3553.11</v>
      </c>
      <c r="L100" s="59">
        <f t="shared" si="517"/>
        <v>11745.871038000001</v>
      </c>
      <c r="M100" s="55">
        <f t="shared" si="518"/>
        <v>3479.8500000000004</v>
      </c>
      <c r="N100" s="59">
        <f t="shared" si="519"/>
        <v>11503.688130000002</v>
      </c>
      <c r="O100" s="55">
        <f t="shared" si="520"/>
        <v>3406.5900000000006</v>
      </c>
      <c r="P100" s="59">
        <f t="shared" si="521"/>
        <v>11261.505222000002</v>
      </c>
      <c r="Q100" s="57">
        <f t="shared" si="522"/>
        <v>3333.3300000000004</v>
      </c>
      <c r="R100" s="59">
        <f t="shared" si="523"/>
        <v>11019.322314000001</v>
      </c>
      <c r="S100" s="55">
        <f t="shared" si="524"/>
        <v>3260.0700000000006</v>
      </c>
      <c r="T100" s="59">
        <f t="shared" si="525"/>
        <v>10777.139406000002</v>
      </c>
      <c r="U100" s="57">
        <f t="shared" si="526"/>
        <v>3186.8100000000004</v>
      </c>
      <c r="V100" s="59">
        <f t="shared" si="527"/>
        <v>10534.956498000001</v>
      </c>
      <c r="W100" s="60">
        <f t="shared" si="528"/>
        <v>3113.55</v>
      </c>
      <c r="X100" s="59">
        <f t="shared" si="529"/>
        <v>10292.773590000001</v>
      </c>
      <c r="Y100" s="57">
        <f t="shared" si="530"/>
        <v>3040.2900000000004</v>
      </c>
      <c r="Z100" s="59">
        <f t="shared" si="531"/>
        <v>10050.590682000002</v>
      </c>
      <c r="AA100" s="55">
        <f t="shared" si="532"/>
        <v>2967.03</v>
      </c>
      <c r="AB100" s="59">
        <f t="shared" si="533"/>
        <v>9808.4077740000012</v>
      </c>
      <c r="AC100" s="60">
        <f t="shared" si="534"/>
        <v>2893.77</v>
      </c>
      <c r="AD100" s="59">
        <f t="shared" si="535"/>
        <v>9566.2248660000005</v>
      </c>
      <c r="AE100" s="60">
        <f t="shared" si="536"/>
        <v>2820.51</v>
      </c>
      <c r="AF100" s="59">
        <f t="shared" si="537"/>
        <v>9324.0419580000016</v>
      </c>
      <c r="AG100" s="60">
        <f t="shared" si="538"/>
        <v>2747.25</v>
      </c>
      <c r="AH100" s="59">
        <f t="shared" si="539"/>
        <v>9081.8590500000009</v>
      </c>
      <c r="AI100" s="55">
        <f t="shared" si="540"/>
        <v>2673.99</v>
      </c>
      <c r="AJ100" s="59">
        <f t="shared" si="541"/>
        <v>8839.6761420000003</v>
      </c>
      <c r="AK100" s="60">
        <f t="shared" si="542"/>
        <v>2600.7299999999996</v>
      </c>
      <c r="AL100" s="59">
        <f t="shared" si="543"/>
        <v>8597.4932339999996</v>
      </c>
      <c r="AM100" s="60">
        <f t="shared" si="544"/>
        <v>2527.4699999999998</v>
      </c>
      <c r="AN100" s="59">
        <f t="shared" si="545"/>
        <v>8355.3103259999989</v>
      </c>
      <c r="AO100" s="60">
        <f t="shared" si="546"/>
        <v>2454.2099999999996</v>
      </c>
      <c r="AP100" s="59">
        <f t="shared" si="547"/>
        <v>8113.1274179999991</v>
      </c>
      <c r="AQ100" s="60">
        <f t="shared" si="548"/>
        <v>2380.9499999999994</v>
      </c>
      <c r="AR100" s="59">
        <f t="shared" si="549"/>
        <v>7870.9445099999984</v>
      </c>
      <c r="AS100" s="55">
        <f t="shared" si="550"/>
        <v>2307.6899999999996</v>
      </c>
      <c r="AT100" s="59">
        <f t="shared" si="551"/>
        <v>7628.7616019999987</v>
      </c>
      <c r="AU100" s="60">
        <f t="shared" si="552"/>
        <v>2234.4299999999994</v>
      </c>
      <c r="AV100" s="59">
        <f t="shared" si="553"/>
        <v>7386.578693999998</v>
      </c>
      <c r="AW100" s="60">
        <f t="shared" si="554"/>
        <v>2161.1699999999992</v>
      </c>
      <c r="AX100" s="59">
        <f t="shared" si="555"/>
        <v>7144.3957859999973</v>
      </c>
      <c r="AY100" s="55">
        <f t="shared" si="556"/>
        <v>2087.9099999999994</v>
      </c>
      <c r="AZ100" s="59">
        <f t="shared" si="557"/>
        <v>6902.2128779999985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58"/>
        <v>0.91</v>
      </c>
      <c r="BH100" s="55">
        <f t="shared" si="558"/>
        <v>0.89</v>
      </c>
      <c r="BI100" s="55">
        <f t="shared" si="558"/>
        <v>0.87</v>
      </c>
      <c r="BJ100" s="55">
        <f t="shared" si="558"/>
        <v>0.85</v>
      </c>
      <c r="BK100" s="55">
        <f t="shared" si="558"/>
        <v>0.83</v>
      </c>
      <c r="BL100" s="55">
        <f t="shared" si="558"/>
        <v>0.80999999999999994</v>
      </c>
      <c r="BM100" s="55">
        <f t="shared" si="558"/>
        <v>0.78999999999999992</v>
      </c>
      <c r="BN100" s="55">
        <f t="shared" si="558"/>
        <v>0.76999999999999991</v>
      </c>
      <c r="BO100" s="55">
        <f t="shared" si="558"/>
        <v>0.74999999999999989</v>
      </c>
      <c r="BP100" s="55">
        <f t="shared" si="558"/>
        <v>0.72999999999999987</v>
      </c>
      <c r="BQ100" s="55">
        <f t="shared" si="558"/>
        <v>0.70999999999999985</v>
      </c>
      <c r="BR100" s="55">
        <f t="shared" si="558"/>
        <v>0.68999999999999984</v>
      </c>
      <c r="BS100" s="55">
        <f t="shared" si="558"/>
        <v>0.66999999999999982</v>
      </c>
      <c r="BT100" s="55">
        <f t="shared" si="558"/>
        <v>0.6499999999999998</v>
      </c>
      <c r="BU100" s="55">
        <f t="shared" si="558"/>
        <v>0.62999999999999978</v>
      </c>
      <c r="BV100" s="55">
        <f t="shared" si="558"/>
        <v>0.60999999999999976</v>
      </c>
      <c r="BW100" s="55">
        <f t="shared" si="558"/>
        <v>0.58999999999999975</v>
      </c>
      <c r="BX100" s="55">
        <f t="shared" si="558"/>
        <v>0.56999999999999973</v>
      </c>
      <c r="BZ100" s="55">
        <f t="shared" si="508"/>
        <v>3333.3300000000004</v>
      </c>
      <c r="CA100" s="55">
        <f t="shared" si="509"/>
        <v>3333.3300000000004</v>
      </c>
      <c r="CB100" s="59">
        <f t="shared" si="559"/>
        <v>11019.322314000001</v>
      </c>
      <c r="CC100" s="55">
        <f t="shared" si="560"/>
        <v>3233.3301000000001</v>
      </c>
      <c r="CD100" s="59">
        <f t="shared" si="561"/>
        <v>10688.742644580001</v>
      </c>
      <c r="CE100" s="55">
        <f t="shared" si="562"/>
        <v>3166.6635000000001</v>
      </c>
      <c r="CF100" s="59">
        <f t="shared" si="563"/>
        <v>10468.3561983</v>
      </c>
      <c r="CG100" s="55">
        <f t="shared" si="564"/>
        <v>3099.9969000000006</v>
      </c>
      <c r="CH100" s="59">
        <f t="shared" si="565"/>
        <v>10247.969752020002</v>
      </c>
      <c r="CI100" s="57">
        <f t="shared" si="566"/>
        <v>3033.3303000000005</v>
      </c>
      <c r="CJ100" s="59">
        <f t="shared" si="567"/>
        <v>10027.583305740001</v>
      </c>
      <c r="CK100" s="55">
        <f t="shared" si="568"/>
        <v>2966.6637000000005</v>
      </c>
      <c r="CL100" s="59">
        <f t="shared" si="569"/>
        <v>9807.1968594600021</v>
      </c>
      <c r="CM100" s="57">
        <f t="shared" si="570"/>
        <v>2899.9971000000005</v>
      </c>
      <c r="CN100" s="59">
        <f t="shared" si="571"/>
        <v>9586.810413180001</v>
      </c>
      <c r="CO100" s="60">
        <f t="shared" si="572"/>
        <v>2833.3305</v>
      </c>
      <c r="CP100" s="59">
        <f t="shared" si="573"/>
        <v>9366.4239668999999</v>
      </c>
      <c r="CQ100" s="57">
        <f t="shared" si="574"/>
        <v>2766.6639</v>
      </c>
      <c r="CR100" s="59">
        <f t="shared" si="575"/>
        <v>9146.0375206200006</v>
      </c>
      <c r="CS100" s="55">
        <f t="shared" si="576"/>
        <v>2699.9973</v>
      </c>
      <c r="CT100" s="59">
        <f t="shared" si="577"/>
        <v>8925.6510743399995</v>
      </c>
      <c r="CU100" s="60">
        <f t="shared" si="578"/>
        <v>2633.3307</v>
      </c>
      <c r="CV100" s="59">
        <f t="shared" si="579"/>
        <v>8705.2646280600002</v>
      </c>
      <c r="CW100" s="60">
        <f t="shared" si="580"/>
        <v>2566.6641</v>
      </c>
      <c r="CX100" s="59">
        <f t="shared" si="581"/>
        <v>8484.8781817800009</v>
      </c>
      <c r="CY100" s="60">
        <f t="shared" si="582"/>
        <v>2499.9974999999999</v>
      </c>
      <c r="CZ100" s="59">
        <f t="shared" si="583"/>
        <v>8264.4917354999998</v>
      </c>
      <c r="DA100" s="55">
        <f t="shared" si="584"/>
        <v>2433.3308999999999</v>
      </c>
      <c r="DB100" s="59">
        <f t="shared" si="585"/>
        <v>8044.1052892199996</v>
      </c>
      <c r="DC100" s="60">
        <f t="shared" si="586"/>
        <v>2366.6642999999999</v>
      </c>
      <c r="DD100" s="59">
        <f t="shared" si="587"/>
        <v>7823.7188429400003</v>
      </c>
      <c r="DE100" s="60">
        <f t="shared" si="588"/>
        <v>2299.9976999999999</v>
      </c>
      <c r="DF100" s="59">
        <f t="shared" si="589"/>
        <v>7603.3323966600001</v>
      </c>
      <c r="DG100" s="60">
        <f t="shared" si="590"/>
        <v>2233.3310999999994</v>
      </c>
      <c r="DH100" s="59">
        <f t="shared" si="591"/>
        <v>7382.9459503799981</v>
      </c>
      <c r="DI100" s="60">
        <f t="shared" si="592"/>
        <v>2166.6644999999994</v>
      </c>
      <c r="DJ100" s="59">
        <f t="shared" si="593"/>
        <v>7162.5595040999979</v>
      </c>
      <c r="DK100" s="55">
        <f t="shared" si="594"/>
        <v>2099.9978999999994</v>
      </c>
      <c r="DL100" s="59">
        <f t="shared" si="595"/>
        <v>6942.1730578199986</v>
      </c>
      <c r="DM100" s="60">
        <f t="shared" si="596"/>
        <v>2033.3312999999994</v>
      </c>
      <c r="DN100" s="59">
        <f t="shared" si="597"/>
        <v>6721.7866115399984</v>
      </c>
      <c r="DO100" s="60">
        <f t="shared" si="598"/>
        <v>1966.6646999999994</v>
      </c>
      <c r="DP100" s="59">
        <f t="shared" si="599"/>
        <v>6501.4001652599982</v>
      </c>
      <c r="DQ100" s="55">
        <f t="shared" si="600"/>
        <v>1899.9980999999993</v>
      </c>
      <c r="DR100" s="59">
        <f t="shared" si="601"/>
        <v>6281.013718979998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47"/>
        <v>0.91</v>
      </c>
      <c r="DZ100" s="55">
        <f t="shared" si="647"/>
        <v>0.89</v>
      </c>
      <c r="EA100" s="55">
        <f t="shared" si="647"/>
        <v>0.87</v>
      </c>
      <c r="EB100" s="55">
        <f t="shared" si="647"/>
        <v>0.85</v>
      </c>
      <c r="EC100" s="55">
        <f t="shared" si="647"/>
        <v>0.83</v>
      </c>
      <c r="ED100" s="55">
        <f t="shared" si="647"/>
        <v>0.80999999999999994</v>
      </c>
      <c r="EE100" s="55">
        <f t="shared" si="647"/>
        <v>0.78999999999999992</v>
      </c>
      <c r="EF100" s="55">
        <f t="shared" si="647"/>
        <v>0.76999999999999991</v>
      </c>
      <c r="EG100" s="55">
        <f t="shared" si="647"/>
        <v>0.74999999999999989</v>
      </c>
      <c r="EH100" s="55">
        <f t="shared" si="647"/>
        <v>0.72999999999999987</v>
      </c>
      <c r="EI100" s="55">
        <f t="shared" si="647"/>
        <v>0.70999999999999985</v>
      </c>
      <c r="EJ100" s="55">
        <f t="shared" si="647"/>
        <v>0.68999999999999984</v>
      </c>
      <c r="EK100" s="55">
        <f t="shared" si="647"/>
        <v>0.66999999999999982</v>
      </c>
      <c r="EL100" s="55">
        <f t="shared" si="647"/>
        <v>0.6499999999999998</v>
      </c>
      <c r="EM100" s="55">
        <f t="shared" si="647"/>
        <v>0.62999999999999978</v>
      </c>
      <c r="EN100" s="55">
        <f t="shared" si="647"/>
        <v>0.60999999999999976</v>
      </c>
      <c r="EO100" s="55">
        <f t="shared" si="647"/>
        <v>0.58999999999999975</v>
      </c>
      <c r="EP100" s="55">
        <f t="shared" si="647"/>
        <v>0.56999999999999973</v>
      </c>
      <c r="ER100" s="55">
        <f t="shared" si="648"/>
        <v>3033.3303000000005</v>
      </c>
      <c r="ES100" s="55">
        <f t="shared" si="510"/>
        <v>3033.3303000000005</v>
      </c>
      <c r="ET100" s="59">
        <f t="shared" si="602"/>
        <v>10027.583305740001</v>
      </c>
      <c r="EU100" s="55">
        <f t="shared" si="603"/>
        <v>2942.3303910000004</v>
      </c>
      <c r="EV100" s="59">
        <f t="shared" si="604"/>
        <v>9726.7558065678022</v>
      </c>
      <c r="EW100" s="55">
        <f t="shared" si="605"/>
        <v>2881.6637850000002</v>
      </c>
      <c r="EX100" s="59">
        <f t="shared" si="606"/>
        <v>9526.2041404530009</v>
      </c>
      <c r="EY100" s="55">
        <f t="shared" si="607"/>
        <v>2820.9971790000009</v>
      </c>
      <c r="EZ100" s="59">
        <f t="shared" si="608"/>
        <v>9325.6524743382033</v>
      </c>
      <c r="FA100" s="57">
        <f t="shared" si="609"/>
        <v>2760.3305730000006</v>
      </c>
      <c r="FB100" s="59">
        <f t="shared" si="610"/>
        <v>9125.1008082234021</v>
      </c>
      <c r="FC100" s="55">
        <f t="shared" si="611"/>
        <v>2699.6639670000004</v>
      </c>
      <c r="FD100" s="59">
        <f t="shared" si="612"/>
        <v>8924.5491421086008</v>
      </c>
      <c r="FE100" s="57">
        <f t="shared" si="613"/>
        <v>2638.9973610000006</v>
      </c>
      <c r="FF100" s="59">
        <f t="shared" si="614"/>
        <v>8723.9974759938032</v>
      </c>
      <c r="FG100" s="60">
        <f t="shared" si="615"/>
        <v>2578.3307550000004</v>
      </c>
      <c r="FH100" s="59">
        <f t="shared" si="616"/>
        <v>8523.4458098790019</v>
      </c>
      <c r="FI100" s="57">
        <f t="shared" si="617"/>
        <v>2517.6641490000002</v>
      </c>
      <c r="FJ100" s="59">
        <f t="shared" si="618"/>
        <v>8322.8941437642006</v>
      </c>
      <c r="FK100" s="55">
        <f t="shared" si="619"/>
        <v>2456.9975430000004</v>
      </c>
      <c r="FL100" s="59">
        <f t="shared" si="620"/>
        <v>8122.3424776494012</v>
      </c>
      <c r="FM100" s="60">
        <f t="shared" si="621"/>
        <v>2396.3309370000002</v>
      </c>
      <c r="FN100" s="59">
        <f t="shared" si="622"/>
        <v>7921.7908115346008</v>
      </c>
      <c r="FO100" s="60">
        <f t="shared" si="623"/>
        <v>2335.6643309999999</v>
      </c>
      <c r="FP100" s="59">
        <f t="shared" si="624"/>
        <v>7721.2391454197996</v>
      </c>
      <c r="FQ100" s="60">
        <f t="shared" si="625"/>
        <v>2274.9977250000002</v>
      </c>
      <c r="FR100" s="59">
        <f t="shared" si="626"/>
        <v>7520.687479305001</v>
      </c>
      <c r="FS100" s="55">
        <f t="shared" si="627"/>
        <v>2214.3311189999999</v>
      </c>
      <c r="FT100" s="59">
        <f t="shared" si="628"/>
        <v>7320.1358131901998</v>
      </c>
      <c r="FU100" s="60">
        <f t="shared" si="629"/>
        <v>2153.6645129999997</v>
      </c>
      <c r="FV100" s="59">
        <f t="shared" si="630"/>
        <v>7119.5841470753994</v>
      </c>
      <c r="FW100" s="60">
        <f t="shared" si="631"/>
        <v>2092.9979069999999</v>
      </c>
      <c r="FX100" s="59">
        <f t="shared" si="632"/>
        <v>6919.0324809606</v>
      </c>
      <c r="FY100" s="60">
        <f t="shared" si="633"/>
        <v>2032.3313009999997</v>
      </c>
      <c r="FZ100" s="59">
        <f t="shared" si="634"/>
        <v>6718.4808148457996</v>
      </c>
      <c r="GA100" s="60">
        <f t="shared" si="635"/>
        <v>1971.6646949999997</v>
      </c>
      <c r="GB100" s="59">
        <f t="shared" si="636"/>
        <v>6517.9291487309993</v>
      </c>
      <c r="GC100" s="55">
        <f t="shared" si="637"/>
        <v>1910.9980889999997</v>
      </c>
      <c r="GD100" s="59">
        <f t="shared" si="638"/>
        <v>6317.3774826161989</v>
      </c>
      <c r="GE100" s="60">
        <f t="shared" si="639"/>
        <v>1850.3314829999997</v>
      </c>
      <c r="GF100" s="59">
        <f t="shared" si="640"/>
        <v>6116.8258165013995</v>
      </c>
      <c r="GG100" s="60">
        <f t="shared" si="641"/>
        <v>1789.6648769999995</v>
      </c>
      <c r="GH100" s="59">
        <f t="shared" si="642"/>
        <v>5916.2741503865982</v>
      </c>
      <c r="GI100" s="55">
        <f t="shared" si="643"/>
        <v>1728.9982709999995</v>
      </c>
      <c r="GJ100" s="59">
        <f t="shared" si="644"/>
        <v>5715.7224842717987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49"/>
        <v>0.91</v>
      </c>
      <c r="GR100" s="55">
        <f t="shared" si="649"/>
        <v>0.89</v>
      </c>
      <c r="GS100" s="55">
        <f t="shared" si="649"/>
        <v>0.87</v>
      </c>
      <c r="GT100" s="55">
        <f t="shared" si="649"/>
        <v>0.85</v>
      </c>
      <c r="GU100" s="55">
        <f t="shared" si="649"/>
        <v>0.83</v>
      </c>
      <c r="GV100" s="55">
        <f t="shared" si="649"/>
        <v>0.80999999999999994</v>
      </c>
      <c r="GW100" s="55">
        <f t="shared" si="649"/>
        <v>0.78999999999999992</v>
      </c>
      <c r="GX100" s="55">
        <f t="shared" si="649"/>
        <v>0.76999999999999991</v>
      </c>
      <c r="GY100" s="55">
        <f t="shared" si="649"/>
        <v>0.74999999999999989</v>
      </c>
      <c r="GZ100" s="55">
        <f t="shared" si="649"/>
        <v>0.72999999999999987</v>
      </c>
      <c r="HA100" s="55">
        <f t="shared" si="649"/>
        <v>0.70999999999999985</v>
      </c>
      <c r="HB100" s="55">
        <f t="shared" si="649"/>
        <v>0.68999999999999984</v>
      </c>
      <c r="HC100" s="55">
        <f t="shared" si="649"/>
        <v>0.66999999999999982</v>
      </c>
      <c r="HD100" s="55">
        <f t="shared" si="649"/>
        <v>0.6499999999999998</v>
      </c>
      <c r="HE100" s="55">
        <f t="shared" si="649"/>
        <v>0.62999999999999978</v>
      </c>
      <c r="HF100" s="55">
        <f t="shared" si="649"/>
        <v>0.60999999999999976</v>
      </c>
      <c r="HG100" s="55">
        <f t="shared" si="649"/>
        <v>0.58999999999999975</v>
      </c>
      <c r="HH100" s="55">
        <f t="shared" si="649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15"/>
        <v>0</v>
      </c>
      <c r="H101" s="55">
        <f t="shared" si="505"/>
        <v>0</v>
      </c>
      <c r="I101" s="55">
        <f t="shared" si="506"/>
        <v>0</v>
      </c>
      <c r="J101" s="59">
        <f t="shared" si="507"/>
        <v>0</v>
      </c>
      <c r="K101" s="55">
        <f t="shared" si="516"/>
        <v>0</v>
      </c>
      <c r="L101" s="59">
        <f t="shared" si="517"/>
        <v>0</v>
      </c>
      <c r="M101" s="55">
        <f t="shared" si="518"/>
        <v>0</v>
      </c>
      <c r="N101" s="59">
        <f t="shared" si="519"/>
        <v>0</v>
      </c>
      <c r="O101" s="55">
        <f t="shared" si="520"/>
        <v>0</v>
      </c>
      <c r="P101" s="59">
        <f t="shared" si="521"/>
        <v>0</v>
      </c>
      <c r="Q101" s="57">
        <f t="shared" si="522"/>
        <v>0</v>
      </c>
      <c r="R101" s="59">
        <f t="shared" si="523"/>
        <v>0</v>
      </c>
      <c r="S101" s="55">
        <f t="shared" si="524"/>
        <v>0</v>
      </c>
      <c r="T101" s="59">
        <f t="shared" si="525"/>
        <v>0</v>
      </c>
      <c r="U101" s="57">
        <f t="shared" si="526"/>
        <v>0</v>
      </c>
      <c r="V101" s="59">
        <f t="shared" si="527"/>
        <v>0</v>
      </c>
      <c r="W101" s="60">
        <f t="shared" si="528"/>
        <v>0</v>
      </c>
      <c r="X101" s="59">
        <f t="shared" si="529"/>
        <v>0</v>
      </c>
      <c r="Y101" s="57">
        <f t="shared" si="530"/>
        <v>0</v>
      </c>
      <c r="Z101" s="59">
        <f t="shared" si="531"/>
        <v>0</v>
      </c>
      <c r="AA101" s="55">
        <f t="shared" si="532"/>
        <v>0</v>
      </c>
      <c r="AB101" s="59">
        <f t="shared" si="533"/>
        <v>0</v>
      </c>
      <c r="AC101" s="60">
        <f t="shared" si="534"/>
        <v>0</v>
      </c>
      <c r="AD101" s="59">
        <f t="shared" si="535"/>
        <v>0</v>
      </c>
      <c r="AE101" s="60">
        <f t="shared" si="536"/>
        <v>0</v>
      </c>
      <c r="AF101" s="59">
        <f t="shared" si="537"/>
        <v>0</v>
      </c>
      <c r="AG101" s="60">
        <f t="shared" si="538"/>
        <v>0</v>
      </c>
      <c r="AH101" s="59">
        <f t="shared" si="539"/>
        <v>0</v>
      </c>
      <c r="AI101" s="55">
        <f t="shared" si="540"/>
        <v>0</v>
      </c>
      <c r="AJ101" s="59">
        <f t="shared" si="541"/>
        <v>0</v>
      </c>
      <c r="AK101" s="60">
        <f t="shared" si="542"/>
        <v>0</v>
      </c>
      <c r="AL101" s="59">
        <f t="shared" si="543"/>
        <v>0</v>
      </c>
      <c r="AM101" s="60">
        <f t="shared" si="544"/>
        <v>0</v>
      </c>
      <c r="AN101" s="59">
        <f t="shared" si="545"/>
        <v>0</v>
      </c>
      <c r="AO101" s="60">
        <f t="shared" si="546"/>
        <v>0</v>
      </c>
      <c r="AP101" s="59">
        <f t="shared" si="547"/>
        <v>0</v>
      </c>
      <c r="AQ101" s="60">
        <f t="shared" si="548"/>
        <v>0</v>
      </c>
      <c r="AR101" s="59">
        <f t="shared" si="549"/>
        <v>0</v>
      </c>
      <c r="AS101" s="55">
        <f t="shared" si="550"/>
        <v>0</v>
      </c>
      <c r="AT101" s="59">
        <f t="shared" si="551"/>
        <v>0</v>
      </c>
      <c r="AU101" s="60">
        <f t="shared" si="552"/>
        <v>0</v>
      </c>
      <c r="AV101" s="59">
        <f t="shared" si="553"/>
        <v>0</v>
      </c>
      <c r="AW101" s="60">
        <f t="shared" si="554"/>
        <v>0</v>
      </c>
      <c r="AX101" s="59">
        <f t="shared" si="555"/>
        <v>0</v>
      </c>
      <c r="AY101" s="55">
        <f t="shared" si="556"/>
        <v>0</v>
      </c>
      <c r="AZ101" s="59">
        <f t="shared" si="557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58"/>
        <v>0.91</v>
      </c>
      <c r="BH101" s="55">
        <f t="shared" si="558"/>
        <v>0.89</v>
      </c>
      <c r="BI101" s="55">
        <f t="shared" si="558"/>
        <v>0.87</v>
      </c>
      <c r="BJ101" s="55">
        <f t="shared" si="558"/>
        <v>0.85</v>
      </c>
      <c r="BK101" s="55">
        <f t="shared" si="558"/>
        <v>0.83</v>
      </c>
      <c r="BL101" s="55">
        <f t="shared" si="558"/>
        <v>0.80999999999999994</v>
      </c>
      <c r="BM101" s="55">
        <f t="shared" si="558"/>
        <v>0.78999999999999992</v>
      </c>
      <c r="BN101" s="55">
        <f t="shared" si="558"/>
        <v>0.76999999999999991</v>
      </c>
      <c r="BO101" s="55">
        <f t="shared" si="558"/>
        <v>0.74999999999999989</v>
      </c>
      <c r="BP101" s="55">
        <f t="shared" si="558"/>
        <v>0.72999999999999987</v>
      </c>
      <c r="BQ101" s="55">
        <f t="shared" si="558"/>
        <v>0.70999999999999985</v>
      </c>
      <c r="BR101" s="55">
        <f t="shared" si="558"/>
        <v>0.68999999999999984</v>
      </c>
      <c r="BS101" s="55">
        <f t="shared" si="558"/>
        <v>0.66999999999999982</v>
      </c>
      <c r="BT101" s="55">
        <f t="shared" si="558"/>
        <v>0.6499999999999998</v>
      </c>
      <c r="BU101" s="55">
        <f t="shared" si="558"/>
        <v>0.62999999999999978</v>
      </c>
      <c r="BV101" s="55">
        <f t="shared" si="558"/>
        <v>0.60999999999999976</v>
      </c>
      <c r="BW101" s="55">
        <f t="shared" si="558"/>
        <v>0.58999999999999975</v>
      </c>
      <c r="BX101" s="55">
        <f t="shared" si="558"/>
        <v>0.56999999999999973</v>
      </c>
      <c r="BZ101" s="55">
        <f t="shared" si="508"/>
        <v>0</v>
      </c>
      <c r="CA101" s="55">
        <f t="shared" si="509"/>
        <v>0</v>
      </c>
      <c r="CB101" s="59">
        <f t="shared" si="559"/>
        <v>0</v>
      </c>
      <c r="CC101" s="55">
        <f t="shared" si="560"/>
        <v>0</v>
      </c>
      <c r="CD101" s="59">
        <f t="shared" si="561"/>
        <v>0</v>
      </c>
      <c r="CE101" s="55">
        <f t="shared" si="562"/>
        <v>0</v>
      </c>
      <c r="CF101" s="59">
        <f t="shared" si="563"/>
        <v>0</v>
      </c>
      <c r="CG101" s="55">
        <f t="shared" si="564"/>
        <v>0</v>
      </c>
      <c r="CH101" s="59">
        <f t="shared" si="565"/>
        <v>0</v>
      </c>
      <c r="CI101" s="57">
        <f t="shared" si="566"/>
        <v>0</v>
      </c>
      <c r="CJ101" s="59">
        <f t="shared" si="567"/>
        <v>0</v>
      </c>
      <c r="CK101" s="55">
        <f t="shared" si="568"/>
        <v>0</v>
      </c>
      <c r="CL101" s="59">
        <f t="shared" si="569"/>
        <v>0</v>
      </c>
      <c r="CM101" s="57">
        <f t="shared" si="570"/>
        <v>0</v>
      </c>
      <c r="CN101" s="59">
        <f t="shared" si="571"/>
        <v>0</v>
      </c>
      <c r="CO101" s="60">
        <f t="shared" si="572"/>
        <v>0</v>
      </c>
      <c r="CP101" s="59">
        <f t="shared" si="573"/>
        <v>0</v>
      </c>
      <c r="CQ101" s="57">
        <f t="shared" si="574"/>
        <v>0</v>
      </c>
      <c r="CR101" s="59">
        <f t="shared" si="575"/>
        <v>0</v>
      </c>
      <c r="CS101" s="55">
        <f t="shared" si="576"/>
        <v>0</v>
      </c>
      <c r="CT101" s="59">
        <f t="shared" si="577"/>
        <v>0</v>
      </c>
      <c r="CU101" s="60">
        <f t="shared" si="578"/>
        <v>0</v>
      </c>
      <c r="CV101" s="59">
        <f t="shared" si="579"/>
        <v>0</v>
      </c>
      <c r="CW101" s="60">
        <f t="shared" si="580"/>
        <v>0</v>
      </c>
      <c r="CX101" s="59">
        <f t="shared" si="581"/>
        <v>0</v>
      </c>
      <c r="CY101" s="60">
        <f t="shared" si="582"/>
        <v>0</v>
      </c>
      <c r="CZ101" s="59">
        <f t="shared" si="583"/>
        <v>0</v>
      </c>
      <c r="DA101" s="55">
        <f t="shared" si="584"/>
        <v>0</v>
      </c>
      <c r="DB101" s="59">
        <f t="shared" si="585"/>
        <v>0</v>
      </c>
      <c r="DC101" s="60">
        <f t="shared" si="586"/>
        <v>0</v>
      </c>
      <c r="DD101" s="59">
        <f t="shared" si="587"/>
        <v>0</v>
      </c>
      <c r="DE101" s="60">
        <f t="shared" si="588"/>
        <v>0</v>
      </c>
      <c r="DF101" s="59">
        <f t="shared" si="589"/>
        <v>0</v>
      </c>
      <c r="DG101" s="60">
        <f t="shared" si="590"/>
        <v>0</v>
      </c>
      <c r="DH101" s="59">
        <f t="shared" si="591"/>
        <v>0</v>
      </c>
      <c r="DI101" s="60">
        <f t="shared" si="592"/>
        <v>0</v>
      </c>
      <c r="DJ101" s="59">
        <f t="shared" si="593"/>
        <v>0</v>
      </c>
      <c r="DK101" s="55">
        <f t="shared" si="594"/>
        <v>0</v>
      </c>
      <c r="DL101" s="59">
        <f t="shared" si="595"/>
        <v>0</v>
      </c>
      <c r="DM101" s="60">
        <f t="shared" si="596"/>
        <v>0</v>
      </c>
      <c r="DN101" s="59">
        <f t="shared" si="597"/>
        <v>0</v>
      </c>
      <c r="DO101" s="60">
        <f t="shared" si="598"/>
        <v>0</v>
      </c>
      <c r="DP101" s="59">
        <f t="shared" si="599"/>
        <v>0</v>
      </c>
      <c r="DQ101" s="55">
        <f t="shared" si="600"/>
        <v>0</v>
      </c>
      <c r="DR101" s="59">
        <f t="shared" si="601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47"/>
        <v>0.91</v>
      </c>
      <c r="DZ101" s="55">
        <f t="shared" si="647"/>
        <v>0.89</v>
      </c>
      <c r="EA101" s="55">
        <f t="shared" si="647"/>
        <v>0.87</v>
      </c>
      <c r="EB101" s="55">
        <f t="shared" si="647"/>
        <v>0.85</v>
      </c>
      <c r="EC101" s="55">
        <f t="shared" si="647"/>
        <v>0.83</v>
      </c>
      <c r="ED101" s="55">
        <f t="shared" si="647"/>
        <v>0.80999999999999994</v>
      </c>
      <c r="EE101" s="55">
        <f t="shared" si="647"/>
        <v>0.78999999999999992</v>
      </c>
      <c r="EF101" s="55">
        <f t="shared" si="647"/>
        <v>0.76999999999999991</v>
      </c>
      <c r="EG101" s="55">
        <f t="shared" si="647"/>
        <v>0.74999999999999989</v>
      </c>
      <c r="EH101" s="55">
        <f t="shared" si="647"/>
        <v>0.72999999999999987</v>
      </c>
      <c r="EI101" s="55">
        <f t="shared" si="647"/>
        <v>0.70999999999999985</v>
      </c>
      <c r="EJ101" s="55">
        <f t="shared" si="647"/>
        <v>0.68999999999999984</v>
      </c>
      <c r="EK101" s="55">
        <f t="shared" si="647"/>
        <v>0.66999999999999982</v>
      </c>
      <c r="EL101" s="55">
        <f t="shared" si="647"/>
        <v>0.6499999999999998</v>
      </c>
      <c r="EM101" s="55">
        <f t="shared" si="647"/>
        <v>0.62999999999999978</v>
      </c>
      <c r="EN101" s="55">
        <f t="shared" si="647"/>
        <v>0.60999999999999976</v>
      </c>
      <c r="EO101" s="55">
        <f t="shared" si="647"/>
        <v>0.58999999999999975</v>
      </c>
      <c r="EP101" s="55">
        <f t="shared" si="647"/>
        <v>0.56999999999999973</v>
      </c>
      <c r="ER101" s="55">
        <f t="shared" si="648"/>
        <v>0</v>
      </c>
      <c r="ES101" s="55">
        <f t="shared" si="510"/>
        <v>0</v>
      </c>
      <c r="ET101" s="59">
        <f t="shared" si="602"/>
        <v>0</v>
      </c>
      <c r="EU101" s="55">
        <f t="shared" si="603"/>
        <v>0</v>
      </c>
      <c r="EV101" s="59">
        <f t="shared" si="604"/>
        <v>0</v>
      </c>
      <c r="EW101" s="55">
        <f t="shared" si="605"/>
        <v>0</v>
      </c>
      <c r="EX101" s="59">
        <f t="shared" si="606"/>
        <v>0</v>
      </c>
      <c r="EY101" s="55">
        <f t="shared" si="607"/>
        <v>0</v>
      </c>
      <c r="EZ101" s="59">
        <f t="shared" si="608"/>
        <v>0</v>
      </c>
      <c r="FA101" s="57">
        <f t="shared" si="609"/>
        <v>0</v>
      </c>
      <c r="FB101" s="59">
        <f t="shared" si="610"/>
        <v>0</v>
      </c>
      <c r="FC101" s="55">
        <f t="shared" si="611"/>
        <v>0</v>
      </c>
      <c r="FD101" s="59">
        <f t="shared" si="612"/>
        <v>0</v>
      </c>
      <c r="FE101" s="57">
        <f t="shared" si="613"/>
        <v>0</v>
      </c>
      <c r="FF101" s="59">
        <f t="shared" si="614"/>
        <v>0</v>
      </c>
      <c r="FG101" s="60">
        <f t="shared" si="615"/>
        <v>0</v>
      </c>
      <c r="FH101" s="59">
        <f t="shared" si="616"/>
        <v>0</v>
      </c>
      <c r="FI101" s="57">
        <f t="shared" si="617"/>
        <v>0</v>
      </c>
      <c r="FJ101" s="59">
        <f t="shared" si="618"/>
        <v>0</v>
      </c>
      <c r="FK101" s="55">
        <f t="shared" si="619"/>
        <v>0</v>
      </c>
      <c r="FL101" s="59">
        <f t="shared" si="620"/>
        <v>0</v>
      </c>
      <c r="FM101" s="60">
        <f t="shared" si="621"/>
        <v>0</v>
      </c>
      <c r="FN101" s="59">
        <f t="shared" si="622"/>
        <v>0</v>
      </c>
      <c r="FO101" s="60">
        <f t="shared" si="623"/>
        <v>0</v>
      </c>
      <c r="FP101" s="59">
        <f t="shared" si="624"/>
        <v>0</v>
      </c>
      <c r="FQ101" s="60">
        <f t="shared" si="625"/>
        <v>0</v>
      </c>
      <c r="FR101" s="59">
        <f t="shared" si="626"/>
        <v>0</v>
      </c>
      <c r="FS101" s="55">
        <f t="shared" si="627"/>
        <v>0</v>
      </c>
      <c r="FT101" s="59">
        <f t="shared" si="628"/>
        <v>0</v>
      </c>
      <c r="FU101" s="60">
        <f t="shared" si="629"/>
        <v>0</v>
      </c>
      <c r="FV101" s="59">
        <f t="shared" si="630"/>
        <v>0</v>
      </c>
      <c r="FW101" s="60">
        <f t="shared" si="631"/>
        <v>0</v>
      </c>
      <c r="FX101" s="59">
        <f t="shared" si="632"/>
        <v>0</v>
      </c>
      <c r="FY101" s="60">
        <f t="shared" si="633"/>
        <v>0</v>
      </c>
      <c r="FZ101" s="59">
        <f t="shared" si="634"/>
        <v>0</v>
      </c>
      <c r="GA101" s="60">
        <f t="shared" si="635"/>
        <v>0</v>
      </c>
      <c r="GB101" s="59">
        <f t="shared" si="636"/>
        <v>0</v>
      </c>
      <c r="GC101" s="55">
        <f t="shared" si="637"/>
        <v>0</v>
      </c>
      <c r="GD101" s="59">
        <f t="shared" si="638"/>
        <v>0</v>
      </c>
      <c r="GE101" s="60">
        <f t="shared" si="639"/>
        <v>0</v>
      </c>
      <c r="GF101" s="59">
        <f t="shared" si="640"/>
        <v>0</v>
      </c>
      <c r="GG101" s="60">
        <f t="shared" si="641"/>
        <v>0</v>
      </c>
      <c r="GH101" s="59">
        <f t="shared" si="642"/>
        <v>0</v>
      </c>
      <c r="GI101" s="55">
        <f t="shared" si="643"/>
        <v>0</v>
      </c>
      <c r="GJ101" s="59">
        <f t="shared" si="644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49"/>
        <v>0.91</v>
      </c>
      <c r="GR101" s="55">
        <f t="shared" si="649"/>
        <v>0.89</v>
      </c>
      <c r="GS101" s="55">
        <f t="shared" si="649"/>
        <v>0.87</v>
      </c>
      <c r="GT101" s="55">
        <f t="shared" si="649"/>
        <v>0.85</v>
      </c>
      <c r="GU101" s="55">
        <f t="shared" si="649"/>
        <v>0.83</v>
      </c>
      <c r="GV101" s="55">
        <f t="shared" si="649"/>
        <v>0.80999999999999994</v>
      </c>
      <c r="GW101" s="55">
        <f t="shared" si="649"/>
        <v>0.78999999999999992</v>
      </c>
      <c r="GX101" s="55">
        <f t="shared" si="649"/>
        <v>0.76999999999999991</v>
      </c>
      <c r="GY101" s="55">
        <f t="shared" si="649"/>
        <v>0.74999999999999989</v>
      </c>
      <c r="GZ101" s="55">
        <f t="shared" si="649"/>
        <v>0.72999999999999987</v>
      </c>
      <c r="HA101" s="55">
        <f t="shared" si="649"/>
        <v>0.70999999999999985</v>
      </c>
      <c r="HB101" s="55">
        <f t="shared" si="649"/>
        <v>0.68999999999999984</v>
      </c>
      <c r="HC101" s="55">
        <f t="shared" si="649"/>
        <v>0.66999999999999982</v>
      </c>
      <c r="HD101" s="55">
        <f t="shared" si="649"/>
        <v>0.6499999999999998</v>
      </c>
      <c r="HE101" s="55">
        <f t="shared" si="649"/>
        <v>0.62999999999999978</v>
      </c>
      <c r="HF101" s="55">
        <f t="shared" si="649"/>
        <v>0.60999999999999976</v>
      </c>
      <c r="HG101" s="55">
        <f t="shared" si="649"/>
        <v>0.58999999999999975</v>
      </c>
      <c r="HH101" s="55">
        <f t="shared" si="649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1">
        <f t="shared" si="515"/>
        <v>0</v>
      </c>
      <c r="H102" s="55">
        <f t="shared" si="505"/>
        <v>0</v>
      </c>
      <c r="I102" s="55">
        <f t="shared" si="506"/>
        <v>0</v>
      </c>
      <c r="J102" s="59">
        <f t="shared" si="507"/>
        <v>0</v>
      </c>
      <c r="K102" s="55">
        <f t="shared" si="516"/>
        <v>0</v>
      </c>
      <c r="L102" s="59">
        <f t="shared" si="517"/>
        <v>0</v>
      </c>
      <c r="M102" s="55">
        <f t="shared" si="518"/>
        <v>0</v>
      </c>
      <c r="N102" s="59">
        <f t="shared" si="519"/>
        <v>0</v>
      </c>
      <c r="O102" s="55">
        <f t="shared" si="520"/>
        <v>0</v>
      </c>
      <c r="P102" s="59">
        <f t="shared" si="521"/>
        <v>0</v>
      </c>
      <c r="Q102" s="57">
        <f t="shared" si="522"/>
        <v>0</v>
      </c>
      <c r="R102" s="59">
        <f t="shared" si="523"/>
        <v>0</v>
      </c>
      <c r="S102" s="55">
        <f t="shared" si="524"/>
        <v>0</v>
      </c>
      <c r="T102" s="59">
        <f t="shared" si="525"/>
        <v>0</v>
      </c>
      <c r="U102" s="57">
        <f t="shared" si="526"/>
        <v>0</v>
      </c>
      <c r="V102" s="59">
        <f t="shared" si="527"/>
        <v>0</v>
      </c>
      <c r="W102" s="60">
        <f t="shared" si="528"/>
        <v>0</v>
      </c>
      <c r="X102" s="59">
        <f t="shared" si="529"/>
        <v>0</v>
      </c>
      <c r="Y102" s="57">
        <f t="shared" si="530"/>
        <v>0</v>
      </c>
      <c r="Z102" s="59">
        <f t="shared" si="531"/>
        <v>0</v>
      </c>
      <c r="AA102" s="55">
        <f t="shared" si="532"/>
        <v>0</v>
      </c>
      <c r="AB102" s="59">
        <f t="shared" si="533"/>
        <v>0</v>
      </c>
      <c r="AC102" s="60">
        <f t="shared" si="534"/>
        <v>0</v>
      </c>
      <c r="AD102" s="59">
        <f t="shared" si="535"/>
        <v>0</v>
      </c>
      <c r="AE102" s="60">
        <f t="shared" si="536"/>
        <v>0</v>
      </c>
      <c r="AF102" s="59">
        <f t="shared" si="537"/>
        <v>0</v>
      </c>
      <c r="AG102" s="60">
        <f t="shared" si="538"/>
        <v>0</v>
      </c>
      <c r="AH102" s="59">
        <f t="shared" si="539"/>
        <v>0</v>
      </c>
      <c r="AI102" s="55">
        <f t="shared" si="540"/>
        <v>0</v>
      </c>
      <c r="AJ102" s="59">
        <f t="shared" si="541"/>
        <v>0</v>
      </c>
      <c r="AK102" s="60">
        <f t="shared" si="542"/>
        <v>0</v>
      </c>
      <c r="AL102" s="59">
        <f t="shared" si="543"/>
        <v>0</v>
      </c>
      <c r="AM102" s="60">
        <f t="shared" si="544"/>
        <v>0</v>
      </c>
      <c r="AN102" s="59">
        <f t="shared" si="545"/>
        <v>0</v>
      </c>
      <c r="AO102" s="60">
        <f t="shared" si="546"/>
        <v>0</v>
      </c>
      <c r="AP102" s="59">
        <f t="shared" si="547"/>
        <v>0</v>
      </c>
      <c r="AQ102" s="60">
        <f t="shared" si="548"/>
        <v>0</v>
      </c>
      <c r="AR102" s="59">
        <f t="shared" si="549"/>
        <v>0</v>
      </c>
      <c r="AS102" s="55">
        <f t="shared" si="550"/>
        <v>0</v>
      </c>
      <c r="AT102" s="59">
        <f t="shared" si="551"/>
        <v>0</v>
      </c>
      <c r="AU102" s="60">
        <f t="shared" si="552"/>
        <v>0</v>
      </c>
      <c r="AV102" s="59">
        <f t="shared" si="553"/>
        <v>0</v>
      </c>
      <c r="AW102" s="60">
        <f t="shared" si="554"/>
        <v>0</v>
      </c>
      <c r="AX102" s="59">
        <f t="shared" si="555"/>
        <v>0</v>
      </c>
      <c r="AY102" s="55">
        <f t="shared" si="556"/>
        <v>0</v>
      </c>
      <c r="AZ102" s="59">
        <f t="shared" si="557"/>
        <v>0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58"/>
        <v>0.91</v>
      </c>
      <c r="BH102" s="55">
        <f t="shared" si="558"/>
        <v>0.89</v>
      </c>
      <c r="BI102" s="55">
        <f t="shared" si="558"/>
        <v>0.87</v>
      </c>
      <c r="BJ102" s="55">
        <f t="shared" si="558"/>
        <v>0.85</v>
      </c>
      <c r="BK102" s="55">
        <f t="shared" si="558"/>
        <v>0.83</v>
      </c>
      <c r="BL102" s="55">
        <f t="shared" si="558"/>
        <v>0.80999999999999994</v>
      </c>
      <c r="BM102" s="55">
        <f t="shared" si="558"/>
        <v>0.78999999999999992</v>
      </c>
      <c r="BN102" s="55">
        <f t="shared" si="558"/>
        <v>0.76999999999999991</v>
      </c>
      <c r="BO102" s="55">
        <f t="shared" si="558"/>
        <v>0.74999999999999989</v>
      </c>
      <c r="BP102" s="55">
        <f t="shared" si="558"/>
        <v>0.72999999999999987</v>
      </c>
      <c r="BQ102" s="55">
        <f t="shared" si="558"/>
        <v>0.70999999999999985</v>
      </c>
      <c r="BR102" s="55">
        <f t="shared" si="558"/>
        <v>0.68999999999999984</v>
      </c>
      <c r="BS102" s="55">
        <f t="shared" si="558"/>
        <v>0.66999999999999982</v>
      </c>
      <c r="BT102" s="55">
        <f t="shared" si="558"/>
        <v>0.6499999999999998</v>
      </c>
      <c r="BU102" s="55">
        <f t="shared" si="558"/>
        <v>0.62999999999999978</v>
      </c>
      <c r="BV102" s="55">
        <f t="shared" si="558"/>
        <v>0.60999999999999976</v>
      </c>
      <c r="BW102" s="55">
        <f t="shared" si="558"/>
        <v>0.58999999999999975</v>
      </c>
      <c r="BX102" s="55">
        <f t="shared" si="558"/>
        <v>0.56999999999999973</v>
      </c>
      <c r="BZ102" s="55">
        <f t="shared" si="508"/>
        <v>0</v>
      </c>
      <c r="CA102" s="55">
        <f t="shared" si="509"/>
        <v>0</v>
      </c>
      <c r="CB102" s="59">
        <f t="shared" si="559"/>
        <v>0</v>
      </c>
      <c r="CC102" s="55">
        <f t="shared" si="560"/>
        <v>0</v>
      </c>
      <c r="CD102" s="59">
        <f t="shared" si="561"/>
        <v>0</v>
      </c>
      <c r="CE102" s="55">
        <f t="shared" si="562"/>
        <v>0</v>
      </c>
      <c r="CF102" s="59">
        <f t="shared" si="563"/>
        <v>0</v>
      </c>
      <c r="CG102" s="55">
        <f t="shared" si="564"/>
        <v>0</v>
      </c>
      <c r="CH102" s="59">
        <f t="shared" si="565"/>
        <v>0</v>
      </c>
      <c r="CI102" s="57">
        <f t="shared" si="566"/>
        <v>0</v>
      </c>
      <c r="CJ102" s="59">
        <f t="shared" si="567"/>
        <v>0</v>
      </c>
      <c r="CK102" s="55">
        <f t="shared" si="568"/>
        <v>0</v>
      </c>
      <c r="CL102" s="59">
        <f t="shared" si="569"/>
        <v>0</v>
      </c>
      <c r="CM102" s="57">
        <f t="shared" si="570"/>
        <v>0</v>
      </c>
      <c r="CN102" s="59">
        <f t="shared" si="571"/>
        <v>0</v>
      </c>
      <c r="CO102" s="60">
        <f t="shared" si="572"/>
        <v>0</v>
      </c>
      <c r="CP102" s="59">
        <f t="shared" si="573"/>
        <v>0</v>
      </c>
      <c r="CQ102" s="57">
        <f t="shared" si="574"/>
        <v>0</v>
      </c>
      <c r="CR102" s="59">
        <f t="shared" si="575"/>
        <v>0</v>
      </c>
      <c r="CS102" s="55">
        <f t="shared" si="576"/>
        <v>0</v>
      </c>
      <c r="CT102" s="59">
        <f t="shared" si="577"/>
        <v>0</v>
      </c>
      <c r="CU102" s="60">
        <f t="shared" si="578"/>
        <v>0</v>
      </c>
      <c r="CV102" s="59">
        <f t="shared" si="579"/>
        <v>0</v>
      </c>
      <c r="CW102" s="60">
        <f t="shared" si="580"/>
        <v>0</v>
      </c>
      <c r="CX102" s="59">
        <f t="shared" si="581"/>
        <v>0</v>
      </c>
      <c r="CY102" s="60">
        <f t="shared" si="582"/>
        <v>0</v>
      </c>
      <c r="CZ102" s="59">
        <f t="shared" si="583"/>
        <v>0</v>
      </c>
      <c r="DA102" s="55">
        <f t="shared" si="584"/>
        <v>0</v>
      </c>
      <c r="DB102" s="59">
        <f t="shared" si="585"/>
        <v>0</v>
      </c>
      <c r="DC102" s="60">
        <f t="shared" si="586"/>
        <v>0</v>
      </c>
      <c r="DD102" s="59">
        <f t="shared" si="587"/>
        <v>0</v>
      </c>
      <c r="DE102" s="60">
        <f t="shared" si="588"/>
        <v>0</v>
      </c>
      <c r="DF102" s="59">
        <f t="shared" si="589"/>
        <v>0</v>
      </c>
      <c r="DG102" s="60">
        <f t="shared" si="590"/>
        <v>0</v>
      </c>
      <c r="DH102" s="59">
        <f t="shared" si="591"/>
        <v>0</v>
      </c>
      <c r="DI102" s="60">
        <f t="shared" si="592"/>
        <v>0</v>
      </c>
      <c r="DJ102" s="59">
        <f t="shared" si="593"/>
        <v>0</v>
      </c>
      <c r="DK102" s="55">
        <f t="shared" si="594"/>
        <v>0</v>
      </c>
      <c r="DL102" s="59">
        <f t="shared" si="595"/>
        <v>0</v>
      </c>
      <c r="DM102" s="60">
        <f t="shared" si="596"/>
        <v>0</v>
      </c>
      <c r="DN102" s="59">
        <f t="shared" si="597"/>
        <v>0</v>
      </c>
      <c r="DO102" s="60">
        <f t="shared" si="598"/>
        <v>0</v>
      </c>
      <c r="DP102" s="59">
        <f t="shared" si="599"/>
        <v>0</v>
      </c>
      <c r="DQ102" s="55">
        <f t="shared" si="600"/>
        <v>0</v>
      </c>
      <c r="DR102" s="59">
        <f t="shared" si="601"/>
        <v>0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47"/>
        <v>0.91</v>
      </c>
      <c r="DZ102" s="55">
        <f t="shared" si="647"/>
        <v>0.89</v>
      </c>
      <c r="EA102" s="55">
        <f t="shared" si="647"/>
        <v>0.87</v>
      </c>
      <c r="EB102" s="55">
        <f t="shared" si="647"/>
        <v>0.85</v>
      </c>
      <c r="EC102" s="55">
        <f t="shared" si="647"/>
        <v>0.83</v>
      </c>
      <c r="ED102" s="55">
        <f t="shared" si="647"/>
        <v>0.80999999999999994</v>
      </c>
      <c r="EE102" s="55">
        <f t="shared" si="647"/>
        <v>0.78999999999999992</v>
      </c>
      <c r="EF102" s="55">
        <f t="shared" si="647"/>
        <v>0.76999999999999991</v>
      </c>
      <c r="EG102" s="55">
        <f t="shared" si="647"/>
        <v>0.74999999999999989</v>
      </c>
      <c r="EH102" s="55">
        <f t="shared" si="647"/>
        <v>0.72999999999999987</v>
      </c>
      <c r="EI102" s="55">
        <f t="shared" si="647"/>
        <v>0.70999999999999985</v>
      </c>
      <c r="EJ102" s="55">
        <f t="shared" si="647"/>
        <v>0.68999999999999984</v>
      </c>
      <c r="EK102" s="55">
        <f t="shared" si="647"/>
        <v>0.66999999999999982</v>
      </c>
      <c r="EL102" s="55">
        <f t="shared" si="647"/>
        <v>0.6499999999999998</v>
      </c>
      <c r="EM102" s="55">
        <f t="shared" si="647"/>
        <v>0.62999999999999978</v>
      </c>
      <c r="EN102" s="55">
        <f t="shared" si="647"/>
        <v>0.60999999999999976</v>
      </c>
      <c r="EO102" s="55">
        <f t="shared" si="647"/>
        <v>0.58999999999999975</v>
      </c>
      <c r="EP102" s="55">
        <f t="shared" si="647"/>
        <v>0.56999999999999973</v>
      </c>
      <c r="ER102" s="55">
        <f t="shared" si="648"/>
        <v>0</v>
      </c>
      <c r="ES102" s="55">
        <f t="shared" si="510"/>
        <v>0</v>
      </c>
      <c r="ET102" s="59">
        <f t="shared" si="602"/>
        <v>0</v>
      </c>
      <c r="EU102" s="55">
        <f t="shared" si="603"/>
        <v>0</v>
      </c>
      <c r="EV102" s="59">
        <f t="shared" si="604"/>
        <v>0</v>
      </c>
      <c r="EW102" s="55">
        <f t="shared" si="605"/>
        <v>0</v>
      </c>
      <c r="EX102" s="59">
        <f t="shared" si="606"/>
        <v>0</v>
      </c>
      <c r="EY102" s="55">
        <f t="shared" si="607"/>
        <v>0</v>
      </c>
      <c r="EZ102" s="59">
        <f t="shared" si="608"/>
        <v>0</v>
      </c>
      <c r="FA102" s="57">
        <f t="shared" si="609"/>
        <v>0</v>
      </c>
      <c r="FB102" s="59">
        <f t="shared" si="610"/>
        <v>0</v>
      </c>
      <c r="FC102" s="55">
        <f t="shared" si="611"/>
        <v>0</v>
      </c>
      <c r="FD102" s="59">
        <f t="shared" si="612"/>
        <v>0</v>
      </c>
      <c r="FE102" s="57">
        <f t="shared" si="613"/>
        <v>0</v>
      </c>
      <c r="FF102" s="59">
        <f t="shared" si="614"/>
        <v>0</v>
      </c>
      <c r="FG102" s="60">
        <f t="shared" si="615"/>
        <v>0</v>
      </c>
      <c r="FH102" s="59">
        <f t="shared" si="616"/>
        <v>0</v>
      </c>
      <c r="FI102" s="57">
        <f t="shared" si="617"/>
        <v>0</v>
      </c>
      <c r="FJ102" s="59">
        <f t="shared" si="618"/>
        <v>0</v>
      </c>
      <c r="FK102" s="55">
        <f t="shared" si="619"/>
        <v>0</v>
      </c>
      <c r="FL102" s="59">
        <f t="shared" si="620"/>
        <v>0</v>
      </c>
      <c r="FM102" s="60">
        <f t="shared" si="621"/>
        <v>0</v>
      </c>
      <c r="FN102" s="59">
        <f t="shared" si="622"/>
        <v>0</v>
      </c>
      <c r="FO102" s="60">
        <f t="shared" si="623"/>
        <v>0</v>
      </c>
      <c r="FP102" s="59">
        <f t="shared" si="624"/>
        <v>0</v>
      </c>
      <c r="FQ102" s="60">
        <f t="shared" si="625"/>
        <v>0</v>
      </c>
      <c r="FR102" s="59">
        <f t="shared" si="626"/>
        <v>0</v>
      </c>
      <c r="FS102" s="55">
        <f t="shared" si="627"/>
        <v>0</v>
      </c>
      <c r="FT102" s="59">
        <f t="shared" si="628"/>
        <v>0</v>
      </c>
      <c r="FU102" s="60">
        <f t="shared" si="629"/>
        <v>0</v>
      </c>
      <c r="FV102" s="59">
        <f t="shared" si="630"/>
        <v>0</v>
      </c>
      <c r="FW102" s="60">
        <f t="shared" si="631"/>
        <v>0</v>
      </c>
      <c r="FX102" s="59">
        <f t="shared" si="632"/>
        <v>0</v>
      </c>
      <c r="FY102" s="60">
        <f t="shared" si="633"/>
        <v>0</v>
      </c>
      <c r="FZ102" s="59">
        <f t="shared" si="634"/>
        <v>0</v>
      </c>
      <c r="GA102" s="60">
        <f t="shared" si="635"/>
        <v>0</v>
      </c>
      <c r="GB102" s="59">
        <f t="shared" si="636"/>
        <v>0</v>
      </c>
      <c r="GC102" s="55">
        <f t="shared" si="637"/>
        <v>0</v>
      </c>
      <c r="GD102" s="59">
        <f t="shared" si="638"/>
        <v>0</v>
      </c>
      <c r="GE102" s="60">
        <f t="shared" si="639"/>
        <v>0</v>
      </c>
      <c r="GF102" s="59">
        <f t="shared" si="640"/>
        <v>0</v>
      </c>
      <c r="GG102" s="60">
        <f t="shared" si="641"/>
        <v>0</v>
      </c>
      <c r="GH102" s="59">
        <f t="shared" si="642"/>
        <v>0</v>
      </c>
      <c r="GI102" s="55">
        <f t="shared" si="643"/>
        <v>0</v>
      </c>
      <c r="GJ102" s="59">
        <f t="shared" si="644"/>
        <v>0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49"/>
        <v>0.91</v>
      </c>
      <c r="GR102" s="55">
        <f t="shared" si="649"/>
        <v>0.89</v>
      </c>
      <c r="GS102" s="55">
        <f t="shared" si="649"/>
        <v>0.87</v>
      </c>
      <c r="GT102" s="55">
        <f t="shared" si="649"/>
        <v>0.85</v>
      </c>
      <c r="GU102" s="55">
        <f t="shared" si="649"/>
        <v>0.83</v>
      </c>
      <c r="GV102" s="55">
        <f t="shared" si="649"/>
        <v>0.80999999999999994</v>
      </c>
      <c r="GW102" s="55">
        <f t="shared" si="649"/>
        <v>0.78999999999999992</v>
      </c>
      <c r="GX102" s="55">
        <f t="shared" si="649"/>
        <v>0.76999999999999991</v>
      </c>
      <c r="GY102" s="55">
        <f t="shared" si="649"/>
        <v>0.74999999999999989</v>
      </c>
      <c r="GZ102" s="55">
        <f t="shared" si="649"/>
        <v>0.72999999999999987</v>
      </c>
      <c r="HA102" s="55">
        <f t="shared" si="649"/>
        <v>0.70999999999999985</v>
      </c>
      <c r="HB102" s="55">
        <f t="shared" si="649"/>
        <v>0.68999999999999984</v>
      </c>
      <c r="HC102" s="55">
        <f t="shared" si="649"/>
        <v>0.66999999999999982</v>
      </c>
      <c r="HD102" s="55">
        <f t="shared" si="649"/>
        <v>0.6499999999999998</v>
      </c>
      <c r="HE102" s="55">
        <f t="shared" si="649"/>
        <v>0.62999999999999978</v>
      </c>
      <c r="HF102" s="55">
        <f t="shared" si="649"/>
        <v>0.60999999999999976</v>
      </c>
      <c r="HG102" s="55">
        <f t="shared" si="649"/>
        <v>0.58999999999999975</v>
      </c>
      <c r="HH102" s="55">
        <f t="shared" si="649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15"/>
        <v>0</v>
      </c>
      <c r="H103" s="55">
        <f t="shared" si="505"/>
        <v>0</v>
      </c>
      <c r="I103" s="55">
        <f t="shared" si="506"/>
        <v>0</v>
      </c>
      <c r="J103" s="59">
        <f t="shared" si="507"/>
        <v>0</v>
      </c>
      <c r="K103" s="55">
        <f t="shared" si="516"/>
        <v>0</v>
      </c>
      <c r="L103" s="59">
        <f t="shared" si="517"/>
        <v>0</v>
      </c>
      <c r="M103" s="55">
        <f t="shared" si="518"/>
        <v>0</v>
      </c>
      <c r="N103" s="59">
        <f t="shared" si="519"/>
        <v>0</v>
      </c>
      <c r="O103" s="55">
        <f t="shared" si="520"/>
        <v>0</v>
      </c>
      <c r="P103" s="59">
        <f t="shared" si="521"/>
        <v>0</v>
      </c>
      <c r="Q103" s="57">
        <f t="shared" si="522"/>
        <v>0</v>
      </c>
      <c r="R103" s="59">
        <f t="shared" si="523"/>
        <v>0</v>
      </c>
      <c r="S103" s="55">
        <f t="shared" si="524"/>
        <v>0</v>
      </c>
      <c r="T103" s="59">
        <f t="shared" si="525"/>
        <v>0</v>
      </c>
      <c r="U103" s="57">
        <f t="shared" si="526"/>
        <v>0</v>
      </c>
      <c r="V103" s="59">
        <f t="shared" si="527"/>
        <v>0</v>
      </c>
      <c r="W103" s="60">
        <f t="shared" si="528"/>
        <v>0</v>
      </c>
      <c r="X103" s="59">
        <f t="shared" si="529"/>
        <v>0</v>
      </c>
      <c r="Y103" s="57">
        <f t="shared" si="530"/>
        <v>0</v>
      </c>
      <c r="Z103" s="59">
        <f t="shared" si="531"/>
        <v>0</v>
      </c>
      <c r="AA103" s="55">
        <f t="shared" si="532"/>
        <v>0</v>
      </c>
      <c r="AB103" s="59">
        <f t="shared" si="533"/>
        <v>0</v>
      </c>
      <c r="AC103" s="60">
        <f t="shared" si="534"/>
        <v>0</v>
      </c>
      <c r="AD103" s="59">
        <f t="shared" si="535"/>
        <v>0</v>
      </c>
      <c r="AE103" s="60">
        <f t="shared" si="536"/>
        <v>0</v>
      </c>
      <c r="AF103" s="59">
        <f t="shared" si="537"/>
        <v>0</v>
      </c>
      <c r="AG103" s="60">
        <f t="shared" si="538"/>
        <v>0</v>
      </c>
      <c r="AH103" s="59">
        <f t="shared" si="539"/>
        <v>0</v>
      </c>
      <c r="AI103" s="55">
        <f t="shared" si="540"/>
        <v>0</v>
      </c>
      <c r="AJ103" s="59">
        <f t="shared" si="541"/>
        <v>0</v>
      </c>
      <c r="AK103" s="60">
        <f t="shared" si="542"/>
        <v>0</v>
      </c>
      <c r="AL103" s="59">
        <f t="shared" si="543"/>
        <v>0</v>
      </c>
      <c r="AM103" s="60">
        <f t="shared" si="544"/>
        <v>0</v>
      </c>
      <c r="AN103" s="59">
        <f t="shared" si="545"/>
        <v>0</v>
      </c>
      <c r="AO103" s="60">
        <f t="shared" si="546"/>
        <v>0</v>
      </c>
      <c r="AP103" s="59">
        <f t="shared" si="547"/>
        <v>0</v>
      </c>
      <c r="AQ103" s="60">
        <f t="shared" si="548"/>
        <v>0</v>
      </c>
      <c r="AR103" s="59">
        <f t="shared" si="549"/>
        <v>0</v>
      </c>
      <c r="AS103" s="55">
        <f t="shared" si="550"/>
        <v>0</v>
      </c>
      <c r="AT103" s="59">
        <f t="shared" si="551"/>
        <v>0</v>
      </c>
      <c r="AU103" s="60">
        <f t="shared" si="552"/>
        <v>0</v>
      </c>
      <c r="AV103" s="59">
        <f t="shared" si="553"/>
        <v>0</v>
      </c>
      <c r="AW103" s="60">
        <f t="shared" si="554"/>
        <v>0</v>
      </c>
      <c r="AX103" s="59">
        <f t="shared" si="555"/>
        <v>0</v>
      </c>
      <c r="AY103" s="55">
        <f t="shared" si="556"/>
        <v>0</v>
      </c>
      <c r="AZ103" s="59">
        <f t="shared" si="557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58"/>
        <v>0.91</v>
      </c>
      <c r="BH103" s="55">
        <f t="shared" si="558"/>
        <v>0.89</v>
      </c>
      <c r="BI103" s="55">
        <f t="shared" si="558"/>
        <v>0.87</v>
      </c>
      <c r="BJ103" s="55">
        <f t="shared" si="558"/>
        <v>0.85</v>
      </c>
      <c r="BK103" s="55">
        <f t="shared" si="558"/>
        <v>0.83</v>
      </c>
      <c r="BL103" s="55">
        <f t="shared" si="558"/>
        <v>0.80999999999999994</v>
      </c>
      <c r="BM103" s="55">
        <f t="shared" si="558"/>
        <v>0.78999999999999992</v>
      </c>
      <c r="BN103" s="55">
        <f t="shared" si="558"/>
        <v>0.76999999999999991</v>
      </c>
      <c r="BO103" s="55">
        <f t="shared" si="558"/>
        <v>0.74999999999999989</v>
      </c>
      <c r="BP103" s="55">
        <f t="shared" si="558"/>
        <v>0.72999999999999987</v>
      </c>
      <c r="BQ103" s="55">
        <f t="shared" si="558"/>
        <v>0.70999999999999985</v>
      </c>
      <c r="BR103" s="55">
        <f t="shared" si="558"/>
        <v>0.68999999999999984</v>
      </c>
      <c r="BS103" s="55">
        <f t="shared" si="558"/>
        <v>0.66999999999999982</v>
      </c>
      <c r="BT103" s="55">
        <f t="shared" si="558"/>
        <v>0.6499999999999998</v>
      </c>
      <c r="BU103" s="55">
        <f t="shared" si="558"/>
        <v>0.62999999999999978</v>
      </c>
      <c r="BV103" s="55">
        <f t="shared" si="558"/>
        <v>0.60999999999999976</v>
      </c>
      <c r="BW103" s="55">
        <f t="shared" si="558"/>
        <v>0.58999999999999975</v>
      </c>
      <c r="BX103" s="55">
        <f t="shared" si="558"/>
        <v>0.56999999999999973</v>
      </c>
      <c r="BZ103" s="55">
        <f t="shared" si="508"/>
        <v>0</v>
      </c>
      <c r="CA103" s="55">
        <f t="shared" si="509"/>
        <v>0</v>
      </c>
      <c r="CB103" s="59">
        <f t="shared" si="559"/>
        <v>0</v>
      </c>
      <c r="CC103" s="55">
        <f t="shared" si="560"/>
        <v>0</v>
      </c>
      <c r="CD103" s="59">
        <f t="shared" si="561"/>
        <v>0</v>
      </c>
      <c r="CE103" s="55">
        <f t="shared" si="562"/>
        <v>0</v>
      </c>
      <c r="CF103" s="59">
        <f t="shared" si="563"/>
        <v>0</v>
      </c>
      <c r="CG103" s="55">
        <f t="shared" si="564"/>
        <v>0</v>
      </c>
      <c r="CH103" s="59">
        <f t="shared" si="565"/>
        <v>0</v>
      </c>
      <c r="CI103" s="57">
        <f t="shared" si="566"/>
        <v>0</v>
      </c>
      <c r="CJ103" s="59">
        <f t="shared" si="567"/>
        <v>0</v>
      </c>
      <c r="CK103" s="55">
        <f t="shared" si="568"/>
        <v>0</v>
      </c>
      <c r="CL103" s="59">
        <f t="shared" si="569"/>
        <v>0</v>
      </c>
      <c r="CM103" s="57">
        <f t="shared" si="570"/>
        <v>0</v>
      </c>
      <c r="CN103" s="59">
        <f t="shared" si="571"/>
        <v>0</v>
      </c>
      <c r="CO103" s="60">
        <f t="shared" si="572"/>
        <v>0</v>
      </c>
      <c r="CP103" s="59">
        <f t="shared" si="573"/>
        <v>0</v>
      </c>
      <c r="CQ103" s="57">
        <f t="shared" si="574"/>
        <v>0</v>
      </c>
      <c r="CR103" s="59">
        <f t="shared" si="575"/>
        <v>0</v>
      </c>
      <c r="CS103" s="55">
        <f t="shared" si="576"/>
        <v>0</v>
      </c>
      <c r="CT103" s="59">
        <f t="shared" si="577"/>
        <v>0</v>
      </c>
      <c r="CU103" s="60">
        <f t="shared" si="578"/>
        <v>0</v>
      </c>
      <c r="CV103" s="59">
        <f t="shared" si="579"/>
        <v>0</v>
      </c>
      <c r="CW103" s="60">
        <f t="shared" si="580"/>
        <v>0</v>
      </c>
      <c r="CX103" s="59">
        <f t="shared" si="581"/>
        <v>0</v>
      </c>
      <c r="CY103" s="60">
        <f t="shared" si="582"/>
        <v>0</v>
      </c>
      <c r="CZ103" s="59">
        <f t="shared" si="583"/>
        <v>0</v>
      </c>
      <c r="DA103" s="55">
        <f t="shared" si="584"/>
        <v>0</v>
      </c>
      <c r="DB103" s="59">
        <f t="shared" si="585"/>
        <v>0</v>
      </c>
      <c r="DC103" s="60">
        <f t="shared" si="586"/>
        <v>0</v>
      </c>
      <c r="DD103" s="59">
        <f t="shared" si="587"/>
        <v>0</v>
      </c>
      <c r="DE103" s="60">
        <f t="shared" si="588"/>
        <v>0</v>
      </c>
      <c r="DF103" s="59">
        <f t="shared" si="589"/>
        <v>0</v>
      </c>
      <c r="DG103" s="60">
        <f t="shared" si="590"/>
        <v>0</v>
      </c>
      <c r="DH103" s="59">
        <f t="shared" si="591"/>
        <v>0</v>
      </c>
      <c r="DI103" s="60">
        <f t="shared" si="592"/>
        <v>0</v>
      </c>
      <c r="DJ103" s="59">
        <f t="shared" si="593"/>
        <v>0</v>
      </c>
      <c r="DK103" s="55">
        <f t="shared" si="594"/>
        <v>0</v>
      </c>
      <c r="DL103" s="59">
        <f t="shared" si="595"/>
        <v>0</v>
      </c>
      <c r="DM103" s="60">
        <f t="shared" si="596"/>
        <v>0</v>
      </c>
      <c r="DN103" s="59">
        <f t="shared" si="597"/>
        <v>0</v>
      </c>
      <c r="DO103" s="60">
        <f t="shared" si="598"/>
        <v>0</v>
      </c>
      <c r="DP103" s="59">
        <f t="shared" si="599"/>
        <v>0</v>
      </c>
      <c r="DQ103" s="55">
        <f t="shared" si="600"/>
        <v>0</v>
      </c>
      <c r="DR103" s="59">
        <f t="shared" si="601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47"/>
        <v>0.91</v>
      </c>
      <c r="DZ103" s="55">
        <f t="shared" si="647"/>
        <v>0.89</v>
      </c>
      <c r="EA103" s="55">
        <f t="shared" si="647"/>
        <v>0.87</v>
      </c>
      <c r="EB103" s="55">
        <f t="shared" si="647"/>
        <v>0.85</v>
      </c>
      <c r="EC103" s="55">
        <f t="shared" si="647"/>
        <v>0.83</v>
      </c>
      <c r="ED103" s="55">
        <f t="shared" si="647"/>
        <v>0.80999999999999994</v>
      </c>
      <c r="EE103" s="55">
        <f t="shared" si="647"/>
        <v>0.78999999999999992</v>
      </c>
      <c r="EF103" s="55">
        <f t="shared" si="647"/>
        <v>0.76999999999999991</v>
      </c>
      <c r="EG103" s="55">
        <f t="shared" si="647"/>
        <v>0.74999999999999989</v>
      </c>
      <c r="EH103" s="55">
        <f t="shared" si="647"/>
        <v>0.72999999999999987</v>
      </c>
      <c r="EI103" s="55">
        <f t="shared" si="647"/>
        <v>0.70999999999999985</v>
      </c>
      <c r="EJ103" s="55">
        <f t="shared" si="647"/>
        <v>0.68999999999999984</v>
      </c>
      <c r="EK103" s="55">
        <f t="shared" si="647"/>
        <v>0.66999999999999982</v>
      </c>
      <c r="EL103" s="55">
        <f t="shared" si="647"/>
        <v>0.6499999999999998</v>
      </c>
      <c r="EM103" s="55">
        <f t="shared" si="647"/>
        <v>0.62999999999999978</v>
      </c>
      <c r="EN103" s="55">
        <f t="shared" si="647"/>
        <v>0.60999999999999976</v>
      </c>
      <c r="EO103" s="55">
        <f t="shared" si="647"/>
        <v>0.58999999999999975</v>
      </c>
      <c r="EP103" s="55">
        <f t="shared" si="647"/>
        <v>0.56999999999999973</v>
      </c>
      <c r="ER103" s="55">
        <f t="shared" si="648"/>
        <v>0</v>
      </c>
      <c r="ES103" s="55">
        <f t="shared" si="510"/>
        <v>0</v>
      </c>
      <c r="ET103" s="59">
        <f t="shared" si="602"/>
        <v>0</v>
      </c>
      <c r="EU103" s="55">
        <f t="shared" si="603"/>
        <v>0</v>
      </c>
      <c r="EV103" s="59">
        <f t="shared" si="604"/>
        <v>0</v>
      </c>
      <c r="EW103" s="55">
        <f t="shared" si="605"/>
        <v>0</v>
      </c>
      <c r="EX103" s="59">
        <f t="shared" si="606"/>
        <v>0</v>
      </c>
      <c r="EY103" s="55">
        <f t="shared" si="607"/>
        <v>0</v>
      </c>
      <c r="EZ103" s="59">
        <f t="shared" si="608"/>
        <v>0</v>
      </c>
      <c r="FA103" s="57">
        <f t="shared" si="609"/>
        <v>0</v>
      </c>
      <c r="FB103" s="59">
        <f t="shared" si="610"/>
        <v>0</v>
      </c>
      <c r="FC103" s="55">
        <f t="shared" si="611"/>
        <v>0</v>
      </c>
      <c r="FD103" s="59">
        <f t="shared" si="612"/>
        <v>0</v>
      </c>
      <c r="FE103" s="57">
        <f t="shared" si="613"/>
        <v>0</v>
      </c>
      <c r="FF103" s="59">
        <f t="shared" si="614"/>
        <v>0</v>
      </c>
      <c r="FG103" s="60">
        <f t="shared" si="615"/>
        <v>0</v>
      </c>
      <c r="FH103" s="59">
        <f t="shared" si="616"/>
        <v>0</v>
      </c>
      <c r="FI103" s="57">
        <f t="shared" si="617"/>
        <v>0</v>
      </c>
      <c r="FJ103" s="59">
        <f t="shared" si="618"/>
        <v>0</v>
      </c>
      <c r="FK103" s="55">
        <f t="shared" si="619"/>
        <v>0</v>
      </c>
      <c r="FL103" s="59">
        <f t="shared" si="620"/>
        <v>0</v>
      </c>
      <c r="FM103" s="60">
        <f t="shared" si="621"/>
        <v>0</v>
      </c>
      <c r="FN103" s="59">
        <f t="shared" si="622"/>
        <v>0</v>
      </c>
      <c r="FO103" s="60">
        <f t="shared" si="623"/>
        <v>0</v>
      </c>
      <c r="FP103" s="59">
        <f t="shared" si="624"/>
        <v>0</v>
      </c>
      <c r="FQ103" s="60">
        <f t="shared" si="625"/>
        <v>0</v>
      </c>
      <c r="FR103" s="59">
        <f t="shared" si="626"/>
        <v>0</v>
      </c>
      <c r="FS103" s="55">
        <f t="shared" si="627"/>
        <v>0</v>
      </c>
      <c r="FT103" s="59">
        <f t="shared" si="628"/>
        <v>0</v>
      </c>
      <c r="FU103" s="60">
        <f t="shared" si="629"/>
        <v>0</v>
      </c>
      <c r="FV103" s="59">
        <f t="shared" si="630"/>
        <v>0</v>
      </c>
      <c r="FW103" s="60">
        <f t="shared" si="631"/>
        <v>0</v>
      </c>
      <c r="FX103" s="59">
        <f t="shared" si="632"/>
        <v>0</v>
      </c>
      <c r="FY103" s="60">
        <f t="shared" si="633"/>
        <v>0</v>
      </c>
      <c r="FZ103" s="59">
        <f t="shared" si="634"/>
        <v>0</v>
      </c>
      <c r="GA103" s="60">
        <f t="shared" si="635"/>
        <v>0</v>
      </c>
      <c r="GB103" s="59">
        <f t="shared" si="636"/>
        <v>0</v>
      </c>
      <c r="GC103" s="55">
        <f t="shared" si="637"/>
        <v>0</v>
      </c>
      <c r="GD103" s="59">
        <f t="shared" si="638"/>
        <v>0</v>
      </c>
      <c r="GE103" s="60">
        <f t="shared" si="639"/>
        <v>0</v>
      </c>
      <c r="GF103" s="59">
        <f t="shared" si="640"/>
        <v>0</v>
      </c>
      <c r="GG103" s="60">
        <f t="shared" si="641"/>
        <v>0</v>
      </c>
      <c r="GH103" s="59">
        <f t="shared" si="642"/>
        <v>0</v>
      </c>
      <c r="GI103" s="55">
        <f t="shared" si="643"/>
        <v>0</v>
      </c>
      <c r="GJ103" s="59">
        <f t="shared" si="644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49"/>
        <v>0.91</v>
      </c>
      <c r="GR103" s="55">
        <f t="shared" si="649"/>
        <v>0.89</v>
      </c>
      <c r="GS103" s="55">
        <f t="shared" si="649"/>
        <v>0.87</v>
      </c>
      <c r="GT103" s="55">
        <f t="shared" si="649"/>
        <v>0.85</v>
      </c>
      <c r="GU103" s="55">
        <f t="shared" si="649"/>
        <v>0.83</v>
      </c>
      <c r="GV103" s="55">
        <f t="shared" si="649"/>
        <v>0.80999999999999994</v>
      </c>
      <c r="GW103" s="55">
        <f t="shared" si="649"/>
        <v>0.78999999999999992</v>
      </c>
      <c r="GX103" s="55">
        <f t="shared" si="649"/>
        <v>0.76999999999999991</v>
      </c>
      <c r="GY103" s="55">
        <f t="shared" si="649"/>
        <v>0.74999999999999989</v>
      </c>
      <c r="GZ103" s="55">
        <f t="shared" si="649"/>
        <v>0.72999999999999987</v>
      </c>
      <c r="HA103" s="55">
        <f t="shared" si="649"/>
        <v>0.70999999999999985</v>
      </c>
      <c r="HB103" s="55">
        <f t="shared" si="649"/>
        <v>0.68999999999999984</v>
      </c>
      <c r="HC103" s="55">
        <f t="shared" si="649"/>
        <v>0.66999999999999982</v>
      </c>
      <c r="HD103" s="55">
        <f t="shared" si="649"/>
        <v>0.6499999999999998</v>
      </c>
      <c r="HE103" s="55">
        <f t="shared" si="649"/>
        <v>0.62999999999999978</v>
      </c>
      <c r="HF103" s="55">
        <f t="shared" si="649"/>
        <v>0.60999999999999976</v>
      </c>
      <c r="HG103" s="55">
        <f t="shared" si="649"/>
        <v>0.58999999999999975</v>
      </c>
      <c r="HH103" s="55">
        <f t="shared" si="649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15"/>
        <v>0</v>
      </c>
      <c r="H104" s="55">
        <f t="shared" si="505"/>
        <v>0</v>
      </c>
      <c r="I104" s="55">
        <f t="shared" si="506"/>
        <v>0</v>
      </c>
      <c r="J104" s="59">
        <f t="shared" si="507"/>
        <v>0</v>
      </c>
      <c r="K104" s="55">
        <f t="shared" si="516"/>
        <v>0</v>
      </c>
      <c r="L104" s="59">
        <f t="shared" si="517"/>
        <v>0</v>
      </c>
      <c r="M104" s="55">
        <f t="shared" si="518"/>
        <v>0</v>
      </c>
      <c r="N104" s="59">
        <f t="shared" si="519"/>
        <v>0</v>
      </c>
      <c r="O104" s="55">
        <f t="shared" si="520"/>
        <v>0</v>
      </c>
      <c r="P104" s="59">
        <f t="shared" si="521"/>
        <v>0</v>
      </c>
      <c r="Q104" s="57">
        <f t="shared" si="522"/>
        <v>0</v>
      </c>
      <c r="R104" s="59">
        <f t="shared" si="523"/>
        <v>0</v>
      </c>
      <c r="S104" s="55">
        <f t="shared" si="524"/>
        <v>0</v>
      </c>
      <c r="T104" s="59">
        <f t="shared" si="525"/>
        <v>0</v>
      </c>
      <c r="U104" s="57">
        <f t="shared" si="526"/>
        <v>0</v>
      </c>
      <c r="V104" s="59">
        <f t="shared" si="527"/>
        <v>0</v>
      </c>
      <c r="W104" s="60">
        <f t="shared" si="528"/>
        <v>0</v>
      </c>
      <c r="X104" s="59">
        <f t="shared" si="529"/>
        <v>0</v>
      </c>
      <c r="Y104" s="57">
        <f t="shared" si="530"/>
        <v>0</v>
      </c>
      <c r="Z104" s="59">
        <f t="shared" si="531"/>
        <v>0</v>
      </c>
      <c r="AA104" s="55">
        <f t="shared" si="532"/>
        <v>0</v>
      </c>
      <c r="AB104" s="59">
        <f t="shared" si="533"/>
        <v>0</v>
      </c>
      <c r="AC104" s="60">
        <f t="shared" si="534"/>
        <v>0</v>
      </c>
      <c r="AD104" s="59">
        <f t="shared" si="535"/>
        <v>0</v>
      </c>
      <c r="AE104" s="60">
        <f t="shared" si="536"/>
        <v>0</v>
      </c>
      <c r="AF104" s="59">
        <f t="shared" si="537"/>
        <v>0</v>
      </c>
      <c r="AG104" s="60">
        <f t="shared" si="538"/>
        <v>0</v>
      </c>
      <c r="AH104" s="59">
        <f t="shared" si="539"/>
        <v>0</v>
      </c>
      <c r="AI104" s="55">
        <f t="shared" si="540"/>
        <v>0</v>
      </c>
      <c r="AJ104" s="59">
        <f t="shared" si="541"/>
        <v>0</v>
      </c>
      <c r="AK104" s="60">
        <f t="shared" si="542"/>
        <v>0</v>
      </c>
      <c r="AL104" s="59">
        <f t="shared" si="543"/>
        <v>0</v>
      </c>
      <c r="AM104" s="60">
        <f t="shared" si="544"/>
        <v>0</v>
      </c>
      <c r="AN104" s="59">
        <f t="shared" si="545"/>
        <v>0</v>
      </c>
      <c r="AO104" s="60">
        <f t="shared" si="546"/>
        <v>0</v>
      </c>
      <c r="AP104" s="59">
        <f t="shared" si="547"/>
        <v>0</v>
      </c>
      <c r="AQ104" s="60">
        <f t="shared" si="548"/>
        <v>0</v>
      </c>
      <c r="AR104" s="59">
        <f t="shared" si="549"/>
        <v>0</v>
      </c>
      <c r="AS104" s="55">
        <f t="shared" si="550"/>
        <v>0</v>
      </c>
      <c r="AT104" s="59">
        <f t="shared" si="551"/>
        <v>0</v>
      </c>
      <c r="AU104" s="60">
        <f t="shared" si="552"/>
        <v>0</v>
      </c>
      <c r="AV104" s="59">
        <f t="shared" si="553"/>
        <v>0</v>
      </c>
      <c r="AW104" s="60">
        <f t="shared" si="554"/>
        <v>0</v>
      </c>
      <c r="AX104" s="59">
        <f t="shared" si="555"/>
        <v>0</v>
      </c>
      <c r="AY104" s="55">
        <f t="shared" si="556"/>
        <v>0</v>
      </c>
      <c r="AZ104" s="59">
        <f t="shared" si="557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58"/>
        <v>0.91</v>
      </c>
      <c r="BH104" s="55">
        <f t="shared" si="558"/>
        <v>0.89</v>
      </c>
      <c r="BI104" s="55">
        <f t="shared" si="558"/>
        <v>0.87</v>
      </c>
      <c r="BJ104" s="55">
        <f t="shared" si="558"/>
        <v>0.85</v>
      </c>
      <c r="BK104" s="55">
        <f t="shared" si="558"/>
        <v>0.83</v>
      </c>
      <c r="BL104" s="55">
        <f t="shared" si="558"/>
        <v>0.80999999999999994</v>
      </c>
      <c r="BM104" s="55">
        <f t="shared" si="558"/>
        <v>0.78999999999999992</v>
      </c>
      <c r="BN104" s="55">
        <f t="shared" si="558"/>
        <v>0.76999999999999991</v>
      </c>
      <c r="BO104" s="55">
        <f t="shared" si="558"/>
        <v>0.74999999999999989</v>
      </c>
      <c r="BP104" s="55">
        <f t="shared" si="558"/>
        <v>0.72999999999999987</v>
      </c>
      <c r="BQ104" s="55">
        <f t="shared" si="558"/>
        <v>0.70999999999999985</v>
      </c>
      <c r="BR104" s="55">
        <f t="shared" si="558"/>
        <v>0.68999999999999984</v>
      </c>
      <c r="BS104" s="55">
        <f t="shared" si="558"/>
        <v>0.66999999999999982</v>
      </c>
      <c r="BT104" s="55">
        <f t="shared" si="558"/>
        <v>0.6499999999999998</v>
      </c>
      <c r="BU104" s="55">
        <f t="shared" si="558"/>
        <v>0.62999999999999978</v>
      </c>
      <c r="BV104" s="55">
        <f t="shared" si="558"/>
        <v>0.60999999999999976</v>
      </c>
      <c r="BW104" s="55">
        <f t="shared" si="558"/>
        <v>0.58999999999999975</v>
      </c>
      <c r="BX104" s="55">
        <f t="shared" si="558"/>
        <v>0.56999999999999973</v>
      </c>
      <c r="BZ104" s="55">
        <f t="shared" si="508"/>
        <v>0</v>
      </c>
      <c r="CA104" s="55">
        <f t="shared" si="509"/>
        <v>0</v>
      </c>
      <c r="CB104" s="59">
        <f t="shared" si="559"/>
        <v>0</v>
      </c>
      <c r="CC104" s="55">
        <f t="shared" si="560"/>
        <v>0</v>
      </c>
      <c r="CD104" s="59">
        <f t="shared" si="561"/>
        <v>0</v>
      </c>
      <c r="CE104" s="55">
        <f t="shared" si="562"/>
        <v>0</v>
      </c>
      <c r="CF104" s="59">
        <f t="shared" si="563"/>
        <v>0</v>
      </c>
      <c r="CG104" s="55">
        <f t="shared" si="564"/>
        <v>0</v>
      </c>
      <c r="CH104" s="59">
        <f t="shared" si="565"/>
        <v>0</v>
      </c>
      <c r="CI104" s="57">
        <f t="shared" si="566"/>
        <v>0</v>
      </c>
      <c r="CJ104" s="59">
        <f t="shared" si="567"/>
        <v>0</v>
      </c>
      <c r="CK104" s="55">
        <f t="shared" si="568"/>
        <v>0</v>
      </c>
      <c r="CL104" s="59">
        <f t="shared" si="569"/>
        <v>0</v>
      </c>
      <c r="CM104" s="57">
        <f t="shared" si="570"/>
        <v>0</v>
      </c>
      <c r="CN104" s="59">
        <f t="shared" si="571"/>
        <v>0</v>
      </c>
      <c r="CO104" s="60">
        <f t="shared" si="572"/>
        <v>0</v>
      </c>
      <c r="CP104" s="59">
        <f t="shared" si="573"/>
        <v>0</v>
      </c>
      <c r="CQ104" s="57">
        <f t="shared" si="574"/>
        <v>0</v>
      </c>
      <c r="CR104" s="59">
        <f t="shared" si="575"/>
        <v>0</v>
      </c>
      <c r="CS104" s="55">
        <f t="shared" si="576"/>
        <v>0</v>
      </c>
      <c r="CT104" s="59">
        <f t="shared" si="577"/>
        <v>0</v>
      </c>
      <c r="CU104" s="60">
        <f t="shared" si="578"/>
        <v>0</v>
      </c>
      <c r="CV104" s="59">
        <f t="shared" si="579"/>
        <v>0</v>
      </c>
      <c r="CW104" s="60">
        <f t="shared" si="580"/>
        <v>0</v>
      </c>
      <c r="CX104" s="59">
        <f t="shared" si="581"/>
        <v>0</v>
      </c>
      <c r="CY104" s="60">
        <f t="shared" si="582"/>
        <v>0</v>
      </c>
      <c r="CZ104" s="59">
        <f t="shared" si="583"/>
        <v>0</v>
      </c>
      <c r="DA104" s="55">
        <f t="shared" si="584"/>
        <v>0</v>
      </c>
      <c r="DB104" s="59">
        <f t="shared" si="585"/>
        <v>0</v>
      </c>
      <c r="DC104" s="60">
        <f t="shared" si="586"/>
        <v>0</v>
      </c>
      <c r="DD104" s="59">
        <f t="shared" si="587"/>
        <v>0</v>
      </c>
      <c r="DE104" s="60">
        <f t="shared" si="588"/>
        <v>0</v>
      </c>
      <c r="DF104" s="59">
        <f t="shared" si="589"/>
        <v>0</v>
      </c>
      <c r="DG104" s="60">
        <f t="shared" si="590"/>
        <v>0</v>
      </c>
      <c r="DH104" s="59">
        <f t="shared" si="591"/>
        <v>0</v>
      </c>
      <c r="DI104" s="60">
        <f t="shared" si="592"/>
        <v>0</v>
      </c>
      <c r="DJ104" s="59">
        <f t="shared" si="593"/>
        <v>0</v>
      </c>
      <c r="DK104" s="55">
        <f t="shared" si="594"/>
        <v>0</v>
      </c>
      <c r="DL104" s="59">
        <f t="shared" si="595"/>
        <v>0</v>
      </c>
      <c r="DM104" s="60">
        <f t="shared" si="596"/>
        <v>0</v>
      </c>
      <c r="DN104" s="59">
        <f t="shared" si="597"/>
        <v>0</v>
      </c>
      <c r="DO104" s="60">
        <f t="shared" si="598"/>
        <v>0</v>
      </c>
      <c r="DP104" s="59">
        <f t="shared" si="599"/>
        <v>0</v>
      </c>
      <c r="DQ104" s="55">
        <f t="shared" si="600"/>
        <v>0</v>
      </c>
      <c r="DR104" s="59">
        <f t="shared" si="601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47"/>
        <v>0.91</v>
      </c>
      <c r="DZ104" s="55">
        <f t="shared" si="647"/>
        <v>0.89</v>
      </c>
      <c r="EA104" s="55">
        <f t="shared" si="647"/>
        <v>0.87</v>
      </c>
      <c r="EB104" s="55">
        <f t="shared" si="647"/>
        <v>0.85</v>
      </c>
      <c r="EC104" s="55">
        <f t="shared" si="647"/>
        <v>0.83</v>
      </c>
      <c r="ED104" s="55">
        <f t="shared" si="647"/>
        <v>0.80999999999999994</v>
      </c>
      <c r="EE104" s="55">
        <f t="shared" si="647"/>
        <v>0.78999999999999992</v>
      </c>
      <c r="EF104" s="55">
        <f t="shared" si="647"/>
        <v>0.76999999999999991</v>
      </c>
      <c r="EG104" s="55">
        <f t="shared" si="647"/>
        <v>0.74999999999999989</v>
      </c>
      <c r="EH104" s="55">
        <f t="shared" si="647"/>
        <v>0.72999999999999987</v>
      </c>
      <c r="EI104" s="55">
        <f t="shared" si="647"/>
        <v>0.70999999999999985</v>
      </c>
      <c r="EJ104" s="55">
        <f t="shared" si="647"/>
        <v>0.68999999999999984</v>
      </c>
      <c r="EK104" s="55">
        <f t="shared" si="647"/>
        <v>0.66999999999999982</v>
      </c>
      <c r="EL104" s="55">
        <f t="shared" si="647"/>
        <v>0.6499999999999998</v>
      </c>
      <c r="EM104" s="55">
        <f t="shared" si="647"/>
        <v>0.62999999999999978</v>
      </c>
      <c r="EN104" s="55">
        <f t="shared" si="647"/>
        <v>0.60999999999999976</v>
      </c>
      <c r="EO104" s="55">
        <f t="shared" si="647"/>
        <v>0.58999999999999975</v>
      </c>
      <c r="EP104" s="55">
        <f t="shared" si="647"/>
        <v>0.56999999999999973</v>
      </c>
      <c r="ER104" s="55">
        <f t="shared" si="648"/>
        <v>0</v>
      </c>
      <c r="ES104" s="55">
        <f t="shared" si="510"/>
        <v>0</v>
      </c>
      <c r="ET104" s="59">
        <f t="shared" si="602"/>
        <v>0</v>
      </c>
      <c r="EU104" s="55">
        <f t="shared" si="603"/>
        <v>0</v>
      </c>
      <c r="EV104" s="59">
        <f t="shared" si="604"/>
        <v>0</v>
      </c>
      <c r="EW104" s="55">
        <f t="shared" si="605"/>
        <v>0</v>
      </c>
      <c r="EX104" s="59">
        <f t="shared" si="606"/>
        <v>0</v>
      </c>
      <c r="EY104" s="55">
        <f t="shared" si="607"/>
        <v>0</v>
      </c>
      <c r="EZ104" s="59">
        <f t="shared" si="608"/>
        <v>0</v>
      </c>
      <c r="FA104" s="57">
        <f t="shared" si="609"/>
        <v>0</v>
      </c>
      <c r="FB104" s="59">
        <f t="shared" si="610"/>
        <v>0</v>
      </c>
      <c r="FC104" s="55">
        <f t="shared" si="611"/>
        <v>0</v>
      </c>
      <c r="FD104" s="59">
        <f t="shared" si="612"/>
        <v>0</v>
      </c>
      <c r="FE104" s="57">
        <f t="shared" si="613"/>
        <v>0</v>
      </c>
      <c r="FF104" s="59">
        <f t="shared" si="614"/>
        <v>0</v>
      </c>
      <c r="FG104" s="60">
        <f t="shared" si="615"/>
        <v>0</v>
      </c>
      <c r="FH104" s="59">
        <f t="shared" si="616"/>
        <v>0</v>
      </c>
      <c r="FI104" s="57">
        <f t="shared" si="617"/>
        <v>0</v>
      </c>
      <c r="FJ104" s="59">
        <f t="shared" si="618"/>
        <v>0</v>
      </c>
      <c r="FK104" s="55">
        <f t="shared" si="619"/>
        <v>0</v>
      </c>
      <c r="FL104" s="59">
        <f t="shared" si="620"/>
        <v>0</v>
      </c>
      <c r="FM104" s="60">
        <f t="shared" si="621"/>
        <v>0</v>
      </c>
      <c r="FN104" s="59">
        <f t="shared" si="622"/>
        <v>0</v>
      </c>
      <c r="FO104" s="60">
        <f t="shared" si="623"/>
        <v>0</v>
      </c>
      <c r="FP104" s="59">
        <f t="shared" si="624"/>
        <v>0</v>
      </c>
      <c r="FQ104" s="60">
        <f t="shared" si="625"/>
        <v>0</v>
      </c>
      <c r="FR104" s="59">
        <f t="shared" si="626"/>
        <v>0</v>
      </c>
      <c r="FS104" s="55">
        <f t="shared" si="627"/>
        <v>0</v>
      </c>
      <c r="FT104" s="59">
        <f t="shared" si="628"/>
        <v>0</v>
      </c>
      <c r="FU104" s="60">
        <f t="shared" si="629"/>
        <v>0</v>
      </c>
      <c r="FV104" s="59">
        <f t="shared" si="630"/>
        <v>0</v>
      </c>
      <c r="FW104" s="60">
        <f t="shared" si="631"/>
        <v>0</v>
      </c>
      <c r="FX104" s="59">
        <f t="shared" si="632"/>
        <v>0</v>
      </c>
      <c r="FY104" s="60">
        <f t="shared" si="633"/>
        <v>0</v>
      </c>
      <c r="FZ104" s="59">
        <f t="shared" si="634"/>
        <v>0</v>
      </c>
      <c r="GA104" s="60">
        <f t="shared" si="635"/>
        <v>0</v>
      </c>
      <c r="GB104" s="59">
        <f t="shared" si="636"/>
        <v>0</v>
      </c>
      <c r="GC104" s="55">
        <f t="shared" si="637"/>
        <v>0</v>
      </c>
      <c r="GD104" s="59">
        <f t="shared" si="638"/>
        <v>0</v>
      </c>
      <c r="GE104" s="60">
        <f t="shared" si="639"/>
        <v>0</v>
      </c>
      <c r="GF104" s="59">
        <f t="shared" si="640"/>
        <v>0</v>
      </c>
      <c r="GG104" s="60">
        <f t="shared" si="641"/>
        <v>0</v>
      </c>
      <c r="GH104" s="59">
        <f t="shared" si="642"/>
        <v>0</v>
      </c>
      <c r="GI104" s="55">
        <f t="shared" si="643"/>
        <v>0</v>
      </c>
      <c r="GJ104" s="59">
        <f t="shared" si="644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49"/>
        <v>0.91</v>
      </c>
      <c r="GR104" s="55">
        <f t="shared" si="649"/>
        <v>0.89</v>
      </c>
      <c r="GS104" s="55">
        <f t="shared" si="649"/>
        <v>0.87</v>
      </c>
      <c r="GT104" s="55">
        <f t="shared" si="649"/>
        <v>0.85</v>
      </c>
      <c r="GU104" s="55">
        <f t="shared" si="649"/>
        <v>0.83</v>
      </c>
      <c r="GV104" s="55">
        <f t="shared" si="649"/>
        <v>0.80999999999999994</v>
      </c>
      <c r="GW104" s="55">
        <f t="shared" si="649"/>
        <v>0.78999999999999992</v>
      </c>
      <c r="GX104" s="55">
        <f t="shared" si="649"/>
        <v>0.76999999999999991</v>
      </c>
      <c r="GY104" s="55">
        <f t="shared" si="649"/>
        <v>0.74999999999999989</v>
      </c>
      <c r="GZ104" s="55">
        <f t="shared" si="649"/>
        <v>0.72999999999999987</v>
      </c>
      <c r="HA104" s="55">
        <f t="shared" si="649"/>
        <v>0.70999999999999985</v>
      </c>
      <c r="HB104" s="55">
        <f t="shared" si="649"/>
        <v>0.68999999999999984</v>
      </c>
      <c r="HC104" s="55">
        <f t="shared" si="649"/>
        <v>0.66999999999999982</v>
      </c>
      <c r="HD104" s="55">
        <f t="shared" si="649"/>
        <v>0.6499999999999998</v>
      </c>
      <c r="HE104" s="55">
        <f t="shared" si="649"/>
        <v>0.62999999999999978</v>
      </c>
      <c r="HF104" s="55">
        <f t="shared" si="649"/>
        <v>0.60999999999999976</v>
      </c>
      <c r="HG104" s="55">
        <f t="shared" si="649"/>
        <v>0.58999999999999975</v>
      </c>
      <c r="HH104" s="55">
        <f t="shared" si="649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15"/>
        <v>0</v>
      </c>
      <c r="H105" s="55">
        <f t="shared" si="505"/>
        <v>0</v>
      </c>
      <c r="I105" s="55">
        <f t="shared" si="506"/>
        <v>0</v>
      </c>
      <c r="J105" s="59">
        <f t="shared" si="507"/>
        <v>0</v>
      </c>
      <c r="K105" s="55">
        <f t="shared" si="516"/>
        <v>0</v>
      </c>
      <c r="L105" s="59">
        <f t="shared" si="517"/>
        <v>0</v>
      </c>
      <c r="M105" s="55">
        <f t="shared" si="518"/>
        <v>0</v>
      </c>
      <c r="N105" s="59">
        <f t="shared" si="519"/>
        <v>0</v>
      </c>
      <c r="O105" s="55">
        <f t="shared" si="520"/>
        <v>0</v>
      </c>
      <c r="P105" s="59">
        <f t="shared" si="521"/>
        <v>0</v>
      </c>
      <c r="Q105" s="57">
        <f t="shared" si="522"/>
        <v>0</v>
      </c>
      <c r="R105" s="59">
        <f t="shared" si="523"/>
        <v>0</v>
      </c>
      <c r="S105" s="55">
        <f t="shared" si="524"/>
        <v>0</v>
      </c>
      <c r="T105" s="59">
        <f t="shared" si="525"/>
        <v>0</v>
      </c>
      <c r="U105" s="57">
        <f t="shared" si="526"/>
        <v>0</v>
      </c>
      <c r="V105" s="59">
        <f t="shared" si="527"/>
        <v>0</v>
      </c>
      <c r="W105" s="60">
        <f t="shared" si="528"/>
        <v>0</v>
      </c>
      <c r="X105" s="59">
        <f t="shared" si="529"/>
        <v>0</v>
      </c>
      <c r="Y105" s="57">
        <f t="shared" si="530"/>
        <v>0</v>
      </c>
      <c r="Z105" s="59">
        <f t="shared" si="531"/>
        <v>0</v>
      </c>
      <c r="AA105" s="55">
        <f t="shared" si="532"/>
        <v>0</v>
      </c>
      <c r="AB105" s="59">
        <f t="shared" si="533"/>
        <v>0</v>
      </c>
      <c r="AC105" s="60">
        <f t="shared" si="534"/>
        <v>0</v>
      </c>
      <c r="AD105" s="59">
        <f t="shared" si="535"/>
        <v>0</v>
      </c>
      <c r="AE105" s="60">
        <f t="shared" si="536"/>
        <v>0</v>
      </c>
      <c r="AF105" s="59">
        <f t="shared" si="537"/>
        <v>0</v>
      </c>
      <c r="AG105" s="60">
        <f t="shared" si="538"/>
        <v>0</v>
      </c>
      <c r="AH105" s="59">
        <f t="shared" si="539"/>
        <v>0</v>
      </c>
      <c r="AI105" s="55">
        <f t="shared" si="540"/>
        <v>0</v>
      </c>
      <c r="AJ105" s="59">
        <f t="shared" si="541"/>
        <v>0</v>
      </c>
      <c r="AK105" s="60">
        <f t="shared" si="542"/>
        <v>0</v>
      </c>
      <c r="AL105" s="59">
        <f t="shared" si="543"/>
        <v>0</v>
      </c>
      <c r="AM105" s="60">
        <f t="shared" si="544"/>
        <v>0</v>
      </c>
      <c r="AN105" s="59">
        <f t="shared" si="545"/>
        <v>0</v>
      </c>
      <c r="AO105" s="60">
        <f t="shared" si="546"/>
        <v>0</v>
      </c>
      <c r="AP105" s="59">
        <f t="shared" si="547"/>
        <v>0</v>
      </c>
      <c r="AQ105" s="60">
        <f t="shared" si="548"/>
        <v>0</v>
      </c>
      <c r="AR105" s="59">
        <f t="shared" si="549"/>
        <v>0</v>
      </c>
      <c r="AS105" s="55">
        <f t="shared" si="550"/>
        <v>0</v>
      </c>
      <c r="AT105" s="59">
        <f t="shared" si="551"/>
        <v>0</v>
      </c>
      <c r="AU105" s="60">
        <f t="shared" si="552"/>
        <v>0</v>
      </c>
      <c r="AV105" s="59">
        <f t="shared" si="553"/>
        <v>0</v>
      </c>
      <c r="AW105" s="60">
        <f t="shared" si="554"/>
        <v>0</v>
      </c>
      <c r="AX105" s="59">
        <f t="shared" si="555"/>
        <v>0</v>
      </c>
      <c r="AY105" s="55">
        <f t="shared" si="556"/>
        <v>0</v>
      </c>
      <c r="AZ105" s="59">
        <f t="shared" si="557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58"/>
        <v>0.91</v>
      </c>
      <c r="BH105" s="55">
        <f t="shared" si="558"/>
        <v>0.89</v>
      </c>
      <c r="BI105" s="55">
        <f t="shared" si="558"/>
        <v>0.87</v>
      </c>
      <c r="BJ105" s="55">
        <f t="shared" si="558"/>
        <v>0.85</v>
      </c>
      <c r="BK105" s="55">
        <f t="shared" si="558"/>
        <v>0.83</v>
      </c>
      <c r="BL105" s="55">
        <f t="shared" si="558"/>
        <v>0.80999999999999994</v>
      </c>
      <c r="BM105" s="55">
        <f t="shared" si="558"/>
        <v>0.78999999999999992</v>
      </c>
      <c r="BN105" s="55">
        <f t="shared" si="558"/>
        <v>0.76999999999999991</v>
      </c>
      <c r="BO105" s="55">
        <f t="shared" si="558"/>
        <v>0.74999999999999989</v>
      </c>
      <c r="BP105" s="55">
        <f t="shared" si="558"/>
        <v>0.72999999999999987</v>
      </c>
      <c r="BQ105" s="55">
        <f t="shared" si="558"/>
        <v>0.70999999999999985</v>
      </c>
      <c r="BR105" s="55">
        <f t="shared" si="558"/>
        <v>0.68999999999999984</v>
      </c>
      <c r="BS105" s="55">
        <f t="shared" si="558"/>
        <v>0.66999999999999982</v>
      </c>
      <c r="BT105" s="55">
        <f t="shared" si="558"/>
        <v>0.6499999999999998</v>
      </c>
      <c r="BU105" s="55">
        <f t="shared" si="558"/>
        <v>0.62999999999999978</v>
      </c>
      <c r="BV105" s="55">
        <f t="shared" si="558"/>
        <v>0.60999999999999976</v>
      </c>
      <c r="BW105" s="55">
        <f t="shared" si="558"/>
        <v>0.58999999999999975</v>
      </c>
      <c r="BX105" s="55">
        <f t="shared" si="558"/>
        <v>0.56999999999999973</v>
      </c>
      <c r="BZ105" s="55">
        <f t="shared" si="508"/>
        <v>0</v>
      </c>
      <c r="CA105" s="55">
        <f t="shared" si="509"/>
        <v>0</v>
      </c>
      <c r="CB105" s="59">
        <f t="shared" si="559"/>
        <v>0</v>
      </c>
      <c r="CC105" s="55">
        <f t="shared" si="560"/>
        <v>0</v>
      </c>
      <c r="CD105" s="59">
        <f t="shared" si="561"/>
        <v>0</v>
      </c>
      <c r="CE105" s="55">
        <f t="shared" si="562"/>
        <v>0</v>
      </c>
      <c r="CF105" s="59">
        <f t="shared" si="563"/>
        <v>0</v>
      </c>
      <c r="CG105" s="55">
        <f t="shared" si="564"/>
        <v>0</v>
      </c>
      <c r="CH105" s="59">
        <f t="shared" si="565"/>
        <v>0</v>
      </c>
      <c r="CI105" s="57">
        <f t="shared" si="566"/>
        <v>0</v>
      </c>
      <c r="CJ105" s="59">
        <f t="shared" si="567"/>
        <v>0</v>
      </c>
      <c r="CK105" s="55">
        <f t="shared" si="568"/>
        <v>0</v>
      </c>
      <c r="CL105" s="59">
        <f t="shared" si="569"/>
        <v>0</v>
      </c>
      <c r="CM105" s="57">
        <f t="shared" si="570"/>
        <v>0</v>
      </c>
      <c r="CN105" s="59">
        <f t="shared" si="571"/>
        <v>0</v>
      </c>
      <c r="CO105" s="60">
        <f t="shared" si="572"/>
        <v>0</v>
      </c>
      <c r="CP105" s="59">
        <f t="shared" si="573"/>
        <v>0</v>
      </c>
      <c r="CQ105" s="57">
        <f t="shared" si="574"/>
        <v>0</v>
      </c>
      <c r="CR105" s="59">
        <f t="shared" si="575"/>
        <v>0</v>
      </c>
      <c r="CS105" s="55">
        <f t="shared" si="576"/>
        <v>0</v>
      </c>
      <c r="CT105" s="59">
        <f t="shared" si="577"/>
        <v>0</v>
      </c>
      <c r="CU105" s="60">
        <f t="shared" si="578"/>
        <v>0</v>
      </c>
      <c r="CV105" s="59">
        <f t="shared" si="579"/>
        <v>0</v>
      </c>
      <c r="CW105" s="60">
        <f t="shared" si="580"/>
        <v>0</v>
      </c>
      <c r="CX105" s="59">
        <f t="shared" si="581"/>
        <v>0</v>
      </c>
      <c r="CY105" s="60">
        <f t="shared" si="582"/>
        <v>0</v>
      </c>
      <c r="CZ105" s="59">
        <f t="shared" si="583"/>
        <v>0</v>
      </c>
      <c r="DA105" s="55">
        <f t="shared" si="584"/>
        <v>0</v>
      </c>
      <c r="DB105" s="59">
        <f t="shared" si="585"/>
        <v>0</v>
      </c>
      <c r="DC105" s="60">
        <f t="shared" si="586"/>
        <v>0</v>
      </c>
      <c r="DD105" s="59">
        <f t="shared" si="587"/>
        <v>0</v>
      </c>
      <c r="DE105" s="60">
        <f t="shared" si="588"/>
        <v>0</v>
      </c>
      <c r="DF105" s="59">
        <f t="shared" si="589"/>
        <v>0</v>
      </c>
      <c r="DG105" s="60">
        <f t="shared" si="590"/>
        <v>0</v>
      </c>
      <c r="DH105" s="59">
        <f t="shared" si="591"/>
        <v>0</v>
      </c>
      <c r="DI105" s="60">
        <f t="shared" si="592"/>
        <v>0</v>
      </c>
      <c r="DJ105" s="59">
        <f t="shared" si="593"/>
        <v>0</v>
      </c>
      <c r="DK105" s="55">
        <f t="shared" si="594"/>
        <v>0</v>
      </c>
      <c r="DL105" s="59">
        <f t="shared" si="595"/>
        <v>0</v>
      </c>
      <c r="DM105" s="60">
        <f t="shared" si="596"/>
        <v>0</v>
      </c>
      <c r="DN105" s="59">
        <f t="shared" si="597"/>
        <v>0</v>
      </c>
      <c r="DO105" s="60">
        <f t="shared" si="598"/>
        <v>0</v>
      </c>
      <c r="DP105" s="59">
        <f t="shared" si="599"/>
        <v>0</v>
      </c>
      <c r="DQ105" s="55">
        <f t="shared" si="600"/>
        <v>0</v>
      </c>
      <c r="DR105" s="59">
        <f t="shared" si="601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47"/>
        <v>0.91</v>
      </c>
      <c r="DZ105" s="55">
        <f t="shared" si="647"/>
        <v>0.89</v>
      </c>
      <c r="EA105" s="55">
        <f t="shared" si="647"/>
        <v>0.87</v>
      </c>
      <c r="EB105" s="55">
        <f t="shared" si="647"/>
        <v>0.85</v>
      </c>
      <c r="EC105" s="55">
        <f t="shared" si="647"/>
        <v>0.83</v>
      </c>
      <c r="ED105" s="55">
        <f t="shared" si="647"/>
        <v>0.80999999999999994</v>
      </c>
      <c r="EE105" s="55">
        <f t="shared" si="647"/>
        <v>0.78999999999999992</v>
      </c>
      <c r="EF105" s="55">
        <f t="shared" si="647"/>
        <v>0.76999999999999991</v>
      </c>
      <c r="EG105" s="55">
        <f t="shared" si="647"/>
        <v>0.74999999999999989</v>
      </c>
      <c r="EH105" s="55">
        <f t="shared" si="647"/>
        <v>0.72999999999999987</v>
      </c>
      <c r="EI105" s="55">
        <f t="shared" si="647"/>
        <v>0.70999999999999985</v>
      </c>
      <c r="EJ105" s="55">
        <f t="shared" si="647"/>
        <v>0.68999999999999984</v>
      </c>
      <c r="EK105" s="55">
        <f t="shared" si="647"/>
        <v>0.66999999999999982</v>
      </c>
      <c r="EL105" s="55">
        <f t="shared" si="647"/>
        <v>0.6499999999999998</v>
      </c>
      <c r="EM105" s="55">
        <f t="shared" si="647"/>
        <v>0.62999999999999978</v>
      </c>
      <c r="EN105" s="55">
        <f t="shared" si="647"/>
        <v>0.60999999999999976</v>
      </c>
      <c r="EO105" s="55">
        <f t="shared" si="647"/>
        <v>0.58999999999999975</v>
      </c>
      <c r="EP105" s="55">
        <f t="shared" si="647"/>
        <v>0.56999999999999973</v>
      </c>
      <c r="ER105" s="55">
        <f t="shared" si="648"/>
        <v>0</v>
      </c>
      <c r="ES105" s="55">
        <f t="shared" si="510"/>
        <v>0</v>
      </c>
      <c r="ET105" s="59">
        <f t="shared" si="602"/>
        <v>0</v>
      </c>
      <c r="EU105" s="55">
        <f t="shared" si="603"/>
        <v>0</v>
      </c>
      <c r="EV105" s="59">
        <f t="shared" si="604"/>
        <v>0</v>
      </c>
      <c r="EW105" s="55">
        <f t="shared" si="605"/>
        <v>0</v>
      </c>
      <c r="EX105" s="59">
        <f t="shared" si="606"/>
        <v>0</v>
      </c>
      <c r="EY105" s="55">
        <f t="shared" si="607"/>
        <v>0</v>
      </c>
      <c r="EZ105" s="59">
        <f t="shared" si="608"/>
        <v>0</v>
      </c>
      <c r="FA105" s="57">
        <f t="shared" si="609"/>
        <v>0</v>
      </c>
      <c r="FB105" s="59">
        <f t="shared" si="610"/>
        <v>0</v>
      </c>
      <c r="FC105" s="55">
        <f t="shared" si="611"/>
        <v>0</v>
      </c>
      <c r="FD105" s="59">
        <f t="shared" si="612"/>
        <v>0</v>
      </c>
      <c r="FE105" s="57">
        <f t="shared" si="613"/>
        <v>0</v>
      </c>
      <c r="FF105" s="59">
        <f t="shared" si="614"/>
        <v>0</v>
      </c>
      <c r="FG105" s="60">
        <f t="shared" si="615"/>
        <v>0</v>
      </c>
      <c r="FH105" s="59">
        <f t="shared" si="616"/>
        <v>0</v>
      </c>
      <c r="FI105" s="57">
        <f t="shared" si="617"/>
        <v>0</v>
      </c>
      <c r="FJ105" s="59">
        <f t="shared" si="618"/>
        <v>0</v>
      </c>
      <c r="FK105" s="55">
        <f t="shared" si="619"/>
        <v>0</v>
      </c>
      <c r="FL105" s="59">
        <f t="shared" si="620"/>
        <v>0</v>
      </c>
      <c r="FM105" s="60">
        <f t="shared" si="621"/>
        <v>0</v>
      </c>
      <c r="FN105" s="59">
        <f t="shared" si="622"/>
        <v>0</v>
      </c>
      <c r="FO105" s="60">
        <f t="shared" si="623"/>
        <v>0</v>
      </c>
      <c r="FP105" s="59">
        <f t="shared" si="624"/>
        <v>0</v>
      </c>
      <c r="FQ105" s="60">
        <f t="shared" si="625"/>
        <v>0</v>
      </c>
      <c r="FR105" s="59">
        <f t="shared" si="626"/>
        <v>0</v>
      </c>
      <c r="FS105" s="55">
        <f t="shared" si="627"/>
        <v>0</v>
      </c>
      <c r="FT105" s="59">
        <f t="shared" si="628"/>
        <v>0</v>
      </c>
      <c r="FU105" s="60">
        <f t="shared" si="629"/>
        <v>0</v>
      </c>
      <c r="FV105" s="59">
        <f t="shared" si="630"/>
        <v>0</v>
      </c>
      <c r="FW105" s="60">
        <f t="shared" si="631"/>
        <v>0</v>
      </c>
      <c r="FX105" s="59">
        <f t="shared" si="632"/>
        <v>0</v>
      </c>
      <c r="FY105" s="60">
        <f t="shared" si="633"/>
        <v>0</v>
      </c>
      <c r="FZ105" s="59">
        <f t="shared" si="634"/>
        <v>0</v>
      </c>
      <c r="GA105" s="60">
        <f t="shared" si="635"/>
        <v>0</v>
      </c>
      <c r="GB105" s="59">
        <f t="shared" si="636"/>
        <v>0</v>
      </c>
      <c r="GC105" s="55">
        <f t="shared" si="637"/>
        <v>0</v>
      </c>
      <c r="GD105" s="59">
        <f t="shared" si="638"/>
        <v>0</v>
      </c>
      <c r="GE105" s="60">
        <f t="shared" si="639"/>
        <v>0</v>
      </c>
      <c r="GF105" s="59">
        <f t="shared" si="640"/>
        <v>0</v>
      </c>
      <c r="GG105" s="60">
        <f t="shared" si="641"/>
        <v>0</v>
      </c>
      <c r="GH105" s="59">
        <f t="shared" si="642"/>
        <v>0</v>
      </c>
      <c r="GI105" s="55">
        <f t="shared" si="643"/>
        <v>0</v>
      </c>
      <c r="GJ105" s="59">
        <f t="shared" si="644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49"/>
        <v>0.91</v>
      </c>
      <c r="GR105" s="55">
        <f t="shared" si="649"/>
        <v>0.89</v>
      </c>
      <c r="GS105" s="55">
        <f t="shared" si="649"/>
        <v>0.87</v>
      </c>
      <c r="GT105" s="55">
        <f t="shared" si="649"/>
        <v>0.85</v>
      </c>
      <c r="GU105" s="55">
        <f t="shared" si="649"/>
        <v>0.83</v>
      </c>
      <c r="GV105" s="55">
        <f t="shared" si="649"/>
        <v>0.80999999999999994</v>
      </c>
      <c r="GW105" s="55">
        <f t="shared" si="649"/>
        <v>0.78999999999999992</v>
      </c>
      <c r="GX105" s="55">
        <f t="shared" si="649"/>
        <v>0.76999999999999991</v>
      </c>
      <c r="GY105" s="55">
        <f t="shared" si="649"/>
        <v>0.74999999999999989</v>
      </c>
      <c r="GZ105" s="55">
        <f t="shared" si="649"/>
        <v>0.72999999999999987</v>
      </c>
      <c r="HA105" s="55">
        <f t="shared" si="649"/>
        <v>0.70999999999999985</v>
      </c>
      <c r="HB105" s="55">
        <f t="shared" si="649"/>
        <v>0.68999999999999984</v>
      </c>
      <c r="HC105" s="55">
        <f t="shared" si="649"/>
        <v>0.66999999999999982</v>
      </c>
      <c r="HD105" s="55">
        <f t="shared" si="649"/>
        <v>0.6499999999999998</v>
      </c>
      <c r="HE105" s="55">
        <f t="shared" si="649"/>
        <v>0.62999999999999978</v>
      </c>
      <c r="HF105" s="55">
        <f t="shared" si="649"/>
        <v>0.60999999999999976</v>
      </c>
      <c r="HG105" s="55">
        <f t="shared" si="649"/>
        <v>0.58999999999999975</v>
      </c>
      <c r="HH105" s="55">
        <f t="shared" si="649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15"/>
        <v>0</v>
      </c>
      <c r="H106" s="55">
        <f t="shared" si="505"/>
        <v>0</v>
      </c>
      <c r="I106" s="55">
        <f t="shared" si="506"/>
        <v>0</v>
      </c>
      <c r="J106" s="59">
        <f t="shared" si="507"/>
        <v>0</v>
      </c>
      <c r="K106" s="55">
        <f t="shared" si="516"/>
        <v>0</v>
      </c>
      <c r="L106" s="59">
        <f t="shared" si="517"/>
        <v>0</v>
      </c>
      <c r="M106" s="55">
        <f t="shared" si="518"/>
        <v>0</v>
      </c>
      <c r="N106" s="59">
        <f t="shared" si="519"/>
        <v>0</v>
      </c>
      <c r="O106" s="55">
        <f t="shared" si="520"/>
        <v>0</v>
      </c>
      <c r="P106" s="59">
        <f t="shared" si="521"/>
        <v>0</v>
      </c>
      <c r="Q106" s="57">
        <f t="shared" si="522"/>
        <v>0</v>
      </c>
      <c r="R106" s="59">
        <f t="shared" si="523"/>
        <v>0</v>
      </c>
      <c r="S106" s="55">
        <f t="shared" si="524"/>
        <v>0</v>
      </c>
      <c r="T106" s="59">
        <f t="shared" si="525"/>
        <v>0</v>
      </c>
      <c r="U106" s="57">
        <f t="shared" si="526"/>
        <v>0</v>
      </c>
      <c r="V106" s="59">
        <f t="shared" si="527"/>
        <v>0</v>
      </c>
      <c r="W106" s="60">
        <f t="shared" si="528"/>
        <v>0</v>
      </c>
      <c r="X106" s="59">
        <f t="shared" si="529"/>
        <v>0</v>
      </c>
      <c r="Y106" s="57">
        <f t="shared" si="530"/>
        <v>0</v>
      </c>
      <c r="Z106" s="59">
        <f t="shared" si="531"/>
        <v>0</v>
      </c>
      <c r="AA106" s="55">
        <f t="shared" si="532"/>
        <v>0</v>
      </c>
      <c r="AB106" s="59">
        <f t="shared" si="533"/>
        <v>0</v>
      </c>
      <c r="AC106" s="60">
        <f t="shared" si="534"/>
        <v>0</v>
      </c>
      <c r="AD106" s="59">
        <f t="shared" si="535"/>
        <v>0</v>
      </c>
      <c r="AE106" s="60">
        <f t="shared" si="536"/>
        <v>0</v>
      </c>
      <c r="AF106" s="59">
        <f t="shared" si="537"/>
        <v>0</v>
      </c>
      <c r="AG106" s="60">
        <f t="shared" si="538"/>
        <v>0</v>
      </c>
      <c r="AH106" s="59">
        <f t="shared" si="539"/>
        <v>0</v>
      </c>
      <c r="AI106" s="55">
        <f t="shared" si="540"/>
        <v>0</v>
      </c>
      <c r="AJ106" s="59">
        <f t="shared" si="541"/>
        <v>0</v>
      </c>
      <c r="AK106" s="60">
        <f t="shared" si="542"/>
        <v>0</v>
      </c>
      <c r="AL106" s="59">
        <f t="shared" si="543"/>
        <v>0</v>
      </c>
      <c r="AM106" s="60">
        <f t="shared" si="544"/>
        <v>0</v>
      </c>
      <c r="AN106" s="59">
        <f t="shared" si="545"/>
        <v>0</v>
      </c>
      <c r="AO106" s="60">
        <f t="shared" si="546"/>
        <v>0</v>
      </c>
      <c r="AP106" s="59">
        <f t="shared" si="547"/>
        <v>0</v>
      </c>
      <c r="AQ106" s="60">
        <f t="shared" si="548"/>
        <v>0</v>
      </c>
      <c r="AR106" s="59">
        <f t="shared" si="549"/>
        <v>0</v>
      </c>
      <c r="AS106" s="55">
        <f t="shared" si="550"/>
        <v>0</v>
      </c>
      <c r="AT106" s="59">
        <f t="shared" si="551"/>
        <v>0</v>
      </c>
      <c r="AU106" s="60">
        <f t="shared" si="552"/>
        <v>0</v>
      </c>
      <c r="AV106" s="59">
        <f t="shared" si="553"/>
        <v>0</v>
      </c>
      <c r="AW106" s="60">
        <f t="shared" si="554"/>
        <v>0</v>
      </c>
      <c r="AX106" s="59">
        <f t="shared" si="555"/>
        <v>0</v>
      </c>
      <c r="AY106" s="55">
        <f t="shared" si="556"/>
        <v>0</v>
      </c>
      <c r="AZ106" s="59">
        <f t="shared" si="557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58"/>
        <v>0.91</v>
      </c>
      <c r="BH106" s="55">
        <f t="shared" si="558"/>
        <v>0.89</v>
      </c>
      <c r="BI106" s="55">
        <f t="shared" si="558"/>
        <v>0.87</v>
      </c>
      <c r="BJ106" s="55">
        <f t="shared" ref="BJ106:BX106" si="650">+BI106-0.02</f>
        <v>0.85</v>
      </c>
      <c r="BK106" s="55">
        <f t="shared" si="650"/>
        <v>0.83</v>
      </c>
      <c r="BL106" s="55">
        <f t="shared" si="650"/>
        <v>0.80999999999999994</v>
      </c>
      <c r="BM106" s="55">
        <f t="shared" si="650"/>
        <v>0.78999999999999992</v>
      </c>
      <c r="BN106" s="55">
        <f t="shared" si="650"/>
        <v>0.76999999999999991</v>
      </c>
      <c r="BO106" s="55">
        <f t="shared" si="650"/>
        <v>0.74999999999999989</v>
      </c>
      <c r="BP106" s="55">
        <f t="shared" si="650"/>
        <v>0.72999999999999987</v>
      </c>
      <c r="BQ106" s="55">
        <f t="shared" si="650"/>
        <v>0.70999999999999985</v>
      </c>
      <c r="BR106" s="55">
        <f t="shared" si="650"/>
        <v>0.68999999999999984</v>
      </c>
      <c r="BS106" s="55">
        <f t="shared" si="650"/>
        <v>0.66999999999999982</v>
      </c>
      <c r="BT106" s="55">
        <f t="shared" si="650"/>
        <v>0.6499999999999998</v>
      </c>
      <c r="BU106" s="55">
        <f t="shared" si="650"/>
        <v>0.62999999999999978</v>
      </c>
      <c r="BV106" s="55">
        <f t="shared" si="650"/>
        <v>0.60999999999999976</v>
      </c>
      <c r="BW106" s="55">
        <f t="shared" si="650"/>
        <v>0.58999999999999975</v>
      </c>
      <c r="BX106" s="55">
        <f t="shared" si="650"/>
        <v>0.56999999999999973</v>
      </c>
      <c r="BZ106" s="55">
        <f t="shared" si="508"/>
        <v>0</v>
      </c>
      <c r="CA106" s="55">
        <f t="shared" si="509"/>
        <v>0</v>
      </c>
      <c r="CB106" s="59">
        <f t="shared" si="559"/>
        <v>0</v>
      </c>
      <c r="CC106" s="55">
        <f t="shared" si="560"/>
        <v>0</v>
      </c>
      <c r="CD106" s="59">
        <f t="shared" si="561"/>
        <v>0</v>
      </c>
      <c r="CE106" s="55">
        <f t="shared" si="562"/>
        <v>0</v>
      </c>
      <c r="CF106" s="59">
        <f t="shared" si="563"/>
        <v>0</v>
      </c>
      <c r="CG106" s="55">
        <f t="shared" si="564"/>
        <v>0</v>
      </c>
      <c r="CH106" s="59">
        <f t="shared" si="565"/>
        <v>0</v>
      </c>
      <c r="CI106" s="57">
        <f t="shared" si="566"/>
        <v>0</v>
      </c>
      <c r="CJ106" s="59">
        <f t="shared" si="567"/>
        <v>0</v>
      </c>
      <c r="CK106" s="55">
        <f t="shared" si="568"/>
        <v>0</v>
      </c>
      <c r="CL106" s="59">
        <f t="shared" si="569"/>
        <v>0</v>
      </c>
      <c r="CM106" s="57">
        <f t="shared" si="570"/>
        <v>0</v>
      </c>
      <c r="CN106" s="59">
        <f t="shared" si="571"/>
        <v>0</v>
      </c>
      <c r="CO106" s="60">
        <f t="shared" si="572"/>
        <v>0</v>
      </c>
      <c r="CP106" s="59">
        <f t="shared" si="573"/>
        <v>0</v>
      </c>
      <c r="CQ106" s="57">
        <f t="shared" si="574"/>
        <v>0</v>
      </c>
      <c r="CR106" s="59">
        <f t="shared" si="575"/>
        <v>0</v>
      </c>
      <c r="CS106" s="55">
        <f t="shared" si="576"/>
        <v>0</v>
      </c>
      <c r="CT106" s="59">
        <f t="shared" si="577"/>
        <v>0</v>
      </c>
      <c r="CU106" s="60">
        <f t="shared" si="578"/>
        <v>0</v>
      </c>
      <c r="CV106" s="59">
        <f t="shared" si="579"/>
        <v>0</v>
      </c>
      <c r="CW106" s="60">
        <f t="shared" si="580"/>
        <v>0</v>
      </c>
      <c r="CX106" s="59">
        <f t="shared" si="581"/>
        <v>0</v>
      </c>
      <c r="CY106" s="60">
        <f t="shared" si="582"/>
        <v>0</v>
      </c>
      <c r="CZ106" s="59">
        <f t="shared" si="583"/>
        <v>0</v>
      </c>
      <c r="DA106" s="55">
        <f t="shared" si="584"/>
        <v>0</v>
      </c>
      <c r="DB106" s="59">
        <f t="shared" si="585"/>
        <v>0</v>
      </c>
      <c r="DC106" s="60">
        <f t="shared" si="586"/>
        <v>0</v>
      </c>
      <c r="DD106" s="59">
        <f t="shared" si="587"/>
        <v>0</v>
      </c>
      <c r="DE106" s="60">
        <f t="shared" si="588"/>
        <v>0</v>
      </c>
      <c r="DF106" s="59">
        <f t="shared" si="589"/>
        <v>0</v>
      </c>
      <c r="DG106" s="60">
        <f t="shared" si="590"/>
        <v>0</v>
      </c>
      <c r="DH106" s="59">
        <f t="shared" si="591"/>
        <v>0</v>
      </c>
      <c r="DI106" s="60">
        <f t="shared" si="592"/>
        <v>0</v>
      </c>
      <c r="DJ106" s="59">
        <f t="shared" si="593"/>
        <v>0</v>
      </c>
      <c r="DK106" s="55">
        <f t="shared" si="594"/>
        <v>0</v>
      </c>
      <c r="DL106" s="59">
        <f t="shared" si="595"/>
        <v>0</v>
      </c>
      <c r="DM106" s="60">
        <f t="shared" si="596"/>
        <v>0</v>
      </c>
      <c r="DN106" s="59">
        <f t="shared" si="597"/>
        <v>0</v>
      </c>
      <c r="DO106" s="60">
        <f t="shared" si="598"/>
        <v>0</v>
      </c>
      <c r="DP106" s="59">
        <f t="shared" si="599"/>
        <v>0</v>
      </c>
      <c r="DQ106" s="55">
        <f t="shared" si="600"/>
        <v>0</v>
      </c>
      <c r="DR106" s="59">
        <f t="shared" si="601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47"/>
        <v>0.91</v>
      </c>
      <c r="DZ106" s="55">
        <f t="shared" si="647"/>
        <v>0.89</v>
      </c>
      <c r="EA106" s="55">
        <f t="shared" si="647"/>
        <v>0.87</v>
      </c>
      <c r="EB106" s="55">
        <f t="shared" si="647"/>
        <v>0.85</v>
      </c>
      <c r="EC106" s="55">
        <f t="shared" si="647"/>
        <v>0.83</v>
      </c>
      <c r="ED106" s="55">
        <f t="shared" si="647"/>
        <v>0.80999999999999994</v>
      </c>
      <c r="EE106" s="55">
        <f t="shared" si="647"/>
        <v>0.78999999999999992</v>
      </c>
      <c r="EF106" s="55">
        <f t="shared" si="647"/>
        <v>0.76999999999999991</v>
      </c>
      <c r="EG106" s="55">
        <f t="shared" si="647"/>
        <v>0.74999999999999989</v>
      </c>
      <c r="EH106" s="55">
        <f t="shared" si="647"/>
        <v>0.72999999999999987</v>
      </c>
      <c r="EI106" s="55">
        <f t="shared" si="647"/>
        <v>0.70999999999999985</v>
      </c>
      <c r="EJ106" s="55">
        <f t="shared" si="647"/>
        <v>0.68999999999999984</v>
      </c>
      <c r="EK106" s="55">
        <f t="shared" si="647"/>
        <v>0.66999999999999982</v>
      </c>
      <c r="EL106" s="55">
        <f t="shared" si="647"/>
        <v>0.6499999999999998</v>
      </c>
      <c r="EM106" s="55">
        <f t="shared" si="647"/>
        <v>0.62999999999999978</v>
      </c>
      <c r="EN106" s="55">
        <f t="shared" si="647"/>
        <v>0.60999999999999976</v>
      </c>
      <c r="EO106" s="55">
        <f t="shared" si="647"/>
        <v>0.58999999999999975</v>
      </c>
      <c r="EP106" s="55">
        <f t="shared" si="647"/>
        <v>0.56999999999999973</v>
      </c>
      <c r="ER106" s="55">
        <f t="shared" si="648"/>
        <v>0</v>
      </c>
      <c r="ES106" s="55">
        <f t="shared" si="510"/>
        <v>0</v>
      </c>
      <c r="ET106" s="59">
        <f t="shared" si="602"/>
        <v>0</v>
      </c>
      <c r="EU106" s="55">
        <f t="shared" si="603"/>
        <v>0</v>
      </c>
      <c r="EV106" s="59">
        <f t="shared" si="604"/>
        <v>0</v>
      </c>
      <c r="EW106" s="55">
        <f t="shared" si="605"/>
        <v>0</v>
      </c>
      <c r="EX106" s="59">
        <f t="shared" si="606"/>
        <v>0</v>
      </c>
      <c r="EY106" s="55">
        <f t="shared" si="607"/>
        <v>0</v>
      </c>
      <c r="EZ106" s="59">
        <f t="shared" si="608"/>
        <v>0</v>
      </c>
      <c r="FA106" s="57">
        <f t="shared" si="609"/>
        <v>0</v>
      </c>
      <c r="FB106" s="59">
        <f t="shared" si="610"/>
        <v>0</v>
      </c>
      <c r="FC106" s="55">
        <f t="shared" si="611"/>
        <v>0</v>
      </c>
      <c r="FD106" s="59">
        <f t="shared" si="612"/>
        <v>0</v>
      </c>
      <c r="FE106" s="57">
        <f t="shared" si="613"/>
        <v>0</v>
      </c>
      <c r="FF106" s="59">
        <f t="shared" si="614"/>
        <v>0</v>
      </c>
      <c r="FG106" s="60">
        <f t="shared" si="615"/>
        <v>0</v>
      </c>
      <c r="FH106" s="59">
        <f t="shared" si="616"/>
        <v>0</v>
      </c>
      <c r="FI106" s="57">
        <f t="shared" si="617"/>
        <v>0</v>
      </c>
      <c r="FJ106" s="59">
        <f t="shared" si="618"/>
        <v>0</v>
      </c>
      <c r="FK106" s="55">
        <f t="shared" si="619"/>
        <v>0</v>
      </c>
      <c r="FL106" s="59">
        <f t="shared" si="620"/>
        <v>0</v>
      </c>
      <c r="FM106" s="60">
        <f t="shared" si="621"/>
        <v>0</v>
      </c>
      <c r="FN106" s="59">
        <f t="shared" si="622"/>
        <v>0</v>
      </c>
      <c r="FO106" s="60">
        <f t="shared" si="623"/>
        <v>0</v>
      </c>
      <c r="FP106" s="59">
        <f t="shared" si="624"/>
        <v>0</v>
      </c>
      <c r="FQ106" s="60">
        <f t="shared" si="625"/>
        <v>0</v>
      </c>
      <c r="FR106" s="59">
        <f t="shared" si="626"/>
        <v>0</v>
      </c>
      <c r="FS106" s="55">
        <f t="shared" si="627"/>
        <v>0</v>
      </c>
      <c r="FT106" s="59">
        <f t="shared" si="628"/>
        <v>0</v>
      </c>
      <c r="FU106" s="60">
        <f t="shared" si="629"/>
        <v>0</v>
      </c>
      <c r="FV106" s="59">
        <f t="shared" si="630"/>
        <v>0</v>
      </c>
      <c r="FW106" s="60">
        <f t="shared" si="631"/>
        <v>0</v>
      </c>
      <c r="FX106" s="59">
        <f t="shared" si="632"/>
        <v>0</v>
      </c>
      <c r="FY106" s="60">
        <f t="shared" si="633"/>
        <v>0</v>
      </c>
      <c r="FZ106" s="59">
        <f t="shared" si="634"/>
        <v>0</v>
      </c>
      <c r="GA106" s="60">
        <f t="shared" si="635"/>
        <v>0</v>
      </c>
      <c r="GB106" s="59">
        <f t="shared" si="636"/>
        <v>0</v>
      </c>
      <c r="GC106" s="55">
        <f t="shared" si="637"/>
        <v>0</v>
      </c>
      <c r="GD106" s="59">
        <f t="shared" si="638"/>
        <v>0</v>
      </c>
      <c r="GE106" s="60">
        <f t="shared" si="639"/>
        <v>0</v>
      </c>
      <c r="GF106" s="59">
        <f t="shared" si="640"/>
        <v>0</v>
      </c>
      <c r="GG106" s="60">
        <f t="shared" si="641"/>
        <v>0</v>
      </c>
      <c r="GH106" s="59">
        <f t="shared" si="642"/>
        <v>0</v>
      </c>
      <c r="GI106" s="55">
        <f t="shared" si="643"/>
        <v>0</v>
      </c>
      <c r="GJ106" s="59">
        <f t="shared" si="644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49"/>
        <v>0.91</v>
      </c>
      <c r="GR106" s="55">
        <f t="shared" si="649"/>
        <v>0.89</v>
      </c>
      <c r="GS106" s="55">
        <f t="shared" si="649"/>
        <v>0.87</v>
      </c>
      <c r="GT106" s="55">
        <f t="shared" si="649"/>
        <v>0.85</v>
      </c>
      <c r="GU106" s="55">
        <f t="shared" si="649"/>
        <v>0.83</v>
      </c>
      <c r="GV106" s="55">
        <f t="shared" si="649"/>
        <v>0.80999999999999994</v>
      </c>
      <c r="GW106" s="55">
        <f t="shared" si="649"/>
        <v>0.78999999999999992</v>
      </c>
      <c r="GX106" s="55">
        <f t="shared" si="649"/>
        <v>0.76999999999999991</v>
      </c>
      <c r="GY106" s="55">
        <f t="shared" si="649"/>
        <v>0.74999999999999989</v>
      </c>
      <c r="GZ106" s="55">
        <f t="shared" si="649"/>
        <v>0.72999999999999987</v>
      </c>
      <c r="HA106" s="55">
        <f t="shared" si="649"/>
        <v>0.70999999999999985</v>
      </c>
      <c r="HB106" s="55">
        <f t="shared" si="649"/>
        <v>0.68999999999999984</v>
      </c>
      <c r="HC106" s="55">
        <f t="shared" si="649"/>
        <v>0.66999999999999982</v>
      </c>
      <c r="HD106" s="55">
        <f t="shared" si="649"/>
        <v>0.6499999999999998</v>
      </c>
      <c r="HE106" s="55">
        <f t="shared" si="649"/>
        <v>0.62999999999999978</v>
      </c>
      <c r="HF106" s="55">
        <f t="shared" si="649"/>
        <v>0.60999999999999976</v>
      </c>
      <c r="HG106" s="55">
        <f t="shared" si="649"/>
        <v>0.58999999999999975</v>
      </c>
      <c r="HH106" s="55">
        <f t="shared" si="649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15"/>
        <v>0</v>
      </c>
      <c r="H107" s="55">
        <f t="shared" si="505"/>
        <v>0</v>
      </c>
      <c r="I107" s="55">
        <f t="shared" si="506"/>
        <v>0</v>
      </c>
      <c r="J107" s="59">
        <f t="shared" si="507"/>
        <v>0</v>
      </c>
      <c r="K107" s="55">
        <f t="shared" si="516"/>
        <v>0</v>
      </c>
      <c r="L107" s="59">
        <f t="shared" si="517"/>
        <v>0</v>
      </c>
      <c r="M107" s="55">
        <f t="shared" si="518"/>
        <v>0</v>
      </c>
      <c r="N107" s="59">
        <f t="shared" si="519"/>
        <v>0</v>
      </c>
      <c r="O107" s="55">
        <f t="shared" si="520"/>
        <v>0</v>
      </c>
      <c r="P107" s="59">
        <f t="shared" si="521"/>
        <v>0</v>
      </c>
      <c r="Q107" s="57">
        <f t="shared" si="522"/>
        <v>0</v>
      </c>
      <c r="R107" s="59">
        <f t="shared" si="523"/>
        <v>0</v>
      </c>
      <c r="S107" s="55">
        <f t="shared" si="524"/>
        <v>0</v>
      </c>
      <c r="T107" s="59">
        <f t="shared" si="525"/>
        <v>0</v>
      </c>
      <c r="U107" s="57">
        <f t="shared" si="526"/>
        <v>0</v>
      </c>
      <c r="V107" s="59">
        <f t="shared" si="527"/>
        <v>0</v>
      </c>
      <c r="W107" s="60">
        <f t="shared" si="528"/>
        <v>0</v>
      </c>
      <c r="X107" s="59">
        <f t="shared" si="529"/>
        <v>0</v>
      </c>
      <c r="Y107" s="57">
        <f t="shared" si="530"/>
        <v>0</v>
      </c>
      <c r="Z107" s="59">
        <f t="shared" si="531"/>
        <v>0</v>
      </c>
      <c r="AA107" s="55">
        <f t="shared" si="532"/>
        <v>0</v>
      </c>
      <c r="AB107" s="59">
        <f t="shared" si="533"/>
        <v>0</v>
      </c>
      <c r="AC107" s="60">
        <f t="shared" si="534"/>
        <v>0</v>
      </c>
      <c r="AD107" s="59">
        <f t="shared" si="535"/>
        <v>0</v>
      </c>
      <c r="AE107" s="60">
        <f t="shared" si="536"/>
        <v>0</v>
      </c>
      <c r="AF107" s="59">
        <f t="shared" si="537"/>
        <v>0</v>
      </c>
      <c r="AG107" s="60">
        <f t="shared" si="538"/>
        <v>0</v>
      </c>
      <c r="AH107" s="59">
        <f t="shared" si="539"/>
        <v>0</v>
      </c>
      <c r="AI107" s="55">
        <f t="shared" si="540"/>
        <v>0</v>
      </c>
      <c r="AJ107" s="59">
        <f t="shared" si="541"/>
        <v>0</v>
      </c>
      <c r="AK107" s="60">
        <f t="shared" si="542"/>
        <v>0</v>
      </c>
      <c r="AL107" s="59">
        <f t="shared" si="543"/>
        <v>0</v>
      </c>
      <c r="AM107" s="60">
        <f t="shared" si="544"/>
        <v>0</v>
      </c>
      <c r="AN107" s="59">
        <f t="shared" si="545"/>
        <v>0</v>
      </c>
      <c r="AO107" s="60">
        <f t="shared" si="546"/>
        <v>0</v>
      </c>
      <c r="AP107" s="59">
        <f t="shared" si="547"/>
        <v>0</v>
      </c>
      <c r="AQ107" s="60">
        <f t="shared" si="548"/>
        <v>0</v>
      </c>
      <c r="AR107" s="59">
        <f t="shared" si="549"/>
        <v>0</v>
      </c>
      <c r="AS107" s="55">
        <f t="shared" si="550"/>
        <v>0</v>
      </c>
      <c r="AT107" s="59">
        <f t="shared" si="551"/>
        <v>0</v>
      </c>
      <c r="AU107" s="60">
        <f t="shared" si="552"/>
        <v>0</v>
      </c>
      <c r="AV107" s="59">
        <f t="shared" si="553"/>
        <v>0</v>
      </c>
      <c r="AW107" s="60">
        <f t="shared" si="554"/>
        <v>0</v>
      </c>
      <c r="AX107" s="59">
        <f t="shared" si="555"/>
        <v>0</v>
      </c>
      <c r="AY107" s="55">
        <f t="shared" si="556"/>
        <v>0</v>
      </c>
      <c r="AZ107" s="59">
        <f t="shared" si="557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1">+BF107-0.02</f>
        <v>0.91</v>
      </c>
      <c r="BH107" s="55">
        <f t="shared" si="651"/>
        <v>0.89</v>
      </c>
      <c r="BI107" s="55">
        <f t="shared" si="651"/>
        <v>0.87</v>
      </c>
      <c r="BJ107" s="55">
        <f t="shared" si="651"/>
        <v>0.85</v>
      </c>
      <c r="BK107" s="55">
        <f t="shared" si="651"/>
        <v>0.83</v>
      </c>
      <c r="BL107" s="55">
        <f t="shared" si="651"/>
        <v>0.80999999999999994</v>
      </c>
      <c r="BM107" s="55">
        <f t="shared" si="651"/>
        <v>0.78999999999999992</v>
      </c>
      <c r="BN107" s="55">
        <f t="shared" si="651"/>
        <v>0.76999999999999991</v>
      </c>
      <c r="BO107" s="55">
        <f t="shared" si="651"/>
        <v>0.74999999999999989</v>
      </c>
      <c r="BP107" s="55">
        <f t="shared" si="651"/>
        <v>0.72999999999999987</v>
      </c>
      <c r="BQ107" s="55">
        <f t="shared" si="651"/>
        <v>0.70999999999999985</v>
      </c>
      <c r="BR107" s="55">
        <f t="shared" si="651"/>
        <v>0.68999999999999984</v>
      </c>
      <c r="BS107" s="55">
        <f t="shared" si="651"/>
        <v>0.66999999999999982</v>
      </c>
      <c r="BT107" s="55">
        <f t="shared" si="651"/>
        <v>0.6499999999999998</v>
      </c>
      <c r="BU107" s="55">
        <f t="shared" si="651"/>
        <v>0.62999999999999978</v>
      </c>
      <c r="BV107" s="55">
        <f t="shared" si="651"/>
        <v>0.60999999999999976</v>
      </c>
      <c r="BW107" s="55">
        <f t="shared" si="651"/>
        <v>0.58999999999999975</v>
      </c>
      <c r="BX107" s="55">
        <f t="shared" si="651"/>
        <v>0.56999999999999973</v>
      </c>
      <c r="BZ107" s="55">
        <f t="shared" si="508"/>
        <v>0</v>
      </c>
      <c r="CA107" s="55">
        <f t="shared" si="509"/>
        <v>0</v>
      </c>
      <c r="CB107" s="59">
        <f t="shared" si="559"/>
        <v>0</v>
      </c>
      <c r="CC107" s="55">
        <f t="shared" si="560"/>
        <v>0</v>
      </c>
      <c r="CD107" s="59">
        <f t="shared" si="561"/>
        <v>0</v>
      </c>
      <c r="CE107" s="55">
        <f t="shared" si="562"/>
        <v>0</v>
      </c>
      <c r="CF107" s="59">
        <f t="shared" si="563"/>
        <v>0</v>
      </c>
      <c r="CG107" s="55">
        <f t="shared" si="564"/>
        <v>0</v>
      </c>
      <c r="CH107" s="59">
        <f t="shared" si="565"/>
        <v>0</v>
      </c>
      <c r="CI107" s="57">
        <f t="shared" si="566"/>
        <v>0</v>
      </c>
      <c r="CJ107" s="59">
        <f t="shared" si="567"/>
        <v>0</v>
      </c>
      <c r="CK107" s="55">
        <f t="shared" si="568"/>
        <v>0</v>
      </c>
      <c r="CL107" s="59">
        <f t="shared" si="569"/>
        <v>0</v>
      </c>
      <c r="CM107" s="57">
        <f t="shared" si="570"/>
        <v>0</v>
      </c>
      <c r="CN107" s="59">
        <f t="shared" si="571"/>
        <v>0</v>
      </c>
      <c r="CO107" s="60">
        <f t="shared" si="572"/>
        <v>0</v>
      </c>
      <c r="CP107" s="59">
        <f t="shared" si="573"/>
        <v>0</v>
      </c>
      <c r="CQ107" s="57">
        <f t="shared" si="574"/>
        <v>0</v>
      </c>
      <c r="CR107" s="59">
        <f t="shared" si="575"/>
        <v>0</v>
      </c>
      <c r="CS107" s="55">
        <f t="shared" si="576"/>
        <v>0</v>
      </c>
      <c r="CT107" s="59">
        <f t="shared" si="577"/>
        <v>0</v>
      </c>
      <c r="CU107" s="60">
        <f t="shared" si="578"/>
        <v>0</v>
      </c>
      <c r="CV107" s="59">
        <f t="shared" si="579"/>
        <v>0</v>
      </c>
      <c r="CW107" s="60">
        <f t="shared" si="580"/>
        <v>0</v>
      </c>
      <c r="CX107" s="59">
        <f t="shared" si="581"/>
        <v>0</v>
      </c>
      <c r="CY107" s="60">
        <f t="shared" si="582"/>
        <v>0</v>
      </c>
      <c r="CZ107" s="59">
        <f t="shared" si="583"/>
        <v>0</v>
      </c>
      <c r="DA107" s="55">
        <f t="shared" si="584"/>
        <v>0</v>
      </c>
      <c r="DB107" s="59">
        <f t="shared" si="585"/>
        <v>0</v>
      </c>
      <c r="DC107" s="60">
        <f t="shared" si="586"/>
        <v>0</v>
      </c>
      <c r="DD107" s="59">
        <f t="shared" si="587"/>
        <v>0</v>
      </c>
      <c r="DE107" s="60">
        <f t="shared" si="588"/>
        <v>0</v>
      </c>
      <c r="DF107" s="59">
        <f t="shared" si="589"/>
        <v>0</v>
      </c>
      <c r="DG107" s="60">
        <f t="shared" si="590"/>
        <v>0</v>
      </c>
      <c r="DH107" s="59">
        <f t="shared" si="591"/>
        <v>0</v>
      </c>
      <c r="DI107" s="60">
        <f t="shared" si="592"/>
        <v>0</v>
      </c>
      <c r="DJ107" s="59">
        <f t="shared" si="593"/>
        <v>0</v>
      </c>
      <c r="DK107" s="55">
        <f t="shared" si="594"/>
        <v>0</v>
      </c>
      <c r="DL107" s="59">
        <f t="shared" si="595"/>
        <v>0</v>
      </c>
      <c r="DM107" s="60">
        <f t="shared" si="596"/>
        <v>0</v>
      </c>
      <c r="DN107" s="59">
        <f t="shared" si="597"/>
        <v>0</v>
      </c>
      <c r="DO107" s="60">
        <f t="shared" si="598"/>
        <v>0</v>
      </c>
      <c r="DP107" s="59">
        <f t="shared" si="599"/>
        <v>0</v>
      </c>
      <c r="DQ107" s="55">
        <f t="shared" si="600"/>
        <v>0</v>
      </c>
      <c r="DR107" s="59">
        <f t="shared" si="601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47"/>
        <v>0.91</v>
      </c>
      <c r="DZ107" s="55">
        <f t="shared" si="647"/>
        <v>0.89</v>
      </c>
      <c r="EA107" s="55">
        <f t="shared" si="647"/>
        <v>0.87</v>
      </c>
      <c r="EB107" s="55">
        <f t="shared" si="647"/>
        <v>0.85</v>
      </c>
      <c r="EC107" s="55">
        <f t="shared" si="647"/>
        <v>0.83</v>
      </c>
      <c r="ED107" s="55">
        <f t="shared" si="647"/>
        <v>0.80999999999999994</v>
      </c>
      <c r="EE107" s="55">
        <f t="shared" si="647"/>
        <v>0.78999999999999992</v>
      </c>
      <c r="EF107" s="55">
        <f t="shared" si="647"/>
        <v>0.76999999999999991</v>
      </c>
      <c r="EG107" s="55">
        <f t="shared" si="647"/>
        <v>0.74999999999999989</v>
      </c>
      <c r="EH107" s="55">
        <f t="shared" si="647"/>
        <v>0.72999999999999987</v>
      </c>
      <c r="EI107" s="55">
        <f t="shared" si="647"/>
        <v>0.70999999999999985</v>
      </c>
      <c r="EJ107" s="55">
        <f t="shared" si="647"/>
        <v>0.68999999999999984</v>
      </c>
      <c r="EK107" s="55">
        <f t="shared" si="647"/>
        <v>0.66999999999999982</v>
      </c>
      <c r="EL107" s="55">
        <f t="shared" si="647"/>
        <v>0.6499999999999998</v>
      </c>
      <c r="EM107" s="55">
        <f t="shared" si="647"/>
        <v>0.62999999999999978</v>
      </c>
      <c r="EN107" s="55">
        <f t="shared" si="647"/>
        <v>0.60999999999999976</v>
      </c>
      <c r="EO107" s="55">
        <f t="shared" si="647"/>
        <v>0.58999999999999975</v>
      </c>
      <c r="EP107" s="55">
        <f t="shared" si="647"/>
        <v>0.56999999999999973</v>
      </c>
      <c r="ER107" s="55">
        <f t="shared" si="648"/>
        <v>0</v>
      </c>
      <c r="ES107" s="55">
        <f t="shared" si="510"/>
        <v>0</v>
      </c>
      <c r="ET107" s="59">
        <f t="shared" si="602"/>
        <v>0</v>
      </c>
      <c r="EU107" s="55">
        <f t="shared" si="603"/>
        <v>0</v>
      </c>
      <c r="EV107" s="59">
        <f t="shared" si="604"/>
        <v>0</v>
      </c>
      <c r="EW107" s="55">
        <f t="shared" si="605"/>
        <v>0</v>
      </c>
      <c r="EX107" s="59">
        <f t="shared" si="606"/>
        <v>0</v>
      </c>
      <c r="EY107" s="55">
        <f t="shared" si="607"/>
        <v>0</v>
      </c>
      <c r="EZ107" s="59">
        <f t="shared" si="608"/>
        <v>0</v>
      </c>
      <c r="FA107" s="57">
        <f t="shared" si="609"/>
        <v>0</v>
      </c>
      <c r="FB107" s="59">
        <f t="shared" si="610"/>
        <v>0</v>
      </c>
      <c r="FC107" s="55">
        <f t="shared" si="611"/>
        <v>0</v>
      </c>
      <c r="FD107" s="59">
        <f t="shared" si="612"/>
        <v>0</v>
      </c>
      <c r="FE107" s="57">
        <f t="shared" si="613"/>
        <v>0</v>
      </c>
      <c r="FF107" s="59">
        <f t="shared" si="614"/>
        <v>0</v>
      </c>
      <c r="FG107" s="60">
        <f t="shared" si="615"/>
        <v>0</v>
      </c>
      <c r="FH107" s="59">
        <f t="shared" si="616"/>
        <v>0</v>
      </c>
      <c r="FI107" s="57">
        <f t="shared" si="617"/>
        <v>0</v>
      </c>
      <c r="FJ107" s="59">
        <f t="shared" si="618"/>
        <v>0</v>
      </c>
      <c r="FK107" s="55">
        <f t="shared" si="619"/>
        <v>0</v>
      </c>
      <c r="FL107" s="59">
        <f t="shared" si="620"/>
        <v>0</v>
      </c>
      <c r="FM107" s="60">
        <f t="shared" si="621"/>
        <v>0</v>
      </c>
      <c r="FN107" s="59">
        <f t="shared" si="622"/>
        <v>0</v>
      </c>
      <c r="FO107" s="60">
        <f t="shared" si="623"/>
        <v>0</v>
      </c>
      <c r="FP107" s="59">
        <f t="shared" si="624"/>
        <v>0</v>
      </c>
      <c r="FQ107" s="60">
        <f t="shared" si="625"/>
        <v>0</v>
      </c>
      <c r="FR107" s="59">
        <f t="shared" si="626"/>
        <v>0</v>
      </c>
      <c r="FS107" s="55">
        <f t="shared" si="627"/>
        <v>0</v>
      </c>
      <c r="FT107" s="59">
        <f t="shared" si="628"/>
        <v>0</v>
      </c>
      <c r="FU107" s="60">
        <f t="shared" si="629"/>
        <v>0</v>
      </c>
      <c r="FV107" s="59">
        <f t="shared" si="630"/>
        <v>0</v>
      </c>
      <c r="FW107" s="60">
        <f t="shared" si="631"/>
        <v>0</v>
      </c>
      <c r="FX107" s="59">
        <f t="shared" si="632"/>
        <v>0</v>
      </c>
      <c r="FY107" s="60">
        <f t="shared" si="633"/>
        <v>0</v>
      </c>
      <c r="FZ107" s="59">
        <f t="shared" si="634"/>
        <v>0</v>
      </c>
      <c r="GA107" s="60">
        <f t="shared" si="635"/>
        <v>0</v>
      </c>
      <c r="GB107" s="59">
        <f t="shared" si="636"/>
        <v>0</v>
      </c>
      <c r="GC107" s="55">
        <f t="shared" si="637"/>
        <v>0</v>
      </c>
      <c r="GD107" s="59">
        <f t="shared" si="638"/>
        <v>0</v>
      </c>
      <c r="GE107" s="60">
        <f t="shared" si="639"/>
        <v>0</v>
      </c>
      <c r="GF107" s="59">
        <f t="shared" si="640"/>
        <v>0</v>
      </c>
      <c r="GG107" s="60">
        <f t="shared" si="641"/>
        <v>0</v>
      </c>
      <c r="GH107" s="59">
        <f t="shared" si="642"/>
        <v>0</v>
      </c>
      <c r="GI107" s="55">
        <f t="shared" si="643"/>
        <v>0</v>
      </c>
      <c r="GJ107" s="59">
        <f t="shared" si="644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49"/>
        <v>0.91</v>
      </c>
      <c r="GR107" s="55">
        <f t="shared" si="649"/>
        <v>0.89</v>
      </c>
      <c r="GS107" s="55">
        <f t="shared" si="649"/>
        <v>0.87</v>
      </c>
      <c r="GT107" s="55">
        <f t="shared" si="649"/>
        <v>0.85</v>
      </c>
      <c r="GU107" s="55">
        <f t="shared" si="649"/>
        <v>0.83</v>
      </c>
      <c r="GV107" s="55">
        <f t="shared" si="649"/>
        <v>0.80999999999999994</v>
      </c>
      <c r="GW107" s="55">
        <f t="shared" si="649"/>
        <v>0.78999999999999992</v>
      </c>
      <c r="GX107" s="55">
        <f t="shared" si="649"/>
        <v>0.76999999999999991</v>
      </c>
      <c r="GY107" s="55">
        <f t="shared" si="649"/>
        <v>0.74999999999999989</v>
      </c>
      <c r="GZ107" s="55">
        <f t="shared" si="649"/>
        <v>0.72999999999999987</v>
      </c>
      <c r="HA107" s="55">
        <f t="shared" si="649"/>
        <v>0.70999999999999985</v>
      </c>
      <c r="HB107" s="55">
        <f t="shared" si="649"/>
        <v>0.68999999999999984</v>
      </c>
      <c r="HC107" s="55">
        <f t="shared" si="649"/>
        <v>0.66999999999999982</v>
      </c>
      <c r="HD107" s="55">
        <f t="shared" si="649"/>
        <v>0.6499999999999998</v>
      </c>
      <c r="HE107" s="55">
        <f t="shared" si="649"/>
        <v>0.62999999999999978</v>
      </c>
      <c r="HF107" s="55">
        <f t="shared" si="649"/>
        <v>0.60999999999999976</v>
      </c>
      <c r="HG107" s="55">
        <f t="shared" si="649"/>
        <v>0.58999999999999975</v>
      </c>
      <c r="HH107" s="55">
        <f t="shared" si="649"/>
        <v>0.56999999999999973</v>
      </c>
    </row>
    <row r="108" spans="1:216" x14ac:dyDescent="0.3">
      <c r="A108" s="2">
        <v>17</v>
      </c>
      <c r="C108" s="38" t="s">
        <v>131</v>
      </c>
      <c r="D108" s="42">
        <v>0</v>
      </c>
      <c r="E108" s="71">
        <f t="shared" si="515"/>
        <v>0</v>
      </c>
      <c r="H108" s="55">
        <f t="shared" si="505"/>
        <v>0</v>
      </c>
      <c r="I108" s="55">
        <f t="shared" si="506"/>
        <v>0</v>
      </c>
      <c r="J108" s="59">
        <f t="shared" si="507"/>
        <v>0</v>
      </c>
      <c r="K108" s="55">
        <f t="shared" si="516"/>
        <v>0</v>
      </c>
      <c r="L108" s="59">
        <f t="shared" si="517"/>
        <v>0</v>
      </c>
      <c r="M108" s="55">
        <f t="shared" si="518"/>
        <v>0</v>
      </c>
      <c r="N108" s="59">
        <f t="shared" si="519"/>
        <v>0</v>
      </c>
      <c r="O108" s="55">
        <f t="shared" si="520"/>
        <v>0</v>
      </c>
      <c r="P108" s="59">
        <f t="shared" si="521"/>
        <v>0</v>
      </c>
      <c r="Q108" s="57">
        <f t="shared" si="522"/>
        <v>0</v>
      </c>
      <c r="R108" s="59">
        <f t="shared" si="523"/>
        <v>0</v>
      </c>
      <c r="S108" s="55">
        <f t="shared" si="524"/>
        <v>0</v>
      </c>
      <c r="T108" s="59">
        <f t="shared" si="525"/>
        <v>0</v>
      </c>
      <c r="U108" s="57">
        <f t="shared" si="526"/>
        <v>0</v>
      </c>
      <c r="V108" s="59">
        <f t="shared" si="527"/>
        <v>0</v>
      </c>
      <c r="W108" s="60">
        <f t="shared" si="528"/>
        <v>0</v>
      </c>
      <c r="X108" s="59">
        <f t="shared" si="529"/>
        <v>0</v>
      </c>
      <c r="Y108" s="57">
        <f t="shared" si="530"/>
        <v>0</v>
      </c>
      <c r="Z108" s="59">
        <f t="shared" si="531"/>
        <v>0</v>
      </c>
      <c r="AA108" s="55">
        <f t="shared" si="532"/>
        <v>0</v>
      </c>
      <c r="AB108" s="59">
        <f t="shared" si="533"/>
        <v>0</v>
      </c>
      <c r="AC108" s="60">
        <f t="shared" si="534"/>
        <v>0</v>
      </c>
      <c r="AD108" s="59">
        <f t="shared" si="535"/>
        <v>0</v>
      </c>
      <c r="AE108" s="60">
        <f t="shared" si="536"/>
        <v>0</v>
      </c>
      <c r="AF108" s="59">
        <f t="shared" si="537"/>
        <v>0</v>
      </c>
      <c r="AG108" s="60">
        <f t="shared" si="538"/>
        <v>0</v>
      </c>
      <c r="AH108" s="59">
        <f t="shared" si="539"/>
        <v>0</v>
      </c>
      <c r="AI108" s="55">
        <f t="shared" si="540"/>
        <v>0</v>
      </c>
      <c r="AJ108" s="59">
        <f t="shared" si="541"/>
        <v>0</v>
      </c>
      <c r="AK108" s="60">
        <f t="shared" si="542"/>
        <v>0</v>
      </c>
      <c r="AL108" s="59">
        <f t="shared" si="543"/>
        <v>0</v>
      </c>
      <c r="AM108" s="60">
        <f t="shared" si="544"/>
        <v>0</v>
      </c>
      <c r="AN108" s="59">
        <f t="shared" si="545"/>
        <v>0</v>
      </c>
      <c r="AO108" s="60">
        <f t="shared" si="546"/>
        <v>0</v>
      </c>
      <c r="AP108" s="59">
        <f t="shared" si="547"/>
        <v>0</v>
      </c>
      <c r="AQ108" s="60">
        <f t="shared" si="548"/>
        <v>0</v>
      </c>
      <c r="AR108" s="59">
        <f t="shared" si="549"/>
        <v>0</v>
      </c>
      <c r="AS108" s="55">
        <f t="shared" si="550"/>
        <v>0</v>
      </c>
      <c r="AT108" s="59">
        <f t="shared" si="551"/>
        <v>0</v>
      </c>
      <c r="AU108" s="60">
        <f t="shared" si="552"/>
        <v>0</v>
      </c>
      <c r="AV108" s="59">
        <f t="shared" si="553"/>
        <v>0</v>
      </c>
      <c r="AW108" s="60">
        <f t="shared" si="554"/>
        <v>0</v>
      </c>
      <c r="AX108" s="59">
        <f t="shared" si="555"/>
        <v>0</v>
      </c>
      <c r="AY108" s="55">
        <f t="shared" si="556"/>
        <v>0</v>
      </c>
      <c r="AZ108" s="59">
        <f t="shared" si="557"/>
        <v>0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1"/>
        <v>0.91</v>
      </c>
      <c r="BH108" s="55">
        <f t="shared" si="651"/>
        <v>0.89</v>
      </c>
      <c r="BI108" s="55">
        <f t="shared" si="651"/>
        <v>0.87</v>
      </c>
      <c r="BJ108" s="55">
        <f t="shared" si="651"/>
        <v>0.85</v>
      </c>
      <c r="BK108" s="55">
        <f t="shared" si="651"/>
        <v>0.83</v>
      </c>
      <c r="BL108" s="55">
        <f t="shared" si="651"/>
        <v>0.80999999999999994</v>
      </c>
      <c r="BM108" s="55">
        <f t="shared" si="651"/>
        <v>0.78999999999999992</v>
      </c>
      <c r="BN108" s="55">
        <f t="shared" si="651"/>
        <v>0.76999999999999991</v>
      </c>
      <c r="BO108" s="55">
        <f t="shared" si="651"/>
        <v>0.74999999999999989</v>
      </c>
      <c r="BP108" s="55">
        <f t="shared" si="651"/>
        <v>0.72999999999999987</v>
      </c>
      <c r="BQ108" s="55">
        <f t="shared" si="651"/>
        <v>0.70999999999999985</v>
      </c>
      <c r="BR108" s="55">
        <f t="shared" si="651"/>
        <v>0.68999999999999984</v>
      </c>
      <c r="BS108" s="55">
        <f t="shared" si="651"/>
        <v>0.66999999999999982</v>
      </c>
      <c r="BT108" s="55">
        <f t="shared" si="651"/>
        <v>0.6499999999999998</v>
      </c>
      <c r="BU108" s="55">
        <f t="shared" si="651"/>
        <v>0.62999999999999978</v>
      </c>
      <c r="BV108" s="55">
        <f t="shared" si="651"/>
        <v>0.60999999999999976</v>
      </c>
      <c r="BW108" s="55">
        <f t="shared" si="651"/>
        <v>0.58999999999999975</v>
      </c>
      <c r="BX108" s="55">
        <f t="shared" si="651"/>
        <v>0.56999999999999973</v>
      </c>
      <c r="BZ108" s="55">
        <f t="shared" si="508"/>
        <v>0</v>
      </c>
      <c r="CA108" s="55">
        <f t="shared" si="509"/>
        <v>0</v>
      </c>
      <c r="CB108" s="59">
        <f t="shared" si="559"/>
        <v>0</v>
      </c>
      <c r="CC108" s="55">
        <f t="shared" si="560"/>
        <v>0</v>
      </c>
      <c r="CD108" s="59">
        <f t="shared" si="561"/>
        <v>0</v>
      </c>
      <c r="CE108" s="55">
        <f t="shared" si="562"/>
        <v>0</v>
      </c>
      <c r="CF108" s="59">
        <f t="shared" si="563"/>
        <v>0</v>
      </c>
      <c r="CG108" s="55">
        <f t="shared" si="564"/>
        <v>0</v>
      </c>
      <c r="CH108" s="59">
        <f t="shared" si="565"/>
        <v>0</v>
      </c>
      <c r="CI108" s="57">
        <f t="shared" si="566"/>
        <v>0</v>
      </c>
      <c r="CJ108" s="59">
        <f t="shared" si="567"/>
        <v>0</v>
      </c>
      <c r="CK108" s="55">
        <f t="shared" si="568"/>
        <v>0</v>
      </c>
      <c r="CL108" s="59">
        <f t="shared" si="569"/>
        <v>0</v>
      </c>
      <c r="CM108" s="57">
        <f t="shared" si="570"/>
        <v>0</v>
      </c>
      <c r="CN108" s="59">
        <f t="shared" si="571"/>
        <v>0</v>
      </c>
      <c r="CO108" s="60">
        <f t="shared" si="572"/>
        <v>0</v>
      </c>
      <c r="CP108" s="59">
        <f t="shared" si="573"/>
        <v>0</v>
      </c>
      <c r="CQ108" s="57">
        <f t="shared" si="574"/>
        <v>0</v>
      </c>
      <c r="CR108" s="59">
        <f t="shared" si="575"/>
        <v>0</v>
      </c>
      <c r="CS108" s="55">
        <f t="shared" si="576"/>
        <v>0</v>
      </c>
      <c r="CT108" s="59">
        <f t="shared" si="577"/>
        <v>0</v>
      </c>
      <c r="CU108" s="60">
        <f t="shared" si="578"/>
        <v>0</v>
      </c>
      <c r="CV108" s="59">
        <f t="shared" si="579"/>
        <v>0</v>
      </c>
      <c r="CW108" s="60">
        <f t="shared" si="580"/>
        <v>0</v>
      </c>
      <c r="CX108" s="59">
        <f t="shared" si="581"/>
        <v>0</v>
      </c>
      <c r="CY108" s="60">
        <f t="shared" si="582"/>
        <v>0</v>
      </c>
      <c r="CZ108" s="59">
        <f t="shared" si="583"/>
        <v>0</v>
      </c>
      <c r="DA108" s="55">
        <f t="shared" si="584"/>
        <v>0</v>
      </c>
      <c r="DB108" s="59">
        <f t="shared" si="585"/>
        <v>0</v>
      </c>
      <c r="DC108" s="60">
        <f t="shared" si="586"/>
        <v>0</v>
      </c>
      <c r="DD108" s="59">
        <f t="shared" si="587"/>
        <v>0</v>
      </c>
      <c r="DE108" s="60">
        <f t="shared" si="588"/>
        <v>0</v>
      </c>
      <c r="DF108" s="59">
        <f t="shared" si="589"/>
        <v>0</v>
      </c>
      <c r="DG108" s="60">
        <f t="shared" si="590"/>
        <v>0</v>
      </c>
      <c r="DH108" s="59">
        <f t="shared" si="591"/>
        <v>0</v>
      </c>
      <c r="DI108" s="60">
        <f t="shared" si="592"/>
        <v>0</v>
      </c>
      <c r="DJ108" s="59">
        <f t="shared" si="593"/>
        <v>0</v>
      </c>
      <c r="DK108" s="55">
        <f t="shared" si="594"/>
        <v>0</v>
      </c>
      <c r="DL108" s="59">
        <f t="shared" si="595"/>
        <v>0</v>
      </c>
      <c r="DM108" s="60">
        <f t="shared" si="596"/>
        <v>0</v>
      </c>
      <c r="DN108" s="59">
        <f t="shared" si="597"/>
        <v>0</v>
      </c>
      <c r="DO108" s="60">
        <f t="shared" si="598"/>
        <v>0</v>
      </c>
      <c r="DP108" s="59">
        <f t="shared" si="599"/>
        <v>0</v>
      </c>
      <c r="DQ108" s="55">
        <f t="shared" si="600"/>
        <v>0</v>
      </c>
      <c r="DR108" s="59">
        <f t="shared" si="601"/>
        <v>0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47"/>
        <v>0.91</v>
      </c>
      <c r="DZ108" s="55">
        <f t="shared" si="647"/>
        <v>0.89</v>
      </c>
      <c r="EA108" s="55">
        <f t="shared" si="647"/>
        <v>0.87</v>
      </c>
      <c r="EB108" s="55">
        <f t="shared" ref="EB108:EP108" si="652">+EA108-0.02</f>
        <v>0.85</v>
      </c>
      <c r="EC108" s="55">
        <f t="shared" si="652"/>
        <v>0.83</v>
      </c>
      <c r="ED108" s="55">
        <f t="shared" si="652"/>
        <v>0.80999999999999994</v>
      </c>
      <c r="EE108" s="55">
        <f t="shared" si="652"/>
        <v>0.78999999999999992</v>
      </c>
      <c r="EF108" s="55">
        <f t="shared" si="652"/>
        <v>0.76999999999999991</v>
      </c>
      <c r="EG108" s="55">
        <f t="shared" si="652"/>
        <v>0.74999999999999989</v>
      </c>
      <c r="EH108" s="55">
        <f t="shared" si="652"/>
        <v>0.72999999999999987</v>
      </c>
      <c r="EI108" s="55">
        <f t="shared" si="652"/>
        <v>0.70999999999999985</v>
      </c>
      <c r="EJ108" s="55">
        <f t="shared" si="652"/>
        <v>0.68999999999999984</v>
      </c>
      <c r="EK108" s="55">
        <f t="shared" si="652"/>
        <v>0.66999999999999982</v>
      </c>
      <c r="EL108" s="55">
        <f t="shared" si="652"/>
        <v>0.6499999999999998</v>
      </c>
      <c r="EM108" s="55">
        <f t="shared" si="652"/>
        <v>0.62999999999999978</v>
      </c>
      <c r="EN108" s="55">
        <f t="shared" si="652"/>
        <v>0.60999999999999976</v>
      </c>
      <c r="EO108" s="55">
        <f t="shared" si="652"/>
        <v>0.58999999999999975</v>
      </c>
      <c r="EP108" s="55">
        <f t="shared" si="652"/>
        <v>0.56999999999999973</v>
      </c>
      <c r="ER108" s="55">
        <f t="shared" si="648"/>
        <v>0</v>
      </c>
      <c r="ES108" s="55">
        <f t="shared" si="510"/>
        <v>0</v>
      </c>
      <c r="ET108" s="59">
        <f t="shared" si="602"/>
        <v>0</v>
      </c>
      <c r="EU108" s="55">
        <f t="shared" si="603"/>
        <v>0</v>
      </c>
      <c r="EV108" s="59">
        <f t="shared" si="604"/>
        <v>0</v>
      </c>
      <c r="EW108" s="55">
        <f t="shared" si="605"/>
        <v>0</v>
      </c>
      <c r="EX108" s="59">
        <f t="shared" si="606"/>
        <v>0</v>
      </c>
      <c r="EY108" s="55">
        <f t="shared" si="607"/>
        <v>0</v>
      </c>
      <c r="EZ108" s="59">
        <f t="shared" si="608"/>
        <v>0</v>
      </c>
      <c r="FA108" s="57">
        <f t="shared" si="609"/>
        <v>0</v>
      </c>
      <c r="FB108" s="59">
        <f t="shared" si="610"/>
        <v>0</v>
      </c>
      <c r="FC108" s="55">
        <f t="shared" si="611"/>
        <v>0</v>
      </c>
      <c r="FD108" s="59">
        <f t="shared" si="612"/>
        <v>0</v>
      </c>
      <c r="FE108" s="57">
        <f t="shared" si="613"/>
        <v>0</v>
      </c>
      <c r="FF108" s="59">
        <f t="shared" si="614"/>
        <v>0</v>
      </c>
      <c r="FG108" s="60">
        <f t="shared" si="615"/>
        <v>0</v>
      </c>
      <c r="FH108" s="59">
        <f t="shared" si="616"/>
        <v>0</v>
      </c>
      <c r="FI108" s="57">
        <f t="shared" si="617"/>
        <v>0</v>
      </c>
      <c r="FJ108" s="59">
        <f t="shared" si="618"/>
        <v>0</v>
      </c>
      <c r="FK108" s="55">
        <f t="shared" si="619"/>
        <v>0</v>
      </c>
      <c r="FL108" s="59">
        <f t="shared" si="620"/>
        <v>0</v>
      </c>
      <c r="FM108" s="60">
        <f t="shared" si="621"/>
        <v>0</v>
      </c>
      <c r="FN108" s="59">
        <f t="shared" si="622"/>
        <v>0</v>
      </c>
      <c r="FO108" s="60">
        <f t="shared" si="623"/>
        <v>0</v>
      </c>
      <c r="FP108" s="59">
        <f t="shared" si="624"/>
        <v>0</v>
      </c>
      <c r="FQ108" s="60">
        <f t="shared" si="625"/>
        <v>0</v>
      </c>
      <c r="FR108" s="59">
        <f t="shared" si="626"/>
        <v>0</v>
      </c>
      <c r="FS108" s="55">
        <f t="shared" si="627"/>
        <v>0</v>
      </c>
      <c r="FT108" s="59">
        <f t="shared" si="628"/>
        <v>0</v>
      </c>
      <c r="FU108" s="60">
        <f t="shared" si="629"/>
        <v>0</v>
      </c>
      <c r="FV108" s="59">
        <f t="shared" si="630"/>
        <v>0</v>
      </c>
      <c r="FW108" s="60">
        <f t="shared" si="631"/>
        <v>0</v>
      </c>
      <c r="FX108" s="59">
        <f t="shared" si="632"/>
        <v>0</v>
      </c>
      <c r="FY108" s="60">
        <f t="shared" si="633"/>
        <v>0</v>
      </c>
      <c r="FZ108" s="59">
        <f t="shared" si="634"/>
        <v>0</v>
      </c>
      <c r="GA108" s="60">
        <f t="shared" si="635"/>
        <v>0</v>
      </c>
      <c r="GB108" s="59">
        <f t="shared" si="636"/>
        <v>0</v>
      </c>
      <c r="GC108" s="55">
        <f t="shared" si="637"/>
        <v>0</v>
      </c>
      <c r="GD108" s="59">
        <f t="shared" si="638"/>
        <v>0</v>
      </c>
      <c r="GE108" s="60">
        <f t="shared" si="639"/>
        <v>0</v>
      </c>
      <c r="GF108" s="59">
        <f t="shared" si="640"/>
        <v>0</v>
      </c>
      <c r="GG108" s="60">
        <f t="shared" si="641"/>
        <v>0</v>
      </c>
      <c r="GH108" s="59">
        <f t="shared" si="642"/>
        <v>0</v>
      </c>
      <c r="GI108" s="55">
        <f t="shared" si="643"/>
        <v>0</v>
      </c>
      <c r="GJ108" s="59">
        <f t="shared" si="644"/>
        <v>0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49"/>
        <v>0.91</v>
      </c>
      <c r="GR108" s="55">
        <f t="shared" si="649"/>
        <v>0.89</v>
      </c>
      <c r="GS108" s="55">
        <f t="shared" si="649"/>
        <v>0.87</v>
      </c>
      <c r="GT108" s="55">
        <f t="shared" ref="GT108:HH108" si="653">+GS108-0.02</f>
        <v>0.85</v>
      </c>
      <c r="GU108" s="55">
        <f t="shared" si="653"/>
        <v>0.83</v>
      </c>
      <c r="GV108" s="55">
        <f t="shared" si="653"/>
        <v>0.80999999999999994</v>
      </c>
      <c r="GW108" s="55">
        <f t="shared" si="653"/>
        <v>0.78999999999999992</v>
      </c>
      <c r="GX108" s="55">
        <f t="shared" si="653"/>
        <v>0.76999999999999991</v>
      </c>
      <c r="GY108" s="55">
        <f t="shared" si="653"/>
        <v>0.74999999999999989</v>
      </c>
      <c r="GZ108" s="55">
        <f t="shared" si="653"/>
        <v>0.72999999999999987</v>
      </c>
      <c r="HA108" s="55">
        <f t="shared" si="653"/>
        <v>0.70999999999999985</v>
      </c>
      <c r="HB108" s="55">
        <f t="shared" si="653"/>
        <v>0.68999999999999984</v>
      </c>
      <c r="HC108" s="55">
        <f t="shared" si="653"/>
        <v>0.66999999999999982</v>
      </c>
      <c r="HD108" s="55">
        <f t="shared" si="653"/>
        <v>0.6499999999999998</v>
      </c>
      <c r="HE108" s="55">
        <f t="shared" si="653"/>
        <v>0.62999999999999978</v>
      </c>
      <c r="HF108" s="55">
        <f t="shared" si="653"/>
        <v>0.60999999999999976</v>
      </c>
      <c r="HG108" s="55">
        <f t="shared" si="653"/>
        <v>0.58999999999999975</v>
      </c>
      <c r="HH108" s="55">
        <f t="shared" si="653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71">
        <f t="shared" si="515"/>
        <v>0</v>
      </c>
      <c r="H109" s="55">
        <f t="shared" si="505"/>
        <v>0</v>
      </c>
      <c r="I109" s="55">
        <f t="shared" si="506"/>
        <v>0</v>
      </c>
      <c r="J109" s="59">
        <f t="shared" si="507"/>
        <v>0</v>
      </c>
      <c r="K109" s="55">
        <f t="shared" si="516"/>
        <v>0</v>
      </c>
      <c r="L109" s="59">
        <f t="shared" si="517"/>
        <v>0</v>
      </c>
      <c r="M109" s="55">
        <f t="shared" si="518"/>
        <v>0</v>
      </c>
      <c r="N109" s="59">
        <f t="shared" si="519"/>
        <v>0</v>
      </c>
      <c r="O109" s="55">
        <f t="shared" si="520"/>
        <v>0</v>
      </c>
      <c r="P109" s="59">
        <f t="shared" si="521"/>
        <v>0</v>
      </c>
      <c r="Q109" s="57">
        <f t="shared" si="522"/>
        <v>0</v>
      </c>
      <c r="R109" s="59">
        <f t="shared" si="523"/>
        <v>0</v>
      </c>
      <c r="S109" s="55">
        <f t="shared" si="524"/>
        <v>0</v>
      </c>
      <c r="T109" s="59">
        <f t="shared" si="525"/>
        <v>0</v>
      </c>
      <c r="U109" s="57">
        <f t="shared" si="526"/>
        <v>0</v>
      </c>
      <c r="V109" s="59">
        <f t="shared" si="527"/>
        <v>0</v>
      </c>
      <c r="W109" s="60">
        <f t="shared" si="528"/>
        <v>0</v>
      </c>
      <c r="X109" s="59">
        <f t="shared" si="529"/>
        <v>0</v>
      </c>
      <c r="Y109" s="57">
        <f t="shared" si="530"/>
        <v>0</v>
      </c>
      <c r="Z109" s="59">
        <f t="shared" si="531"/>
        <v>0</v>
      </c>
      <c r="AA109" s="55">
        <f t="shared" si="532"/>
        <v>0</v>
      </c>
      <c r="AB109" s="59">
        <f t="shared" si="533"/>
        <v>0</v>
      </c>
      <c r="AC109" s="60">
        <f t="shared" si="534"/>
        <v>0</v>
      </c>
      <c r="AD109" s="59">
        <f t="shared" si="535"/>
        <v>0</v>
      </c>
      <c r="AE109" s="60">
        <f t="shared" si="536"/>
        <v>0</v>
      </c>
      <c r="AF109" s="59">
        <f t="shared" si="537"/>
        <v>0</v>
      </c>
      <c r="AG109" s="60">
        <f t="shared" si="538"/>
        <v>0</v>
      </c>
      <c r="AH109" s="59">
        <f t="shared" si="539"/>
        <v>0</v>
      </c>
      <c r="AI109" s="55">
        <f t="shared" si="540"/>
        <v>0</v>
      </c>
      <c r="AJ109" s="59">
        <f t="shared" si="541"/>
        <v>0</v>
      </c>
      <c r="AK109" s="60">
        <f t="shared" si="542"/>
        <v>0</v>
      </c>
      <c r="AL109" s="59">
        <f t="shared" si="543"/>
        <v>0</v>
      </c>
      <c r="AM109" s="60">
        <f t="shared" si="544"/>
        <v>0</v>
      </c>
      <c r="AN109" s="59">
        <f t="shared" si="545"/>
        <v>0</v>
      </c>
      <c r="AO109" s="60">
        <f t="shared" si="546"/>
        <v>0</v>
      </c>
      <c r="AP109" s="59">
        <f t="shared" si="547"/>
        <v>0</v>
      </c>
      <c r="AQ109" s="60">
        <f t="shared" si="548"/>
        <v>0</v>
      </c>
      <c r="AR109" s="59">
        <f t="shared" si="549"/>
        <v>0</v>
      </c>
      <c r="AS109" s="55">
        <f t="shared" si="550"/>
        <v>0</v>
      </c>
      <c r="AT109" s="59">
        <f t="shared" si="551"/>
        <v>0</v>
      </c>
      <c r="AU109" s="60">
        <f t="shared" si="552"/>
        <v>0</v>
      </c>
      <c r="AV109" s="59">
        <f t="shared" si="553"/>
        <v>0</v>
      </c>
      <c r="AW109" s="60">
        <f t="shared" si="554"/>
        <v>0</v>
      </c>
      <c r="AX109" s="59">
        <f t="shared" si="555"/>
        <v>0</v>
      </c>
      <c r="AY109" s="55">
        <f t="shared" si="556"/>
        <v>0</v>
      </c>
      <c r="AZ109" s="59">
        <f t="shared" si="557"/>
        <v>0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1"/>
        <v>0.91</v>
      </c>
      <c r="BH109" s="55">
        <f t="shared" si="651"/>
        <v>0.89</v>
      </c>
      <c r="BI109" s="55">
        <f t="shared" si="651"/>
        <v>0.87</v>
      </c>
      <c r="BJ109" s="55">
        <f t="shared" si="651"/>
        <v>0.85</v>
      </c>
      <c r="BK109" s="55">
        <f t="shared" si="651"/>
        <v>0.83</v>
      </c>
      <c r="BL109" s="55">
        <f t="shared" si="651"/>
        <v>0.80999999999999994</v>
      </c>
      <c r="BM109" s="55">
        <f t="shared" si="651"/>
        <v>0.78999999999999992</v>
      </c>
      <c r="BN109" s="55">
        <f t="shared" si="651"/>
        <v>0.76999999999999991</v>
      </c>
      <c r="BO109" s="55">
        <f t="shared" si="651"/>
        <v>0.74999999999999989</v>
      </c>
      <c r="BP109" s="55">
        <f t="shared" si="651"/>
        <v>0.72999999999999987</v>
      </c>
      <c r="BQ109" s="55">
        <f t="shared" si="651"/>
        <v>0.70999999999999985</v>
      </c>
      <c r="BR109" s="55">
        <f t="shared" si="651"/>
        <v>0.68999999999999984</v>
      </c>
      <c r="BS109" s="55">
        <f t="shared" si="651"/>
        <v>0.66999999999999982</v>
      </c>
      <c r="BT109" s="55">
        <f t="shared" si="651"/>
        <v>0.6499999999999998</v>
      </c>
      <c r="BU109" s="55">
        <f t="shared" si="651"/>
        <v>0.62999999999999978</v>
      </c>
      <c r="BV109" s="55">
        <f t="shared" si="651"/>
        <v>0.60999999999999976</v>
      </c>
      <c r="BW109" s="55">
        <f t="shared" si="651"/>
        <v>0.58999999999999975</v>
      </c>
      <c r="BX109" s="55">
        <f t="shared" si="651"/>
        <v>0.56999999999999973</v>
      </c>
      <c r="BZ109" s="55">
        <f t="shared" si="508"/>
        <v>0</v>
      </c>
      <c r="CA109" s="55">
        <f t="shared" si="509"/>
        <v>0</v>
      </c>
      <c r="CB109" s="59">
        <f t="shared" si="559"/>
        <v>0</v>
      </c>
      <c r="CC109" s="55">
        <f t="shared" si="560"/>
        <v>0</v>
      </c>
      <c r="CD109" s="59">
        <f t="shared" si="561"/>
        <v>0</v>
      </c>
      <c r="CE109" s="55">
        <f t="shared" si="562"/>
        <v>0</v>
      </c>
      <c r="CF109" s="59">
        <f t="shared" si="563"/>
        <v>0</v>
      </c>
      <c r="CG109" s="55">
        <f t="shared" si="564"/>
        <v>0</v>
      </c>
      <c r="CH109" s="59">
        <f t="shared" si="565"/>
        <v>0</v>
      </c>
      <c r="CI109" s="57">
        <f t="shared" si="566"/>
        <v>0</v>
      </c>
      <c r="CJ109" s="59">
        <f t="shared" si="567"/>
        <v>0</v>
      </c>
      <c r="CK109" s="55">
        <f t="shared" si="568"/>
        <v>0</v>
      </c>
      <c r="CL109" s="59">
        <f t="shared" si="569"/>
        <v>0</v>
      </c>
      <c r="CM109" s="57">
        <f t="shared" si="570"/>
        <v>0</v>
      </c>
      <c r="CN109" s="59">
        <f t="shared" si="571"/>
        <v>0</v>
      </c>
      <c r="CO109" s="60">
        <f t="shared" si="572"/>
        <v>0</v>
      </c>
      <c r="CP109" s="59">
        <f t="shared" si="573"/>
        <v>0</v>
      </c>
      <c r="CQ109" s="57">
        <f t="shared" si="574"/>
        <v>0</v>
      </c>
      <c r="CR109" s="59">
        <f t="shared" si="575"/>
        <v>0</v>
      </c>
      <c r="CS109" s="55">
        <f t="shared" si="576"/>
        <v>0</v>
      </c>
      <c r="CT109" s="59">
        <f t="shared" si="577"/>
        <v>0</v>
      </c>
      <c r="CU109" s="60">
        <f t="shared" si="578"/>
        <v>0</v>
      </c>
      <c r="CV109" s="59">
        <f t="shared" si="579"/>
        <v>0</v>
      </c>
      <c r="CW109" s="60">
        <f t="shared" si="580"/>
        <v>0</v>
      </c>
      <c r="CX109" s="59">
        <f t="shared" si="581"/>
        <v>0</v>
      </c>
      <c r="CY109" s="60">
        <f t="shared" si="582"/>
        <v>0</v>
      </c>
      <c r="CZ109" s="59">
        <f t="shared" si="583"/>
        <v>0</v>
      </c>
      <c r="DA109" s="55">
        <f t="shared" si="584"/>
        <v>0</v>
      </c>
      <c r="DB109" s="59">
        <f t="shared" si="585"/>
        <v>0</v>
      </c>
      <c r="DC109" s="60">
        <f t="shared" si="586"/>
        <v>0</v>
      </c>
      <c r="DD109" s="59">
        <f t="shared" si="587"/>
        <v>0</v>
      </c>
      <c r="DE109" s="60">
        <f t="shared" si="588"/>
        <v>0</v>
      </c>
      <c r="DF109" s="59">
        <f t="shared" si="589"/>
        <v>0</v>
      </c>
      <c r="DG109" s="60">
        <f t="shared" si="590"/>
        <v>0</v>
      </c>
      <c r="DH109" s="59">
        <f t="shared" si="591"/>
        <v>0</v>
      </c>
      <c r="DI109" s="60">
        <f t="shared" si="592"/>
        <v>0</v>
      </c>
      <c r="DJ109" s="59">
        <f t="shared" si="593"/>
        <v>0</v>
      </c>
      <c r="DK109" s="55">
        <f t="shared" si="594"/>
        <v>0</v>
      </c>
      <c r="DL109" s="59">
        <f t="shared" si="595"/>
        <v>0</v>
      </c>
      <c r="DM109" s="60">
        <f t="shared" si="596"/>
        <v>0</v>
      </c>
      <c r="DN109" s="59">
        <f t="shared" si="597"/>
        <v>0</v>
      </c>
      <c r="DO109" s="60">
        <f t="shared" si="598"/>
        <v>0</v>
      </c>
      <c r="DP109" s="59">
        <f t="shared" si="599"/>
        <v>0</v>
      </c>
      <c r="DQ109" s="55">
        <f t="shared" si="600"/>
        <v>0</v>
      </c>
      <c r="DR109" s="59">
        <f t="shared" si="601"/>
        <v>0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54">+DX109-0.02</f>
        <v>0.91</v>
      </c>
      <c r="DZ109" s="55">
        <f t="shared" si="654"/>
        <v>0.89</v>
      </c>
      <c r="EA109" s="55">
        <f t="shared" si="654"/>
        <v>0.87</v>
      </c>
      <c r="EB109" s="55">
        <f t="shared" si="654"/>
        <v>0.85</v>
      </c>
      <c r="EC109" s="55">
        <f t="shared" si="654"/>
        <v>0.83</v>
      </c>
      <c r="ED109" s="55">
        <f t="shared" si="654"/>
        <v>0.80999999999999994</v>
      </c>
      <c r="EE109" s="55">
        <f t="shared" si="654"/>
        <v>0.78999999999999992</v>
      </c>
      <c r="EF109" s="55">
        <f t="shared" si="654"/>
        <v>0.76999999999999991</v>
      </c>
      <c r="EG109" s="55">
        <f t="shared" si="654"/>
        <v>0.74999999999999989</v>
      </c>
      <c r="EH109" s="55">
        <f t="shared" si="654"/>
        <v>0.72999999999999987</v>
      </c>
      <c r="EI109" s="55">
        <f t="shared" si="654"/>
        <v>0.70999999999999985</v>
      </c>
      <c r="EJ109" s="55">
        <f t="shared" si="654"/>
        <v>0.68999999999999984</v>
      </c>
      <c r="EK109" s="55">
        <f t="shared" si="654"/>
        <v>0.66999999999999982</v>
      </c>
      <c r="EL109" s="55">
        <f t="shared" si="654"/>
        <v>0.6499999999999998</v>
      </c>
      <c r="EM109" s="55">
        <f t="shared" si="654"/>
        <v>0.62999999999999978</v>
      </c>
      <c r="EN109" s="55">
        <f t="shared" si="654"/>
        <v>0.60999999999999976</v>
      </c>
      <c r="EO109" s="55">
        <f t="shared" si="654"/>
        <v>0.58999999999999975</v>
      </c>
      <c r="EP109" s="55">
        <f t="shared" si="654"/>
        <v>0.56999999999999973</v>
      </c>
      <c r="ER109" s="55">
        <f t="shared" si="648"/>
        <v>0</v>
      </c>
      <c r="ES109" s="55">
        <f t="shared" si="510"/>
        <v>0</v>
      </c>
      <c r="ET109" s="59">
        <f t="shared" si="602"/>
        <v>0</v>
      </c>
      <c r="EU109" s="55">
        <f t="shared" si="603"/>
        <v>0</v>
      </c>
      <c r="EV109" s="59">
        <f t="shared" si="604"/>
        <v>0</v>
      </c>
      <c r="EW109" s="55">
        <f t="shared" si="605"/>
        <v>0</v>
      </c>
      <c r="EX109" s="59">
        <f t="shared" si="606"/>
        <v>0</v>
      </c>
      <c r="EY109" s="55">
        <f t="shared" si="607"/>
        <v>0</v>
      </c>
      <c r="EZ109" s="59">
        <f t="shared" si="608"/>
        <v>0</v>
      </c>
      <c r="FA109" s="57">
        <f t="shared" si="609"/>
        <v>0</v>
      </c>
      <c r="FB109" s="59">
        <f t="shared" si="610"/>
        <v>0</v>
      </c>
      <c r="FC109" s="55">
        <f t="shared" si="611"/>
        <v>0</v>
      </c>
      <c r="FD109" s="59">
        <f t="shared" si="612"/>
        <v>0</v>
      </c>
      <c r="FE109" s="57">
        <f t="shared" si="613"/>
        <v>0</v>
      </c>
      <c r="FF109" s="59">
        <f t="shared" si="614"/>
        <v>0</v>
      </c>
      <c r="FG109" s="60">
        <f t="shared" si="615"/>
        <v>0</v>
      </c>
      <c r="FH109" s="59">
        <f t="shared" si="616"/>
        <v>0</v>
      </c>
      <c r="FI109" s="57">
        <f t="shared" si="617"/>
        <v>0</v>
      </c>
      <c r="FJ109" s="59">
        <f t="shared" si="618"/>
        <v>0</v>
      </c>
      <c r="FK109" s="55">
        <f t="shared" si="619"/>
        <v>0</v>
      </c>
      <c r="FL109" s="59">
        <f t="shared" si="620"/>
        <v>0</v>
      </c>
      <c r="FM109" s="60">
        <f t="shared" si="621"/>
        <v>0</v>
      </c>
      <c r="FN109" s="59">
        <f t="shared" si="622"/>
        <v>0</v>
      </c>
      <c r="FO109" s="60">
        <f t="shared" si="623"/>
        <v>0</v>
      </c>
      <c r="FP109" s="59">
        <f t="shared" si="624"/>
        <v>0</v>
      </c>
      <c r="FQ109" s="60">
        <f t="shared" si="625"/>
        <v>0</v>
      </c>
      <c r="FR109" s="59">
        <f t="shared" si="626"/>
        <v>0</v>
      </c>
      <c r="FS109" s="55">
        <f t="shared" si="627"/>
        <v>0</v>
      </c>
      <c r="FT109" s="59">
        <f t="shared" si="628"/>
        <v>0</v>
      </c>
      <c r="FU109" s="60">
        <f t="shared" si="629"/>
        <v>0</v>
      </c>
      <c r="FV109" s="59">
        <f t="shared" si="630"/>
        <v>0</v>
      </c>
      <c r="FW109" s="60">
        <f t="shared" si="631"/>
        <v>0</v>
      </c>
      <c r="FX109" s="59">
        <f t="shared" si="632"/>
        <v>0</v>
      </c>
      <c r="FY109" s="60">
        <f t="shared" si="633"/>
        <v>0</v>
      </c>
      <c r="FZ109" s="59">
        <f t="shared" si="634"/>
        <v>0</v>
      </c>
      <c r="GA109" s="60">
        <f t="shared" si="635"/>
        <v>0</v>
      </c>
      <c r="GB109" s="59">
        <f t="shared" si="636"/>
        <v>0</v>
      </c>
      <c r="GC109" s="55">
        <f t="shared" si="637"/>
        <v>0</v>
      </c>
      <c r="GD109" s="59">
        <f t="shared" si="638"/>
        <v>0</v>
      </c>
      <c r="GE109" s="60">
        <f t="shared" si="639"/>
        <v>0</v>
      </c>
      <c r="GF109" s="59">
        <f t="shared" si="640"/>
        <v>0</v>
      </c>
      <c r="GG109" s="60">
        <f t="shared" si="641"/>
        <v>0</v>
      </c>
      <c r="GH109" s="59">
        <f t="shared" si="642"/>
        <v>0</v>
      </c>
      <c r="GI109" s="55">
        <f t="shared" si="643"/>
        <v>0</v>
      </c>
      <c r="GJ109" s="59">
        <f t="shared" si="644"/>
        <v>0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55">+GP109-0.02</f>
        <v>0.91</v>
      </c>
      <c r="GR109" s="55">
        <f t="shared" si="655"/>
        <v>0.89</v>
      </c>
      <c r="GS109" s="55">
        <f t="shared" si="655"/>
        <v>0.87</v>
      </c>
      <c r="GT109" s="55">
        <f t="shared" si="655"/>
        <v>0.85</v>
      </c>
      <c r="GU109" s="55">
        <f t="shared" si="655"/>
        <v>0.83</v>
      </c>
      <c r="GV109" s="55">
        <f t="shared" si="655"/>
        <v>0.80999999999999994</v>
      </c>
      <c r="GW109" s="55">
        <f t="shared" si="655"/>
        <v>0.78999999999999992</v>
      </c>
      <c r="GX109" s="55">
        <f t="shared" si="655"/>
        <v>0.76999999999999991</v>
      </c>
      <c r="GY109" s="55">
        <f t="shared" si="655"/>
        <v>0.74999999999999989</v>
      </c>
      <c r="GZ109" s="55">
        <f t="shared" si="655"/>
        <v>0.72999999999999987</v>
      </c>
      <c r="HA109" s="55">
        <f t="shared" si="655"/>
        <v>0.70999999999999985</v>
      </c>
      <c r="HB109" s="55">
        <f t="shared" si="655"/>
        <v>0.68999999999999984</v>
      </c>
      <c r="HC109" s="55">
        <f t="shared" si="655"/>
        <v>0.66999999999999982</v>
      </c>
      <c r="HD109" s="55">
        <f t="shared" si="655"/>
        <v>0.6499999999999998</v>
      </c>
      <c r="HE109" s="55">
        <f t="shared" si="655"/>
        <v>0.62999999999999978</v>
      </c>
      <c r="HF109" s="55">
        <f t="shared" si="655"/>
        <v>0.60999999999999976</v>
      </c>
      <c r="HG109" s="55">
        <f t="shared" si="655"/>
        <v>0.58999999999999975</v>
      </c>
      <c r="HH109" s="55">
        <f t="shared" si="655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1">
        <f t="shared" si="515"/>
        <v>0</v>
      </c>
      <c r="H110" s="55">
        <f t="shared" si="505"/>
        <v>0</v>
      </c>
      <c r="I110" s="55">
        <f t="shared" si="506"/>
        <v>0</v>
      </c>
      <c r="J110" s="59">
        <f t="shared" si="507"/>
        <v>0</v>
      </c>
      <c r="K110" s="55">
        <f t="shared" si="516"/>
        <v>0</v>
      </c>
      <c r="L110" s="59">
        <f t="shared" si="517"/>
        <v>0</v>
      </c>
      <c r="M110" s="55">
        <f t="shared" si="518"/>
        <v>0</v>
      </c>
      <c r="N110" s="59">
        <f t="shared" si="519"/>
        <v>0</v>
      </c>
      <c r="O110" s="55">
        <f t="shared" si="520"/>
        <v>0</v>
      </c>
      <c r="P110" s="59">
        <f t="shared" si="521"/>
        <v>0</v>
      </c>
      <c r="Q110" s="57">
        <f t="shared" si="522"/>
        <v>0</v>
      </c>
      <c r="R110" s="59">
        <f t="shared" si="523"/>
        <v>0</v>
      </c>
      <c r="S110" s="55">
        <f t="shared" si="524"/>
        <v>0</v>
      </c>
      <c r="T110" s="59">
        <f t="shared" si="525"/>
        <v>0</v>
      </c>
      <c r="U110" s="57">
        <f t="shared" si="526"/>
        <v>0</v>
      </c>
      <c r="V110" s="59">
        <f t="shared" si="527"/>
        <v>0</v>
      </c>
      <c r="W110" s="60">
        <f t="shared" si="528"/>
        <v>0</v>
      </c>
      <c r="X110" s="59">
        <f t="shared" si="529"/>
        <v>0</v>
      </c>
      <c r="Y110" s="57">
        <f t="shared" si="530"/>
        <v>0</v>
      </c>
      <c r="Z110" s="59">
        <f t="shared" si="531"/>
        <v>0</v>
      </c>
      <c r="AA110" s="55">
        <f t="shared" si="532"/>
        <v>0</v>
      </c>
      <c r="AB110" s="59">
        <f t="shared" si="533"/>
        <v>0</v>
      </c>
      <c r="AC110" s="60">
        <f t="shared" si="534"/>
        <v>0</v>
      </c>
      <c r="AD110" s="59">
        <f t="shared" si="535"/>
        <v>0</v>
      </c>
      <c r="AE110" s="60">
        <f t="shared" si="536"/>
        <v>0</v>
      </c>
      <c r="AF110" s="59">
        <f t="shared" si="537"/>
        <v>0</v>
      </c>
      <c r="AG110" s="60">
        <f t="shared" si="538"/>
        <v>0</v>
      </c>
      <c r="AH110" s="59">
        <f t="shared" si="539"/>
        <v>0</v>
      </c>
      <c r="AI110" s="55">
        <f t="shared" si="540"/>
        <v>0</v>
      </c>
      <c r="AJ110" s="59">
        <f t="shared" si="541"/>
        <v>0</v>
      </c>
      <c r="AK110" s="60">
        <f t="shared" si="542"/>
        <v>0</v>
      </c>
      <c r="AL110" s="59">
        <f t="shared" si="543"/>
        <v>0</v>
      </c>
      <c r="AM110" s="60">
        <f t="shared" si="544"/>
        <v>0</v>
      </c>
      <c r="AN110" s="59">
        <f t="shared" si="545"/>
        <v>0</v>
      </c>
      <c r="AO110" s="60">
        <f t="shared" si="546"/>
        <v>0</v>
      </c>
      <c r="AP110" s="59">
        <f t="shared" si="547"/>
        <v>0</v>
      </c>
      <c r="AQ110" s="60">
        <f t="shared" si="548"/>
        <v>0</v>
      </c>
      <c r="AR110" s="59">
        <f t="shared" si="549"/>
        <v>0</v>
      </c>
      <c r="AS110" s="55">
        <f t="shared" si="550"/>
        <v>0</v>
      </c>
      <c r="AT110" s="59">
        <f t="shared" si="551"/>
        <v>0</v>
      </c>
      <c r="AU110" s="60">
        <f t="shared" si="552"/>
        <v>0</v>
      </c>
      <c r="AV110" s="59">
        <f t="shared" si="553"/>
        <v>0</v>
      </c>
      <c r="AW110" s="60">
        <f t="shared" si="554"/>
        <v>0</v>
      </c>
      <c r="AX110" s="59">
        <f t="shared" si="555"/>
        <v>0</v>
      </c>
      <c r="AY110" s="55">
        <f t="shared" si="556"/>
        <v>0</v>
      </c>
      <c r="AZ110" s="59">
        <f t="shared" si="557"/>
        <v>0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1"/>
        <v>0.91</v>
      </c>
      <c r="BH110" s="55">
        <f t="shared" si="651"/>
        <v>0.89</v>
      </c>
      <c r="BI110" s="55">
        <f t="shared" si="651"/>
        <v>0.87</v>
      </c>
      <c r="BJ110" s="55">
        <f t="shared" si="651"/>
        <v>0.85</v>
      </c>
      <c r="BK110" s="55">
        <f t="shared" si="651"/>
        <v>0.83</v>
      </c>
      <c r="BL110" s="55">
        <f t="shared" si="651"/>
        <v>0.80999999999999994</v>
      </c>
      <c r="BM110" s="55">
        <f t="shared" si="651"/>
        <v>0.78999999999999992</v>
      </c>
      <c r="BN110" s="55">
        <f t="shared" si="651"/>
        <v>0.76999999999999991</v>
      </c>
      <c r="BO110" s="55">
        <f t="shared" si="651"/>
        <v>0.74999999999999989</v>
      </c>
      <c r="BP110" s="55">
        <f t="shared" si="651"/>
        <v>0.72999999999999987</v>
      </c>
      <c r="BQ110" s="55">
        <f t="shared" si="651"/>
        <v>0.70999999999999985</v>
      </c>
      <c r="BR110" s="55">
        <f t="shared" si="651"/>
        <v>0.68999999999999984</v>
      </c>
      <c r="BS110" s="55">
        <f t="shared" si="651"/>
        <v>0.66999999999999982</v>
      </c>
      <c r="BT110" s="55">
        <f t="shared" si="651"/>
        <v>0.6499999999999998</v>
      </c>
      <c r="BU110" s="55">
        <f t="shared" si="651"/>
        <v>0.62999999999999978</v>
      </c>
      <c r="BV110" s="55">
        <f t="shared" si="651"/>
        <v>0.60999999999999976</v>
      </c>
      <c r="BW110" s="55">
        <f t="shared" si="651"/>
        <v>0.58999999999999975</v>
      </c>
      <c r="BX110" s="55">
        <f t="shared" si="651"/>
        <v>0.56999999999999973</v>
      </c>
      <c r="BZ110" s="55">
        <f t="shared" si="508"/>
        <v>0</v>
      </c>
      <c r="CA110" s="55">
        <f t="shared" si="509"/>
        <v>0</v>
      </c>
      <c r="CB110" s="59">
        <f t="shared" si="559"/>
        <v>0</v>
      </c>
      <c r="CC110" s="55">
        <f t="shared" si="560"/>
        <v>0</v>
      </c>
      <c r="CD110" s="59">
        <f t="shared" si="561"/>
        <v>0</v>
      </c>
      <c r="CE110" s="55">
        <f t="shared" si="562"/>
        <v>0</v>
      </c>
      <c r="CF110" s="59">
        <f t="shared" si="563"/>
        <v>0</v>
      </c>
      <c r="CG110" s="55">
        <f t="shared" si="564"/>
        <v>0</v>
      </c>
      <c r="CH110" s="59">
        <f t="shared" si="565"/>
        <v>0</v>
      </c>
      <c r="CI110" s="57">
        <f t="shared" si="566"/>
        <v>0</v>
      </c>
      <c r="CJ110" s="59">
        <f t="shared" si="567"/>
        <v>0</v>
      </c>
      <c r="CK110" s="55">
        <f t="shared" si="568"/>
        <v>0</v>
      </c>
      <c r="CL110" s="59">
        <f t="shared" si="569"/>
        <v>0</v>
      </c>
      <c r="CM110" s="57">
        <f t="shared" si="570"/>
        <v>0</v>
      </c>
      <c r="CN110" s="59">
        <f t="shared" si="571"/>
        <v>0</v>
      </c>
      <c r="CO110" s="60">
        <f t="shared" si="572"/>
        <v>0</v>
      </c>
      <c r="CP110" s="59">
        <f t="shared" si="573"/>
        <v>0</v>
      </c>
      <c r="CQ110" s="57">
        <f t="shared" si="574"/>
        <v>0</v>
      </c>
      <c r="CR110" s="59">
        <f t="shared" si="575"/>
        <v>0</v>
      </c>
      <c r="CS110" s="55">
        <f t="shared" si="576"/>
        <v>0</v>
      </c>
      <c r="CT110" s="59">
        <f t="shared" si="577"/>
        <v>0</v>
      </c>
      <c r="CU110" s="60">
        <f t="shared" si="578"/>
        <v>0</v>
      </c>
      <c r="CV110" s="59">
        <f t="shared" si="579"/>
        <v>0</v>
      </c>
      <c r="CW110" s="60">
        <f t="shared" si="580"/>
        <v>0</v>
      </c>
      <c r="CX110" s="59">
        <f t="shared" si="581"/>
        <v>0</v>
      </c>
      <c r="CY110" s="60">
        <f t="shared" si="582"/>
        <v>0</v>
      </c>
      <c r="CZ110" s="59">
        <f t="shared" si="583"/>
        <v>0</v>
      </c>
      <c r="DA110" s="55">
        <f t="shared" si="584"/>
        <v>0</v>
      </c>
      <c r="DB110" s="59">
        <f t="shared" si="585"/>
        <v>0</v>
      </c>
      <c r="DC110" s="60">
        <f t="shared" si="586"/>
        <v>0</v>
      </c>
      <c r="DD110" s="59">
        <f t="shared" si="587"/>
        <v>0</v>
      </c>
      <c r="DE110" s="60">
        <f t="shared" si="588"/>
        <v>0</v>
      </c>
      <c r="DF110" s="59">
        <f t="shared" si="589"/>
        <v>0</v>
      </c>
      <c r="DG110" s="60">
        <f t="shared" si="590"/>
        <v>0</v>
      </c>
      <c r="DH110" s="59">
        <f t="shared" si="591"/>
        <v>0</v>
      </c>
      <c r="DI110" s="60">
        <f t="shared" si="592"/>
        <v>0</v>
      </c>
      <c r="DJ110" s="59">
        <f t="shared" si="593"/>
        <v>0</v>
      </c>
      <c r="DK110" s="55">
        <f t="shared" si="594"/>
        <v>0</v>
      </c>
      <c r="DL110" s="59">
        <f t="shared" si="595"/>
        <v>0</v>
      </c>
      <c r="DM110" s="60">
        <f t="shared" si="596"/>
        <v>0</v>
      </c>
      <c r="DN110" s="59">
        <f t="shared" si="597"/>
        <v>0</v>
      </c>
      <c r="DO110" s="60">
        <f t="shared" si="598"/>
        <v>0</v>
      </c>
      <c r="DP110" s="59">
        <f t="shared" si="599"/>
        <v>0</v>
      </c>
      <c r="DQ110" s="55">
        <f t="shared" si="600"/>
        <v>0</v>
      </c>
      <c r="DR110" s="59">
        <f t="shared" si="601"/>
        <v>0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4"/>
        <v>0.91</v>
      </c>
      <c r="DZ110" s="55">
        <f t="shared" si="654"/>
        <v>0.89</v>
      </c>
      <c r="EA110" s="55">
        <f t="shared" si="654"/>
        <v>0.87</v>
      </c>
      <c r="EB110" s="55">
        <f t="shared" si="654"/>
        <v>0.85</v>
      </c>
      <c r="EC110" s="55">
        <f t="shared" si="654"/>
        <v>0.83</v>
      </c>
      <c r="ED110" s="55">
        <f t="shared" si="654"/>
        <v>0.80999999999999994</v>
      </c>
      <c r="EE110" s="55">
        <f t="shared" si="654"/>
        <v>0.78999999999999992</v>
      </c>
      <c r="EF110" s="55">
        <f t="shared" si="654"/>
        <v>0.76999999999999991</v>
      </c>
      <c r="EG110" s="55">
        <f t="shared" si="654"/>
        <v>0.74999999999999989</v>
      </c>
      <c r="EH110" s="55">
        <f t="shared" si="654"/>
        <v>0.72999999999999987</v>
      </c>
      <c r="EI110" s="55">
        <f t="shared" si="654"/>
        <v>0.70999999999999985</v>
      </c>
      <c r="EJ110" s="55">
        <f t="shared" si="654"/>
        <v>0.68999999999999984</v>
      </c>
      <c r="EK110" s="55">
        <f t="shared" si="654"/>
        <v>0.66999999999999982</v>
      </c>
      <c r="EL110" s="55">
        <f t="shared" si="654"/>
        <v>0.6499999999999998</v>
      </c>
      <c r="EM110" s="55">
        <f t="shared" si="654"/>
        <v>0.62999999999999978</v>
      </c>
      <c r="EN110" s="55">
        <f t="shared" si="654"/>
        <v>0.60999999999999976</v>
      </c>
      <c r="EO110" s="55">
        <f t="shared" si="654"/>
        <v>0.58999999999999975</v>
      </c>
      <c r="EP110" s="55">
        <f t="shared" si="654"/>
        <v>0.56999999999999973</v>
      </c>
      <c r="ER110" s="55">
        <f t="shared" si="648"/>
        <v>0</v>
      </c>
      <c r="ES110" s="55">
        <f t="shared" si="510"/>
        <v>0</v>
      </c>
      <c r="ET110" s="59">
        <f t="shared" si="602"/>
        <v>0</v>
      </c>
      <c r="EU110" s="55">
        <f t="shared" si="603"/>
        <v>0</v>
      </c>
      <c r="EV110" s="59">
        <f t="shared" si="604"/>
        <v>0</v>
      </c>
      <c r="EW110" s="55">
        <f t="shared" si="605"/>
        <v>0</v>
      </c>
      <c r="EX110" s="59">
        <f t="shared" si="606"/>
        <v>0</v>
      </c>
      <c r="EY110" s="55">
        <f t="shared" si="607"/>
        <v>0</v>
      </c>
      <c r="EZ110" s="59">
        <f t="shared" si="608"/>
        <v>0</v>
      </c>
      <c r="FA110" s="57">
        <f t="shared" si="609"/>
        <v>0</v>
      </c>
      <c r="FB110" s="59">
        <f t="shared" si="610"/>
        <v>0</v>
      </c>
      <c r="FC110" s="55">
        <f t="shared" si="611"/>
        <v>0</v>
      </c>
      <c r="FD110" s="59">
        <f t="shared" si="612"/>
        <v>0</v>
      </c>
      <c r="FE110" s="57">
        <f t="shared" si="613"/>
        <v>0</v>
      </c>
      <c r="FF110" s="59">
        <f t="shared" si="614"/>
        <v>0</v>
      </c>
      <c r="FG110" s="60">
        <f t="shared" si="615"/>
        <v>0</v>
      </c>
      <c r="FH110" s="59">
        <f t="shared" si="616"/>
        <v>0</v>
      </c>
      <c r="FI110" s="57">
        <f t="shared" si="617"/>
        <v>0</v>
      </c>
      <c r="FJ110" s="59">
        <f t="shared" si="618"/>
        <v>0</v>
      </c>
      <c r="FK110" s="55">
        <f t="shared" si="619"/>
        <v>0</v>
      </c>
      <c r="FL110" s="59">
        <f t="shared" si="620"/>
        <v>0</v>
      </c>
      <c r="FM110" s="60">
        <f t="shared" si="621"/>
        <v>0</v>
      </c>
      <c r="FN110" s="59">
        <f t="shared" si="622"/>
        <v>0</v>
      </c>
      <c r="FO110" s="60">
        <f t="shared" si="623"/>
        <v>0</v>
      </c>
      <c r="FP110" s="59">
        <f t="shared" si="624"/>
        <v>0</v>
      </c>
      <c r="FQ110" s="60">
        <f t="shared" si="625"/>
        <v>0</v>
      </c>
      <c r="FR110" s="59">
        <f t="shared" si="626"/>
        <v>0</v>
      </c>
      <c r="FS110" s="55">
        <f t="shared" si="627"/>
        <v>0</v>
      </c>
      <c r="FT110" s="59">
        <f t="shared" si="628"/>
        <v>0</v>
      </c>
      <c r="FU110" s="60">
        <f t="shared" si="629"/>
        <v>0</v>
      </c>
      <c r="FV110" s="59">
        <f t="shared" si="630"/>
        <v>0</v>
      </c>
      <c r="FW110" s="60">
        <f t="shared" si="631"/>
        <v>0</v>
      </c>
      <c r="FX110" s="59">
        <f t="shared" si="632"/>
        <v>0</v>
      </c>
      <c r="FY110" s="60">
        <f t="shared" si="633"/>
        <v>0</v>
      </c>
      <c r="FZ110" s="59">
        <f t="shared" si="634"/>
        <v>0</v>
      </c>
      <c r="GA110" s="60">
        <f t="shared" si="635"/>
        <v>0</v>
      </c>
      <c r="GB110" s="59">
        <f t="shared" si="636"/>
        <v>0</v>
      </c>
      <c r="GC110" s="55">
        <f t="shared" si="637"/>
        <v>0</v>
      </c>
      <c r="GD110" s="59">
        <f t="shared" si="638"/>
        <v>0</v>
      </c>
      <c r="GE110" s="60">
        <f t="shared" si="639"/>
        <v>0</v>
      </c>
      <c r="GF110" s="59">
        <f t="shared" si="640"/>
        <v>0</v>
      </c>
      <c r="GG110" s="60">
        <f t="shared" si="641"/>
        <v>0</v>
      </c>
      <c r="GH110" s="59">
        <f t="shared" si="642"/>
        <v>0</v>
      </c>
      <c r="GI110" s="55">
        <f t="shared" si="643"/>
        <v>0</v>
      </c>
      <c r="GJ110" s="59">
        <f t="shared" si="644"/>
        <v>0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5"/>
        <v>0.91</v>
      </c>
      <c r="GR110" s="55">
        <f t="shared" si="655"/>
        <v>0.89</v>
      </c>
      <c r="GS110" s="55">
        <f t="shared" si="655"/>
        <v>0.87</v>
      </c>
      <c r="GT110" s="55">
        <f t="shared" si="655"/>
        <v>0.85</v>
      </c>
      <c r="GU110" s="55">
        <f t="shared" si="655"/>
        <v>0.83</v>
      </c>
      <c r="GV110" s="55">
        <f t="shared" si="655"/>
        <v>0.80999999999999994</v>
      </c>
      <c r="GW110" s="55">
        <f t="shared" si="655"/>
        <v>0.78999999999999992</v>
      </c>
      <c r="GX110" s="55">
        <f t="shared" si="655"/>
        <v>0.76999999999999991</v>
      </c>
      <c r="GY110" s="55">
        <f t="shared" si="655"/>
        <v>0.74999999999999989</v>
      </c>
      <c r="GZ110" s="55">
        <f t="shared" si="655"/>
        <v>0.72999999999999987</v>
      </c>
      <c r="HA110" s="55">
        <f t="shared" si="655"/>
        <v>0.70999999999999985</v>
      </c>
      <c r="HB110" s="55">
        <f t="shared" si="655"/>
        <v>0.68999999999999984</v>
      </c>
      <c r="HC110" s="55">
        <f t="shared" si="655"/>
        <v>0.66999999999999982</v>
      </c>
      <c r="HD110" s="55">
        <f t="shared" si="655"/>
        <v>0.6499999999999998</v>
      </c>
      <c r="HE110" s="55">
        <f t="shared" si="655"/>
        <v>0.62999999999999978</v>
      </c>
      <c r="HF110" s="55">
        <f t="shared" si="655"/>
        <v>0.60999999999999976</v>
      </c>
      <c r="HG110" s="55">
        <f t="shared" si="655"/>
        <v>0.58999999999999975</v>
      </c>
      <c r="HH110" s="55">
        <f t="shared" si="655"/>
        <v>0.56999999999999973</v>
      </c>
    </row>
    <row r="111" spans="1:216" x14ac:dyDescent="0.3">
      <c r="A111" s="2">
        <v>20</v>
      </c>
      <c r="C111" s="38" t="s">
        <v>150</v>
      </c>
      <c r="D111" s="42">
        <f>TRUNC(18595.3637391632+184769.129287599,-1)</f>
        <v>203360</v>
      </c>
      <c r="E111" s="71">
        <f t="shared" si="515"/>
        <v>672260</v>
      </c>
      <c r="H111" s="55">
        <f t="shared" si="505"/>
        <v>739486.00000000012</v>
      </c>
      <c r="I111" s="55">
        <f t="shared" si="506"/>
        <v>739486.00000000012</v>
      </c>
      <c r="J111" s="59">
        <f t="shared" si="507"/>
        <v>2444592.8188000005</v>
      </c>
      <c r="K111" s="55">
        <f t="shared" si="516"/>
        <v>717301.42</v>
      </c>
      <c r="L111" s="59">
        <f t="shared" si="517"/>
        <v>2371255.0342360004</v>
      </c>
      <c r="M111" s="55">
        <f t="shared" si="518"/>
        <v>702511.70000000007</v>
      </c>
      <c r="N111" s="59">
        <f t="shared" si="519"/>
        <v>2322363.1778600002</v>
      </c>
      <c r="O111" s="55">
        <f t="shared" si="520"/>
        <v>687721.9800000001</v>
      </c>
      <c r="P111" s="59">
        <f t="shared" si="521"/>
        <v>2273471.3214840004</v>
      </c>
      <c r="Q111" s="57">
        <f t="shared" si="522"/>
        <v>672932.26000000013</v>
      </c>
      <c r="R111" s="59">
        <f t="shared" si="523"/>
        <v>2224579.4651080007</v>
      </c>
      <c r="S111" s="55">
        <f t="shared" si="524"/>
        <v>658142.54000000015</v>
      </c>
      <c r="T111" s="59">
        <f t="shared" si="525"/>
        <v>2175687.6087320005</v>
      </c>
      <c r="U111" s="57">
        <f t="shared" si="526"/>
        <v>643352.82000000007</v>
      </c>
      <c r="V111" s="59">
        <f t="shared" si="527"/>
        <v>2126795.7523560002</v>
      </c>
      <c r="W111" s="60">
        <f t="shared" si="528"/>
        <v>628563.10000000009</v>
      </c>
      <c r="X111" s="59">
        <f t="shared" si="529"/>
        <v>2077903.8959800003</v>
      </c>
      <c r="Y111" s="57">
        <f t="shared" si="530"/>
        <v>613773.38000000012</v>
      </c>
      <c r="Z111" s="59">
        <f t="shared" si="531"/>
        <v>2029012.0396040005</v>
      </c>
      <c r="AA111" s="55">
        <f t="shared" si="532"/>
        <v>598983.66</v>
      </c>
      <c r="AB111" s="59">
        <f t="shared" si="533"/>
        <v>1980120.1832280001</v>
      </c>
      <c r="AC111" s="60">
        <f t="shared" si="534"/>
        <v>584193.94000000006</v>
      </c>
      <c r="AD111" s="59">
        <f t="shared" si="535"/>
        <v>1931228.3268520003</v>
      </c>
      <c r="AE111" s="60">
        <f t="shared" si="536"/>
        <v>569404.22</v>
      </c>
      <c r="AF111" s="59">
        <f t="shared" si="537"/>
        <v>1882336.4704759999</v>
      </c>
      <c r="AG111" s="60">
        <f t="shared" si="538"/>
        <v>554614.5</v>
      </c>
      <c r="AH111" s="59">
        <f t="shared" si="539"/>
        <v>1833444.6141000001</v>
      </c>
      <c r="AI111" s="55">
        <f t="shared" si="540"/>
        <v>539824.78</v>
      </c>
      <c r="AJ111" s="59">
        <f t="shared" si="541"/>
        <v>1784552.7577240001</v>
      </c>
      <c r="AK111" s="60">
        <f t="shared" si="542"/>
        <v>525035.05999999994</v>
      </c>
      <c r="AL111" s="59">
        <f t="shared" si="543"/>
        <v>1735660.9013479999</v>
      </c>
      <c r="AM111" s="60">
        <f t="shared" si="544"/>
        <v>510245.33999999997</v>
      </c>
      <c r="AN111" s="59">
        <f t="shared" si="545"/>
        <v>1686769.0449719999</v>
      </c>
      <c r="AO111" s="60">
        <f t="shared" si="546"/>
        <v>495455.61999999994</v>
      </c>
      <c r="AP111" s="59">
        <f t="shared" si="547"/>
        <v>1637877.1885959997</v>
      </c>
      <c r="AQ111" s="60">
        <f t="shared" si="548"/>
        <v>480665.89999999991</v>
      </c>
      <c r="AR111" s="59">
        <f t="shared" si="549"/>
        <v>1588985.3322199997</v>
      </c>
      <c r="AS111" s="55">
        <f t="shared" si="550"/>
        <v>465876.17999999993</v>
      </c>
      <c r="AT111" s="59">
        <f t="shared" si="551"/>
        <v>1540093.4758439998</v>
      </c>
      <c r="AU111" s="60">
        <f t="shared" si="552"/>
        <v>451086.4599999999</v>
      </c>
      <c r="AV111" s="59">
        <f t="shared" si="553"/>
        <v>1491201.6194679998</v>
      </c>
      <c r="AW111" s="60">
        <f t="shared" si="554"/>
        <v>436296.73999999987</v>
      </c>
      <c r="AX111" s="59">
        <f t="shared" si="555"/>
        <v>1442309.7630919996</v>
      </c>
      <c r="AY111" s="55">
        <f t="shared" si="556"/>
        <v>421507.01999999984</v>
      </c>
      <c r="AZ111" s="59">
        <f t="shared" si="557"/>
        <v>1393417.9067159996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1"/>
        <v>0.91</v>
      </c>
      <c r="BH111" s="55">
        <f t="shared" si="651"/>
        <v>0.89</v>
      </c>
      <c r="BI111" s="55">
        <f t="shared" si="651"/>
        <v>0.87</v>
      </c>
      <c r="BJ111" s="55">
        <f t="shared" si="651"/>
        <v>0.85</v>
      </c>
      <c r="BK111" s="55">
        <f t="shared" si="651"/>
        <v>0.83</v>
      </c>
      <c r="BL111" s="55">
        <f t="shared" si="651"/>
        <v>0.80999999999999994</v>
      </c>
      <c r="BM111" s="55">
        <f t="shared" si="651"/>
        <v>0.78999999999999992</v>
      </c>
      <c r="BN111" s="55">
        <f t="shared" si="651"/>
        <v>0.76999999999999991</v>
      </c>
      <c r="BO111" s="55">
        <f t="shared" si="651"/>
        <v>0.74999999999999989</v>
      </c>
      <c r="BP111" s="55">
        <f t="shared" si="651"/>
        <v>0.72999999999999987</v>
      </c>
      <c r="BQ111" s="55">
        <f t="shared" si="651"/>
        <v>0.70999999999999985</v>
      </c>
      <c r="BR111" s="55">
        <f t="shared" si="651"/>
        <v>0.68999999999999984</v>
      </c>
      <c r="BS111" s="55">
        <f t="shared" si="651"/>
        <v>0.66999999999999982</v>
      </c>
      <c r="BT111" s="55">
        <f t="shared" si="651"/>
        <v>0.6499999999999998</v>
      </c>
      <c r="BU111" s="55">
        <f t="shared" si="651"/>
        <v>0.62999999999999978</v>
      </c>
      <c r="BV111" s="55">
        <f t="shared" si="651"/>
        <v>0.60999999999999976</v>
      </c>
      <c r="BW111" s="55">
        <f t="shared" si="651"/>
        <v>0.58999999999999975</v>
      </c>
      <c r="BX111" s="55">
        <f t="shared" si="651"/>
        <v>0.56999999999999973</v>
      </c>
      <c r="BZ111" s="55">
        <f t="shared" si="508"/>
        <v>672932.26000000013</v>
      </c>
      <c r="CA111" s="55">
        <f t="shared" si="509"/>
        <v>672932.26000000013</v>
      </c>
      <c r="CB111" s="59">
        <f t="shared" si="559"/>
        <v>2224579.4651080007</v>
      </c>
      <c r="CC111" s="55">
        <f t="shared" si="560"/>
        <v>652744.29220000014</v>
      </c>
      <c r="CD111" s="59">
        <f t="shared" si="561"/>
        <v>2157842.0811547604</v>
      </c>
      <c r="CE111" s="55">
        <f t="shared" si="562"/>
        <v>639285.64700000011</v>
      </c>
      <c r="CF111" s="59">
        <f t="shared" si="563"/>
        <v>2113350.4918526006</v>
      </c>
      <c r="CG111" s="55">
        <f t="shared" si="564"/>
        <v>625827.0018000002</v>
      </c>
      <c r="CH111" s="59">
        <f t="shared" si="565"/>
        <v>2068858.9025504407</v>
      </c>
      <c r="CI111" s="57">
        <f t="shared" si="566"/>
        <v>612368.35660000017</v>
      </c>
      <c r="CJ111" s="59">
        <f t="shared" si="567"/>
        <v>2024367.3132482807</v>
      </c>
      <c r="CK111" s="55">
        <f t="shared" si="568"/>
        <v>598909.71140000015</v>
      </c>
      <c r="CL111" s="59">
        <f t="shared" si="569"/>
        <v>1979875.7239461206</v>
      </c>
      <c r="CM111" s="57">
        <f t="shared" si="570"/>
        <v>585451.06620000012</v>
      </c>
      <c r="CN111" s="59">
        <f t="shared" si="571"/>
        <v>1935384.1346439605</v>
      </c>
      <c r="CO111" s="60">
        <f t="shared" si="572"/>
        <v>571992.42100000009</v>
      </c>
      <c r="CP111" s="59">
        <f t="shared" si="573"/>
        <v>1890892.5453418004</v>
      </c>
      <c r="CQ111" s="57">
        <f t="shared" si="574"/>
        <v>558533.77580000006</v>
      </c>
      <c r="CR111" s="59">
        <f t="shared" si="575"/>
        <v>1846400.9560396404</v>
      </c>
      <c r="CS111" s="55">
        <f t="shared" si="576"/>
        <v>545075.13060000003</v>
      </c>
      <c r="CT111" s="59">
        <f t="shared" si="577"/>
        <v>1801909.36673748</v>
      </c>
      <c r="CU111" s="60">
        <f t="shared" si="578"/>
        <v>531616.48540000001</v>
      </c>
      <c r="CV111" s="59">
        <f t="shared" si="579"/>
        <v>1757417.77743532</v>
      </c>
      <c r="CW111" s="60">
        <f t="shared" si="580"/>
        <v>518157.84020000004</v>
      </c>
      <c r="CX111" s="59">
        <f t="shared" si="581"/>
        <v>1712926.1881331601</v>
      </c>
      <c r="CY111" s="60">
        <f t="shared" si="582"/>
        <v>504699.19500000001</v>
      </c>
      <c r="CZ111" s="59">
        <f t="shared" si="583"/>
        <v>1668434.598831</v>
      </c>
      <c r="DA111" s="55">
        <f t="shared" si="584"/>
        <v>491240.54979999998</v>
      </c>
      <c r="DB111" s="59">
        <f t="shared" si="585"/>
        <v>1623943.00952884</v>
      </c>
      <c r="DC111" s="60">
        <f t="shared" si="586"/>
        <v>477781.90460000001</v>
      </c>
      <c r="DD111" s="59">
        <f t="shared" si="587"/>
        <v>1579451.4202266801</v>
      </c>
      <c r="DE111" s="60">
        <f t="shared" si="588"/>
        <v>464323.25939999998</v>
      </c>
      <c r="DF111" s="59">
        <f t="shared" si="589"/>
        <v>1534959.83092452</v>
      </c>
      <c r="DG111" s="60">
        <f t="shared" si="590"/>
        <v>450864.61419999995</v>
      </c>
      <c r="DH111" s="59">
        <f t="shared" si="591"/>
        <v>1490468.24162236</v>
      </c>
      <c r="DI111" s="60">
        <f t="shared" si="592"/>
        <v>437405.96899999992</v>
      </c>
      <c r="DJ111" s="59">
        <f t="shared" si="593"/>
        <v>1445976.6523201999</v>
      </c>
      <c r="DK111" s="55">
        <f t="shared" si="594"/>
        <v>423947.32379999995</v>
      </c>
      <c r="DL111" s="59">
        <f t="shared" si="595"/>
        <v>1401485.0630180398</v>
      </c>
      <c r="DM111" s="60">
        <f t="shared" si="596"/>
        <v>410488.67859999993</v>
      </c>
      <c r="DN111" s="59">
        <f t="shared" si="597"/>
        <v>1356993.4737158797</v>
      </c>
      <c r="DO111" s="60">
        <f t="shared" si="598"/>
        <v>397030.0333999999</v>
      </c>
      <c r="DP111" s="59">
        <f t="shared" si="599"/>
        <v>1312501.8844137196</v>
      </c>
      <c r="DQ111" s="55">
        <f t="shared" si="600"/>
        <v>383571.38819999987</v>
      </c>
      <c r="DR111" s="59">
        <f t="shared" si="601"/>
        <v>1268010.2951115596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4"/>
        <v>0.91</v>
      </c>
      <c r="DZ111" s="55">
        <f t="shared" si="654"/>
        <v>0.89</v>
      </c>
      <c r="EA111" s="55">
        <f t="shared" si="654"/>
        <v>0.87</v>
      </c>
      <c r="EB111" s="55">
        <f t="shared" si="654"/>
        <v>0.85</v>
      </c>
      <c r="EC111" s="55">
        <f t="shared" si="654"/>
        <v>0.83</v>
      </c>
      <c r="ED111" s="55">
        <f t="shared" si="654"/>
        <v>0.80999999999999994</v>
      </c>
      <c r="EE111" s="55">
        <f t="shared" si="654"/>
        <v>0.78999999999999992</v>
      </c>
      <c r="EF111" s="55">
        <f t="shared" si="654"/>
        <v>0.76999999999999991</v>
      </c>
      <c r="EG111" s="55">
        <f t="shared" si="654"/>
        <v>0.74999999999999989</v>
      </c>
      <c r="EH111" s="55">
        <f t="shared" si="654"/>
        <v>0.72999999999999987</v>
      </c>
      <c r="EI111" s="55">
        <f t="shared" si="654"/>
        <v>0.70999999999999985</v>
      </c>
      <c r="EJ111" s="55">
        <f t="shared" si="654"/>
        <v>0.68999999999999984</v>
      </c>
      <c r="EK111" s="55">
        <f t="shared" si="654"/>
        <v>0.66999999999999982</v>
      </c>
      <c r="EL111" s="55">
        <f t="shared" si="654"/>
        <v>0.6499999999999998</v>
      </c>
      <c r="EM111" s="55">
        <f t="shared" si="654"/>
        <v>0.62999999999999978</v>
      </c>
      <c r="EN111" s="55">
        <f t="shared" si="654"/>
        <v>0.60999999999999976</v>
      </c>
      <c r="EO111" s="55">
        <f t="shared" si="654"/>
        <v>0.58999999999999975</v>
      </c>
      <c r="EP111" s="55">
        <f t="shared" si="654"/>
        <v>0.56999999999999973</v>
      </c>
      <c r="ER111" s="55">
        <f t="shared" si="648"/>
        <v>612368.35660000017</v>
      </c>
      <c r="ES111" s="55">
        <f t="shared" si="510"/>
        <v>612368.35660000017</v>
      </c>
      <c r="ET111" s="59">
        <f t="shared" si="602"/>
        <v>2024367.3132482807</v>
      </c>
      <c r="EU111" s="55">
        <f t="shared" si="603"/>
        <v>593997.30590200017</v>
      </c>
      <c r="EV111" s="59">
        <f t="shared" si="604"/>
        <v>1963636.2938508322</v>
      </c>
      <c r="EW111" s="55">
        <f t="shared" si="605"/>
        <v>581749.93877000012</v>
      </c>
      <c r="EX111" s="59">
        <f t="shared" si="606"/>
        <v>1923148.9475858666</v>
      </c>
      <c r="EY111" s="55">
        <f t="shared" si="607"/>
        <v>569502.5716380002</v>
      </c>
      <c r="EZ111" s="59">
        <f t="shared" si="608"/>
        <v>1882661.6013209012</v>
      </c>
      <c r="FA111" s="57">
        <f t="shared" si="609"/>
        <v>557255.20450600015</v>
      </c>
      <c r="FB111" s="59">
        <f t="shared" si="610"/>
        <v>1842174.2550559354</v>
      </c>
      <c r="FC111" s="55">
        <f t="shared" si="611"/>
        <v>545007.83737400011</v>
      </c>
      <c r="FD111" s="59">
        <f t="shared" si="612"/>
        <v>1801686.9087909695</v>
      </c>
      <c r="FE111" s="57">
        <f t="shared" si="613"/>
        <v>532760.47024200018</v>
      </c>
      <c r="FF111" s="59">
        <f t="shared" si="614"/>
        <v>1761199.5625260042</v>
      </c>
      <c r="FG111" s="60">
        <f t="shared" si="615"/>
        <v>520513.10311000014</v>
      </c>
      <c r="FH111" s="59">
        <f t="shared" si="616"/>
        <v>1720712.2162610386</v>
      </c>
      <c r="FI111" s="57">
        <f t="shared" si="617"/>
        <v>508265.7359780001</v>
      </c>
      <c r="FJ111" s="59">
        <f t="shared" si="618"/>
        <v>1680224.8699960727</v>
      </c>
      <c r="FK111" s="55">
        <f t="shared" si="619"/>
        <v>496018.36884600011</v>
      </c>
      <c r="FL111" s="59">
        <f t="shared" si="620"/>
        <v>1639737.5237311071</v>
      </c>
      <c r="FM111" s="60">
        <f t="shared" si="621"/>
        <v>483771.00171400007</v>
      </c>
      <c r="FN111" s="59">
        <f t="shared" si="622"/>
        <v>1599250.1774661415</v>
      </c>
      <c r="FO111" s="60">
        <f t="shared" si="623"/>
        <v>471523.63458200009</v>
      </c>
      <c r="FP111" s="59">
        <f t="shared" si="624"/>
        <v>1558762.8312011759</v>
      </c>
      <c r="FQ111" s="60">
        <f t="shared" si="625"/>
        <v>459276.26745000004</v>
      </c>
      <c r="FR111" s="59">
        <f t="shared" si="626"/>
        <v>1518275.4849362101</v>
      </c>
      <c r="FS111" s="55">
        <f t="shared" si="627"/>
        <v>447028.90031800006</v>
      </c>
      <c r="FT111" s="59">
        <f t="shared" si="628"/>
        <v>1477788.1386712447</v>
      </c>
      <c r="FU111" s="60">
        <f t="shared" si="629"/>
        <v>434781.53318600002</v>
      </c>
      <c r="FV111" s="59">
        <f t="shared" si="630"/>
        <v>1437300.7924062789</v>
      </c>
      <c r="FW111" s="60">
        <f t="shared" si="631"/>
        <v>422534.16605400003</v>
      </c>
      <c r="FX111" s="59">
        <f t="shared" si="632"/>
        <v>1396813.4461413133</v>
      </c>
      <c r="FY111" s="60">
        <f t="shared" si="633"/>
        <v>410286.79892199999</v>
      </c>
      <c r="FZ111" s="59">
        <f t="shared" si="634"/>
        <v>1356326.0998763477</v>
      </c>
      <c r="GA111" s="60">
        <f t="shared" si="635"/>
        <v>398039.43179</v>
      </c>
      <c r="GB111" s="59">
        <f t="shared" si="636"/>
        <v>1315838.7536113821</v>
      </c>
      <c r="GC111" s="55">
        <f t="shared" si="637"/>
        <v>385792.06465799996</v>
      </c>
      <c r="GD111" s="59">
        <f t="shared" si="638"/>
        <v>1275351.4073464163</v>
      </c>
      <c r="GE111" s="60">
        <f t="shared" si="639"/>
        <v>373544.69752599997</v>
      </c>
      <c r="GF111" s="59">
        <f t="shared" si="640"/>
        <v>1234864.0610814507</v>
      </c>
      <c r="GG111" s="60">
        <f t="shared" si="641"/>
        <v>361297.33039399993</v>
      </c>
      <c r="GH111" s="59">
        <f t="shared" si="642"/>
        <v>1194376.7148164851</v>
      </c>
      <c r="GI111" s="55">
        <f t="shared" si="643"/>
        <v>349049.96326199995</v>
      </c>
      <c r="GJ111" s="59">
        <f t="shared" si="644"/>
        <v>1153889.3685515195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5"/>
        <v>0.91</v>
      </c>
      <c r="GR111" s="55">
        <f t="shared" si="655"/>
        <v>0.89</v>
      </c>
      <c r="GS111" s="55">
        <f t="shared" si="655"/>
        <v>0.87</v>
      </c>
      <c r="GT111" s="55">
        <f t="shared" si="655"/>
        <v>0.85</v>
      </c>
      <c r="GU111" s="55">
        <f t="shared" si="655"/>
        <v>0.83</v>
      </c>
      <c r="GV111" s="55">
        <f t="shared" si="655"/>
        <v>0.80999999999999994</v>
      </c>
      <c r="GW111" s="55">
        <f t="shared" si="655"/>
        <v>0.78999999999999992</v>
      </c>
      <c r="GX111" s="55">
        <f t="shared" si="655"/>
        <v>0.76999999999999991</v>
      </c>
      <c r="GY111" s="55">
        <f t="shared" si="655"/>
        <v>0.74999999999999989</v>
      </c>
      <c r="GZ111" s="55">
        <f t="shared" si="655"/>
        <v>0.72999999999999987</v>
      </c>
      <c r="HA111" s="55">
        <f t="shared" si="655"/>
        <v>0.70999999999999985</v>
      </c>
      <c r="HB111" s="55">
        <f t="shared" si="655"/>
        <v>0.68999999999999984</v>
      </c>
      <c r="HC111" s="55">
        <f t="shared" si="655"/>
        <v>0.66999999999999982</v>
      </c>
      <c r="HD111" s="55">
        <f t="shared" si="655"/>
        <v>0.6499999999999998</v>
      </c>
      <c r="HE111" s="55">
        <f t="shared" si="655"/>
        <v>0.62999999999999978</v>
      </c>
      <c r="HF111" s="55">
        <f t="shared" si="655"/>
        <v>0.60999999999999976</v>
      </c>
      <c r="HG111" s="55">
        <f t="shared" si="655"/>
        <v>0.58999999999999975</v>
      </c>
      <c r="HH111" s="55">
        <f t="shared" si="655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TRUNC(3626.47889182058+2591.32736524689+486.879004900113+162.781379570298+437.520919713532+76.6615152657369+9987.44421409725+4181.95910290237+288.238974745571,-1)</f>
        <v>21830</v>
      </c>
      <c r="E112" s="72">
        <f t="shared" si="515"/>
        <v>72160</v>
      </c>
      <c r="F112" s="2" t="s">
        <v>308</v>
      </c>
      <c r="H112" s="55">
        <f t="shared" si="505"/>
        <v>79376</v>
      </c>
      <c r="I112" s="55">
        <f t="shared" si="506"/>
        <v>79376</v>
      </c>
      <c r="J112" s="59">
        <f t="shared" si="507"/>
        <v>262401.18080000003</v>
      </c>
      <c r="K112" s="55">
        <f t="shared" si="516"/>
        <v>76994.720000000001</v>
      </c>
      <c r="L112" s="59">
        <f t="shared" si="517"/>
        <v>254529.145376</v>
      </c>
      <c r="M112" s="55">
        <f t="shared" si="518"/>
        <v>75407.199999999997</v>
      </c>
      <c r="N112" s="59">
        <f t="shared" si="519"/>
        <v>249281.12176000001</v>
      </c>
      <c r="O112" s="55">
        <f t="shared" si="520"/>
        <v>73819.680000000008</v>
      </c>
      <c r="P112" s="59">
        <f t="shared" si="521"/>
        <v>244033.09814400002</v>
      </c>
      <c r="Q112" s="57">
        <f t="shared" si="522"/>
        <v>72232.160000000003</v>
      </c>
      <c r="R112" s="59">
        <f t="shared" si="523"/>
        <v>238785.07452800003</v>
      </c>
      <c r="S112" s="55">
        <f t="shared" si="524"/>
        <v>70644.639999999999</v>
      </c>
      <c r="T112" s="59">
        <f t="shared" si="525"/>
        <v>233537.05091200001</v>
      </c>
      <c r="U112" s="57">
        <f t="shared" si="526"/>
        <v>69057.119999999995</v>
      </c>
      <c r="V112" s="59">
        <f t="shared" si="527"/>
        <v>228289.02729599999</v>
      </c>
      <c r="W112" s="60">
        <f t="shared" si="528"/>
        <v>67469.599999999991</v>
      </c>
      <c r="X112" s="59">
        <f t="shared" si="529"/>
        <v>223041.00367999997</v>
      </c>
      <c r="Y112" s="57">
        <f t="shared" si="530"/>
        <v>65882.080000000002</v>
      </c>
      <c r="Z112" s="59">
        <f t="shared" si="531"/>
        <v>217792.980064</v>
      </c>
      <c r="AA112" s="55">
        <f t="shared" si="532"/>
        <v>64294.559999999998</v>
      </c>
      <c r="AB112" s="59">
        <f t="shared" si="533"/>
        <v>212544.95644799998</v>
      </c>
      <c r="AC112" s="60">
        <f t="shared" si="534"/>
        <v>62707.039999999994</v>
      </c>
      <c r="AD112" s="59">
        <f t="shared" si="535"/>
        <v>207296.93283199999</v>
      </c>
      <c r="AE112" s="60">
        <f t="shared" si="536"/>
        <v>61119.51999999999</v>
      </c>
      <c r="AF112" s="59">
        <f t="shared" si="537"/>
        <v>202048.90921599997</v>
      </c>
      <c r="AG112" s="60">
        <f t="shared" si="538"/>
        <v>59531.999999999993</v>
      </c>
      <c r="AH112" s="59">
        <f t="shared" si="539"/>
        <v>196800.88559999998</v>
      </c>
      <c r="AI112" s="55">
        <f t="shared" si="540"/>
        <v>57944.479999999989</v>
      </c>
      <c r="AJ112" s="59">
        <f t="shared" si="541"/>
        <v>191552.86198399996</v>
      </c>
      <c r="AK112" s="60">
        <f t="shared" si="542"/>
        <v>56356.959999999992</v>
      </c>
      <c r="AL112" s="59">
        <f t="shared" si="543"/>
        <v>186304.83836799997</v>
      </c>
      <c r="AM112" s="60">
        <f t="shared" si="544"/>
        <v>54769.439999999988</v>
      </c>
      <c r="AN112" s="59">
        <f t="shared" si="545"/>
        <v>181056.81475199998</v>
      </c>
      <c r="AO112" s="60">
        <f t="shared" si="546"/>
        <v>53181.919999999984</v>
      </c>
      <c r="AP112" s="59">
        <f t="shared" si="547"/>
        <v>175808.79113599996</v>
      </c>
      <c r="AQ112" s="60">
        <f t="shared" si="548"/>
        <v>51594.399999999987</v>
      </c>
      <c r="AR112" s="59">
        <f t="shared" si="549"/>
        <v>170560.76751999996</v>
      </c>
      <c r="AS112" s="55">
        <f t="shared" si="550"/>
        <v>50006.879999999983</v>
      </c>
      <c r="AT112" s="59">
        <f t="shared" si="551"/>
        <v>165312.74390399994</v>
      </c>
      <c r="AU112" s="60">
        <f t="shared" si="552"/>
        <v>48419.359999999979</v>
      </c>
      <c r="AV112" s="59">
        <f t="shared" si="553"/>
        <v>160064.72028799992</v>
      </c>
      <c r="AW112" s="60">
        <f t="shared" si="554"/>
        <v>46831.839999999982</v>
      </c>
      <c r="AX112" s="59">
        <f t="shared" si="555"/>
        <v>154816.69667199993</v>
      </c>
      <c r="AY112" s="55">
        <f t="shared" si="556"/>
        <v>45244.319999999978</v>
      </c>
      <c r="AZ112" s="59">
        <f t="shared" si="557"/>
        <v>149568.67305599994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1"/>
        <v>0.91</v>
      </c>
      <c r="BH112" s="55">
        <f t="shared" si="651"/>
        <v>0.89</v>
      </c>
      <c r="BI112" s="55">
        <f t="shared" si="651"/>
        <v>0.87</v>
      </c>
      <c r="BJ112" s="55">
        <f t="shared" si="651"/>
        <v>0.85</v>
      </c>
      <c r="BK112" s="55">
        <f t="shared" si="651"/>
        <v>0.83</v>
      </c>
      <c r="BL112" s="55">
        <f t="shared" si="651"/>
        <v>0.80999999999999994</v>
      </c>
      <c r="BM112" s="55">
        <f t="shared" si="651"/>
        <v>0.78999999999999992</v>
      </c>
      <c r="BN112" s="55">
        <f t="shared" si="651"/>
        <v>0.76999999999999991</v>
      </c>
      <c r="BO112" s="55">
        <f t="shared" si="651"/>
        <v>0.74999999999999989</v>
      </c>
      <c r="BP112" s="55">
        <f t="shared" si="651"/>
        <v>0.72999999999999987</v>
      </c>
      <c r="BQ112" s="55">
        <f t="shared" si="651"/>
        <v>0.70999999999999985</v>
      </c>
      <c r="BR112" s="55">
        <f t="shared" si="651"/>
        <v>0.68999999999999984</v>
      </c>
      <c r="BS112" s="55">
        <f t="shared" si="651"/>
        <v>0.66999999999999982</v>
      </c>
      <c r="BT112" s="55">
        <f t="shared" si="651"/>
        <v>0.6499999999999998</v>
      </c>
      <c r="BU112" s="55">
        <f t="shared" si="651"/>
        <v>0.62999999999999978</v>
      </c>
      <c r="BV112" s="55">
        <f t="shared" si="651"/>
        <v>0.60999999999999976</v>
      </c>
      <c r="BW112" s="55">
        <f t="shared" si="651"/>
        <v>0.58999999999999975</v>
      </c>
      <c r="BX112" s="55">
        <f t="shared" si="651"/>
        <v>0.56999999999999973</v>
      </c>
      <c r="BZ112" s="55">
        <f t="shared" si="508"/>
        <v>72232.160000000003</v>
      </c>
      <c r="CA112" s="55">
        <f t="shared" si="509"/>
        <v>72232.160000000003</v>
      </c>
      <c r="CB112" s="59">
        <f t="shared" si="559"/>
        <v>238785.07452800003</v>
      </c>
      <c r="CC112" s="55">
        <f t="shared" si="560"/>
        <v>70065.195200000002</v>
      </c>
      <c r="CD112" s="59">
        <f t="shared" si="561"/>
        <v>231621.52229216002</v>
      </c>
      <c r="CE112" s="55">
        <f t="shared" si="562"/>
        <v>68620.551999999996</v>
      </c>
      <c r="CF112" s="59">
        <f t="shared" si="563"/>
        <v>226845.8208016</v>
      </c>
      <c r="CG112" s="55">
        <f t="shared" si="564"/>
        <v>67175.908800000005</v>
      </c>
      <c r="CH112" s="59">
        <f t="shared" si="565"/>
        <v>222070.11931104003</v>
      </c>
      <c r="CI112" s="57">
        <f t="shared" si="566"/>
        <v>65731.265599999999</v>
      </c>
      <c r="CJ112" s="59">
        <f t="shared" si="567"/>
        <v>217294.41782048001</v>
      </c>
      <c r="CK112" s="55">
        <f t="shared" si="568"/>
        <v>64286.622400000007</v>
      </c>
      <c r="CL112" s="59">
        <f t="shared" si="569"/>
        <v>212518.71632992002</v>
      </c>
      <c r="CM112" s="57">
        <f t="shared" si="570"/>
        <v>62841.979200000002</v>
      </c>
      <c r="CN112" s="59">
        <f t="shared" si="571"/>
        <v>207743.01483936</v>
      </c>
      <c r="CO112" s="60">
        <f t="shared" si="572"/>
        <v>61397.336000000003</v>
      </c>
      <c r="CP112" s="59">
        <f t="shared" si="573"/>
        <v>202967.3133488</v>
      </c>
      <c r="CQ112" s="57">
        <f t="shared" si="574"/>
        <v>59952.692799999997</v>
      </c>
      <c r="CR112" s="59">
        <f t="shared" si="575"/>
        <v>198191.61185824001</v>
      </c>
      <c r="CS112" s="55">
        <f t="shared" si="576"/>
        <v>58508.049599999998</v>
      </c>
      <c r="CT112" s="59">
        <f t="shared" si="577"/>
        <v>193415.91036767999</v>
      </c>
      <c r="CU112" s="60">
        <f t="shared" si="578"/>
        <v>57063.4064</v>
      </c>
      <c r="CV112" s="59">
        <f t="shared" si="579"/>
        <v>188640.20887711999</v>
      </c>
      <c r="CW112" s="60">
        <f t="shared" si="580"/>
        <v>55618.763199999994</v>
      </c>
      <c r="CX112" s="59">
        <f t="shared" si="581"/>
        <v>183864.50738655997</v>
      </c>
      <c r="CY112" s="60">
        <f t="shared" si="582"/>
        <v>54174.119999999995</v>
      </c>
      <c r="CZ112" s="59">
        <f t="shared" si="583"/>
        <v>179088.80589599998</v>
      </c>
      <c r="DA112" s="55">
        <f t="shared" si="584"/>
        <v>52729.476799999997</v>
      </c>
      <c r="DB112" s="59">
        <f t="shared" si="585"/>
        <v>174313.10440543998</v>
      </c>
      <c r="DC112" s="60">
        <f t="shared" si="586"/>
        <v>51284.833599999991</v>
      </c>
      <c r="DD112" s="59">
        <f t="shared" si="587"/>
        <v>169537.40291487996</v>
      </c>
      <c r="DE112" s="60">
        <f t="shared" si="588"/>
        <v>49840.190399999992</v>
      </c>
      <c r="DF112" s="59">
        <f t="shared" si="589"/>
        <v>164761.70142431997</v>
      </c>
      <c r="DG112" s="60">
        <f t="shared" si="590"/>
        <v>48395.547199999986</v>
      </c>
      <c r="DH112" s="59">
        <f t="shared" si="591"/>
        <v>159985.99993375994</v>
      </c>
      <c r="DI112" s="60">
        <f t="shared" si="592"/>
        <v>46950.903999999988</v>
      </c>
      <c r="DJ112" s="59">
        <f t="shared" si="593"/>
        <v>155210.29844319995</v>
      </c>
      <c r="DK112" s="55">
        <f t="shared" si="594"/>
        <v>45506.260799999989</v>
      </c>
      <c r="DL112" s="59">
        <f t="shared" si="595"/>
        <v>150434.59695263996</v>
      </c>
      <c r="DM112" s="60">
        <f t="shared" si="596"/>
        <v>44061.617599999983</v>
      </c>
      <c r="DN112" s="59">
        <f t="shared" si="597"/>
        <v>145658.89546207993</v>
      </c>
      <c r="DO112" s="60">
        <f t="shared" si="598"/>
        <v>42616.974399999985</v>
      </c>
      <c r="DP112" s="59">
        <f t="shared" si="599"/>
        <v>140883.19397151994</v>
      </c>
      <c r="DQ112" s="55">
        <f t="shared" si="600"/>
        <v>41172.331199999986</v>
      </c>
      <c r="DR112" s="59">
        <f t="shared" si="601"/>
        <v>136107.49248095995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4"/>
        <v>0.91</v>
      </c>
      <c r="DZ112" s="55">
        <f t="shared" si="654"/>
        <v>0.89</v>
      </c>
      <c r="EA112" s="55">
        <f t="shared" si="654"/>
        <v>0.87</v>
      </c>
      <c r="EB112" s="55">
        <f t="shared" si="654"/>
        <v>0.85</v>
      </c>
      <c r="EC112" s="55">
        <f t="shared" si="654"/>
        <v>0.83</v>
      </c>
      <c r="ED112" s="55">
        <f t="shared" si="654"/>
        <v>0.80999999999999994</v>
      </c>
      <c r="EE112" s="55">
        <f t="shared" si="654"/>
        <v>0.78999999999999992</v>
      </c>
      <c r="EF112" s="55">
        <f t="shared" si="654"/>
        <v>0.76999999999999991</v>
      </c>
      <c r="EG112" s="55">
        <f t="shared" si="654"/>
        <v>0.74999999999999989</v>
      </c>
      <c r="EH112" s="55">
        <f t="shared" si="654"/>
        <v>0.72999999999999987</v>
      </c>
      <c r="EI112" s="55">
        <f t="shared" si="654"/>
        <v>0.70999999999999985</v>
      </c>
      <c r="EJ112" s="55">
        <f t="shared" si="654"/>
        <v>0.68999999999999984</v>
      </c>
      <c r="EK112" s="55">
        <f t="shared" si="654"/>
        <v>0.66999999999999982</v>
      </c>
      <c r="EL112" s="55">
        <f t="shared" si="654"/>
        <v>0.6499999999999998</v>
      </c>
      <c r="EM112" s="55">
        <f t="shared" si="654"/>
        <v>0.62999999999999978</v>
      </c>
      <c r="EN112" s="55">
        <f t="shared" si="654"/>
        <v>0.60999999999999976</v>
      </c>
      <c r="EO112" s="55">
        <f t="shared" si="654"/>
        <v>0.58999999999999975</v>
      </c>
      <c r="EP112" s="55">
        <f t="shared" si="654"/>
        <v>0.56999999999999973</v>
      </c>
      <c r="ER112" s="55">
        <f t="shared" si="648"/>
        <v>65731.265599999999</v>
      </c>
      <c r="ES112" s="55">
        <f t="shared" si="510"/>
        <v>65731.265599999999</v>
      </c>
      <c r="ET112" s="59">
        <f t="shared" si="602"/>
        <v>217294.41782048001</v>
      </c>
      <c r="EU112" s="55">
        <f t="shared" si="603"/>
        <v>63759.327632</v>
      </c>
      <c r="EV112" s="59">
        <f t="shared" si="604"/>
        <v>210775.58528586561</v>
      </c>
      <c r="EW112" s="55">
        <f t="shared" si="605"/>
        <v>62444.702319999997</v>
      </c>
      <c r="EX112" s="59">
        <f t="shared" si="606"/>
        <v>206429.696929456</v>
      </c>
      <c r="EY112" s="55">
        <f t="shared" si="607"/>
        <v>61130.077008</v>
      </c>
      <c r="EZ112" s="59">
        <f t="shared" si="608"/>
        <v>202083.80857304641</v>
      </c>
      <c r="FA112" s="57">
        <f t="shared" si="609"/>
        <v>59815.451696000004</v>
      </c>
      <c r="FB112" s="59">
        <f t="shared" si="610"/>
        <v>197737.92021663682</v>
      </c>
      <c r="FC112" s="55">
        <f t="shared" si="611"/>
        <v>58500.826384</v>
      </c>
      <c r="FD112" s="59">
        <f t="shared" si="612"/>
        <v>193392.0318602272</v>
      </c>
      <c r="FE112" s="57">
        <f t="shared" si="613"/>
        <v>57186.201071999996</v>
      </c>
      <c r="FF112" s="59">
        <f t="shared" si="614"/>
        <v>189046.14350381758</v>
      </c>
      <c r="FG112" s="60">
        <f t="shared" si="615"/>
        <v>55871.57576</v>
      </c>
      <c r="FH112" s="59">
        <f t="shared" si="616"/>
        <v>184700.255147408</v>
      </c>
      <c r="FI112" s="57">
        <f t="shared" si="617"/>
        <v>54556.950447999996</v>
      </c>
      <c r="FJ112" s="59">
        <f t="shared" si="618"/>
        <v>180354.36679099838</v>
      </c>
      <c r="FK112" s="55">
        <f t="shared" si="619"/>
        <v>53242.325135999992</v>
      </c>
      <c r="FL112" s="59">
        <f t="shared" si="620"/>
        <v>176008.47843458879</v>
      </c>
      <c r="FM112" s="60">
        <f t="shared" si="621"/>
        <v>51927.699823999996</v>
      </c>
      <c r="FN112" s="59">
        <f t="shared" si="622"/>
        <v>171662.5900781792</v>
      </c>
      <c r="FO112" s="60">
        <f t="shared" si="623"/>
        <v>50613.074511999992</v>
      </c>
      <c r="FP112" s="59">
        <f t="shared" si="624"/>
        <v>167316.70172176958</v>
      </c>
      <c r="FQ112" s="60">
        <f t="shared" si="625"/>
        <v>49298.449199999988</v>
      </c>
      <c r="FR112" s="59">
        <f t="shared" si="626"/>
        <v>162970.81336535997</v>
      </c>
      <c r="FS112" s="55">
        <f t="shared" si="627"/>
        <v>47983.823887999992</v>
      </c>
      <c r="FT112" s="59">
        <f t="shared" si="628"/>
        <v>158624.92500895038</v>
      </c>
      <c r="FU112" s="60">
        <f t="shared" si="629"/>
        <v>46669.198575999988</v>
      </c>
      <c r="FV112" s="59">
        <f t="shared" si="630"/>
        <v>154279.03665254076</v>
      </c>
      <c r="FW112" s="60">
        <f t="shared" si="631"/>
        <v>45354.573263999991</v>
      </c>
      <c r="FX112" s="59">
        <f t="shared" si="632"/>
        <v>149933.14829613117</v>
      </c>
      <c r="FY112" s="60">
        <f t="shared" si="633"/>
        <v>44039.947951999988</v>
      </c>
      <c r="FZ112" s="59">
        <f t="shared" si="634"/>
        <v>145587.25993972155</v>
      </c>
      <c r="GA112" s="60">
        <f t="shared" si="635"/>
        <v>42725.322639999984</v>
      </c>
      <c r="GB112" s="59">
        <f t="shared" si="636"/>
        <v>141241.37158331196</v>
      </c>
      <c r="GC112" s="55">
        <f t="shared" si="637"/>
        <v>41410.697327999987</v>
      </c>
      <c r="GD112" s="59">
        <f t="shared" si="638"/>
        <v>136895.48322690238</v>
      </c>
      <c r="GE112" s="60">
        <f t="shared" si="639"/>
        <v>40096.072015999984</v>
      </c>
      <c r="GF112" s="59">
        <f t="shared" si="640"/>
        <v>132549.59487049276</v>
      </c>
      <c r="GG112" s="60">
        <f t="shared" si="641"/>
        <v>38781.44670399998</v>
      </c>
      <c r="GH112" s="59">
        <f t="shared" si="642"/>
        <v>128203.70651408314</v>
      </c>
      <c r="GI112" s="55">
        <f t="shared" si="643"/>
        <v>37466.821391999983</v>
      </c>
      <c r="GJ112" s="59">
        <f t="shared" si="644"/>
        <v>123857.81815767355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5"/>
        <v>0.91</v>
      </c>
      <c r="GR112" s="55">
        <f t="shared" si="655"/>
        <v>0.89</v>
      </c>
      <c r="GS112" s="55">
        <f t="shared" si="655"/>
        <v>0.87</v>
      </c>
      <c r="GT112" s="55">
        <f t="shared" si="655"/>
        <v>0.85</v>
      </c>
      <c r="GU112" s="55">
        <f t="shared" si="655"/>
        <v>0.83</v>
      </c>
      <c r="GV112" s="55">
        <f t="shared" si="655"/>
        <v>0.80999999999999994</v>
      </c>
      <c r="GW112" s="55">
        <f t="shared" si="655"/>
        <v>0.78999999999999992</v>
      </c>
      <c r="GX112" s="55">
        <f t="shared" si="655"/>
        <v>0.76999999999999991</v>
      </c>
      <c r="GY112" s="55">
        <f t="shared" si="655"/>
        <v>0.74999999999999989</v>
      </c>
      <c r="GZ112" s="55">
        <f t="shared" si="655"/>
        <v>0.72999999999999987</v>
      </c>
      <c r="HA112" s="55">
        <f t="shared" si="655"/>
        <v>0.70999999999999985</v>
      </c>
      <c r="HB112" s="55">
        <f t="shared" si="655"/>
        <v>0.68999999999999984</v>
      </c>
      <c r="HC112" s="55">
        <f t="shared" si="655"/>
        <v>0.66999999999999982</v>
      </c>
      <c r="HD112" s="55">
        <f t="shared" si="655"/>
        <v>0.6499999999999998</v>
      </c>
      <c r="HE112" s="55">
        <f t="shared" si="655"/>
        <v>0.62999999999999978</v>
      </c>
      <c r="HF112" s="55">
        <f t="shared" si="655"/>
        <v>0.60999999999999976</v>
      </c>
      <c r="HG112" s="55">
        <f t="shared" si="655"/>
        <v>0.58999999999999975</v>
      </c>
      <c r="HH112" s="55">
        <f t="shared" si="655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238440</v>
      </c>
      <c r="E113" s="39">
        <f>SUM(E92:E112)</f>
        <v>788190</v>
      </c>
      <c r="H113" s="55">
        <f t="shared" si="505"/>
        <v>867009.00000000012</v>
      </c>
      <c r="I113" s="55">
        <f t="shared" si="506"/>
        <v>867009.00000000012</v>
      </c>
      <c r="J113" s="59">
        <f t="shared" si="507"/>
        <v>2866158.3522000005</v>
      </c>
      <c r="K113" s="55">
        <f t="shared" si="516"/>
        <v>840998.7300000001</v>
      </c>
      <c r="L113" s="59">
        <f t="shared" si="517"/>
        <v>2780173.6016340004</v>
      </c>
      <c r="M113" s="55">
        <f t="shared" si="518"/>
        <v>823658.55</v>
      </c>
      <c r="N113" s="59">
        <f t="shared" si="519"/>
        <v>2722850.4345900002</v>
      </c>
      <c r="O113" s="55">
        <f t="shared" si="520"/>
        <v>806318.37000000011</v>
      </c>
      <c r="P113" s="59">
        <f t="shared" si="521"/>
        <v>2665527.2675460004</v>
      </c>
      <c r="Q113" s="57">
        <f t="shared" si="522"/>
        <v>788978.19000000018</v>
      </c>
      <c r="R113" s="59">
        <f t="shared" si="523"/>
        <v>2608204.1005020007</v>
      </c>
      <c r="S113" s="55">
        <f t="shared" si="524"/>
        <v>771638.01000000013</v>
      </c>
      <c r="T113" s="59">
        <f t="shared" si="525"/>
        <v>2550880.9334580004</v>
      </c>
      <c r="U113" s="57">
        <f t="shared" si="526"/>
        <v>754297.83000000007</v>
      </c>
      <c r="V113" s="59">
        <f t="shared" si="527"/>
        <v>2493557.7664140002</v>
      </c>
      <c r="W113" s="60">
        <f t="shared" si="528"/>
        <v>736957.65</v>
      </c>
      <c r="X113" s="59">
        <f t="shared" si="529"/>
        <v>2436234.59937</v>
      </c>
      <c r="Y113" s="57">
        <f t="shared" si="530"/>
        <v>719617.47000000009</v>
      </c>
      <c r="Z113" s="59">
        <f t="shared" si="531"/>
        <v>2378911.4323260002</v>
      </c>
      <c r="AA113" s="55">
        <f t="shared" si="532"/>
        <v>702277.29</v>
      </c>
      <c r="AB113" s="59">
        <f t="shared" si="533"/>
        <v>2321588.2652819999</v>
      </c>
      <c r="AC113" s="60">
        <f t="shared" si="534"/>
        <v>684937.11</v>
      </c>
      <c r="AD113" s="59">
        <f t="shared" si="535"/>
        <v>2264265.0982380002</v>
      </c>
      <c r="AE113" s="60">
        <f t="shared" si="536"/>
        <v>667596.93000000005</v>
      </c>
      <c r="AF113" s="59">
        <f t="shared" si="537"/>
        <v>2206941.9311940004</v>
      </c>
      <c r="AG113" s="60">
        <f t="shared" si="538"/>
        <v>650256.75</v>
      </c>
      <c r="AH113" s="59">
        <f t="shared" si="539"/>
        <v>2149618.7641500002</v>
      </c>
      <c r="AI113" s="55">
        <f t="shared" si="540"/>
        <v>632916.56999999995</v>
      </c>
      <c r="AJ113" s="59">
        <f t="shared" si="541"/>
        <v>2092295.5971059999</v>
      </c>
      <c r="AK113" s="60">
        <f t="shared" si="542"/>
        <v>615576.3899999999</v>
      </c>
      <c r="AL113" s="59">
        <f t="shared" si="543"/>
        <v>2034972.4300619997</v>
      </c>
      <c r="AM113" s="60">
        <f t="shared" si="544"/>
        <v>598236.21</v>
      </c>
      <c r="AN113" s="59">
        <f t="shared" si="545"/>
        <v>1977649.2630179999</v>
      </c>
      <c r="AO113" s="60">
        <f t="shared" si="546"/>
        <v>580896.02999999991</v>
      </c>
      <c r="AP113" s="59">
        <f t="shared" si="547"/>
        <v>1920326.0959739997</v>
      </c>
      <c r="AQ113" s="60">
        <f t="shared" si="548"/>
        <v>563555.84999999986</v>
      </c>
      <c r="AR113" s="59">
        <f t="shared" si="549"/>
        <v>1863002.9289299995</v>
      </c>
      <c r="AS113" s="55">
        <f t="shared" si="550"/>
        <v>546215.66999999993</v>
      </c>
      <c r="AT113" s="59">
        <f t="shared" si="551"/>
        <v>1805679.7618859997</v>
      </c>
      <c r="AU113" s="60">
        <f t="shared" si="552"/>
        <v>528875.48999999987</v>
      </c>
      <c r="AV113" s="59">
        <f t="shared" si="553"/>
        <v>1748356.5948419997</v>
      </c>
      <c r="AW113" s="60">
        <f t="shared" si="554"/>
        <v>511535.30999999982</v>
      </c>
      <c r="AX113" s="59">
        <f t="shared" si="555"/>
        <v>1691033.4277979995</v>
      </c>
      <c r="AY113" s="55">
        <f t="shared" si="556"/>
        <v>494195.12999999983</v>
      </c>
      <c r="AZ113" s="59">
        <f t="shared" si="557"/>
        <v>1633710.2607539995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1"/>
        <v>0.91</v>
      </c>
      <c r="BH113" s="55">
        <f t="shared" si="651"/>
        <v>0.89</v>
      </c>
      <c r="BI113" s="55">
        <f t="shared" si="651"/>
        <v>0.87</v>
      </c>
      <c r="BJ113" s="55">
        <f t="shared" si="651"/>
        <v>0.85</v>
      </c>
      <c r="BK113" s="55">
        <f t="shared" si="651"/>
        <v>0.83</v>
      </c>
      <c r="BL113" s="55">
        <f t="shared" si="651"/>
        <v>0.80999999999999994</v>
      </c>
      <c r="BM113" s="55">
        <f t="shared" si="651"/>
        <v>0.78999999999999992</v>
      </c>
      <c r="BN113" s="55">
        <f t="shared" si="651"/>
        <v>0.76999999999999991</v>
      </c>
      <c r="BO113" s="55">
        <f t="shared" si="651"/>
        <v>0.74999999999999989</v>
      </c>
      <c r="BP113" s="55">
        <f t="shared" si="651"/>
        <v>0.72999999999999987</v>
      </c>
      <c r="BQ113" s="55">
        <f t="shared" si="651"/>
        <v>0.70999999999999985</v>
      </c>
      <c r="BR113" s="55">
        <f t="shared" si="651"/>
        <v>0.68999999999999984</v>
      </c>
      <c r="BS113" s="55">
        <f t="shared" si="651"/>
        <v>0.66999999999999982</v>
      </c>
      <c r="BT113" s="55">
        <f t="shared" si="651"/>
        <v>0.6499999999999998</v>
      </c>
      <c r="BU113" s="55">
        <f t="shared" si="651"/>
        <v>0.62999999999999978</v>
      </c>
      <c r="BV113" s="55">
        <f t="shared" si="651"/>
        <v>0.60999999999999976</v>
      </c>
      <c r="BW113" s="55">
        <f t="shared" si="651"/>
        <v>0.58999999999999975</v>
      </c>
      <c r="BX113" s="55">
        <f t="shared" si="651"/>
        <v>0.56999999999999973</v>
      </c>
      <c r="BZ113" s="55">
        <f t="shared" si="508"/>
        <v>788978.19000000018</v>
      </c>
      <c r="CA113" s="55">
        <f t="shared" si="509"/>
        <v>788978.19000000018</v>
      </c>
      <c r="CB113" s="59">
        <f t="shared" si="559"/>
        <v>2608204.1005020007</v>
      </c>
      <c r="CC113" s="55">
        <f t="shared" si="560"/>
        <v>765308.84430000011</v>
      </c>
      <c r="CD113" s="59">
        <f t="shared" si="561"/>
        <v>2529957.9774869406</v>
      </c>
      <c r="CE113" s="55">
        <f t="shared" si="562"/>
        <v>749529.28050000011</v>
      </c>
      <c r="CF113" s="59">
        <f t="shared" si="563"/>
        <v>2477793.8954769005</v>
      </c>
      <c r="CG113" s="55">
        <f t="shared" si="564"/>
        <v>733749.71670000022</v>
      </c>
      <c r="CH113" s="59">
        <f t="shared" si="565"/>
        <v>2425629.8134668609</v>
      </c>
      <c r="CI113" s="57">
        <f t="shared" si="566"/>
        <v>717970.15290000022</v>
      </c>
      <c r="CJ113" s="59">
        <f t="shared" si="567"/>
        <v>2373465.7314568209</v>
      </c>
      <c r="CK113" s="55">
        <f t="shared" si="568"/>
        <v>702190.58910000022</v>
      </c>
      <c r="CL113" s="59">
        <f t="shared" si="569"/>
        <v>2321301.6494467808</v>
      </c>
      <c r="CM113" s="57">
        <f t="shared" si="570"/>
        <v>686411.0253000001</v>
      </c>
      <c r="CN113" s="59">
        <f t="shared" si="571"/>
        <v>2269137.5674367403</v>
      </c>
      <c r="CO113" s="60">
        <f t="shared" si="572"/>
        <v>670631.46150000009</v>
      </c>
      <c r="CP113" s="59">
        <f t="shared" si="573"/>
        <v>2216973.4854267002</v>
      </c>
      <c r="CQ113" s="57">
        <f t="shared" si="574"/>
        <v>654851.89770000009</v>
      </c>
      <c r="CR113" s="59">
        <f t="shared" si="575"/>
        <v>2164809.4034166601</v>
      </c>
      <c r="CS113" s="55">
        <f t="shared" si="576"/>
        <v>639072.33390000009</v>
      </c>
      <c r="CT113" s="59">
        <f t="shared" si="577"/>
        <v>2112645.3214066206</v>
      </c>
      <c r="CU113" s="60">
        <f t="shared" si="578"/>
        <v>623292.77010000008</v>
      </c>
      <c r="CV113" s="59">
        <f t="shared" si="579"/>
        <v>2060481.2393965803</v>
      </c>
      <c r="CW113" s="60">
        <f t="shared" si="580"/>
        <v>607513.20630000008</v>
      </c>
      <c r="CX113" s="59">
        <f t="shared" si="581"/>
        <v>2008317.1573865402</v>
      </c>
      <c r="CY113" s="60">
        <f t="shared" si="582"/>
        <v>591733.64250000007</v>
      </c>
      <c r="CZ113" s="59">
        <f t="shared" si="583"/>
        <v>1956153.0753765004</v>
      </c>
      <c r="DA113" s="55">
        <f t="shared" si="584"/>
        <v>575954.07870000007</v>
      </c>
      <c r="DB113" s="59">
        <f t="shared" si="585"/>
        <v>1903988.9933664603</v>
      </c>
      <c r="DC113" s="60">
        <f t="shared" si="586"/>
        <v>560174.51490000007</v>
      </c>
      <c r="DD113" s="59">
        <f t="shared" si="587"/>
        <v>1851824.9113564203</v>
      </c>
      <c r="DE113" s="60">
        <f t="shared" si="588"/>
        <v>544394.95109999995</v>
      </c>
      <c r="DF113" s="59">
        <f t="shared" si="589"/>
        <v>1799660.82934638</v>
      </c>
      <c r="DG113" s="60">
        <f t="shared" si="590"/>
        <v>528615.38729999994</v>
      </c>
      <c r="DH113" s="59">
        <f t="shared" si="591"/>
        <v>1747496.7473363399</v>
      </c>
      <c r="DI113" s="60">
        <f t="shared" si="592"/>
        <v>512835.82349999994</v>
      </c>
      <c r="DJ113" s="59">
        <f t="shared" si="593"/>
        <v>1695332.6653262998</v>
      </c>
      <c r="DK113" s="55">
        <f t="shared" si="594"/>
        <v>497056.25969999994</v>
      </c>
      <c r="DL113" s="59">
        <f t="shared" si="595"/>
        <v>1643168.5833162598</v>
      </c>
      <c r="DM113" s="60">
        <f t="shared" si="596"/>
        <v>481276.69589999993</v>
      </c>
      <c r="DN113" s="59">
        <f t="shared" si="597"/>
        <v>1591004.5013062197</v>
      </c>
      <c r="DO113" s="60">
        <f t="shared" si="598"/>
        <v>465497.13209999993</v>
      </c>
      <c r="DP113" s="59">
        <f t="shared" si="599"/>
        <v>1538840.4192961799</v>
      </c>
      <c r="DQ113" s="55">
        <f t="shared" si="600"/>
        <v>449717.56829999987</v>
      </c>
      <c r="DR113" s="59">
        <f t="shared" si="601"/>
        <v>1486676.3372861396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4"/>
        <v>0.91</v>
      </c>
      <c r="DZ113" s="55">
        <f t="shared" si="654"/>
        <v>0.89</v>
      </c>
      <c r="EA113" s="55">
        <f t="shared" si="654"/>
        <v>0.87</v>
      </c>
      <c r="EB113" s="55">
        <f t="shared" si="654"/>
        <v>0.85</v>
      </c>
      <c r="EC113" s="55">
        <f t="shared" si="654"/>
        <v>0.83</v>
      </c>
      <c r="ED113" s="55">
        <f t="shared" si="654"/>
        <v>0.80999999999999994</v>
      </c>
      <c r="EE113" s="55">
        <f t="shared" si="654"/>
        <v>0.78999999999999992</v>
      </c>
      <c r="EF113" s="55">
        <f t="shared" si="654"/>
        <v>0.76999999999999991</v>
      </c>
      <c r="EG113" s="55">
        <f t="shared" si="654"/>
        <v>0.74999999999999989</v>
      </c>
      <c r="EH113" s="55">
        <f t="shared" si="654"/>
        <v>0.72999999999999987</v>
      </c>
      <c r="EI113" s="55">
        <f t="shared" si="654"/>
        <v>0.70999999999999985</v>
      </c>
      <c r="EJ113" s="55">
        <f t="shared" si="654"/>
        <v>0.68999999999999984</v>
      </c>
      <c r="EK113" s="55">
        <f t="shared" si="654"/>
        <v>0.66999999999999982</v>
      </c>
      <c r="EL113" s="55">
        <f t="shared" si="654"/>
        <v>0.6499999999999998</v>
      </c>
      <c r="EM113" s="55">
        <f t="shared" si="654"/>
        <v>0.62999999999999978</v>
      </c>
      <c r="EN113" s="55">
        <f t="shared" si="654"/>
        <v>0.60999999999999976</v>
      </c>
      <c r="EO113" s="55">
        <f t="shared" si="654"/>
        <v>0.58999999999999975</v>
      </c>
      <c r="EP113" s="55">
        <f t="shared" si="654"/>
        <v>0.56999999999999973</v>
      </c>
      <c r="ER113" s="55">
        <f t="shared" si="648"/>
        <v>717970.15290000022</v>
      </c>
      <c r="ES113" s="55">
        <f t="shared" si="510"/>
        <v>717970.15290000022</v>
      </c>
      <c r="ET113" s="59">
        <f t="shared" si="602"/>
        <v>2373465.7314568209</v>
      </c>
      <c r="EU113" s="55">
        <f t="shared" si="603"/>
        <v>696431.04831300024</v>
      </c>
      <c r="EV113" s="59">
        <f t="shared" si="604"/>
        <v>2302261.7595131164</v>
      </c>
      <c r="EW113" s="55">
        <f t="shared" si="605"/>
        <v>682071.64525500021</v>
      </c>
      <c r="EX113" s="59">
        <f t="shared" si="606"/>
        <v>2254792.4448839799</v>
      </c>
      <c r="EY113" s="55">
        <f t="shared" si="607"/>
        <v>667712.24219700019</v>
      </c>
      <c r="EZ113" s="59">
        <f t="shared" si="608"/>
        <v>2207323.1302548433</v>
      </c>
      <c r="FA113" s="57">
        <f t="shared" si="609"/>
        <v>653352.83913900028</v>
      </c>
      <c r="FB113" s="59">
        <f t="shared" si="610"/>
        <v>2159853.8156257072</v>
      </c>
      <c r="FC113" s="55">
        <f t="shared" si="611"/>
        <v>638993.43608100025</v>
      </c>
      <c r="FD113" s="59">
        <f t="shared" si="612"/>
        <v>2112384.5009965706</v>
      </c>
      <c r="FE113" s="57">
        <f t="shared" si="613"/>
        <v>624634.03302300023</v>
      </c>
      <c r="FF113" s="59">
        <f t="shared" si="614"/>
        <v>2064915.1863674342</v>
      </c>
      <c r="FG113" s="60">
        <f t="shared" si="615"/>
        <v>610274.6299650002</v>
      </c>
      <c r="FH113" s="59">
        <f t="shared" si="616"/>
        <v>2017445.8717382976</v>
      </c>
      <c r="FI113" s="57">
        <f t="shared" si="617"/>
        <v>595915.22690700018</v>
      </c>
      <c r="FJ113" s="59">
        <f t="shared" si="618"/>
        <v>1969976.5571091613</v>
      </c>
      <c r="FK113" s="55">
        <f t="shared" si="619"/>
        <v>581555.82384900015</v>
      </c>
      <c r="FL113" s="59">
        <f t="shared" si="620"/>
        <v>1922507.2424800247</v>
      </c>
      <c r="FM113" s="60">
        <f t="shared" si="621"/>
        <v>567196.42079100013</v>
      </c>
      <c r="FN113" s="59">
        <f t="shared" si="622"/>
        <v>1875037.9278508883</v>
      </c>
      <c r="FO113" s="60">
        <f t="shared" si="623"/>
        <v>552837.0177330001</v>
      </c>
      <c r="FP113" s="59">
        <f t="shared" si="624"/>
        <v>1827568.6132217518</v>
      </c>
      <c r="FQ113" s="60">
        <f t="shared" si="625"/>
        <v>538477.61467500008</v>
      </c>
      <c r="FR113" s="59">
        <f t="shared" si="626"/>
        <v>1780099.2985926154</v>
      </c>
      <c r="FS113" s="55">
        <f t="shared" si="627"/>
        <v>524118.21161700005</v>
      </c>
      <c r="FT113" s="59">
        <f t="shared" si="628"/>
        <v>1732629.9839634788</v>
      </c>
      <c r="FU113" s="60">
        <f t="shared" si="629"/>
        <v>509758.80855900003</v>
      </c>
      <c r="FV113" s="59">
        <f t="shared" si="630"/>
        <v>1685160.6693343422</v>
      </c>
      <c r="FW113" s="60">
        <f t="shared" si="631"/>
        <v>495399.40550100006</v>
      </c>
      <c r="FX113" s="59">
        <f t="shared" si="632"/>
        <v>1637691.3547052061</v>
      </c>
      <c r="FY113" s="60">
        <f t="shared" si="633"/>
        <v>481040.00244300003</v>
      </c>
      <c r="FZ113" s="59">
        <f t="shared" si="634"/>
        <v>1590222.0400760695</v>
      </c>
      <c r="GA113" s="60">
        <f t="shared" si="635"/>
        <v>466680.59938500001</v>
      </c>
      <c r="GB113" s="59">
        <f t="shared" si="636"/>
        <v>1542752.7254469329</v>
      </c>
      <c r="GC113" s="55">
        <f t="shared" si="637"/>
        <v>452321.19632699998</v>
      </c>
      <c r="GD113" s="59">
        <f t="shared" si="638"/>
        <v>1495283.4108177966</v>
      </c>
      <c r="GE113" s="60">
        <f t="shared" si="639"/>
        <v>437961.79326899996</v>
      </c>
      <c r="GF113" s="59">
        <f t="shared" si="640"/>
        <v>1447814.09618866</v>
      </c>
      <c r="GG113" s="60">
        <f t="shared" si="641"/>
        <v>423602.39021099993</v>
      </c>
      <c r="GH113" s="59">
        <f t="shared" si="642"/>
        <v>1400344.7815595237</v>
      </c>
      <c r="GI113" s="55">
        <f t="shared" si="643"/>
        <v>409242.98715299991</v>
      </c>
      <c r="GJ113" s="59">
        <f t="shared" si="644"/>
        <v>1352875.4669303871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5"/>
        <v>0.91</v>
      </c>
      <c r="GR113" s="55">
        <f t="shared" si="655"/>
        <v>0.89</v>
      </c>
      <c r="GS113" s="55">
        <f t="shared" si="655"/>
        <v>0.87</v>
      </c>
      <c r="GT113" s="55">
        <f t="shared" si="655"/>
        <v>0.85</v>
      </c>
      <c r="GU113" s="55">
        <f t="shared" si="655"/>
        <v>0.83</v>
      </c>
      <c r="GV113" s="55">
        <f t="shared" si="655"/>
        <v>0.80999999999999994</v>
      </c>
      <c r="GW113" s="55">
        <f t="shared" si="655"/>
        <v>0.78999999999999992</v>
      </c>
      <c r="GX113" s="55">
        <f t="shared" si="655"/>
        <v>0.76999999999999991</v>
      </c>
      <c r="GY113" s="55">
        <f t="shared" si="655"/>
        <v>0.74999999999999989</v>
      </c>
      <c r="GZ113" s="55">
        <f t="shared" si="655"/>
        <v>0.72999999999999987</v>
      </c>
      <c r="HA113" s="55">
        <f t="shared" si="655"/>
        <v>0.70999999999999985</v>
      </c>
      <c r="HB113" s="55">
        <f t="shared" si="655"/>
        <v>0.68999999999999984</v>
      </c>
      <c r="HC113" s="55">
        <f t="shared" si="655"/>
        <v>0.66999999999999982</v>
      </c>
      <c r="HD113" s="55">
        <f t="shared" si="655"/>
        <v>0.6499999999999998</v>
      </c>
      <c r="HE113" s="55">
        <f t="shared" si="655"/>
        <v>0.62999999999999978</v>
      </c>
      <c r="HF113" s="55">
        <f t="shared" si="655"/>
        <v>0.60999999999999976</v>
      </c>
      <c r="HG113" s="55">
        <f t="shared" si="655"/>
        <v>0.58999999999999975</v>
      </c>
      <c r="HH113" s="55">
        <f t="shared" si="655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56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57">+DW114-0.02</f>
        <v>0.91</v>
      </c>
      <c r="DY114" s="61">
        <f t="shared" si="657"/>
        <v>0.89</v>
      </c>
      <c r="DZ114" s="61">
        <f t="shared" si="657"/>
        <v>0.87</v>
      </c>
      <c r="EA114" s="61">
        <f t="shared" si="657"/>
        <v>0.85</v>
      </c>
      <c r="EB114" s="61">
        <f t="shared" si="657"/>
        <v>0.83</v>
      </c>
      <c r="EC114" s="61">
        <f t="shared" si="657"/>
        <v>0.80999999999999994</v>
      </c>
      <c r="ED114" s="61">
        <f t="shared" si="657"/>
        <v>0.78999999999999992</v>
      </c>
      <c r="EE114" s="61">
        <f t="shared" si="657"/>
        <v>0.76999999999999991</v>
      </c>
      <c r="EF114" s="61">
        <f t="shared" si="657"/>
        <v>0.74999999999999989</v>
      </c>
      <c r="EG114" s="61">
        <f t="shared" si="657"/>
        <v>0.72999999999999987</v>
      </c>
      <c r="EH114" s="61">
        <f t="shared" si="657"/>
        <v>0.70999999999999985</v>
      </c>
      <c r="EI114" s="61">
        <f t="shared" si="657"/>
        <v>0.68999999999999984</v>
      </c>
      <c r="EJ114" s="61">
        <f t="shared" si="657"/>
        <v>0.66999999999999982</v>
      </c>
      <c r="EK114" s="61">
        <f t="shared" si="657"/>
        <v>0.6499999999999998</v>
      </c>
      <c r="EL114" s="61">
        <f t="shared" si="657"/>
        <v>0.62999999999999978</v>
      </c>
      <c r="EM114" s="61">
        <f t="shared" si="657"/>
        <v>0.60999999999999976</v>
      </c>
      <c r="EN114" s="61">
        <f t="shared" si="657"/>
        <v>0.58999999999999975</v>
      </c>
      <c r="EO114" s="61">
        <f t="shared" si="657"/>
        <v>0.56999999999999973</v>
      </c>
      <c r="EQ114" s="61">
        <f t="shared" ref="EQ114:EQ115" si="658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59">+GO114-0.02</f>
        <v>0.91</v>
      </c>
      <c r="GQ114" s="61">
        <f t="shared" si="659"/>
        <v>0.89</v>
      </c>
      <c r="GR114" s="61">
        <f t="shared" si="659"/>
        <v>0.87</v>
      </c>
      <c r="GS114" s="61">
        <f t="shared" si="659"/>
        <v>0.85</v>
      </c>
      <c r="GT114" s="61">
        <f t="shared" si="659"/>
        <v>0.83</v>
      </c>
      <c r="GU114" s="61">
        <f t="shared" si="659"/>
        <v>0.80999999999999994</v>
      </c>
      <c r="GV114" s="61">
        <f t="shared" si="659"/>
        <v>0.78999999999999992</v>
      </c>
      <c r="GW114" s="61">
        <f t="shared" si="659"/>
        <v>0.76999999999999991</v>
      </c>
      <c r="GX114" s="61">
        <f t="shared" si="659"/>
        <v>0.74999999999999989</v>
      </c>
      <c r="GY114" s="61">
        <f t="shared" si="659"/>
        <v>0.72999999999999987</v>
      </c>
      <c r="GZ114" s="61">
        <f t="shared" si="659"/>
        <v>0.70999999999999985</v>
      </c>
      <c r="HA114" s="61">
        <f t="shared" si="659"/>
        <v>0.68999999999999984</v>
      </c>
      <c r="HB114" s="61">
        <f t="shared" si="659"/>
        <v>0.66999999999999982</v>
      </c>
      <c r="HC114" s="61">
        <f t="shared" si="659"/>
        <v>0.6499999999999998</v>
      </c>
      <c r="HD114" s="61">
        <f t="shared" si="659"/>
        <v>0.62999999999999978</v>
      </c>
      <c r="HE114" s="61">
        <f t="shared" si="659"/>
        <v>0.60999999999999976</v>
      </c>
      <c r="HF114" s="61">
        <f t="shared" si="659"/>
        <v>0.58999999999999975</v>
      </c>
      <c r="HG114" s="61">
        <f t="shared" si="659"/>
        <v>0.56999999999999973</v>
      </c>
    </row>
    <row r="115" spans="1:216" s="64" customFormat="1" ht="17.25" thickBot="1" x14ac:dyDescent="0.35">
      <c r="B115" s="64" t="s">
        <v>300</v>
      </c>
      <c r="C115" s="64" t="s">
        <v>298</v>
      </c>
      <c r="D115" s="65" t="s">
        <v>272</v>
      </c>
      <c r="E115" s="65" t="s">
        <v>155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56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57"/>
        <v>0.91</v>
      </c>
      <c r="DY115" s="61">
        <f t="shared" si="657"/>
        <v>0.89</v>
      </c>
      <c r="DZ115" s="61">
        <f t="shared" si="657"/>
        <v>0.87</v>
      </c>
      <c r="EA115" s="61">
        <f t="shared" si="657"/>
        <v>0.85</v>
      </c>
      <c r="EB115" s="61">
        <f t="shared" si="657"/>
        <v>0.83</v>
      </c>
      <c r="EC115" s="61">
        <f t="shared" si="657"/>
        <v>0.80999999999999994</v>
      </c>
      <c r="ED115" s="61">
        <f t="shared" si="657"/>
        <v>0.78999999999999992</v>
      </c>
      <c r="EE115" s="61">
        <f t="shared" si="657"/>
        <v>0.76999999999999991</v>
      </c>
      <c r="EF115" s="61">
        <f t="shared" si="657"/>
        <v>0.74999999999999989</v>
      </c>
      <c r="EG115" s="61">
        <f t="shared" si="657"/>
        <v>0.72999999999999987</v>
      </c>
      <c r="EH115" s="61">
        <f t="shared" si="657"/>
        <v>0.70999999999999985</v>
      </c>
      <c r="EI115" s="61">
        <f t="shared" si="657"/>
        <v>0.68999999999999984</v>
      </c>
      <c r="EJ115" s="61">
        <f t="shared" si="657"/>
        <v>0.66999999999999982</v>
      </c>
      <c r="EK115" s="61">
        <f t="shared" si="657"/>
        <v>0.6499999999999998</v>
      </c>
      <c r="EL115" s="61">
        <f t="shared" si="657"/>
        <v>0.62999999999999978</v>
      </c>
      <c r="EM115" s="61">
        <f t="shared" si="657"/>
        <v>0.60999999999999976</v>
      </c>
      <c r="EN115" s="61">
        <f t="shared" si="657"/>
        <v>0.58999999999999975</v>
      </c>
      <c r="EO115" s="61">
        <f t="shared" si="657"/>
        <v>0.56999999999999973</v>
      </c>
      <c r="EQ115" s="61">
        <f t="shared" si="658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59"/>
        <v>0.91</v>
      </c>
      <c r="GQ115" s="61">
        <f t="shared" si="659"/>
        <v>0.89</v>
      </c>
      <c r="GR115" s="61">
        <f t="shared" si="659"/>
        <v>0.87</v>
      </c>
      <c r="GS115" s="61">
        <f t="shared" si="659"/>
        <v>0.85</v>
      </c>
      <c r="GT115" s="61">
        <f t="shared" si="659"/>
        <v>0.83</v>
      </c>
      <c r="GU115" s="61">
        <f t="shared" si="659"/>
        <v>0.80999999999999994</v>
      </c>
      <c r="GV115" s="61">
        <f t="shared" si="659"/>
        <v>0.78999999999999992</v>
      </c>
      <c r="GW115" s="61">
        <f t="shared" si="659"/>
        <v>0.76999999999999991</v>
      </c>
      <c r="GX115" s="61">
        <f t="shared" si="659"/>
        <v>0.74999999999999989</v>
      </c>
      <c r="GY115" s="61">
        <f t="shared" si="659"/>
        <v>0.72999999999999987</v>
      </c>
      <c r="GZ115" s="61">
        <f t="shared" si="659"/>
        <v>0.70999999999999985</v>
      </c>
      <c r="HA115" s="61">
        <f t="shared" si="659"/>
        <v>0.68999999999999984</v>
      </c>
      <c r="HB115" s="61">
        <f t="shared" si="659"/>
        <v>0.66999999999999982</v>
      </c>
      <c r="HC115" s="61">
        <f t="shared" si="659"/>
        <v>0.6499999999999998</v>
      </c>
      <c r="HD115" s="61">
        <f t="shared" si="659"/>
        <v>0.62999999999999978</v>
      </c>
      <c r="HE115" s="61">
        <f t="shared" si="659"/>
        <v>0.60999999999999976</v>
      </c>
      <c r="HF115" s="61">
        <f t="shared" si="659"/>
        <v>0.58999999999999975</v>
      </c>
      <c r="HG115" s="61">
        <f t="shared" si="659"/>
        <v>0.56999999999999973</v>
      </c>
    </row>
    <row r="116" spans="1:216" x14ac:dyDescent="0.3">
      <c r="A116" s="2">
        <v>1</v>
      </c>
      <c r="C116" s="38" t="s">
        <v>55</v>
      </c>
      <c r="D116" s="40">
        <v>0</v>
      </c>
      <c r="E116" s="70">
        <f t="shared" ref="E116:E126" si="660">TRUNC(+D116*3.3058,-1)</f>
        <v>0</v>
      </c>
      <c r="H116" s="55">
        <f t="shared" si="505"/>
        <v>0</v>
      </c>
      <c r="I116" s="55">
        <f t="shared" si="506"/>
        <v>0</v>
      </c>
      <c r="J116" s="59">
        <f t="shared" si="507"/>
        <v>0</v>
      </c>
      <c r="K116" s="55">
        <f t="shared" ref="K116:K127" si="661">+I116*BD116</f>
        <v>0</v>
      </c>
      <c r="L116" s="59">
        <f t="shared" ref="L116:L127" si="662">+K116*3.3058</f>
        <v>0</v>
      </c>
      <c r="M116" s="55">
        <f t="shared" ref="M116:M127" si="663">+I116*BE116</f>
        <v>0</v>
      </c>
      <c r="N116" s="59">
        <f t="shared" ref="N116:N127" si="664">+M116*3.3058</f>
        <v>0</v>
      </c>
      <c r="O116" s="55">
        <f t="shared" ref="O116:O127" si="665">+I116*BF116</f>
        <v>0</v>
      </c>
      <c r="P116" s="59">
        <f t="shared" ref="P116:P127" si="666">+O116*3.3058</f>
        <v>0</v>
      </c>
      <c r="Q116" s="57">
        <f t="shared" ref="Q116:Q127" si="667">+I116*BG116</f>
        <v>0</v>
      </c>
      <c r="R116" s="59">
        <f t="shared" ref="R116:R127" si="668">+Q116*3.3058</f>
        <v>0</v>
      </c>
      <c r="S116" s="55">
        <f t="shared" ref="S116:S127" si="669">+I116*BH116</f>
        <v>0</v>
      </c>
      <c r="T116" s="59">
        <f t="shared" ref="T116:T127" si="670">+S116*3.3058</f>
        <v>0</v>
      </c>
      <c r="U116" s="57">
        <f t="shared" ref="U116:U127" si="671">+I116*BI116</f>
        <v>0</v>
      </c>
      <c r="V116" s="59">
        <f t="shared" ref="V116:V127" si="672">+U116*3.3058</f>
        <v>0</v>
      </c>
      <c r="W116" s="60">
        <f t="shared" ref="W116:W127" si="673">+I116*BJ116</f>
        <v>0</v>
      </c>
      <c r="X116" s="59">
        <f t="shared" ref="X116:X127" si="674">+W116*3.3058</f>
        <v>0</v>
      </c>
      <c r="Y116" s="57">
        <f t="shared" ref="Y116:Y127" si="675">+I116*BK116</f>
        <v>0</v>
      </c>
      <c r="Z116" s="59">
        <f t="shared" ref="Z116:Z127" si="676">+Y116*3.3058</f>
        <v>0</v>
      </c>
      <c r="AA116" s="55">
        <f t="shared" ref="AA116:AA127" si="677">+I116*BL116</f>
        <v>0</v>
      </c>
      <c r="AB116" s="59">
        <f t="shared" ref="AB116:AB127" si="678">+AA116*3.3058</f>
        <v>0</v>
      </c>
      <c r="AC116" s="60">
        <f t="shared" ref="AC116:AC127" si="679">+I116*BM116</f>
        <v>0</v>
      </c>
      <c r="AD116" s="59">
        <f t="shared" ref="AD116:AD127" si="680">+AC116*3.3058</f>
        <v>0</v>
      </c>
      <c r="AE116" s="60">
        <f t="shared" ref="AE116:AE127" si="681">+I116*BN116</f>
        <v>0</v>
      </c>
      <c r="AF116" s="59">
        <f t="shared" ref="AF116:AF127" si="682">+AE116*3.3058</f>
        <v>0</v>
      </c>
      <c r="AG116" s="60">
        <f t="shared" ref="AG116:AG127" si="683">+I116*BO116</f>
        <v>0</v>
      </c>
      <c r="AH116" s="59">
        <f t="shared" ref="AH116:AH127" si="684">+AG116*3.3058</f>
        <v>0</v>
      </c>
      <c r="AI116" s="55">
        <f t="shared" ref="AI116:AI127" si="685">+I116*BP116</f>
        <v>0</v>
      </c>
      <c r="AJ116" s="59">
        <f t="shared" ref="AJ116:AJ127" si="686">+AI116*3.3058</f>
        <v>0</v>
      </c>
      <c r="AK116" s="60">
        <f t="shared" ref="AK116:AK127" si="687">+I116*BQ116</f>
        <v>0</v>
      </c>
      <c r="AL116" s="59">
        <f t="shared" ref="AL116:AL127" si="688">+AK116*3.3058</f>
        <v>0</v>
      </c>
      <c r="AM116" s="60">
        <f t="shared" ref="AM116:AM127" si="689">+I116*BR116</f>
        <v>0</v>
      </c>
      <c r="AN116" s="59">
        <f t="shared" ref="AN116:AN127" si="690">+AM116*3.3058</f>
        <v>0</v>
      </c>
      <c r="AO116" s="60">
        <f t="shared" ref="AO116:AO127" si="691">+I116*BS116</f>
        <v>0</v>
      </c>
      <c r="AP116" s="59">
        <f t="shared" ref="AP116:AP127" si="692">+AO116*3.3058</f>
        <v>0</v>
      </c>
      <c r="AQ116" s="60">
        <f t="shared" ref="AQ116:AQ127" si="693">+I116*BT116</f>
        <v>0</v>
      </c>
      <c r="AR116" s="59">
        <f t="shared" ref="AR116:AR127" si="694">+AQ116*3.3058</f>
        <v>0</v>
      </c>
      <c r="AS116" s="55">
        <f t="shared" ref="AS116:AS127" si="695">+I116*BU116</f>
        <v>0</v>
      </c>
      <c r="AT116" s="59">
        <f t="shared" ref="AT116:AT127" si="696">+AS116*3.3058</f>
        <v>0</v>
      </c>
      <c r="AU116" s="60">
        <f t="shared" ref="AU116:AU127" si="697">+I116*BV116</f>
        <v>0</v>
      </c>
      <c r="AV116" s="59">
        <f t="shared" ref="AV116:AV127" si="698">+AU116*3.3058</f>
        <v>0</v>
      </c>
      <c r="AW116" s="60">
        <f t="shared" ref="AW116:AW127" si="699">+I116*BW116</f>
        <v>0</v>
      </c>
      <c r="AX116" s="59">
        <f t="shared" ref="AX116:AX127" si="700">+AW116*3.3058</f>
        <v>0</v>
      </c>
      <c r="AY116" s="55">
        <f t="shared" ref="AY116:AY127" si="701">+I116*BX116</f>
        <v>0</v>
      </c>
      <c r="AZ116" s="59">
        <f t="shared" ref="AZ116:AZ127" si="702">+AY116*3.3058</f>
        <v>0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03">+BF116-0.02</f>
        <v>0.91</v>
      </c>
      <c r="BH116" s="55">
        <f t="shared" si="703"/>
        <v>0.89</v>
      </c>
      <c r="BI116" s="55">
        <f t="shared" si="703"/>
        <v>0.87</v>
      </c>
      <c r="BJ116" s="55">
        <f t="shared" si="703"/>
        <v>0.85</v>
      </c>
      <c r="BK116" s="55">
        <f t="shared" si="703"/>
        <v>0.83</v>
      </c>
      <c r="BL116" s="55">
        <f t="shared" si="703"/>
        <v>0.80999999999999994</v>
      </c>
      <c r="BM116" s="55">
        <f t="shared" si="703"/>
        <v>0.78999999999999992</v>
      </c>
      <c r="BN116" s="55">
        <f t="shared" si="703"/>
        <v>0.76999999999999991</v>
      </c>
      <c r="BO116" s="55">
        <f t="shared" si="703"/>
        <v>0.74999999999999989</v>
      </c>
      <c r="BP116" s="55">
        <f t="shared" si="703"/>
        <v>0.72999999999999987</v>
      </c>
      <c r="BQ116" s="55">
        <f t="shared" si="703"/>
        <v>0.70999999999999985</v>
      </c>
      <c r="BR116" s="55">
        <f t="shared" si="703"/>
        <v>0.68999999999999984</v>
      </c>
      <c r="BS116" s="55">
        <f t="shared" si="703"/>
        <v>0.66999999999999982</v>
      </c>
      <c r="BT116" s="55">
        <f t="shared" si="703"/>
        <v>0.6499999999999998</v>
      </c>
      <c r="BU116" s="55">
        <f t="shared" si="703"/>
        <v>0.62999999999999978</v>
      </c>
      <c r="BV116" s="55">
        <f t="shared" si="703"/>
        <v>0.60999999999999976</v>
      </c>
      <c r="BW116" s="55">
        <f t="shared" si="703"/>
        <v>0.58999999999999975</v>
      </c>
      <c r="BX116" s="55">
        <f t="shared" si="703"/>
        <v>0.56999999999999973</v>
      </c>
      <c r="BZ116" s="55">
        <f t="shared" si="508"/>
        <v>0</v>
      </c>
      <c r="CA116" s="55">
        <f t="shared" si="509"/>
        <v>0</v>
      </c>
      <c r="CB116" s="59">
        <f t="shared" ref="CB116:CB127" si="704">+CA116*3.3058</f>
        <v>0</v>
      </c>
      <c r="CC116" s="55">
        <f t="shared" ref="CC116:CC127" si="705">+CA116*DV116</f>
        <v>0</v>
      </c>
      <c r="CD116" s="59">
        <f t="shared" ref="CD116:CD127" si="706">+CC116*3.3058</f>
        <v>0</v>
      </c>
      <c r="CE116" s="55">
        <f t="shared" ref="CE116:CE127" si="707">+CA116*DW116</f>
        <v>0</v>
      </c>
      <c r="CF116" s="59">
        <f t="shared" ref="CF116:CF127" si="708">+CE116*3.3058</f>
        <v>0</v>
      </c>
      <c r="CG116" s="55">
        <f t="shared" ref="CG116:CG127" si="709">+CA116*DX116</f>
        <v>0</v>
      </c>
      <c r="CH116" s="59">
        <f t="shared" ref="CH116:CH127" si="710">+CG116*3.3058</f>
        <v>0</v>
      </c>
      <c r="CI116" s="57">
        <f t="shared" ref="CI116:CI127" si="711">+CA116*DY116</f>
        <v>0</v>
      </c>
      <c r="CJ116" s="59">
        <f t="shared" ref="CJ116:CJ127" si="712">+CI116*3.3058</f>
        <v>0</v>
      </c>
      <c r="CK116" s="55">
        <f t="shared" ref="CK116:CK127" si="713">+CA116*DZ116</f>
        <v>0</v>
      </c>
      <c r="CL116" s="59">
        <f t="shared" ref="CL116:CL127" si="714">+CK116*3.3058</f>
        <v>0</v>
      </c>
      <c r="CM116" s="57">
        <f t="shared" ref="CM116:CM127" si="715">+CA116*EA116</f>
        <v>0</v>
      </c>
      <c r="CN116" s="59">
        <f t="shared" ref="CN116:CN127" si="716">+CM116*3.3058</f>
        <v>0</v>
      </c>
      <c r="CO116" s="60">
        <f t="shared" ref="CO116:CO127" si="717">+CA116*EB116</f>
        <v>0</v>
      </c>
      <c r="CP116" s="59">
        <f t="shared" ref="CP116:CP127" si="718">+CO116*3.3058</f>
        <v>0</v>
      </c>
      <c r="CQ116" s="57">
        <f t="shared" ref="CQ116:CQ127" si="719">+CA116*EC116</f>
        <v>0</v>
      </c>
      <c r="CR116" s="59">
        <f t="shared" ref="CR116:CR127" si="720">+CQ116*3.3058</f>
        <v>0</v>
      </c>
      <c r="CS116" s="55">
        <f t="shared" ref="CS116:CS127" si="721">+CA116*ED116</f>
        <v>0</v>
      </c>
      <c r="CT116" s="59">
        <f t="shared" ref="CT116:CT127" si="722">+CS116*3.3058</f>
        <v>0</v>
      </c>
      <c r="CU116" s="60">
        <f t="shared" ref="CU116:CU127" si="723">+CA116*EE116</f>
        <v>0</v>
      </c>
      <c r="CV116" s="59">
        <f t="shared" ref="CV116:CV127" si="724">+CU116*3.3058</f>
        <v>0</v>
      </c>
      <c r="CW116" s="60">
        <f t="shared" ref="CW116:CW127" si="725">+CA116*EF116</f>
        <v>0</v>
      </c>
      <c r="CX116" s="59">
        <f t="shared" ref="CX116:CX127" si="726">+CW116*3.3058</f>
        <v>0</v>
      </c>
      <c r="CY116" s="60">
        <f t="shared" ref="CY116:CY127" si="727">+CA116*EG116</f>
        <v>0</v>
      </c>
      <c r="CZ116" s="59">
        <f t="shared" ref="CZ116:CZ127" si="728">+CY116*3.3058</f>
        <v>0</v>
      </c>
      <c r="DA116" s="55">
        <f t="shared" ref="DA116:DA127" si="729">+CA116*EH116</f>
        <v>0</v>
      </c>
      <c r="DB116" s="59">
        <f t="shared" ref="DB116:DB127" si="730">+DA116*3.3058</f>
        <v>0</v>
      </c>
      <c r="DC116" s="60">
        <f t="shared" ref="DC116:DC127" si="731">+CA116*EI116</f>
        <v>0</v>
      </c>
      <c r="DD116" s="59">
        <f t="shared" ref="DD116:DD127" si="732">+DC116*3.3058</f>
        <v>0</v>
      </c>
      <c r="DE116" s="60">
        <f t="shared" ref="DE116:DE127" si="733">+CA116*EJ116</f>
        <v>0</v>
      </c>
      <c r="DF116" s="59">
        <f t="shared" ref="DF116:DF127" si="734">+DE116*3.3058</f>
        <v>0</v>
      </c>
      <c r="DG116" s="60">
        <f t="shared" ref="DG116:DG127" si="735">+CA116*EK116</f>
        <v>0</v>
      </c>
      <c r="DH116" s="59">
        <f t="shared" ref="DH116:DH127" si="736">+DG116*3.3058</f>
        <v>0</v>
      </c>
      <c r="DI116" s="60">
        <f t="shared" ref="DI116:DI127" si="737">+CA116*EL116</f>
        <v>0</v>
      </c>
      <c r="DJ116" s="59">
        <f t="shared" ref="DJ116:DJ127" si="738">+DI116*3.3058</f>
        <v>0</v>
      </c>
      <c r="DK116" s="55">
        <f t="shared" ref="DK116:DK127" si="739">+CA116*EM116</f>
        <v>0</v>
      </c>
      <c r="DL116" s="59">
        <f t="shared" ref="DL116:DL127" si="740">+DK116*3.3058</f>
        <v>0</v>
      </c>
      <c r="DM116" s="60">
        <f t="shared" ref="DM116:DM127" si="741">+CA116*EN116</f>
        <v>0</v>
      </c>
      <c r="DN116" s="59">
        <f t="shared" ref="DN116:DN127" si="742">+DM116*3.3058</f>
        <v>0</v>
      </c>
      <c r="DO116" s="60">
        <f t="shared" ref="DO116:DO127" si="743">+CA116*EO116</f>
        <v>0</v>
      </c>
      <c r="DP116" s="59">
        <f t="shared" ref="DP116:DP127" si="744">+DO116*3.3058</f>
        <v>0</v>
      </c>
      <c r="DQ116" s="55">
        <f t="shared" ref="DQ116:DQ127" si="745">+CA116*EP116</f>
        <v>0</v>
      </c>
      <c r="DR116" s="59">
        <f t="shared" ref="DR116:DR127" si="746">+DQ116*3.3058</f>
        <v>0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4"/>
        <v>0.91</v>
      </c>
      <c r="DZ116" s="55">
        <f t="shared" si="654"/>
        <v>0.89</v>
      </c>
      <c r="EA116" s="55">
        <f t="shared" si="654"/>
        <v>0.87</v>
      </c>
      <c r="EB116" s="55">
        <f t="shared" si="654"/>
        <v>0.85</v>
      </c>
      <c r="EC116" s="55">
        <f t="shared" si="654"/>
        <v>0.83</v>
      </c>
      <c r="ED116" s="55">
        <f t="shared" si="654"/>
        <v>0.80999999999999994</v>
      </c>
      <c r="EE116" s="55">
        <f t="shared" si="654"/>
        <v>0.78999999999999992</v>
      </c>
      <c r="EF116" s="55">
        <f t="shared" si="654"/>
        <v>0.76999999999999991</v>
      </c>
      <c r="EG116" s="55">
        <f t="shared" si="654"/>
        <v>0.74999999999999989</v>
      </c>
      <c r="EH116" s="55">
        <f t="shared" si="654"/>
        <v>0.72999999999999987</v>
      </c>
      <c r="EI116" s="55">
        <f t="shared" si="654"/>
        <v>0.70999999999999985</v>
      </c>
      <c r="EJ116" s="55">
        <f t="shared" si="654"/>
        <v>0.68999999999999984</v>
      </c>
      <c r="EK116" s="55">
        <f t="shared" si="654"/>
        <v>0.66999999999999982</v>
      </c>
      <c r="EL116" s="55">
        <f t="shared" si="654"/>
        <v>0.6499999999999998</v>
      </c>
      <c r="EM116" s="55">
        <f t="shared" si="654"/>
        <v>0.62999999999999978</v>
      </c>
      <c r="EN116" s="55">
        <f t="shared" si="654"/>
        <v>0.60999999999999976</v>
      </c>
      <c r="EO116" s="55">
        <f t="shared" si="654"/>
        <v>0.58999999999999975</v>
      </c>
      <c r="EP116" s="55">
        <f t="shared" si="654"/>
        <v>0.56999999999999973</v>
      </c>
      <c r="ER116" s="55">
        <f t="shared" si="648"/>
        <v>0</v>
      </c>
      <c r="ES116" s="55">
        <f t="shared" si="510"/>
        <v>0</v>
      </c>
      <c r="ET116" s="59">
        <f t="shared" ref="ET116:ET127" si="747">+ES116*3.3058</f>
        <v>0</v>
      </c>
      <c r="EU116" s="55">
        <f t="shared" ref="EU116:EU127" si="748">+ES116*GN116</f>
        <v>0</v>
      </c>
      <c r="EV116" s="59">
        <f t="shared" ref="EV116:EV127" si="749">+EU116*3.3058</f>
        <v>0</v>
      </c>
      <c r="EW116" s="55">
        <f t="shared" ref="EW116:EW127" si="750">+ES116*GO116</f>
        <v>0</v>
      </c>
      <c r="EX116" s="59">
        <f t="shared" ref="EX116:EX127" si="751">+EW116*3.3058</f>
        <v>0</v>
      </c>
      <c r="EY116" s="55">
        <f t="shared" ref="EY116:EY127" si="752">+ES116*GP116</f>
        <v>0</v>
      </c>
      <c r="EZ116" s="59">
        <f t="shared" ref="EZ116:EZ127" si="753">+EY116*3.3058</f>
        <v>0</v>
      </c>
      <c r="FA116" s="57">
        <f t="shared" ref="FA116:FA127" si="754">+ES116*GQ116</f>
        <v>0</v>
      </c>
      <c r="FB116" s="59">
        <f t="shared" ref="FB116:FB127" si="755">+FA116*3.3058</f>
        <v>0</v>
      </c>
      <c r="FC116" s="55">
        <f t="shared" ref="FC116:FC127" si="756">+ES116*GR116</f>
        <v>0</v>
      </c>
      <c r="FD116" s="59">
        <f t="shared" ref="FD116:FD127" si="757">+FC116*3.3058</f>
        <v>0</v>
      </c>
      <c r="FE116" s="57">
        <f t="shared" ref="FE116:FE127" si="758">+ES116*GS116</f>
        <v>0</v>
      </c>
      <c r="FF116" s="59">
        <f t="shared" ref="FF116:FF127" si="759">+FE116*3.3058</f>
        <v>0</v>
      </c>
      <c r="FG116" s="60">
        <f t="shared" ref="FG116:FG127" si="760">+ES116*GT116</f>
        <v>0</v>
      </c>
      <c r="FH116" s="59">
        <f t="shared" ref="FH116:FH127" si="761">+FG116*3.3058</f>
        <v>0</v>
      </c>
      <c r="FI116" s="57">
        <f t="shared" ref="FI116:FI127" si="762">+ES116*GU116</f>
        <v>0</v>
      </c>
      <c r="FJ116" s="59">
        <f t="shared" ref="FJ116:FJ127" si="763">+FI116*3.3058</f>
        <v>0</v>
      </c>
      <c r="FK116" s="55">
        <f t="shared" ref="FK116:FK127" si="764">+ES116*GV116</f>
        <v>0</v>
      </c>
      <c r="FL116" s="59">
        <f t="shared" ref="FL116:FL127" si="765">+FK116*3.3058</f>
        <v>0</v>
      </c>
      <c r="FM116" s="60">
        <f t="shared" ref="FM116:FM127" si="766">+ES116*GW116</f>
        <v>0</v>
      </c>
      <c r="FN116" s="59">
        <f t="shared" ref="FN116:FN127" si="767">+FM116*3.3058</f>
        <v>0</v>
      </c>
      <c r="FO116" s="60">
        <f t="shared" ref="FO116:FO127" si="768">+ES116*GX116</f>
        <v>0</v>
      </c>
      <c r="FP116" s="59">
        <f t="shared" ref="FP116:FP127" si="769">+FO116*3.3058</f>
        <v>0</v>
      </c>
      <c r="FQ116" s="60">
        <f t="shared" ref="FQ116:FQ127" si="770">+ES116*GY116</f>
        <v>0</v>
      </c>
      <c r="FR116" s="59">
        <f t="shared" ref="FR116:FR127" si="771">+FQ116*3.3058</f>
        <v>0</v>
      </c>
      <c r="FS116" s="55">
        <f t="shared" ref="FS116:FS127" si="772">+ES116*GZ116</f>
        <v>0</v>
      </c>
      <c r="FT116" s="59">
        <f t="shared" ref="FT116:FT127" si="773">+FS116*3.3058</f>
        <v>0</v>
      </c>
      <c r="FU116" s="60">
        <f t="shared" ref="FU116:FU127" si="774">+ES116*HA116</f>
        <v>0</v>
      </c>
      <c r="FV116" s="59">
        <f t="shared" ref="FV116:FV127" si="775">+FU116*3.3058</f>
        <v>0</v>
      </c>
      <c r="FW116" s="60">
        <f t="shared" ref="FW116:FW127" si="776">+ES116*HB116</f>
        <v>0</v>
      </c>
      <c r="FX116" s="59">
        <f t="shared" ref="FX116:FX127" si="777">+FW116*3.3058</f>
        <v>0</v>
      </c>
      <c r="FY116" s="60">
        <f t="shared" ref="FY116:FY127" si="778">+ES116*HC116</f>
        <v>0</v>
      </c>
      <c r="FZ116" s="59">
        <f t="shared" ref="FZ116:FZ127" si="779">+FY116*3.3058</f>
        <v>0</v>
      </c>
      <c r="GA116" s="60">
        <f t="shared" ref="GA116:GA127" si="780">+ES116*HD116</f>
        <v>0</v>
      </c>
      <c r="GB116" s="59">
        <f t="shared" ref="GB116:GB127" si="781">+GA116*3.3058</f>
        <v>0</v>
      </c>
      <c r="GC116" s="55">
        <f t="shared" ref="GC116:GC127" si="782">+ES116*HE116</f>
        <v>0</v>
      </c>
      <c r="GD116" s="59">
        <f t="shared" ref="GD116:GD127" si="783">+GC116*3.3058</f>
        <v>0</v>
      </c>
      <c r="GE116" s="60">
        <f t="shared" ref="GE116:GE127" si="784">+ES116*HF116</f>
        <v>0</v>
      </c>
      <c r="GF116" s="59">
        <f t="shared" ref="GF116:GF127" si="785">+GE116*3.3058</f>
        <v>0</v>
      </c>
      <c r="GG116" s="60">
        <f t="shared" ref="GG116:GG127" si="786">+ES116*HG116</f>
        <v>0</v>
      </c>
      <c r="GH116" s="59">
        <f t="shared" ref="GH116:GH127" si="787">+GG116*3.3058</f>
        <v>0</v>
      </c>
      <c r="GI116" s="55">
        <f t="shared" ref="GI116:GI127" si="788">+ES116*HH116</f>
        <v>0</v>
      </c>
      <c r="GJ116" s="59">
        <f t="shared" ref="GJ116:GJ127" si="789">+GI116*3.3058</f>
        <v>0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5"/>
        <v>0.91</v>
      </c>
      <c r="GR116" s="55">
        <f t="shared" si="655"/>
        <v>0.89</v>
      </c>
      <c r="GS116" s="55">
        <f t="shared" si="655"/>
        <v>0.87</v>
      </c>
      <c r="GT116" s="55">
        <f t="shared" si="655"/>
        <v>0.85</v>
      </c>
      <c r="GU116" s="55">
        <f t="shared" si="655"/>
        <v>0.83</v>
      </c>
      <c r="GV116" s="55">
        <f t="shared" si="655"/>
        <v>0.80999999999999994</v>
      </c>
      <c r="GW116" s="55">
        <f t="shared" si="655"/>
        <v>0.78999999999999992</v>
      </c>
      <c r="GX116" s="55">
        <f t="shared" si="655"/>
        <v>0.76999999999999991</v>
      </c>
      <c r="GY116" s="55">
        <f t="shared" si="655"/>
        <v>0.74999999999999989</v>
      </c>
      <c r="GZ116" s="55">
        <f t="shared" si="655"/>
        <v>0.72999999999999987</v>
      </c>
      <c r="HA116" s="55">
        <f t="shared" si="655"/>
        <v>0.70999999999999985</v>
      </c>
      <c r="HB116" s="55">
        <f t="shared" si="655"/>
        <v>0.68999999999999984</v>
      </c>
      <c r="HC116" s="55">
        <f t="shared" si="655"/>
        <v>0.66999999999999982</v>
      </c>
      <c r="HD116" s="55">
        <f t="shared" si="655"/>
        <v>0.6499999999999998</v>
      </c>
      <c r="HE116" s="55">
        <f t="shared" si="655"/>
        <v>0.62999999999999978</v>
      </c>
      <c r="HF116" s="55">
        <f t="shared" si="655"/>
        <v>0.60999999999999976</v>
      </c>
      <c r="HG116" s="55">
        <f t="shared" si="655"/>
        <v>0.58999999999999975</v>
      </c>
      <c r="HH116" s="55">
        <f t="shared" si="655"/>
        <v>0.56999999999999973</v>
      </c>
    </row>
    <row r="117" spans="1:216" x14ac:dyDescent="0.3">
      <c r="A117" s="2">
        <v>2</v>
      </c>
      <c r="C117" s="38" t="s">
        <v>125</v>
      </c>
      <c r="D117" s="42">
        <f>TRUNC(2855.89615529589+3319.56652845835,-1)</f>
        <v>6170</v>
      </c>
      <c r="E117" s="71">
        <f t="shared" si="660"/>
        <v>20390</v>
      </c>
      <c r="F117" s="2" t="s">
        <v>318</v>
      </c>
      <c r="H117" s="55">
        <f t="shared" si="505"/>
        <v>22429</v>
      </c>
      <c r="I117" s="55">
        <f t="shared" si="506"/>
        <v>22429</v>
      </c>
      <c r="J117" s="59">
        <f t="shared" si="507"/>
        <v>74145.788199999995</v>
      </c>
      <c r="K117" s="55">
        <f t="shared" si="661"/>
        <v>21756.13</v>
      </c>
      <c r="L117" s="59">
        <f t="shared" si="662"/>
        <v>71921.414554000003</v>
      </c>
      <c r="M117" s="55">
        <f t="shared" si="663"/>
        <v>21307.55</v>
      </c>
      <c r="N117" s="59">
        <f t="shared" si="664"/>
        <v>70438.498789999998</v>
      </c>
      <c r="O117" s="55">
        <f t="shared" si="665"/>
        <v>20858.97</v>
      </c>
      <c r="P117" s="59">
        <f t="shared" si="666"/>
        <v>68955.583026000008</v>
      </c>
      <c r="Q117" s="57">
        <f t="shared" si="667"/>
        <v>20410.39</v>
      </c>
      <c r="R117" s="59">
        <f t="shared" si="668"/>
        <v>67472.667262000003</v>
      </c>
      <c r="S117" s="55">
        <f t="shared" si="669"/>
        <v>19961.810000000001</v>
      </c>
      <c r="T117" s="59">
        <f t="shared" si="670"/>
        <v>65989.751498000012</v>
      </c>
      <c r="U117" s="57">
        <f t="shared" si="671"/>
        <v>19513.23</v>
      </c>
      <c r="V117" s="59">
        <f t="shared" si="672"/>
        <v>64506.835734</v>
      </c>
      <c r="W117" s="60">
        <f t="shared" si="673"/>
        <v>19064.649999999998</v>
      </c>
      <c r="X117" s="59">
        <f t="shared" si="674"/>
        <v>63023.919969999995</v>
      </c>
      <c r="Y117" s="57">
        <f t="shared" si="675"/>
        <v>18616.07</v>
      </c>
      <c r="Z117" s="59">
        <f t="shared" si="676"/>
        <v>61541.004205999998</v>
      </c>
      <c r="AA117" s="55">
        <f t="shared" si="677"/>
        <v>18167.489999999998</v>
      </c>
      <c r="AB117" s="59">
        <f t="shared" si="678"/>
        <v>60058.088441999993</v>
      </c>
      <c r="AC117" s="60">
        <f t="shared" si="679"/>
        <v>17718.91</v>
      </c>
      <c r="AD117" s="59">
        <f t="shared" si="680"/>
        <v>58575.172678000003</v>
      </c>
      <c r="AE117" s="60">
        <f t="shared" si="681"/>
        <v>17270.329999999998</v>
      </c>
      <c r="AF117" s="59">
        <f t="shared" si="682"/>
        <v>57092.256913999998</v>
      </c>
      <c r="AG117" s="60">
        <f t="shared" si="683"/>
        <v>16821.749999999996</v>
      </c>
      <c r="AH117" s="59">
        <f t="shared" si="684"/>
        <v>55609.341149999986</v>
      </c>
      <c r="AI117" s="55">
        <f t="shared" si="685"/>
        <v>16373.169999999996</v>
      </c>
      <c r="AJ117" s="59">
        <f t="shared" si="686"/>
        <v>54126.425385999988</v>
      </c>
      <c r="AK117" s="60">
        <f t="shared" si="687"/>
        <v>15924.589999999997</v>
      </c>
      <c r="AL117" s="59">
        <f t="shared" si="688"/>
        <v>52643.50962199999</v>
      </c>
      <c r="AM117" s="60">
        <f t="shared" si="689"/>
        <v>15476.009999999997</v>
      </c>
      <c r="AN117" s="59">
        <f t="shared" si="690"/>
        <v>51160.593857999993</v>
      </c>
      <c r="AO117" s="60">
        <f t="shared" si="691"/>
        <v>15027.429999999997</v>
      </c>
      <c r="AP117" s="59">
        <f t="shared" si="692"/>
        <v>49677.678093999988</v>
      </c>
      <c r="AQ117" s="60">
        <f t="shared" si="693"/>
        <v>14578.849999999995</v>
      </c>
      <c r="AR117" s="59">
        <f t="shared" si="694"/>
        <v>48194.762329999983</v>
      </c>
      <c r="AS117" s="55">
        <f t="shared" si="695"/>
        <v>14130.269999999995</v>
      </c>
      <c r="AT117" s="59">
        <f t="shared" si="696"/>
        <v>46711.846565999986</v>
      </c>
      <c r="AU117" s="60">
        <f t="shared" si="697"/>
        <v>13681.689999999995</v>
      </c>
      <c r="AV117" s="59">
        <f t="shared" si="698"/>
        <v>45228.930801999988</v>
      </c>
      <c r="AW117" s="60">
        <f t="shared" si="699"/>
        <v>13233.109999999995</v>
      </c>
      <c r="AX117" s="59">
        <f t="shared" si="700"/>
        <v>43746.015037999983</v>
      </c>
      <c r="AY117" s="55">
        <f t="shared" si="701"/>
        <v>12784.529999999993</v>
      </c>
      <c r="AZ117" s="59">
        <f t="shared" si="702"/>
        <v>42263.099273999978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03"/>
        <v>0.91</v>
      </c>
      <c r="BH117" s="55">
        <f t="shared" si="703"/>
        <v>0.89</v>
      </c>
      <c r="BI117" s="55">
        <f t="shared" si="703"/>
        <v>0.87</v>
      </c>
      <c r="BJ117" s="55">
        <f t="shared" si="703"/>
        <v>0.85</v>
      </c>
      <c r="BK117" s="55">
        <f t="shared" si="703"/>
        <v>0.83</v>
      </c>
      <c r="BL117" s="55">
        <f t="shared" si="703"/>
        <v>0.80999999999999994</v>
      </c>
      <c r="BM117" s="55">
        <f t="shared" si="703"/>
        <v>0.78999999999999992</v>
      </c>
      <c r="BN117" s="55">
        <f t="shared" si="703"/>
        <v>0.76999999999999991</v>
      </c>
      <c r="BO117" s="55">
        <f t="shared" si="703"/>
        <v>0.74999999999999989</v>
      </c>
      <c r="BP117" s="55">
        <f t="shared" si="703"/>
        <v>0.72999999999999987</v>
      </c>
      <c r="BQ117" s="55">
        <f t="shared" si="703"/>
        <v>0.70999999999999985</v>
      </c>
      <c r="BR117" s="55">
        <f t="shared" si="703"/>
        <v>0.68999999999999984</v>
      </c>
      <c r="BS117" s="55">
        <f t="shared" si="703"/>
        <v>0.66999999999999982</v>
      </c>
      <c r="BT117" s="55">
        <f t="shared" si="703"/>
        <v>0.6499999999999998</v>
      </c>
      <c r="BU117" s="55">
        <f t="shared" si="703"/>
        <v>0.62999999999999978</v>
      </c>
      <c r="BV117" s="55">
        <f t="shared" si="703"/>
        <v>0.60999999999999976</v>
      </c>
      <c r="BW117" s="55">
        <f t="shared" si="703"/>
        <v>0.58999999999999975</v>
      </c>
      <c r="BX117" s="55">
        <f t="shared" si="703"/>
        <v>0.56999999999999973</v>
      </c>
      <c r="BZ117" s="55">
        <f t="shared" si="508"/>
        <v>20410.39</v>
      </c>
      <c r="CA117" s="55">
        <f t="shared" si="509"/>
        <v>20410.39</v>
      </c>
      <c r="CB117" s="59">
        <f t="shared" si="704"/>
        <v>67472.667262000003</v>
      </c>
      <c r="CC117" s="55">
        <f t="shared" si="705"/>
        <v>19798.078299999997</v>
      </c>
      <c r="CD117" s="59">
        <f t="shared" si="706"/>
        <v>65448.487244139993</v>
      </c>
      <c r="CE117" s="55">
        <f t="shared" si="707"/>
        <v>19389.870499999997</v>
      </c>
      <c r="CF117" s="59">
        <f t="shared" si="708"/>
        <v>64099.033898899994</v>
      </c>
      <c r="CG117" s="55">
        <f t="shared" si="709"/>
        <v>18981.662700000001</v>
      </c>
      <c r="CH117" s="59">
        <f t="shared" si="710"/>
        <v>62749.580553660002</v>
      </c>
      <c r="CI117" s="57">
        <f t="shared" si="711"/>
        <v>18573.454900000001</v>
      </c>
      <c r="CJ117" s="59">
        <f t="shared" si="712"/>
        <v>61400.127208420003</v>
      </c>
      <c r="CK117" s="55">
        <f t="shared" si="713"/>
        <v>18165.247100000001</v>
      </c>
      <c r="CL117" s="59">
        <f t="shared" si="714"/>
        <v>60050.673863180004</v>
      </c>
      <c r="CM117" s="57">
        <f t="shared" si="715"/>
        <v>17757.0393</v>
      </c>
      <c r="CN117" s="59">
        <f t="shared" si="716"/>
        <v>58701.220517940004</v>
      </c>
      <c r="CO117" s="60">
        <f t="shared" si="717"/>
        <v>17348.8315</v>
      </c>
      <c r="CP117" s="59">
        <f t="shared" si="718"/>
        <v>57351.767172700005</v>
      </c>
      <c r="CQ117" s="57">
        <f t="shared" si="719"/>
        <v>16940.6237</v>
      </c>
      <c r="CR117" s="59">
        <f t="shared" si="720"/>
        <v>56002.313827459999</v>
      </c>
      <c r="CS117" s="55">
        <f t="shared" si="721"/>
        <v>16532.4159</v>
      </c>
      <c r="CT117" s="59">
        <f t="shared" si="722"/>
        <v>54652.86048222</v>
      </c>
      <c r="CU117" s="60">
        <f t="shared" si="723"/>
        <v>16124.208099999998</v>
      </c>
      <c r="CV117" s="59">
        <f t="shared" si="724"/>
        <v>53303.407136979993</v>
      </c>
      <c r="CW117" s="60">
        <f t="shared" si="725"/>
        <v>15716.000299999998</v>
      </c>
      <c r="CX117" s="59">
        <f t="shared" si="726"/>
        <v>51953.953791739994</v>
      </c>
      <c r="CY117" s="60">
        <f t="shared" si="727"/>
        <v>15307.792499999998</v>
      </c>
      <c r="CZ117" s="59">
        <f t="shared" si="728"/>
        <v>50604.500446499995</v>
      </c>
      <c r="DA117" s="55">
        <f t="shared" si="729"/>
        <v>14899.584699999998</v>
      </c>
      <c r="DB117" s="59">
        <f t="shared" si="730"/>
        <v>49255.047101259996</v>
      </c>
      <c r="DC117" s="60">
        <f t="shared" si="731"/>
        <v>14491.376899999997</v>
      </c>
      <c r="DD117" s="59">
        <f t="shared" si="732"/>
        <v>47905.593756019989</v>
      </c>
      <c r="DE117" s="60">
        <f t="shared" si="733"/>
        <v>14083.169099999996</v>
      </c>
      <c r="DF117" s="59">
        <f t="shared" si="734"/>
        <v>46556.140410779983</v>
      </c>
      <c r="DG117" s="60">
        <f t="shared" si="735"/>
        <v>13674.961299999995</v>
      </c>
      <c r="DH117" s="59">
        <f t="shared" si="736"/>
        <v>45206.687065539983</v>
      </c>
      <c r="DI117" s="60">
        <f t="shared" si="737"/>
        <v>13266.753499999995</v>
      </c>
      <c r="DJ117" s="59">
        <f t="shared" si="738"/>
        <v>43857.233720299984</v>
      </c>
      <c r="DK117" s="55">
        <f t="shared" si="739"/>
        <v>12858.545699999995</v>
      </c>
      <c r="DL117" s="59">
        <f t="shared" si="740"/>
        <v>42507.780375059985</v>
      </c>
      <c r="DM117" s="60">
        <f t="shared" si="741"/>
        <v>12450.337899999995</v>
      </c>
      <c r="DN117" s="59">
        <f t="shared" si="742"/>
        <v>41158.327029819986</v>
      </c>
      <c r="DO117" s="60">
        <f t="shared" si="743"/>
        <v>12042.130099999995</v>
      </c>
      <c r="DP117" s="59">
        <f t="shared" si="744"/>
        <v>39808.873684579987</v>
      </c>
      <c r="DQ117" s="55">
        <f t="shared" si="745"/>
        <v>11633.922299999995</v>
      </c>
      <c r="DR117" s="59">
        <f t="shared" si="746"/>
        <v>38459.42033933998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4"/>
        <v>0.91</v>
      </c>
      <c r="DZ117" s="55">
        <f t="shared" si="654"/>
        <v>0.89</v>
      </c>
      <c r="EA117" s="55">
        <f t="shared" si="654"/>
        <v>0.87</v>
      </c>
      <c r="EB117" s="55">
        <f t="shared" si="654"/>
        <v>0.85</v>
      </c>
      <c r="EC117" s="55">
        <f t="shared" si="654"/>
        <v>0.83</v>
      </c>
      <c r="ED117" s="55">
        <f t="shared" si="654"/>
        <v>0.80999999999999994</v>
      </c>
      <c r="EE117" s="55">
        <f t="shared" si="654"/>
        <v>0.78999999999999992</v>
      </c>
      <c r="EF117" s="55">
        <f t="shared" si="654"/>
        <v>0.76999999999999991</v>
      </c>
      <c r="EG117" s="55">
        <f t="shared" si="654"/>
        <v>0.74999999999999989</v>
      </c>
      <c r="EH117" s="55">
        <f t="shared" si="654"/>
        <v>0.72999999999999987</v>
      </c>
      <c r="EI117" s="55">
        <f t="shared" si="654"/>
        <v>0.70999999999999985</v>
      </c>
      <c r="EJ117" s="55">
        <f t="shared" si="654"/>
        <v>0.68999999999999984</v>
      </c>
      <c r="EK117" s="55">
        <f t="shared" si="654"/>
        <v>0.66999999999999982</v>
      </c>
      <c r="EL117" s="55">
        <f t="shared" si="654"/>
        <v>0.6499999999999998</v>
      </c>
      <c r="EM117" s="55">
        <f t="shared" si="654"/>
        <v>0.62999999999999978</v>
      </c>
      <c r="EN117" s="55">
        <f t="shared" si="654"/>
        <v>0.60999999999999976</v>
      </c>
      <c r="EO117" s="55">
        <f t="shared" si="654"/>
        <v>0.58999999999999975</v>
      </c>
      <c r="EP117" s="55">
        <f t="shared" si="654"/>
        <v>0.56999999999999973</v>
      </c>
      <c r="ER117" s="55">
        <f t="shared" si="648"/>
        <v>18573.454900000001</v>
      </c>
      <c r="ES117" s="55">
        <f t="shared" si="510"/>
        <v>18573.454900000001</v>
      </c>
      <c r="ET117" s="59">
        <f t="shared" si="747"/>
        <v>61400.127208420003</v>
      </c>
      <c r="EU117" s="55">
        <f t="shared" si="748"/>
        <v>18016.251252999999</v>
      </c>
      <c r="EV117" s="59">
        <f t="shared" si="749"/>
        <v>59558.123392167399</v>
      </c>
      <c r="EW117" s="55">
        <f t="shared" si="750"/>
        <v>17644.782155000001</v>
      </c>
      <c r="EX117" s="59">
        <f t="shared" si="751"/>
        <v>58330.120847999002</v>
      </c>
      <c r="EY117" s="55">
        <f t="shared" si="752"/>
        <v>17273.313057000003</v>
      </c>
      <c r="EZ117" s="59">
        <f t="shared" si="753"/>
        <v>57102.118303830612</v>
      </c>
      <c r="FA117" s="57">
        <f t="shared" si="754"/>
        <v>16901.843959000002</v>
      </c>
      <c r="FB117" s="59">
        <f t="shared" si="755"/>
        <v>55874.115759662207</v>
      </c>
      <c r="FC117" s="55">
        <f t="shared" si="756"/>
        <v>16530.374861</v>
      </c>
      <c r="FD117" s="59">
        <f t="shared" si="757"/>
        <v>54646.113215493802</v>
      </c>
      <c r="FE117" s="57">
        <f t="shared" si="758"/>
        <v>16158.905763000001</v>
      </c>
      <c r="FF117" s="59">
        <f t="shared" si="759"/>
        <v>53418.110671325405</v>
      </c>
      <c r="FG117" s="60">
        <f t="shared" si="760"/>
        <v>15787.436664999999</v>
      </c>
      <c r="FH117" s="59">
        <f t="shared" si="761"/>
        <v>52190.108127157</v>
      </c>
      <c r="FI117" s="57">
        <f t="shared" si="762"/>
        <v>15415.967567</v>
      </c>
      <c r="FJ117" s="59">
        <f t="shared" si="763"/>
        <v>50962.105582988603</v>
      </c>
      <c r="FK117" s="55">
        <f t="shared" si="764"/>
        <v>15044.498469</v>
      </c>
      <c r="FL117" s="59">
        <f t="shared" si="765"/>
        <v>49734.103038820198</v>
      </c>
      <c r="FM117" s="60">
        <f t="shared" si="766"/>
        <v>14673.029370999999</v>
      </c>
      <c r="FN117" s="59">
        <f t="shared" si="767"/>
        <v>48506.100494651793</v>
      </c>
      <c r="FO117" s="60">
        <f t="shared" si="768"/>
        <v>14301.560272999999</v>
      </c>
      <c r="FP117" s="59">
        <f t="shared" si="769"/>
        <v>47278.097950483396</v>
      </c>
      <c r="FQ117" s="60">
        <f t="shared" si="770"/>
        <v>13930.091174999998</v>
      </c>
      <c r="FR117" s="59">
        <f t="shared" si="771"/>
        <v>46050.095406314991</v>
      </c>
      <c r="FS117" s="55">
        <f t="shared" si="772"/>
        <v>13558.622076999998</v>
      </c>
      <c r="FT117" s="59">
        <f t="shared" si="773"/>
        <v>44822.092862146594</v>
      </c>
      <c r="FU117" s="60">
        <f t="shared" si="774"/>
        <v>13187.152978999999</v>
      </c>
      <c r="FV117" s="59">
        <f t="shared" si="775"/>
        <v>43594.090317978196</v>
      </c>
      <c r="FW117" s="60">
        <f t="shared" si="776"/>
        <v>12815.683880999997</v>
      </c>
      <c r="FX117" s="59">
        <f t="shared" si="777"/>
        <v>42366.087773809792</v>
      </c>
      <c r="FY117" s="60">
        <f t="shared" si="778"/>
        <v>12444.214782999998</v>
      </c>
      <c r="FZ117" s="59">
        <f t="shared" si="779"/>
        <v>41138.085229641394</v>
      </c>
      <c r="GA117" s="60">
        <f t="shared" si="780"/>
        <v>12072.745684999996</v>
      </c>
      <c r="GB117" s="59">
        <f t="shared" si="781"/>
        <v>39910.082685472989</v>
      </c>
      <c r="GC117" s="55">
        <f t="shared" si="782"/>
        <v>11701.276586999997</v>
      </c>
      <c r="GD117" s="59">
        <f t="shared" si="783"/>
        <v>38682.080141304592</v>
      </c>
      <c r="GE117" s="60">
        <f t="shared" si="784"/>
        <v>11329.807488999995</v>
      </c>
      <c r="GF117" s="59">
        <f t="shared" si="785"/>
        <v>37454.077597136187</v>
      </c>
      <c r="GG117" s="60">
        <f t="shared" si="786"/>
        <v>10958.338390999996</v>
      </c>
      <c r="GH117" s="59">
        <f t="shared" si="787"/>
        <v>36226.07505296779</v>
      </c>
      <c r="GI117" s="55">
        <f t="shared" si="788"/>
        <v>10586.869292999996</v>
      </c>
      <c r="GJ117" s="59">
        <f t="shared" si="789"/>
        <v>34998.072508799385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5"/>
        <v>0.91</v>
      </c>
      <c r="GR117" s="55">
        <f t="shared" si="655"/>
        <v>0.89</v>
      </c>
      <c r="GS117" s="55">
        <f t="shared" si="655"/>
        <v>0.87</v>
      </c>
      <c r="GT117" s="55">
        <f t="shared" si="655"/>
        <v>0.85</v>
      </c>
      <c r="GU117" s="55">
        <f t="shared" si="655"/>
        <v>0.83</v>
      </c>
      <c r="GV117" s="55">
        <f t="shared" si="655"/>
        <v>0.80999999999999994</v>
      </c>
      <c r="GW117" s="55">
        <f t="shared" si="655"/>
        <v>0.78999999999999992</v>
      </c>
      <c r="GX117" s="55">
        <f t="shared" si="655"/>
        <v>0.76999999999999991</v>
      </c>
      <c r="GY117" s="55">
        <f t="shared" si="655"/>
        <v>0.74999999999999989</v>
      </c>
      <c r="GZ117" s="55">
        <f t="shared" si="655"/>
        <v>0.72999999999999987</v>
      </c>
      <c r="HA117" s="55">
        <f t="shared" si="655"/>
        <v>0.70999999999999985</v>
      </c>
      <c r="HB117" s="55">
        <f t="shared" si="655"/>
        <v>0.68999999999999984</v>
      </c>
      <c r="HC117" s="55">
        <f t="shared" si="655"/>
        <v>0.66999999999999982</v>
      </c>
      <c r="HD117" s="55">
        <f t="shared" si="655"/>
        <v>0.6499999999999998</v>
      </c>
      <c r="HE117" s="55">
        <f t="shared" si="655"/>
        <v>0.62999999999999978</v>
      </c>
      <c r="HF117" s="55">
        <f t="shared" si="655"/>
        <v>0.60999999999999976</v>
      </c>
      <c r="HG117" s="55">
        <f t="shared" si="655"/>
        <v>0.58999999999999975</v>
      </c>
      <c r="HH117" s="55">
        <f t="shared" si="655"/>
        <v>0.56999999999999973</v>
      </c>
    </row>
    <row r="118" spans="1:216" x14ac:dyDescent="0.3">
      <c r="A118" s="2">
        <v>3</v>
      </c>
      <c r="C118" s="38" t="s">
        <v>153</v>
      </c>
      <c r="D118" s="42">
        <v>0</v>
      </c>
      <c r="E118" s="71">
        <f t="shared" si="660"/>
        <v>0</v>
      </c>
      <c r="H118" s="55">
        <f t="shared" si="505"/>
        <v>0</v>
      </c>
      <c r="I118" s="55">
        <f t="shared" si="506"/>
        <v>0</v>
      </c>
      <c r="J118" s="59">
        <f t="shared" si="507"/>
        <v>0</v>
      </c>
      <c r="K118" s="55">
        <f t="shared" si="661"/>
        <v>0</v>
      </c>
      <c r="L118" s="59">
        <f t="shared" si="662"/>
        <v>0</v>
      </c>
      <c r="M118" s="55">
        <f t="shared" si="663"/>
        <v>0</v>
      </c>
      <c r="N118" s="59">
        <f t="shared" si="664"/>
        <v>0</v>
      </c>
      <c r="O118" s="55">
        <f t="shared" si="665"/>
        <v>0</v>
      </c>
      <c r="P118" s="59">
        <f t="shared" si="666"/>
        <v>0</v>
      </c>
      <c r="Q118" s="57">
        <f t="shared" si="667"/>
        <v>0</v>
      </c>
      <c r="R118" s="59">
        <f t="shared" si="668"/>
        <v>0</v>
      </c>
      <c r="S118" s="55">
        <f t="shared" si="669"/>
        <v>0</v>
      </c>
      <c r="T118" s="59">
        <f t="shared" si="670"/>
        <v>0</v>
      </c>
      <c r="U118" s="57">
        <f t="shared" si="671"/>
        <v>0</v>
      </c>
      <c r="V118" s="59">
        <f t="shared" si="672"/>
        <v>0</v>
      </c>
      <c r="W118" s="60">
        <f t="shared" si="673"/>
        <v>0</v>
      </c>
      <c r="X118" s="59">
        <f t="shared" si="674"/>
        <v>0</v>
      </c>
      <c r="Y118" s="57">
        <f t="shared" si="675"/>
        <v>0</v>
      </c>
      <c r="Z118" s="59">
        <f t="shared" si="676"/>
        <v>0</v>
      </c>
      <c r="AA118" s="55">
        <f t="shared" si="677"/>
        <v>0</v>
      </c>
      <c r="AB118" s="59">
        <f t="shared" si="678"/>
        <v>0</v>
      </c>
      <c r="AC118" s="60">
        <f t="shared" si="679"/>
        <v>0</v>
      </c>
      <c r="AD118" s="59">
        <f t="shared" si="680"/>
        <v>0</v>
      </c>
      <c r="AE118" s="60">
        <f t="shared" si="681"/>
        <v>0</v>
      </c>
      <c r="AF118" s="59">
        <f t="shared" si="682"/>
        <v>0</v>
      </c>
      <c r="AG118" s="60">
        <f t="shared" si="683"/>
        <v>0</v>
      </c>
      <c r="AH118" s="59">
        <f t="shared" si="684"/>
        <v>0</v>
      </c>
      <c r="AI118" s="55">
        <f t="shared" si="685"/>
        <v>0</v>
      </c>
      <c r="AJ118" s="59">
        <f t="shared" si="686"/>
        <v>0</v>
      </c>
      <c r="AK118" s="60">
        <f t="shared" si="687"/>
        <v>0</v>
      </c>
      <c r="AL118" s="59">
        <f t="shared" si="688"/>
        <v>0</v>
      </c>
      <c r="AM118" s="60">
        <f t="shared" si="689"/>
        <v>0</v>
      </c>
      <c r="AN118" s="59">
        <f t="shared" si="690"/>
        <v>0</v>
      </c>
      <c r="AO118" s="60">
        <f t="shared" si="691"/>
        <v>0</v>
      </c>
      <c r="AP118" s="59">
        <f t="shared" si="692"/>
        <v>0</v>
      </c>
      <c r="AQ118" s="60">
        <f t="shared" si="693"/>
        <v>0</v>
      </c>
      <c r="AR118" s="59">
        <f t="shared" si="694"/>
        <v>0</v>
      </c>
      <c r="AS118" s="55">
        <f t="shared" si="695"/>
        <v>0</v>
      </c>
      <c r="AT118" s="59">
        <f t="shared" si="696"/>
        <v>0</v>
      </c>
      <c r="AU118" s="60">
        <f t="shared" si="697"/>
        <v>0</v>
      </c>
      <c r="AV118" s="59">
        <f t="shared" si="698"/>
        <v>0</v>
      </c>
      <c r="AW118" s="60">
        <f t="shared" si="699"/>
        <v>0</v>
      </c>
      <c r="AX118" s="59">
        <f t="shared" si="700"/>
        <v>0</v>
      </c>
      <c r="AY118" s="55">
        <f t="shared" si="701"/>
        <v>0</v>
      </c>
      <c r="AZ118" s="59">
        <f t="shared" si="702"/>
        <v>0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03"/>
        <v>0.91</v>
      </c>
      <c r="BH118" s="55">
        <f t="shared" si="703"/>
        <v>0.89</v>
      </c>
      <c r="BI118" s="55">
        <f t="shared" si="703"/>
        <v>0.87</v>
      </c>
      <c r="BJ118" s="55">
        <f t="shared" si="703"/>
        <v>0.85</v>
      </c>
      <c r="BK118" s="55">
        <f t="shared" si="703"/>
        <v>0.83</v>
      </c>
      <c r="BL118" s="55">
        <f t="shared" si="703"/>
        <v>0.80999999999999994</v>
      </c>
      <c r="BM118" s="55">
        <f t="shared" si="703"/>
        <v>0.78999999999999992</v>
      </c>
      <c r="BN118" s="55">
        <f t="shared" si="703"/>
        <v>0.76999999999999991</v>
      </c>
      <c r="BO118" s="55">
        <f t="shared" si="703"/>
        <v>0.74999999999999989</v>
      </c>
      <c r="BP118" s="55">
        <f t="shared" si="703"/>
        <v>0.72999999999999987</v>
      </c>
      <c r="BQ118" s="55">
        <f t="shared" si="703"/>
        <v>0.70999999999999985</v>
      </c>
      <c r="BR118" s="55">
        <f t="shared" si="703"/>
        <v>0.68999999999999984</v>
      </c>
      <c r="BS118" s="55">
        <f t="shared" si="703"/>
        <v>0.66999999999999982</v>
      </c>
      <c r="BT118" s="55">
        <f t="shared" si="703"/>
        <v>0.6499999999999998</v>
      </c>
      <c r="BU118" s="55">
        <f t="shared" si="703"/>
        <v>0.62999999999999978</v>
      </c>
      <c r="BV118" s="55">
        <f t="shared" si="703"/>
        <v>0.60999999999999976</v>
      </c>
      <c r="BW118" s="55">
        <f t="shared" si="703"/>
        <v>0.58999999999999975</v>
      </c>
      <c r="BX118" s="55">
        <f t="shared" si="703"/>
        <v>0.56999999999999973</v>
      </c>
      <c r="BZ118" s="55">
        <f t="shared" si="508"/>
        <v>0</v>
      </c>
      <c r="CA118" s="55">
        <f t="shared" si="509"/>
        <v>0</v>
      </c>
      <c r="CB118" s="59">
        <f t="shared" si="704"/>
        <v>0</v>
      </c>
      <c r="CC118" s="55">
        <f t="shared" si="705"/>
        <v>0</v>
      </c>
      <c r="CD118" s="59">
        <f t="shared" si="706"/>
        <v>0</v>
      </c>
      <c r="CE118" s="55">
        <f t="shared" si="707"/>
        <v>0</v>
      </c>
      <c r="CF118" s="59">
        <f t="shared" si="708"/>
        <v>0</v>
      </c>
      <c r="CG118" s="55">
        <f t="shared" si="709"/>
        <v>0</v>
      </c>
      <c r="CH118" s="59">
        <f t="shared" si="710"/>
        <v>0</v>
      </c>
      <c r="CI118" s="57">
        <f t="shared" si="711"/>
        <v>0</v>
      </c>
      <c r="CJ118" s="59">
        <f t="shared" si="712"/>
        <v>0</v>
      </c>
      <c r="CK118" s="55">
        <f t="shared" si="713"/>
        <v>0</v>
      </c>
      <c r="CL118" s="59">
        <f t="shared" si="714"/>
        <v>0</v>
      </c>
      <c r="CM118" s="57">
        <f t="shared" si="715"/>
        <v>0</v>
      </c>
      <c r="CN118" s="59">
        <f t="shared" si="716"/>
        <v>0</v>
      </c>
      <c r="CO118" s="60">
        <f t="shared" si="717"/>
        <v>0</v>
      </c>
      <c r="CP118" s="59">
        <f t="shared" si="718"/>
        <v>0</v>
      </c>
      <c r="CQ118" s="57">
        <f t="shared" si="719"/>
        <v>0</v>
      </c>
      <c r="CR118" s="59">
        <f t="shared" si="720"/>
        <v>0</v>
      </c>
      <c r="CS118" s="55">
        <f t="shared" si="721"/>
        <v>0</v>
      </c>
      <c r="CT118" s="59">
        <f t="shared" si="722"/>
        <v>0</v>
      </c>
      <c r="CU118" s="60">
        <f t="shared" si="723"/>
        <v>0</v>
      </c>
      <c r="CV118" s="59">
        <f t="shared" si="724"/>
        <v>0</v>
      </c>
      <c r="CW118" s="60">
        <f t="shared" si="725"/>
        <v>0</v>
      </c>
      <c r="CX118" s="59">
        <f t="shared" si="726"/>
        <v>0</v>
      </c>
      <c r="CY118" s="60">
        <f t="shared" si="727"/>
        <v>0</v>
      </c>
      <c r="CZ118" s="59">
        <f t="shared" si="728"/>
        <v>0</v>
      </c>
      <c r="DA118" s="55">
        <f t="shared" si="729"/>
        <v>0</v>
      </c>
      <c r="DB118" s="59">
        <f t="shared" si="730"/>
        <v>0</v>
      </c>
      <c r="DC118" s="60">
        <f t="shared" si="731"/>
        <v>0</v>
      </c>
      <c r="DD118" s="59">
        <f t="shared" si="732"/>
        <v>0</v>
      </c>
      <c r="DE118" s="60">
        <f t="shared" si="733"/>
        <v>0</v>
      </c>
      <c r="DF118" s="59">
        <f t="shared" si="734"/>
        <v>0</v>
      </c>
      <c r="DG118" s="60">
        <f t="shared" si="735"/>
        <v>0</v>
      </c>
      <c r="DH118" s="59">
        <f t="shared" si="736"/>
        <v>0</v>
      </c>
      <c r="DI118" s="60">
        <f t="shared" si="737"/>
        <v>0</v>
      </c>
      <c r="DJ118" s="59">
        <f t="shared" si="738"/>
        <v>0</v>
      </c>
      <c r="DK118" s="55">
        <f t="shared" si="739"/>
        <v>0</v>
      </c>
      <c r="DL118" s="59">
        <f t="shared" si="740"/>
        <v>0</v>
      </c>
      <c r="DM118" s="60">
        <f t="shared" si="741"/>
        <v>0</v>
      </c>
      <c r="DN118" s="59">
        <f t="shared" si="742"/>
        <v>0</v>
      </c>
      <c r="DO118" s="60">
        <f t="shared" si="743"/>
        <v>0</v>
      </c>
      <c r="DP118" s="59">
        <f t="shared" si="744"/>
        <v>0</v>
      </c>
      <c r="DQ118" s="55">
        <f t="shared" si="745"/>
        <v>0</v>
      </c>
      <c r="DR118" s="59">
        <f t="shared" si="746"/>
        <v>0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4"/>
        <v>0.91</v>
      </c>
      <c r="DZ118" s="55">
        <f t="shared" si="654"/>
        <v>0.89</v>
      </c>
      <c r="EA118" s="55">
        <f t="shared" si="654"/>
        <v>0.87</v>
      </c>
      <c r="EB118" s="55">
        <f t="shared" si="654"/>
        <v>0.85</v>
      </c>
      <c r="EC118" s="55">
        <f t="shared" si="654"/>
        <v>0.83</v>
      </c>
      <c r="ED118" s="55">
        <f t="shared" si="654"/>
        <v>0.80999999999999994</v>
      </c>
      <c r="EE118" s="55">
        <f t="shared" si="654"/>
        <v>0.78999999999999992</v>
      </c>
      <c r="EF118" s="55">
        <f t="shared" si="654"/>
        <v>0.76999999999999991</v>
      </c>
      <c r="EG118" s="55">
        <f t="shared" si="654"/>
        <v>0.74999999999999989</v>
      </c>
      <c r="EH118" s="55">
        <f t="shared" si="654"/>
        <v>0.72999999999999987</v>
      </c>
      <c r="EI118" s="55">
        <f t="shared" si="654"/>
        <v>0.70999999999999985</v>
      </c>
      <c r="EJ118" s="55">
        <f t="shared" si="654"/>
        <v>0.68999999999999984</v>
      </c>
      <c r="EK118" s="55">
        <f t="shared" si="654"/>
        <v>0.66999999999999982</v>
      </c>
      <c r="EL118" s="55">
        <f t="shared" si="654"/>
        <v>0.6499999999999998</v>
      </c>
      <c r="EM118" s="55">
        <f t="shared" si="654"/>
        <v>0.62999999999999978</v>
      </c>
      <c r="EN118" s="55">
        <f t="shared" si="654"/>
        <v>0.60999999999999976</v>
      </c>
      <c r="EO118" s="55">
        <f t="shared" si="654"/>
        <v>0.58999999999999975</v>
      </c>
      <c r="EP118" s="55">
        <f t="shared" si="654"/>
        <v>0.56999999999999973</v>
      </c>
      <c r="ER118" s="55">
        <f t="shared" si="648"/>
        <v>0</v>
      </c>
      <c r="ES118" s="55">
        <f t="shared" si="510"/>
        <v>0</v>
      </c>
      <c r="ET118" s="59">
        <f t="shared" si="747"/>
        <v>0</v>
      </c>
      <c r="EU118" s="55">
        <f t="shared" si="748"/>
        <v>0</v>
      </c>
      <c r="EV118" s="59">
        <f t="shared" si="749"/>
        <v>0</v>
      </c>
      <c r="EW118" s="55">
        <f t="shared" si="750"/>
        <v>0</v>
      </c>
      <c r="EX118" s="59">
        <f t="shared" si="751"/>
        <v>0</v>
      </c>
      <c r="EY118" s="55">
        <f t="shared" si="752"/>
        <v>0</v>
      </c>
      <c r="EZ118" s="59">
        <f t="shared" si="753"/>
        <v>0</v>
      </c>
      <c r="FA118" s="57">
        <f t="shared" si="754"/>
        <v>0</v>
      </c>
      <c r="FB118" s="59">
        <f t="shared" si="755"/>
        <v>0</v>
      </c>
      <c r="FC118" s="55">
        <f t="shared" si="756"/>
        <v>0</v>
      </c>
      <c r="FD118" s="59">
        <f t="shared" si="757"/>
        <v>0</v>
      </c>
      <c r="FE118" s="57">
        <f t="shared" si="758"/>
        <v>0</v>
      </c>
      <c r="FF118" s="59">
        <f t="shared" si="759"/>
        <v>0</v>
      </c>
      <c r="FG118" s="60">
        <f t="shared" si="760"/>
        <v>0</v>
      </c>
      <c r="FH118" s="59">
        <f t="shared" si="761"/>
        <v>0</v>
      </c>
      <c r="FI118" s="57">
        <f t="shared" si="762"/>
        <v>0</v>
      </c>
      <c r="FJ118" s="59">
        <f t="shared" si="763"/>
        <v>0</v>
      </c>
      <c r="FK118" s="55">
        <f t="shared" si="764"/>
        <v>0</v>
      </c>
      <c r="FL118" s="59">
        <f t="shared" si="765"/>
        <v>0</v>
      </c>
      <c r="FM118" s="60">
        <f t="shared" si="766"/>
        <v>0</v>
      </c>
      <c r="FN118" s="59">
        <f t="shared" si="767"/>
        <v>0</v>
      </c>
      <c r="FO118" s="60">
        <f t="shared" si="768"/>
        <v>0</v>
      </c>
      <c r="FP118" s="59">
        <f t="shared" si="769"/>
        <v>0</v>
      </c>
      <c r="FQ118" s="60">
        <f t="shared" si="770"/>
        <v>0</v>
      </c>
      <c r="FR118" s="59">
        <f t="shared" si="771"/>
        <v>0</v>
      </c>
      <c r="FS118" s="55">
        <f t="shared" si="772"/>
        <v>0</v>
      </c>
      <c r="FT118" s="59">
        <f t="shared" si="773"/>
        <v>0</v>
      </c>
      <c r="FU118" s="60">
        <f t="shared" si="774"/>
        <v>0</v>
      </c>
      <c r="FV118" s="59">
        <f t="shared" si="775"/>
        <v>0</v>
      </c>
      <c r="FW118" s="60">
        <f t="shared" si="776"/>
        <v>0</v>
      </c>
      <c r="FX118" s="59">
        <f t="shared" si="777"/>
        <v>0</v>
      </c>
      <c r="FY118" s="60">
        <f t="shared" si="778"/>
        <v>0</v>
      </c>
      <c r="FZ118" s="59">
        <f t="shared" si="779"/>
        <v>0</v>
      </c>
      <c r="GA118" s="60">
        <f t="shared" si="780"/>
        <v>0</v>
      </c>
      <c r="GB118" s="59">
        <f t="shared" si="781"/>
        <v>0</v>
      </c>
      <c r="GC118" s="55">
        <f t="shared" si="782"/>
        <v>0</v>
      </c>
      <c r="GD118" s="59">
        <f t="shared" si="783"/>
        <v>0</v>
      </c>
      <c r="GE118" s="60">
        <f t="shared" si="784"/>
        <v>0</v>
      </c>
      <c r="GF118" s="59">
        <f t="shared" si="785"/>
        <v>0</v>
      </c>
      <c r="GG118" s="60">
        <f t="shared" si="786"/>
        <v>0</v>
      </c>
      <c r="GH118" s="59">
        <f t="shared" si="787"/>
        <v>0</v>
      </c>
      <c r="GI118" s="55">
        <f t="shared" si="788"/>
        <v>0</v>
      </c>
      <c r="GJ118" s="59">
        <f t="shared" si="789"/>
        <v>0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5"/>
        <v>0.91</v>
      </c>
      <c r="GR118" s="55">
        <f t="shared" si="655"/>
        <v>0.89</v>
      </c>
      <c r="GS118" s="55">
        <f t="shared" si="655"/>
        <v>0.87</v>
      </c>
      <c r="GT118" s="55">
        <f t="shared" si="655"/>
        <v>0.85</v>
      </c>
      <c r="GU118" s="55">
        <f t="shared" si="655"/>
        <v>0.83</v>
      </c>
      <c r="GV118" s="55">
        <f t="shared" si="655"/>
        <v>0.80999999999999994</v>
      </c>
      <c r="GW118" s="55">
        <f t="shared" si="655"/>
        <v>0.78999999999999992</v>
      </c>
      <c r="GX118" s="55">
        <f t="shared" si="655"/>
        <v>0.76999999999999991</v>
      </c>
      <c r="GY118" s="55">
        <f t="shared" si="655"/>
        <v>0.74999999999999989</v>
      </c>
      <c r="GZ118" s="55">
        <f t="shared" si="655"/>
        <v>0.72999999999999987</v>
      </c>
      <c r="HA118" s="55">
        <f t="shared" si="655"/>
        <v>0.70999999999999985</v>
      </c>
      <c r="HB118" s="55">
        <f t="shared" si="655"/>
        <v>0.68999999999999984</v>
      </c>
      <c r="HC118" s="55">
        <f t="shared" si="655"/>
        <v>0.66999999999999982</v>
      </c>
      <c r="HD118" s="55">
        <f t="shared" si="655"/>
        <v>0.6499999999999998</v>
      </c>
      <c r="HE118" s="55">
        <f t="shared" si="655"/>
        <v>0.62999999999999978</v>
      </c>
      <c r="HF118" s="55">
        <f t="shared" si="655"/>
        <v>0.60999999999999976</v>
      </c>
      <c r="HG118" s="55">
        <f t="shared" si="655"/>
        <v>0.58999999999999975</v>
      </c>
      <c r="HH118" s="55">
        <f t="shared" si="655"/>
        <v>0.56999999999999973</v>
      </c>
    </row>
    <row r="119" spans="1:216" x14ac:dyDescent="0.3">
      <c r="A119" s="2">
        <v>4</v>
      </c>
      <c r="C119" s="38" t="s">
        <v>139</v>
      </c>
      <c r="D119" s="42">
        <f>TRUNC(1875.60177157934,-1)</f>
        <v>1870</v>
      </c>
      <c r="E119" s="71">
        <f t="shared" si="660"/>
        <v>6180</v>
      </c>
      <c r="H119" s="55">
        <f t="shared" si="505"/>
        <v>6798.0000000000009</v>
      </c>
      <c r="I119" s="55">
        <f t="shared" si="506"/>
        <v>6798.0000000000009</v>
      </c>
      <c r="J119" s="59">
        <f t="shared" si="507"/>
        <v>22472.828400000002</v>
      </c>
      <c r="K119" s="55">
        <f t="shared" si="661"/>
        <v>6594.06</v>
      </c>
      <c r="L119" s="59">
        <f t="shared" si="662"/>
        <v>21798.643548</v>
      </c>
      <c r="M119" s="55">
        <f t="shared" si="663"/>
        <v>6458.1</v>
      </c>
      <c r="N119" s="59">
        <f t="shared" si="664"/>
        <v>21349.186980000002</v>
      </c>
      <c r="O119" s="55">
        <f t="shared" si="665"/>
        <v>6322.1400000000012</v>
      </c>
      <c r="P119" s="59">
        <f t="shared" si="666"/>
        <v>20899.730412000004</v>
      </c>
      <c r="Q119" s="57">
        <f t="shared" si="667"/>
        <v>6186.1800000000012</v>
      </c>
      <c r="R119" s="59">
        <f t="shared" si="668"/>
        <v>20450.273844000003</v>
      </c>
      <c r="S119" s="55">
        <f t="shared" si="669"/>
        <v>6050.2200000000012</v>
      </c>
      <c r="T119" s="59">
        <f t="shared" si="670"/>
        <v>20000.817276000005</v>
      </c>
      <c r="U119" s="57">
        <f t="shared" si="671"/>
        <v>5914.2600000000011</v>
      </c>
      <c r="V119" s="59">
        <f t="shared" si="672"/>
        <v>19551.360708000004</v>
      </c>
      <c r="W119" s="60">
        <f t="shared" si="673"/>
        <v>5778.3</v>
      </c>
      <c r="X119" s="59">
        <f t="shared" si="674"/>
        <v>19101.904140000002</v>
      </c>
      <c r="Y119" s="57">
        <f t="shared" si="675"/>
        <v>5642.34</v>
      </c>
      <c r="Z119" s="59">
        <f t="shared" si="676"/>
        <v>18652.447572000001</v>
      </c>
      <c r="AA119" s="55">
        <f t="shared" si="677"/>
        <v>5506.38</v>
      </c>
      <c r="AB119" s="59">
        <f t="shared" si="678"/>
        <v>18202.991004</v>
      </c>
      <c r="AC119" s="60">
        <f t="shared" si="679"/>
        <v>5370.42</v>
      </c>
      <c r="AD119" s="59">
        <f t="shared" si="680"/>
        <v>17753.534436000002</v>
      </c>
      <c r="AE119" s="60">
        <f t="shared" si="681"/>
        <v>5234.46</v>
      </c>
      <c r="AF119" s="59">
        <f t="shared" si="682"/>
        <v>17304.077868</v>
      </c>
      <c r="AG119" s="60">
        <f t="shared" si="683"/>
        <v>5098.5</v>
      </c>
      <c r="AH119" s="59">
        <f t="shared" si="684"/>
        <v>16854.621299999999</v>
      </c>
      <c r="AI119" s="55">
        <f t="shared" si="685"/>
        <v>4962.54</v>
      </c>
      <c r="AJ119" s="59">
        <f t="shared" si="686"/>
        <v>16405.164732000001</v>
      </c>
      <c r="AK119" s="60">
        <f t="shared" si="687"/>
        <v>4826.58</v>
      </c>
      <c r="AL119" s="59">
        <f t="shared" si="688"/>
        <v>15955.708164</v>
      </c>
      <c r="AM119" s="60">
        <f t="shared" si="689"/>
        <v>4690.62</v>
      </c>
      <c r="AN119" s="59">
        <f t="shared" si="690"/>
        <v>15506.251596</v>
      </c>
      <c r="AO119" s="60">
        <f t="shared" si="691"/>
        <v>4554.6599999999989</v>
      </c>
      <c r="AP119" s="59">
        <f t="shared" si="692"/>
        <v>15056.795027999997</v>
      </c>
      <c r="AQ119" s="60">
        <f t="shared" si="693"/>
        <v>4418.6999999999989</v>
      </c>
      <c r="AR119" s="59">
        <f t="shared" si="694"/>
        <v>14607.338459999997</v>
      </c>
      <c r="AS119" s="55">
        <f t="shared" si="695"/>
        <v>4282.7399999999989</v>
      </c>
      <c r="AT119" s="59">
        <f t="shared" si="696"/>
        <v>14157.881891999996</v>
      </c>
      <c r="AU119" s="60">
        <f t="shared" si="697"/>
        <v>4146.7799999999988</v>
      </c>
      <c r="AV119" s="59">
        <f t="shared" si="698"/>
        <v>13708.425323999996</v>
      </c>
      <c r="AW119" s="60">
        <f t="shared" si="699"/>
        <v>4010.8199999999988</v>
      </c>
      <c r="AX119" s="59">
        <f t="shared" si="700"/>
        <v>13258.968755999997</v>
      </c>
      <c r="AY119" s="55">
        <f t="shared" si="701"/>
        <v>3874.8599999999988</v>
      </c>
      <c r="AZ119" s="59">
        <f t="shared" si="702"/>
        <v>12809.512187999997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03"/>
        <v>0.91</v>
      </c>
      <c r="BH119" s="55">
        <f t="shared" si="703"/>
        <v>0.89</v>
      </c>
      <c r="BI119" s="55">
        <f t="shared" si="703"/>
        <v>0.87</v>
      </c>
      <c r="BJ119" s="55">
        <f t="shared" si="703"/>
        <v>0.85</v>
      </c>
      <c r="BK119" s="55">
        <f t="shared" si="703"/>
        <v>0.83</v>
      </c>
      <c r="BL119" s="55">
        <f t="shared" si="703"/>
        <v>0.80999999999999994</v>
      </c>
      <c r="BM119" s="55">
        <f t="shared" si="703"/>
        <v>0.78999999999999992</v>
      </c>
      <c r="BN119" s="55">
        <f t="shared" si="703"/>
        <v>0.76999999999999991</v>
      </c>
      <c r="BO119" s="55">
        <f t="shared" si="703"/>
        <v>0.74999999999999989</v>
      </c>
      <c r="BP119" s="55">
        <f t="shared" si="703"/>
        <v>0.72999999999999987</v>
      </c>
      <c r="BQ119" s="55">
        <f t="shared" si="703"/>
        <v>0.70999999999999985</v>
      </c>
      <c r="BR119" s="55">
        <f t="shared" si="703"/>
        <v>0.68999999999999984</v>
      </c>
      <c r="BS119" s="55">
        <f t="shared" si="703"/>
        <v>0.66999999999999982</v>
      </c>
      <c r="BT119" s="55">
        <f t="shared" si="703"/>
        <v>0.6499999999999998</v>
      </c>
      <c r="BU119" s="55">
        <f t="shared" si="703"/>
        <v>0.62999999999999978</v>
      </c>
      <c r="BV119" s="55">
        <f t="shared" si="703"/>
        <v>0.60999999999999976</v>
      </c>
      <c r="BW119" s="55">
        <f t="shared" si="703"/>
        <v>0.58999999999999975</v>
      </c>
      <c r="BX119" s="55">
        <f t="shared" si="703"/>
        <v>0.56999999999999973</v>
      </c>
      <c r="BZ119" s="55">
        <f t="shared" si="508"/>
        <v>6186.1800000000012</v>
      </c>
      <c r="CA119" s="55">
        <f t="shared" si="509"/>
        <v>6186.1800000000012</v>
      </c>
      <c r="CB119" s="59">
        <f t="shared" si="704"/>
        <v>20450.273844000003</v>
      </c>
      <c r="CC119" s="55">
        <f t="shared" si="705"/>
        <v>6000.5946000000013</v>
      </c>
      <c r="CD119" s="59">
        <f t="shared" si="706"/>
        <v>19836.765628680005</v>
      </c>
      <c r="CE119" s="55">
        <f t="shared" si="707"/>
        <v>5876.871000000001</v>
      </c>
      <c r="CF119" s="59">
        <f t="shared" si="708"/>
        <v>19427.760151800005</v>
      </c>
      <c r="CG119" s="55">
        <f t="shared" si="709"/>
        <v>5753.1474000000017</v>
      </c>
      <c r="CH119" s="59">
        <f t="shared" si="710"/>
        <v>19018.754674920005</v>
      </c>
      <c r="CI119" s="57">
        <f t="shared" si="711"/>
        <v>5629.4238000000014</v>
      </c>
      <c r="CJ119" s="59">
        <f t="shared" si="712"/>
        <v>18609.749198040005</v>
      </c>
      <c r="CK119" s="55">
        <f t="shared" si="713"/>
        <v>5505.7002000000011</v>
      </c>
      <c r="CL119" s="59">
        <f t="shared" si="714"/>
        <v>18200.743721160004</v>
      </c>
      <c r="CM119" s="57">
        <f t="shared" si="715"/>
        <v>5381.9766000000009</v>
      </c>
      <c r="CN119" s="59">
        <f t="shared" si="716"/>
        <v>17791.738244280004</v>
      </c>
      <c r="CO119" s="60">
        <f t="shared" si="717"/>
        <v>5258.2530000000006</v>
      </c>
      <c r="CP119" s="59">
        <f t="shared" si="718"/>
        <v>17382.732767400001</v>
      </c>
      <c r="CQ119" s="57">
        <f t="shared" si="719"/>
        <v>5134.5294000000004</v>
      </c>
      <c r="CR119" s="59">
        <f t="shared" si="720"/>
        <v>16973.727290520001</v>
      </c>
      <c r="CS119" s="55">
        <f t="shared" si="721"/>
        <v>5010.805800000001</v>
      </c>
      <c r="CT119" s="59">
        <f t="shared" si="722"/>
        <v>16564.721813640004</v>
      </c>
      <c r="CU119" s="60">
        <f t="shared" si="723"/>
        <v>4887.0822000000007</v>
      </c>
      <c r="CV119" s="59">
        <f t="shared" si="724"/>
        <v>16155.716336760002</v>
      </c>
      <c r="CW119" s="60">
        <f t="shared" si="725"/>
        <v>4763.3586000000005</v>
      </c>
      <c r="CX119" s="59">
        <f t="shared" si="726"/>
        <v>15746.710859880002</v>
      </c>
      <c r="CY119" s="60">
        <f t="shared" si="727"/>
        <v>4639.6350000000002</v>
      </c>
      <c r="CZ119" s="59">
        <f t="shared" si="728"/>
        <v>15337.705383</v>
      </c>
      <c r="DA119" s="55">
        <f t="shared" si="729"/>
        <v>4515.9114</v>
      </c>
      <c r="DB119" s="59">
        <f t="shared" si="730"/>
        <v>14928.69990612</v>
      </c>
      <c r="DC119" s="60">
        <f t="shared" si="731"/>
        <v>4392.1877999999997</v>
      </c>
      <c r="DD119" s="59">
        <f t="shared" si="732"/>
        <v>14519.694429239998</v>
      </c>
      <c r="DE119" s="60">
        <f t="shared" si="733"/>
        <v>4268.4641999999994</v>
      </c>
      <c r="DF119" s="59">
        <f t="shared" si="734"/>
        <v>14110.688952359998</v>
      </c>
      <c r="DG119" s="60">
        <f t="shared" si="735"/>
        <v>4144.7406000000001</v>
      </c>
      <c r="DH119" s="59">
        <f t="shared" si="736"/>
        <v>13701.68347548</v>
      </c>
      <c r="DI119" s="60">
        <f t="shared" si="737"/>
        <v>4021.0169999999994</v>
      </c>
      <c r="DJ119" s="59">
        <f t="shared" si="738"/>
        <v>13292.677998599998</v>
      </c>
      <c r="DK119" s="55">
        <f t="shared" si="739"/>
        <v>3897.2933999999996</v>
      </c>
      <c r="DL119" s="59">
        <f t="shared" si="740"/>
        <v>12883.672521719998</v>
      </c>
      <c r="DM119" s="60">
        <f t="shared" si="741"/>
        <v>3773.5697999999993</v>
      </c>
      <c r="DN119" s="59">
        <f t="shared" si="742"/>
        <v>12474.667044839998</v>
      </c>
      <c r="DO119" s="60">
        <f t="shared" si="743"/>
        <v>3649.846199999999</v>
      </c>
      <c r="DP119" s="59">
        <f t="shared" si="744"/>
        <v>12065.661567959996</v>
      </c>
      <c r="DQ119" s="55">
        <f t="shared" si="745"/>
        <v>3526.1225999999988</v>
      </c>
      <c r="DR119" s="59">
        <f t="shared" si="746"/>
        <v>11656.656091079996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4"/>
        <v>0.91</v>
      </c>
      <c r="DZ119" s="55">
        <f t="shared" si="654"/>
        <v>0.89</v>
      </c>
      <c r="EA119" s="55">
        <f t="shared" si="654"/>
        <v>0.87</v>
      </c>
      <c r="EB119" s="55">
        <f t="shared" si="654"/>
        <v>0.85</v>
      </c>
      <c r="EC119" s="55">
        <f t="shared" si="654"/>
        <v>0.83</v>
      </c>
      <c r="ED119" s="55">
        <f t="shared" si="654"/>
        <v>0.80999999999999994</v>
      </c>
      <c r="EE119" s="55">
        <f t="shared" si="654"/>
        <v>0.78999999999999992</v>
      </c>
      <c r="EF119" s="55">
        <f t="shared" si="654"/>
        <v>0.76999999999999991</v>
      </c>
      <c r="EG119" s="55">
        <f t="shared" si="654"/>
        <v>0.74999999999999989</v>
      </c>
      <c r="EH119" s="55">
        <f t="shared" si="654"/>
        <v>0.72999999999999987</v>
      </c>
      <c r="EI119" s="55">
        <f t="shared" si="654"/>
        <v>0.70999999999999985</v>
      </c>
      <c r="EJ119" s="55">
        <f t="shared" si="654"/>
        <v>0.68999999999999984</v>
      </c>
      <c r="EK119" s="55">
        <f t="shared" si="654"/>
        <v>0.66999999999999982</v>
      </c>
      <c r="EL119" s="55">
        <f t="shared" si="654"/>
        <v>0.6499999999999998</v>
      </c>
      <c r="EM119" s="55">
        <f t="shared" si="654"/>
        <v>0.62999999999999978</v>
      </c>
      <c r="EN119" s="55">
        <f t="shared" si="654"/>
        <v>0.60999999999999976</v>
      </c>
      <c r="EO119" s="55">
        <f t="shared" si="654"/>
        <v>0.58999999999999975</v>
      </c>
      <c r="EP119" s="55">
        <f t="shared" si="654"/>
        <v>0.56999999999999973</v>
      </c>
      <c r="ER119" s="55">
        <f t="shared" si="648"/>
        <v>5629.4238000000014</v>
      </c>
      <c r="ES119" s="55">
        <f t="shared" si="510"/>
        <v>5629.4238000000014</v>
      </c>
      <c r="ET119" s="59">
        <f t="shared" si="747"/>
        <v>18609.749198040005</v>
      </c>
      <c r="EU119" s="55">
        <f t="shared" si="748"/>
        <v>5460.5410860000011</v>
      </c>
      <c r="EV119" s="59">
        <f t="shared" si="749"/>
        <v>18051.456722098803</v>
      </c>
      <c r="EW119" s="55">
        <f t="shared" si="750"/>
        <v>5347.9526100000012</v>
      </c>
      <c r="EX119" s="59">
        <f t="shared" si="751"/>
        <v>17679.261738138004</v>
      </c>
      <c r="EY119" s="55">
        <f t="shared" si="752"/>
        <v>5235.3641340000013</v>
      </c>
      <c r="EZ119" s="59">
        <f t="shared" si="753"/>
        <v>17307.066754177205</v>
      </c>
      <c r="FA119" s="57">
        <f t="shared" si="754"/>
        <v>5122.7756580000014</v>
      </c>
      <c r="FB119" s="59">
        <f t="shared" si="755"/>
        <v>16934.871770216407</v>
      </c>
      <c r="FC119" s="55">
        <f t="shared" si="756"/>
        <v>5010.1871820000015</v>
      </c>
      <c r="FD119" s="59">
        <f t="shared" si="757"/>
        <v>16562.676786255604</v>
      </c>
      <c r="FE119" s="57">
        <f t="shared" si="758"/>
        <v>4897.5987060000016</v>
      </c>
      <c r="FF119" s="59">
        <f t="shared" si="759"/>
        <v>16190.481802294806</v>
      </c>
      <c r="FG119" s="60">
        <f t="shared" si="760"/>
        <v>4785.0102300000008</v>
      </c>
      <c r="FH119" s="59">
        <f t="shared" si="761"/>
        <v>15818.286818334003</v>
      </c>
      <c r="FI119" s="57">
        <f t="shared" si="762"/>
        <v>4672.4217540000009</v>
      </c>
      <c r="FJ119" s="59">
        <f t="shared" si="763"/>
        <v>15446.091834373203</v>
      </c>
      <c r="FK119" s="55">
        <f t="shared" si="764"/>
        <v>4559.833278000001</v>
      </c>
      <c r="FL119" s="59">
        <f t="shared" si="765"/>
        <v>15073.896850412404</v>
      </c>
      <c r="FM119" s="60">
        <f t="shared" si="766"/>
        <v>4447.2448020000011</v>
      </c>
      <c r="FN119" s="59">
        <f t="shared" si="767"/>
        <v>14701.701866451604</v>
      </c>
      <c r="FO119" s="60">
        <f t="shared" si="768"/>
        <v>4334.6563260000003</v>
      </c>
      <c r="FP119" s="59">
        <f t="shared" si="769"/>
        <v>14329.506882490801</v>
      </c>
      <c r="FQ119" s="60">
        <f t="shared" si="770"/>
        <v>4222.0678500000004</v>
      </c>
      <c r="FR119" s="59">
        <f t="shared" si="771"/>
        <v>13957.311898530001</v>
      </c>
      <c r="FS119" s="55">
        <f t="shared" si="772"/>
        <v>4109.4793740000005</v>
      </c>
      <c r="FT119" s="59">
        <f t="shared" si="773"/>
        <v>13585.116914569202</v>
      </c>
      <c r="FU119" s="60">
        <f t="shared" si="774"/>
        <v>3996.8908980000001</v>
      </c>
      <c r="FV119" s="59">
        <f t="shared" si="775"/>
        <v>13212.921930608401</v>
      </c>
      <c r="FW119" s="60">
        <f t="shared" si="776"/>
        <v>3884.3024220000002</v>
      </c>
      <c r="FX119" s="59">
        <f t="shared" si="777"/>
        <v>12840.726946647601</v>
      </c>
      <c r="FY119" s="60">
        <f t="shared" si="778"/>
        <v>3771.7139459999999</v>
      </c>
      <c r="FZ119" s="59">
        <f t="shared" si="779"/>
        <v>12468.5319626868</v>
      </c>
      <c r="GA119" s="60">
        <f t="shared" si="780"/>
        <v>3659.12547</v>
      </c>
      <c r="GB119" s="59">
        <f t="shared" si="781"/>
        <v>12096.336978726</v>
      </c>
      <c r="GC119" s="55">
        <f t="shared" si="782"/>
        <v>3546.5369939999996</v>
      </c>
      <c r="GD119" s="59">
        <f t="shared" si="783"/>
        <v>11724.141994765199</v>
      </c>
      <c r="GE119" s="60">
        <f t="shared" si="784"/>
        <v>3433.9485179999997</v>
      </c>
      <c r="GF119" s="59">
        <f t="shared" si="785"/>
        <v>11351.947010804399</v>
      </c>
      <c r="GG119" s="60">
        <f t="shared" si="786"/>
        <v>3321.3600419999993</v>
      </c>
      <c r="GH119" s="59">
        <f t="shared" si="787"/>
        <v>10979.752026843598</v>
      </c>
      <c r="GI119" s="55">
        <f t="shared" si="788"/>
        <v>3208.7715659999994</v>
      </c>
      <c r="GJ119" s="59">
        <f t="shared" si="789"/>
        <v>10607.557042882798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5"/>
        <v>0.91</v>
      </c>
      <c r="GR119" s="55">
        <f t="shared" si="655"/>
        <v>0.89</v>
      </c>
      <c r="GS119" s="55">
        <f t="shared" si="655"/>
        <v>0.87</v>
      </c>
      <c r="GT119" s="55">
        <f t="shared" si="655"/>
        <v>0.85</v>
      </c>
      <c r="GU119" s="55">
        <f t="shared" si="655"/>
        <v>0.83</v>
      </c>
      <c r="GV119" s="55">
        <f t="shared" si="655"/>
        <v>0.80999999999999994</v>
      </c>
      <c r="GW119" s="55">
        <f t="shared" si="655"/>
        <v>0.78999999999999992</v>
      </c>
      <c r="GX119" s="55">
        <f t="shared" si="655"/>
        <v>0.76999999999999991</v>
      </c>
      <c r="GY119" s="55">
        <f t="shared" si="655"/>
        <v>0.74999999999999989</v>
      </c>
      <c r="GZ119" s="55">
        <f t="shared" si="655"/>
        <v>0.72999999999999987</v>
      </c>
      <c r="HA119" s="55">
        <f t="shared" si="655"/>
        <v>0.70999999999999985</v>
      </c>
      <c r="HB119" s="55">
        <f t="shared" si="655"/>
        <v>0.68999999999999984</v>
      </c>
      <c r="HC119" s="55">
        <f t="shared" si="655"/>
        <v>0.66999999999999982</v>
      </c>
      <c r="HD119" s="55">
        <f t="shared" si="655"/>
        <v>0.6499999999999998</v>
      </c>
      <c r="HE119" s="55">
        <f t="shared" si="655"/>
        <v>0.62999999999999978</v>
      </c>
      <c r="HF119" s="55">
        <f t="shared" si="655"/>
        <v>0.60999999999999976</v>
      </c>
      <c r="HG119" s="55">
        <f t="shared" si="655"/>
        <v>0.58999999999999975</v>
      </c>
      <c r="HH119" s="55">
        <f t="shared" si="655"/>
        <v>0.56999999999999973</v>
      </c>
    </row>
    <row r="120" spans="1:216" x14ac:dyDescent="0.3">
      <c r="A120" s="2">
        <v>5</v>
      </c>
      <c r="C120" s="38" t="s">
        <v>53</v>
      </c>
      <c r="D120" s="42">
        <f>TRUNC(1164.65699208443,-1)</f>
        <v>1160</v>
      </c>
      <c r="E120" s="71">
        <f t="shared" si="660"/>
        <v>3830</v>
      </c>
      <c r="F120" s="2" t="s">
        <v>307</v>
      </c>
      <c r="H120" s="55">
        <f t="shared" si="505"/>
        <v>4213</v>
      </c>
      <c r="I120" s="55">
        <f t="shared" si="506"/>
        <v>4213</v>
      </c>
      <c r="J120" s="59">
        <f t="shared" si="507"/>
        <v>13927.3354</v>
      </c>
      <c r="K120" s="55">
        <f t="shared" si="661"/>
        <v>4086.6099999999997</v>
      </c>
      <c r="L120" s="59">
        <f t="shared" si="662"/>
        <v>13509.515337999999</v>
      </c>
      <c r="M120" s="55">
        <f t="shared" si="663"/>
        <v>4002.35</v>
      </c>
      <c r="N120" s="59">
        <f t="shared" si="664"/>
        <v>13230.968629999999</v>
      </c>
      <c r="O120" s="55">
        <f t="shared" si="665"/>
        <v>3918.09</v>
      </c>
      <c r="P120" s="59">
        <f t="shared" si="666"/>
        <v>12952.421922000001</v>
      </c>
      <c r="Q120" s="57">
        <f t="shared" si="667"/>
        <v>3833.83</v>
      </c>
      <c r="R120" s="59">
        <f t="shared" si="668"/>
        <v>12673.875214</v>
      </c>
      <c r="S120" s="55">
        <f t="shared" si="669"/>
        <v>3749.57</v>
      </c>
      <c r="T120" s="59">
        <f t="shared" si="670"/>
        <v>12395.328506000002</v>
      </c>
      <c r="U120" s="57">
        <f t="shared" si="671"/>
        <v>3665.31</v>
      </c>
      <c r="V120" s="59">
        <f t="shared" si="672"/>
        <v>12116.781798</v>
      </c>
      <c r="W120" s="60">
        <f t="shared" si="673"/>
        <v>3581.0499999999997</v>
      </c>
      <c r="X120" s="59">
        <f t="shared" si="674"/>
        <v>11838.23509</v>
      </c>
      <c r="Y120" s="57">
        <f t="shared" si="675"/>
        <v>3496.79</v>
      </c>
      <c r="Z120" s="59">
        <f t="shared" si="676"/>
        <v>11559.688382</v>
      </c>
      <c r="AA120" s="55">
        <f t="shared" si="677"/>
        <v>3412.5299999999997</v>
      </c>
      <c r="AB120" s="59">
        <f t="shared" si="678"/>
        <v>11281.141673999999</v>
      </c>
      <c r="AC120" s="60">
        <f t="shared" si="679"/>
        <v>3328.2699999999995</v>
      </c>
      <c r="AD120" s="59">
        <f t="shared" si="680"/>
        <v>11002.594965999999</v>
      </c>
      <c r="AE120" s="60">
        <f t="shared" si="681"/>
        <v>3244.0099999999998</v>
      </c>
      <c r="AF120" s="59">
        <f t="shared" si="682"/>
        <v>10724.048257999999</v>
      </c>
      <c r="AG120" s="60">
        <f t="shared" si="683"/>
        <v>3159.7499999999995</v>
      </c>
      <c r="AH120" s="59">
        <f t="shared" si="684"/>
        <v>10445.501549999999</v>
      </c>
      <c r="AI120" s="55">
        <f t="shared" si="685"/>
        <v>3075.4899999999993</v>
      </c>
      <c r="AJ120" s="59">
        <f t="shared" si="686"/>
        <v>10166.954841999997</v>
      </c>
      <c r="AK120" s="60">
        <f t="shared" si="687"/>
        <v>2991.2299999999996</v>
      </c>
      <c r="AL120" s="59">
        <f t="shared" si="688"/>
        <v>9888.4081339999993</v>
      </c>
      <c r="AM120" s="60">
        <f t="shared" si="689"/>
        <v>2906.9699999999993</v>
      </c>
      <c r="AN120" s="59">
        <f t="shared" si="690"/>
        <v>9609.8614259999977</v>
      </c>
      <c r="AO120" s="60">
        <f t="shared" si="691"/>
        <v>2822.7099999999991</v>
      </c>
      <c r="AP120" s="59">
        <f t="shared" si="692"/>
        <v>9331.3147179999978</v>
      </c>
      <c r="AQ120" s="60">
        <f t="shared" si="693"/>
        <v>2738.4499999999994</v>
      </c>
      <c r="AR120" s="59">
        <f t="shared" si="694"/>
        <v>9052.768009999998</v>
      </c>
      <c r="AS120" s="55">
        <f t="shared" si="695"/>
        <v>2654.1899999999991</v>
      </c>
      <c r="AT120" s="59">
        <f t="shared" si="696"/>
        <v>8774.2213019999981</v>
      </c>
      <c r="AU120" s="60">
        <f t="shared" si="697"/>
        <v>2569.9299999999989</v>
      </c>
      <c r="AV120" s="59">
        <f t="shared" si="698"/>
        <v>8495.6745939999964</v>
      </c>
      <c r="AW120" s="60">
        <f t="shared" si="699"/>
        <v>2485.6699999999987</v>
      </c>
      <c r="AX120" s="59">
        <f t="shared" si="700"/>
        <v>8217.1278859999966</v>
      </c>
      <c r="AY120" s="55">
        <f t="shared" si="701"/>
        <v>2401.4099999999989</v>
      </c>
      <c r="AZ120" s="59">
        <f t="shared" si="702"/>
        <v>7938.5811779999967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03"/>
        <v>0.91</v>
      </c>
      <c r="BH120" s="55">
        <f t="shared" si="703"/>
        <v>0.89</v>
      </c>
      <c r="BI120" s="55">
        <f t="shared" si="703"/>
        <v>0.87</v>
      </c>
      <c r="BJ120" s="55">
        <f t="shared" si="703"/>
        <v>0.85</v>
      </c>
      <c r="BK120" s="55">
        <f t="shared" si="703"/>
        <v>0.83</v>
      </c>
      <c r="BL120" s="55">
        <f t="shared" si="703"/>
        <v>0.80999999999999994</v>
      </c>
      <c r="BM120" s="55">
        <f t="shared" si="703"/>
        <v>0.78999999999999992</v>
      </c>
      <c r="BN120" s="55">
        <f t="shared" si="703"/>
        <v>0.76999999999999991</v>
      </c>
      <c r="BO120" s="55">
        <f t="shared" si="703"/>
        <v>0.74999999999999989</v>
      </c>
      <c r="BP120" s="55">
        <f t="shared" si="703"/>
        <v>0.72999999999999987</v>
      </c>
      <c r="BQ120" s="55">
        <f t="shared" si="703"/>
        <v>0.70999999999999985</v>
      </c>
      <c r="BR120" s="55">
        <f t="shared" si="703"/>
        <v>0.68999999999999984</v>
      </c>
      <c r="BS120" s="55">
        <f t="shared" si="703"/>
        <v>0.66999999999999982</v>
      </c>
      <c r="BT120" s="55">
        <f t="shared" si="703"/>
        <v>0.6499999999999998</v>
      </c>
      <c r="BU120" s="55">
        <f t="shared" si="703"/>
        <v>0.62999999999999978</v>
      </c>
      <c r="BV120" s="55">
        <f t="shared" si="703"/>
        <v>0.60999999999999976</v>
      </c>
      <c r="BW120" s="55">
        <f t="shared" si="703"/>
        <v>0.58999999999999975</v>
      </c>
      <c r="BX120" s="55">
        <f t="shared" si="703"/>
        <v>0.56999999999999973</v>
      </c>
      <c r="BZ120" s="55">
        <f t="shared" si="508"/>
        <v>3833.83</v>
      </c>
      <c r="CA120" s="55">
        <f t="shared" si="509"/>
        <v>3833.83</v>
      </c>
      <c r="CB120" s="59">
        <f t="shared" si="704"/>
        <v>12673.875214</v>
      </c>
      <c r="CC120" s="55">
        <f t="shared" si="705"/>
        <v>3718.8150999999998</v>
      </c>
      <c r="CD120" s="59">
        <f t="shared" si="706"/>
        <v>12293.658957579999</v>
      </c>
      <c r="CE120" s="55">
        <f t="shared" si="707"/>
        <v>3642.1384999999996</v>
      </c>
      <c r="CF120" s="59">
        <f t="shared" si="708"/>
        <v>12040.1814533</v>
      </c>
      <c r="CG120" s="55">
        <f t="shared" si="709"/>
        <v>3565.4619000000002</v>
      </c>
      <c r="CH120" s="59">
        <f t="shared" si="710"/>
        <v>11786.70394902</v>
      </c>
      <c r="CI120" s="57">
        <f t="shared" si="711"/>
        <v>3488.7853</v>
      </c>
      <c r="CJ120" s="59">
        <f t="shared" si="712"/>
        <v>11533.226444740001</v>
      </c>
      <c r="CK120" s="55">
        <f t="shared" si="713"/>
        <v>3412.1086999999998</v>
      </c>
      <c r="CL120" s="59">
        <f t="shared" si="714"/>
        <v>11279.74894046</v>
      </c>
      <c r="CM120" s="57">
        <f t="shared" si="715"/>
        <v>3335.4321</v>
      </c>
      <c r="CN120" s="59">
        <f t="shared" si="716"/>
        <v>11026.271436180001</v>
      </c>
      <c r="CO120" s="60">
        <f t="shared" si="717"/>
        <v>3258.7554999999998</v>
      </c>
      <c r="CP120" s="59">
        <f t="shared" si="718"/>
        <v>10772.7939319</v>
      </c>
      <c r="CQ120" s="57">
        <f t="shared" si="719"/>
        <v>3182.0789</v>
      </c>
      <c r="CR120" s="59">
        <f t="shared" si="720"/>
        <v>10519.31642762</v>
      </c>
      <c r="CS120" s="55">
        <f t="shared" si="721"/>
        <v>3105.4022999999997</v>
      </c>
      <c r="CT120" s="59">
        <f t="shared" si="722"/>
        <v>10265.838923339999</v>
      </c>
      <c r="CU120" s="60">
        <f t="shared" si="723"/>
        <v>3028.7256999999995</v>
      </c>
      <c r="CV120" s="59">
        <f t="shared" si="724"/>
        <v>10012.361419059998</v>
      </c>
      <c r="CW120" s="60">
        <f t="shared" si="725"/>
        <v>2952.0490999999997</v>
      </c>
      <c r="CX120" s="59">
        <f t="shared" si="726"/>
        <v>9758.883914779999</v>
      </c>
      <c r="CY120" s="60">
        <f t="shared" si="727"/>
        <v>2875.3724999999995</v>
      </c>
      <c r="CZ120" s="59">
        <f t="shared" si="728"/>
        <v>9505.4064104999979</v>
      </c>
      <c r="DA120" s="55">
        <f t="shared" si="729"/>
        <v>2798.6958999999993</v>
      </c>
      <c r="DB120" s="59">
        <f t="shared" si="730"/>
        <v>9251.9289062199969</v>
      </c>
      <c r="DC120" s="60">
        <f t="shared" si="731"/>
        <v>2722.0192999999995</v>
      </c>
      <c r="DD120" s="59">
        <f t="shared" si="732"/>
        <v>8998.4514019399976</v>
      </c>
      <c r="DE120" s="60">
        <f t="shared" si="733"/>
        <v>2645.3426999999992</v>
      </c>
      <c r="DF120" s="59">
        <f t="shared" si="734"/>
        <v>8744.9738976599983</v>
      </c>
      <c r="DG120" s="60">
        <f t="shared" si="735"/>
        <v>2568.6660999999995</v>
      </c>
      <c r="DH120" s="59">
        <f t="shared" si="736"/>
        <v>8491.4963933799991</v>
      </c>
      <c r="DI120" s="60">
        <f t="shared" si="737"/>
        <v>2491.9894999999992</v>
      </c>
      <c r="DJ120" s="59">
        <f t="shared" si="738"/>
        <v>8238.018889099998</v>
      </c>
      <c r="DK120" s="55">
        <f t="shared" si="739"/>
        <v>2415.312899999999</v>
      </c>
      <c r="DL120" s="59">
        <f t="shared" si="740"/>
        <v>7984.5413848199969</v>
      </c>
      <c r="DM120" s="60">
        <f t="shared" si="741"/>
        <v>2338.6362999999992</v>
      </c>
      <c r="DN120" s="59">
        <f t="shared" si="742"/>
        <v>7731.0638805399976</v>
      </c>
      <c r="DO120" s="60">
        <f t="shared" si="743"/>
        <v>2261.959699999999</v>
      </c>
      <c r="DP120" s="59">
        <f t="shared" si="744"/>
        <v>7477.5863762599965</v>
      </c>
      <c r="DQ120" s="55">
        <f t="shared" si="745"/>
        <v>2185.2830999999987</v>
      </c>
      <c r="DR120" s="59">
        <f t="shared" si="746"/>
        <v>7224.1088719799964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54"/>
        <v>0.91</v>
      </c>
      <c r="DZ120" s="55">
        <f t="shared" si="654"/>
        <v>0.89</v>
      </c>
      <c r="EA120" s="55">
        <f t="shared" si="654"/>
        <v>0.87</v>
      </c>
      <c r="EB120" s="55">
        <f t="shared" si="654"/>
        <v>0.85</v>
      </c>
      <c r="EC120" s="55">
        <f t="shared" si="654"/>
        <v>0.83</v>
      </c>
      <c r="ED120" s="55">
        <f t="shared" si="654"/>
        <v>0.80999999999999994</v>
      </c>
      <c r="EE120" s="55">
        <f t="shared" si="654"/>
        <v>0.78999999999999992</v>
      </c>
      <c r="EF120" s="55">
        <f t="shared" si="654"/>
        <v>0.76999999999999991</v>
      </c>
      <c r="EG120" s="55">
        <f t="shared" si="654"/>
        <v>0.74999999999999989</v>
      </c>
      <c r="EH120" s="55">
        <f t="shared" si="654"/>
        <v>0.72999999999999987</v>
      </c>
      <c r="EI120" s="55">
        <f t="shared" si="654"/>
        <v>0.70999999999999985</v>
      </c>
      <c r="EJ120" s="55">
        <f t="shared" si="654"/>
        <v>0.68999999999999984</v>
      </c>
      <c r="EK120" s="55">
        <f t="shared" si="654"/>
        <v>0.66999999999999982</v>
      </c>
      <c r="EL120" s="55">
        <f t="shared" si="654"/>
        <v>0.6499999999999998</v>
      </c>
      <c r="EM120" s="55">
        <f t="shared" si="654"/>
        <v>0.62999999999999978</v>
      </c>
      <c r="EN120" s="55">
        <f t="shared" si="654"/>
        <v>0.60999999999999976</v>
      </c>
      <c r="EO120" s="55">
        <f t="shared" si="654"/>
        <v>0.58999999999999975</v>
      </c>
      <c r="EP120" s="55">
        <f t="shared" si="654"/>
        <v>0.56999999999999973</v>
      </c>
      <c r="ER120" s="55">
        <f t="shared" si="648"/>
        <v>3488.7853</v>
      </c>
      <c r="ES120" s="55">
        <f t="shared" si="510"/>
        <v>3488.7853</v>
      </c>
      <c r="ET120" s="59">
        <f t="shared" si="747"/>
        <v>11533.226444740001</v>
      </c>
      <c r="EU120" s="55">
        <f t="shared" si="748"/>
        <v>3384.1217409999999</v>
      </c>
      <c r="EV120" s="59">
        <f t="shared" si="749"/>
        <v>11187.2296513978</v>
      </c>
      <c r="EW120" s="55">
        <f t="shared" si="750"/>
        <v>3314.346035</v>
      </c>
      <c r="EX120" s="59">
        <f t="shared" si="751"/>
        <v>10956.565122503</v>
      </c>
      <c r="EY120" s="55">
        <f t="shared" si="752"/>
        <v>3244.5703290000001</v>
      </c>
      <c r="EZ120" s="59">
        <f t="shared" si="753"/>
        <v>10725.900593608201</v>
      </c>
      <c r="FA120" s="57">
        <f t="shared" si="754"/>
        <v>3174.7946230000002</v>
      </c>
      <c r="FB120" s="59">
        <f t="shared" si="755"/>
        <v>10495.236064713401</v>
      </c>
      <c r="FC120" s="55">
        <f t="shared" si="756"/>
        <v>3105.0189169999999</v>
      </c>
      <c r="FD120" s="59">
        <f t="shared" si="757"/>
        <v>10264.571535818599</v>
      </c>
      <c r="FE120" s="57">
        <f t="shared" si="758"/>
        <v>3035.243211</v>
      </c>
      <c r="FF120" s="59">
        <f t="shared" si="759"/>
        <v>10033.907006923801</v>
      </c>
      <c r="FG120" s="60">
        <f t="shared" si="760"/>
        <v>2965.4675050000001</v>
      </c>
      <c r="FH120" s="59">
        <f t="shared" si="761"/>
        <v>9803.2424780290003</v>
      </c>
      <c r="FI120" s="57">
        <f t="shared" si="762"/>
        <v>2895.6917989999997</v>
      </c>
      <c r="FJ120" s="59">
        <f t="shared" si="763"/>
        <v>9572.5779491342</v>
      </c>
      <c r="FK120" s="55">
        <f t="shared" si="764"/>
        <v>2825.9160929999998</v>
      </c>
      <c r="FL120" s="59">
        <f t="shared" si="765"/>
        <v>9341.9134202393998</v>
      </c>
      <c r="FM120" s="60">
        <f t="shared" si="766"/>
        <v>2756.1403869999999</v>
      </c>
      <c r="FN120" s="59">
        <f t="shared" si="767"/>
        <v>9111.2488913445995</v>
      </c>
      <c r="FO120" s="60">
        <f t="shared" si="768"/>
        <v>2686.3646809999996</v>
      </c>
      <c r="FP120" s="59">
        <f t="shared" si="769"/>
        <v>8880.5843624497993</v>
      </c>
      <c r="FQ120" s="60">
        <f t="shared" si="770"/>
        <v>2616.5889749999997</v>
      </c>
      <c r="FR120" s="59">
        <f t="shared" si="771"/>
        <v>8649.9198335549991</v>
      </c>
      <c r="FS120" s="55">
        <f t="shared" si="772"/>
        <v>2546.8132689999998</v>
      </c>
      <c r="FT120" s="59">
        <f t="shared" si="773"/>
        <v>8419.2553046601988</v>
      </c>
      <c r="FU120" s="60">
        <f t="shared" si="774"/>
        <v>2477.0375629999994</v>
      </c>
      <c r="FV120" s="59">
        <f t="shared" si="775"/>
        <v>8188.5907757653986</v>
      </c>
      <c r="FW120" s="60">
        <f t="shared" si="776"/>
        <v>2407.2618569999995</v>
      </c>
      <c r="FX120" s="59">
        <f t="shared" si="777"/>
        <v>7957.9262468705983</v>
      </c>
      <c r="FY120" s="60">
        <f t="shared" si="778"/>
        <v>2337.4861509999992</v>
      </c>
      <c r="FZ120" s="59">
        <f t="shared" si="779"/>
        <v>7727.2617179757972</v>
      </c>
      <c r="GA120" s="60">
        <f t="shared" si="780"/>
        <v>2267.7104449999993</v>
      </c>
      <c r="GB120" s="59">
        <f t="shared" si="781"/>
        <v>7496.5971890809979</v>
      </c>
      <c r="GC120" s="55">
        <f t="shared" si="782"/>
        <v>2197.9347389999994</v>
      </c>
      <c r="GD120" s="59">
        <f t="shared" si="783"/>
        <v>7265.9326601861976</v>
      </c>
      <c r="GE120" s="60">
        <f t="shared" si="784"/>
        <v>2128.159032999999</v>
      </c>
      <c r="GF120" s="59">
        <f t="shared" si="785"/>
        <v>7035.2681312913965</v>
      </c>
      <c r="GG120" s="60">
        <f t="shared" si="786"/>
        <v>2058.3833269999991</v>
      </c>
      <c r="GH120" s="59">
        <f t="shared" si="787"/>
        <v>6804.6036023965971</v>
      </c>
      <c r="GI120" s="55">
        <f t="shared" si="788"/>
        <v>1988.607620999999</v>
      </c>
      <c r="GJ120" s="59">
        <f t="shared" si="789"/>
        <v>6573.9390735017969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55"/>
        <v>0.91</v>
      </c>
      <c r="GR120" s="55">
        <f t="shared" si="655"/>
        <v>0.89</v>
      </c>
      <c r="GS120" s="55">
        <f t="shared" si="655"/>
        <v>0.87</v>
      </c>
      <c r="GT120" s="55">
        <f t="shared" si="655"/>
        <v>0.85</v>
      </c>
      <c r="GU120" s="55">
        <f t="shared" si="655"/>
        <v>0.83</v>
      </c>
      <c r="GV120" s="55">
        <f t="shared" si="655"/>
        <v>0.80999999999999994</v>
      </c>
      <c r="GW120" s="55">
        <f t="shared" si="655"/>
        <v>0.78999999999999992</v>
      </c>
      <c r="GX120" s="55">
        <f t="shared" si="655"/>
        <v>0.76999999999999991</v>
      </c>
      <c r="GY120" s="55">
        <f t="shared" si="655"/>
        <v>0.74999999999999989</v>
      </c>
      <c r="GZ120" s="55">
        <f t="shared" si="655"/>
        <v>0.72999999999999987</v>
      </c>
      <c r="HA120" s="55">
        <f t="shared" si="655"/>
        <v>0.70999999999999985</v>
      </c>
      <c r="HB120" s="55">
        <f t="shared" si="655"/>
        <v>0.68999999999999984</v>
      </c>
      <c r="HC120" s="55">
        <f t="shared" si="655"/>
        <v>0.66999999999999982</v>
      </c>
      <c r="HD120" s="55">
        <f t="shared" si="655"/>
        <v>0.6499999999999998</v>
      </c>
      <c r="HE120" s="55">
        <f t="shared" si="655"/>
        <v>0.62999999999999978</v>
      </c>
      <c r="HF120" s="55">
        <f t="shared" si="655"/>
        <v>0.60999999999999976</v>
      </c>
      <c r="HG120" s="55">
        <f t="shared" si="655"/>
        <v>0.58999999999999975</v>
      </c>
      <c r="HH120" s="55">
        <f t="shared" si="655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0"/>
        <v>0</v>
      </c>
      <c r="H121" s="55">
        <f t="shared" si="505"/>
        <v>0</v>
      </c>
      <c r="I121" s="55">
        <f t="shared" si="506"/>
        <v>0</v>
      </c>
      <c r="J121" s="59">
        <f t="shared" si="507"/>
        <v>0</v>
      </c>
      <c r="K121" s="55">
        <f t="shared" si="661"/>
        <v>0</v>
      </c>
      <c r="L121" s="59">
        <f t="shared" si="662"/>
        <v>0</v>
      </c>
      <c r="M121" s="55">
        <f t="shared" si="663"/>
        <v>0</v>
      </c>
      <c r="N121" s="59">
        <f t="shared" si="664"/>
        <v>0</v>
      </c>
      <c r="O121" s="55">
        <f t="shared" si="665"/>
        <v>0</v>
      </c>
      <c r="P121" s="59">
        <f t="shared" si="666"/>
        <v>0</v>
      </c>
      <c r="Q121" s="57">
        <f t="shared" si="667"/>
        <v>0</v>
      </c>
      <c r="R121" s="59">
        <f t="shared" si="668"/>
        <v>0</v>
      </c>
      <c r="S121" s="55">
        <f t="shared" si="669"/>
        <v>0</v>
      </c>
      <c r="T121" s="59">
        <f t="shared" si="670"/>
        <v>0</v>
      </c>
      <c r="U121" s="57">
        <f t="shared" si="671"/>
        <v>0</v>
      </c>
      <c r="V121" s="59">
        <f t="shared" si="672"/>
        <v>0</v>
      </c>
      <c r="W121" s="60">
        <f t="shared" si="673"/>
        <v>0</v>
      </c>
      <c r="X121" s="59">
        <f t="shared" si="674"/>
        <v>0</v>
      </c>
      <c r="Y121" s="57">
        <f t="shared" si="675"/>
        <v>0</v>
      </c>
      <c r="Z121" s="59">
        <f t="shared" si="676"/>
        <v>0</v>
      </c>
      <c r="AA121" s="55">
        <f t="shared" si="677"/>
        <v>0</v>
      </c>
      <c r="AB121" s="59">
        <f t="shared" si="678"/>
        <v>0</v>
      </c>
      <c r="AC121" s="60">
        <f t="shared" si="679"/>
        <v>0</v>
      </c>
      <c r="AD121" s="59">
        <f t="shared" si="680"/>
        <v>0</v>
      </c>
      <c r="AE121" s="60">
        <f t="shared" si="681"/>
        <v>0</v>
      </c>
      <c r="AF121" s="59">
        <f t="shared" si="682"/>
        <v>0</v>
      </c>
      <c r="AG121" s="60">
        <f t="shared" si="683"/>
        <v>0</v>
      </c>
      <c r="AH121" s="59">
        <f t="shared" si="684"/>
        <v>0</v>
      </c>
      <c r="AI121" s="55">
        <f t="shared" si="685"/>
        <v>0</v>
      </c>
      <c r="AJ121" s="59">
        <f t="shared" si="686"/>
        <v>0</v>
      </c>
      <c r="AK121" s="60">
        <f t="shared" si="687"/>
        <v>0</v>
      </c>
      <c r="AL121" s="59">
        <f t="shared" si="688"/>
        <v>0</v>
      </c>
      <c r="AM121" s="60">
        <f t="shared" si="689"/>
        <v>0</v>
      </c>
      <c r="AN121" s="59">
        <f t="shared" si="690"/>
        <v>0</v>
      </c>
      <c r="AO121" s="60">
        <f t="shared" si="691"/>
        <v>0</v>
      </c>
      <c r="AP121" s="59">
        <f t="shared" si="692"/>
        <v>0</v>
      </c>
      <c r="AQ121" s="60">
        <f t="shared" si="693"/>
        <v>0</v>
      </c>
      <c r="AR121" s="59">
        <f t="shared" si="694"/>
        <v>0</v>
      </c>
      <c r="AS121" s="55">
        <f t="shared" si="695"/>
        <v>0</v>
      </c>
      <c r="AT121" s="59">
        <f t="shared" si="696"/>
        <v>0</v>
      </c>
      <c r="AU121" s="60">
        <f t="shared" si="697"/>
        <v>0</v>
      </c>
      <c r="AV121" s="59">
        <f t="shared" si="698"/>
        <v>0</v>
      </c>
      <c r="AW121" s="60">
        <f t="shared" si="699"/>
        <v>0</v>
      </c>
      <c r="AX121" s="59">
        <f t="shared" si="700"/>
        <v>0</v>
      </c>
      <c r="AY121" s="55">
        <f t="shared" si="701"/>
        <v>0</v>
      </c>
      <c r="AZ121" s="59">
        <f t="shared" si="702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03"/>
        <v>0.91</v>
      </c>
      <c r="BH121" s="55">
        <f t="shared" si="703"/>
        <v>0.89</v>
      </c>
      <c r="BI121" s="55">
        <f t="shared" si="703"/>
        <v>0.87</v>
      </c>
      <c r="BJ121" s="55">
        <f t="shared" si="703"/>
        <v>0.85</v>
      </c>
      <c r="BK121" s="55">
        <f t="shared" si="703"/>
        <v>0.83</v>
      </c>
      <c r="BL121" s="55">
        <f t="shared" si="703"/>
        <v>0.80999999999999994</v>
      </c>
      <c r="BM121" s="55">
        <f t="shared" si="703"/>
        <v>0.78999999999999992</v>
      </c>
      <c r="BN121" s="55">
        <f t="shared" si="703"/>
        <v>0.76999999999999991</v>
      </c>
      <c r="BO121" s="55">
        <f t="shared" si="703"/>
        <v>0.74999999999999989</v>
      </c>
      <c r="BP121" s="55">
        <f t="shared" si="703"/>
        <v>0.72999999999999987</v>
      </c>
      <c r="BQ121" s="55">
        <f t="shared" si="703"/>
        <v>0.70999999999999985</v>
      </c>
      <c r="BR121" s="55">
        <f t="shared" si="703"/>
        <v>0.68999999999999984</v>
      </c>
      <c r="BS121" s="55">
        <f t="shared" si="703"/>
        <v>0.66999999999999982</v>
      </c>
      <c r="BT121" s="55">
        <f t="shared" si="703"/>
        <v>0.6499999999999998</v>
      </c>
      <c r="BU121" s="55">
        <f t="shared" si="703"/>
        <v>0.62999999999999978</v>
      </c>
      <c r="BV121" s="55">
        <f t="shared" si="703"/>
        <v>0.60999999999999976</v>
      </c>
      <c r="BW121" s="55">
        <f t="shared" si="703"/>
        <v>0.58999999999999975</v>
      </c>
      <c r="BX121" s="55">
        <f t="shared" si="703"/>
        <v>0.56999999999999973</v>
      </c>
      <c r="BZ121" s="55">
        <f t="shared" si="508"/>
        <v>0</v>
      </c>
      <c r="CA121" s="55">
        <f t="shared" si="509"/>
        <v>0</v>
      </c>
      <c r="CB121" s="59">
        <f t="shared" si="704"/>
        <v>0</v>
      </c>
      <c r="CC121" s="55">
        <f t="shared" si="705"/>
        <v>0</v>
      </c>
      <c r="CD121" s="59">
        <f t="shared" si="706"/>
        <v>0</v>
      </c>
      <c r="CE121" s="55">
        <f t="shared" si="707"/>
        <v>0</v>
      </c>
      <c r="CF121" s="59">
        <f t="shared" si="708"/>
        <v>0</v>
      </c>
      <c r="CG121" s="55">
        <f t="shared" si="709"/>
        <v>0</v>
      </c>
      <c r="CH121" s="59">
        <f t="shared" si="710"/>
        <v>0</v>
      </c>
      <c r="CI121" s="57">
        <f t="shared" si="711"/>
        <v>0</v>
      </c>
      <c r="CJ121" s="59">
        <f t="shared" si="712"/>
        <v>0</v>
      </c>
      <c r="CK121" s="55">
        <f t="shared" si="713"/>
        <v>0</v>
      </c>
      <c r="CL121" s="59">
        <f t="shared" si="714"/>
        <v>0</v>
      </c>
      <c r="CM121" s="57">
        <f t="shared" si="715"/>
        <v>0</v>
      </c>
      <c r="CN121" s="59">
        <f t="shared" si="716"/>
        <v>0</v>
      </c>
      <c r="CO121" s="60">
        <f t="shared" si="717"/>
        <v>0</v>
      </c>
      <c r="CP121" s="59">
        <f t="shared" si="718"/>
        <v>0</v>
      </c>
      <c r="CQ121" s="57">
        <f t="shared" si="719"/>
        <v>0</v>
      </c>
      <c r="CR121" s="59">
        <f t="shared" si="720"/>
        <v>0</v>
      </c>
      <c r="CS121" s="55">
        <f t="shared" si="721"/>
        <v>0</v>
      </c>
      <c r="CT121" s="59">
        <f t="shared" si="722"/>
        <v>0</v>
      </c>
      <c r="CU121" s="60">
        <f t="shared" si="723"/>
        <v>0</v>
      </c>
      <c r="CV121" s="59">
        <f t="shared" si="724"/>
        <v>0</v>
      </c>
      <c r="CW121" s="60">
        <f t="shared" si="725"/>
        <v>0</v>
      </c>
      <c r="CX121" s="59">
        <f t="shared" si="726"/>
        <v>0</v>
      </c>
      <c r="CY121" s="60">
        <f t="shared" si="727"/>
        <v>0</v>
      </c>
      <c r="CZ121" s="59">
        <f t="shared" si="728"/>
        <v>0</v>
      </c>
      <c r="DA121" s="55">
        <f t="shared" si="729"/>
        <v>0</v>
      </c>
      <c r="DB121" s="59">
        <f t="shared" si="730"/>
        <v>0</v>
      </c>
      <c r="DC121" s="60">
        <f t="shared" si="731"/>
        <v>0</v>
      </c>
      <c r="DD121" s="59">
        <f t="shared" si="732"/>
        <v>0</v>
      </c>
      <c r="DE121" s="60">
        <f t="shared" si="733"/>
        <v>0</v>
      </c>
      <c r="DF121" s="59">
        <f t="shared" si="734"/>
        <v>0</v>
      </c>
      <c r="DG121" s="60">
        <f t="shared" si="735"/>
        <v>0</v>
      </c>
      <c r="DH121" s="59">
        <f t="shared" si="736"/>
        <v>0</v>
      </c>
      <c r="DI121" s="60">
        <f t="shared" si="737"/>
        <v>0</v>
      </c>
      <c r="DJ121" s="59">
        <f t="shared" si="738"/>
        <v>0</v>
      </c>
      <c r="DK121" s="55">
        <f t="shared" si="739"/>
        <v>0</v>
      </c>
      <c r="DL121" s="59">
        <f t="shared" si="740"/>
        <v>0</v>
      </c>
      <c r="DM121" s="60">
        <f t="shared" si="741"/>
        <v>0</v>
      </c>
      <c r="DN121" s="59">
        <f t="shared" si="742"/>
        <v>0</v>
      </c>
      <c r="DO121" s="60">
        <f t="shared" si="743"/>
        <v>0</v>
      </c>
      <c r="DP121" s="59">
        <f t="shared" si="744"/>
        <v>0</v>
      </c>
      <c r="DQ121" s="55">
        <f t="shared" si="745"/>
        <v>0</v>
      </c>
      <c r="DR121" s="59">
        <f t="shared" si="746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54"/>
        <v>0.91</v>
      </c>
      <c r="DZ121" s="55">
        <f t="shared" si="654"/>
        <v>0.89</v>
      </c>
      <c r="EA121" s="55">
        <f t="shared" si="654"/>
        <v>0.87</v>
      </c>
      <c r="EB121" s="55">
        <f t="shared" si="654"/>
        <v>0.85</v>
      </c>
      <c r="EC121" s="55">
        <f t="shared" si="654"/>
        <v>0.83</v>
      </c>
      <c r="ED121" s="55">
        <f t="shared" si="654"/>
        <v>0.80999999999999994</v>
      </c>
      <c r="EE121" s="55">
        <f t="shared" si="654"/>
        <v>0.78999999999999992</v>
      </c>
      <c r="EF121" s="55">
        <f t="shared" si="654"/>
        <v>0.76999999999999991</v>
      </c>
      <c r="EG121" s="55">
        <f t="shared" si="654"/>
        <v>0.74999999999999989</v>
      </c>
      <c r="EH121" s="55">
        <f t="shared" si="654"/>
        <v>0.72999999999999987</v>
      </c>
      <c r="EI121" s="55">
        <f t="shared" si="654"/>
        <v>0.70999999999999985</v>
      </c>
      <c r="EJ121" s="55">
        <f t="shared" si="654"/>
        <v>0.68999999999999984</v>
      </c>
      <c r="EK121" s="55">
        <f t="shared" si="654"/>
        <v>0.66999999999999982</v>
      </c>
      <c r="EL121" s="55">
        <f t="shared" si="654"/>
        <v>0.6499999999999998</v>
      </c>
      <c r="EM121" s="55">
        <f t="shared" si="654"/>
        <v>0.62999999999999978</v>
      </c>
      <c r="EN121" s="55">
        <f t="shared" si="654"/>
        <v>0.60999999999999976</v>
      </c>
      <c r="EO121" s="55">
        <f t="shared" si="654"/>
        <v>0.58999999999999975</v>
      </c>
      <c r="EP121" s="55">
        <f t="shared" si="654"/>
        <v>0.56999999999999973</v>
      </c>
      <c r="ER121" s="55">
        <f t="shared" si="648"/>
        <v>0</v>
      </c>
      <c r="ES121" s="55">
        <f t="shared" si="510"/>
        <v>0</v>
      </c>
      <c r="ET121" s="59">
        <f t="shared" si="747"/>
        <v>0</v>
      </c>
      <c r="EU121" s="55">
        <f t="shared" si="748"/>
        <v>0</v>
      </c>
      <c r="EV121" s="59">
        <f t="shared" si="749"/>
        <v>0</v>
      </c>
      <c r="EW121" s="55">
        <f t="shared" si="750"/>
        <v>0</v>
      </c>
      <c r="EX121" s="59">
        <f t="shared" si="751"/>
        <v>0</v>
      </c>
      <c r="EY121" s="55">
        <f t="shared" si="752"/>
        <v>0</v>
      </c>
      <c r="EZ121" s="59">
        <f t="shared" si="753"/>
        <v>0</v>
      </c>
      <c r="FA121" s="57">
        <f t="shared" si="754"/>
        <v>0</v>
      </c>
      <c r="FB121" s="59">
        <f t="shared" si="755"/>
        <v>0</v>
      </c>
      <c r="FC121" s="55">
        <f t="shared" si="756"/>
        <v>0</v>
      </c>
      <c r="FD121" s="59">
        <f t="shared" si="757"/>
        <v>0</v>
      </c>
      <c r="FE121" s="57">
        <f t="shared" si="758"/>
        <v>0</v>
      </c>
      <c r="FF121" s="59">
        <f t="shared" si="759"/>
        <v>0</v>
      </c>
      <c r="FG121" s="60">
        <f t="shared" si="760"/>
        <v>0</v>
      </c>
      <c r="FH121" s="59">
        <f t="shared" si="761"/>
        <v>0</v>
      </c>
      <c r="FI121" s="57">
        <f t="shared" si="762"/>
        <v>0</v>
      </c>
      <c r="FJ121" s="59">
        <f t="shared" si="763"/>
        <v>0</v>
      </c>
      <c r="FK121" s="55">
        <f t="shared" si="764"/>
        <v>0</v>
      </c>
      <c r="FL121" s="59">
        <f t="shared" si="765"/>
        <v>0</v>
      </c>
      <c r="FM121" s="60">
        <f t="shared" si="766"/>
        <v>0</v>
      </c>
      <c r="FN121" s="59">
        <f t="shared" si="767"/>
        <v>0</v>
      </c>
      <c r="FO121" s="60">
        <f t="shared" si="768"/>
        <v>0</v>
      </c>
      <c r="FP121" s="59">
        <f t="shared" si="769"/>
        <v>0</v>
      </c>
      <c r="FQ121" s="60">
        <f t="shared" si="770"/>
        <v>0</v>
      </c>
      <c r="FR121" s="59">
        <f t="shared" si="771"/>
        <v>0</v>
      </c>
      <c r="FS121" s="55">
        <f t="shared" si="772"/>
        <v>0</v>
      </c>
      <c r="FT121" s="59">
        <f t="shared" si="773"/>
        <v>0</v>
      </c>
      <c r="FU121" s="60">
        <f t="shared" si="774"/>
        <v>0</v>
      </c>
      <c r="FV121" s="59">
        <f t="shared" si="775"/>
        <v>0</v>
      </c>
      <c r="FW121" s="60">
        <f t="shared" si="776"/>
        <v>0</v>
      </c>
      <c r="FX121" s="59">
        <f t="shared" si="777"/>
        <v>0</v>
      </c>
      <c r="FY121" s="60">
        <f t="shared" si="778"/>
        <v>0</v>
      </c>
      <c r="FZ121" s="59">
        <f t="shared" si="779"/>
        <v>0</v>
      </c>
      <c r="GA121" s="60">
        <f t="shared" si="780"/>
        <v>0</v>
      </c>
      <c r="GB121" s="59">
        <f t="shared" si="781"/>
        <v>0</v>
      </c>
      <c r="GC121" s="55">
        <f t="shared" si="782"/>
        <v>0</v>
      </c>
      <c r="GD121" s="59">
        <f t="shared" si="783"/>
        <v>0</v>
      </c>
      <c r="GE121" s="60">
        <f t="shared" si="784"/>
        <v>0</v>
      </c>
      <c r="GF121" s="59">
        <f t="shared" si="785"/>
        <v>0</v>
      </c>
      <c r="GG121" s="60">
        <f t="shared" si="786"/>
        <v>0</v>
      </c>
      <c r="GH121" s="59">
        <f t="shared" si="787"/>
        <v>0</v>
      </c>
      <c r="GI121" s="55">
        <f t="shared" si="788"/>
        <v>0</v>
      </c>
      <c r="GJ121" s="59">
        <f t="shared" si="789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55"/>
        <v>0.91</v>
      </c>
      <c r="GR121" s="55">
        <f t="shared" si="655"/>
        <v>0.89</v>
      </c>
      <c r="GS121" s="55">
        <f t="shared" si="655"/>
        <v>0.87</v>
      </c>
      <c r="GT121" s="55">
        <f t="shared" si="655"/>
        <v>0.85</v>
      </c>
      <c r="GU121" s="55">
        <f t="shared" si="655"/>
        <v>0.83</v>
      </c>
      <c r="GV121" s="55">
        <f t="shared" si="655"/>
        <v>0.80999999999999994</v>
      </c>
      <c r="GW121" s="55">
        <f t="shared" si="655"/>
        <v>0.78999999999999992</v>
      </c>
      <c r="GX121" s="55">
        <f t="shared" si="655"/>
        <v>0.76999999999999991</v>
      </c>
      <c r="GY121" s="55">
        <f t="shared" si="655"/>
        <v>0.74999999999999989</v>
      </c>
      <c r="GZ121" s="55">
        <f t="shared" si="655"/>
        <v>0.72999999999999987</v>
      </c>
      <c r="HA121" s="55">
        <f t="shared" si="655"/>
        <v>0.70999999999999985</v>
      </c>
      <c r="HB121" s="55">
        <f t="shared" si="655"/>
        <v>0.68999999999999984</v>
      </c>
      <c r="HC121" s="55">
        <f t="shared" si="655"/>
        <v>0.66999999999999982</v>
      </c>
      <c r="HD121" s="55">
        <f t="shared" si="655"/>
        <v>0.6499999999999998</v>
      </c>
      <c r="HE121" s="55">
        <f t="shared" si="655"/>
        <v>0.62999999999999978</v>
      </c>
      <c r="HF121" s="55">
        <f t="shared" si="655"/>
        <v>0.60999999999999976</v>
      </c>
      <c r="HG121" s="55">
        <f t="shared" si="655"/>
        <v>0.58999999999999975</v>
      </c>
      <c r="HH121" s="55">
        <f t="shared" si="655"/>
        <v>0.56999999999999973</v>
      </c>
    </row>
    <row r="122" spans="1:216" x14ac:dyDescent="0.3">
      <c r="A122" s="2">
        <v>7</v>
      </c>
      <c r="C122" s="38" t="s">
        <v>46</v>
      </c>
      <c r="D122" s="42">
        <v>0</v>
      </c>
      <c r="E122" s="71">
        <f t="shared" si="660"/>
        <v>0</v>
      </c>
      <c r="H122" s="55">
        <f t="shared" si="505"/>
        <v>0</v>
      </c>
      <c r="I122" s="55">
        <f t="shared" si="506"/>
        <v>0</v>
      </c>
      <c r="J122" s="59">
        <f t="shared" si="507"/>
        <v>0</v>
      </c>
      <c r="K122" s="55">
        <f t="shared" si="661"/>
        <v>0</v>
      </c>
      <c r="L122" s="59">
        <f t="shared" si="662"/>
        <v>0</v>
      </c>
      <c r="M122" s="55">
        <f t="shared" si="663"/>
        <v>0</v>
      </c>
      <c r="N122" s="59">
        <f t="shared" si="664"/>
        <v>0</v>
      </c>
      <c r="O122" s="55">
        <f t="shared" si="665"/>
        <v>0</v>
      </c>
      <c r="P122" s="59">
        <f t="shared" si="666"/>
        <v>0</v>
      </c>
      <c r="Q122" s="57">
        <f t="shared" si="667"/>
        <v>0</v>
      </c>
      <c r="R122" s="59">
        <f t="shared" si="668"/>
        <v>0</v>
      </c>
      <c r="S122" s="55">
        <f t="shared" si="669"/>
        <v>0</v>
      </c>
      <c r="T122" s="59">
        <f t="shared" si="670"/>
        <v>0</v>
      </c>
      <c r="U122" s="57">
        <f t="shared" si="671"/>
        <v>0</v>
      </c>
      <c r="V122" s="59">
        <f t="shared" si="672"/>
        <v>0</v>
      </c>
      <c r="W122" s="60">
        <f t="shared" si="673"/>
        <v>0</v>
      </c>
      <c r="X122" s="59">
        <f t="shared" si="674"/>
        <v>0</v>
      </c>
      <c r="Y122" s="57">
        <f t="shared" si="675"/>
        <v>0</v>
      </c>
      <c r="Z122" s="59">
        <f t="shared" si="676"/>
        <v>0</v>
      </c>
      <c r="AA122" s="55">
        <f t="shared" si="677"/>
        <v>0</v>
      </c>
      <c r="AB122" s="59">
        <f t="shared" si="678"/>
        <v>0</v>
      </c>
      <c r="AC122" s="60">
        <f t="shared" si="679"/>
        <v>0</v>
      </c>
      <c r="AD122" s="59">
        <f t="shared" si="680"/>
        <v>0</v>
      </c>
      <c r="AE122" s="60">
        <f t="shared" si="681"/>
        <v>0</v>
      </c>
      <c r="AF122" s="59">
        <f t="shared" si="682"/>
        <v>0</v>
      </c>
      <c r="AG122" s="60">
        <f t="shared" si="683"/>
        <v>0</v>
      </c>
      <c r="AH122" s="59">
        <f t="shared" si="684"/>
        <v>0</v>
      </c>
      <c r="AI122" s="55">
        <f t="shared" si="685"/>
        <v>0</v>
      </c>
      <c r="AJ122" s="59">
        <f t="shared" si="686"/>
        <v>0</v>
      </c>
      <c r="AK122" s="60">
        <f t="shared" si="687"/>
        <v>0</v>
      </c>
      <c r="AL122" s="59">
        <f t="shared" si="688"/>
        <v>0</v>
      </c>
      <c r="AM122" s="60">
        <f t="shared" si="689"/>
        <v>0</v>
      </c>
      <c r="AN122" s="59">
        <f t="shared" si="690"/>
        <v>0</v>
      </c>
      <c r="AO122" s="60">
        <f t="shared" si="691"/>
        <v>0</v>
      </c>
      <c r="AP122" s="59">
        <f t="shared" si="692"/>
        <v>0</v>
      </c>
      <c r="AQ122" s="60">
        <f t="shared" si="693"/>
        <v>0</v>
      </c>
      <c r="AR122" s="59">
        <f t="shared" si="694"/>
        <v>0</v>
      </c>
      <c r="AS122" s="55">
        <f t="shared" si="695"/>
        <v>0</v>
      </c>
      <c r="AT122" s="59">
        <f t="shared" si="696"/>
        <v>0</v>
      </c>
      <c r="AU122" s="60">
        <f t="shared" si="697"/>
        <v>0</v>
      </c>
      <c r="AV122" s="59">
        <f t="shared" si="698"/>
        <v>0</v>
      </c>
      <c r="AW122" s="60">
        <f t="shared" si="699"/>
        <v>0</v>
      </c>
      <c r="AX122" s="59">
        <f t="shared" si="700"/>
        <v>0</v>
      </c>
      <c r="AY122" s="55">
        <f t="shared" si="701"/>
        <v>0</v>
      </c>
      <c r="AZ122" s="59">
        <f t="shared" si="702"/>
        <v>0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03"/>
        <v>0.91</v>
      </c>
      <c r="BH122" s="55">
        <f t="shared" si="703"/>
        <v>0.89</v>
      </c>
      <c r="BI122" s="55">
        <f t="shared" si="703"/>
        <v>0.87</v>
      </c>
      <c r="BJ122" s="55">
        <f t="shared" si="703"/>
        <v>0.85</v>
      </c>
      <c r="BK122" s="55">
        <f t="shared" si="703"/>
        <v>0.83</v>
      </c>
      <c r="BL122" s="55">
        <f t="shared" si="703"/>
        <v>0.80999999999999994</v>
      </c>
      <c r="BM122" s="55">
        <f t="shared" si="703"/>
        <v>0.78999999999999992</v>
      </c>
      <c r="BN122" s="55">
        <f t="shared" si="703"/>
        <v>0.76999999999999991</v>
      </c>
      <c r="BO122" s="55">
        <f t="shared" si="703"/>
        <v>0.74999999999999989</v>
      </c>
      <c r="BP122" s="55">
        <f t="shared" si="703"/>
        <v>0.72999999999999987</v>
      </c>
      <c r="BQ122" s="55">
        <f t="shared" si="703"/>
        <v>0.70999999999999985</v>
      </c>
      <c r="BR122" s="55">
        <f t="shared" si="703"/>
        <v>0.68999999999999984</v>
      </c>
      <c r="BS122" s="55">
        <f t="shared" si="703"/>
        <v>0.66999999999999982</v>
      </c>
      <c r="BT122" s="55">
        <f t="shared" si="703"/>
        <v>0.6499999999999998</v>
      </c>
      <c r="BU122" s="55">
        <f t="shared" si="703"/>
        <v>0.62999999999999978</v>
      </c>
      <c r="BV122" s="55">
        <f t="shared" si="703"/>
        <v>0.60999999999999976</v>
      </c>
      <c r="BW122" s="55">
        <f t="shared" si="703"/>
        <v>0.58999999999999975</v>
      </c>
      <c r="BX122" s="55">
        <f t="shared" si="703"/>
        <v>0.56999999999999973</v>
      </c>
      <c r="BZ122" s="55">
        <f t="shared" si="508"/>
        <v>0</v>
      </c>
      <c r="CA122" s="55">
        <f t="shared" si="509"/>
        <v>0</v>
      </c>
      <c r="CB122" s="59">
        <f t="shared" si="704"/>
        <v>0</v>
      </c>
      <c r="CC122" s="55">
        <f t="shared" si="705"/>
        <v>0</v>
      </c>
      <c r="CD122" s="59">
        <f t="shared" si="706"/>
        <v>0</v>
      </c>
      <c r="CE122" s="55">
        <f t="shared" si="707"/>
        <v>0</v>
      </c>
      <c r="CF122" s="59">
        <f t="shared" si="708"/>
        <v>0</v>
      </c>
      <c r="CG122" s="55">
        <f t="shared" si="709"/>
        <v>0</v>
      </c>
      <c r="CH122" s="59">
        <f t="shared" si="710"/>
        <v>0</v>
      </c>
      <c r="CI122" s="57">
        <f t="shared" si="711"/>
        <v>0</v>
      </c>
      <c r="CJ122" s="59">
        <f t="shared" si="712"/>
        <v>0</v>
      </c>
      <c r="CK122" s="55">
        <f t="shared" si="713"/>
        <v>0</v>
      </c>
      <c r="CL122" s="59">
        <f t="shared" si="714"/>
        <v>0</v>
      </c>
      <c r="CM122" s="57">
        <f t="shared" si="715"/>
        <v>0</v>
      </c>
      <c r="CN122" s="59">
        <f t="shared" si="716"/>
        <v>0</v>
      </c>
      <c r="CO122" s="60">
        <f t="shared" si="717"/>
        <v>0</v>
      </c>
      <c r="CP122" s="59">
        <f t="shared" si="718"/>
        <v>0</v>
      </c>
      <c r="CQ122" s="57">
        <f t="shared" si="719"/>
        <v>0</v>
      </c>
      <c r="CR122" s="59">
        <f t="shared" si="720"/>
        <v>0</v>
      </c>
      <c r="CS122" s="55">
        <f t="shared" si="721"/>
        <v>0</v>
      </c>
      <c r="CT122" s="59">
        <f t="shared" si="722"/>
        <v>0</v>
      </c>
      <c r="CU122" s="60">
        <f t="shared" si="723"/>
        <v>0</v>
      </c>
      <c r="CV122" s="59">
        <f t="shared" si="724"/>
        <v>0</v>
      </c>
      <c r="CW122" s="60">
        <f t="shared" si="725"/>
        <v>0</v>
      </c>
      <c r="CX122" s="59">
        <f t="shared" si="726"/>
        <v>0</v>
      </c>
      <c r="CY122" s="60">
        <f t="shared" si="727"/>
        <v>0</v>
      </c>
      <c r="CZ122" s="59">
        <f t="shared" si="728"/>
        <v>0</v>
      </c>
      <c r="DA122" s="55">
        <f t="shared" si="729"/>
        <v>0</v>
      </c>
      <c r="DB122" s="59">
        <f t="shared" si="730"/>
        <v>0</v>
      </c>
      <c r="DC122" s="60">
        <f t="shared" si="731"/>
        <v>0</v>
      </c>
      <c r="DD122" s="59">
        <f t="shared" si="732"/>
        <v>0</v>
      </c>
      <c r="DE122" s="60">
        <f t="shared" si="733"/>
        <v>0</v>
      </c>
      <c r="DF122" s="59">
        <f t="shared" si="734"/>
        <v>0</v>
      </c>
      <c r="DG122" s="60">
        <f t="shared" si="735"/>
        <v>0</v>
      </c>
      <c r="DH122" s="59">
        <f t="shared" si="736"/>
        <v>0</v>
      </c>
      <c r="DI122" s="60">
        <f t="shared" si="737"/>
        <v>0</v>
      </c>
      <c r="DJ122" s="59">
        <f t="shared" si="738"/>
        <v>0</v>
      </c>
      <c r="DK122" s="55">
        <f t="shared" si="739"/>
        <v>0</v>
      </c>
      <c r="DL122" s="59">
        <f t="shared" si="740"/>
        <v>0</v>
      </c>
      <c r="DM122" s="60">
        <f t="shared" si="741"/>
        <v>0</v>
      </c>
      <c r="DN122" s="59">
        <f t="shared" si="742"/>
        <v>0</v>
      </c>
      <c r="DO122" s="60">
        <f t="shared" si="743"/>
        <v>0</v>
      </c>
      <c r="DP122" s="59">
        <f t="shared" si="744"/>
        <v>0</v>
      </c>
      <c r="DQ122" s="55">
        <f t="shared" si="745"/>
        <v>0</v>
      </c>
      <c r="DR122" s="59">
        <f t="shared" si="746"/>
        <v>0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4"/>
        <v>0.91</v>
      </c>
      <c r="DZ122" s="55">
        <f t="shared" si="654"/>
        <v>0.89</v>
      </c>
      <c r="EA122" s="55">
        <f t="shared" si="654"/>
        <v>0.87</v>
      </c>
      <c r="EB122" s="55">
        <f t="shared" si="654"/>
        <v>0.85</v>
      </c>
      <c r="EC122" s="55">
        <f t="shared" si="654"/>
        <v>0.83</v>
      </c>
      <c r="ED122" s="55">
        <f t="shared" si="654"/>
        <v>0.80999999999999994</v>
      </c>
      <c r="EE122" s="55">
        <f t="shared" si="654"/>
        <v>0.78999999999999992</v>
      </c>
      <c r="EF122" s="55">
        <f t="shared" si="654"/>
        <v>0.76999999999999991</v>
      </c>
      <c r="EG122" s="55">
        <f t="shared" si="654"/>
        <v>0.74999999999999989</v>
      </c>
      <c r="EH122" s="55">
        <f t="shared" si="654"/>
        <v>0.72999999999999987</v>
      </c>
      <c r="EI122" s="55">
        <f t="shared" si="654"/>
        <v>0.70999999999999985</v>
      </c>
      <c r="EJ122" s="55">
        <f t="shared" si="654"/>
        <v>0.68999999999999984</v>
      </c>
      <c r="EK122" s="55">
        <f t="shared" si="654"/>
        <v>0.66999999999999982</v>
      </c>
      <c r="EL122" s="55">
        <f t="shared" si="654"/>
        <v>0.6499999999999998</v>
      </c>
      <c r="EM122" s="55">
        <f t="shared" si="654"/>
        <v>0.62999999999999978</v>
      </c>
      <c r="EN122" s="55">
        <f t="shared" si="654"/>
        <v>0.60999999999999976</v>
      </c>
      <c r="EO122" s="55">
        <f t="shared" si="654"/>
        <v>0.58999999999999975</v>
      </c>
      <c r="EP122" s="55">
        <f t="shared" si="654"/>
        <v>0.56999999999999973</v>
      </c>
      <c r="ER122" s="55">
        <f t="shared" si="648"/>
        <v>0</v>
      </c>
      <c r="ES122" s="55">
        <f t="shared" si="510"/>
        <v>0</v>
      </c>
      <c r="ET122" s="59">
        <f t="shared" si="747"/>
        <v>0</v>
      </c>
      <c r="EU122" s="55">
        <f t="shared" si="748"/>
        <v>0</v>
      </c>
      <c r="EV122" s="59">
        <f t="shared" si="749"/>
        <v>0</v>
      </c>
      <c r="EW122" s="55">
        <f t="shared" si="750"/>
        <v>0</v>
      </c>
      <c r="EX122" s="59">
        <f t="shared" si="751"/>
        <v>0</v>
      </c>
      <c r="EY122" s="55">
        <f t="shared" si="752"/>
        <v>0</v>
      </c>
      <c r="EZ122" s="59">
        <f t="shared" si="753"/>
        <v>0</v>
      </c>
      <c r="FA122" s="57">
        <f t="shared" si="754"/>
        <v>0</v>
      </c>
      <c r="FB122" s="59">
        <f t="shared" si="755"/>
        <v>0</v>
      </c>
      <c r="FC122" s="55">
        <f t="shared" si="756"/>
        <v>0</v>
      </c>
      <c r="FD122" s="59">
        <f t="shared" si="757"/>
        <v>0</v>
      </c>
      <c r="FE122" s="57">
        <f t="shared" si="758"/>
        <v>0</v>
      </c>
      <c r="FF122" s="59">
        <f t="shared" si="759"/>
        <v>0</v>
      </c>
      <c r="FG122" s="60">
        <f t="shared" si="760"/>
        <v>0</v>
      </c>
      <c r="FH122" s="59">
        <f t="shared" si="761"/>
        <v>0</v>
      </c>
      <c r="FI122" s="57">
        <f t="shared" si="762"/>
        <v>0</v>
      </c>
      <c r="FJ122" s="59">
        <f t="shared" si="763"/>
        <v>0</v>
      </c>
      <c r="FK122" s="55">
        <f t="shared" si="764"/>
        <v>0</v>
      </c>
      <c r="FL122" s="59">
        <f t="shared" si="765"/>
        <v>0</v>
      </c>
      <c r="FM122" s="60">
        <f t="shared" si="766"/>
        <v>0</v>
      </c>
      <c r="FN122" s="59">
        <f t="shared" si="767"/>
        <v>0</v>
      </c>
      <c r="FO122" s="60">
        <f t="shared" si="768"/>
        <v>0</v>
      </c>
      <c r="FP122" s="59">
        <f t="shared" si="769"/>
        <v>0</v>
      </c>
      <c r="FQ122" s="60">
        <f t="shared" si="770"/>
        <v>0</v>
      </c>
      <c r="FR122" s="59">
        <f t="shared" si="771"/>
        <v>0</v>
      </c>
      <c r="FS122" s="55">
        <f t="shared" si="772"/>
        <v>0</v>
      </c>
      <c r="FT122" s="59">
        <f t="shared" si="773"/>
        <v>0</v>
      </c>
      <c r="FU122" s="60">
        <f t="shared" si="774"/>
        <v>0</v>
      </c>
      <c r="FV122" s="59">
        <f t="shared" si="775"/>
        <v>0</v>
      </c>
      <c r="FW122" s="60">
        <f t="shared" si="776"/>
        <v>0</v>
      </c>
      <c r="FX122" s="59">
        <f t="shared" si="777"/>
        <v>0</v>
      </c>
      <c r="FY122" s="60">
        <f t="shared" si="778"/>
        <v>0</v>
      </c>
      <c r="FZ122" s="59">
        <f t="shared" si="779"/>
        <v>0</v>
      </c>
      <c r="GA122" s="60">
        <f t="shared" si="780"/>
        <v>0</v>
      </c>
      <c r="GB122" s="59">
        <f t="shared" si="781"/>
        <v>0</v>
      </c>
      <c r="GC122" s="55">
        <f t="shared" si="782"/>
        <v>0</v>
      </c>
      <c r="GD122" s="59">
        <f t="shared" si="783"/>
        <v>0</v>
      </c>
      <c r="GE122" s="60">
        <f t="shared" si="784"/>
        <v>0</v>
      </c>
      <c r="GF122" s="59">
        <f t="shared" si="785"/>
        <v>0</v>
      </c>
      <c r="GG122" s="60">
        <f t="shared" si="786"/>
        <v>0</v>
      </c>
      <c r="GH122" s="59">
        <f t="shared" si="787"/>
        <v>0</v>
      </c>
      <c r="GI122" s="55">
        <f t="shared" si="788"/>
        <v>0</v>
      </c>
      <c r="GJ122" s="59">
        <f t="shared" si="789"/>
        <v>0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5"/>
        <v>0.91</v>
      </c>
      <c r="GR122" s="55">
        <f t="shared" si="655"/>
        <v>0.89</v>
      </c>
      <c r="GS122" s="55">
        <f t="shared" si="655"/>
        <v>0.87</v>
      </c>
      <c r="GT122" s="55">
        <f t="shared" si="655"/>
        <v>0.85</v>
      </c>
      <c r="GU122" s="55">
        <f t="shared" si="655"/>
        <v>0.83</v>
      </c>
      <c r="GV122" s="55">
        <f t="shared" si="655"/>
        <v>0.80999999999999994</v>
      </c>
      <c r="GW122" s="55">
        <f t="shared" si="655"/>
        <v>0.78999999999999992</v>
      </c>
      <c r="GX122" s="55">
        <f t="shared" si="655"/>
        <v>0.76999999999999991</v>
      </c>
      <c r="GY122" s="55">
        <f t="shared" si="655"/>
        <v>0.74999999999999989</v>
      </c>
      <c r="GZ122" s="55">
        <f t="shared" si="655"/>
        <v>0.72999999999999987</v>
      </c>
      <c r="HA122" s="55">
        <f t="shared" si="655"/>
        <v>0.70999999999999985</v>
      </c>
      <c r="HB122" s="55">
        <f t="shared" si="655"/>
        <v>0.68999999999999984</v>
      </c>
      <c r="HC122" s="55">
        <f t="shared" si="655"/>
        <v>0.66999999999999982</v>
      </c>
      <c r="HD122" s="55">
        <f t="shared" si="655"/>
        <v>0.6499999999999998</v>
      </c>
      <c r="HE122" s="55">
        <f t="shared" si="655"/>
        <v>0.62999999999999978</v>
      </c>
      <c r="HF122" s="55">
        <f t="shared" si="655"/>
        <v>0.60999999999999976</v>
      </c>
      <c r="HG122" s="55">
        <f t="shared" si="655"/>
        <v>0.58999999999999975</v>
      </c>
      <c r="HH122" s="55">
        <f t="shared" si="655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1">
        <f t="shared" si="660"/>
        <v>0</v>
      </c>
      <c r="H123" s="55">
        <f t="shared" si="505"/>
        <v>0</v>
      </c>
      <c r="I123" s="55">
        <f t="shared" si="506"/>
        <v>0</v>
      </c>
      <c r="J123" s="59">
        <f t="shared" si="507"/>
        <v>0</v>
      </c>
      <c r="K123" s="55">
        <f t="shared" si="661"/>
        <v>0</v>
      </c>
      <c r="L123" s="59">
        <f t="shared" si="662"/>
        <v>0</v>
      </c>
      <c r="M123" s="55">
        <f t="shared" si="663"/>
        <v>0</v>
      </c>
      <c r="N123" s="59">
        <f t="shared" si="664"/>
        <v>0</v>
      </c>
      <c r="O123" s="55">
        <f t="shared" si="665"/>
        <v>0</v>
      </c>
      <c r="P123" s="59">
        <f t="shared" si="666"/>
        <v>0</v>
      </c>
      <c r="Q123" s="57">
        <f t="shared" si="667"/>
        <v>0</v>
      </c>
      <c r="R123" s="59">
        <f t="shared" si="668"/>
        <v>0</v>
      </c>
      <c r="S123" s="55">
        <f t="shared" si="669"/>
        <v>0</v>
      </c>
      <c r="T123" s="59">
        <f t="shared" si="670"/>
        <v>0</v>
      </c>
      <c r="U123" s="57">
        <f t="shared" si="671"/>
        <v>0</v>
      </c>
      <c r="V123" s="59">
        <f t="shared" si="672"/>
        <v>0</v>
      </c>
      <c r="W123" s="60">
        <f t="shared" si="673"/>
        <v>0</v>
      </c>
      <c r="X123" s="59">
        <f t="shared" si="674"/>
        <v>0</v>
      </c>
      <c r="Y123" s="57">
        <f t="shared" si="675"/>
        <v>0</v>
      </c>
      <c r="Z123" s="59">
        <f t="shared" si="676"/>
        <v>0</v>
      </c>
      <c r="AA123" s="55">
        <f t="shared" si="677"/>
        <v>0</v>
      </c>
      <c r="AB123" s="59">
        <f t="shared" si="678"/>
        <v>0</v>
      </c>
      <c r="AC123" s="60">
        <f t="shared" si="679"/>
        <v>0</v>
      </c>
      <c r="AD123" s="59">
        <f t="shared" si="680"/>
        <v>0</v>
      </c>
      <c r="AE123" s="60">
        <f t="shared" si="681"/>
        <v>0</v>
      </c>
      <c r="AF123" s="59">
        <f t="shared" si="682"/>
        <v>0</v>
      </c>
      <c r="AG123" s="60">
        <f t="shared" si="683"/>
        <v>0</v>
      </c>
      <c r="AH123" s="59">
        <f t="shared" si="684"/>
        <v>0</v>
      </c>
      <c r="AI123" s="55">
        <f t="shared" si="685"/>
        <v>0</v>
      </c>
      <c r="AJ123" s="59">
        <f t="shared" si="686"/>
        <v>0</v>
      </c>
      <c r="AK123" s="60">
        <f t="shared" si="687"/>
        <v>0</v>
      </c>
      <c r="AL123" s="59">
        <f t="shared" si="688"/>
        <v>0</v>
      </c>
      <c r="AM123" s="60">
        <f t="shared" si="689"/>
        <v>0</v>
      </c>
      <c r="AN123" s="59">
        <f t="shared" si="690"/>
        <v>0</v>
      </c>
      <c r="AO123" s="60">
        <f t="shared" si="691"/>
        <v>0</v>
      </c>
      <c r="AP123" s="59">
        <f t="shared" si="692"/>
        <v>0</v>
      </c>
      <c r="AQ123" s="60">
        <f t="shared" si="693"/>
        <v>0</v>
      </c>
      <c r="AR123" s="59">
        <f t="shared" si="694"/>
        <v>0</v>
      </c>
      <c r="AS123" s="55">
        <f t="shared" si="695"/>
        <v>0</v>
      </c>
      <c r="AT123" s="59">
        <f t="shared" si="696"/>
        <v>0</v>
      </c>
      <c r="AU123" s="60">
        <f t="shared" si="697"/>
        <v>0</v>
      </c>
      <c r="AV123" s="59">
        <f t="shared" si="698"/>
        <v>0</v>
      </c>
      <c r="AW123" s="60">
        <f t="shared" si="699"/>
        <v>0</v>
      </c>
      <c r="AX123" s="59">
        <f t="shared" si="700"/>
        <v>0</v>
      </c>
      <c r="AY123" s="55">
        <f t="shared" si="701"/>
        <v>0</v>
      </c>
      <c r="AZ123" s="59">
        <f t="shared" si="702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03"/>
        <v>0.91</v>
      </c>
      <c r="BH123" s="55">
        <f t="shared" si="703"/>
        <v>0.89</v>
      </c>
      <c r="BI123" s="55">
        <f t="shared" si="703"/>
        <v>0.87</v>
      </c>
      <c r="BJ123" s="55">
        <f t="shared" si="703"/>
        <v>0.85</v>
      </c>
      <c r="BK123" s="55">
        <f t="shared" si="703"/>
        <v>0.83</v>
      </c>
      <c r="BL123" s="55">
        <f t="shared" si="703"/>
        <v>0.80999999999999994</v>
      </c>
      <c r="BM123" s="55">
        <f t="shared" si="703"/>
        <v>0.78999999999999992</v>
      </c>
      <c r="BN123" s="55">
        <f t="shared" si="703"/>
        <v>0.76999999999999991</v>
      </c>
      <c r="BO123" s="55">
        <f t="shared" si="703"/>
        <v>0.74999999999999989</v>
      </c>
      <c r="BP123" s="55">
        <f t="shared" si="703"/>
        <v>0.72999999999999987</v>
      </c>
      <c r="BQ123" s="55">
        <f t="shared" si="703"/>
        <v>0.70999999999999985</v>
      </c>
      <c r="BR123" s="55">
        <f t="shared" si="703"/>
        <v>0.68999999999999984</v>
      </c>
      <c r="BS123" s="55">
        <f t="shared" si="703"/>
        <v>0.66999999999999982</v>
      </c>
      <c r="BT123" s="55">
        <f t="shared" si="703"/>
        <v>0.6499999999999998</v>
      </c>
      <c r="BU123" s="55">
        <f t="shared" si="703"/>
        <v>0.62999999999999978</v>
      </c>
      <c r="BV123" s="55">
        <f t="shared" si="703"/>
        <v>0.60999999999999976</v>
      </c>
      <c r="BW123" s="55">
        <f t="shared" si="703"/>
        <v>0.58999999999999975</v>
      </c>
      <c r="BX123" s="55">
        <f t="shared" si="703"/>
        <v>0.56999999999999973</v>
      </c>
      <c r="BZ123" s="55">
        <f t="shared" si="508"/>
        <v>0</v>
      </c>
      <c r="CA123" s="55">
        <f t="shared" si="509"/>
        <v>0</v>
      </c>
      <c r="CB123" s="59">
        <f t="shared" si="704"/>
        <v>0</v>
      </c>
      <c r="CC123" s="55">
        <f t="shared" si="705"/>
        <v>0</v>
      </c>
      <c r="CD123" s="59">
        <f t="shared" si="706"/>
        <v>0</v>
      </c>
      <c r="CE123" s="55">
        <f t="shared" si="707"/>
        <v>0</v>
      </c>
      <c r="CF123" s="59">
        <f t="shared" si="708"/>
        <v>0</v>
      </c>
      <c r="CG123" s="55">
        <f t="shared" si="709"/>
        <v>0</v>
      </c>
      <c r="CH123" s="59">
        <f t="shared" si="710"/>
        <v>0</v>
      </c>
      <c r="CI123" s="57">
        <f t="shared" si="711"/>
        <v>0</v>
      </c>
      <c r="CJ123" s="59">
        <f t="shared" si="712"/>
        <v>0</v>
      </c>
      <c r="CK123" s="55">
        <f t="shared" si="713"/>
        <v>0</v>
      </c>
      <c r="CL123" s="59">
        <f t="shared" si="714"/>
        <v>0</v>
      </c>
      <c r="CM123" s="57">
        <f t="shared" si="715"/>
        <v>0</v>
      </c>
      <c r="CN123" s="59">
        <f t="shared" si="716"/>
        <v>0</v>
      </c>
      <c r="CO123" s="60">
        <f t="shared" si="717"/>
        <v>0</v>
      </c>
      <c r="CP123" s="59">
        <f t="shared" si="718"/>
        <v>0</v>
      </c>
      <c r="CQ123" s="57">
        <f t="shared" si="719"/>
        <v>0</v>
      </c>
      <c r="CR123" s="59">
        <f t="shared" si="720"/>
        <v>0</v>
      </c>
      <c r="CS123" s="55">
        <f t="shared" si="721"/>
        <v>0</v>
      </c>
      <c r="CT123" s="59">
        <f t="shared" si="722"/>
        <v>0</v>
      </c>
      <c r="CU123" s="60">
        <f t="shared" si="723"/>
        <v>0</v>
      </c>
      <c r="CV123" s="59">
        <f t="shared" si="724"/>
        <v>0</v>
      </c>
      <c r="CW123" s="60">
        <f t="shared" si="725"/>
        <v>0</v>
      </c>
      <c r="CX123" s="59">
        <f t="shared" si="726"/>
        <v>0</v>
      </c>
      <c r="CY123" s="60">
        <f t="shared" si="727"/>
        <v>0</v>
      </c>
      <c r="CZ123" s="59">
        <f t="shared" si="728"/>
        <v>0</v>
      </c>
      <c r="DA123" s="55">
        <f t="shared" si="729"/>
        <v>0</v>
      </c>
      <c r="DB123" s="59">
        <f t="shared" si="730"/>
        <v>0</v>
      </c>
      <c r="DC123" s="60">
        <f t="shared" si="731"/>
        <v>0</v>
      </c>
      <c r="DD123" s="59">
        <f t="shared" si="732"/>
        <v>0</v>
      </c>
      <c r="DE123" s="60">
        <f t="shared" si="733"/>
        <v>0</v>
      </c>
      <c r="DF123" s="59">
        <f t="shared" si="734"/>
        <v>0</v>
      </c>
      <c r="DG123" s="60">
        <f t="shared" si="735"/>
        <v>0</v>
      </c>
      <c r="DH123" s="59">
        <f t="shared" si="736"/>
        <v>0</v>
      </c>
      <c r="DI123" s="60">
        <f t="shared" si="737"/>
        <v>0</v>
      </c>
      <c r="DJ123" s="59">
        <f t="shared" si="738"/>
        <v>0</v>
      </c>
      <c r="DK123" s="55">
        <f t="shared" si="739"/>
        <v>0</v>
      </c>
      <c r="DL123" s="59">
        <f t="shared" si="740"/>
        <v>0</v>
      </c>
      <c r="DM123" s="60">
        <f t="shared" si="741"/>
        <v>0</v>
      </c>
      <c r="DN123" s="59">
        <f t="shared" si="742"/>
        <v>0</v>
      </c>
      <c r="DO123" s="60">
        <f t="shared" si="743"/>
        <v>0</v>
      </c>
      <c r="DP123" s="59">
        <f t="shared" si="744"/>
        <v>0</v>
      </c>
      <c r="DQ123" s="55">
        <f t="shared" si="745"/>
        <v>0</v>
      </c>
      <c r="DR123" s="59">
        <f t="shared" si="746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4"/>
        <v>0.91</v>
      </c>
      <c r="DZ123" s="55">
        <f t="shared" si="654"/>
        <v>0.89</v>
      </c>
      <c r="EA123" s="55">
        <f t="shared" si="654"/>
        <v>0.87</v>
      </c>
      <c r="EB123" s="55">
        <f t="shared" ref="EB123:EP123" si="790">+EA123-0.02</f>
        <v>0.85</v>
      </c>
      <c r="EC123" s="55">
        <f t="shared" si="790"/>
        <v>0.83</v>
      </c>
      <c r="ED123" s="55">
        <f t="shared" si="790"/>
        <v>0.80999999999999994</v>
      </c>
      <c r="EE123" s="55">
        <f t="shared" si="790"/>
        <v>0.78999999999999992</v>
      </c>
      <c r="EF123" s="55">
        <f t="shared" si="790"/>
        <v>0.76999999999999991</v>
      </c>
      <c r="EG123" s="55">
        <f t="shared" si="790"/>
        <v>0.74999999999999989</v>
      </c>
      <c r="EH123" s="55">
        <f t="shared" si="790"/>
        <v>0.72999999999999987</v>
      </c>
      <c r="EI123" s="55">
        <f t="shared" si="790"/>
        <v>0.70999999999999985</v>
      </c>
      <c r="EJ123" s="55">
        <f t="shared" si="790"/>
        <v>0.68999999999999984</v>
      </c>
      <c r="EK123" s="55">
        <f t="shared" si="790"/>
        <v>0.66999999999999982</v>
      </c>
      <c r="EL123" s="55">
        <f t="shared" si="790"/>
        <v>0.6499999999999998</v>
      </c>
      <c r="EM123" s="55">
        <f t="shared" si="790"/>
        <v>0.62999999999999978</v>
      </c>
      <c r="EN123" s="55">
        <f t="shared" si="790"/>
        <v>0.60999999999999976</v>
      </c>
      <c r="EO123" s="55">
        <f t="shared" si="790"/>
        <v>0.58999999999999975</v>
      </c>
      <c r="EP123" s="55">
        <f t="shared" si="790"/>
        <v>0.56999999999999973</v>
      </c>
      <c r="ER123" s="55">
        <f t="shared" si="648"/>
        <v>0</v>
      </c>
      <c r="ES123" s="55">
        <f t="shared" si="510"/>
        <v>0</v>
      </c>
      <c r="ET123" s="59">
        <f t="shared" si="747"/>
        <v>0</v>
      </c>
      <c r="EU123" s="55">
        <f t="shared" si="748"/>
        <v>0</v>
      </c>
      <c r="EV123" s="59">
        <f t="shared" si="749"/>
        <v>0</v>
      </c>
      <c r="EW123" s="55">
        <f t="shared" si="750"/>
        <v>0</v>
      </c>
      <c r="EX123" s="59">
        <f t="shared" si="751"/>
        <v>0</v>
      </c>
      <c r="EY123" s="55">
        <f t="shared" si="752"/>
        <v>0</v>
      </c>
      <c r="EZ123" s="59">
        <f t="shared" si="753"/>
        <v>0</v>
      </c>
      <c r="FA123" s="57">
        <f t="shared" si="754"/>
        <v>0</v>
      </c>
      <c r="FB123" s="59">
        <f t="shared" si="755"/>
        <v>0</v>
      </c>
      <c r="FC123" s="55">
        <f t="shared" si="756"/>
        <v>0</v>
      </c>
      <c r="FD123" s="59">
        <f t="shared" si="757"/>
        <v>0</v>
      </c>
      <c r="FE123" s="57">
        <f t="shared" si="758"/>
        <v>0</v>
      </c>
      <c r="FF123" s="59">
        <f t="shared" si="759"/>
        <v>0</v>
      </c>
      <c r="FG123" s="60">
        <f t="shared" si="760"/>
        <v>0</v>
      </c>
      <c r="FH123" s="59">
        <f t="shared" si="761"/>
        <v>0</v>
      </c>
      <c r="FI123" s="57">
        <f t="shared" si="762"/>
        <v>0</v>
      </c>
      <c r="FJ123" s="59">
        <f t="shared" si="763"/>
        <v>0</v>
      </c>
      <c r="FK123" s="55">
        <f t="shared" si="764"/>
        <v>0</v>
      </c>
      <c r="FL123" s="59">
        <f t="shared" si="765"/>
        <v>0</v>
      </c>
      <c r="FM123" s="60">
        <f t="shared" si="766"/>
        <v>0</v>
      </c>
      <c r="FN123" s="59">
        <f t="shared" si="767"/>
        <v>0</v>
      </c>
      <c r="FO123" s="60">
        <f t="shared" si="768"/>
        <v>0</v>
      </c>
      <c r="FP123" s="59">
        <f t="shared" si="769"/>
        <v>0</v>
      </c>
      <c r="FQ123" s="60">
        <f t="shared" si="770"/>
        <v>0</v>
      </c>
      <c r="FR123" s="59">
        <f t="shared" si="771"/>
        <v>0</v>
      </c>
      <c r="FS123" s="55">
        <f t="shared" si="772"/>
        <v>0</v>
      </c>
      <c r="FT123" s="59">
        <f t="shared" si="773"/>
        <v>0</v>
      </c>
      <c r="FU123" s="60">
        <f t="shared" si="774"/>
        <v>0</v>
      </c>
      <c r="FV123" s="59">
        <f t="shared" si="775"/>
        <v>0</v>
      </c>
      <c r="FW123" s="60">
        <f t="shared" si="776"/>
        <v>0</v>
      </c>
      <c r="FX123" s="59">
        <f t="shared" si="777"/>
        <v>0</v>
      </c>
      <c r="FY123" s="60">
        <f t="shared" si="778"/>
        <v>0</v>
      </c>
      <c r="FZ123" s="59">
        <f t="shared" si="779"/>
        <v>0</v>
      </c>
      <c r="GA123" s="60">
        <f t="shared" si="780"/>
        <v>0</v>
      </c>
      <c r="GB123" s="59">
        <f t="shared" si="781"/>
        <v>0</v>
      </c>
      <c r="GC123" s="55">
        <f t="shared" si="782"/>
        <v>0</v>
      </c>
      <c r="GD123" s="59">
        <f t="shared" si="783"/>
        <v>0</v>
      </c>
      <c r="GE123" s="60">
        <f t="shared" si="784"/>
        <v>0</v>
      </c>
      <c r="GF123" s="59">
        <f t="shared" si="785"/>
        <v>0</v>
      </c>
      <c r="GG123" s="60">
        <f t="shared" si="786"/>
        <v>0</v>
      </c>
      <c r="GH123" s="59">
        <f t="shared" si="787"/>
        <v>0</v>
      </c>
      <c r="GI123" s="55">
        <f t="shared" si="788"/>
        <v>0</v>
      </c>
      <c r="GJ123" s="59">
        <f t="shared" si="789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5"/>
        <v>0.91</v>
      </c>
      <c r="GR123" s="55">
        <f t="shared" si="655"/>
        <v>0.89</v>
      </c>
      <c r="GS123" s="55">
        <f t="shared" si="655"/>
        <v>0.87</v>
      </c>
      <c r="GT123" s="55">
        <f t="shared" ref="GT123:HH123" si="791">+GS123-0.02</f>
        <v>0.85</v>
      </c>
      <c r="GU123" s="55">
        <f t="shared" si="791"/>
        <v>0.83</v>
      </c>
      <c r="GV123" s="55">
        <f t="shared" si="791"/>
        <v>0.80999999999999994</v>
      </c>
      <c r="GW123" s="55">
        <f t="shared" si="791"/>
        <v>0.78999999999999992</v>
      </c>
      <c r="GX123" s="55">
        <f t="shared" si="791"/>
        <v>0.76999999999999991</v>
      </c>
      <c r="GY123" s="55">
        <f t="shared" si="791"/>
        <v>0.74999999999999989</v>
      </c>
      <c r="GZ123" s="55">
        <f t="shared" si="791"/>
        <v>0.72999999999999987</v>
      </c>
      <c r="HA123" s="55">
        <f t="shared" si="791"/>
        <v>0.70999999999999985</v>
      </c>
      <c r="HB123" s="55">
        <f t="shared" si="791"/>
        <v>0.68999999999999984</v>
      </c>
      <c r="HC123" s="55">
        <f t="shared" si="791"/>
        <v>0.66999999999999982</v>
      </c>
      <c r="HD123" s="55">
        <f t="shared" si="791"/>
        <v>0.6499999999999998</v>
      </c>
      <c r="HE123" s="55">
        <f t="shared" si="791"/>
        <v>0.62999999999999978</v>
      </c>
      <c r="HF123" s="55">
        <f t="shared" si="791"/>
        <v>0.60999999999999976</v>
      </c>
      <c r="HG123" s="55">
        <f t="shared" si="791"/>
        <v>0.58999999999999975</v>
      </c>
      <c r="HH123" s="55">
        <f t="shared" si="791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v>0</v>
      </c>
      <c r="E124" s="71">
        <f t="shared" si="660"/>
        <v>0</v>
      </c>
      <c r="H124" s="55">
        <f t="shared" si="505"/>
        <v>0</v>
      </c>
      <c r="I124" s="55">
        <f t="shared" si="506"/>
        <v>0</v>
      </c>
      <c r="J124" s="59">
        <f t="shared" si="507"/>
        <v>0</v>
      </c>
      <c r="K124" s="55">
        <f t="shared" si="661"/>
        <v>0</v>
      </c>
      <c r="L124" s="59">
        <f t="shared" si="662"/>
        <v>0</v>
      </c>
      <c r="M124" s="55">
        <f t="shared" si="663"/>
        <v>0</v>
      </c>
      <c r="N124" s="59">
        <f t="shared" si="664"/>
        <v>0</v>
      </c>
      <c r="O124" s="55">
        <f t="shared" si="665"/>
        <v>0</v>
      </c>
      <c r="P124" s="59">
        <f t="shared" si="666"/>
        <v>0</v>
      </c>
      <c r="Q124" s="57">
        <f t="shared" si="667"/>
        <v>0</v>
      </c>
      <c r="R124" s="59">
        <f t="shared" si="668"/>
        <v>0</v>
      </c>
      <c r="S124" s="55">
        <f t="shared" si="669"/>
        <v>0</v>
      </c>
      <c r="T124" s="59">
        <f t="shared" si="670"/>
        <v>0</v>
      </c>
      <c r="U124" s="57">
        <f t="shared" si="671"/>
        <v>0</v>
      </c>
      <c r="V124" s="59">
        <f t="shared" si="672"/>
        <v>0</v>
      </c>
      <c r="W124" s="60">
        <f t="shared" si="673"/>
        <v>0</v>
      </c>
      <c r="X124" s="59">
        <f t="shared" si="674"/>
        <v>0</v>
      </c>
      <c r="Y124" s="57">
        <f t="shared" si="675"/>
        <v>0</v>
      </c>
      <c r="Z124" s="59">
        <f t="shared" si="676"/>
        <v>0</v>
      </c>
      <c r="AA124" s="55">
        <f t="shared" si="677"/>
        <v>0</v>
      </c>
      <c r="AB124" s="59">
        <f t="shared" si="678"/>
        <v>0</v>
      </c>
      <c r="AC124" s="60">
        <f t="shared" si="679"/>
        <v>0</v>
      </c>
      <c r="AD124" s="59">
        <f t="shared" si="680"/>
        <v>0</v>
      </c>
      <c r="AE124" s="60">
        <f t="shared" si="681"/>
        <v>0</v>
      </c>
      <c r="AF124" s="59">
        <f t="shared" si="682"/>
        <v>0</v>
      </c>
      <c r="AG124" s="60">
        <f t="shared" si="683"/>
        <v>0</v>
      </c>
      <c r="AH124" s="59">
        <f t="shared" si="684"/>
        <v>0</v>
      </c>
      <c r="AI124" s="55">
        <f t="shared" si="685"/>
        <v>0</v>
      </c>
      <c r="AJ124" s="59">
        <f t="shared" si="686"/>
        <v>0</v>
      </c>
      <c r="AK124" s="60">
        <f t="shared" si="687"/>
        <v>0</v>
      </c>
      <c r="AL124" s="59">
        <f t="shared" si="688"/>
        <v>0</v>
      </c>
      <c r="AM124" s="60">
        <f t="shared" si="689"/>
        <v>0</v>
      </c>
      <c r="AN124" s="59">
        <f t="shared" si="690"/>
        <v>0</v>
      </c>
      <c r="AO124" s="60">
        <f t="shared" si="691"/>
        <v>0</v>
      </c>
      <c r="AP124" s="59">
        <f t="shared" si="692"/>
        <v>0</v>
      </c>
      <c r="AQ124" s="60">
        <f t="shared" si="693"/>
        <v>0</v>
      </c>
      <c r="AR124" s="59">
        <f t="shared" si="694"/>
        <v>0</v>
      </c>
      <c r="AS124" s="55">
        <f t="shared" si="695"/>
        <v>0</v>
      </c>
      <c r="AT124" s="59">
        <f t="shared" si="696"/>
        <v>0</v>
      </c>
      <c r="AU124" s="60">
        <f t="shared" si="697"/>
        <v>0</v>
      </c>
      <c r="AV124" s="59">
        <f t="shared" si="698"/>
        <v>0</v>
      </c>
      <c r="AW124" s="60">
        <f t="shared" si="699"/>
        <v>0</v>
      </c>
      <c r="AX124" s="59">
        <f t="shared" si="700"/>
        <v>0</v>
      </c>
      <c r="AY124" s="55">
        <f t="shared" si="701"/>
        <v>0</v>
      </c>
      <c r="AZ124" s="59">
        <f t="shared" si="702"/>
        <v>0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03"/>
        <v>0.91</v>
      </c>
      <c r="BH124" s="55">
        <f t="shared" si="703"/>
        <v>0.89</v>
      </c>
      <c r="BI124" s="55">
        <f t="shared" si="703"/>
        <v>0.87</v>
      </c>
      <c r="BJ124" s="55">
        <f t="shared" si="703"/>
        <v>0.85</v>
      </c>
      <c r="BK124" s="55">
        <f t="shared" si="703"/>
        <v>0.83</v>
      </c>
      <c r="BL124" s="55">
        <f t="shared" si="703"/>
        <v>0.80999999999999994</v>
      </c>
      <c r="BM124" s="55">
        <f t="shared" si="703"/>
        <v>0.78999999999999992</v>
      </c>
      <c r="BN124" s="55">
        <f t="shared" si="703"/>
        <v>0.76999999999999991</v>
      </c>
      <c r="BO124" s="55">
        <f t="shared" si="703"/>
        <v>0.74999999999999989</v>
      </c>
      <c r="BP124" s="55">
        <f t="shared" si="703"/>
        <v>0.72999999999999987</v>
      </c>
      <c r="BQ124" s="55">
        <f t="shared" si="703"/>
        <v>0.70999999999999985</v>
      </c>
      <c r="BR124" s="55">
        <f t="shared" si="703"/>
        <v>0.68999999999999984</v>
      </c>
      <c r="BS124" s="55">
        <f t="shared" si="703"/>
        <v>0.66999999999999982</v>
      </c>
      <c r="BT124" s="55">
        <f t="shared" si="703"/>
        <v>0.6499999999999998</v>
      </c>
      <c r="BU124" s="55">
        <f t="shared" si="703"/>
        <v>0.62999999999999978</v>
      </c>
      <c r="BV124" s="55">
        <f t="shared" si="703"/>
        <v>0.60999999999999976</v>
      </c>
      <c r="BW124" s="55">
        <f t="shared" si="703"/>
        <v>0.58999999999999975</v>
      </c>
      <c r="BX124" s="55">
        <f t="shared" si="703"/>
        <v>0.56999999999999973</v>
      </c>
      <c r="BZ124" s="55">
        <f t="shared" si="508"/>
        <v>0</v>
      </c>
      <c r="CA124" s="55">
        <f t="shared" si="509"/>
        <v>0</v>
      </c>
      <c r="CB124" s="59">
        <f t="shared" si="704"/>
        <v>0</v>
      </c>
      <c r="CC124" s="55">
        <f t="shared" si="705"/>
        <v>0</v>
      </c>
      <c r="CD124" s="59">
        <f t="shared" si="706"/>
        <v>0</v>
      </c>
      <c r="CE124" s="55">
        <f t="shared" si="707"/>
        <v>0</v>
      </c>
      <c r="CF124" s="59">
        <f t="shared" si="708"/>
        <v>0</v>
      </c>
      <c r="CG124" s="55">
        <f t="shared" si="709"/>
        <v>0</v>
      </c>
      <c r="CH124" s="59">
        <f t="shared" si="710"/>
        <v>0</v>
      </c>
      <c r="CI124" s="57">
        <f t="shared" si="711"/>
        <v>0</v>
      </c>
      <c r="CJ124" s="59">
        <f t="shared" si="712"/>
        <v>0</v>
      </c>
      <c r="CK124" s="55">
        <f t="shared" si="713"/>
        <v>0</v>
      </c>
      <c r="CL124" s="59">
        <f t="shared" si="714"/>
        <v>0</v>
      </c>
      <c r="CM124" s="57">
        <f t="shared" si="715"/>
        <v>0</v>
      </c>
      <c r="CN124" s="59">
        <f t="shared" si="716"/>
        <v>0</v>
      </c>
      <c r="CO124" s="60">
        <f t="shared" si="717"/>
        <v>0</v>
      </c>
      <c r="CP124" s="59">
        <f t="shared" si="718"/>
        <v>0</v>
      </c>
      <c r="CQ124" s="57">
        <f t="shared" si="719"/>
        <v>0</v>
      </c>
      <c r="CR124" s="59">
        <f t="shared" si="720"/>
        <v>0</v>
      </c>
      <c r="CS124" s="55">
        <f t="shared" si="721"/>
        <v>0</v>
      </c>
      <c r="CT124" s="59">
        <f t="shared" si="722"/>
        <v>0</v>
      </c>
      <c r="CU124" s="60">
        <f t="shared" si="723"/>
        <v>0</v>
      </c>
      <c r="CV124" s="59">
        <f t="shared" si="724"/>
        <v>0</v>
      </c>
      <c r="CW124" s="60">
        <f t="shared" si="725"/>
        <v>0</v>
      </c>
      <c r="CX124" s="59">
        <f t="shared" si="726"/>
        <v>0</v>
      </c>
      <c r="CY124" s="60">
        <f t="shared" si="727"/>
        <v>0</v>
      </c>
      <c r="CZ124" s="59">
        <f t="shared" si="728"/>
        <v>0</v>
      </c>
      <c r="DA124" s="55">
        <f t="shared" si="729"/>
        <v>0</v>
      </c>
      <c r="DB124" s="59">
        <f t="shared" si="730"/>
        <v>0</v>
      </c>
      <c r="DC124" s="60">
        <f t="shared" si="731"/>
        <v>0</v>
      </c>
      <c r="DD124" s="59">
        <f t="shared" si="732"/>
        <v>0</v>
      </c>
      <c r="DE124" s="60">
        <f t="shared" si="733"/>
        <v>0</v>
      </c>
      <c r="DF124" s="59">
        <f t="shared" si="734"/>
        <v>0</v>
      </c>
      <c r="DG124" s="60">
        <f t="shared" si="735"/>
        <v>0</v>
      </c>
      <c r="DH124" s="59">
        <f t="shared" si="736"/>
        <v>0</v>
      </c>
      <c r="DI124" s="60">
        <f t="shared" si="737"/>
        <v>0</v>
      </c>
      <c r="DJ124" s="59">
        <f t="shared" si="738"/>
        <v>0</v>
      </c>
      <c r="DK124" s="55">
        <f t="shared" si="739"/>
        <v>0</v>
      </c>
      <c r="DL124" s="59">
        <f t="shared" si="740"/>
        <v>0</v>
      </c>
      <c r="DM124" s="60">
        <f t="shared" si="741"/>
        <v>0</v>
      </c>
      <c r="DN124" s="59">
        <f t="shared" si="742"/>
        <v>0</v>
      </c>
      <c r="DO124" s="60">
        <f t="shared" si="743"/>
        <v>0</v>
      </c>
      <c r="DP124" s="59">
        <f t="shared" si="744"/>
        <v>0</v>
      </c>
      <c r="DQ124" s="55">
        <f t="shared" si="745"/>
        <v>0</v>
      </c>
      <c r="DR124" s="59">
        <f t="shared" si="746"/>
        <v>0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792">+DX124-0.02</f>
        <v>0.91</v>
      </c>
      <c r="DZ124" s="55">
        <f t="shared" si="792"/>
        <v>0.89</v>
      </c>
      <c r="EA124" s="55">
        <f t="shared" si="792"/>
        <v>0.87</v>
      </c>
      <c r="EB124" s="55">
        <f t="shared" si="792"/>
        <v>0.85</v>
      </c>
      <c r="EC124" s="55">
        <f t="shared" si="792"/>
        <v>0.83</v>
      </c>
      <c r="ED124" s="55">
        <f t="shared" si="792"/>
        <v>0.80999999999999994</v>
      </c>
      <c r="EE124" s="55">
        <f t="shared" si="792"/>
        <v>0.78999999999999992</v>
      </c>
      <c r="EF124" s="55">
        <f t="shared" si="792"/>
        <v>0.76999999999999991</v>
      </c>
      <c r="EG124" s="55">
        <f t="shared" si="792"/>
        <v>0.74999999999999989</v>
      </c>
      <c r="EH124" s="55">
        <f t="shared" si="792"/>
        <v>0.72999999999999987</v>
      </c>
      <c r="EI124" s="55">
        <f t="shared" si="792"/>
        <v>0.70999999999999985</v>
      </c>
      <c r="EJ124" s="55">
        <f t="shared" si="792"/>
        <v>0.68999999999999984</v>
      </c>
      <c r="EK124" s="55">
        <f t="shared" si="792"/>
        <v>0.66999999999999982</v>
      </c>
      <c r="EL124" s="55">
        <f t="shared" si="792"/>
        <v>0.6499999999999998</v>
      </c>
      <c r="EM124" s="55">
        <f t="shared" si="792"/>
        <v>0.62999999999999978</v>
      </c>
      <c r="EN124" s="55">
        <f t="shared" si="792"/>
        <v>0.60999999999999976</v>
      </c>
      <c r="EO124" s="55">
        <f t="shared" si="792"/>
        <v>0.58999999999999975</v>
      </c>
      <c r="EP124" s="55">
        <f t="shared" si="792"/>
        <v>0.56999999999999973</v>
      </c>
      <c r="ER124" s="55">
        <f t="shared" si="648"/>
        <v>0</v>
      </c>
      <c r="ES124" s="55">
        <f t="shared" si="510"/>
        <v>0</v>
      </c>
      <c r="ET124" s="59">
        <f t="shared" si="747"/>
        <v>0</v>
      </c>
      <c r="EU124" s="55">
        <f t="shared" si="748"/>
        <v>0</v>
      </c>
      <c r="EV124" s="59">
        <f t="shared" si="749"/>
        <v>0</v>
      </c>
      <c r="EW124" s="55">
        <f t="shared" si="750"/>
        <v>0</v>
      </c>
      <c r="EX124" s="59">
        <f t="shared" si="751"/>
        <v>0</v>
      </c>
      <c r="EY124" s="55">
        <f t="shared" si="752"/>
        <v>0</v>
      </c>
      <c r="EZ124" s="59">
        <f t="shared" si="753"/>
        <v>0</v>
      </c>
      <c r="FA124" s="57">
        <f t="shared" si="754"/>
        <v>0</v>
      </c>
      <c r="FB124" s="59">
        <f t="shared" si="755"/>
        <v>0</v>
      </c>
      <c r="FC124" s="55">
        <f t="shared" si="756"/>
        <v>0</v>
      </c>
      <c r="FD124" s="59">
        <f t="shared" si="757"/>
        <v>0</v>
      </c>
      <c r="FE124" s="57">
        <f t="shared" si="758"/>
        <v>0</v>
      </c>
      <c r="FF124" s="59">
        <f t="shared" si="759"/>
        <v>0</v>
      </c>
      <c r="FG124" s="60">
        <f t="shared" si="760"/>
        <v>0</v>
      </c>
      <c r="FH124" s="59">
        <f t="shared" si="761"/>
        <v>0</v>
      </c>
      <c r="FI124" s="57">
        <f t="shared" si="762"/>
        <v>0</v>
      </c>
      <c r="FJ124" s="59">
        <f t="shared" si="763"/>
        <v>0</v>
      </c>
      <c r="FK124" s="55">
        <f t="shared" si="764"/>
        <v>0</v>
      </c>
      <c r="FL124" s="59">
        <f t="shared" si="765"/>
        <v>0</v>
      </c>
      <c r="FM124" s="60">
        <f t="shared" si="766"/>
        <v>0</v>
      </c>
      <c r="FN124" s="59">
        <f t="shared" si="767"/>
        <v>0</v>
      </c>
      <c r="FO124" s="60">
        <f t="shared" si="768"/>
        <v>0</v>
      </c>
      <c r="FP124" s="59">
        <f t="shared" si="769"/>
        <v>0</v>
      </c>
      <c r="FQ124" s="60">
        <f t="shared" si="770"/>
        <v>0</v>
      </c>
      <c r="FR124" s="59">
        <f t="shared" si="771"/>
        <v>0</v>
      </c>
      <c r="FS124" s="55">
        <f t="shared" si="772"/>
        <v>0</v>
      </c>
      <c r="FT124" s="59">
        <f t="shared" si="773"/>
        <v>0</v>
      </c>
      <c r="FU124" s="60">
        <f t="shared" si="774"/>
        <v>0</v>
      </c>
      <c r="FV124" s="59">
        <f t="shared" si="775"/>
        <v>0</v>
      </c>
      <c r="FW124" s="60">
        <f t="shared" si="776"/>
        <v>0</v>
      </c>
      <c r="FX124" s="59">
        <f t="shared" si="777"/>
        <v>0</v>
      </c>
      <c r="FY124" s="60">
        <f t="shared" si="778"/>
        <v>0</v>
      </c>
      <c r="FZ124" s="59">
        <f t="shared" si="779"/>
        <v>0</v>
      </c>
      <c r="GA124" s="60">
        <f t="shared" si="780"/>
        <v>0</v>
      </c>
      <c r="GB124" s="59">
        <f t="shared" si="781"/>
        <v>0</v>
      </c>
      <c r="GC124" s="55">
        <f t="shared" si="782"/>
        <v>0</v>
      </c>
      <c r="GD124" s="59">
        <f t="shared" si="783"/>
        <v>0</v>
      </c>
      <c r="GE124" s="60">
        <f t="shared" si="784"/>
        <v>0</v>
      </c>
      <c r="GF124" s="59">
        <f t="shared" si="785"/>
        <v>0</v>
      </c>
      <c r="GG124" s="60">
        <f t="shared" si="786"/>
        <v>0</v>
      </c>
      <c r="GH124" s="59">
        <f t="shared" si="787"/>
        <v>0</v>
      </c>
      <c r="GI124" s="55">
        <f t="shared" si="788"/>
        <v>0</v>
      </c>
      <c r="GJ124" s="59">
        <f t="shared" si="789"/>
        <v>0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793">+GP124-0.02</f>
        <v>0.91</v>
      </c>
      <c r="GR124" s="55">
        <f t="shared" si="793"/>
        <v>0.89</v>
      </c>
      <c r="GS124" s="55">
        <f t="shared" si="793"/>
        <v>0.87</v>
      </c>
      <c r="GT124" s="55">
        <f t="shared" si="793"/>
        <v>0.85</v>
      </c>
      <c r="GU124" s="55">
        <f t="shared" si="793"/>
        <v>0.83</v>
      </c>
      <c r="GV124" s="55">
        <f t="shared" si="793"/>
        <v>0.80999999999999994</v>
      </c>
      <c r="GW124" s="55">
        <f t="shared" si="793"/>
        <v>0.78999999999999992</v>
      </c>
      <c r="GX124" s="55">
        <f t="shared" si="793"/>
        <v>0.76999999999999991</v>
      </c>
      <c r="GY124" s="55">
        <f t="shared" si="793"/>
        <v>0.74999999999999989</v>
      </c>
      <c r="GZ124" s="55">
        <f t="shared" si="793"/>
        <v>0.72999999999999987</v>
      </c>
      <c r="HA124" s="55">
        <f t="shared" si="793"/>
        <v>0.70999999999999985</v>
      </c>
      <c r="HB124" s="55">
        <f t="shared" si="793"/>
        <v>0.68999999999999984</v>
      </c>
      <c r="HC124" s="55">
        <f t="shared" si="793"/>
        <v>0.66999999999999982</v>
      </c>
      <c r="HD124" s="55">
        <f t="shared" si="793"/>
        <v>0.6499999999999998</v>
      </c>
      <c r="HE124" s="55">
        <f t="shared" si="793"/>
        <v>0.62999999999999978</v>
      </c>
      <c r="HF124" s="55">
        <f t="shared" si="793"/>
        <v>0.60999999999999976</v>
      </c>
      <c r="HG124" s="55">
        <f t="shared" si="793"/>
        <v>0.58999999999999975</v>
      </c>
      <c r="HH124" s="55">
        <f t="shared" si="793"/>
        <v>0.56999999999999973</v>
      </c>
    </row>
    <row r="125" spans="1:216" x14ac:dyDescent="0.3">
      <c r="A125" s="2">
        <v>10</v>
      </c>
      <c r="C125" s="38" t="s">
        <v>150</v>
      </c>
      <c r="D125" s="42">
        <f>TRUNC(57705.427817565,-1)</f>
        <v>57700</v>
      </c>
      <c r="E125" s="71">
        <f t="shared" si="660"/>
        <v>190740</v>
      </c>
      <c r="H125" s="55">
        <f t="shared" si="505"/>
        <v>209814.00000000003</v>
      </c>
      <c r="I125" s="55">
        <f t="shared" si="506"/>
        <v>209814.00000000003</v>
      </c>
      <c r="J125" s="59">
        <f t="shared" si="507"/>
        <v>693603.12120000017</v>
      </c>
      <c r="K125" s="55">
        <f t="shared" si="661"/>
        <v>203519.58000000002</v>
      </c>
      <c r="L125" s="59">
        <f t="shared" si="662"/>
        <v>672795.02756400011</v>
      </c>
      <c r="M125" s="55">
        <f t="shared" si="663"/>
        <v>199323.30000000002</v>
      </c>
      <c r="N125" s="59">
        <f t="shared" si="664"/>
        <v>658922.9651400001</v>
      </c>
      <c r="O125" s="55">
        <f t="shared" si="665"/>
        <v>195127.02000000005</v>
      </c>
      <c r="P125" s="59">
        <f t="shared" si="666"/>
        <v>645050.90271600022</v>
      </c>
      <c r="Q125" s="57">
        <f t="shared" si="667"/>
        <v>190930.74000000002</v>
      </c>
      <c r="R125" s="59">
        <f t="shared" si="668"/>
        <v>631178.8402920001</v>
      </c>
      <c r="S125" s="55">
        <f t="shared" si="669"/>
        <v>186734.46000000002</v>
      </c>
      <c r="T125" s="59">
        <f t="shared" si="670"/>
        <v>617306.77786800009</v>
      </c>
      <c r="U125" s="57">
        <f t="shared" si="671"/>
        <v>182538.18000000002</v>
      </c>
      <c r="V125" s="59">
        <f t="shared" si="672"/>
        <v>603434.71544400009</v>
      </c>
      <c r="W125" s="60">
        <f t="shared" si="673"/>
        <v>178341.90000000002</v>
      </c>
      <c r="X125" s="59">
        <f t="shared" si="674"/>
        <v>589562.65302000009</v>
      </c>
      <c r="Y125" s="57">
        <f t="shared" si="675"/>
        <v>174145.62000000002</v>
      </c>
      <c r="Z125" s="59">
        <f t="shared" si="676"/>
        <v>575690.59059600008</v>
      </c>
      <c r="AA125" s="55">
        <f t="shared" si="677"/>
        <v>169949.34000000003</v>
      </c>
      <c r="AB125" s="59">
        <f t="shared" si="678"/>
        <v>561818.52817200008</v>
      </c>
      <c r="AC125" s="60">
        <f t="shared" si="679"/>
        <v>165753.06</v>
      </c>
      <c r="AD125" s="59">
        <f t="shared" si="680"/>
        <v>547946.46574799996</v>
      </c>
      <c r="AE125" s="60">
        <f t="shared" si="681"/>
        <v>161556.78</v>
      </c>
      <c r="AF125" s="59">
        <f t="shared" si="682"/>
        <v>534074.40332399996</v>
      </c>
      <c r="AG125" s="60">
        <f t="shared" si="683"/>
        <v>157360.5</v>
      </c>
      <c r="AH125" s="59">
        <f t="shared" si="684"/>
        <v>520202.34090000001</v>
      </c>
      <c r="AI125" s="55">
        <f t="shared" si="685"/>
        <v>153164.22</v>
      </c>
      <c r="AJ125" s="59">
        <f t="shared" si="686"/>
        <v>506330.27847600001</v>
      </c>
      <c r="AK125" s="60">
        <f t="shared" si="687"/>
        <v>148967.94</v>
      </c>
      <c r="AL125" s="59">
        <f t="shared" si="688"/>
        <v>492458.216052</v>
      </c>
      <c r="AM125" s="60">
        <f t="shared" si="689"/>
        <v>144771.65999999997</v>
      </c>
      <c r="AN125" s="59">
        <f t="shared" si="690"/>
        <v>478586.15362799994</v>
      </c>
      <c r="AO125" s="60">
        <f t="shared" si="691"/>
        <v>140575.37999999998</v>
      </c>
      <c r="AP125" s="59">
        <f t="shared" si="692"/>
        <v>464714.09120399994</v>
      </c>
      <c r="AQ125" s="60">
        <f t="shared" si="693"/>
        <v>136379.09999999998</v>
      </c>
      <c r="AR125" s="59">
        <f t="shared" si="694"/>
        <v>450842.02877999994</v>
      </c>
      <c r="AS125" s="55">
        <f t="shared" si="695"/>
        <v>132182.81999999998</v>
      </c>
      <c r="AT125" s="59">
        <f t="shared" si="696"/>
        <v>436969.96635599993</v>
      </c>
      <c r="AU125" s="60">
        <f t="shared" si="697"/>
        <v>127986.53999999996</v>
      </c>
      <c r="AV125" s="59">
        <f t="shared" si="698"/>
        <v>423097.90393199987</v>
      </c>
      <c r="AW125" s="60">
        <f t="shared" si="699"/>
        <v>123790.25999999997</v>
      </c>
      <c r="AX125" s="59">
        <f t="shared" si="700"/>
        <v>409225.84150799987</v>
      </c>
      <c r="AY125" s="55">
        <f t="shared" si="701"/>
        <v>119593.97999999997</v>
      </c>
      <c r="AZ125" s="59">
        <f t="shared" si="702"/>
        <v>395353.77908399992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03"/>
        <v>0.91</v>
      </c>
      <c r="BH125" s="55">
        <f t="shared" si="703"/>
        <v>0.89</v>
      </c>
      <c r="BI125" s="55">
        <f t="shared" si="703"/>
        <v>0.87</v>
      </c>
      <c r="BJ125" s="55">
        <f t="shared" si="703"/>
        <v>0.85</v>
      </c>
      <c r="BK125" s="55">
        <f t="shared" si="703"/>
        <v>0.83</v>
      </c>
      <c r="BL125" s="55">
        <f t="shared" si="703"/>
        <v>0.80999999999999994</v>
      </c>
      <c r="BM125" s="55">
        <f t="shared" si="703"/>
        <v>0.78999999999999992</v>
      </c>
      <c r="BN125" s="55">
        <f t="shared" si="703"/>
        <v>0.76999999999999991</v>
      </c>
      <c r="BO125" s="55">
        <f t="shared" si="703"/>
        <v>0.74999999999999989</v>
      </c>
      <c r="BP125" s="55">
        <f t="shared" si="703"/>
        <v>0.72999999999999987</v>
      </c>
      <c r="BQ125" s="55">
        <f t="shared" si="703"/>
        <v>0.70999999999999985</v>
      </c>
      <c r="BR125" s="55">
        <f t="shared" si="703"/>
        <v>0.68999999999999984</v>
      </c>
      <c r="BS125" s="55">
        <f t="shared" si="703"/>
        <v>0.66999999999999982</v>
      </c>
      <c r="BT125" s="55">
        <f t="shared" si="703"/>
        <v>0.6499999999999998</v>
      </c>
      <c r="BU125" s="55">
        <f t="shared" si="703"/>
        <v>0.62999999999999978</v>
      </c>
      <c r="BV125" s="55">
        <f t="shared" si="703"/>
        <v>0.60999999999999976</v>
      </c>
      <c r="BW125" s="55">
        <f t="shared" si="703"/>
        <v>0.58999999999999975</v>
      </c>
      <c r="BX125" s="55">
        <f t="shared" si="703"/>
        <v>0.56999999999999973</v>
      </c>
      <c r="BZ125" s="55">
        <f t="shared" si="508"/>
        <v>190930.74000000002</v>
      </c>
      <c r="CA125" s="55">
        <f t="shared" si="509"/>
        <v>190930.74000000002</v>
      </c>
      <c r="CB125" s="59">
        <f t="shared" si="704"/>
        <v>631178.8402920001</v>
      </c>
      <c r="CC125" s="55">
        <f t="shared" si="705"/>
        <v>185202.81780000002</v>
      </c>
      <c r="CD125" s="59">
        <f t="shared" si="706"/>
        <v>612243.47508324008</v>
      </c>
      <c r="CE125" s="55">
        <f t="shared" si="707"/>
        <v>181384.20300000001</v>
      </c>
      <c r="CF125" s="59">
        <f t="shared" si="708"/>
        <v>599619.89827740006</v>
      </c>
      <c r="CG125" s="55">
        <f t="shared" si="709"/>
        <v>177565.58820000003</v>
      </c>
      <c r="CH125" s="59">
        <f t="shared" si="710"/>
        <v>586996.32147156005</v>
      </c>
      <c r="CI125" s="57">
        <f t="shared" si="711"/>
        <v>173746.97340000002</v>
      </c>
      <c r="CJ125" s="59">
        <f t="shared" si="712"/>
        <v>574372.74466572003</v>
      </c>
      <c r="CK125" s="55">
        <f t="shared" si="713"/>
        <v>169928.35860000001</v>
      </c>
      <c r="CL125" s="59">
        <f t="shared" si="714"/>
        <v>561749.16785988002</v>
      </c>
      <c r="CM125" s="57">
        <f t="shared" si="715"/>
        <v>166109.74380000003</v>
      </c>
      <c r="CN125" s="59">
        <f t="shared" si="716"/>
        <v>549125.59105404012</v>
      </c>
      <c r="CO125" s="60">
        <f t="shared" si="717"/>
        <v>162291.12900000002</v>
      </c>
      <c r="CP125" s="59">
        <f t="shared" si="718"/>
        <v>536502.01424820011</v>
      </c>
      <c r="CQ125" s="57">
        <f t="shared" si="719"/>
        <v>158472.51420000001</v>
      </c>
      <c r="CR125" s="59">
        <f t="shared" si="720"/>
        <v>523878.43744236004</v>
      </c>
      <c r="CS125" s="55">
        <f t="shared" si="721"/>
        <v>154653.89939999999</v>
      </c>
      <c r="CT125" s="59">
        <f t="shared" si="722"/>
        <v>511254.86063651997</v>
      </c>
      <c r="CU125" s="60">
        <f t="shared" si="723"/>
        <v>150835.28460000001</v>
      </c>
      <c r="CV125" s="59">
        <f t="shared" si="724"/>
        <v>498631.28383068007</v>
      </c>
      <c r="CW125" s="60">
        <f t="shared" si="725"/>
        <v>147016.6698</v>
      </c>
      <c r="CX125" s="59">
        <f t="shared" si="726"/>
        <v>486007.70702484</v>
      </c>
      <c r="CY125" s="60">
        <f t="shared" si="727"/>
        <v>143198.05499999999</v>
      </c>
      <c r="CZ125" s="59">
        <f t="shared" si="728"/>
        <v>473384.13021899998</v>
      </c>
      <c r="DA125" s="55">
        <f t="shared" si="729"/>
        <v>139379.44019999998</v>
      </c>
      <c r="DB125" s="59">
        <f t="shared" si="730"/>
        <v>460760.55341315997</v>
      </c>
      <c r="DC125" s="60">
        <f t="shared" si="731"/>
        <v>135560.82539999997</v>
      </c>
      <c r="DD125" s="59">
        <f t="shared" si="732"/>
        <v>448136.9766073199</v>
      </c>
      <c r="DE125" s="60">
        <f t="shared" si="733"/>
        <v>131742.21059999999</v>
      </c>
      <c r="DF125" s="59">
        <f t="shared" si="734"/>
        <v>435513.39980148</v>
      </c>
      <c r="DG125" s="60">
        <f t="shared" si="735"/>
        <v>127923.59579999998</v>
      </c>
      <c r="DH125" s="59">
        <f t="shared" si="736"/>
        <v>422889.82299563993</v>
      </c>
      <c r="DI125" s="60">
        <f t="shared" si="737"/>
        <v>124104.98099999997</v>
      </c>
      <c r="DJ125" s="59">
        <f t="shared" si="738"/>
        <v>410266.24618979992</v>
      </c>
      <c r="DK125" s="55">
        <f t="shared" si="739"/>
        <v>120286.36619999997</v>
      </c>
      <c r="DL125" s="59">
        <f t="shared" si="740"/>
        <v>397642.6693839599</v>
      </c>
      <c r="DM125" s="60">
        <f t="shared" si="741"/>
        <v>116467.75139999996</v>
      </c>
      <c r="DN125" s="59">
        <f t="shared" si="742"/>
        <v>385019.09257811989</v>
      </c>
      <c r="DO125" s="60">
        <f t="shared" si="743"/>
        <v>112649.13659999997</v>
      </c>
      <c r="DP125" s="59">
        <f t="shared" si="744"/>
        <v>372395.51577227993</v>
      </c>
      <c r="DQ125" s="55">
        <f t="shared" si="745"/>
        <v>108830.52179999996</v>
      </c>
      <c r="DR125" s="59">
        <f t="shared" si="746"/>
        <v>359771.93896643986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792"/>
        <v>0.91</v>
      </c>
      <c r="DZ125" s="55">
        <f t="shared" si="792"/>
        <v>0.89</v>
      </c>
      <c r="EA125" s="55">
        <f t="shared" si="792"/>
        <v>0.87</v>
      </c>
      <c r="EB125" s="55">
        <f t="shared" si="792"/>
        <v>0.85</v>
      </c>
      <c r="EC125" s="55">
        <f t="shared" si="792"/>
        <v>0.83</v>
      </c>
      <c r="ED125" s="55">
        <f t="shared" si="792"/>
        <v>0.80999999999999994</v>
      </c>
      <c r="EE125" s="55">
        <f t="shared" si="792"/>
        <v>0.78999999999999992</v>
      </c>
      <c r="EF125" s="55">
        <f t="shared" si="792"/>
        <v>0.76999999999999991</v>
      </c>
      <c r="EG125" s="55">
        <f t="shared" si="792"/>
        <v>0.74999999999999989</v>
      </c>
      <c r="EH125" s="55">
        <f t="shared" si="792"/>
        <v>0.72999999999999987</v>
      </c>
      <c r="EI125" s="55">
        <f t="shared" si="792"/>
        <v>0.70999999999999985</v>
      </c>
      <c r="EJ125" s="55">
        <f t="shared" si="792"/>
        <v>0.68999999999999984</v>
      </c>
      <c r="EK125" s="55">
        <f t="shared" si="792"/>
        <v>0.66999999999999982</v>
      </c>
      <c r="EL125" s="55">
        <f t="shared" si="792"/>
        <v>0.6499999999999998</v>
      </c>
      <c r="EM125" s="55">
        <f t="shared" si="792"/>
        <v>0.62999999999999978</v>
      </c>
      <c r="EN125" s="55">
        <f t="shared" si="792"/>
        <v>0.60999999999999976</v>
      </c>
      <c r="EO125" s="55">
        <f t="shared" si="792"/>
        <v>0.58999999999999975</v>
      </c>
      <c r="EP125" s="55">
        <f t="shared" si="792"/>
        <v>0.56999999999999973</v>
      </c>
      <c r="ER125" s="55">
        <f t="shared" si="648"/>
        <v>173746.97340000002</v>
      </c>
      <c r="ES125" s="55">
        <f t="shared" si="510"/>
        <v>173746.97340000002</v>
      </c>
      <c r="ET125" s="59">
        <f t="shared" si="747"/>
        <v>574372.74466572003</v>
      </c>
      <c r="EU125" s="55">
        <f t="shared" si="748"/>
        <v>168534.56419800001</v>
      </c>
      <c r="EV125" s="59">
        <f t="shared" si="749"/>
        <v>557141.56232574838</v>
      </c>
      <c r="EW125" s="55">
        <f t="shared" si="750"/>
        <v>165059.62473000001</v>
      </c>
      <c r="EX125" s="59">
        <f t="shared" si="751"/>
        <v>545654.1074324341</v>
      </c>
      <c r="EY125" s="55">
        <f t="shared" si="752"/>
        <v>161584.68526200001</v>
      </c>
      <c r="EZ125" s="59">
        <f t="shared" si="753"/>
        <v>534166.65253911971</v>
      </c>
      <c r="FA125" s="57">
        <f t="shared" si="754"/>
        <v>158109.74579400002</v>
      </c>
      <c r="FB125" s="59">
        <f t="shared" si="755"/>
        <v>522679.19764580525</v>
      </c>
      <c r="FC125" s="55">
        <f t="shared" si="756"/>
        <v>154634.80632600002</v>
      </c>
      <c r="FD125" s="59">
        <f t="shared" si="757"/>
        <v>511191.74275249086</v>
      </c>
      <c r="FE125" s="57">
        <f t="shared" si="758"/>
        <v>151159.86685800002</v>
      </c>
      <c r="FF125" s="59">
        <f t="shared" si="759"/>
        <v>499704.28785917646</v>
      </c>
      <c r="FG125" s="60">
        <f t="shared" si="760"/>
        <v>147684.92739</v>
      </c>
      <c r="FH125" s="59">
        <f t="shared" si="761"/>
        <v>488216.83296586201</v>
      </c>
      <c r="FI125" s="57">
        <f t="shared" si="762"/>
        <v>144209.987922</v>
      </c>
      <c r="FJ125" s="59">
        <f t="shared" si="763"/>
        <v>476729.37807254761</v>
      </c>
      <c r="FK125" s="55">
        <f t="shared" si="764"/>
        <v>140735.048454</v>
      </c>
      <c r="FL125" s="59">
        <f t="shared" si="765"/>
        <v>465241.92317923321</v>
      </c>
      <c r="FM125" s="60">
        <f t="shared" si="766"/>
        <v>137260.10898600001</v>
      </c>
      <c r="FN125" s="59">
        <f t="shared" si="767"/>
        <v>453754.46828591882</v>
      </c>
      <c r="FO125" s="60">
        <f t="shared" si="768"/>
        <v>133785.16951800001</v>
      </c>
      <c r="FP125" s="59">
        <f t="shared" si="769"/>
        <v>442267.01339260442</v>
      </c>
      <c r="FQ125" s="60">
        <f t="shared" si="770"/>
        <v>130310.23005</v>
      </c>
      <c r="FR125" s="59">
        <f t="shared" si="771"/>
        <v>430779.55849929003</v>
      </c>
      <c r="FS125" s="55">
        <f t="shared" si="772"/>
        <v>126835.29058199999</v>
      </c>
      <c r="FT125" s="59">
        <f t="shared" si="773"/>
        <v>419292.10360597557</v>
      </c>
      <c r="FU125" s="60">
        <f t="shared" si="774"/>
        <v>123360.35111399999</v>
      </c>
      <c r="FV125" s="59">
        <f t="shared" si="775"/>
        <v>407804.64871266118</v>
      </c>
      <c r="FW125" s="60">
        <f t="shared" si="776"/>
        <v>119885.41164599998</v>
      </c>
      <c r="FX125" s="59">
        <f t="shared" si="777"/>
        <v>396317.19381934672</v>
      </c>
      <c r="FY125" s="60">
        <f t="shared" si="778"/>
        <v>116410.47217799998</v>
      </c>
      <c r="FZ125" s="59">
        <f t="shared" si="779"/>
        <v>384829.73892603233</v>
      </c>
      <c r="GA125" s="60">
        <f t="shared" si="780"/>
        <v>112935.53270999997</v>
      </c>
      <c r="GB125" s="59">
        <f t="shared" si="781"/>
        <v>373342.28403271793</v>
      </c>
      <c r="GC125" s="55">
        <f t="shared" si="782"/>
        <v>109460.59324199997</v>
      </c>
      <c r="GD125" s="59">
        <f t="shared" si="783"/>
        <v>361854.82913940353</v>
      </c>
      <c r="GE125" s="60">
        <f t="shared" si="784"/>
        <v>105985.65377399998</v>
      </c>
      <c r="GF125" s="59">
        <f t="shared" si="785"/>
        <v>350367.37424608914</v>
      </c>
      <c r="GG125" s="60">
        <f t="shared" si="786"/>
        <v>102510.71430599997</v>
      </c>
      <c r="GH125" s="59">
        <f t="shared" si="787"/>
        <v>338879.91935277468</v>
      </c>
      <c r="GI125" s="55">
        <f t="shared" si="788"/>
        <v>99035.774837999968</v>
      </c>
      <c r="GJ125" s="59">
        <f t="shared" si="789"/>
        <v>327392.46445946029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793"/>
        <v>0.91</v>
      </c>
      <c r="GR125" s="55">
        <f t="shared" si="793"/>
        <v>0.89</v>
      </c>
      <c r="GS125" s="55">
        <f t="shared" si="793"/>
        <v>0.87</v>
      </c>
      <c r="GT125" s="55">
        <f t="shared" si="793"/>
        <v>0.85</v>
      </c>
      <c r="GU125" s="55">
        <f t="shared" si="793"/>
        <v>0.83</v>
      </c>
      <c r="GV125" s="55">
        <f t="shared" si="793"/>
        <v>0.80999999999999994</v>
      </c>
      <c r="GW125" s="55">
        <f t="shared" si="793"/>
        <v>0.78999999999999992</v>
      </c>
      <c r="GX125" s="55">
        <f t="shared" si="793"/>
        <v>0.76999999999999991</v>
      </c>
      <c r="GY125" s="55">
        <f t="shared" si="793"/>
        <v>0.74999999999999989</v>
      </c>
      <c r="GZ125" s="55">
        <f t="shared" si="793"/>
        <v>0.72999999999999987</v>
      </c>
      <c r="HA125" s="55">
        <f t="shared" si="793"/>
        <v>0.70999999999999985</v>
      </c>
      <c r="HB125" s="55">
        <f t="shared" si="793"/>
        <v>0.68999999999999984</v>
      </c>
      <c r="HC125" s="55">
        <f t="shared" si="793"/>
        <v>0.66999999999999982</v>
      </c>
      <c r="HD125" s="55">
        <f t="shared" si="793"/>
        <v>0.6499999999999998</v>
      </c>
      <c r="HE125" s="55">
        <f t="shared" si="793"/>
        <v>0.62999999999999978</v>
      </c>
      <c r="HF125" s="55">
        <f t="shared" si="793"/>
        <v>0.60999999999999976</v>
      </c>
      <c r="HG125" s="55">
        <f t="shared" si="793"/>
        <v>0.58999999999999975</v>
      </c>
      <c r="HH125" s="55">
        <f t="shared" si="793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TRUNC(805.563513004146,-1)</f>
        <v>800</v>
      </c>
      <c r="E126" s="72">
        <f t="shared" si="660"/>
        <v>2640</v>
      </c>
      <c r="F126" s="54" t="s">
        <v>317</v>
      </c>
      <c r="H126" s="55">
        <f t="shared" si="505"/>
        <v>2904.0000000000005</v>
      </c>
      <c r="I126" s="55">
        <f t="shared" si="506"/>
        <v>2904.0000000000005</v>
      </c>
      <c r="J126" s="59">
        <f t="shared" si="507"/>
        <v>9600.0432000000019</v>
      </c>
      <c r="K126" s="55">
        <f t="shared" si="661"/>
        <v>2816.8800000000006</v>
      </c>
      <c r="L126" s="59">
        <f t="shared" si="662"/>
        <v>9312.0419040000015</v>
      </c>
      <c r="M126" s="55">
        <f t="shared" si="663"/>
        <v>2758.8</v>
      </c>
      <c r="N126" s="59">
        <f t="shared" si="664"/>
        <v>9120.0410400000001</v>
      </c>
      <c r="O126" s="55">
        <f t="shared" si="665"/>
        <v>2700.7200000000007</v>
      </c>
      <c r="P126" s="59">
        <f t="shared" si="666"/>
        <v>8928.0401760000022</v>
      </c>
      <c r="Q126" s="57">
        <f t="shared" si="667"/>
        <v>2642.6400000000003</v>
      </c>
      <c r="R126" s="59">
        <f t="shared" si="668"/>
        <v>8736.0393120000008</v>
      </c>
      <c r="S126" s="55">
        <f t="shared" si="669"/>
        <v>2584.5600000000004</v>
      </c>
      <c r="T126" s="59">
        <f t="shared" si="670"/>
        <v>8544.0384480000012</v>
      </c>
      <c r="U126" s="57">
        <f t="shared" si="671"/>
        <v>2526.4800000000005</v>
      </c>
      <c r="V126" s="59">
        <f t="shared" si="672"/>
        <v>8352.0375840000015</v>
      </c>
      <c r="W126" s="60">
        <f t="shared" si="673"/>
        <v>2468.4000000000005</v>
      </c>
      <c r="X126" s="59">
        <f t="shared" si="674"/>
        <v>8160.0367200000019</v>
      </c>
      <c r="Y126" s="57">
        <f t="shared" si="675"/>
        <v>2410.3200000000002</v>
      </c>
      <c r="Z126" s="59">
        <f t="shared" si="676"/>
        <v>7968.0358560000004</v>
      </c>
      <c r="AA126" s="55">
        <f t="shared" si="677"/>
        <v>2352.2400000000002</v>
      </c>
      <c r="AB126" s="59">
        <f t="shared" si="678"/>
        <v>7776.0349920000008</v>
      </c>
      <c r="AC126" s="60">
        <f t="shared" si="679"/>
        <v>2294.1600000000003</v>
      </c>
      <c r="AD126" s="59">
        <f t="shared" si="680"/>
        <v>7584.0341280000011</v>
      </c>
      <c r="AE126" s="60">
        <f t="shared" si="681"/>
        <v>2236.08</v>
      </c>
      <c r="AF126" s="59">
        <f t="shared" si="682"/>
        <v>7392.0332639999997</v>
      </c>
      <c r="AG126" s="60">
        <f t="shared" si="683"/>
        <v>2178</v>
      </c>
      <c r="AH126" s="59">
        <f t="shared" si="684"/>
        <v>7200.0324000000001</v>
      </c>
      <c r="AI126" s="55">
        <f t="shared" si="685"/>
        <v>2119.92</v>
      </c>
      <c r="AJ126" s="59">
        <f t="shared" si="686"/>
        <v>7008.0315360000004</v>
      </c>
      <c r="AK126" s="60">
        <f t="shared" si="687"/>
        <v>2061.8399999999997</v>
      </c>
      <c r="AL126" s="59">
        <f t="shared" si="688"/>
        <v>6816.030671999999</v>
      </c>
      <c r="AM126" s="60">
        <f t="shared" si="689"/>
        <v>2003.7599999999998</v>
      </c>
      <c r="AN126" s="59">
        <f t="shared" si="690"/>
        <v>6624.0298079999993</v>
      </c>
      <c r="AO126" s="60">
        <f t="shared" si="691"/>
        <v>1945.6799999999998</v>
      </c>
      <c r="AP126" s="59">
        <f t="shared" si="692"/>
        <v>6432.0289439999997</v>
      </c>
      <c r="AQ126" s="60">
        <f t="shared" si="693"/>
        <v>1887.5999999999997</v>
      </c>
      <c r="AR126" s="59">
        <f t="shared" si="694"/>
        <v>6240.0280799999991</v>
      </c>
      <c r="AS126" s="55">
        <f t="shared" si="695"/>
        <v>1829.5199999999998</v>
      </c>
      <c r="AT126" s="59">
        <f t="shared" si="696"/>
        <v>6048.0272159999995</v>
      </c>
      <c r="AU126" s="60">
        <f t="shared" si="697"/>
        <v>1771.4399999999996</v>
      </c>
      <c r="AV126" s="59">
        <f t="shared" si="698"/>
        <v>5856.026351999999</v>
      </c>
      <c r="AW126" s="60">
        <f t="shared" si="699"/>
        <v>1713.3599999999994</v>
      </c>
      <c r="AX126" s="59">
        <f t="shared" si="700"/>
        <v>5664.0254879999984</v>
      </c>
      <c r="AY126" s="55">
        <f t="shared" si="701"/>
        <v>1655.2799999999995</v>
      </c>
      <c r="AZ126" s="59">
        <f t="shared" si="702"/>
        <v>5472.0246239999988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03"/>
        <v>0.91</v>
      </c>
      <c r="BH126" s="55">
        <f t="shared" si="703"/>
        <v>0.89</v>
      </c>
      <c r="BI126" s="55">
        <f t="shared" si="703"/>
        <v>0.87</v>
      </c>
      <c r="BJ126" s="55">
        <f t="shared" si="703"/>
        <v>0.85</v>
      </c>
      <c r="BK126" s="55">
        <f t="shared" si="703"/>
        <v>0.83</v>
      </c>
      <c r="BL126" s="55">
        <f t="shared" si="703"/>
        <v>0.80999999999999994</v>
      </c>
      <c r="BM126" s="55">
        <f t="shared" si="703"/>
        <v>0.78999999999999992</v>
      </c>
      <c r="BN126" s="55">
        <f t="shared" si="703"/>
        <v>0.76999999999999991</v>
      </c>
      <c r="BO126" s="55">
        <f t="shared" si="703"/>
        <v>0.74999999999999989</v>
      </c>
      <c r="BP126" s="55">
        <f t="shared" si="703"/>
        <v>0.72999999999999987</v>
      </c>
      <c r="BQ126" s="55">
        <f t="shared" si="703"/>
        <v>0.70999999999999985</v>
      </c>
      <c r="BR126" s="55">
        <f t="shared" si="703"/>
        <v>0.68999999999999984</v>
      </c>
      <c r="BS126" s="55">
        <f t="shared" si="703"/>
        <v>0.66999999999999982</v>
      </c>
      <c r="BT126" s="55">
        <f t="shared" si="703"/>
        <v>0.6499999999999998</v>
      </c>
      <c r="BU126" s="55">
        <f t="shared" si="703"/>
        <v>0.62999999999999978</v>
      </c>
      <c r="BV126" s="55">
        <f t="shared" si="703"/>
        <v>0.60999999999999976</v>
      </c>
      <c r="BW126" s="55">
        <f t="shared" si="703"/>
        <v>0.58999999999999975</v>
      </c>
      <c r="BX126" s="55">
        <f t="shared" si="703"/>
        <v>0.56999999999999973</v>
      </c>
      <c r="BZ126" s="55">
        <f t="shared" si="508"/>
        <v>2642.6400000000003</v>
      </c>
      <c r="CA126" s="55">
        <f t="shared" si="509"/>
        <v>2642.6400000000003</v>
      </c>
      <c r="CB126" s="59">
        <f t="shared" si="704"/>
        <v>8736.0393120000008</v>
      </c>
      <c r="CC126" s="55">
        <f t="shared" si="705"/>
        <v>2563.3608000000004</v>
      </c>
      <c r="CD126" s="59">
        <f t="shared" si="706"/>
        <v>8473.9581326400021</v>
      </c>
      <c r="CE126" s="55">
        <f t="shared" si="707"/>
        <v>2510.5080000000003</v>
      </c>
      <c r="CF126" s="59">
        <f t="shared" si="708"/>
        <v>8299.2373464000011</v>
      </c>
      <c r="CG126" s="55">
        <f t="shared" si="709"/>
        <v>2457.6552000000006</v>
      </c>
      <c r="CH126" s="59">
        <f t="shared" si="710"/>
        <v>8124.516560160002</v>
      </c>
      <c r="CI126" s="57">
        <f t="shared" si="711"/>
        <v>2404.8024000000005</v>
      </c>
      <c r="CJ126" s="59">
        <f t="shared" si="712"/>
        <v>7949.7957739200019</v>
      </c>
      <c r="CK126" s="55">
        <f t="shared" si="713"/>
        <v>2351.9496000000004</v>
      </c>
      <c r="CL126" s="59">
        <f t="shared" si="714"/>
        <v>7775.074987680001</v>
      </c>
      <c r="CM126" s="57">
        <f t="shared" si="715"/>
        <v>2299.0968000000003</v>
      </c>
      <c r="CN126" s="59">
        <f t="shared" si="716"/>
        <v>7600.3542014400009</v>
      </c>
      <c r="CO126" s="60">
        <f t="shared" si="717"/>
        <v>2246.2440000000001</v>
      </c>
      <c r="CP126" s="59">
        <f t="shared" si="718"/>
        <v>7425.6334152000009</v>
      </c>
      <c r="CQ126" s="57">
        <f t="shared" si="719"/>
        <v>2193.3912</v>
      </c>
      <c r="CR126" s="59">
        <f t="shared" si="720"/>
        <v>7250.9126289599999</v>
      </c>
      <c r="CS126" s="55">
        <f t="shared" si="721"/>
        <v>2140.5383999999999</v>
      </c>
      <c r="CT126" s="59">
        <f t="shared" si="722"/>
        <v>7076.1918427199998</v>
      </c>
      <c r="CU126" s="60">
        <f t="shared" si="723"/>
        <v>2087.6856000000002</v>
      </c>
      <c r="CV126" s="59">
        <f t="shared" si="724"/>
        <v>6901.4710564800007</v>
      </c>
      <c r="CW126" s="60">
        <f t="shared" si="725"/>
        <v>2034.8327999999999</v>
      </c>
      <c r="CX126" s="59">
        <f t="shared" si="726"/>
        <v>6726.7502702399997</v>
      </c>
      <c r="CY126" s="60">
        <f t="shared" si="727"/>
        <v>1981.98</v>
      </c>
      <c r="CZ126" s="59">
        <f t="shared" si="728"/>
        <v>6552.0294840000006</v>
      </c>
      <c r="DA126" s="55">
        <f t="shared" si="729"/>
        <v>1929.1271999999999</v>
      </c>
      <c r="DB126" s="59">
        <f t="shared" si="730"/>
        <v>6377.3086977599996</v>
      </c>
      <c r="DC126" s="60">
        <f t="shared" si="731"/>
        <v>1876.2743999999998</v>
      </c>
      <c r="DD126" s="59">
        <f t="shared" si="732"/>
        <v>6202.5879115199996</v>
      </c>
      <c r="DE126" s="60">
        <f t="shared" si="733"/>
        <v>1823.4215999999999</v>
      </c>
      <c r="DF126" s="59">
        <f t="shared" si="734"/>
        <v>6027.8671252799995</v>
      </c>
      <c r="DG126" s="60">
        <f t="shared" si="735"/>
        <v>1770.5687999999998</v>
      </c>
      <c r="DH126" s="59">
        <f t="shared" si="736"/>
        <v>5853.1463390399995</v>
      </c>
      <c r="DI126" s="60">
        <f t="shared" si="737"/>
        <v>1717.7159999999997</v>
      </c>
      <c r="DJ126" s="59">
        <f t="shared" si="738"/>
        <v>5678.4255527999994</v>
      </c>
      <c r="DK126" s="55">
        <f t="shared" si="739"/>
        <v>1664.8631999999996</v>
      </c>
      <c r="DL126" s="59">
        <f t="shared" si="740"/>
        <v>5503.7047665599985</v>
      </c>
      <c r="DM126" s="60">
        <f t="shared" si="741"/>
        <v>1612.0103999999997</v>
      </c>
      <c r="DN126" s="59">
        <f t="shared" si="742"/>
        <v>5328.9839803199993</v>
      </c>
      <c r="DO126" s="60">
        <f t="shared" si="743"/>
        <v>1559.1575999999995</v>
      </c>
      <c r="DP126" s="59">
        <f t="shared" si="744"/>
        <v>5154.2631940799984</v>
      </c>
      <c r="DQ126" s="55">
        <f t="shared" si="745"/>
        <v>1506.3047999999994</v>
      </c>
      <c r="DR126" s="59">
        <f t="shared" si="746"/>
        <v>4979.5424078399983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792"/>
        <v>0.91</v>
      </c>
      <c r="DZ126" s="55">
        <f t="shared" si="792"/>
        <v>0.89</v>
      </c>
      <c r="EA126" s="55">
        <f t="shared" si="792"/>
        <v>0.87</v>
      </c>
      <c r="EB126" s="55">
        <f t="shared" si="792"/>
        <v>0.85</v>
      </c>
      <c r="EC126" s="55">
        <f t="shared" si="792"/>
        <v>0.83</v>
      </c>
      <c r="ED126" s="55">
        <f t="shared" si="792"/>
        <v>0.80999999999999994</v>
      </c>
      <c r="EE126" s="55">
        <f t="shared" si="792"/>
        <v>0.78999999999999992</v>
      </c>
      <c r="EF126" s="55">
        <f t="shared" si="792"/>
        <v>0.76999999999999991</v>
      </c>
      <c r="EG126" s="55">
        <f t="shared" si="792"/>
        <v>0.74999999999999989</v>
      </c>
      <c r="EH126" s="55">
        <f t="shared" si="792"/>
        <v>0.72999999999999987</v>
      </c>
      <c r="EI126" s="55">
        <f t="shared" si="792"/>
        <v>0.70999999999999985</v>
      </c>
      <c r="EJ126" s="55">
        <f t="shared" si="792"/>
        <v>0.68999999999999984</v>
      </c>
      <c r="EK126" s="55">
        <f t="shared" si="792"/>
        <v>0.66999999999999982</v>
      </c>
      <c r="EL126" s="55">
        <f t="shared" si="792"/>
        <v>0.6499999999999998</v>
      </c>
      <c r="EM126" s="55">
        <f t="shared" si="792"/>
        <v>0.62999999999999978</v>
      </c>
      <c r="EN126" s="55">
        <f t="shared" si="792"/>
        <v>0.60999999999999976</v>
      </c>
      <c r="EO126" s="55">
        <f t="shared" si="792"/>
        <v>0.58999999999999975</v>
      </c>
      <c r="EP126" s="55">
        <f t="shared" si="792"/>
        <v>0.56999999999999973</v>
      </c>
      <c r="ER126" s="55">
        <f t="shared" si="648"/>
        <v>2404.8024000000005</v>
      </c>
      <c r="ES126" s="55">
        <f t="shared" si="510"/>
        <v>2404.8024000000005</v>
      </c>
      <c r="ET126" s="59">
        <f t="shared" si="747"/>
        <v>7949.7957739200019</v>
      </c>
      <c r="EU126" s="55">
        <f t="shared" si="748"/>
        <v>2332.6583280000004</v>
      </c>
      <c r="EV126" s="59">
        <f t="shared" si="749"/>
        <v>7711.3019007024013</v>
      </c>
      <c r="EW126" s="55">
        <f t="shared" si="750"/>
        <v>2284.5622800000006</v>
      </c>
      <c r="EX126" s="59">
        <f t="shared" si="751"/>
        <v>7552.3059852240021</v>
      </c>
      <c r="EY126" s="55">
        <f t="shared" si="752"/>
        <v>2236.4662320000007</v>
      </c>
      <c r="EZ126" s="59">
        <f t="shared" si="753"/>
        <v>7393.310069745602</v>
      </c>
      <c r="FA126" s="57">
        <f t="shared" si="754"/>
        <v>2188.3701840000003</v>
      </c>
      <c r="FB126" s="59">
        <f t="shared" si="755"/>
        <v>7234.314154267201</v>
      </c>
      <c r="FC126" s="55">
        <f t="shared" si="756"/>
        <v>2140.2741360000005</v>
      </c>
      <c r="FD126" s="59">
        <f t="shared" si="757"/>
        <v>7075.3182387888019</v>
      </c>
      <c r="FE126" s="57">
        <f t="shared" si="758"/>
        <v>2092.1780880000006</v>
      </c>
      <c r="FF126" s="59">
        <f t="shared" si="759"/>
        <v>6916.3223233104018</v>
      </c>
      <c r="FG126" s="60">
        <f t="shared" si="760"/>
        <v>2044.0820400000005</v>
      </c>
      <c r="FH126" s="59">
        <f t="shared" si="761"/>
        <v>6757.3264078320017</v>
      </c>
      <c r="FI126" s="57">
        <f t="shared" si="762"/>
        <v>1995.9859920000004</v>
      </c>
      <c r="FJ126" s="59">
        <f t="shared" si="763"/>
        <v>6598.3304923536016</v>
      </c>
      <c r="FK126" s="55">
        <f t="shared" si="764"/>
        <v>1947.8899440000002</v>
      </c>
      <c r="FL126" s="59">
        <f t="shared" si="765"/>
        <v>6439.3345768752006</v>
      </c>
      <c r="FM126" s="60">
        <f t="shared" si="766"/>
        <v>1899.7938960000001</v>
      </c>
      <c r="FN126" s="59">
        <f t="shared" si="767"/>
        <v>6280.3386613968005</v>
      </c>
      <c r="FO126" s="60">
        <f t="shared" si="768"/>
        <v>1851.6978480000002</v>
      </c>
      <c r="FP126" s="59">
        <f t="shared" si="769"/>
        <v>6121.3427459184013</v>
      </c>
      <c r="FQ126" s="60">
        <f t="shared" si="770"/>
        <v>1803.6018000000001</v>
      </c>
      <c r="FR126" s="59">
        <f t="shared" si="771"/>
        <v>5962.3468304400003</v>
      </c>
      <c r="FS126" s="55">
        <f t="shared" si="772"/>
        <v>1755.505752</v>
      </c>
      <c r="FT126" s="59">
        <f t="shared" si="773"/>
        <v>5803.3509149616002</v>
      </c>
      <c r="FU126" s="60">
        <f t="shared" si="774"/>
        <v>1707.4097039999999</v>
      </c>
      <c r="FV126" s="59">
        <f t="shared" si="775"/>
        <v>5644.3549994832001</v>
      </c>
      <c r="FW126" s="60">
        <f t="shared" si="776"/>
        <v>1659.313656</v>
      </c>
      <c r="FX126" s="59">
        <f t="shared" si="777"/>
        <v>5485.3590840048</v>
      </c>
      <c r="FY126" s="60">
        <f t="shared" si="778"/>
        <v>1611.2176079999999</v>
      </c>
      <c r="FZ126" s="59">
        <f t="shared" si="779"/>
        <v>5326.3631685263999</v>
      </c>
      <c r="GA126" s="60">
        <f t="shared" si="780"/>
        <v>1563.1215599999998</v>
      </c>
      <c r="GB126" s="59">
        <f t="shared" si="781"/>
        <v>5167.3672530479998</v>
      </c>
      <c r="GC126" s="55">
        <f t="shared" si="782"/>
        <v>1515.0255119999997</v>
      </c>
      <c r="GD126" s="59">
        <f t="shared" si="783"/>
        <v>5008.3713375695988</v>
      </c>
      <c r="GE126" s="60">
        <f t="shared" si="784"/>
        <v>1466.9294639999998</v>
      </c>
      <c r="GF126" s="59">
        <f t="shared" si="785"/>
        <v>4849.3754220911997</v>
      </c>
      <c r="GG126" s="60">
        <f t="shared" si="786"/>
        <v>1418.8334159999997</v>
      </c>
      <c r="GH126" s="59">
        <f t="shared" si="787"/>
        <v>4690.3795066127996</v>
      </c>
      <c r="GI126" s="55">
        <f t="shared" si="788"/>
        <v>1370.7373679999996</v>
      </c>
      <c r="GJ126" s="59">
        <f t="shared" si="789"/>
        <v>4531.3835911343986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793"/>
        <v>0.91</v>
      </c>
      <c r="GR126" s="55">
        <f t="shared" si="793"/>
        <v>0.89</v>
      </c>
      <c r="GS126" s="55">
        <f t="shared" si="793"/>
        <v>0.87</v>
      </c>
      <c r="GT126" s="55">
        <f t="shared" si="793"/>
        <v>0.85</v>
      </c>
      <c r="GU126" s="55">
        <f t="shared" si="793"/>
        <v>0.83</v>
      </c>
      <c r="GV126" s="55">
        <f t="shared" si="793"/>
        <v>0.80999999999999994</v>
      </c>
      <c r="GW126" s="55">
        <f t="shared" si="793"/>
        <v>0.78999999999999992</v>
      </c>
      <c r="GX126" s="55">
        <f t="shared" si="793"/>
        <v>0.76999999999999991</v>
      </c>
      <c r="GY126" s="55">
        <f t="shared" si="793"/>
        <v>0.74999999999999989</v>
      </c>
      <c r="GZ126" s="55">
        <f t="shared" si="793"/>
        <v>0.72999999999999987</v>
      </c>
      <c r="HA126" s="55">
        <f t="shared" si="793"/>
        <v>0.70999999999999985</v>
      </c>
      <c r="HB126" s="55">
        <f t="shared" si="793"/>
        <v>0.68999999999999984</v>
      </c>
      <c r="HC126" s="55">
        <f t="shared" si="793"/>
        <v>0.66999999999999982</v>
      </c>
      <c r="HD126" s="55">
        <f t="shared" si="793"/>
        <v>0.6499999999999998</v>
      </c>
      <c r="HE126" s="55">
        <f t="shared" si="793"/>
        <v>0.62999999999999978</v>
      </c>
      <c r="HF126" s="55">
        <f t="shared" si="793"/>
        <v>0.60999999999999976</v>
      </c>
      <c r="HG126" s="55">
        <f t="shared" si="793"/>
        <v>0.58999999999999975</v>
      </c>
      <c r="HH126" s="55">
        <f t="shared" si="793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67700</v>
      </c>
      <c r="E127" s="39">
        <f>SUM(E116:E126)</f>
        <v>223780</v>
      </c>
      <c r="H127" s="55">
        <f t="shared" si="505"/>
        <v>246158.00000000003</v>
      </c>
      <c r="I127" s="55">
        <f t="shared" si="506"/>
        <v>246158.00000000003</v>
      </c>
      <c r="J127" s="59">
        <f t="shared" si="507"/>
        <v>813749.11640000006</v>
      </c>
      <c r="K127" s="55">
        <f t="shared" si="661"/>
        <v>238773.26</v>
      </c>
      <c r="L127" s="59">
        <f t="shared" si="662"/>
        <v>789336.64290800004</v>
      </c>
      <c r="M127" s="55">
        <f t="shared" si="663"/>
        <v>233850.1</v>
      </c>
      <c r="N127" s="59">
        <f t="shared" si="664"/>
        <v>773061.66058000003</v>
      </c>
      <c r="O127" s="55">
        <f t="shared" si="665"/>
        <v>228926.94000000003</v>
      </c>
      <c r="P127" s="59">
        <f t="shared" si="666"/>
        <v>756786.67825200013</v>
      </c>
      <c r="Q127" s="57">
        <f t="shared" si="667"/>
        <v>224003.78000000003</v>
      </c>
      <c r="R127" s="59">
        <f t="shared" si="668"/>
        <v>740511.69592400012</v>
      </c>
      <c r="S127" s="55">
        <f t="shared" si="669"/>
        <v>219080.62000000002</v>
      </c>
      <c r="T127" s="59">
        <f t="shared" si="670"/>
        <v>724236.7135960001</v>
      </c>
      <c r="U127" s="57">
        <f t="shared" si="671"/>
        <v>214157.46000000002</v>
      </c>
      <c r="V127" s="59">
        <f t="shared" si="672"/>
        <v>707961.73126800009</v>
      </c>
      <c r="W127" s="60">
        <f t="shared" si="673"/>
        <v>209234.30000000002</v>
      </c>
      <c r="X127" s="59">
        <f t="shared" si="674"/>
        <v>691686.74894000008</v>
      </c>
      <c r="Y127" s="57">
        <f t="shared" si="675"/>
        <v>204311.14</v>
      </c>
      <c r="Z127" s="59">
        <f t="shared" si="676"/>
        <v>675411.76661200006</v>
      </c>
      <c r="AA127" s="55">
        <f t="shared" si="677"/>
        <v>199387.98</v>
      </c>
      <c r="AB127" s="59">
        <f t="shared" si="678"/>
        <v>659136.78428400005</v>
      </c>
      <c r="AC127" s="60">
        <f t="shared" si="679"/>
        <v>194464.82</v>
      </c>
      <c r="AD127" s="59">
        <f t="shared" si="680"/>
        <v>642861.80195600004</v>
      </c>
      <c r="AE127" s="60">
        <f t="shared" si="681"/>
        <v>189541.66</v>
      </c>
      <c r="AF127" s="59">
        <f t="shared" si="682"/>
        <v>626586.81962800003</v>
      </c>
      <c r="AG127" s="60">
        <f t="shared" si="683"/>
        <v>184618.5</v>
      </c>
      <c r="AH127" s="59">
        <f t="shared" si="684"/>
        <v>610311.83730000001</v>
      </c>
      <c r="AI127" s="55">
        <f t="shared" si="685"/>
        <v>179695.34</v>
      </c>
      <c r="AJ127" s="59">
        <f t="shared" si="686"/>
        <v>594036.854972</v>
      </c>
      <c r="AK127" s="60">
        <f t="shared" si="687"/>
        <v>174772.18</v>
      </c>
      <c r="AL127" s="59">
        <f t="shared" si="688"/>
        <v>577761.87264399999</v>
      </c>
      <c r="AM127" s="60">
        <f t="shared" si="689"/>
        <v>169849.02</v>
      </c>
      <c r="AN127" s="59">
        <f t="shared" si="690"/>
        <v>561486.89031599998</v>
      </c>
      <c r="AO127" s="60">
        <f t="shared" si="691"/>
        <v>164925.85999999999</v>
      </c>
      <c r="AP127" s="59">
        <f t="shared" si="692"/>
        <v>545211.90798799996</v>
      </c>
      <c r="AQ127" s="60">
        <f t="shared" si="693"/>
        <v>160002.69999999998</v>
      </c>
      <c r="AR127" s="59">
        <f t="shared" si="694"/>
        <v>528936.92565999995</v>
      </c>
      <c r="AS127" s="55">
        <f t="shared" si="695"/>
        <v>155079.53999999998</v>
      </c>
      <c r="AT127" s="59">
        <f t="shared" si="696"/>
        <v>512661.94333199994</v>
      </c>
      <c r="AU127" s="60">
        <f t="shared" si="697"/>
        <v>150156.37999999995</v>
      </c>
      <c r="AV127" s="59">
        <f t="shared" si="698"/>
        <v>496386.96100399981</v>
      </c>
      <c r="AW127" s="60">
        <f t="shared" si="699"/>
        <v>145233.21999999994</v>
      </c>
      <c r="AX127" s="59">
        <f t="shared" si="700"/>
        <v>480111.9786759998</v>
      </c>
      <c r="AY127" s="55">
        <f t="shared" si="701"/>
        <v>140310.05999999994</v>
      </c>
      <c r="AZ127" s="59">
        <f t="shared" si="702"/>
        <v>463836.99634799978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03"/>
        <v>0.91</v>
      </c>
      <c r="BH127" s="55">
        <f t="shared" si="703"/>
        <v>0.89</v>
      </c>
      <c r="BI127" s="55">
        <f t="shared" si="703"/>
        <v>0.87</v>
      </c>
      <c r="BJ127" s="55">
        <f t="shared" si="703"/>
        <v>0.85</v>
      </c>
      <c r="BK127" s="55">
        <f t="shared" si="703"/>
        <v>0.83</v>
      </c>
      <c r="BL127" s="55">
        <f t="shared" si="703"/>
        <v>0.80999999999999994</v>
      </c>
      <c r="BM127" s="55">
        <f t="shared" si="703"/>
        <v>0.78999999999999992</v>
      </c>
      <c r="BN127" s="55">
        <f t="shared" si="703"/>
        <v>0.76999999999999991</v>
      </c>
      <c r="BO127" s="55">
        <f t="shared" si="703"/>
        <v>0.74999999999999989</v>
      </c>
      <c r="BP127" s="55">
        <f t="shared" si="703"/>
        <v>0.72999999999999987</v>
      </c>
      <c r="BQ127" s="55">
        <f t="shared" si="703"/>
        <v>0.70999999999999985</v>
      </c>
      <c r="BR127" s="55">
        <f t="shared" si="703"/>
        <v>0.68999999999999984</v>
      </c>
      <c r="BS127" s="55">
        <f t="shared" si="703"/>
        <v>0.66999999999999982</v>
      </c>
      <c r="BT127" s="55">
        <f t="shared" si="703"/>
        <v>0.6499999999999998</v>
      </c>
      <c r="BU127" s="55">
        <f t="shared" si="703"/>
        <v>0.62999999999999978</v>
      </c>
      <c r="BV127" s="55">
        <f t="shared" si="703"/>
        <v>0.60999999999999976</v>
      </c>
      <c r="BW127" s="55">
        <f t="shared" si="703"/>
        <v>0.58999999999999975</v>
      </c>
      <c r="BX127" s="55">
        <f t="shared" si="703"/>
        <v>0.56999999999999973</v>
      </c>
      <c r="BZ127" s="55">
        <f t="shared" si="508"/>
        <v>224003.78000000003</v>
      </c>
      <c r="CA127" s="55">
        <f t="shared" si="509"/>
        <v>224003.78000000003</v>
      </c>
      <c r="CB127" s="59">
        <f t="shared" si="704"/>
        <v>740511.69592400012</v>
      </c>
      <c r="CC127" s="55">
        <f t="shared" si="705"/>
        <v>217283.66660000003</v>
      </c>
      <c r="CD127" s="59">
        <f t="shared" si="706"/>
        <v>718296.34504628007</v>
      </c>
      <c r="CE127" s="55">
        <f t="shared" si="707"/>
        <v>212803.59100000001</v>
      </c>
      <c r="CF127" s="59">
        <f t="shared" si="708"/>
        <v>703486.11112780008</v>
      </c>
      <c r="CG127" s="55">
        <f t="shared" si="709"/>
        <v>208323.51540000003</v>
      </c>
      <c r="CH127" s="59">
        <f t="shared" si="710"/>
        <v>688675.87720932008</v>
      </c>
      <c r="CI127" s="57">
        <f t="shared" si="711"/>
        <v>203843.43980000002</v>
      </c>
      <c r="CJ127" s="59">
        <f t="shared" si="712"/>
        <v>673865.64329084009</v>
      </c>
      <c r="CK127" s="55">
        <f t="shared" si="713"/>
        <v>199363.36420000004</v>
      </c>
      <c r="CL127" s="59">
        <f t="shared" si="714"/>
        <v>659055.4093723601</v>
      </c>
      <c r="CM127" s="57">
        <f t="shared" si="715"/>
        <v>194883.28860000003</v>
      </c>
      <c r="CN127" s="59">
        <f t="shared" si="716"/>
        <v>644245.1754538801</v>
      </c>
      <c r="CO127" s="60">
        <f t="shared" si="717"/>
        <v>190403.21300000002</v>
      </c>
      <c r="CP127" s="59">
        <f t="shared" si="718"/>
        <v>629434.94153540011</v>
      </c>
      <c r="CQ127" s="57">
        <f t="shared" si="719"/>
        <v>185923.13740000001</v>
      </c>
      <c r="CR127" s="59">
        <f t="shared" si="720"/>
        <v>614624.70761692</v>
      </c>
      <c r="CS127" s="55">
        <f t="shared" si="721"/>
        <v>181443.0618</v>
      </c>
      <c r="CT127" s="59">
        <f t="shared" si="722"/>
        <v>599814.47369844001</v>
      </c>
      <c r="CU127" s="60">
        <f t="shared" si="723"/>
        <v>176962.98620000001</v>
      </c>
      <c r="CV127" s="59">
        <f t="shared" si="724"/>
        <v>585004.23977996001</v>
      </c>
      <c r="CW127" s="60">
        <f t="shared" si="725"/>
        <v>172482.9106</v>
      </c>
      <c r="CX127" s="59">
        <f t="shared" si="726"/>
        <v>570194.00586148002</v>
      </c>
      <c r="CY127" s="60">
        <f t="shared" si="727"/>
        <v>168002.83499999999</v>
      </c>
      <c r="CZ127" s="59">
        <f t="shared" si="728"/>
        <v>555383.77194300003</v>
      </c>
      <c r="DA127" s="55">
        <f t="shared" si="729"/>
        <v>163522.75939999998</v>
      </c>
      <c r="DB127" s="59">
        <f t="shared" si="730"/>
        <v>540573.53802451992</v>
      </c>
      <c r="DC127" s="60">
        <f t="shared" si="731"/>
        <v>159042.6838</v>
      </c>
      <c r="DD127" s="59">
        <f t="shared" si="732"/>
        <v>525763.30410604004</v>
      </c>
      <c r="DE127" s="60">
        <f t="shared" si="733"/>
        <v>154562.60819999999</v>
      </c>
      <c r="DF127" s="59">
        <f t="shared" si="734"/>
        <v>510953.07018755999</v>
      </c>
      <c r="DG127" s="60">
        <f t="shared" si="735"/>
        <v>150082.53259999998</v>
      </c>
      <c r="DH127" s="59">
        <f t="shared" si="736"/>
        <v>496142.83626907994</v>
      </c>
      <c r="DI127" s="60">
        <f t="shared" si="737"/>
        <v>145602.45699999997</v>
      </c>
      <c r="DJ127" s="59">
        <f t="shared" si="738"/>
        <v>481332.60235059989</v>
      </c>
      <c r="DK127" s="55">
        <f t="shared" si="739"/>
        <v>141122.38139999995</v>
      </c>
      <c r="DL127" s="59">
        <f t="shared" si="740"/>
        <v>466522.36843211984</v>
      </c>
      <c r="DM127" s="60">
        <f t="shared" si="741"/>
        <v>136642.30579999997</v>
      </c>
      <c r="DN127" s="59">
        <f t="shared" si="742"/>
        <v>451712.1345136399</v>
      </c>
      <c r="DO127" s="60">
        <f t="shared" si="743"/>
        <v>132162.23019999996</v>
      </c>
      <c r="DP127" s="59">
        <f t="shared" si="744"/>
        <v>436901.90059515991</v>
      </c>
      <c r="DQ127" s="55">
        <f t="shared" si="745"/>
        <v>127682.15459999995</v>
      </c>
      <c r="DR127" s="59">
        <f t="shared" si="746"/>
        <v>422091.66667667986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792"/>
        <v>0.91</v>
      </c>
      <c r="DZ127" s="55">
        <f t="shared" si="792"/>
        <v>0.89</v>
      </c>
      <c r="EA127" s="55">
        <f t="shared" si="792"/>
        <v>0.87</v>
      </c>
      <c r="EB127" s="55">
        <f t="shared" si="792"/>
        <v>0.85</v>
      </c>
      <c r="EC127" s="55">
        <f t="shared" si="792"/>
        <v>0.83</v>
      </c>
      <c r="ED127" s="55">
        <f t="shared" si="792"/>
        <v>0.80999999999999994</v>
      </c>
      <c r="EE127" s="55">
        <f t="shared" si="792"/>
        <v>0.78999999999999992</v>
      </c>
      <c r="EF127" s="55">
        <f t="shared" si="792"/>
        <v>0.76999999999999991</v>
      </c>
      <c r="EG127" s="55">
        <f t="shared" si="792"/>
        <v>0.74999999999999989</v>
      </c>
      <c r="EH127" s="55">
        <f t="shared" si="792"/>
        <v>0.72999999999999987</v>
      </c>
      <c r="EI127" s="55">
        <f t="shared" si="792"/>
        <v>0.70999999999999985</v>
      </c>
      <c r="EJ127" s="55">
        <f t="shared" si="792"/>
        <v>0.68999999999999984</v>
      </c>
      <c r="EK127" s="55">
        <f t="shared" si="792"/>
        <v>0.66999999999999982</v>
      </c>
      <c r="EL127" s="55">
        <f t="shared" si="792"/>
        <v>0.6499999999999998</v>
      </c>
      <c r="EM127" s="55">
        <f t="shared" si="792"/>
        <v>0.62999999999999978</v>
      </c>
      <c r="EN127" s="55">
        <f t="shared" si="792"/>
        <v>0.60999999999999976</v>
      </c>
      <c r="EO127" s="55">
        <f t="shared" si="792"/>
        <v>0.58999999999999975</v>
      </c>
      <c r="EP127" s="55">
        <f t="shared" si="792"/>
        <v>0.56999999999999973</v>
      </c>
      <c r="ER127" s="55">
        <f t="shared" si="648"/>
        <v>203843.43980000002</v>
      </c>
      <c r="ES127" s="55">
        <f t="shared" si="510"/>
        <v>203843.43980000002</v>
      </c>
      <c r="ET127" s="59">
        <f t="shared" si="747"/>
        <v>673865.64329084009</v>
      </c>
      <c r="EU127" s="55">
        <f t="shared" si="748"/>
        <v>197728.13660600001</v>
      </c>
      <c r="EV127" s="59">
        <f t="shared" si="749"/>
        <v>653649.67399211484</v>
      </c>
      <c r="EW127" s="55">
        <f t="shared" si="750"/>
        <v>193651.26781000002</v>
      </c>
      <c r="EX127" s="59">
        <f t="shared" si="751"/>
        <v>640172.36112629808</v>
      </c>
      <c r="EY127" s="55">
        <f t="shared" si="752"/>
        <v>189574.39901400002</v>
      </c>
      <c r="EZ127" s="59">
        <f t="shared" si="753"/>
        <v>626695.04826048133</v>
      </c>
      <c r="FA127" s="57">
        <f t="shared" si="754"/>
        <v>185497.53021800003</v>
      </c>
      <c r="FB127" s="59">
        <f t="shared" si="755"/>
        <v>613217.73539466446</v>
      </c>
      <c r="FC127" s="55">
        <f t="shared" si="756"/>
        <v>181420.66142200003</v>
      </c>
      <c r="FD127" s="59">
        <f t="shared" si="757"/>
        <v>599740.4225288477</v>
      </c>
      <c r="FE127" s="57">
        <f t="shared" si="758"/>
        <v>177343.79262600001</v>
      </c>
      <c r="FF127" s="59">
        <f t="shared" si="759"/>
        <v>586263.10966303083</v>
      </c>
      <c r="FG127" s="60">
        <f t="shared" si="760"/>
        <v>173266.92383000001</v>
      </c>
      <c r="FH127" s="59">
        <f t="shared" si="761"/>
        <v>572785.79679721408</v>
      </c>
      <c r="FI127" s="57">
        <f t="shared" si="762"/>
        <v>169190.05503400002</v>
      </c>
      <c r="FJ127" s="59">
        <f t="shared" si="763"/>
        <v>559308.48393139732</v>
      </c>
      <c r="FK127" s="55">
        <f t="shared" si="764"/>
        <v>165113.18623799999</v>
      </c>
      <c r="FL127" s="59">
        <f t="shared" si="765"/>
        <v>545831.17106558045</v>
      </c>
      <c r="FM127" s="60">
        <f t="shared" si="766"/>
        <v>161036.317442</v>
      </c>
      <c r="FN127" s="59">
        <f t="shared" si="767"/>
        <v>532353.85819976358</v>
      </c>
      <c r="FO127" s="60">
        <f t="shared" si="768"/>
        <v>156959.448646</v>
      </c>
      <c r="FP127" s="59">
        <f t="shared" si="769"/>
        <v>518876.54533394682</v>
      </c>
      <c r="FQ127" s="60">
        <f t="shared" si="770"/>
        <v>152882.57984999998</v>
      </c>
      <c r="FR127" s="59">
        <f t="shared" si="771"/>
        <v>505399.23246812995</v>
      </c>
      <c r="FS127" s="55">
        <f t="shared" si="772"/>
        <v>148805.71105399998</v>
      </c>
      <c r="FT127" s="59">
        <f t="shared" si="773"/>
        <v>491921.91960231314</v>
      </c>
      <c r="FU127" s="60">
        <f t="shared" si="774"/>
        <v>144728.84225799999</v>
      </c>
      <c r="FV127" s="59">
        <f t="shared" si="775"/>
        <v>478444.60673649638</v>
      </c>
      <c r="FW127" s="60">
        <f t="shared" si="776"/>
        <v>140651.97346199999</v>
      </c>
      <c r="FX127" s="59">
        <f t="shared" si="777"/>
        <v>464967.29387067957</v>
      </c>
      <c r="FY127" s="60">
        <f t="shared" si="778"/>
        <v>136575.10466599997</v>
      </c>
      <c r="FZ127" s="59">
        <f t="shared" si="779"/>
        <v>451489.9810048627</v>
      </c>
      <c r="GA127" s="60">
        <f t="shared" si="780"/>
        <v>132498.23586999997</v>
      </c>
      <c r="GB127" s="59">
        <f t="shared" si="781"/>
        <v>438012.66813904594</v>
      </c>
      <c r="GC127" s="55">
        <f t="shared" si="782"/>
        <v>128421.36707399997</v>
      </c>
      <c r="GD127" s="59">
        <f t="shared" si="783"/>
        <v>424535.35527322907</v>
      </c>
      <c r="GE127" s="60">
        <f t="shared" si="784"/>
        <v>124344.49827799997</v>
      </c>
      <c r="GF127" s="59">
        <f t="shared" si="785"/>
        <v>411058.04240741231</v>
      </c>
      <c r="GG127" s="60">
        <f t="shared" si="786"/>
        <v>120267.62948199996</v>
      </c>
      <c r="GH127" s="59">
        <f t="shared" si="787"/>
        <v>397580.7295415955</v>
      </c>
      <c r="GI127" s="55">
        <f t="shared" si="788"/>
        <v>116190.76068599995</v>
      </c>
      <c r="GJ127" s="59">
        <f t="shared" si="789"/>
        <v>384103.41667577863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793"/>
        <v>0.91</v>
      </c>
      <c r="GR127" s="55">
        <f t="shared" si="793"/>
        <v>0.89</v>
      </c>
      <c r="GS127" s="55">
        <f t="shared" si="793"/>
        <v>0.87</v>
      </c>
      <c r="GT127" s="55">
        <f t="shared" si="793"/>
        <v>0.85</v>
      </c>
      <c r="GU127" s="55">
        <f t="shared" si="793"/>
        <v>0.83</v>
      </c>
      <c r="GV127" s="55">
        <f t="shared" si="793"/>
        <v>0.80999999999999994</v>
      </c>
      <c r="GW127" s="55">
        <f t="shared" si="793"/>
        <v>0.78999999999999992</v>
      </c>
      <c r="GX127" s="55">
        <f t="shared" si="793"/>
        <v>0.76999999999999991</v>
      </c>
      <c r="GY127" s="55">
        <f t="shared" si="793"/>
        <v>0.74999999999999989</v>
      </c>
      <c r="GZ127" s="55">
        <f t="shared" si="793"/>
        <v>0.72999999999999987</v>
      </c>
      <c r="HA127" s="55">
        <f t="shared" si="793"/>
        <v>0.70999999999999985</v>
      </c>
      <c r="HB127" s="55">
        <f t="shared" si="793"/>
        <v>0.68999999999999984</v>
      </c>
      <c r="HC127" s="55">
        <f t="shared" si="793"/>
        <v>0.66999999999999982</v>
      </c>
      <c r="HD127" s="55">
        <f t="shared" si="793"/>
        <v>0.6499999999999998</v>
      </c>
      <c r="HE127" s="55">
        <f t="shared" si="793"/>
        <v>0.62999999999999978</v>
      </c>
      <c r="HF127" s="55">
        <f t="shared" si="793"/>
        <v>0.60999999999999976</v>
      </c>
      <c r="HG127" s="55">
        <f t="shared" si="793"/>
        <v>0.58999999999999975</v>
      </c>
      <c r="HH127" s="55">
        <f t="shared" si="793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794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795">+DW128-0.02</f>
        <v>0.91</v>
      </c>
      <c r="DY128" s="61">
        <f t="shared" si="795"/>
        <v>0.89</v>
      </c>
      <c r="DZ128" s="61">
        <f t="shared" si="795"/>
        <v>0.87</v>
      </c>
      <c r="EA128" s="61">
        <f t="shared" si="795"/>
        <v>0.85</v>
      </c>
      <c r="EB128" s="61">
        <f t="shared" si="795"/>
        <v>0.83</v>
      </c>
      <c r="EC128" s="61">
        <f t="shared" si="795"/>
        <v>0.80999999999999994</v>
      </c>
      <c r="ED128" s="61">
        <f t="shared" si="795"/>
        <v>0.78999999999999992</v>
      </c>
      <c r="EE128" s="61">
        <f t="shared" si="795"/>
        <v>0.76999999999999991</v>
      </c>
      <c r="EF128" s="61">
        <f t="shared" si="795"/>
        <v>0.74999999999999989</v>
      </c>
      <c r="EG128" s="61">
        <f t="shared" si="795"/>
        <v>0.72999999999999987</v>
      </c>
      <c r="EH128" s="61">
        <f t="shared" si="795"/>
        <v>0.70999999999999985</v>
      </c>
      <c r="EI128" s="61">
        <f t="shared" si="795"/>
        <v>0.68999999999999984</v>
      </c>
      <c r="EJ128" s="61">
        <f t="shared" si="795"/>
        <v>0.66999999999999982</v>
      </c>
      <c r="EK128" s="61">
        <f t="shared" si="795"/>
        <v>0.6499999999999998</v>
      </c>
      <c r="EL128" s="61">
        <f t="shared" si="795"/>
        <v>0.62999999999999978</v>
      </c>
      <c r="EM128" s="61">
        <f t="shared" si="795"/>
        <v>0.60999999999999976</v>
      </c>
      <c r="EN128" s="61">
        <f t="shared" si="795"/>
        <v>0.58999999999999975</v>
      </c>
      <c r="EO128" s="61">
        <f t="shared" si="795"/>
        <v>0.56999999999999973</v>
      </c>
      <c r="EQ128" s="61">
        <f t="shared" ref="EQ128:EQ129" si="796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797">+GO128-0.02</f>
        <v>0.91</v>
      </c>
      <c r="GQ128" s="61">
        <f t="shared" si="797"/>
        <v>0.89</v>
      </c>
      <c r="GR128" s="61">
        <f t="shared" si="797"/>
        <v>0.87</v>
      </c>
      <c r="GS128" s="61">
        <f t="shared" si="797"/>
        <v>0.85</v>
      </c>
      <c r="GT128" s="61">
        <f t="shared" si="797"/>
        <v>0.83</v>
      </c>
      <c r="GU128" s="61">
        <f t="shared" si="797"/>
        <v>0.80999999999999994</v>
      </c>
      <c r="GV128" s="61">
        <f t="shared" si="797"/>
        <v>0.78999999999999992</v>
      </c>
      <c r="GW128" s="61">
        <f t="shared" si="797"/>
        <v>0.76999999999999991</v>
      </c>
      <c r="GX128" s="61">
        <f t="shared" si="797"/>
        <v>0.74999999999999989</v>
      </c>
      <c r="GY128" s="61">
        <f t="shared" si="797"/>
        <v>0.72999999999999987</v>
      </c>
      <c r="GZ128" s="61">
        <f t="shared" si="797"/>
        <v>0.70999999999999985</v>
      </c>
      <c r="HA128" s="61">
        <f t="shared" si="797"/>
        <v>0.68999999999999984</v>
      </c>
      <c r="HB128" s="61">
        <f t="shared" si="797"/>
        <v>0.66999999999999982</v>
      </c>
      <c r="HC128" s="61">
        <f t="shared" si="797"/>
        <v>0.6499999999999998</v>
      </c>
      <c r="HD128" s="61">
        <f t="shared" si="797"/>
        <v>0.62999999999999978</v>
      </c>
      <c r="HE128" s="61">
        <f t="shared" si="797"/>
        <v>0.60999999999999976</v>
      </c>
      <c r="HF128" s="61">
        <f t="shared" si="797"/>
        <v>0.58999999999999975</v>
      </c>
      <c r="HG128" s="61">
        <f t="shared" si="797"/>
        <v>0.56999999999999973</v>
      </c>
    </row>
    <row r="129" spans="1:216" s="64" customFormat="1" ht="17.25" thickBot="1" x14ac:dyDescent="0.35">
      <c r="B129" s="64" t="s">
        <v>301</v>
      </c>
      <c r="C129" s="64" t="s">
        <v>298</v>
      </c>
      <c r="D129" s="65" t="s">
        <v>272</v>
      </c>
      <c r="E129" s="65" t="s">
        <v>155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794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795"/>
        <v>0.91</v>
      </c>
      <c r="DY129" s="61">
        <f t="shared" si="795"/>
        <v>0.89</v>
      </c>
      <c r="DZ129" s="61">
        <f t="shared" si="795"/>
        <v>0.87</v>
      </c>
      <c r="EA129" s="61">
        <f t="shared" si="795"/>
        <v>0.85</v>
      </c>
      <c r="EB129" s="61">
        <f t="shared" si="795"/>
        <v>0.83</v>
      </c>
      <c r="EC129" s="61">
        <f t="shared" si="795"/>
        <v>0.80999999999999994</v>
      </c>
      <c r="ED129" s="61">
        <f t="shared" si="795"/>
        <v>0.78999999999999992</v>
      </c>
      <c r="EE129" s="61">
        <f t="shared" si="795"/>
        <v>0.76999999999999991</v>
      </c>
      <c r="EF129" s="61">
        <f t="shared" si="795"/>
        <v>0.74999999999999989</v>
      </c>
      <c r="EG129" s="61">
        <f t="shared" si="795"/>
        <v>0.72999999999999987</v>
      </c>
      <c r="EH129" s="61">
        <f t="shared" si="795"/>
        <v>0.70999999999999985</v>
      </c>
      <c r="EI129" s="61">
        <f t="shared" si="795"/>
        <v>0.68999999999999984</v>
      </c>
      <c r="EJ129" s="61">
        <f t="shared" si="795"/>
        <v>0.66999999999999982</v>
      </c>
      <c r="EK129" s="61">
        <f t="shared" si="795"/>
        <v>0.6499999999999998</v>
      </c>
      <c r="EL129" s="61">
        <f t="shared" si="795"/>
        <v>0.62999999999999978</v>
      </c>
      <c r="EM129" s="61">
        <f t="shared" si="795"/>
        <v>0.60999999999999976</v>
      </c>
      <c r="EN129" s="61">
        <f t="shared" si="795"/>
        <v>0.58999999999999975</v>
      </c>
      <c r="EO129" s="61">
        <f t="shared" si="795"/>
        <v>0.56999999999999973</v>
      </c>
      <c r="EQ129" s="61">
        <f t="shared" si="796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797"/>
        <v>0.91</v>
      </c>
      <c r="GQ129" s="61">
        <f t="shared" si="797"/>
        <v>0.89</v>
      </c>
      <c r="GR129" s="61">
        <f t="shared" si="797"/>
        <v>0.87</v>
      </c>
      <c r="GS129" s="61">
        <f t="shared" si="797"/>
        <v>0.85</v>
      </c>
      <c r="GT129" s="61">
        <f t="shared" si="797"/>
        <v>0.83</v>
      </c>
      <c r="GU129" s="61">
        <f t="shared" si="797"/>
        <v>0.80999999999999994</v>
      </c>
      <c r="GV129" s="61">
        <f t="shared" si="797"/>
        <v>0.78999999999999992</v>
      </c>
      <c r="GW129" s="61">
        <f t="shared" si="797"/>
        <v>0.76999999999999991</v>
      </c>
      <c r="GX129" s="61">
        <f t="shared" si="797"/>
        <v>0.74999999999999989</v>
      </c>
      <c r="GY129" s="61">
        <f t="shared" si="797"/>
        <v>0.72999999999999987</v>
      </c>
      <c r="GZ129" s="61">
        <f t="shared" si="797"/>
        <v>0.70999999999999985</v>
      </c>
      <c r="HA129" s="61">
        <f t="shared" si="797"/>
        <v>0.68999999999999984</v>
      </c>
      <c r="HB129" s="61">
        <f t="shared" si="797"/>
        <v>0.66999999999999982</v>
      </c>
      <c r="HC129" s="61">
        <f t="shared" si="797"/>
        <v>0.6499999999999998</v>
      </c>
      <c r="HD129" s="61">
        <f t="shared" si="797"/>
        <v>0.62999999999999978</v>
      </c>
      <c r="HE129" s="61">
        <f t="shared" si="797"/>
        <v>0.60999999999999976</v>
      </c>
      <c r="HF129" s="61">
        <f t="shared" si="797"/>
        <v>0.58999999999999975</v>
      </c>
      <c r="HG129" s="61">
        <f t="shared" si="797"/>
        <v>0.56999999999999973</v>
      </c>
    </row>
    <row r="130" spans="1:216" x14ac:dyDescent="0.3">
      <c r="A130" s="2">
        <v>1</v>
      </c>
      <c r="C130" s="38" t="s">
        <v>132</v>
      </c>
      <c r="D130" s="40">
        <f>TRUNC(28854.2619675839,-1)</f>
        <v>28850</v>
      </c>
      <c r="E130" s="70">
        <f t="shared" ref="E130:E139" si="798">TRUNC(+D130*3.3058,-1)</f>
        <v>95370</v>
      </c>
      <c r="H130" s="55">
        <f t="shared" si="505"/>
        <v>104907.00000000001</v>
      </c>
      <c r="I130" s="55">
        <f t="shared" si="506"/>
        <v>104907.00000000001</v>
      </c>
      <c r="J130" s="59">
        <f t="shared" si="507"/>
        <v>346801.56060000008</v>
      </c>
      <c r="K130" s="55">
        <f t="shared" ref="K130:K140" si="799">+I130*BD130</f>
        <v>101759.79000000001</v>
      </c>
      <c r="L130" s="59">
        <f t="shared" ref="L130:L140" si="800">+K130*3.3058</f>
        <v>336397.51378200005</v>
      </c>
      <c r="M130" s="55">
        <f t="shared" ref="M130:M140" si="801">+I130*BE130</f>
        <v>99661.650000000009</v>
      </c>
      <c r="N130" s="59">
        <f t="shared" ref="N130:N140" si="802">+M130*3.3058</f>
        <v>329461.48257000005</v>
      </c>
      <c r="O130" s="55">
        <f t="shared" ref="O130:O140" si="803">+I130*BF130</f>
        <v>97563.510000000024</v>
      </c>
      <c r="P130" s="59">
        <f t="shared" ref="P130:P140" si="804">+O130*3.3058</f>
        <v>322525.45135800011</v>
      </c>
      <c r="Q130" s="57">
        <f t="shared" ref="Q130:Q140" si="805">+I130*BG130</f>
        <v>95465.37000000001</v>
      </c>
      <c r="R130" s="59">
        <f t="shared" ref="R130:R140" si="806">+Q130*3.3058</f>
        <v>315589.42014600005</v>
      </c>
      <c r="S130" s="55">
        <f t="shared" ref="S130:S140" si="807">+I130*BH130</f>
        <v>93367.23000000001</v>
      </c>
      <c r="T130" s="59">
        <f t="shared" ref="T130:T140" si="808">+S130*3.3058</f>
        <v>308653.38893400005</v>
      </c>
      <c r="U130" s="57">
        <f t="shared" ref="U130:U140" si="809">+I130*BI130</f>
        <v>91269.090000000011</v>
      </c>
      <c r="V130" s="59">
        <f t="shared" ref="V130:V140" si="810">+U130*3.3058</f>
        <v>301717.35772200004</v>
      </c>
      <c r="W130" s="60">
        <f t="shared" ref="W130:W140" si="811">+I130*BJ130</f>
        <v>89170.950000000012</v>
      </c>
      <c r="X130" s="59">
        <f t="shared" ref="X130:X140" si="812">+W130*3.3058</f>
        <v>294781.32651000004</v>
      </c>
      <c r="Y130" s="57">
        <f t="shared" ref="Y130:Y140" si="813">+I130*BK130</f>
        <v>87072.810000000012</v>
      </c>
      <c r="Z130" s="59">
        <f t="shared" ref="Z130:Z140" si="814">+Y130*3.3058</f>
        <v>287845.29529800004</v>
      </c>
      <c r="AA130" s="55">
        <f t="shared" ref="AA130:AA140" si="815">+I130*BL130</f>
        <v>84974.670000000013</v>
      </c>
      <c r="AB130" s="59">
        <f t="shared" ref="AB130:AB140" si="816">+AA130*3.3058</f>
        <v>280909.26408600004</v>
      </c>
      <c r="AC130" s="60">
        <f t="shared" ref="AC130:AC140" si="817">+I130*BM130</f>
        <v>82876.53</v>
      </c>
      <c r="AD130" s="59">
        <f t="shared" ref="AD130:AD140" si="818">+AC130*3.3058</f>
        <v>273973.23287399998</v>
      </c>
      <c r="AE130" s="60">
        <f t="shared" ref="AE130:AE140" si="819">+I130*BN130</f>
        <v>80778.39</v>
      </c>
      <c r="AF130" s="59">
        <f t="shared" ref="AF130:AF140" si="820">+AE130*3.3058</f>
        <v>267037.20166199998</v>
      </c>
      <c r="AG130" s="60">
        <f t="shared" ref="AG130:AG140" si="821">+I130*BO130</f>
        <v>78680.25</v>
      </c>
      <c r="AH130" s="59">
        <f t="shared" ref="AH130:AH140" si="822">+AG130*3.3058</f>
        <v>260101.17045000001</v>
      </c>
      <c r="AI130" s="55">
        <f t="shared" ref="AI130:AI140" si="823">+I130*BP130</f>
        <v>76582.11</v>
      </c>
      <c r="AJ130" s="59">
        <f t="shared" ref="AJ130:AJ140" si="824">+AI130*3.3058</f>
        <v>253165.139238</v>
      </c>
      <c r="AK130" s="60">
        <f t="shared" ref="AK130:AK140" si="825">+I130*BQ130</f>
        <v>74483.97</v>
      </c>
      <c r="AL130" s="59">
        <f t="shared" ref="AL130:AL140" si="826">+AK130*3.3058</f>
        <v>246229.108026</v>
      </c>
      <c r="AM130" s="60">
        <f t="shared" ref="AM130:AM140" si="827">+I130*BR130</f>
        <v>72385.829999999987</v>
      </c>
      <c r="AN130" s="59">
        <f t="shared" ref="AN130:AN140" si="828">+AM130*3.3058</f>
        <v>239293.07681399997</v>
      </c>
      <c r="AO130" s="60">
        <f t="shared" ref="AO130:AO140" si="829">+I130*BS130</f>
        <v>70287.689999999988</v>
      </c>
      <c r="AP130" s="59">
        <f t="shared" ref="AP130:AP140" si="830">+AO130*3.3058</f>
        <v>232357.04560199997</v>
      </c>
      <c r="AQ130" s="60">
        <f t="shared" ref="AQ130:AQ140" si="831">+I130*BT130</f>
        <v>68189.549999999988</v>
      </c>
      <c r="AR130" s="59">
        <f t="shared" ref="AR130:AR140" si="832">+AQ130*3.3058</f>
        <v>225421.01438999997</v>
      </c>
      <c r="AS130" s="55">
        <f t="shared" ref="AS130:AS140" si="833">+I130*BU130</f>
        <v>66091.409999999989</v>
      </c>
      <c r="AT130" s="59">
        <f t="shared" ref="AT130:AT140" si="834">+AS130*3.3058</f>
        <v>218484.98317799997</v>
      </c>
      <c r="AU130" s="60">
        <f t="shared" ref="AU130:AU140" si="835">+I130*BV130</f>
        <v>63993.269999999982</v>
      </c>
      <c r="AV130" s="59">
        <f t="shared" ref="AV130:AV140" si="836">+AU130*3.3058</f>
        <v>211548.95196599994</v>
      </c>
      <c r="AW130" s="60">
        <f t="shared" ref="AW130:AW140" si="837">+I130*BW130</f>
        <v>61895.129999999983</v>
      </c>
      <c r="AX130" s="59">
        <f t="shared" ref="AX130:AX140" si="838">+AW130*3.3058</f>
        <v>204612.92075399993</v>
      </c>
      <c r="AY130" s="55">
        <f t="shared" ref="AY130:AY140" si="839">+I130*BX130</f>
        <v>59796.989999999983</v>
      </c>
      <c r="AZ130" s="59">
        <f t="shared" ref="AZ130:AZ140" si="840">+AY130*3.3058</f>
        <v>197676.88954199996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41">+BF130-0.02</f>
        <v>0.91</v>
      </c>
      <c r="BH130" s="55">
        <f t="shared" si="841"/>
        <v>0.89</v>
      </c>
      <c r="BI130" s="55">
        <f t="shared" si="841"/>
        <v>0.87</v>
      </c>
      <c r="BJ130" s="55">
        <f t="shared" si="841"/>
        <v>0.85</v>
      </c>
      <c r="BK130" s="55">
        <f t="shared" si="841"/>
        <v>0.83</v>
      </c>
      <c r="BL130" s="55">
        <f t="shared" si="841"/>
        <v>0.80999999999999994</v>
      </c>
      <c r="BM130" s="55">
        <f t="shared" si="841"/>
        <v>0.78999999999999992</v>
      </c>
      <c r="BN130" s="55">
        <f t="shared" si="841"/>
        <v>0.76999999999999991</v>
      </c>
      <c r="BO130" s="55">
        <f t="shared" si="841"/>
        <v>0.74999999999999989</v>
      </c>
      <c r="BP130" s="55">
        <f t="shared" si="841"/>
        <v>0.72999999999999987</v>
      </c>
      <c r="BQ130" s="55">
        <f t="shared" si="841"/>
        <v>0.70999999999999985</v>
      </c>
      <c r="BR130" s="55">
        <f t="shared" si="841"/>
        <v>0.68999999999999984</v>
      </c>
      <c r="BS130" s="55">
        <f t="shared" si="841"/>
        <v>0.66999999999999982</v>
      </c>
      <c r="BT130" s="55">
        <f t="shared" si="841"/>
        <v>0.6499999999999998</v>
      </c>
      <c r="BU130" s="55">
        <f t="shared" si="841"/>
        <v>0.62999999999999978</v>
      </c>
      <c r="BV130" s="55">
        <f t="shared" si="841"/>
        <v>0.60999999999999976</v>
      </c>
      <c r="BW130" s="55">
        <f t="shared" si="841"/>
        <v>0.58999999999999975</v>
      </c>
      <c r="BX130" s="55">
        <f t="shared" si="841"/>
        <v>0.56999999999999973</v>
      </c>
      <c r="BZ130" s="55">
        <f t="shared" si="508"/>
        <v>95465.37000000001</v>
      </c>
      <c r="CA130" s="55">
        <f t="shared" si="509"/>
        <v>95465.37000000001</v>
      </c>
      <c r="CB130" s="59">
        <f t="shared" ref="CB130:CB140" si="842">+CA130*3.3058</f>
        <v>315589.42014600005</v>
      </c>
      <c r="CC130" s="55">
        <f t="shared" ref="CC130:CC140" si="843">+CA130*DV130</f>
        <v>92601.408900000009</v>
      </c>
      <c r="CD130" s="59">
        <f t="shared" ref="CD130:CD140" si="844">+CC130*3.3058</f>
        <v>306121.73754162004</v>
      </c>
      <c r="CE130" s="55">
        <f t="shared" ref="CE130:CE140" si="845">+CA130*DW130</f>
        <v>90692.101500000004</v>
      </c>
      <c r="CF130" s="59">
        <f t="shared" ref="CF130:CF140" si="846">+CE130*3.3058</f>
        <v>299809.94913870003</v>
      </c>
      <c r="CG130" s="55">
        <f t="shared" ref="CG130:CG140" si="847">+CA130*DX130</f>
        <v>88782.794100000014</v>
      </c>
      <c r="CH130" s="59">
        <f t="shared" ref="CH130:CH140" si="848">+CG130*3.3058</f>
        <v>293498.16073578002</v>
      </c>
      <c r="CI130" s="57">
        <f t="shared" ref="CI130:CI140" si="849">+CA130*DY130</f>
        <v>86873.486700000009</v>
      </c>
      <c r="CJ130" s="59">
        <f t="shared" ref="CJ130:CJ140" si="850">+CI130*3.3058</f>
        <v>287186.37233286002</v>
      </c>
      <c r="CK130" s="55">
        <f t="shared" ref="CK130:CK140" si="851">+CA130*DZ130</f>
        <v>84964.179300000003</v>
      </c>
      <c r="CL130" s="59">
        <f t="shared" ref="CL130:CL140" si="852">+CK130*3.3058</f>
        <v>280874.58392994001</v>
      </c>
      <c r="CM130" s="57">
        <f t="shared" ref="CM130:CM140" si="853">+CA130*EA130</f>
        <v>83054.871900000013</v>
      </c>
      <c r="CN130" s="59">
        <f t="shared" ref="CN130:CN140" si="854">+CM130*3.3058</f>
        <v>274562.79552702006</v>
      </c>
      <c r="CO130" s="60">
        <f t="shared" ref="CO130:CO140" si="855">+CA130*EB130</f>
        <v>81145.564500000008</v>
      </c>
      <c r="CP130" s="59">
        <f t="shared" ref="CP130:CP140" si="856">+CO130*3.3058</f>
        <v>268251.00712410006</v>
      </c>
      <c r="CQ130" s="57">
        <f t="shared" ref="CQ130:CQ140" si="857">+CA130*EC130</f>
        <v>79236.257100000003</v>
      </c>
      <c r="CR130" s="59">
        <f t="shared" ref="CR130:CR140" si="858">+CQ130*3.3058</f>
        <v>261939.21872118002</v>
      </c>
      <c r="CS130" s="55">
        <f t="shared" ref="CS130:CS140" si="859">+CA130*ED130</f>
        <v>77326.949699999997</v>
      </c>
      <c r="CT130" s="59">
        <f t="shared" ref="CT130:CT140" si="860">+CS130*3.3058</f>
        <v>255627.43031825998</v>
      </c>
      <c r="CU130" s="60">
        <f t="shared" ref="CU130:CU140" si="861">+CA130*EE130</f>
        <v>75417.642300000007</v>
      </c>
      <c r="CV130" s="59">
        <f t="shared" ref="CV130:CV140" si="862">+CU130*3.3058</f>
        <v>249315.64191534003</v>
      </c>
      <c r="CW130" s="60">
        <f t="shared" ref="CW130:CW140" si="863">+CA130*EF130</f>
        <v>73508.334900000002</v>
      </c>
      <c r="CX130" s="59">
        <f t="shared" ref="CX130:CX140" si="864">+CW130*3.3058</f>
        <v>243003.85351242</v>
      </c>
      <c r="CY130" s="60">
        <f t="shared" ref="CY130:CY140" si="865">+CA130*EG130</f>
        <v>71599.027499999997</v>
      </c>
      <c r="CZ130" s="59">
        <f t="shared" ref="CZ130:CZ140" si="866">+CY130*3.3058</f>
        <v>236692.06510949999</v>
      </c>
      <c r="DA130" s="55">
        <f t="shared" ref="DA130:DA140" si="867">+CA130*EH130</f>
        <v>69689.720099999991</v>
      </c>
      <c r="DB130" s="59">
        <f t="shared" ref="DB130:DB140" si="868">+DA130*3.3058</f>
        <v>230380.27670657999</v>
      </c>
      <c r="DC130" s="60">
        <f t="shared" ref="DC130:DC140" si="869">+CA130*EI130</f>
        <v>67780.412699999986</v>
      </c>
      <c r="DD130" s="59">
        <f t="shared" ref="DD130:DD140" si="870">+DC130*3.3058</f>
        <v>224068.48830365995</v>
      </c>
      <c r="DE130" s="60">
        <f t="shared" ref="DE130:DE140" si="871">+CA130*EJ130</f>
        <v>65871.105299999996</v>
      </c>
      <c r="DF130" s="59">
        <f t="shared" ref="DF130:DF140" si="872">+DE130*3.3058</f>
        <v>217756.69990074</v>
      </c>
      <c r="DG130" s="60">
        <f t="shared" ref="DG130:DG140" si="873">+CA130*EK130</f>
        <v>63961.79789999999</v>
      </c>
      <c r="DH130" s="59">
        <f t="shared" ref="DH130:DH140" si="874">+DG130*3.3058</f>
        <v>211444.91149781997</v>
      </c>
      <c r="DI130" s="60">
        <f t="shared" ref="DI130:DI140" si="875">+CA130*EL130</f>
        <v>62052.490499999985</v>
      </c>
      <c r="DJ130" s="59">
        <f t="shared" ref="DJ130:DJ140" si="876">+DI130*3.3058</f>
        <v>205133.12309489996</v>
      </c>
      <c r="DK130" s="55">
        <f t="shared" ref="DK130:DK140" si="877">+CA130*EM130</f>
        <v>60143.183099999987</v>
      </c>
      <c r="DL130" s="59">
        <f t="shared" ref="DL130:DL140" si="878">+DK130*3.3058</f>
        <v>198821.33469197995</v>
      </c>
      <c r="DM130" s="60">
        <f t="shared" ref="DM130:DM140" si="879">+CA130*EN130</f>
        <v>58233.875699999982</v>
      </c>
      <c r="DN130" s="59">
        <f t="shared" ref="DN130:DN140" si="880">+DM130*3.3058</f>
        <v>192509.54628905994</v>
      </c>
      <c r="DO130" s="60">
        <f t="shared" ref="DO130:DO140" si="881">+CA130*EO130</f>
        <v>56324.568299999984</v>
      </c>
      <c r="DP130" s="59">
        <f t="shared" ref="DP130:DP140" si="882">+DO130*3.3058</f>
        <v>186197.75788613997</v>
      </c>
      <c r="DQ130" s="55">
        <f t="shared" ref="DQ130:DQ140" si="883">+CA130*EP130</f>
        <v>54415.260899999979</v>
      </c>
      <c r="DR130" s="59">
        <f t="shared" ref="DR130:DR140" si="884">+DQ130*3.3058</f>
        <v>179885.96948321993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792"/>
        <v>0.91</v>
      </c>
      <c r="DZ130" s="55">
        <f t="shared" si="792"/>
        <v>0.89</v>
      </c>
      <c r="EA130" s="55">
        <f t="shared" si="792"/>
        <v>0.87</v>
      </c>
      <c r="EB130" s="55">
        <f t="shared" si="792"/>
        <v>0.85</v>
      </c>
      <c r="EC130" s="55">
        <f t="shared" si="792"/>
        <v>0.83</v>
      </c>
      <c r="ED130" s="55">
        <f t="shared" si="792"/>
        <v>0.80999999999999994</v>
      </c>
      <c r="EE130" s="55">
        <f t="shared" si="792"/>
        <v>0.78999999999999992</v>
      </c>
      <c r="EF130" s="55">
        <f t="shared" si="792"/>
        <v>0.76999999999999991</v>
      </c>
      <c r="EG130" s="55">
        <f t="shared" si="792"/>
        <v>0.74999999999999989</v>
      </c>
      <c r="EH130" s="55">
        <f t="shared" si="792"/>
        <v>0.72999999999999987</v>
      </c>
      <c r="EI130" s="55">
        <f t="shared" si="792"/>
        <v>0.70999999999999985</v>
      </c>
      <c r="EJ130" s="55">
        <f t="shared" si="792"/>
        <v>0.68999999999999984</v>
      </c>
      <c r="EK130" s="55">
        <f t="shared" si="792"/>
        <v>0.66999999999999982</v>
      </c>
      <c r="EL130" s="55">
        <f t="shared" si="792"/>
        <v>0.6499999999999998</v>
      </c>
      <c r="EM130" s="55">
        <f t="shared" si="792"/>
        <v>0.62999999999999978</v>
      </c>
      <c r="EN130" s="55">
        <f t="shared" si="792"/>
        <v>0.60999999999999976</v>
      </c>
      <c r="EO130" s="55">
        <f t="shared" si="792"/>
        <v>0.58999999999999975</v>
      </c>
      <c r="EP130" s="55">
        <f t="shared" si="792"/>
        <v>0.56999999999999973</v>
      </c>
      <c r="ER130" s="55">
        <f t="shared" si="648"/>
        <v>86873.486700000009</v>
      </c>
      <c r="ES130" s="55">
        <f t="shared" si="510"/>
        <v>86873.486700000009</v>
      </c>
      <c r="ET130" s="59">
        <f t="shared" ref="ET130:ET140" si="885">+ES130*3.3058</f>
        <v>287186.37233286002</v>
      </c>
      <c r="EU130" s="55">
        <f t="shared" ref="EU130:EU140" si="886">+ES130*GN130</f>
        <v>84267.282099000004</v>
      </c>
      <c r="EV130" s="59">
        <f t="shared" ref="EV130:EV140" si="887">+EU130*3.3058</f>
        <v>278570.78116287419</v>
      </c>
      <c r="EW130" s="55">
        <f t="shared" ref="EW130:EW140" si="888">+ES130*GO130</f>
        <v>82529.812365000005</v>
      </c>
      <c r="EX130" s="59">
        <f t="shared" ref="EX130:EX140" si="889">+EW130*3.3058</f>
        <v>272827.05371621705</v>
      </c>
      <c r="EY130" s="55">
        <f t="shared" ref="EY130:EY140" si="890">+ES130*GP130</f>
        <v>80792.342631000007</v>
      </c>
      <c r="EZ130" s="59">
        <f t="shared" ref="EZ130:EZ140" si="891">+EY130*3.3058</f>
        <v>267083.32626955985</v>
      </c>
      <c r="FA130" s="57">
        <f t="shared" ref="FA130:FA140" si="892">+ES130*GQ130</f>
        <v>79054.872897000008</v>
      </c>
      <c r="FB130" s="59">
        <f t="shared" ref="FB130:FB140" si="893">+FA130*3.3058</f>
        <v>261339.59882290263</v>
      </c>
      <c r="FC130" s="55">
        <f t="shared" ref="FC130:FC140" si="894">+ES130*GR130</f>
        <v>77317.40316300001</v>
      </c>
      <c r="FD130" s="59">
        <f t="shared" ref="FD130:FD140" si="895">+FC130*3.3058</f>
        <v>255595.87137624543</v>
      </c>
      <c r="FE130" s="57">
        <f t="shared" ref="FE130:FE140" si="896">+ES130*GS130</f>
        <v>75579.933429000012</v>
      </c>
      <c r="FF130" s="59">
        <f t="shared" ref="FF130:FF140" si="897">+FE130*3.3058</f>
        <v>249852.14392958823</v>
      </c>
      <c r="FG130" s="60">
        <f t="shared" ref="FG130:FG140" si="898">+ES130*GT130</f>
        <v>73842.463694999999</v>
      </c>
      <c r="FH130" s="59">
        <f t="shared" ref="FH130:FH140" si="899">+FG130*3.3058</f>
        <v>244108.416482931</v>
      </c>
      <c r="FI130" s="57">
        <f t="shared" ref="FI130:FI140" si="900">+ES130*GU130</f>
        <v>72104.993961</v>
      </c>
      <c r="FJ130" s="59">
        <f t="shared" ref="FJ130:FJ140" si="901">+FI130*3.3058</f>
        <v>238364.6890362738</v>
      </c>
      <c r="FK130" s="55">
        <f t="shared" ref="FK130:FK140" si="902">+ES130*GV130</f>
        <v>70367.524227000002</v>
      </c>
      <c r="FL130" s="59">
        <f t="shared" ref="FL130:FL140" si="903">+FK130*3.3058</f>
        <v>232620.96158961661</v>
      </c>
      <c r="FM130" s="60">
        <f t="shared" ref="FM130:FM140" si="904">+ES130*GW130</f>
        <v>68630.054493000003</v>
      </c>
      <c r="FN130" s="59">
        <f t="shared" ref="FN130:FN140" si="905">+FM130*3.3058</f>
        <v>226877.23414295941</v>
      </c>
      <c r="FO130" s="60">
        <f t="shared" ref="FO130:FO140" si="906">+ES130*GX130</f>
        <v>66892.584759000005</v>
      </c>
      <c r="FP130" s="59">
        <f t="shared" ref="FP130:FP140" si="907">+FO130*3.3058</f>
        <v>221133.50669630221</v>
      </c>
      <c r="FQ130" s="60">
        <f t="shared" ref="FQ130:FQ140" si="908">+ES130*GY130</f>
        <v>65155.115024999999</v>
      </c>
      <c r="FR130" s="59">
        <f t="shared" ref="FR130:FR140" si="909">+FQ130*3.3058</f>
        <v>215389.77924964501</v>
      </c>
      <c r="FS130" s="55">
        <f t="shared" ref="FS130:FS140" si="910">+ES130*GZ130</f>
        <v>63417.645290999993</v>
      </c>
      <c r="FT130" s="59">
        <f t="shared" ref="FT130:FT140" si="911">+FS130*3.3058</f>
        <v>209646.05180298779</v>
      </c>
      <c r="FU130" s="60">
        <f t="shared" ref="FU130:FU140" si="912">+ES130*HA130</f>
        <v>61680.175556999995</v>
      </c>
      <c r="FV130" s="59">
        <f t="shared" ref="FV130:FV140" si="913">+FU130*3.3058</f>
        <v>203902.32435633059</v>
      </c>
      <c r="FW130" s="60">
        <f t="shared" ref="FW130:FW140" si="914">+ES130*HB130</f>
        <v>59942.705822999989</v>
      </c>
      <c r="FX130" s="59">
        <f t="shared" ref="FX130:FX140" si="915">+FW130*3.3058</f>
        <v>198158.59690967336</v>
      </c>
      <c r="FY130" s="60">
        <f t="shared" ref="FY130:FY140" si="916">+ES130*HC130</f>
        <v>58205.236088999991</v>
      </c>
      <c r="FZ130" s="59">
        <f t="shared" ref="FZ130:FZ140" si="917">+FY130*3.3058</f>
        <v>192414.86946301616</v>
      </c>
      <c r="GA130" s="60">
        <f t="shared" ref="GA130:GA140" si="918">+ES130*HD130</f>
        <v>56467.766354999985</v>
      </c>
      <c r="GB130" s="59">
        <f t="shared" ref="GB130:GB140" si="919">+GA130*3.3058</f>
        <v>186671.14201635896</v>
      </c>
      <c r="GC130" s="55">
        <f t="shared" ref="GC130:GC140" si="920">+ES130*HE130</f>
        <v>54730.296620999987</v>
      </c>
      <c r="GD130" s="59">
        <f t="shared" ref="GD130:GD140" si="921">+GC130*3.3058</f>
        <v>180927.41456970177</v>
      </c>
      <c r="GE130" s="60">
        <f t="shared" ref="GE130:GE140" si="922">+ES130*HF130</f>
        <v>52992.826886999988</v>
      </c>
      <c r="GF130" s="59">
        <f t="shared" ref="GF130:GF140" si="923">+GE130*3.3058</f>
        <v>175183.68712304457</v>
      </c>
      <c r="GG130" s="60">
        <f t="shared" ref="GG130:GG140" si="924">+ES130*HG130</f>
        <v>51255.357152999983</v>
      </c>
      <c r="GH130" s="59">
        <f t="shared" ref="GH130:GH140" si="925">+GG130*3.3058</f>
        <v>169439.95967638734</v>
      </c>
      <c r="GI130" s="55">
        <f t="shared" ref="GI130:GI140" si="926">+ES130*HH130</f>
        <v>49517.887418999984</v>
      </c>
      <c r="GJ130" s="59">
        <f t="shared" ref="GJ130:GJ140" si="927">+GI130*3.3058</f>
        <v>163696.23222973014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793"/>
        <v>0.91</v>
      </c>
      <c r="GR130" s="55">
        <f t="shared" si="793"/>
        <v>0.89</v>
      </c>
      <c r="GS130" s="55">
        <f t="shared" si="793"/>
        <v>0.87</v>
      </c>
      <c r="GT130" s="55">
        <f t="shared" si="793"/>
        <v>0.85</v>
      </c>
      <c r="GU130" s="55">
        <f t="shared" si="793"/>
        <v>0.83</v>
      </c>
      <c r="GV130" s="55">
        <f t="shared" si="793"/>
        <v>0.80999999999999994</v>
      </c>
      <c r="GW130" s="55">
        <f t="shared" si="793"/>
        <v>0.78999999999999992</v>
      </c>
      <c r="GX130" s="55">
        <f t="shared" si="793"/>
        <v>0.76999999999999991</v>
      </c>
      <c r="GY130" s="55">
        <f t="shared" si="793"/>
        <v>0.74999999999999989</v>
      </c>
      <c r="GZ130" s="55">
        <f t="shared" si="793"/>
        <v>0.72999999999999987</v>
      </c>
      <c r="HA130" s="55">
        <f t="shared" si="793"/>
        <v>0.70999999999999985</v>
      </c>
      <c r="HB130" s="55">
        <f t="shared" si="793"/>
        <v>0.68999999999999984</v>
      </c>
      <c r="HC130" s="55">
        <f t="shared" si="793"/>
        <v>0.66999999999999982</v>
      </c>
      <c r="HD130" s="55">
        <f t="shared" si="793"/>
        <v>0.6499999999999998</v>
      </c>
      <c r="HE130" s="55">
        <f t="shared" si="793"/>
        <v>0.62999999999999978</v>
      </c>
      <c r="HF130" s="55">
        <f t="shared" si="793"/>
        <v>0.60999999999999976</v>
      </c>
      <c r="HG130" s="55">
        <f t="shared" si="793"/>
        <v>0.58999999999999975</v>
      </c>
      <c r="HH130" s="55">
        <f t="shared" si="793"/>
        <v>0.56999999999999973</v>
      </c>
    </row>
    <row r="131" spans="1:216" x14ac:dyDescent="0.3">
      <c r="A131" s="2">
        <v>2</v>
      </c>
      <c r="C131" s="38" t="s">
        <v>47</v>
      </c>
      <c r="D131" s="42">
        <f>TRUNC(6646.12363362231,-1)</f>
        <v>6640</v>
      </c>
      <c r="E131" s="71">
        <f t="shared" si="798"/>
        <v>21950</v>
      </c>
      <c r="H131" s="55">
        <f t="shared" si="505"/>
        <v>24145.000000000004</v>
      </c>
      <c r="I131" s="55">
        <f t="shared" si="506"/>
        <v>24145.000000000004</v>
      </c>
      <c r="J131" s="59">
        <f t="shared" si="507"/>
        <v>79818.541000000012</v>
      </c>
      <c r="K131" s="55">
        <f t="shared" si="799"/>
        <v>23420.65</v>
      </c>
      <c r="L131" s="59">
        <f t="shared" si="800"/>
        <v>77423.98477000001</v>
      </c>
      <c r="M131" s="55">
        <f t="shared" si="801"/>
        <v>22937.750000000004</v>
      </c>
      <c r="N131" s="59">
        <f t="shared" si="802"/>
        <v>75827.613950000014</v>
      </c>
      <c r="O131" s="55">
        <f t="shared" si="803"/>
        <v>22454.850000000006</v>
      </c>
      <c r="P131" s="59">
        <f t="shared" si="804"/>
        <v>74231.243130000017</v>
      </c>
      <c r="Q131" s="57">
        <f t="shared" si="805"/>
        <v>21971.950000000004</v>
      </c>
      <c r="R131" s="59">
        <f t="shared" si="806"/>
        <v>72634.872310000021</v>
      </c>
      <c r="S131" s="55">
        <f t="shared" si="807"/>
        <v>21489.050000000003</v>
      </c>
      <c r="T131" s="59">
        <f t="shared" si="808"/>
        <v>71038.50149000001</v>
      </c>
      <c r="U131" s="57">
        <f t="shared" si="809"/>
        <v>21006.15</v>
      </c>
      <c r="V131" s="59">
        <f t="shared" si="810"/>
        <v>69442.130670000013</v>
      </c>
      <c r="W131" s="60">
        <f t="shared" si="811"/>
        <v>20523.250000000004</v>
      </c>
      <c r="X131" s="59">
        <f t="shared" si="812"/>
        <v>67845.759850000017</v>
      </c>
      <c r="Y131" s="57">
        <f t="shared" si="813"/>
        <v>20040.350000000002</v>
      </c>
      <c r="Z131" s="59">
        <f t="shared" si="814"/>
        <v>66249.389030000006</v>
      </c>
      <c r="AA131" s="55">
        <f t="shared" si="815"/>
        <v>19557.45</v>
      </c>
      <c r="AB131" s="59">
        <f t="shared" si="816"/>
        <v>64653.018210000002</v>
      </c>
      <c r="AC131" s="60">
        <f t="shared" si="817"/>
        <v>19074.55</v>
      </c>
      <c r="AD131" s="59">
        <f t="shared" si="818"/>
        <v>63056.647389999998</v>
      </c>
      <c r="AE131" s="60">
        <f t="shared" si="819"/>
        <v>18591.650000000001</v>
      </c>
      <c r="AF131" s="59">
        <f t="shared" si="820"/>
        <v>61460.276570000009</v>
      </c>
      <c r="AG131" s="60">
        <f t="shared" si="821"/>
        <v>18108.75</v>
      </c>
      <c r="AH131" s="59">
        <f t="shared" si="822"/>
        <v>59863.905749999998</v>
      </c>
      <c r="AI131" s="55">
        <f t="shared" si="823"/>
        <v>17625.849999999999</v>
      </c>
      <c r="AJ131" s="59">
        <f t="shared" si="824"/>
        <v>58267.534929999994</v>
      </c>
      <c r="AK131" s="60">
        <f t="shared" si="825"/>
        <v>17142.95</v>
      </c>
      <c r="AL131" s="59">
        <f t="shared" si="826"/>
        <v>56671.164110000005</v>
      </c>
      <c r="AM131" s="60">
        <f t="shared" si="827"/>
        <v>16660.05</v>
      </c>
      <c r="AN131" s="59">
        <f t="shared" si="828"/>
        <v>55074.793290000001</v>
      </c>
      <c r="AO131" s="60">
        <f t="shared" si="829"/>
        <v>16177.149999999998</v>
      </c>
      <c r="AP131" s="59">
        <f t="shared" si="830"/>
        <v>53478.42246999999</v>
      </c>
      <c r="AQ131" s="60">
        <f t="shared" si="831"/>
        <v>15694.249999999998</v>
      </c>
      <c r="AR131" s="59">
        <f t="shared" si="832"/>
        <v>51882.051649999994</v>
      </c>
      <c r="AS131" s="55">
        <f t="shared" si="833"/>
        <v>15211.349999999997</v>
      </c>
      <c r="AT131" s="59">
        <f t="shared" si="834"/>
        <v>50285.68082999999</v>
      </c>
      <c r="AU131" s="60">
        <f t="shared" si="835"/>
        <v>14728.449999999997</v>
      </c>
      <c r="AV131" s="59">
        <f t="shared" si="836"/>
        <v>48689.310009999994</v>
      </c>
      <c r="AW131" s="60">
        <f t="shared" si="837"/>
        <v>14245.549999999996</v>
      </c>
      <c r="AX131" s="59">
        <f t="shared" si="838"/>
        <v>47092.93918999999</v>
      </c>
      <c r="AY131" s="55">
        <f t="shared" si="839"/>
        <v>13762.649999999996</v>
      </c>
      <c r="AZ131" s="59">
        <f t="shared" si="840"/>
        <v>45496.568369999986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41"/>
        <v>0.91</v>
      </c>
      <c r="BH131" s="55">
        <f t="shared" si="841"/>
        <v>0.89</v>
      </c>
      <c r="BI131" s="55">
        <f t="shared" si="841"/>
        <v>0.87</v>
      </c>
      <c r="BJ131" s="55">
        <f t="shared" si="841"/>
        <v>0.85</v>
      </c>
      <c r="BK131" s="55">
        <f t="shared" si="841"/>
        <v>0.83</v>
      </c>
      <c r="BL131" s="55">
        <f t="shared" si="841"/>
        <v>0.80999999999999994</v>
      </c>
      <c r="BM131" s="55">
        <f t="shared" si="841"/>
        <v>0.78999999999999992</v>
      </c>
      <c r="BN131" s="55">
        <f t="shared" si="841"/>
        <v>0.76999999999999991</v>
      </c>
      <c r="BO131" s="55">
        <f t="shared" si="841"/>
        <v>0.74999999999999989</v>
      </c>
      <c r="BP131" s="55">
        <f t="shared" si="841"/>
        <v>0.72999999999999987</v>
      </c>
      <c r="BQ131" s="55">
        <f t="shared" si="841"/>
        <v>0.70999999999999985</v>
      </c>
      <c r="BR131" s="55">
        <f t="shared" si="841"/>
        <v>0.68999999999999984</v>
      </c>
      <c r="BS131" s="55">
        <f t="shared" si="841"/>
        <v>0.66999999999999982</v>
      </c>
      <c r="BT131" s="55">
        <f t="shared" si="841"/>
        <v>0.6499999999999998</v>
      </c>
      <c r="BU131" s="55">
        <f t="shared" si="841"/>
        <v>0.62999999999999978</v>
      </c>
      <c r="BV131" s="55">
        <f t="shared" si="841"/>
        <v>0.60999999999999976</v>
      </c>
      <c r="BW131" s="55">
        <f t="shared" si="841"/>
        <v>0.58999999999999975</v>
      </c>
      <c r="BX131" s="55">
        <f t="shared" si="841"/>
        <v>0.56999999999999973</v>
      </c>
      <c r="BZ131" s="55">
        <f t="shared" si="508"/>
        <v>21971.950000000004</v>
      </c>
      <c r="CA131" s="55">
        <f t="shared" si="509"/>
        <v>21971.950000000004</v>
      </c>
      <c r="CB131" s="59">
        <f t="shared" si="842"/>
        <v>72634.872310000021</v>
      </c>
      <c r="CC131" s="55">
        <f t="shared" si="843"/>
        <v>21312.791500000003</v>
      </c>
      <c r="CD131" s="59">
        <f t="shared" si="844"/>
        <v>70455.82614070001</v>
      </c>
      <c r="CE131" s="55">
        <f t="shared" si="845"/>
        <v>20873.352500000005</v>
      </c>
      <c r="CF131" s="59">
        <f t="shared" si="846"/>
        <v>69003.128694500017</v>
      </c>
      <c r="CG131" s="55">
        <f t="shared" si="847"/>
        <v>20433.913500000006</v>
      </c>
      <c r="CH131" s="59">
        <f t="shared" si="848"/>
        <v>67550.431248300025</v>
      </c>
      <c r="CI131" s="57">
        <f t="shared" si="849"/>
        <v>19994.474500000004</v>
      </c>
      <c r="CJ131" s="59">
        <f t="shared" si="850"/>
        <v>66097.733802100018</v>
      </c>
      <c r="CK131" s="55">
        <f t="shared" si="851"/>
        <v>19555.035500000005</v>
      </c>
      <c r="CL131" s="59">
        <f t="shared" si="852"/>
        <v>64645.036355900018</v>
      </c>
      <c r="CM131" s="57">
        <f t="shared" si="853"/>
        <v>19115.596500000003</v>
      </c>
      <c r="CN131" s="59">
        <f t="shared" si="854"/>
        <v>63192.338909700011</v>
      </c>
      <c r="CO131" s="60">
        <f t="shared" si="855"/>
        <v>18676.157500000005</v>
      </c>
      <c r="CP131" s="59">
        <f t="shared" si="856"/>
        <v>61739.641463500018</v>
      </c>
      <c r="CQ131" s="57">
        <f t="shared" si="857"/>
        <v>18236.718500000003</v>
      </c>
      <c r="CR131" s="59">
        <f t="shared" si="858"/>
        <v>60286.944017300011</v>
      </c>
      <c r="CS131" s="55">
        <f t="shared" si="859"/>
        <v>17797.279500000001</v>
      </c>
      <c r="CT131" s="59">
        <f t="shared" si="860"/>
        <v>58834.246571100004</v>
      </c>
      <c r="CU131" s="60">
        <f t="shared" si="861"/>
        <v>17357.840500000002</v>
      </c>
      <c r="CV131" s="59">
        <f t="shared" si="862"/>
        <v>57381.549124900012</v>
      </c>
      <c r="CW131" s="60">
        <f t="shared" si="863"/>
        <v>16918.4015</v>
      </c>
      <c r="CX131" s="59">
        <f t="shared" si="864"/>
        <v>55928.851678700004</v>
      </c>
      <c r="CY131" s="60">
        <f t="shared" si="865"/>
        <v>16478.962500000001</v>
      </c>
      <c r="CZ131" s="59">
        <f t="shared" si="866"/>
        <v>54476.154232500005</v>
      </c>
      <c r="DA131" s="55">
        <f t="shared" si="867"/>
        <v>16039.523500000001</v>
      </c>
      <c r="DB131" s="59">
        <f t="shared" si="868"/>
        <v>53023.456786300005</v>
      </c>
      <c r="DC131" s="60">
        <f t="shared" si="869"/>
        <v>15600.084499999999</v>
      </c>
      <c r="DD131" s="59">
        <f t="shared" si="870"/>
        <v>51570.759340099998</v>
      </c>
      <c r="DE131" s="60">
        <f t="shared" si="871"/>
        <v>15160.645499999999</v>
      </c>
      <c r="DF131" s="59">
        <f t="shared" si="872"/>
        <v>50118.061893899998</v>
      </c>
      <c r="DG131" s="60">
        <f t="shared" si="873"/>
        <v>14721.206499999998</v>
      </c>
      <c r="DH131" s="59">
        <f t="shared" si="874"/>
        <v>48665.364447699998</v>
      </c>
      <c r="DI131" s="60">
        <f t="shared" si="875"/>
        <v>14281.767499999998</v>
      </c>
      <c r="DJ131" s="59">
        <f t="shared" si="876"/>
        <v>47212.667001499998</v>
      </c>
      <c r="DK131" s="55">
        <f t="shared" si="877"/>
        <v>13842.328499999998</v>
      </c>
      <c r="DL131" s="59">
        <f t="shared" si="878"/>
        <v>45759.969555299991</v>
      </c>
      <c r="DM131" s="60">
        <f t="shared" si="879"/>
        <v>13402.889499999997</v>
      </c>
      <c r="DN131" s="59">
        <f t="shared" si="880"/>
        <v>44307.272109099991</v>
      </c>
      <c r="DO131" s="60">
        <f t="shared" si="881"/>
        <v>12963.450499999997</v>
      </c>
      <c r="DP131" s="59">
        <f t="shared" si="882"/>
        <v>42854.574662899991</v>
      </c>
      <c r="DQ131" s="55">
        <f t="shared" si="883"/>
        <v>12524.011499999997</v>
      </c>
      <c r="DR131" s="59">
        <f t="shared" si="884"/>
        <v>41401.877216699992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92"/>
        <v>0.91</v>
      </c>
      <c r="DZ131" s="55">
        <f t="shared" si="792"/>
        <v>0.89</v>
      </c>
      <c r="EA131" s="55">
        <f t="shared" si="792"/>
        <v>0.87</v>
      </c>
      <c r="EB131" s="55">
        <f t="shared" si="792"/>
        <v>0.85</v>
      </c>
      <c r="EC131" s="55">
        <f t="shared" si="792"/>
        <v>0.83</v>
      </c>
      <c r="ED131" s="55">
        <f t="shared" si="792"/>
        <v>0.80999999999999994</v>
      </c>
      <c r="EE131" s="55">
        <f t="shared" si="792"/>
        <v>0.78999999999999992</v>
      </c>
      <c r="EF131" s="55">
        <f t="shared" si="792"/>
        <v>0.76999999999999991</v>
      </c>
      <c r="EG131" s="55">
        <f t="shared" si="792"/>
        <v>0.74999999999999989</v>
      </c>
      <c r="EH131" s="55">
        <f t="shared" si="792"/>
        <v>0.72999999999999987</v>
      </c>
      <c r="EI131" s="55">
        <f t="shared" si="792"/>
        <v>0.70999999999999985</v>
      </c>
      <c r="EJ131" s="55">
        <f t="shared" si="792"/>
        <v>0.68999999999999984</v>
      </c>
      <c r="EK131" s="55">
        <f t="shared" si="792"/>
        <v>0.66999999999999982</v>
      </c>
      <c r="EL131" s="55">
        <f t="shared" si="792"/>
        <v>0.6499999999999998</v>
      </c>
      <c r="EM131" s="55">
        <f t="shared" si="792"/>
        <v>0.62999999999999978</v>
      </c>
      <c r="EN131" s="55">
        <f t="shared" si="792"/>
        <v>0.60999999999999976</v>
      </c>
      <c r="EO131" s="55">
        <f t="shared" si="792"/>
        <v>0.58999999999999975</v>
      </c>
      <c r="EP131" s="55">
        <f t="shared" si="792"/>
        <v>0.56999999999999973</v>
      </c>
      <c r="ER131" s="55">
        <f t="shared" si="648"/>
        <v>19994.474500000004</v>
      </c>
      <c r="ES131" s="55">
        <f t="shared" si="510"/>
        <v>19994.474500000004</v>
      </c>
      <c r="ET131" s="59">
        <f t="shared" si="885"/>
        <v>66097.733802100018</v>
      </c>
      <c r="EU131" s="55">
        <f t="shared" si="886"/>
        <v>19394.640265000002</v>
      </c>
      <c r="EV131" s="59">
        <f t="shared" si="887"/>
        <v>64114.80178803701</v>
      </c>
      <c r="EW131" s="55">
        <f t="shared" si="888"/>
        <v>18994.750775000004</v>
      </c>
      <c r="EX131" s="59">
        <f t="shared" si="889"/>
        <v>62792.847111995012</v>
      </c>
      <c r="EY131" s="55">
        <f t="shared" si="890"/>
        <v>18594.861285000006</v>
      </c>
      <c r="EZ131" s="59">
        <f t="shared" si="891"/>
        <v>61470.892435953021</v>
      </c>
      <c r="FA131" s="57">
        <f t="shared" si="892"/>
        <v>18194.971795000005</v>
      </c>
      <c r="FB131" s="59">
        <f t="shared" si="893"/>
        <v>60148.937759911016</v>
      </c>
      <c r="FC131" s="55">
        <f t="shared" si="894"/>
        <v>17795.082305000004</v>
      </c>
      <c r="FD131" s="59">
        <f t="shared" si="895"/>
        <v>58826.98308386901</v>
      </c>
      <c r="FE131" s="57">
        <f t="shared" si="896"/>
        <v>17395.192815000002</v>
      </c>
      <c r="FF131" s="59">
        <f t="shared" si="897"/>
        <v>57505.028407827005</v>
      </c>
      <c r="FG131" s="60">
        <f t="shared" si="898"/>
        <v>16995.303325000004</v>
      </c>
      <c r="FH131" s="59">
        <f t="shared" si="899"/>
        <v>56183.073731785014</v>
      </c>
      <c r="FI131" s="57">
        <f t="shared" si="900"/>
        <v>16595.413835000003</v>
      </c>
      <c r="FJ131" s="59">
        <f t="shared" si="901"/>
        <v>54861.119055743009</v>
      </c>
      <c r="FK131" s="55">
        <f t="shared" si="902"/>
        <v>16195.524345000002</v>
      </c>
      <c r="FL131" s="59">
        <f t="shared" si="903"/>
        <v>53539.164379701004</v>
      </c>
      <c r="FM131" s="60">
        <f t="shared" si="904"/>
        <v>15795.634855000002</v>
      </c>
      <c r="FN131" s="59">
        <f t="shared" si="905"/>
        <v>52217.209703659006</v>
      </c>
      <c r="FO131" s="60">
        <f t="shared" si="906"/>
        <v>15395.745365000001</v>
      </c>
      <c r="FP131" s="59">
        <f t="shared" si="907"/>
        <v>50895.255027617</v>
      </c>
      <c r="FQ131" s="60">
        <f t="shared" si="908"/>
        <v>14995.855875000001</v>
      </c>
      <c r="FR131" s="59">
        <f t="shared" si="909"/>
        <v>49573.300351575002</v>
      </c>
      <c r="FS131" s="55">
        <f t="shared" si="910"/>
        <v>14595.966385</v>
      </c>
      <c r="FT131" s="59">
        <f t="shared" si="911"/>
        <v>48251.345675532997</v>
      </c>
      <c r="FU131" s="60">
        <f t="shared" si="912"/>
        <v>14196.076895</v>
      </c>
      <c r="FV131" s="59">
        <f t="shared" si="913"/>
        <v>46929.390999490999</v>
      </c>
      <c r="FW131" s="60">
        <f t="shared" si="914"/>
        <v>13796.187404999999</v>
      </c>
      <c r="FX131" s="59">
        <f t="shared" si="915"/>
        <v>45607.436323448994</v>
      </c>
      <c r="FY131" s="60">
        <f t="shared" si="916"/>
        <v>13396.297914999999</v>
      </c>
      <c r="FZ131" s="59">
        <f t="shared" si="917"/>
        <v>44285.481647406996</v>
      </c>
      <c r="GA131" s="60">
        <f t="shared" si="918"/>
        <v>12996.408424999998</v>
      </c>
      <c r="GB131" s="59">
        <f t="shared" si="919"/>
        <v>42963.52697136499</v>
      </c>
      <c r="GC131" s="55">
        <f t="shared" si="920"/>
        <v>12596.518934999998</v>
      </c>
      <c r="GD131" s="59">
        <f t="shared" si="921"/>
        <v>41641.572295322992</v>
      </c>
      <c r="GE131" s="60">
        <f t="shared" si="922"/>
        <v>12196.629444999997</v>
      </c>
      <c r="GF131" s="59">
        <f t="shared" si="923"/>
        <v>40319.617619280987</v>
      </c>
      <c r="GG131" s="60">
        <f t="shared" si="924"/>
        <v>11796.739954999997</v>
      </c>
      <c r="GH131" s="59">
        <f t="shared" si="925"/>
        <v>38997.662943238989</v>
      </c>
      <c r="GI131" s="55">
        <f t="shared" si="926"/>
        <v>11396.850464999998</v>
      </c>
      <c r="GJ131" s="59">
        <f t="shared" si="927"/>
        <v>37675.708267196991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93"/>
        <v>0.91</v>
      </c>
      <c r="GR131" s="55">
        <f t="shared" si="793"/>
        <v>0.89</v>
      </c>
      <c r="GS131" s="55">
        <f t="shared" si="793"/>
        <v>0.87</v>
      </c>
      <c r="GT131" s="55">
        <f t="shared" si="793"/>
        <v>0.85</v>
      </c>
      <c r="GU131" s="55">
        <f t="shared" si="793"/>
        <v>0.83</v>
      </c>
      <c r="GV131" s="55">
        <f t="shared" si="793"/>
        <v>0.80999999999999994</v>
      </c>
      <c r="GW131" s="55">
        <f t="shared" si="793"/>
        <v>0.78999999999999992</v>
      </c>
      <c r="GX131" s="55">
        <f t="shared" si="793"/>
        <v>0.76999999999999991</v>
      </c>
      <c r="GY131" s="55">
        <f t="shared" si="793"/>
        <v>0.74999999999999989</v>
      </c>
      <c r="GZ131" s="55">
        <f t="shared" si="793"/>
        <v>0.72999999999999987</v>
      </c>
      <c r="HA131" s="55">
        <f t="shared" si="793"/>
        <v>0.70999999999999985</v>
      </c>
      <c r="HB131" s="55">
        <f t="shared" si="793"/>
        <v>0.68999999999999984</v>
      </c>
      <c r="HC131" s="55">
        <f t="shared" si="793"/>
        <v>0.66999999999999982</v>
      </c>
      <c r="HD131" s="55">
        <f t="shared" si="793"/>
        <v>0.6499999999999998</v>
      </c>
      <c r="HE131" s="55">
        <f t="shared" si="793"/>
        <v>0.62999999999999978</v>
      </c>
      <c r="HF131" s="55">
        <f t="shared" si="793"/>
        <v>0.60999999999999976</v>
      </c>
      <c r="HG131" s="55">
        <f t="shared" si="793"/>
        <v>0.58999999999999975</v>
      </c>
      <c r="HH131" s="55">
        <f t="shared" si="793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798"/>
        <v>0</v>
      </c>
      <c r="H132" s="55">
        <f t="shared" si="505"/>
        <v>0</v>
      </c>
      <c r="I132" s="55">
        <f t="shared" si="506"/>
        <v>0</v>
      </c>
      <c r="J132" s="59">
        <f t="shared" si="507"/>
        <v>0</v>
      </c>
      <c r="K132" s="55">
        <f t="shared" si="799"/>
        <v>0</v>
      </c>
      <c r="L132" s="59">
        <f t="shared" si="800"/>
        <v>0</v>
      </c>
      <c r="M132" s="55">
        <f t="shared" si="801"/>
        <v>0</v>
      </c>
      <c r="N132" s="59">
        <f t="shared" si="802"/>
        <v>0</v>
      </c>
      <c r="O132" s="55">
        <f t="shared" si="803"/>
        <v>0</v>
      </c>
      <c r="P132" s="59">
        <f t="shared" si="804"/>
        <v>0</v>
      </c>
      <c r="Q132" s="57">
        <f t="shared" si="805"/>
        <v>0</v>
      </c>
      <c r="R132" s="59">
        <f t="shared" si="806"/>
        <v>0</v>
      </c>
      <c r="S132" s="55">
        <f t="shared" si="807"/>
        <v>0</v>
      </c>
      <c r="T132" s="59">
        <f t="shared" si="808"/>
        <v>0</v>
      </c>
      <c r="U132" s="57">
        <f t="shared" si="809"/>
        <v>0</v>
      </c>
      <c r="V132" s="59">
        <f t="shared" si="810"/>
        <v>0</v>
      </c>
      <c r="W132" s="60">
        <f t="shared" si="811"/>
        <v>0</v>
      </c>
      <c r="X132" s="59">
        <f t="shared" si="812"/>
        <v>0</v>
      </c>
      <c r="Y132" s="57">
        <f t="shared" si="813"/>
        <v>0</v>
      </c>
      <c r="Z132" s="59">
        <f t="shared" si="814"/>
        <v>0</v>
      </c>
      <c r="AA132" s="55">
        <f t="shared" si="815"/>
        <v>0</v>
      </c>
      <c r="AB132" s="59">
        <f t="shared" si="816"/>
        <v>0</v>
      </c>
      <c r="AC132" s="60">
        <f t="shared" si="817"/>
        <v>0</v>
      </c>
      <c r="AD132" s="59">
        <f t="shared" si="818"/>
        <v>0</v>
      </c>
      <c r="AE132" s="60">
        <f t="shared" si="819"/>
        <v>0</v>
      </c>
      <c r="AF132" s="59">
        <f t="shared" si="820"/>
        <v>0</v>
      </c>
      <c r="AG132" s="60">
        <f t="shared" si="821"/>
        <v>0</v>
      </c>
      <c r="AH132" s="59">
        <f t="shared" si="822"/>
        <v>0</v>
      </c>
      <c r="AI132" s="55">
        <f t="shared" si="823"/>
        <v>0</v>
      </c>
      <c r="AJ132" s="59">
        <f t="shared" si="824"/>
        <v>0</v>
      </c>
      <c r="AK132" s="60">
        <f t="shared" si="825"/>
        <v>0</v>
      </c>
      <c r="AL132" s="59">
        <f t="shared" si="826"/>
        <v>0</v>
      </c>
      <c r="AM132" s="60">
        <f t="shared" si="827"/>
        <v>0</v>
      </c>
      <c r="AN132" s="59">
        <f t="shared" si="828"/>
        <v>0</v>
      </c>
      <c r="AO132" s="60">
        <f t="shared" si="829"/>
        <v>0</v>
      </c>
      <c r="AP132" s="59">
        <f t="shared" si="830"/>
        <v>0</v>
      </c>
      <c r="AQ132" s="60">
        <f t="shared" si="831"/>
        <v>0</v>
      </c>
      <c r="AR132" s="59">
        <f t="shared" si="832"/>
        <v>0</v>
      </c>
      <c r="AS132" s="55">
        <f t="shared" si="833"/>
        <v>0</v>
      </c>
      <c r="AT132" s="59">
        <f t="shared" si="834"/>
        <v>0</v>
      </c>
      <c r="AU132" s="60">
        <f t="shared" si="835"/>
        <v>0</v>
      </c>
      <c r="AV132" s="59">
        <f t="shared" si="836"/>
        <v>0</v>
      </c>
      <c r="AW132" s="60">
        <f t="shared" si="837"/>
        <v>0</v>
      </c>
      <c r="AX132" s="59">
        <f t="shared" si="838"/>
        <v>0</v>
      </c>
      <c r="AY132" s="55">
        <f t="shared" si="839"/>
        <v>0</v>
      </c>
      <c r="AZ132" s="59">
        <f t="shared" si="84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41"/>
        <v>0.91</v>
      </c>
      <c r="BH132" s="55">
        <f t="shared" si="841"/>
        <v>0.89</v>
      </c>
      <c r="BI132" s="55">
        <f t="shared" si="841"/>
        <v>0.87</v>
      </c>
      <c r="BJ132" s="55">
        <f t="shared" si="841"/>
        <v>0.85</v>
      </c>
      <c r="BK132" s="55">
        <f t="shared" si="841"/>
        <v>0.83</v>
      </c>
      <c r="BL132" s="55">
        <f t="shared" si="841"/>
        <v>0.80999999999999994</v>
      </c>
      <c r="BM132" s="55">
        <f t="shared" si="841"/>
        <v>0.78999999999999992</v>
      </c>
      <c r="BN132" s="55">
        <f t="shared" si="841"/>
        <v>0.76999999999999991</v>
      </c>
      <c r="BO132" s="55">
        <f t="shared" si="841"/>
        <v>0.74999999999999989</v>
      </c>
      <c r="BP132" s="55">
        <f t="shared" si="841"/>
        <v>0.72999999999999987</v>
      </c>
      <c r="BQ132" s="55">
        <f t="shared" si="841"/>
        <v>0.70999999999999985</v>
      </c>
      <c r="BR132" s="55">
        <f t="shared" si="841"/>
        <v>0.68999999999999984</v>
      </c>
      <c r="BS132" s="55">
        <f t="shared" si="841"/>
        <v>0.66999999999999982</v>
      </c>
      <c r="BT132" s="55">
        <f t="shared" si="841"/>
        <v>0.6499999999999998</v>
      </c>
      <c r="BU132" s="55">
        <f t="shared" si="841"/>
        <v>0.62999999999999978</v>
      </c>
      <c r="BV132" s="55">
        <f t="shared" si="841"/>
        <v>0.60999999999999976</v>
      </c>
      <c r="BW132" s="55">
        <f t="shared" si="841"/>
        <v>0.58999999999999975</v>
      </c>
      <c r="BX132" s="55">
        <f t="shared" si="841"/>
        <v>0.56999999999999973</v>
      </c>
      <c r="BZ132" s="55">
        <f t="shared" si="508"/>
        <v>0</v>
      </c>
      <c r="CA132" s="55">
        <f t="shared" si="509"/>
        <v>0</v>
      </c>
      <c r="CB132" s="59">
        <f t="shared" si="842"/>
        <v>0</v>
      </c>
      <c r="CC132" s="55">
        <f t="shared" si="843"/>
        <v>0</v>
      </c>
      <c r="CD132" s="59">
        <f t="shared" si="844"/>
        <v>0</v>
      </c>
      <c r="CE132" s="55">
        <f t="shared" si="845"/>
        <v>0</v>
      </c>
      <c r="CF132" s="59">
        <f t="shared" si="846"/>
        <v>0</v>
      </c>
      <c r="CG132" s="55">
        <f t="shared" si="847"/>
        <v>0</v>
      </c>
      <c r="CH132" s="59">
        <f t="shared" si="848"/>
        <v>0</v>
      </c>
      <c r="CI132" s="57">
        <f t="shared" si="849"/>
        <v>0</v>
      </c>
      <c r="CJ132" s="59">
        <f t="shared" si="850"/>
        <v>0</v>
      </c>
      <c r="CK132" s="55">
        <f t="shared" si="851"/>
        <v>0</v>
      </c>
      <c r="CL132" s="59">
        <f t="shared" si="852"/>
        <v>0</v>
      </c>
      <c r="CM132" s="57">
        <f t="shared" si="853"/>
        <v>0</v>
      </c>
      <c r="CN132" s="59">
        <f t="shared" si="854"/>
        <v>0</v>
      </c>
      <c r="CO132" s="60">
        <f t="shared" si="855"/>
        <v>0</v>
      </c>
      <c r="CP132" s="59">
        <f t="shared" si="856"/>
        <v>0</v>
      </c>
      <c r="CQ132" s="57">
        <f t="shared" si="857"/>
        <v>0</v>
      </c>
      <c r="CR132" s="59">
        <f t="shared" si="858"/>
        <v>0</v>
      </c>
      <c r="CS132" s="55">
        <f t="shared" si="859"/>
        <v>0</v>
      </c>
      <c r="CT132" s="59">
        <f t="shared" si="860"/>
        <v>0</v>
      </c>
      <c r="CU132" s="60">
        <f t="shared" si="861"/>
        <v>0</v>
      </c>
      <c r="CV132" s="59">
        <f t="shared" si="862"/>
        <v>0</v>
      </c>
      <c r="CW132" s="60">
        <f t="shared" si="863"/>
        <v>0</v>
      </c>
      <c r="CX132" s="59">
        <f t="shared" si="864"/>
        <v>0</v>
      </c>
      <c r="CY132" s="60">
        <f t="shared" si="865"/>
        <v>0</v>
      </c>
      <c r="CZ132" s="59">
        <f t="shared" si="866"/>
        <v>0</v>
      </c>
      <c r="DA132" s="55">
        <f t="shared" si="867"/>
        <v>0</v>
      </c>
      <c r="DB132" s="59">
        <f t="shared" si="868"/>
        <v>0</v>
      </c>
      <c r="DC132" s="60">
        <f t="shared" si="869"/>
        <v>0</v>
      </c>
      <c r="DD132" s="59">
        <f t="shared" si="870"/>
        <v>0</v>
      </c>
      <c r="DE132" s="60">
        <f t="shared" si="871"/>
        <v>0</v>
      </c>
      <c r="DF132" s="59">
        <f t="shared" si="872"/>
        <v>0</v>
      </c>
      <c r="DG132" s="60">
        <f t="shared" si="873"/>
        <v>0</v>
      </c>
      <c r="DH132" s="59">
        <f t="shared" si="874"/>
        <v>0</v>
      </c>
      <c r="DI132" s="60">
        <f t="shared" si="875"/>
        <v>0</v>
      </c>
      <c r="DJ132" s="59">
        <f t="shared" si="876"/>
        <v>0</v>
      </c>
      <c r="DK132" s="55">
        <f t="shared" si="877"/>
        <v>0</v>
      </c>
      <c r="DL132" s="59">
        <f t="shared" si="878"/>
        <v>0</v>
      </c>
      <c r="DM132" s="60">
        <f t="shared" si="879"/>
        <v>0</v>
      </c>
      <c r="DN132" s="59">
        <f t="shared" si="880"/>
        <v>0</v>
      </c>
      <c r="DO132" s="60">
        <f t="shared" si="881"/>
        <v>0</v>
      </c>
      <c r="DP132" s="59">
        <f t="shared" si="882"/>
        <v>0</v>
      </c>
      <c r="DQ132" s="55">
        <f t="shared" si="883"/>
        <v>0</v>
      </c>
      <c r="DR132" s="59">
        <f t="shared" si="88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92"/>
        <v>0.91</v>
      </c>
      <c r="DZ132" s="55">
        <f t="shared" si="792"/>
        <v>0.89</v>
      </c>
      <c r="EA132" s="55">
        <f t="shared" si="792"/>
        <v>0.87</v>
      </c>
      <c r="EB132" s="55">
        <f t="shared" si="792"/>
        <v>0.85</v>
      </c>
      <c r="EC132" s="55">
        <f t="shared" si="792"/>
        <v>0.83</v>
      </c>
      <c r="ED132" s="55">
        <f t="shared" si="792"/>
        <v>0.80999999999999994</v>
      </c>
      <c r="EE132" s="55">
        <f t="shared" si="792"/>
        <v>0.78999999999999992</v>
      </c>
      <c r="EF132" s="55">
        <f t="shared" si="792"/>
        <v>0.76999999999999991</v>
      </c>
      <c r="EG132" s="55">
        <f t="shared" si="792"/>
        <v>0.74999999999999989</v>
      </c>
      <c r="EH132" s="55">
        <f t="shared" si="792"/>
        <v>0.72999999999999987</v>
      </c>
      <c r="EI132" s="55">
        <f t="shared" si="792"/>
        <v>0.70999999999999985</v>
      </c>
      <c r="EJ132" s="55">
        <f t="shared" si="792"/>
        <v>0.68999999999999984</v>
      </c>
      <c r="EK132" s="55">
        <f t="shared" si="792"/>
        <v>0.66999999999999982</v>
      </c>
      <c r="EL132" s="55">
        <f t="shared" si="792"/>
        <v>0.6499999999999998</v>
      </c>
      <c r="EM132" s="55">
        <f t="shared" si="792"/>
        <v>0.62999999999999978</v>
      </c>
      <c r="EN132" s="55">
        <f t="shared" si="792"/>
        <v>0.60999999999999976</v>
      </c>
      <c r="EO132" s="55">
        <f t="shared" si="792"/>
        <v>0.58999999999999975</v>
      </c>
      <c r="EP132" s="55">
        <f t="shared" si="792"/>
        <v>0.56999999999999973</v>
      </c>
      <c r="ER132" s="55">
        <f t="shared" si="648"/>
        <v>0</v>
      </c>
      <c r="ES132" s="55">
        <f t="shared" si="510"/>
        <v>0</v>
      </c>
      <c r="ET132" s="59">
        <f t="shared" si="885"/>
        <v>0</v>
      </c>
      <c r="EU132" s="55">
        <f t="shared" si="886"/>
        <v>0</v>
      </c>
      <c r="EV132" s="59">
        <f t="shared" si="887"/>
        <v>0</v>
      </c>
      <c r="EW132" s="55">
        <f t="shared" si="888"/>
        <v>0</v>
      </c>
      <c r="EX132" s="59">
        <f t="shared" si="889"/>
        <v>0</v>
      </c>
      <c r="EY132" s="55">
        <f t="shared" si="890"/>
        <v>0</v>
      </c>
      <c r="EZ132" s="59">
        <f t="shared" si="891"/>
        <v>0</v>
      </c>
      <c r="FA132" s="57">
        <f t="shared" si="892"/>
        <v>0</v>
      </c>
      <c r="FB132" s="59">
        <f t="shared" si="893"/>
        <v>0</v>
      </c>
      <c r="FC132" s="55">
        <f t="shared" si="894"/>
        <v>0</v>
      </c>
      <c r="FD132" s="59">
        <f t="shared" si="895"/>
        <v>0</v>
      </c>
      <c r="FE132" s="57">
        <f t="shared" si="896"/>
        <v>0</v>
      </c>
      <c r="FF132" s="59">
        <f t="shared" si="897"/>
        <v>0</v>
      </c>
      <c r="FG132" s="60">
        <f t="shared" si="898"/>
        <v>0</v>
      </c>
      <c r="FH132" s="59">
        <f t="shared" si="899"/>
        <v>0</v>
      </c>
      <c r="FI132" s="57">
        <f t="shared" si="900"/>
        <v>0</v>
      </c>
      <c r="FJ132" s="59">
        <f t="shared" si="901"/>
        <v>0</v>
      </c>
      <c r="FK132" s="55">
        <f t="shared" si="902"/>
        <v>0</v>
      </c>
      <c r="FL132" s="59">
        <f t="shared" si="903"/>
        <v>0</v>
      </c>
      <c r="FM132" s="60">
        <f t="shared" si="904"/>
        <v>0</v>
      </c>
      <c r="FN132" s="59">
        <f t="shared" si="905"/>
        <v>0</v>
      </c>
      <c r="FO132" s="60">
        <f t="shared" si="906"/>
        <v>0</v>
      </c>
      <c r="FP132" s="59">
        <f t="shared" si="907"/>
        <v>0</v>
      </c>
      <c r="FQ132" s="60">
        <f t="shared" si="908"/>
        <v>0</v>
      </c>
      <c r="FR132" s="59">
        <f t="shared" si="909"/>
        <v>0</v>
      </c>
      <c r="FS132" s="55">
        <f t="shared" si="910"/>
        <v>0</v>
      </c>
      <c r="FT132" s="59">
        <f t="shared" si="911"/>
        <v>0</v>
      </c>
      <c r="FU132" s="60">
        <f t="shared" si="912"/>
        <v>0</v>
      </c>
      <c r="FV132" s="59">
        <f t="shared" si="913"/>
        <v>0</v>
      </c>
      <c r="FW132" s="60">
        <f t="shared" si="914"/>
        <v>0</v>
      </c>
      <c r="FX132" s="59">
        <f t="shared" si="915"/>
        <v>0</v>
      </c>
      <c r="FY132" s="60">
        <f t="shared" si="916"/>
        <v>0</v>
      </c>
      <c r="FZ132" s="59">
        <f t="shared" si="917"/>
        <v>0</v>
      </c>
      <c r="GA132" s="60">
        <f t="shared" si="918"/>
        <v>0</v>
      </c>
      <c r="GB132" s="59">
        <f t="shared" si="919"/>
        <v>0</v>
      </c>
      <c r="GC132" s="55">
        <f t="shared" si="920"/>
        <v>0</v>
      </c>
      <c r="GD132" s="59">
        <f t="shared" si="921"/>
        <v>0</v>
      </c>
      <c r="GE132" s="60">
        <f t="shared" si="922"/>
        <v>0</v>
      </c>
      <c r="GF132" s="59">
        <f t="shared" si="923"/>
        <v>0</v>
      </c>
      <c r="GG132" s="60">
        <f t="shared" si="924"/>
        <v>0</v>
      </c>
      <c r="GH132" s="59">
        <f t="shared" si="925"/>
        <v>0</v>
      </c>
      <c r="GI132" s="55">
        <f t="shared" si="926"/>
        <v>0</v>
      </c>
      <c r="GJ132" s="59">
        <f t="shared" si="92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93"/>
        <v>0.91</v>
      </c>
      <c r="GR132" s="55">
        <f t="shared" si="793"/>
        <v>0.89</v>
      </c>
      <c r="GS132" s="55">
        <f t="shared" si="793"/>
        <v>0.87</v>
      </c>
      <c r="GT132" s="55">
        <f t="shared" si="793"/>
        <v>0.85</v>
      </c>
      <c r="GU132" s="55">
        <f t="shared" si="793"/>
        <v>0.83</v>
      </c>
      <c r="GV132" s="55">
        <f t="shared" si="793"/>
        <v>0.80999999999999994</v>
      </c>
      <c r="GW132" s="55">
        <f t="shared" si="793"/>
        <v>0.78999999999999992</v>
      </c>
      <c r="GX132" s="55">
        <f t="shared" si="793"/>
        <v>0.76999999999999991</v>
      </c>
      <c r="GY132" s="55">
        <f t="shared" si="793"/>
        <v>0.74999999999999989</v>
      </c>
      <c r="GZ132" s="55">
        <f t="shared" si="793"/>
        <v>0.72999999999999987</v>
      </c>
      <c r="HA132" s="55">
        <f t="shared" si="793"/>
        <v>0.70999999999999985</v>
      </c>
      <c r="HB132" s="55">
        <f t="shared" si="793"/>
        <v>0.68999999999999984</v>
      </c>
      <c r="HC132" s="55">
        <f t="shared" si="793"/>
        <v>0.66999999999999982</v>
      </c>
      <c r="HD132" s="55">
        <f t="shared" si="793"/>
        <v>0.6499999999999998</v>
      </c>
      <c r="HE132" s="55">
        <f t="shared" si="793"/>
        <v>0.62999999999999978</v>
      </c>
      <c r="HF132" s="55">
        <f t="shared" si="793"/>
        <v>0.60999999999999976</v>
      </c>
      <c r="HG132" s="55">
        <f t="shared" si="793"/>
        <v>0.58999999999999975</v>
      </c>
      <c r="HH132" s="55">
        <f t="shared" si="793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1">
        <f t="shared" si="798"/>
        <v>0</v>
      </c>
      <c r="H133" s="55">
        <f t="shared" si="505"/>
        <v>0</v>
      </c>
      <c r="I133" s="55">
        <f t="shared" si="506"/>
        <v>0</v>
      </c>
      <c r="J133" s="59">
        <f t="shared" si="507"/>
        <v>0</v>
      </c>
      <c r="K133" s="55">
        <f t="shared" si="799"/>
        <v>0</v>
      </c>
      <c r="L133" s="59">
        <f t="shared" si="800"/>
        <v>0</v>
      </c>
      <c r="M133" s="55">
        <f t="shared" si="801"/>
        <v>0</v>
      </c>
      <c r="N133" s="59">
        <f t="shared" si="802"/>
        <v>0</v>
      </c>
      <c r="O133" s="55">
        <f t="shared" si="803"/>
        <v>0</v>
      </c>
      <c r="P133" s="59">
        <f t="shared" si="804"/>
        <v>0</v>
      </c>
      <c r="Q133" s="57">
        <f t="shared" si="805"/>
        <v>0</v>
      </c>
      <c r="R133" s="59">
        <f t="shared" si="806"/>
        <v>0</v>
      </c>
      <c r="S133" s="55">
        <f t="shared" si="807"/>
        <v>0</v>
      </c>
      <c r="T133" s="59">
        <f t="shared" si="808"/>
        <v>0</v>
      </c>
      <c r="U133" s="57">
        <f t="shared" si="809"/>
        <v>0</v>
      </c>
      <c r="V133" s="59">
        <f t="shared" si="810"/>
        <v>0</v>
      </c>
      <c r="W133" s="60">
        <f t="shared" si="811"/>
        <v>0</v>
      </c>
      <c r="X133" s="59">
        <f t="shared" si="812"/>
        <v>0</v>
      </c>
      <c r="Y133" s="57">
        <f t="shared" si="813"/>
        <v>0</v>
      </c>
      <c r="Z133" s="59">
        <f t="shared" si="814"/>
        <v>0</v>
      </c>
      <c r="AA133" s="55">
        <f t="shared" si="815"/>
        <v>0</v>
      </c>
      <c r="AB133" s="59">
        <f t="shared" si="816"/>
        <v>0</v>
      </c>
      <c r="AC133" s="60">
        <f t="shared" si="817"/>
        <v>0</v>
      </c>
      <c r="AD133" s="59">
        <f t="shared" si="818"/>
        <v>0</v>
      </c>
      <c r="AE133" s="60">
        <f t="shared" si="819"/>
        <v>0</v>
      </c>
      <c r="AF133" s="59">
        <f t="shared" si="820"/>
        <v>0</v>
      </c>
      <c r="AG133" s="60">
        <f t="shared" si="821"/>
        <v>0</v>
      </c>
      <c r="AH133" s="59">
        <f t="shared" si="822"/>
        <v>0</v>
      </c>
      <c r="AI133" s="55">
        <f t="shared" si="823"/>
        <v>0</v>
      </c>
      <c r="AJ133" s="59">
        <f t="shared" si="824"/>
        <v>0</v>
      </c>
      <c r="AK133" s="60">
        <f t="shared" si="825"/>
        <v>0</v>
      </c>
      <c r="AL133" s="59">
        <f t="shared" si="826"/>
        <v>0</v>
      </c>
      <c r="AM133" s="60">
        <f t="shared" si="827"/>
        <v>0</v>
      </c>
      <c r="AN133" s="59">
        <f t="shared" si="828"/>
        <v>0</v>
      </c>
      <c r="AO133" s="60">
        <f t="shared" si="829"/>
        <v>0</v>
      </c>
      <c r="AP133" s="59">
        <f t="shared" si="830"/>
        <v>0</v>
      </c>
      <c r="AQ133" s="60">
        <f t="shared" si="831"/>
        <v>0</v>
      </c>
      <c r="AR133" s="59">
        <f t="shared" si="832"/>
        <v>0</v>
      </c>
      <c r="AS133" s="55">
        <f t="shared" si="833"/>
        <v>0</v>
      </c>
      <c r="AT133" s="59">
        <f t="shared" si="834"/>
        <v>0</v>
      </c>
      <c r="AU133" s="60">
        <f t="shared" si="835"/>
        <v>0</v>
      </c>
      <c r="AV133" s="59">
        <f t="shared" si="836"/>
        <v>0</v>
      </c>
      <c r="AW133" s="60">
        <f t="shared" si="837"/>
        <v>0</v>
      </c>
      <c r="AX133" s="59">
        <f t="shared" si="838"/>
        <v>0</v>
      </c>
      <c r="AY133" s="55">
        <f t="shared" si="839"/>
        <v>0</v>
      </c>
      <c r="AZ133" s="59">
        <f t="shared" si="840"/>
        <v>0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41"/>
        <v>0.91</v>
      </c>
      <c r="BH133" s="55">
        <f t="shared" si="841"/>
        <v>0.89</v>
      </c>
      <c r="BI133" s="55">
        <f t="shared" si="841"/>
        <v>0.87</v>
      </c>
      <c r="BJ133" s="55">
        <f t="shared" si="841"/>
        <v>0.85</v>
      </c>
      <c r="BK133" s="55">
        <f t="shared" si="841"/>
        <v>0.83</v>
      </c>
      <c r="BL133" s="55">
        <f t="shared" si="841"/>
        <v>0.80999999999999994</v>
      </c>
      <c r="BM133" s="55">
        <f t="shared" si="841"/>
        <v>0.78999999999999992</v>
      </c>
      <c r="BN133" s="55">
        <f t="shared" si="841"/>
        <v>0.76999999999999991</v>
      </c>
      <c r="BO133" s="55">
        <f t="shared" si="841"/>
        <v>0.74999999999999989</v>
      </c>
      <c r="BP133" s="55">
        <f t="shared" si="841"/>
        <v>0.72999999999999987</v>
      </c>
      <c r="BQ133" s="55">
        <f t="shared" si="841"/>
        <v>0.70999999999999985</v>
      </c>
      <c r="BR133" s="55">
        <f t="shared" si="841"/>
        <v>0.68999999999999984</v>
      </c>
      <c r="BS133" s="55">
        <f t="shared" si="841"/>
        <v>0.66999999999999982</v>
      </c>
      <c r="BT133" s="55">
        <f t="shared" si="841"/>
        <v>0.6499999999999998</v>
      </c>
      <c r="BU133" s="55">
        <f t="shared" si="841"/>
        <v>0.62999999999999978</v>
      </c>
      <c r="BV133" s="55">
        <f t="shared" si="841"/>
        <v>0.60999999999999976</v>
      </c>
      <c r="BW133" s="55">
        <f t="shared" si="841"/>
        <v>0.58999999999999975</v>
      </c>
      <c r="BX133" s="55">
        <f t="shared" si="841"/>
        <v>0.56999999999999973</v>
      </c>
      <c r="BZ133" s="55">
        <f t="shared" si="508"/>
        <v>0</v>
      </c>
      <c r="CA133" s="55">
        <f t="shared" si="509"/>
        <v>0</v>
      </c>
      <c r="CB133" s="59">
        <f t="shared" si="842"/>
        <v>0</v>
      </c>
      <c r="CC133" s="55">
        <f t="shared" si="843"/>
        <v>0</v>
      </c>
      <c r="CD133" s="59">
        <f t="shared" si="844"/>
        <v>0</v>
      </c>
      <c r="CE133" s="55">
        <f t="shared" si="845"/>
        <v>0</v>
      </c>
      <c r="CF133" s="59">
        <f t="shared" si="846"/>
        <v>0</v>
      </c>
      <c r="CG133" s="55">
        <f t="shared" si="847"/>
        <v>0</v>
      </c>
      <c r="CH133" s="59">
        <f t="shared" si="848"/>
        <v>0</v>
      </c>
      <c r="CI133" s="57">
        <f t="shared" si="849"/>
        <v>0</v>
      </c>
      <c r="CJ133" s="59">
        <f t="shared" si="850"/>
        <v>0</v>
      </c>
      <c r="CK133" s="55">
        <f t="shared" si="851"/>
        <v>0</v>
      </c>
      <c r="CL133" s="59">
        <f t="shared" si="852"/>
        <v>0</v>
      </c>
      <c r="CM133" s="57">
        <f t="shared" si="853"/>
        <v>0</v>
      </c>
      <c r="CN133" s="59">
        <f t="shared" si="854"/>
        <v>0</v>
      </c>
      <c r="CO133" s="60">
        <f t="shared" si="855"/>
        <v>0</v>
      </c>
      <c r="CP133" s="59">
        <f t="shared" si="856"/>
        <v>0</v>
      </c>
      <c r="CQ133" s="57">
        <f t="shared" si="857"/>
        <v>0</v>
      </c>
      <c r="CR133" s="59">
        <f t="shared" si="858"/>
        <v>0</v>
      </c>
      <c r="CS133" s="55">
        <f t="shared" si="859"/>
        <v>0</v>
      </c>
      <c r="CT133" s="59">
        <f t="shared" si="860"/>
        <v>0</v>
      </c>
      <c r="CU133" s="60">
        <f t="shared" si="861"/>
        <v>0</v>
      </c>
      <c r="CV133" s="59">
        <f t="shared" si="862"/>
        <v>0</v>
      </c>
      <c r="CW133" s="60">
        <f t="shared" si="863"/>
        <v>0</v>
      </c>
      <c r="CX133" s="59">
        <f t="shared" si="864"/>
        <v>0</v>
      </c>
      <c r="CY133" s="60">
        <f t="shared" si="865"/>
        <v>0</v>
      </c>
      <c r="CZ133" s="59">
        <f t="shared" si="866"/>
        <v>0</v>
      </c>
      <c r="DA133" s="55">
        <f t="shared" si="867"/>
        <v>0</v>
      </c>
      <c r="DB133" s="59">
        <f t="shared" si="868"/>
        <v>0</v>
      </c>
      <c r="DC133" s="60">
        <f t="shared" si="869"/>
        <v>0</v>
      </c>
      <c r="DD133" s="59">
        <f t="shared" si="870"/>
        <v>0</v>
      </c>
      <c r="DE133" s="60">
        <f t="shared" si="871"/>
        <v>0</v>
      </c>
      <c r="DF133" s="59">
        <f t="shared" si="872"/>
        <v>0</v>
      </c>
      <c r="DG133" s="60">
        <f t="shared" si="873"/>
        <v>0</v>
      </c>
      <c r="DH133" s="59">
        <f t="shared" si="874"/>
        <v>0</v>
      </c>
      <c r="DI133" s="60">
        <f t="shared" si="875"/>
        <v>0</v>
      </c>
      <c r="DJ133" s="59">
        <f t="shared" si="876"/>
        <v>0</v>
      </c>
      <c r="DK133" s="55">
        <f t="shared" si="877"/>
        <v>0</v>
      </c>
      <c r="DL133" s="59">
        <f t="shared" si="878"/>
        <v>0</v>
      </c>
      <c r="DM133" s="60">
        <f t="shared" si="879"/>
        <v>0</v>
      </c>
      <c r="DN133" s="59">
        <f t="shared" si="880"/>
        <v>0</v>
      </c>
      <c r="DO133" s="60">
        <f t="shared" si="881"/>
        <v>0</v>
      </c>
      <c r="DP133" s="59">
        <f t="shared" si="882"/>
        <v>0</v>
      </c>
      <c r="DQ133" s="55">
        <f t="shared" si="883"/>
        <v>0</v>
      </c>
      <c r="DR133" s="59">
        <f t="shared" si="884"/>
        <v>0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92"/>
        <v>0.91</v>
      </c>
      <c r="DZ133" s="55">
        <f t="shared" si="792"/>
        <v>0.89</v>
      </c>
      <c r="EA133" s="55">
        <f t="shared" si="792"/>
        <v>0.87</v>
      </c>
      <c r="EB133" s="55">
        <f t="shared" si="792"/>
        <v>0.85</v>
      </c>
      <c r="EC133" s="55">
        <f t="shared" si="792"/>
        <v>0.83</v>
      </c>
      <c r="ED133" s="55">
        <f t="shared" si="792"/>
        <v>0.80999999999999994</v>
      </c>
      <c r="EE133" s="55">
        <f t="shared" si="792"/>
        <v>0.78999999999999992</v>
      </c>
      <c r="EF133" s="55">
        <f t="shared" si="792"/>
        <v>0.76999999999999991</v>
      </c>
      <c r="EG133" s="55">
        <f t="shared" si="792"/>
        <v>0.74999999999999989</v>
      </c>
      <c r="EH133" s="55">
        <f t="shared" si="792"/>
        <v>0.72999999999999987</v>
      </c>
      <c r="EI133" s="55">
        <f t="shared" si="792"/>
        <v>0.70999999999999985</v>
      </c>
      <c r="EJ133" s="55">
        <f t="shared" si="792"/>
        <v>0.68999999999999984</v>
      </c>
      <c r="EK133" s="55">
        <f t="shared" si="792"/>
        <v>0.66999999999999982</v>
      </c>
      <c r="EL133" s="55">
        <f t="shared" si="792"/>
        <v>0.6499999999999998</v>
      </c>
      <c r="EM133" s="55">
        <f t="shared" si="792"/>
        <v>0.62999999999999978</v>
      </c>
      <c r="EN133" s="55">
        <f t="shared" si="792"/>
        <v>0.60999999999999976</v>
      </c>
      <c r="EO133" s="55">
        <f t="shared" si="792"/>
        <v>0.58999999999999975</v>
      </c>
      <c r="EP133" s="55">
        <f t="shared" si="792"/>
        <v>0.56999999999999973</v>
      </c>
      <c r="ER133" s="55">
        <f t="shared" si="648"/>
        <v>0</v>
      </c>
      <c r="ES133" s="55">
        <f t="shared" si="510"/>
        <v>0</v>
      </c>
      <c r="ET133" s="59">
        <f t="shared" si="885"/>
        <v>0</v>
      </c>
      <c r="EU133" s="55">
        <f t="shared" si="886"/>
        <v>0</v>
      </c>
      <c r="EV133" s="59">
        <f t="shared" si="887"/>
        <v>0</v>
      </c>
      <c r="EW133" s="55">
        <f t="shared" si="888"/>
        <v>0</v>
      </c>
      <c r="EX133" s="59">
        <f t="shared" si="889"/>
        <v>0</v>
      </c>
      <c r="EY133" s="55">
        <f t="shared" si="890"/>
        <v>0</v>
      </c>
      <c r="EZ133" s="59">
        <f t="shared" si="891"/>
        <v>0</v>
      </c>
      <c r="FA133" s="57">
        <f t="shared" si="892"/>
        <v>0</v>
      </c>
      <c r="FB133" s="59">
        <f t="shared" si="893"/>
        <v>0</v>
      </c>
      <c r="FC133" s="55">
        <f t="shared" si="894"/>
        <v>0</v>
      </c>
      <c r="FD133" s="59">
        <f t="shared" si="895"/>
        <v>0</v>
      </c>
      <c r="FE133" s="57">
        <f t="shared" si="896"/>
        <v>0</v>
      </c>
      <c r="FF133" s="59">
        <f t="shared" si="897"/>
        <v>0</v>
      </c>
      <c r="FG133" s="60">
        <f t="shared" si="898"/>
        <v>0</v>
      </c>
      <c r="FH133" s="59">
        <f t="shared" si="899"/>
        <v>0</v>
      </c>
      <c r="FI133" s="57">
        <f t="shared" si="900"/>
        <v>0</v>
      </c>
      <c r="FJ133" s="59">
        <f t="shared" si="901"/>
        <v>0</v>
      </c>
      <c r="FK133" s="55">
        <f t="shared" si="902"/>
        <v>0</v>
      </c>
      <c r="FL133" s="59">
        <f t="shared" si="903"/>
        <v>0</v>
      </c>
      <c r="FM133" s="60">
        <f t="shared" si="904"/>
        <v>0</v>
      </c>
      <c r="FN133" s="59">
        <f t="shared" si="905"/>
        <v>0</v>
      </c>
      <c r="FO133" s="60">
        <f t="shared" si="906"/>
        <v>0</v>
      </c>
      <c r="FP133" s="59">
        <f t="shared" si="907"/>
        <v>0</v>
      </c>
      <c r="FQ133" s="60">
        <f t="shared" si="908"/>
        <v>0</v>
      </c>
      <c r="FR133" s="59">
        <f t="shared" si="909"/>
        <v>0</v>
      </c>
      <c r="FS133" s="55">
        <f t="shared" si="910"/>
        <v>0</v>
      </c>
      <c r="FT133" s="59">
        <f t="shared" si="911"/>
        <v>0</v>
      </c>
      <c r="FU133" s="60">
        <f t="shared" si="912"/>
        <v>0</v>
      </c>
      <c r="FV133" s="59">
        <f t="shared" si="913"/>
        <v>0</v>
      </c>
      <c r="FW133" s="60">
        <f t="shared" si="914"/>
        <v>0</v>
      </c>
      <c r="FX133" s="59">
        <f t="shared" si="915"/>
        <v>0</v>
      </c>
      <c r="FY133" s="60">
        <f t="shared" si="916"/>
        <v>0</v>
      </c>
      <c r="FZ133" s="59">
        <f t="shared" si="917"/>
        <v>0</v>
      </c>
      <c r="GA133" s="60">
        <f t="shared" si="918"/>
        <v>0</v>
      </c>
      <c r="GB133" s="59">
        <f t="shared" si="919"/>
        <v>0</v>
      </c>
      <c r="GC133" s="55">
        <f t="shared" si="920"/>
        <v>0</v>
      </c>
      <c r="GD133" s="59">
        <f t="shared" si="921"/>
        <v>0</v>
      </c>
      <c r="GE133" s="60">
        <f t="shared" si="922"/>
        <v>0</v>
      </c>
      <c r="GF133" s="59">
        <f t="shared" si="923"/>
        <v>0</v>
      </c>
      <c r="GG133" s="60">
        <f t="shared" si="924"/>
        <v>0</v>
      </c>
      <c r="GH133" s="59">
        <f t="shared" si="925"/>
        <v>0</v>
      </c>
      <c r="GI133" s="55">
        <f t="shared" si="926"/>
        <v>0</v>
      </c>
      <c r="GJ133" s="59">
        <f t="shared" si="927"/>
        <v>0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93"/>
        <v>0.91</v>
      </c>
      <c r="GR133" s="55">
        <f t="shared" si="793"/>
        <v>0.89</v>
      </c>
      <c r="GS133" s="55">
        <f t="shared" si="793"/>
        <v>0.87</v>
      </c>
      <c r="GT133" s="55">
        <f t="shared" si="793"/>
        <v>0.85</v>
      </c>
      <c r="GU133" s="55">
        <f t="shared" si="793"/>
        <v>0.83</v>
      </c>
      <c r="GV133" s="55">
        <f t="shared" si="793"/>
        <v>0.80999999999999994</v>
      </c>
      <c r="GW133" s="55">
        <f t="shared" si="793"/>
        <v>0.78999999999999992</v>
      </c>
      <c r="GX133" s="55">
        <f t="shared" si="793"/>
        <v>0.76999999999999991</v>
      </c>
      <c r="GY133" s="55">
        <f t="shared" si="793"/>
        <v>0.74999999999999989</v>
      </c>
      <c r="GZ133" s="55">
        <f t="shared" si="793"/>
        <v>0.72999999999999987</v>
      </c>
      <c r="HA133" s="55">
        <f t="shared" si="793"/>
        <v>0.70999999999999985</v>
      </c>
      <c r="HB133" s="55">
        <f t="shared" si="793"/>
        <v>0.68999999999999984</v>
      </c>
      <c r="HC133" s="55">
        <f t="shared" si="793"/>
        <v>0.66999999999999982</v>
      </c>
      <c r="HD133" s="55">
        <f t="shared" si="793"/>
        <v>0.6499999999999998</v>
      </c>
      <c r="HE133" s="55">
        <f t="shared" si="793"/>
        <v>0.62999999999999978</v>
      </c>
      <c r="HF133" s="55">
        <f t="shared" si="793"/>
        <v>0.60999999999999976</v>
      </c>
      <c r="HG133" s="55">
        <f t="shared" si="793"/>
        <v>0.58999999999999975</v>
      </c>
      <c r="HH133" s="55">
        <f t="shared" si="793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1">
        <f t="shared" si="798"/>
        <v>0</v>
      </c>
      <c r="H134" s="55">
        <f t="shared" si="505"/>
        <v>0</v>
      </c>
      <c r="I134" s="55">
        <f t="shared" si="506"/>
        <v>0</v>
      </c>
      <c r="J134" s="59">
        <f t="shared" si="507"/>
        <v>0</v>
      </c>
      <c r="K134" s="55">
        <f t="shared" si="799"/>
        <v>0</v>
      </c>
      <c r="L134" s="59">
        <f t="shared" si="800"/>
        <v>0</v>
      </c>
      <c r="M134" s="55">
        <f t="shared" si="801"/>
        <v>0</v>
      </c>
      <c r="N134" s="59">
        <f t="shared" si="802"/>
        <v>0</v>
      </c>
      <c r="O134" s="55">
        <f t="shared" si="803"/>
        <v>0</v>
      </c>
      <c r="P134" s="59">
        <f t="shared" si="804"/>
        <v>0</v>
      </c>
      <c r="Q134" s="57">
        <f t="shared" si="805"/>
        <v>0</v>
      </c>
      <c r="R134" s="59">
        <f t="shared" si="806"/>
        <v>0</v>
      </c>
      <c r="S134" s="55">
        <f t="shared" si="807"/>
        <v>0</v>
      </c>
      <c r="T134" s="59">
        <f t="shared" si="808"/>
        <v>0</v>
      </c>
      <c r="U134" s="57">
        <f t="shared" si="809"/>
        <v>0</v>
      </c>
      <c r="V134" s="59">
        <f t="shared" si="810"/>
        <v>0</v>
      </c>
      <c r="W134" s="60">
        <f t="shared" si="811"/>
        <v>0</v>
      </c>
      <c r="X134" s="59">
        <f t="shared" si="812"/>
        <v>0</v>
      </c>
      <c r="Y134" s="57">
        <f t="shared" si="813"/>
        <v>0</v>
      </c>
      <c r="Z134" s="59">
        <f t="shared" si="814"/>
        <v>0</v>
      </c>
      <c r="AA134" s="55">
        <f t="shared" si="815"/>
        <v>0</v>
      </c>
      <c r="AB134" s="59">
        <f t="shared" si="816"/>
        <v>0</v>
      </c>
      <c r="AC134" s="60">
        <f t="shared" si="817"/>
        <v>0</v>
      </c>
      <c r="AD134" s="59">
        <f t="shared" si="818"/>
        <v>0</v>
      </c>
      <c r="AE134" s="60">
        <f t="shared" si="819"/>
        <v>0</v>
      </c>
      <c r="AF134" s="59">
        <f t="shared" si="820"/>
        <v>0</v>
      </c>
      <c r="AG134" s="60">
        <f t="shared" si="821"/>
        <v>0</v>
      </c>
      <c r="AH134" s="59">
        <f t="shared" si="822"/>
        <v>0</v>
      </c>
      <c r="AI134" s="55">
        <f t="shared" si="823"/>
        <v>0</v>
      </c>
      <c r="AJ134" s="59">
        <f t="shared" si="824"/>
        <v>0</v>
      </c>
      <c r="AK134" s="60">
        <f t="shared" si="825"/>
        <v>0</v>
      </c>
      <c r="AL134" s="59">
        <f t="shared" si="826"/>
        <v>0</v>
      </c>
      <c r="AM134" s="60">
        <f t="shared" si="827"/>
        <v>0</v>
      </c>
      <c r="AN134" s="59">
        <f t="shared" si="828"/>
        <v>0</v>
      </c>
      <c r="AO134" s="60">
        <f t="shared" si="829"/>
        <v>0</v>
      </c>
      <c r="AP134" s="59">
        <f t="shared" si="830"/>
        <v>0</v>
      </c>
      <c r="AQ134" s="60">
        <f t="shared" si="831"/>
        <v>0</v>
      </c>
      <c r="AR134" s="59">
        <f t="shared" si="832"/>
        <v>0</v>
      </c>
      <c r="AS134" s="55">
        <f t="shared" si="833"/>
        <v>0</v>
      </c>
      <c r="AT134" s="59">
        <f t="shared" si="834"/>
        <v>0</v>
      </c>
      <c r="AU134" s="60">
        <f t="shared" si="835"/>
        <v>0</v>
      </c>
      <c r="AV134" s="59">
        <f t="shared" si="836"/>
        <v>0</v>
      </c>
      <c r="AW134" s="60">
        <f t="shared" si="837"/>
        <v>0</v>
      </c>
      <c r="AX134" s="59">
        <f t="shared" si="838"/>
        <v>0</v>
      </c>
      <c r="AY134" s="55">
        <f t="shared" si="839"/>
        <v>0</v>
      </c>
      <c r="AZ134" s="59">
        <f t="shared" si="840"/>
        <v>0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41"/>
        <v>0.91</v>
      </c>
      <c r="BH134" s="55">
        <f t="shared" si="841"/>
        <v>0.89</v>
      </c>
      <c r="BI134" s="55">
        <f t="shared" si="841"/>
        <v>0.87</v>
      </c>
      <c r="BJ134" s="55">
        <f t="shared" si="841"/>
        <v>0.85</v>
      </c>
      <c r="BK134" s="55">
        <f t="shared" si="841"/>
        <v>0.83</v>
      </c>
      <c r="BL134" s="55">
        <f t="shared" si="841"/>
        <v>0.80999999999999994</v>
      </c>
      <c r="BM134" s="55">
        <f t="shared" si="841"/>
        <v>0.78999999999999992</v>
      </c>
      <c r="BN134" s="55">
        <f t="shared" si="841"/>
        <v>0.76999999999999991</v>
      </c>
      <c r="BO134" s="55">
        <f t="shared" si="841"/>
        <v>0.74999999999999989</v>
      </c>
      <c r="BP134" s="55">
        <f t="shared" si="841"/>
        <v>0.72999999999999987</v>
      </c>
      <c r="BQ134" s="55">
        <f t="shared" si="841"/>
        <v>0.70999999999999985</v>
      </c>
      <c r="BR134" s="55">
        <f t="shared" si="841"/>
        <v>0.68999999999999984</v>
      </c>
      <c r="BS134" s="55">
        <f t="shared" si="841"/>
        <v>0.66999999999999982</v>
      </c>
      <c r="BT134" s="55">
        <f t="shared" si="841"/>
        <v>0.6499999999999998</v>
      </c>
      <c r="BU134" s="55">
        <f t="shared" si="841"/>
        <v>0.62999999999999978</v>
      </c>
      <c r="BV134" s="55">
        <f t="shared" si="841"/>
        <v>0.60999999999999976</v>
      </c>
      <c r="BW134" s="55">
        <f t="shared" si="841"/>
        <v>0.58999999999999975</v>
      </c>
      <c r="BX134" s="55">
        <f t="shared" si="841"/>
        <v>0.56999999999999973</v>
      </c>
      <c r="BZ134" s="55">
        <f t="shared" si="508"/>
        <v>0</v>
      </c>
      <c r="CA134" s="55">
        <f t="shared" si="509"/>
        <v>0</v>
      </c>
      <c r="CB134" s="59">
        <f t="shared" si="842"/>
        <v>0</v>
      </c>
      <c r="CC134" s="55">
        <f t="shared" si="843"/>
        <v>0</v>
      </c>
      <c r="CD134" s="59">
        <f t="shared" si="844"/>
        <v>0</v>
      </c>
      <c r="CE134" s="55">
        <f t="shared" si="845"/>
        <v>0</v>
      </c>
      <c r="CF134" s="59">
        <f t="shared" si="846"/>
        <v>0</v>
      </c>
      <c r="CG134" s="55">
        <f t="shared" si="847"/>
        <v>0</v>
      </c>
      <c r="CH134" s="59">
        <f t="shared" si="848"/>
        <v>0</v>
      </c>
      <c r="CI134" s="57">
        <f t="shared" si="849"/>
        <v>0</v>
      </c>
      <c r="CJ134" s="59">
        <f t="shared" si="850"/>
        <v>0</v>
      </c>
      <c r="CK134" s="55">
        <f t="shared" si="851"/>
        <v>0</v>
      </c>
      <c r="CL134" s="59">
        <f t="shared" si="852"/>
        <v>0</v>
      </c>
      <c r="CM134" s="57">
        <f t="shared" si="853"/>
        <v>0</v>
      </c>
      <c r="CN134" s="59">
        <f t="shared" si="854"/>
        <v>0</v>
      </c>
      <c r="CO134" s="60">
        <f t="shared" si="855"/>
        <v>0</v>
      </c>
      <c r="CP134" s="59">
        <f t="shared" si="856"/>
        <v>0</v>
      </c>
      <c r="CQ134" s="57">
        <f t="shared" si="857"/>
        <v>0</v>
      </c>
      <c r="CR134" s="59">
        <f t="shared" si="858"/>
        <v>0</v>
      </c>
      <c r="CS134" s="55">
        <f t="shared" si="859"/>
        <v>0</v>
      </c>
      <c r="CT134" s="59">
        <f t="shared" si="860"/>
        <v>0</v>
      </c>
      <c r="CU134" s="60">
        <f t="shared" si="861"/>
        <v>0</v>
      </c>
      <c r="CV134" s="59">
        <f t="shared" si="862"/>
        <v>0</v>
      </c>
      <c r="CW134" s="60">
        <f t="shared" si="863"/>
        <v>0</v>
      </c>
      <c r="CX134" s="59">
        <f t="shared" si="864"/>
        <v>0</v>
      </c>
      <c r="CY134" s="60">
        <f t="shared" si="865"/>
        <v>0</v>
      </c>
      <c r="CZ134" s="59">
        <f t="shared" si="866"/>
        <v>0</v>
      </c>
      <c r="DA134" s="55">
        <f t="shared" si="867"/>
        <v>0</v>
      </c>
      <c r="DB134" s="59">
        <f t="shared" si="868"/>
        <v>0</v>
      </c>
      <c r="DC134" s="60">
        <f t="shared" si="869"/>
        <v>0</v>
      </c>
      <c r="DD134" s="59">
        <f t="shared" si="870"/>
        <v>0</v>
      </c>
      <c r="DE134" s="60">
        <f t="shared" si="871"/>
        <v>0</v>
      </c>
      <c r="DF134" s="59">
        <f t="shared" si="872"/>
        <v>0</v>
      </c>
      <c r="DG134" s="60">
        <f t="shared" si="873"/>
        <v>0</v>
      </c>
      <c r="DH134" s="59">
        <f t="shared" si="874"/>
        <v>0</v>
      </c>
      <c r="DI134" s="60">
        <f t="shared" si="875"/>
        <v>0</v>
      </c>
      <c r="DJ134" s="59">
        <f t="shared" si="876"/>
        <v>0</v>
      </c>
      <c r="DK134" s="55">
        <f t="shared" si="877"/>
        <v>0</v>
      </c>
      <c r="DL134" s="59">
        <f t="shared" si="878"/>
        <v>0</v>
      </c>
      <c r="DM134" s="60">
        <f t="shared" si="879"/>
        <v>0</v>
      </c>
      <c r="DN134" s="59">
        <f t="shared" si="880"/>
        <v>0</v>
      </c>
      <c r="DO134" s="60">
        <f t="shared" si="881"/>
        <v>0</v>
      </c>
      <c r="DP134" s="59">
        <f t="shared" si="882"/>
        <v>0</v>
      </c>
      <c r="DQ134" s="55">
        <f t="shared" si="883"/>
        <v>0</v>
      </c>
      <c r="DR134" s="59">
        <f t="shared" si="884"/>
        <v>0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792"/>
        <v>0.91</v>
      </c>
      <c r="DZ134" s="55">
        <f t="shared" si="792"/>
        <v>0.89</v>
      </c>
      <c r="EA134" s="55">
        <f t="shared" si="792"/>
        <v>0.87</v>
      </c>
      <c r="EB134" s="55">
        <f t="shared" si="792"/>
        <v>0.85</v>
      </c>
      <c r="EC134" s="55">
        <f t="shared" si="792"/>
        <v>0.83</v>
      </c>
      <c r="ED134" s="55">
        <f t="shared" si="792"/>
        <v>0.80999999999999994</v>
      </c>
      <c r="EE134" s="55">
        <f t="shared" si="792"/>
        <v>0.78999999999999992</v>
      </c>
      <c r="EF134" s="55">
        <f t="shared" si="792"/>
        <v>0.76999999999999991</v>
      </c>
      <c r="EG134" s="55">
        <f t="shared" si="792"/>
        <v>0.74999999999999989</v>
      </c>
      <c r="EH134" s="55">
        <f t="shared" si="792"/>
        <v>0.72999999999999987</v>
      </c>
      <c r="EI134" s="55">
        <f t="shared" si="792"/>
        <v>0.70999999999999985</v>
      </c>
      <c r="EJ134" s="55">
        <f t="shared" si="792"/>
        <v>0.68999999999999984</v>
      </c>
      <c r="EK134" s="55">
        <f t="shared" si="792"/>
        <v>0.66999999999999982</v>
      </c>
      <c r="EL134" s="55">
        <f t="shared" si="792"/>
        <v>0.6499999999999998</v>
      </c>
      <c r="EM134" s="55">
        <f t="shared" si="792"/>
        <v>0.62999999999999978</v>
      </c>
      <c r="EN134" s="55">
        <f t="shared" si="792"/>
        <v>0.60999999999999976</v>
      </c>
      <c r="EO134" s="55">
        <f t="shared" si="792"/>
        <v>0.58999999999999975</v>
      </c>
      <c r="EP134" s="55">
        <f t="shared" si="792"/>
        <v>0.56999999999999973</v>
      </c>
      <c r="ER134" s="55">
        <f t="shared" si="648"/>
        <v>0</v>
      </c>
      <c r="ES134" s="55">
        <f t="shared" si="510"/>
        <v>0</v>
      </c>
      <c r="ET134" s="59">
        <f t="shared" si="885"/>
        <v>0</v>
      </c>
      <c r="EU134" s="55">
        <f t="shared" si="886"/>
        <v>0</v>
      </c>
      <c r="EV134" s="59">
        <f t="shared" si="887"/>
        <v>0</v>
      </c>
      <c r="EW134" s="55">
        <f t="shared" si="888"/>
        <v>0</v>
      </c>
      <c r="EX134" s="59">
        <f t="shared" si="889"/>
        <v>0</v>
      </c>
      <c r="EY134" s="55">
        <f t="shared" si="890"/>
        <v>0</v>
      </c>
      <c r="EZ134" s="59">
        <f t="shared" si="891"/>
        <v>0</v>
      </c>
      <c r="FA134" s="57">
        <f t="shared" si="892"/>
        <v>0</v>
      </c>
      <c r="FB134" s="59">
        <f t="shared" si="893"/>
        <v>0</v>
      </c>
      <c r="FC134" s="55">
        <f t="shared" si="894"/>
        <v>0</v>
      </c>
      <c r="FD134" s="59">
        <f t="shared" si="895"/>
        <v>0</v>
      </c>
      <c r="FE134" s="57">
        <f t="shared" si="896"/>
        <v>0</v>
      </c>
      <c r="FF134" s="59">
        <f t="shared" si="897"/>
        <v>0</v>
      </c>
      <c r="FG134" s="60">
        <f t="shared" si="898"/>
        <v>0</v>
      </c>
      <c r="FH134" s="59">
        <f t="shared" si="899"/>
        <v>0</v>
      </c>
      <c r="FI134" s="57">
        <f t="shared" si="900"/>
        <v>0</v>
      </c>
      <c r="FJ134" s="59">
        <f t="shared" si="901"/>
        <v>0</v>
      </c>
      <c r="FK134" s="55">
        <f t="shared" si="902"/>
        <v>0</v>
      </c>
      <c r="FL134" s="59">
        <f t="shared" si="903"/>
        <v>0</v>
      </c>
      <c r="FM134" s="60">
        <f t="shared" si="904"/>
        <v>0</v>
      </c>
      <c r="FN134" s="59">
        <f t="shared" si="905"/>
        <v>0</v>
      </c>
      <c r="FO134" s="60">
        <f t="shared" si="906"/>
        <v>0</v>
      </c>
      <c r="FP134" s="59">
        <f t="shared" si="907"/>
        <v>0</v>
      </c>
      <c r="FQ134" s="60">
        <f t="shared" si="908"/>
        <v>0</v>
      </c>
      <c r="FR134" s="59">
        <f t="shared" si="909"/>
        <v>0</v>
      </c>
      <c r="FS134" s="55">
        <f t="shared" si="910"/>
        <v>0</v>
      </c>
      <c r="FT134" s="59">
        <f t="shared" si="911"/>
        <v>0</v>
      </c>
      <c r="FU134" s="60">
        <f t="shared" si="912"/>
        <v>0</v>
      </c>
      <c r="FV134" s="59">
        <f t="shared" si="913"/>
        <v>0</v>
      </c>
      <c r="FW134" s="60">
        <f t="shared" si="914"/>
        <v>0</v>
      </c>
      <c r="FX134" s="59">
        <f t="shared" si="915"/>
        <v>0</v>
      </c>
      <c r="FY134" s="60">
        <f t="shared" si="916"/>
        <v>0</v>
      </c>
      <c r="FZ134" s="59">
        <f t="shared" si="917"/>
        <v>0</v>
      </c>
      <c r="GA134" s="60">
        <f t="shared" si="918"/>
        <v>0</v>
      </c>
      <c r="GB134" s="59">
        <f t="shared" si="919"/>
        <v>0</v>
      </c>
      <c r="GC134" s="55">
        <f t="shared" si="920"/>
        <v>0</v>
      </c>
      <c r="GD134" s="59">
        <f t="shared" si="921"/>
        <v>0</v>
      </c>
      <c r="GE134" s="60">
        <f t="shared" si="922"/>
        <v>0</v>
      </c>
      <c r="GF134" s="59">
        <f t="shared" si="923"/>
        <v>0</v>
      </c>
      <c r="GG134" s="60">
        <f t="shared" si="924"/>
        <v>0</v>
      </c>
      <c r="GH134" s="59">
        <f t="shared" si="925"/>
        <v>0</v>
      </c>
      <c r="GI134" s="55">
        <f t="shared" si="926"/>
        <v>0</v>
      </c>
      <c r="GJ134" s="59">
        <f t="shared" si="927"/>
        <v>0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793"/>
        <v>0.91</v>
      </c>
      <c r="GR134" s="55">
        <f t="shared" si="793"/>
        <v>0.89</v>
      </c>
      <c r="GS134" s="55">
        <f t="shared" si="793"/>
        <v>0.87</v>
      </c>
      <c r="GT134" s="55">
        <f t="shared" si="793"/>
        <v>0.85</v>
      </c>
      <c r="GU134" s="55">
        <f t="shared" si="793"/>
        <v>0.83</v>
      </c>
      <c r="GV134" s="55">
        <f t="shared" si="793"/>
        <v>0.80999999999999994</v>
      </c>
      <c r="GW134" s="55">
        <f t="shared" si="793"/>
        <v>0.78999999999999992</v>
      </c>
      <c r="GX134" s="55">
        <f t="shared" si="793"/>
        <v>0.76999999999999991</v>
      </c>
      <c r="GY134" s="55">
        <f t="shared" si="793"/>
        <v>0.74999999999999989</v>
      </c>
      <c r="GZ134" s="55">
        <f t="shared" si="793"/>
        <v>0.72999999999999987</v>
      </c>
      <c r="HA134" s="55">
        <f t="shared" si="793"/>
        <v>0.70999999999999985</v>
      </c>
      <c r="HB134" s="55">
        <f t="shared" si="793"/>
        <v>0.68999999999999984</v>
      </c>
      <c r="HC134" s="55">
        <f t="shared" si="793"/>
        <v>0.66999999999999982</v>
      </c>
      <c r="HD134" s="55">
        <f t="shared" si="793"/>
        <v>0.6499999999999998</v>
      </c>
      <c r="HE134" s="55">
        <f t="shared" si="793"/>
        <v>0.62999999999999978</v>
      </c>
      <c r="HF134" s="55">
        <f t="shared" si="793"/>
        <v>0.60999999999999976</v>
      </c>
      <c r="HG134" s="55">
        <f t="shared" si="793"/>
        <v>0.58999999999999975</v>
      </c>
      <c r="HH134" s="55">
        <f t="shared" si="793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1">
        <f t="shared" si="798"/>
        <v>0</v>
      </c>
      <c r="H135" s="55">
        <f t="shared" si="505"/>
        <v>0</v>
      </c>
      <c r="I135" s="55">
        <f t="shared" si="506"/>
        <v>0</v>
      </c>
      <c r="J135" s="59">
        <f t="shared" si="507"/>
        <v>0</v>
      </c>
      <c r="K135" s="55">
        <f t="shared" si="799"/>
        <v>0</v>
      </c>
      <c r="L135" s="59">
        <f t="shared" si="800"/>
        <v>0</v>
      </c>
      <c r="M135" s="55">
        <f t="shared" si="801"/>
        <v>0</v>
      </c>
      <c r="N135" s="59">
        <f t="shared" si="802"/>
        <v>0</v>
      </c>
      <c r="O135" s="55">
        <f t="shared" si="803"/>
        <v>0</v>
      </c>
      <c r="P135" s="59">
        <f t="shared" si="804"/>
        <v>0</v>
      </c>
      <c r="Q135" s="57">
        <f t="shared" si="805"/>
        <v>0</v>
      </c>
      <c r="R135" s="59">
        <f t="shared" si="806"/>
        <v>0</v>
      </c>
      <c r="S135" s="55">
        <f t="shared" si="807"/>
        <v>0</v>
      </c>
      <c r="T135" s="59">
        <f t="shared" si="808"/>
        <v>0</v>
      </c>
      <c r="U135" s="57">
        <f t="shared" si="809"/>
        <v>0</v>
      </c>
      <c r="V135" s="59">
        <f t="shared" si="810"/>
        <v>0</v>
      </c>
      <c r="W135" s="60">
        <f t="shared" si="811"/>
        <v>0</v>
      </c>
      <c r="X135" s="59">
        <f t="shared" si="812"/>
        <v>0</v>
      </c>
      <c r="Y135" s="57">
        <f t="shared" si="813"/>
        <v>0</v>
      </c>
      <c r="Z135" s="59">
        <f t="shared" si="814"/>
        <v>0</v>
      </c>
      <c r="AA135" s="55">
        <f t="shared" si="815"/>
        <v>0</v>
      </c>
      <c r="AB135" s="59">
        <f t="shared" si="816"/>
        <v>0</v>
      </c>
      <c r="AC135" s="60">
        <f t="shared" si="817"/>
        <v>0</v>
      </c>
      <c r="AD135" s="59">
        <f t="shared" si="818"/>
        <v>0</v>
      </c>
      <c r="AE135" s="60">
        <f t="shared" si="819"/>
        <v>0</v>
      </c>
      <c r="AF135" s="59">
        <f t="shared" si="820"/>
        <v>0</v>
      </c>
      <c r="AG135" s="60">
        <f t="shared" si="821"/>
        <v>0</v>
      </c>
      <c r="AH135" s="59">
        <f t="shared" si="822"/>
        <v>0</v>
      </c>
      <c r="AI135" s="55">
        <f t="shared" si="823"/>
        <v>0</v>
      </c>
      <c r="AJ135" s="59">
        <f t="shared" si="824"/>
        <v>0</v>
      </c>
      <c r="AK135" s="60">
        <f t="shared" si="825"/>
        <v>0</v>
      </c>
      <c r="AL135" s="59">
        <f t="shared" si="826"/>
        <v>0</v>
      </c>
      <c r="AM135" s="60">
        <f t="shared" si="827"/>
        <v>0</v>
      </c>
      <c r="AN135" s="59">
        <f t="shared" si="828"/>
        <v>0</v>
      </c>
      <c r="AO135" s="60">
        <f t="shared" si="829"/>
        <v>0</v>
      </c>
      <c r="AP135" s="59">
        <f t="shared" si="830"/>
        <v>0</v>
      </c>
      <c r="AQ135" s="60">
        <f t="shared" si="831"/>
        <v>0</v>
      </c>
      <c r="AR135" s="59">
        <f t="shared" si="832"/>
        <v>0</v>
      </c>
      <c r="AS135" s="55">
        <f t="shared" si="833"/>
        <v>0</v>
      </c>
      <c r="AT135" s="59">
        <f t="shared" si="834"/>
        <v>0</v>
      </c>
      <c r="AU135" s="60">
        <f t="shared" si="835"/>
        <v>0</v>
      </c>
      <c r="AV135" s="59">
        <f t="shared" si="836"/>
        <v>0</v>
      </c>
      <c r="AW135" s="60">
        <f t="shared" si="837"/>
        <v>0</v>
      </c>
      <c r="AX135" s="59">
        <f t="shared" si="838"/>
        <v>0</v>
      </c>
      <c r="AY135" s="55">
        <f t="shared" si="839"/>
        <v>0</v>
      </c>
      <c r="AZ135" s="59">
        <f t="shared" si="840"/>
        <v>0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41"/>
        <v>0.91</v>
      </c>
      <c r="BH135" s="55">
        <f t="shared" si="841"/>
        <v>0.89</v>
      </c>
      <c r="BI135" s="55">
        <f t="shared" si="841"/>
        <v>0.87</v>
      </c>
      <c r="BJ135" s="55">
        <f t="shared" si="841"/>
        <v>0.85</v>
      </c>
      <c r="BK135" s="55">
        <f t="shared" si="841"/>
        <v>0.83</v>
      </c>
      <c r="BL135" s="55">
        <f t="shared" si="841"/>
        <v>0.80999999999999994</v>
      </c>
      <c r="BM135" s="55">
        <f t="shared" si="841"/>
        <v>0.78999999999999992</v>
      </c>
      <c r="BN135" s="55">
        <f t="shared" si="841"/>
        <v>0.76999999999999991</v>
      </c>
      <c r="BO135" s="55">
        <f t="shared" si="841"/>
        <v>0.74999999999999989</v>
      </c>
      <c r="BP135" s="55">
        <f t="shared" si="841"/>
        <v>0.72999999999999987</v>
      </c>
      <c r="BQ135" s="55">
        <f t="shared" si="841"/>
        <v>0.70999999999999985</v>
      </c>
      <c r="BR135" s="55">
        <f t="shared" si="841"/>
        <v>0.68999999999999984</v>
      </c>
      <c r="BS135" s="55">
        <f t="shared" si="841"/>
        <v>0.66999999999999982</v>
      </c>
      <c r="BT135" s="55">
        <f t="shared" si="841"/>
        <v>0.6499999999999998</v>
      </c>
      <c r="BU135" s="55">
        <f t="shared" si="841"/>
        <v>0.62999999999999978</v>
      </c>
      <c r="BV135" s="55">
        <f t="shared" si="841"/>
        <v>0.60999999999999976</v>
      </c>
      <c r="BW135" s="55">
        <f t="shared" si="841"/>
        <v>0.58999999999999975</v>
      </c>
      <c r="BX135" s="55">
        <f t="shared" si="841"/>
        <v>0.56999999999999973</v>
      </c>
      <c r="BZ135" s="55">
        <f t="shared" si="508"/>
        <v>0</v>
      </c>
      <c r="CA135" s="55">
        <f t="shared" si="509"/>
        <v>0</v>
      </c>
      <c r="CB135" s="59">
        <f t="shared" si="842"/>
        <v>0</v>
      </c>
      <c r="CC135" s="55">
        <f t="shared" si="843"/>
        <v>0</v>
      </c>
      <c r="CD135" s="59">
        <f t="shared" si="844"/>
        <v>0</v>
      </c>
      <c r="CE135" s="55">
        <f t="shared" si="845"/>
        <v>0</v>
      </c>
      <c r="CF135" s="59">
        <f t="shared" si="846"/>
        <v>0</v>
      </c>
      <c r="CG135" s="55">
        <f t="shared" si="847"/>
        <v>0</v>
      </c>
      <c r="CH135" s="59">
        <f t="shared" si="848"/>
        <v>0</v>
      </c>
      <c r="CI135" s="57">
        <f t="shared" si="849"/>
        <v>0</v>
      </c>
      <c r="CJ135" s="59">
        <f t="shared" si="850"/>
        <v>0</v>
      </c>
      <c r="CK135" s="55">
        <f t="shared" si="851"/>
        <v>0</v>
      </c>
      <c r="CL135" s="59">
        <f t="shared" si="852"/>
        <v>0</v>
      </c>
      <c r="CM135" s="57">
        <f t="shared" si="853"/>
        <v>0</v>
      </c>
      <c r="CN135" s="59">
        <f t="shared" si="854"/>
        <v>0</v>
      </c>
      <c r="CO135" s="60">
        <f t="shared" si="855"/>
        <v>0</v>
      </c>
      <c r="CP135" s="59">
        <f t="shared" si="856"/>
        <v>0</v>
      </c>
      <c r="CQ135" s="57">
        <f t="shared" si="857"/>
        <v>0</v>
      </c>
      <c r="CR135" s="59">
        <f t="shared" si="858"/>
        <v>0</v>
      </c>
      <c r="CS135" s="55">
        <f t="shared" si="859"/>
        <v>0</v>
      </c>
      <c r="CT135" s="59">
        <f t="shared" si="860"/>
        <v>0</v>
      </c>
      <c r="CU135" s="60">
        <f t="shared" si="861"/>
        <v>0</v>
      </c>
      <c r="CV135" s="59">
        <f t="shared" si="862"/>
        <v>0</v>
      </c>
      <c r="CW135" s="60">
        <f t="shared" si="863"/>
        <v>0</v>
      </c>
      <c r="CX135" s="59">
        <f t="shared" si="864"/>
        <v>0</v>
      </c>
      <c r="CY135" s="60">
        <f t="shared" si="865"/>
        <v>0</v>
      </c>
      <c r="CZ135" s="59">
        <f t="shared" si="866"/>
        <v>0</v>
      </c>
      <c r="DA135" s="55">
        <f t="shared" si="867"/>
        <v>0</v>
      </c>
      <c r="DB135" s="59">
        <f t="shared" si="868"/>
        <v>0</v>
      </c>
      <c r="DC135" s="60">
        <f t="shared" si="869"/>
        <v>0</v>
      </c>
      <c r="DD135" s="59">
        <f t="shared" si="870"/>
        <v>0</v>
      </c>
      <c r="DE135" s="60">
        <f t="shared" si="871"/>
        <v>0</v>
      </c>
      <c r="DF135" s="59">
        <f t="shared" si="872"/>
        <v>0</v>
      </c>
      <c r="DG135" s="60">
        <f t="shared" si="873"/>
        <v>0</v>
      </c>
      <c r="DH135" s="59">
        <f t="shared" si="874"/>
        <v>0</v>
      </c>
      <c r="DI135" s="60">
        <f t="shared" si="875"/>
        <v>0</v>
      </c>
      <c r="DJ135" s="59">
        <f t="shared" si="876"/>
        <v>0</v>
      </c>
      <c r="DK135" s="55">
        <f t="shared" si="877"/>
        <v>0</v>
      </c>
      <c r="DL135" s="59">
        <f t="shared" si="878"/>
        <v>0</v>
      </c>
      <c r="DM135" s="60">
        <f t="shared" si="879"/>
        <v>0</v>
      </c>
      <c r="DN135" s="59">
        <f t="shared" si="880"/>
        <v>0</v>
      </c>
      <c r="DO135" s="60">
        <f t="shared" si="881"/>
        <v>0</v>
      </c>
      <c r="DP135" s="59">
        <f t="shared" si="882"/>
        <v>0</v>
      </c>
      <c r="DQ135" s="55">
        <f t="shared" si="883"/>
        <v>0</v>
      </c>
      <c r="DR135" s="59">
        <f t="shared" si="884"/>
        <v>0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792"/>
        <v>0.91</v>
      </c>
      <c r="DZ135" s="55">
        <f t="shared" si="792"/>
        <v>0.89</v>
      </c>
      <c r="EA135" s="55">
        <f t="shared" si="792"/>
        <v>0.87</v>
      </c>
      <c r="EB135" s="55">
        <f t="shared" si="792"/>
        <v>0.85</v>
      </c>
      <c r="EC135" s="55">
        <f t="shared" si="792"/>
        <v>0.83</v>
      </c>
      <c r="ED135" s="55">
        <f t="shared" si="792"/>
        <v>0.80999999999999994</v>
      </c>
      <c r="EE135" s="55">
        <f t="shared" si="792"/>
        <v>0.78999999999999992</v>
      </c>
      <c r="EF135" s="55">
        <f t="shared" si="792"/>
        <v>0.76999999999999991</v>
      </c>
      <c r="EG135" s="55">
        <f t="shared" si="792"/>
        <v>0.74999999999999989</v>
      </c>
      <c r="EH135" s="55">
        <f t="shared" si="792"/>
        <v>0.72999999999999987</v>
      </c>
      <c r="EI135" s="55">
        <f t="shared" si="792"/>
        <v>0.70999999999999985</v>
      </c>
      <c r="EJ135" s="55">
        <f t="shared" si="792"/>
        <v>0.68999999999999984</v>
      </c>
      <c r="EK135" s="55">
        <f t="shared" si="792"/>
        <v>0.66999999999999982</v>
      </c>
      <c r="EL135" s="55">
        <f t="shared" si="792"/>
        <v>0.6499999999999998</v>
      </c>
      <c r="EM135" s="55">
        <f t="shared" si="792"/>
        <v>0.62999999999999978</v>
      </c>
      <c r="EN135" s="55">
        <f t="shared" si="792"/>
        <v>0.60999999999999976</v>
      </c>
      <c r="EO135" s="55">
        <f t="shared" si="792"/>
        <v>0.58999999999999975</v>
      </c>
      <c r="EP135" s="55">
        <f t="shared" si="792"/>
        <v>0.56999999999999973</v>
      </c>
      <c r="ER135" s="55">
        <f t="shared" si="648"/>
        <v>0</v>
      </c>
      <c r="ES135" s="55">
        <f t="shared" si="510"/>
        <v>0</v>
      </c>
      <c r="ET135" s="59">
        <f t="shared" si="885"/>
        <v>0</v>
      </c>
      <c r="EU135" s="55">
        <f t="shared" si="886"/>
        <v>0</v>
      </c>
      <c r="EV135" s="59">
        <f t="shared" si="887"/>
        <v>0</v>
      </c>
      <c r="EW135" s="55">
        <f t="shared" si="888"/>
        <v>0</v>
      </c>
      <c r="EX135" s="59">
        <f t="shared" si="889"/>
        <v>0</v>
      </c>
      <c r="EY135" s="55">
        <f t="shared" si="890"/>
        <v>0</v>
      </c>
      <c r="EZ135" s="59">
        <f t="shared" si="891"/>
        <v>0</v>
      </c>
      <c r="FA135" s="57">
        <f t="shared" si="892"/>
        <v>0</v>
      </c>
      <c r="FB135" s="59">
        <f t="shared" si="893"/>
        <v>0</v>
      </c>
      <c r="FC135" s="55">
        <f t="shared" si="894"/>
        <v>0</v>
      </c>
      <c r="FD135" s="59">
        <f t="shared" si="895"/>
        <v>0</v>
      </c>
      <c r="FE135" s="57">
        <f t="shared" si="896"/>
        <v>0</v>
      </c>
      <c r="FF135" s="59">
        <f t="shared" si="897"/>
        <v>0</v>
      </c>
      <c r="FG135" s="60">
        <f t="shared" si="898"/>
        <v>0</v>
      </c>
      <c r="FH135" s="59">
        <f t="shared" si="899"/>
        <v>0</v>
      </c>
      <c r="FI135" s="57">
        <f t="shared" si="900"/>
        <v>0</v>
      </c>
      <c r="FJ135" s="59">
        <f t="shared" si="901"/>
        <v>0</v>
      </c>
      <c r="FK135" s="55">
        <f t="shared" si="902"/>
        <v>0</v>
      </c>
      <c r="FL135" s="59">
        <f t="shared" si="903"/>
        <v>0</v>
      </c>
      <c r="FM135" s="60">
        <f t="shared" si="904"/>
        <v>0</v>
      </c>
      <c r="FN135" s="59">
        <f t="shared" si="905"/>
        <v>0</v>
      </c>
      <c r="FO135" s="60">
        <f t="shared" si="906"/>
        <v>0</v>
      </c>
      <c r="FP135" s="59">
        <f t="shared" si="907"/>
        <v>0</v>
      </c>
      <c r="FQ135" s="60">
        <f t="shared" si="908"/>
        <v>0</v>
      </c>
      <c r="FR135" s="59">
        <f t="shared" si="909"/>
        <v>0</v>
      </c>
      <c r="FS135" s="55">
        <f t="shared" si="910"/>
        <v>0</v>
      </c>
      <c r="FT135" s="59">
        <f t="shared" si="911"/>
        <v>0</v>
      </c>
      <c r="FU135" s="60">
        <f t="shared" si="912"/>
        <v>0</v>
      </c>
      <c r="FV135" s="59">
        <f t="shared" si="913"/>
        <v>0</v>
      </c>
      <c r="FW135" s="60">
        <f t="shared" si="914"/>
        <v>0</v>
      </c>
      <c r="FX135" s="59">
        <f t="shared" si="915"/>
        <v>0</v>
      </c>
      <c r="FY135" s="60">
        <f t="shared" si="916"/>
        <v>0</v>
      </c>
      <c r="FZ135" s="59">
        <f t="shared" si="917"/>
        <v>0</v>
      </c>
      <c r="GA135" s="60">
        <f t="shared" si="918"/>
        <v>0</v>
      </c>
      <c r="GB135" s="59">
        <f t="shared" si="919"/>
        <v>0</v>
      </c>
      <c r="GC135" s="55">
        <f t="shared" si="920"/>
        <v>0</v>
      </c>
      <c r="GD135" s="59">
        <f t="shared" si="921"/>
        <v>0</v>
      </c>
      <c r="GE135" s="60">
        <f t="shared" si="922"/>
        <v>0</v>
      </c>
      <c r="GF135" s="59">
        <f t="shared" si="923"/>
        <v>0</v>
      </c>
      <c r="GG135" s="60">
        <f t="shared" si="924"/>
        <v>0</v>
      </c>
      <c r="GH135" s="59">
        <f t="shared" si="925"/>
        <v>0</v>
      </c>
      <c r="GI135" s="55">
        <f t="shared" si="926"/>
        <v>0</v>
      </c>
      <c r="GJ135" s="59">
        <f t="shared" si="927"/>
        <v>0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793"/>
        <v>0.91</v>
      </c>
      <c r="GR135" s="55">
        <f t="shared" si="793"/>
        <v>0.89</v>
      </c>
      <c r="GS135" s="55">
        <f t="shared" si="793"/>
        <v>0.87</v>
      </c>
      <c r="GT135" s="55">
        <f t="shared" si="793"/>
        <v>0.85</v>
      </c>
      <c r="GU135" s="55">
        <f t="shared" si="793"/>
        <v>0.83</v>
      </c>
      <c r="GV135" s="55">
        <f t="shared" si="793"/>
        <v>0.80999999999999994</v>
      </c>
      <c r="GW135" s="55">
        <f t="shared" si="793"/>
        <v>0.78999999999999992</v>
      </c>
      <c r="GX135" s="55">
        <f t="shared" si="793"/>
        <v>0.76999999999999991</v>
      </c>
      <c r="GY135" s="55">
        <f t="shared" si="793"/>
        <v>0.74999999999999989</v>
      </c>
      <c r="GZ135" s="55">
        <f t="shared" si="793"/>
        <v>0.72999999999999987</v>
      </c>
      <c r="HA135" s="55">
        <f t="shared" si="793"/>
        <v>0.70999999999999985</v>
      </c>
      <c r="HB135" s="55">
        <f t="shared" si="793"/>
        <v>0.68999999999999984</v>
      </c>
      <c r="HC135" s="55">
        <f t="shared" si="793"/>
        <v>0.66999999999999982</v>
      </c>
      <c r="HD135" s="55">
        <f t="shared" si="793"/>
        <v>0.6499999999999998</v>
      </c>
      <c r="HE135" s="55">
        <f t="shared" si="793"/>
        <v>0.62999999999999978</v>
      </c>
      <c r="HF135" s="55">
        <f t="shared" si="793"/>
        <v>0.60999999999999976</v>
      </c>
      <c r="HG135" s="55">
        <f t="shared" si="793"/>
        <v>0.58999999999999975</v>
      </c>
      <c r="HH135" s="55">
        <f t="shared" si="793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1">
        <f t="shared" si="798"/>
        <v>0</v>
      </c>
      <c r="H136" s="55">
        <f t="shared" si="505"/>
        <v>0</v>
      </c>
      <c r="I136" s="55">
        <f t="shared" si="506"/>
        <v>0</v>
      </c>
      <c r="J136" s="59">
        <f t="shared" si="507"/>
        <v>0</v>
      </c>
      <c r="K136" s="55">
        <f t="shared" si="799"/>
        <v>0</v>
      </c>
      <c r="L136" s="59">
        <f t="shared" si="800"/>
        <v>0</v>
      </c>
      <c r="M136" s="55">
        <f t="shared" si="801"/>
        <v>0</v>
      </c>
      <c r="N136" s="59">
        <f t="shared" si="802"/>
        <v>0</v>
      </c>
      <c r="O136" s="55">
        <f t="shared" si="803"/>
        <v>0</v>
      </c>
      <c r="P136" s="59">
        <f t="shared" si="804"/>
        <v>0</v>
      </c>
      <c r="Q136" s="57">
        <f t="shared" si="805"/>
        <v>0</v>
      </c>
      <c r="R136" s="59">
        <f t="shared" si="806"/>
        <v>0</v>
      </c>
      <c r="S136" s="55">
        <f t="shared" si="807"/>
        <v>0</v>
      </c>
      <c r="T136" s="59">
        <f t="shared" si="808"/>
        <v>0</v>
      </c>
      <c r="U136" s="57">
        <f t="shared" si="809"/>
        <v>0</v>
      </c>
      <c r="V136" s="59">
        <f t="shared" si="810"/>
        <v>0</v>
      </c>
      <c r="W136" s="60">
        <f t="shared" si="811"/>
        <v>0</v>
      </c>
      <c r="X136" s="59">
        <f t="shared" si="812"/>
        <v>0</v>
      </c>
      <c r="Y136" s="57">
        <f t="shared" si="813"/>
        <v>0</v>
      </c>
      <c r="Z136" s="59">
        <f t="shared" si="814"/>
        <v>0</v>
      </c>
      <c r="AA136" s="55">
        <f t="shared" si="815"/>
        <v>0</v>
      </c>
      <c r="AB136" s="59">
        <f t="shared" si="816"/>
        <v>0</v>
      </c>
      <c r="AC136" s="60">
        <f t="shared" si="817"/>
        <v>0</v>
      </c>
      <c r="AD136" s="59">
        <f t="shared" si="818"/>
        <v>0</v>
      </c>
      <c r="AE136" s="60">
        <f t="shared" si="819"/>
        <v>0</v>
      </c>
      <c r="AF136" s="59">
        <f t="shared" si="820"/>
        <v>0</v>
      </c>
      <c r="AG136" s="60">
        <f t="shared" si="821"/>
        <v>0</v>
      </c>
      <c r="AH136" s="59">
        <f t="shared" si="822"/>
        <v>0</v>
      </c>
      <c r="AI136" s="55">
        <f t="shared" si="823"/>
        <v>0</v>
      </c>
      <c r="AJ136" s="59">
        <f t="shared" si="824"/>
        <v>0</v>
      </c>
      <c r="AK136" s="60">
        <f t="shared" si="825"/>
        <v>0</v>
      </c>
      <c r="AL136" s="59">
        <f t="shared" si="826"/>
        <v>0</v>
      </c>
      <c r="AM136" s="60">
        <f t="shared" si="827"/>
        <v>0</v>
      </c>
      <c r="AN136" s="59">
        <f t="shared" si="828"/>
        <v>0</v>
      </c>
      <c r="AO136" s="60">
        <f t="shared" si="829"/>
        <v>0</v>
      </c>
      <c r="AP136" s="59">
        <f t="shared" si="830"/>
        <v>0</v>
      </c>
      <c r="AQ136" s="60">
        <f t="shared" si="831"/>
        <v>0</v>
      </c>
      <c r="AR136" s="59">
        <f t="shared" si="832"/>
        <v>0</v>
      </c>
      <c r="AS136" s="55">
        <f t="shared" si="833"/>
        <v>0</v>
      </c>
      <c r="AT136" s="59">
        <f t="shared" si="834"/>
        <v>0</v>
      </c>
      <c r="AU136" s="60">
        <f t="shared" si="835"/>
        <v>0</v>
      </c>
      <c r="AV136" s="59">
        <f t="shared" si="836"/>
        <v>0</v>
      </c>
      <c r="AW136" s="60">
        <f t="shared" si="837"/>
        <v>0</v>
      </c>
      <c r="AX136" s="59">
        <f t="shared" si="838"/>
        <v>0</v>
      </c>
      <c r="AY136" s="55">
        <f t="shared" si="839"/>
        <v>0</v>
      </c>
      <c r="AZ136" s="59">
        <f t="shared" si="840"/>
        <v>0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41"/>
        <v>0.91</v>
      </c>
      <c r="BH136" s="55">
        <f t="shared" si="841"/>
        <v>0.89</v>
      </c>
      <c r="BI136" s="55">
        <f t="shared" si="841"/>
        <v>0.87</v>
      </c>
      <c r="BJ136" s="55">
        <f t="shared" si="841"/>
        <v>0.85</v>
      </c>
      <c r="BK136" s="55">
        <f t="shared" si="841"/>
        <v>0.83</v>
      </c>
      <c r="BL136" s="55">
        <f t="shared" si="841"/>
        <v>0.80999999999999994</v>
      </c>
      <c r="BM136" s="55">
        <f t="shared" si="841"/>
        <v>0.78999999999999992</v>
      </c>
      <c r="BN136" s="55">
        <f t="shared" si="841"/>
        <v>0.76999999999999991</v>
      </c>
      <c r="BO136" s="55">
        <f t="shared" si="841"/>
        <v>0.74999999999999989</v>
      </c>
      <c r="BP136" s="55">
        <f t="shared" si="841"/>
        <v>0.72999999999999987</v>
      </c>
      <c r="BQ136" s="55">
        <f t="shared" si="841"/>
        <v>0.70999999999999985</v>
      </c>
      <c r="BR136" s="55">
        <f t="shared" si="841"/>
        <v>0.68999999999999984</v>
      </c>
      <c r="BS136" s="55">
        <f t="shared" si="841"/>
        <v>0.66999999999999982</v>
      </c>
      <c r="BT136" s="55">
        <f t="shared" si="841"/>
        <v>0.6499999999999998</v>
      </c>
      <c r="BU136" s="55">
        <f t="shared" si="841"/>
        <v>0.62999999999999978</v>
      </c>
      <c r="BV136" s="55">
        <f t="shared" si="841"/>
        <v>0.60999999999999976</v>
      </c>
      <c r="BW136" s="55">
        <f t="shared" si="841"/>
        <v>0.58999999999999975</v>
      </c>
      <c r="BX136" s="55">
        <f t="shared" si="841"/>
        <v>0.56999999999999973</v>
      </c>
      <c r="BZ136" s="55">
        <f t="shared" si="508"/>
        <v>0</v>
      </c>
      <c r="CA136" s="55">
        <f t="shared" si="509"/>
        <v>0</v>
      </c>
      <c r="CB136" s="59">
        <f t="shared" si="842"/>
        <v>0</v>
      </c>
      <c r="CC136" s="55">
        <f t="shared" si="843"/>
        <v>0</v>
      </c>
      <c r="CD136" s="59">
        <f t="shared" si="844"/>
        <v>0</v>
      </c>
      <c r="CE136" s="55">
        <f t="shared" si="845"/>
        <v>0</v>
      </c>
      <c r="CF136" s="59">
        <f t="shared" si="846"/>
        <v>0</v>
      </c>
      <c r="CG136" s="55">
        <f t="shared" si="847"/>
        <v>0</v>
      </c>
      <c r="CH136" s="59">
        <f t="shared" si="848"/>
        <v>0</v>
      </c>
      <c r="CI136" s="57">
        <f t="shared" si="849"/>
        <v>0</v>
      </c>
      <c r="CJ136" s="59">
        <f t="shared" si="850"/>
        <v>0</v>
      </c>
      <c r="CK136" s="55">
        <f t="shared" si="851"/>
        <v>0</v>
      </c>
      <c r="CL136" s="59">
        <f t="shared" si="852"/>
        <v>0</v>
      </c>
      <c r="CM136" s="57">
        <f t="shared" si="853"/>
        <v>0</v>
      </c>
      <c r="CN136" s="59">
        <f t="shared" si="854"/>
        <v>0</v>
      </c>
      <c r="CO136" s="60">
        <f t="shared" si="855"/>
        <v>0</v>
      </c>
      <c r="CP136" s="59">
        <f t="shared" si="856"/>
        <v>0</v>
      </c>
      <c r="CQ136" s="57">
        <f t="shared" si="857"/>
        <v>0</v>
      </c>
      <c r="CR136" s="59">
        <f t="shared" si="858"/>
        <v>0</v>
      </c>
      <c r="CS136" s="55">
        <f t="shared" si="859"/>
        <v>0</v>
      </c>
      <c r="CT136" s="59">
        <f t="shared" si="860"/>
        <v>0</v>
      </c>
      <c r="CU136" s="60">
        <f t="shared" si="861"/>
        <v>0</v>
      </c>
      <c r="CV136" s="59">
        <f t="shared" si="862"/>
        <v>0</v>
      </c>
      <c r="CW136" s="60">
        <f t="shared" si="863"/>
        <v>0</v>
      </c>
      <c r="CX136" s="59">
        <f t="shared" si="864"/>
        <v>0</v>
      </c>
      <c r="CY136" s="60">
        <f t="shared" si="865"/>
        <v>0</v>
      </c>
      <c r="CZ136" s="59">
        <f t="shared" si="866"/>
        <v>0</v>
      </c>
      <c r="DA136" s="55">
        <f t="shared" si="867"/>
        <v>0</v>
      </c>
      <c r="DB136" s="59">
        <f t="shared" si="868"/>
        <v>0</v>
      </c>
      <c r="DC136" s="60">
        <f t="shared" si="869"/>
        <v>0</v>
      </c>
      <c r="DD136" s="59">
        <f t="shared" si="870"/>
        <v>0</v>
      </c>
      <c r="DE136" s="60">
        <f t="shared" si="871"/>
        <v>0</v>
      </c>
      <c r="DF136" s="59">
        <f t="shared" si="872"/>
        <v>0</v>
      </c>
      <c r="DG136" s="60">
        <f t="shared" si="873"/>
        <v>0</v>
      </c>
      <c r="DH136" s="59">
        <f t="shared" si="874"/>
        <v>0</v>
      </c>
      <c r="DI136" s="60">
        <f t="shared" si="875"/>
        <v>0</v>
      </c>
      <c r="DJ136" s="59">
        <f t="shared" si="876"/>
        <v>0</v>
      </c>
      <c r="DK136" s="55">
        <f t="shared" si="877"/>
        <v>0</v>
      </c>
      <c r="DL136" s="59">
        <f t="shared" si="878"/>
        <v>0</v>
      </c>
      <c r="DM136" s="60">
        <f t="shared" si="879"/>
        <v>0</v>
      </c>
      <c r="DN136" s="59">
        <f t="shared" si="880"/>
        <v>0</v>
      </c>
      <c r="DO136" s="60">
        <f t="shared" si="881"/>
        <v>0</v>
      </c>
      <c r="DP136" s="59">
        <f t="shared" si="882"/>
        <v>0</v>
      </c>
      <c r="DQ136" s="55">
        <f t="shared" si="883"/>
        <v>0</v>
      </c>
      <c r="DR136" s="59">
        <f t="shared" si="884"/>
        <v>0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92"/>
        <v>0.91</v>
      </c>
      <c r="DZ136" s="55">
        <f t="shared" si="792"/>
        <v>0.89</v>
      </c>
      <c r="EA136" s="55">
        <f t="shared" si="792"/>
        <v>0.87</v>
      </c>
      <c r="EB136" s="55">
        <f t="shared" si="792"/>
        <v>0.85</v>
      </c>
      <c r="EC136" s="55">
        <f t="shared" si="792"/>
        <v>0.83</v>
      </c>
      <c r="ED136" s="55">
        <f t="shared" si="792"/>
        <v>0.80999999999999994</v>
      </c>
      <c r="EE136" s="55">
        <f t="shared" si="792"/>
        <v>0.78999999999999992</v>
      </c>
      <c r="EF136" s="55">
        <f t="shared" si="792"/>
        <v>0.76999999999999991</v>
      </c>
      <c r="EG136" s="55">
        <f t="shared" si="792"/>
        <v>0.74999999999999989</v>
      </c>
      <c r="EH136" s="55">
        <f t="shared" si="792"/>
        <v>0.72999999999999987</v>
      </c>
      <c r="EI136" s="55">
        <f t="shared" si="792"/>
        <v>0.70999999999999985</v>
      </c>
      <c r="EJ136" s="55">
        <f t="shared" si="792"/>
        <v>0.68999999999999984</v>
      </c>
      <c r="EK136" s="55">
        <f t="shared" si="792"/>
        <v>0.66999999999999982</v>
      </c>
      <c r="EL136" s="55">
        <f t="shared" si="792"/>
        <v>0.6499999999999998</v>
      </c>
      <c r="EM136" s="55">
        <f t="shared" si="792"/>
        <v>0.62999999999999978</v>
      </c>
      <c r="EN136" s="55">
        <f t="shared" si="792"/>
        <v>0.60999999999999976</v>
      </c>
      <c r="EO136" s="55">
        <f t="shared" si="792"/>
        <v>0.58999999999999975</v>
      </c>
      <c r="EP136" s="55">
        <f t="shared" si="792"/>
        <v>0.56999999999999973</v>
      </c>
      <c r="ER136" s="55">
        <f t="shared" si="648"/>
        <v>0</v>
      </c>
      <c r="ES136" s="55">
        <f t="shared" si="510"/>
        <v>0</v>
      </c>
      <c r="ET136" s="59">
        <f t="shared" si="885"/>
        <v>0</v>
      </c>
      <c r="EU136" s="55">
        <f t="shared" si="886"/>
        <v>0</v>
      </c>
      <c r="EV136" s="59">
        <f t="shared" si="887"/>
        <v>0</v>
      </c>
      <c r="EW136" s="55">
        <f t="shared" si="888"/>
        <v>0</v>
      </c>
      <c r="EX136" s="59">
        <f t="shared" si="889"/>
        <v>0</v>
      </c>
      <c r="EY136" s="55">
        <f t="shared" si="890"/>
        <v>0</v>
      </c>
      <c r="EZ136" s="59">
        <f t="shared" si="891"/>
        <v>0</v>
      </c>
      <c r="FA136" s="57">
        <f t="shared" si="892"/>
        <v>0</v>
      </c>
      <c r="FB136" s="59">
        <f t="shared" si="893"/>
        <v>0</v>
      </c>
      <c r="FC136" s="55">
        <f t="shared" si="894"/>
        <v>0</v>
      </c>
      <c r="FD136" s="59">
        <f t="shared" si="895"/>
        <v>0</v>
      </c>
      <c r="FE136" s="57">
        <f t="shared" si="896"/>
        <v>0</v>
      </c>
      <c r="FF136" s="59">
        <f t="shared" si="897"/>
        <v>0</v>
      </c>
      <c r="FG136" s="60">
        <f t="shared" si="898"/>
        <v>0</v>
      </c>
      <c r="FH136" s="59">
        <f t="shared" si="899"/>
        <v>0</v>
      </c>
      <c r="FI136" s="57">
        <f t="shared" si="900"/>
        <v>0</v>
      </c>
      <c r="FJ136" s="59">
        <f t="shared" si="901"/>
        <v>0</v>
      </c>
      <c r="FK136" s="55">
        <f t="shared" si="902"/>
        <v>0</v>
      </c>
      <c r="FL136" s="59">
        <f t="shared" si="903"/>
        <v>0</v>
      </c>
      <c r="FM136" s="60">
        <f t="shared" si="904"/>
        <v>0</v>
      </c>
      <c r="FN136" s="59">
        <f t="shared" si="905"/>
        <v>0</v>
      </c>
      <c r="FO136" s="60">
        <f t="shared" si="906"/>
        <v>0</v>
      </c>
      <c r="FP136" s="59">
        <f t="shared" si="907"/>
        <v>0</v>
      </c>
      <c r="FQ136" s="60">
        <f t="shared" si="908"/>
        <v>0</v>
      </c>
      <c r="FR136" s="59">
        <f t="shared" si="909"/>
        <v>0</v>
      </c>
      <c r="FS136" s="55">
        <f t="shared" si="910"/>
        <v>0</v>
      </c>
      <c r="FT136" s="59">
        <f t="shared" si="911"/>
        <v>0</v>
      </c>
      <c r="FU136" s="60">
        <f t="shared" si="912"/>
        <v>0</v>
      </c>
      <c r="FV136" s="59">
        <f t="shared" si="913"/>
        <v>0</v>
      </c>
      <c r="FW136" s="60">
        <f t="shared" si="914"/>
        <v>0</v>
      </c>
      <c r="FX136" s="59">
        <f t="shared" si="915"/>
        <v>0</v>
      </c>
      <c r="FY136" s="60">
        <f t="shared" si="916"/>
        <v>0</v>
      </c>
      <c r="FZ136" s="59">
        <f t="shared" si="917"/>
        <v>0</v>
      </c>
      <c r="GA136" s="60">
        <f t="shared" si="918"/>
        <v>0</v>
      </c>
      <c r="GB136" s="59">
        <f t="shared" si="919"/>
        <v>0</v>
      </c>
      <c r="GC136" s="55">
        <f t="shared" si="920"/>
        <v>0</v>
      </c>
      <c r="GD136" s="59">
        <f t="shared" si="921"/>
        <v>0</v>
      </c>
      <c r="GE136" s="60">
        <f t="shared" si="922"/>
        <v>0</v>
      </c>
      <c r="GF136" s="59">
        <f t="shared" si="923"/>
        <v>0</v>
      </c>
      <c r="GG136" s="60">
        <f t="shared" si="924"/>
        <v>0</v>
      </c>
      <c r="GH136" s="59">
        <f t="shared" si="925"/>
        <v>0</v>
      </c>
      <c r="GI136" s="55">
        <f t="shared" si="926"/>
        <v>0</v>
      </c>
      <c r="GJ136" s="59">
        <f t="shared" si="927"/>
        <v>0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93"/>
        <v>0.91</v>
      </c>
      <c r="GR136" s="55">
        <f t="shared" si="793"/>
        <v>0.89</v>
      </c>
      <c r="GS136" s="55">
        <f t="shared" si="793"/>
        <v>0.87</v>
      </c>
      <c r="GT136" s="55">
        <f t="shared" si="793"/>
        <v>0.85</v>
      </c>
      <c r="GU136" s="55">
        <f t="shared" si="793"/>
        <v>0.83</v>
      </c>
      <c r="GV136" s="55">
        <f t="shared" si="793"/>
        <v>0.80999999999999994</v>
      </c>
      <c r="GW136" s="55">
        <f t="shared" si="793"/>
        <v>0.78999999999999992</v>
      </c>
      <c r="GX136" s="55">
        <f t="shared" si="793"/>
        <v>0.76999999999999991</v>
      </c>
      <c r="GY136" s="55">
        <f t="shared" si="793"/>
        <v>0.74999999999999989</v>
      </c>
      <c r="GZ136" s="55">
        <f t="shared" si="793"/>
        <v>0.72999999999999987</v>
      </c>
      <c r="HA136" s="55">
        <f t="shared" si="793"/>
        <v>0.70999999999999985</v>
      </c>
      <c r="HB136" s="55">
        <f t="shared" si="793"/>
        <v>0.68999999999999984</v>
      </c>
      <c r="HC136" s="55">
        <f t="shared" si="793"/>
        <v>0.66999999999999982</v>
      </c>
      <c r="HD136" s="55">
        <f t="shared" si="793"/>
        <v>0.6499999999999998</v>
      </c>
      <c r="HE136" s="55">
        <f t="shared" si="793"/>
        <v>0.62999999999999978</v>
      </c>
      <c r="HF136" s="55">
        <f t="shared" si="793"/>
        <v>0.60999999999999976</v>
      </c>
      <c r="HG136" s="55">
        <f t="shared" si="793"/>
        <v>0.58999999999999975</v>
      </c>
      <c r="HH136" s="55">
        <f t="shared" si="793"/>
        <v>0.56999999999999973</v>
      </c>
    </row>
    <row r="137" spans="1:216" x14ac:dyDescent="0.3">
      <c r="A137" s="2">
        <v>8</v>
      </c>
      <c r="C137" s="38" t="s">
        <v>62</v>
      </c>
      <c r="D137" s="42">
        <v>0</v>
      </c>
      <c r="E137" s="71">
        <f t="shared" si="798"/>
        <v>0</v>
      </c>
      <c r="H137" s="55">
        <f t="shared" si="505"/>
        <v>0</v>
      </c>
      <c r="I137" s="55">
        <f t="shared" si="506"/>
        <v>0</v>
      </c>
      <c r="J137" s="59">
        <f t="shared" si="507"/>
        <v>0</v>
      </c>
      <c r="K137" s="55">
        <f t="shared" si="799"/>
        <v>0</v>
      </c>
      <c r="L137" s="59">
        <f t="shared" si="800"/>
        <v>0</v>
      </c>
      <c r="M137" s="55">
        <f t="shared" si="801"/>
        <v>0</v>
      </c>
      <c r="N137" s="59">
        <f t="shared" si="802"/>
        <v>0</v>
      </c>
      <c r="O137" s="55">
        <f t="shared" si="803"/>
        <v>0</v>
      </c>
      <c r="P137" s="59">
        <f t="shared" si="804"/>
        <v>0</v>
      </c>
      <c r="Q137" s="57">
        <f t="shared" si="805"/>
        <v>0</v>
      </c>
      <c r="R137" s="59">
        <f t="shared" si="806"/>
        <v>0</v>
      </c>
      <c r="S137" s="55">
        <f t="shared" si="807"/>
        <v>0</v>
      </c>
      <c r="T137" s="59">
        <f t="shared" si="808"/>
        <v>0</v>
      </c>
      <c r="U137" s="57">
        <f t="shared" si="809"/>
        <v>0</v>
      </c>
      <c r="V137" s="59">
        <f t="shared" si="810"/>
        <v>0</v>
      </c>
      <c r="W137" s="60">
        <f t="shared" si="811"/>
        <v>0</v>
      </c>
      <c r="X137" s="59">
        <f t="shared" si="812"/>
        <v>0</v>
      </c>
      <c r="Y137" s="57">
        <f t="shared" si="813"/>
        <v>0</v>
      </c>
      <c r="Z137" s="59">
        <f t="shared" si="814"/>
        <v>0</v>
      </c>
      <c r="AA137" s="55">
        <f t="shared" si="815"/>
        <v>0</v>
      </c>
      <c r="AB137" s="59">
        <f t="shared" si="816"/>
        <v>0</v>
      </c>
      <c r="AC137" s="60">
        <f t="shared" si="817"/>
        <v>0</v>
      </c>
      <c r="AD137" s="59">
        <f t="shared" si="818"/>
        <v>0</v>
      </c>
      <c r="AE137" s="60">
        <f t="shared" si="819"/>
        <v>0</v>
      </c>
      <c r="AF137" s="59">
        <f t="shared" si="820"/>
        <v>0</v>
      </c>
      <c r="AG137" s="60">
        <f t="shared" si="821"/>
        <v>0</v>
      </c>
      <c r="AH137" s="59">
        <f t="shared" si="822"/>
        <v>0</v>
      </c>
      <c r="AI137" s="55">
        <f t="shared" si="823"/>
        <v>0</v>
      </c>
      <c r="AJ137" s="59">
        <f t="shared" si="824"/>
        <v>0</v>
      </c>
      <c r="AK137" s="60">
        <f t="shared" si="825"/>
        <v>0</v>
      </c>
      <c r="AL137" s="59">
        <f t="shared" si="826"/>
        <v>0</v>
      </c>
      <c r="AM137" s="60">
        <f t="shared" si="827"/>
        <v>0</v>
      </c>
      <c r="AN137" s="59">
        <f t="shared" si="828"/>
        <v>0</v>
      </c>
      <c r="AO137" s="60">
        <f t="shared" si="829"/>
        <v>0</v>
      </c>
      <c r="AP137" s="59">
        <f t="shared" si="830"/>
        <v>0</v>
      </c>
      <c r="AQ137" s="60">
        <f t="shared" si="831"/>
        <v>0</v>
      </c>
      <c r="AR137" s="59">
        <f t="shared" si="832"/>
        <v>0</v>
      </c>
      <c r="AS137" s="55">
        <f t="shared" si="833"/>
        <v>0</v>
      </c>
      <c r="AT137" s="59">
        <f t="shared" si="834"/>
        <v>0</v>
      </c>
      <c r="AU137" s="60">
        <f t="shared" si="835"/>
        <v>0</v>
      </c>
      <c r="AV137" s="59">
        <f t="shared" si="836"/>
        <v>0</v>
      </c>
      <c r="AW137" s="60">
        <f t="shared" si="837"/>
        <v>0</v>
      </c>
      <c r="AX137" s="59">
        <f t="shared" si="838"/>
        <v>0</v>
      </c>
      <c r="AY137" s="55">
        <f t="shared" si="839"/>
        <v>0</v>
      </c>
      <c r="AZ137" s="59">
        <f t="shared" si="840"/>
        <v>0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41"/>
        <v>0.91</v>
      </c>
      <c r="BH137" s="55">
        <f t="shared" si="841"/>
        <v>0.89</v>
      </c>
      <c r="BI137" s="55">
        <f t="shared" si="841"/>
        <v>0.87</v>
      </c>
      <c r="BJ137" s="55">
        <f t="shared" si="841"/>
        <v>0.85</v>
      </c>
      <c r="BK137" s="55">
        <f t="shared" si="841"/>
        <v>0.83</v>
      </c>
      <c r="BL137" s="55">
        <f t="shared" si="841"/>
        <v>0.80999999999999994</v>
      </c>
      <c r="BM137" s="55">
        <f t="shared" si="841"/>
        <v>0.78999999999999992</v>
      </c>
      <c r="BN137" s="55">
        <f t="shared" si="841"/>
        <v>0.76999999999999991</v>
      </c>
      <c r="BO137" s="55">
        <f t="shared" si="841"/>
        <v>0.74999999999999989</v>
      </c>
      <c r="BP137" s="55">
        <f t="shared" si="841"/>
        <v>0.72999999999999987</v>
      </c>
      <c r="BQ137" s="55">
        <f t="shared" si="841"/>
        <v>0.70999999999999985</v>
      </c>
      <c r="BR137" s="55">
        <f t="shared" si="841"/>
        <v>0.68999999999999984</v>
      </c>
      <c r="BS137" s="55">
        <f t="shared" si="841"/>
        <v>0.66999999999999982</v>
      </c>
      <c r="BT137" s="55">
        <f t="shared" si="841"/>
        <v>0.6499999999999998</v>
      </c>
      <c r="BU137" s="55">
        <f t="shared" si="841"/>
        <v>0.62999999999999978</v>
      </c>
      <c r="BV137" s="55">
        <f t="shared" si="841"/>
        <v>0.60999999999999976</v>
      </c>
      <c r="BW137" s="55">
        <f t="shared" si="841"/>
        <v>0.58999999999999975</v>
      </c>
      <c r="BX137" s="55">
        <f t="shared" si="841"/>
        <v>0.56999999999999973</v>
      </c>
      <c r="BZ137" s="55">
        <f t="shared" si="508"/>
        <v>0</v>
      </c>
      <c r="CA137" s="55">
        <f t="shared" si="509"/>
        <v>0</v>
      </c>
      <c r="CB137" s="59">
        <f t="shared" si="842"/>
        <v>0</v>
      </c>
      <c r="CC137" s="55">
        <f t="shared" si="843"/>
        <v>0</v>
      </c>
      <c r="CD137" s="59">
        <f t="shared" si="844"/>
        <v>0</v>
      </c>
      <c r="CE137" s="55">
        <f t="shared" si="845"/>
        <v>0</v>
      </c>
      <c r="CF137" s="59">
        <f t="shared" si="846"/>
        <v>0</v>
      </c>
      <c r="CG137" s="55">
        <f t="shared" si="847"/>
        <v>0</v>
      </c>
      <c r="CH137" s="59">
        <f t="shared" si="848"/>
        <v>0</v>
      </c>
      <c r="CI137" s="57">
        <f t="shared" si="849"/>
        <v>0</v>
      </c>
      <c r="CJ137" s="59">
        <f t="shared" si="850"/>
        <v>0</v>
      </c>
      <c r="CK137" s="55">
        <f t="shared" si="851"/>
        <v>0</v>
      </c>
      <c r="CL137" s="59">
        <f t="shared" si="852"/>
        <v>0</v>
      </c>
      <c r="CM137" s="57">
        <f t="shared" si="853"/>
        <v>0</v>
      </c>
      <c r="CN137" s="59">
        <f t="shared" si="854"/>
        <v>0</v>
      </c>
      <c r="CO137" s="60">
        <f t="shared" si="855"/>
        <v>0</v>
      </c>
      <c r="CP137" s="59">
        <f t="shared" si="856"/>
        <v>0</v>
      </c>
      <c r="CQ137" s="57">
        <f t="shared" si="857"/>
        <v>0</v>
      </c>
      <c r="CR137" s="59">
        <f t="shared" si="858"/>
        <v>0</v>
      </c>
      <c r="CS137" s="55">
        <f t="shared" si="859"/>
        <v>0</v>
      </c>
      <c r="CT137" s="59">
        <f t="shared" si="860"/>
        <v>0</v>
      </c>
      <c r="CU137" s="60">
        <f t="shared" si="861"/>
        <v>0</v>
      </c>
      <c r="CV137" s="59">
        <f t="shared" si="862"/>
        <v>0</v>
      </c>
      <c r="CW137" s="60">
        <f t="shared" si="863"/>
        <v>0</v>
      </c>
      <c r="CX137" s="59">
        <f t="shared" si="864"/>
        <v>0</v>
      </c>
      <c r="CY137" s="60">
        <f t="shared" si="865"/>
        <v>0</v>
      </c>
      <c r="CZ137" s="59">
        <f t="shared" si="866"/>
        <v>0</v>
      </c>
      <c r="DA137" s="55">
        <f t="shared" si="867"/>
        <v>0</v>
      </c>
      <c r="DB137" s="59">
        <f t="shared" si="868"/>
        <v>0</v>
      </c>
      <c r="DC137" s="60">
        <f t="shared" si="869"/>
        <v>0</v>
      </c>
      <c r="DD137" s="59">
        <f t="shared" si="870"/>
        <v>0</v>
      </c>
      <c r="DE137" s="60">
        <f t="shared" si="871"/>
        <v>0</v>
      </c>
      <c r="DF137" s="59">
        <f t="shared" si="872"/>
        <v>0</v>
      </c>
      <c r="DG137" s="60">
        <f t="shared" si="873"/>
        <v>0</v>
      </c>
      <c r="DH137" s="59">
        <f t="shared" si="874"/>
        <v>0</v>
      </c>
      <c r="DI137" s="60">
        <f t="shared" si="875"/>
        <v>0</v>
      </c>
      <c r="DJ137" s="59">
        <f t="shared" si="876"/>
        <v>0</v>
      </c>
      <c r="DK137" s="55">
        <f t="shared" si="877"/>
        <v>0</v>
      </c>
      <c r="DL137" s="59">
        <f t="shared" si="878"/>
        <v>0</v>
      </c>
      <c r="DM137" s="60">
        <f t="shared" si="879"/>
        <v>0</v>
      </c>
      <c r="DN137" s="59">
        <f t="shared" si="880"/>
        <v>0</v>
      </c>
      <c r="DO137" s="60">
        <f t="shared" si="881"/>
        <v>0</v>
      </c>
      <c r="DP137" s="59">
        <f t="shared" si="882"/>
        <v>0</v>
      </c>
      <c r="DQ137" s="55">
        <f t="shared" si="883"/>
        <v>0</v>
      </c>
      <c r="DR137" s="59">
        <f t="shared" si="884"/>
        <v>0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92"/>
        <v>0.91</v>
      </c>
      <c r="DZ137" s="55">
        <f t="shared" si="792"/>
        <v>0.89</v>
      </c>
      <c r="EA137" s="55">
        <f t="shared" si="792"/>
        <v>0.87</v>
      </c>
      <c r="EB137" s="55">
        <f t="shared" si="792"/>
        <v>0.85</v>
      </c>
      <c r="EC137" s="55">
        <f t="shared" si="792"/>
        <v>0.83</v>
      </c>
      <c r="ED137" s="55">
        <f t="shared" si="792"/>
        <v>0.80999999999999994</v>
      </c>
      <c r="EE137" s="55">
        <f t="shared" si="792"/>
        <v>0.78999999999999992</v>
      </c>
      <c r="EF137" s="55">
        <f t="shared" si="792"/>
        <v>0.76999999999999991</v>
      </c>
      <c r="EG137" s="55">
        <f t="shared" si="792"/>
        <v>0.74999999999999989</v>
      </c>
      <c r="EH137" s="55">
        <f t="shared" si="792"/>
        <v>0.72999999999999987</v>
      </c>
      <c r="EI137" s="55">
        <f t="shared" si="792"/>
        <v>0.70999999999999985</v>
      </c>
      <c r="EJ137" s="55">
        <f t="shared" si="792"/>
        <v>0.68999999999999984</v>
      </c>
      <c r="EK137" s="55">
        <f t="shared" si="792"/>
        <v>0.66999999999999982</v>
      </c>
      <c r="EL137" s="55">
        <f t="shared" si="792"/>
        <v>0.6499999999999998</v>
      </c>
      <c r="EM137" s="55">
        <f t="shared" si="792"/>
        <v>0.62999999999999978</v>
      </c>
      <c r="EN137" s="55">
        <f t="shared" si="792"/>
        <v>0.60999999999999976</v>
      </c>
      <c r="EO137" s="55">
        <f t="shared" si="792"/>
        <v>0.58999999999999975</v>
      </c>
      <c r="EP137" s="55">
        <f t="shared" si="792"/>
        <v>0.56999999999999973</v>
      </c>
      <c r="ER137" s="55">
        <f t="shared" si="648"/>
        <v>0</v>
      </c>
      <c r="ES137" s="55">
        <f t="shared" si="510"/>
        <v>0</v>
      </c>
      <c r="ET137" s="59">
        <f t="shared" si="885"/>
        <v>0</v>
      </c>
      <c r="EU137" s="55">
        <f t="shared" si="886"/>
        <v>0</v>
      </c>
      <c r="EV137" s="59">
        <f t="shared" si="887"/>
        <v>0</v>
      </c>
      <c r="EW137" s="55">
        <f t="shared" si="888"/>
        <v>0</v>
      </c>
      <c r="EX137" s="59">
        <f t="shared" si="889"/>
        <v>0</v>
      </c>
      <c r="EY137" s="55">
        <f t="shared" si="890"/>
        <v>0</v>
      </c>
      <c r="EZ137" s="59">
        <f t="shared" si="891"/>
        <v>0</v>
      </c>
      <c r="FA137" s="57">
        <f t="shared" si="892"/>
        <v>0</v>
      </c>
      <c r="FB137" s="59">
        <f t="shared" si="893"/>
        <v>0</v>
      </c>
      <c r="FC137" s="55">
        <f t="shared" si="894"/>
        <v>0</v>
      </c>
      <c r="FD137" s="59">
        <f t="shared" si="895"/>
        <v>0</v>
      </c>
      <c r="FE137" s="57">
        <f t="shared" si="896"/>
        <v>0</v>
      </c>
      <c r="FF137" s="59">
        <f t="shared" si="897"/>
        <v>0</v>
      </c>
      <c r="FG137" s="60">
        <f t="shared" si="898"/>
        <v>0</v>
      </c>
      <c r="FH137" s="59">
        <f t="shared" si="899"/>
        <v>0</v>
      </c>
      <c r="FI137" s="57">
        <f t="shared" si="900"/>
        <v>0</v>
      </c>
      <c r="FJ137" s="59">
        <f t="shared" si="901"/>
        <v>0</v>
      </c>
      <c r="FK137" s="55">
        <f t="shared" si="902"/>
        <v>0</v>
      </c>
      <c r="FL137" s="59">
        <f t="shared" si="903"/>
        <v>0</v>
      </c>
      <c r="FM137" s="60">
        <f t="shared" si="904"/>
        <v>0</v>
      </c>
      <c r="FN137" s="59">
        <f t="shared" si="905"/>
        <v>0</v>
      </c>
      <c r="FO137" s="60">
        <f t="shared" si="906"/>
        <v>0</v>
      </c>
      <c r="FP137" s="59">
        <f t="shared" si="907"/>
        <v>0</v>
      </c>
      <c r="FQ137" s="60">
        <f t="shared" si="908"/>
        <v>0</v>
      </c>
      <c r="FR137" s="59">
        <f t="shared" si="909"/>
        <v>0</v>
      </c>
      <c r="FS137" s="55">
        <f t="shared" si="910"/>
        <v>0</v>
      </c>
      <c r="FT137" s="59">
        <f t="shared" si="911"/>
        <v>0</v>
      </c>
      <c r="FU137" s="60">
        <f t="shared" si="912"/>
        <v>0</v>
      </c>
      <c r="FV137" s="59">
        <f t="shared" si="913"/>
        <v>0</v>
      </c>
      <c r="FW137" s="60">
        <f t="shared" si="914"/>
        <v>0</v>
      </c>
      <c r="FX137" s="59">
        <f t="shared" si="915"/>
        <v>0</v>
      </c>
      <c r="FY137" s="60">
        <f t="shared" si="916"/>
        <v>0</v>
      </c>
      <c r="FZ137" s="59">
        <f t="shared" si="917"/>
        <v>0</v>
      </c>
      <c r="GA137" s="60">
        <f t="shared" si="918"/>
        <v>0</v>
      </c>
      <c r="GB137" s="59">
        <f t="shared" si="919"/>
        <v>0</v>
      </c>
      <c r="GC137" s="55">
        <f t="shared" si="920"/>
        <v>0</v>
      </c>
      <c r="GD137" s="59">
        <f t="shared" si="921"/>
        <v>0</v>
      </c>
      <c r="GE137" s="60">
        <f t="shared" si="922"/>
        <v>0</v>
      </c>
      <c r="GF137" s="59">
        <f t="shared" si="923"/>
        <v>0</v>
      </c>
      <c r="GG137" s="60">
        <f t="shared" si="924"/>
        <v>0</v>
      </c>
      <c r="GH137" s="59">
        <f t="shared" si="925"/>
        <v>0</v>
      </c>
      <c r="GI137" s="55">
        <f t="shared" si="926"/>
        <v>0</v>
      </c>
      <c r="GJ137" s="59">
        <f t="shared" si="927"/>
        <v>0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93"/>
        <v>0.91</v>
      </c>
      <c r="GR137" s="55">
        <f t="shared" si="793"/>
        <v>0.89</v>
      </c>
      <c r="GS137" s="55">
        <f t="shared" si="793"/>
        <v>0.87</v>
      </c>
      <c r="GT137" s="55">
        <f t="shared" si="793"/>
        <v>0.85</v>
      </c>
      <c r="GU137" s="55">
        <f t="shared" si="793"/>
        <v>0.83</v>
      </c>
      <c r="GV137" s="55">
        <f t="shared" si="793"/>
        <v>0.80999999999999994</v>
      </c>
      <c r="GW137" s="55">
        <f t="shared" si="793"/>
        <v>0.78999999999999992</v>
      </c>
      <c r="GX137" s="55">
        <f t="shared" si="793"/>
        <v>0.76999999999999991</v>
      </c>
      <c r="GY137" s="55">
        <f t="shared" si="793"/>
        <v>0.74999999999999989</v>
      </c>
      <c r="GZ137" s="55">
        <f t="shared" si="793"/>
        <v>0.72999999999999987</v>
      </c>
      <c r="HA137" s="55">
        <f t="shared" si="793"/>
        <v>0.70999999999999985</v>
      </c>
      <c r="HB137" s="55">
        <f t="shared" si="793"/>
        <v>0.68999999999999984</v>
      </c>
      <c r="HC137" s="55">
        <f t="shared" si="793"/>
        <v>0.66999999999999982</v>
      </c>
      <c r="HD137" s="55">
        <f t="shared" si="793"/>
        <v>0.6499999999999998</v>
      </c>
      <c r="HE137" s="55">
        <f t="shared" si="793"/>
        <v>0.62999999999999978</v>
      </c>
      <c r="HF137" s="55">
        <f t="shared" si="793"/>
        <v>0.60999999999999976</v>
      </c>
      <c r="HG137" s="55">
        <f t="shared" si="793"/>
        <v>0.58999999999999975</v>
      </c>
      <c r="HH137" s="55">
        <f t="shared" si="793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1">
        <f t="shared" si="798"/>
        <v>0</v>
      </c>
      <c r="H138" s="55">
        <f t="shared" si="505"/>
        <v>0</v>
      </c>
      <c r="I138" s="55">
        <f t="shared" si="506"/>
        <v>0</v>
      </c>
      <c r="J138" s="59">
        <f t="shared" si="507"/>
        <v>0</v>
      </c>
      <c r="K138" s="55">
        <f t="shared" si="799"/>
        <v>0</v>
      </c>
      <c r="L138" s="59">
        <f t="shared" si="800"/>
        <v>0</v>
      </c>
      <c r="M138" s="55">
        <f t="shared" si="801"/>
        <v>0</v>
      </c>
      <c r="N138" s="59">
        <f t="shared" si="802"/>
        <v>0</v>
      </c>
      <c r="O138" s="55">
        <f t="shared" si="803"/>
        <v>0</v>
      </c>
      <c r="P138" s="59">
        <f t="shared" si="804"/>
        <v>0</v>
      </c>
      <c r="Q138" s="57">
        <f t="shared" si="805"/>
        <v>0</v>
      </c>
      <c r="R138" s="59">
        <f t="shared" si="806"/>
        <v>0</v>
      </c>
      <c r="S138" s="55">
        <f t="shared" si="807"/>
        <v>0</v>
      </c>
      <c r="T138" s="59">
        <f t="shared" si="808"/>
        <v>0</v>
      </c>
      <c r="U138" s="57">
        <f t="shared" si="809"/>
        <v>0</v>
      </c>
      <c r="V138" s="59">
        <f t="shared" si="810"/>
        <v>0</v>
      </c>
      <c r="W138" s="60">
        <f t="shared" si="811"/>
        <v>0</v>
      </c>
      <c r="X138" s="59">
        <f t="shared" si="812"/>
        <v>0</v>
      </c>
      <c r="Y138" s="57">
        <f t="shared" si="813"/>
        <v>0</v>
      </c>
      <c r="Z138" s="59">
        <f t="shared" si="814"/>
        <v>0</v>
      </c>
      <c r="AA138" s="55">
        <f t="shared" si="815"/>
        <v>0</v>
      </c>
      <c r="AB138" s="59">
        <f t="shared" si="816"/>
        <v>0</v>
      </c>
      <c r="AC138" s="60">
        <f t="shared" si="817"/>
        <v>0</v>
      </c>
      <c r="AD138" s="59">
        <f t="shared" si="818"/>
        <v>0</v>
      </c>
      <c r="AE138" s="60">
        <f t="shared" si="819"/>
        <v>0</v>
      </c>
      <c r="AF138" s="59">
        <f t="shared" si="820"/>
        <v>0</v>
      </c>
      <c r="AG138" s="60">
        <f t="shared" si="821"/>
        <v>0</v>
      </c>
      <c r="AH138" s="59">
        <f t="shared" si="822"/>
        <v>0</v>
      </c>
      <c r="AI138" s="55">
        <f t="shared" si="823"/>
        <v>0</v>
      </c>
      <c r="AJ138" s="59">
        <f t="shared" si="824"/>
        <v>0</v>
      </c>
      <c r="AK138" s="60">
        <f t="shared" si="825"/>
        <v>0</v>
      </c>
      <c r="AL138" s="59">
        <f t="shared" si="826"/>
        <v>0</v>
      </c>
      <c r="AM138" s="60">
        <f t="shared" si="827"/>
        <v>0</v>
      </c>
      <c r="AN138" s="59">
        <f t="shared" si="828"/>
        <v>0</v>
      </c>
      <c r="AO138" s="60">
        <f t="shared" si="829"/>
        <v>0</v>
      </c>
      <c r="AP138" s="59">
        <f t="shared" si="830"/>
        <v>0</v>
      </c>
      <c r="AQ138" s="60">
        <f t="shared" si="831"/>
        <v>0</v>
      </c>
      <c r="AR138" s="59">
        <f t="shared" si="832"/>
        <v>0</v>
      </c>
      <c r="AS138" s="55">
        <f t="shared" si="833"/>
        <v>0</v>
      </c>
      <c r="AT138" s="59">
        <f t="shared" si="834"/>
        <v>0</v>
      </c>
      <c r="AU138" s="60">
        <f t="shared" si="835"/>
        <v>0</v>
      </c>
      <c r="AV138" s="59">
        <f t="shared" si="836"/>
        <v>0</v>
      </c>
      <c r="AW138" s="60">
        <f t="shared" si="837"/>
        <v>0</v>
      </c>
      <c r="AX138" s="59">
        <f t="shared" si="838"/>
        <v>0</v>
      </c>
      <c r="AY138" s="55">
        <f t="shared" si="839"/>
        <v>0</v>
      </c>
      <c r="AZ138" s="59">
        <f t="shared" si="840"/>
        <v>0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41"/>
        <v>0.91</v>
      </c>
      <c r="BH138" s="55">
        <f t="shared" si="841"/>
        <v>0.89</v>
      </c>
      <c r="BI138" s="55">
        <f t="shared" si="841"/>
        <v>0.87</v>
      </c>
      <c r="BJ138" s="55">
        <f t="shared" si="841"/>
        <v>0.85</v>
      </c>
      <c r="BK138" s="55">
        <f t="shared" si="841"/>
        <v>0.83</v>
      </c>
      <c r="BL138" s="55">
        <f t="shared" si="841"/>
        <v>0.80999999999999994</v>
      </c>
      <c r="BM138" s="55">
        <f t="shared" si="841"/>
        <v>0.78999999999999992</v>
      </c>
      <c r="BN138" s="55">
        <f t="shared" si="841"/>
        <v>0.76999999999999991</v>
      </c>
      <c r="BO138" s="55">
        <f t="shared" si="841"/>
        <v>0.74999999999999989</v>
      </c>
      <c r="BP138" s="55">
        <f t="shared" si="841"/>
        <v>0.72999999999999987</v>
      </c>
      <c r="BQ138" s="55">
        <f t="shared" si="841"/>
        <v>0.70999999999999985</v>
      </c>
      <c r="BR138" s="55">
        <f t="shared" si="841"/>
        <v>0.68999999999999984</v>
      </c>
      <c r="BS138" s="55">
        <f t="shared" si="841"/>
        <v>0.66999999999999982</v>
      </c>
      <c r="BT138" s="55">
        <f t="shared" si="841"/>
        <v>0.6499999999999998</v>
      </c>
      <c r="BU138" s="55">
        <f t="shared" si="841"/>
        <v>0.62999999999999978</v>
      </c>
      <c r="BV138" s="55">
        <f t="shared" si="841"/>
        <v>0.60999999999999976</v>
      </c>
      <c r="BW138" s="55">
        <f t="shared" si="841"/>
        <v>0.58999999999999975</v>
      </c>
      <c r="BX138" s="55">
        <f t="shared" si="841"/>
        <v>0.56999999999999973</v>
      </c>
      <c r="BZ138" s="55">
        <f t="shared" si="508"/>
        <v>0</v>
      </c>
      <c r="CA138" s="55">
        <f t="shared" si="509"/>
        <v>0</v>
      </c>
      <c r="CB138" s="59">
        <f t="shared" si="842"/>
        <v>0</v>
      </c>
      <c r="CC138" s="55">
        <f t="shared" si="843"/>
        <v>0</v>
      </c>
      <c r="CD138" s="59">
        <f t="shared" si="844"/>
        <v>0</v>
      </c>
      <c r="CE138" s="55">
        <f t="shared" si="845"/>
        <v>0</v>
      </c>
      <c r="CF138" s="59">
        <f t="shared" si="846"/>
        <v>0</v>
      </c>
      <c r="CG138" s="55">
        <f t="shared" si="847"/>
        <v>0</v>
      </c>
      <c r="CH138" s="59">
        <f t="shared" si="848"/>
        <v>0</v>
      </c>
      <c r="CI138" s="57">
        <f t="shared" si="849"/>
        <v>0</v>
      </c>
      <c r="CJ138" s="59">
        <f t="shared" si="850"/>
        <v>0</v>
      </c>
      <c r="CK138" s="55">
        <f t="shared" si="851"/>
        <v>0</v>
      </c>
      <c r="CL138" s="59">
        <f t="shared" si="852"/>
        <v>0</v>
      </c>
      <c r="CM138" s="57">
        <f t="shared" si="853"/>
        <v>0</v>
      </c>
      <c r="CN138" s="59">
        <f t="shared" si="854"/>
        <v>0</v>
      </c>
      <c r="CO138" s="60">
        <f t="shared" si="855"/>
        <v>0</v>
      </c>
      <c r="CP138" s="59">
        <f t="shared" si="856"/>
        <v>0</v>
      </c>
      <c r="CQ138" s="57">
        <f t="shared" si="857"/>
        <v>0</v>
      </c>
      <c r="CR138" s="59">
        <f t="shared" si="858"/>
        <v>0</v>
      </c>
      <c r="CS138" s="55">
        <f t="shared" si="859"/>
        <v>0</v>
      </c>
      <c r="CT138" s="59">
        <f t="shared" si="860"/>
        <v>0</v>
      </c>
      <c r="CU138" s="60">
        <f t="shared" si="861"/>
        <v>0</v>
      </c>
      <c r="CV138" s="59">
        <f t="shared" si="862"/>
        <v>0</v>
      </c>
      <c r="CW138" s="60">
        <f t="shared" si="863"/>
        <v>0</v>
      </c>
      <c r="CX138" s="59">
        <f t="shared" si="864"/>
        <v>0</v>
      </c>
      <c r="CY138" s="60">
        <f t="shared" si="865"/>
        <v>0</v>
      </c>
      <c r="CZ138" s="59">
        <f t="shared" si="866"/>
        <v>0</v>
      </c>
      <c r="DA138" s="55">
        <f t="shared" si="867"/>
        <v>0</v>
      </c>
      <c r="DB138" s="59">
        <f t="shared" si="868"/>
        <v>0</v>
      </c>
      <c r="DC138" s="60">
        <f t="shared" si="869"/>
        <v>0</v>
      </c>
      <c r="DD138" s="59">
        <f t="shared" si="870"/>
        <v>0</v>
      </c>
      <c r="DE138" s="60">
        <f t="shared" si="871"/>
        <v>0</v>
      </c>
      <c r="DF138" s="59">
        <f t="shared" si="872"/>
        <v>0</v>
      </c>
      <c r="DG138" s="60">
        <f t="shared" si="873"/>
        <v>0</v>
      </c>
      <c r="DH138" s="59">
        <f t="shared" si="874"/>
        <v>0</v>
      </c>
      <c r="DI138" s="60">
        <f t="shared" si="875"/>
        <v>0</v>
      </c>
      <c r="DJ138" s="59">
        <f t="shared" si="876"/>
        <v>0</v>
      </c>
      <c r="DK138" s="55">
        <f t="shared" si="877"/>
        <v>0</v>
      </c>
      <c r="DL138" s="59">
        <f t="shared" si="878"/>
        <v>0</v>
      </c>
      <c r="DM138" s="60">
        <f t="shared" si="879"/>
        <v>0</v>
      </c>
      <c r="DN138" s="59">
        <f t="shared" si="880"/>
        <v>0</v>
      </c>
      <c r="DO138" s="60">
        <f t="shared" si="881"/>
        <v>0</v>
      </c>
      <c r="DP138" s="59">
        <f t="shared" si="882"/>
        <v>0</v>
      </c>
      <c r="DQ138" s="55">
        <f t="shared" si="883"/>
        <v>0</v>
      </c>
      <c r="DR138" s="59">
        <f t="shared" si="884"/>
        <v>0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92"/>
        <v>0.91</v>
      </c>
      <c r="DZ138" s="55">
        <f t="shared" si="792"/>
        <v>0.89</v>
      </c>
      <c r="EA138" s="55">
        <f t="shared" si="792"/>
        <v>0.87</v>
      </c>
      <c r="EB138" s="55">
        <f t="shared" ref="EB138:EP138" si="928">+EA138-0.02</f>
        <v>0.85</v>
      </c>
      <c r="EC138" s="55">
        <f t="shared" si="928"/>
        <v>0.83</v>
      </c>
      <c r="ED138" s="55">
        <f t="shared" si="928"/>
        <v>0.80999999999999994</v>
      </c>
      <c r="EE138" s="55">
        <f t="shared" si="928"/>
        <v>0.78999999999999992</v>
      </c>
      <c r="EF138" s="55">
        <f t="shared" si="928"/>
        <v>0.76999999999999991</v>
      </c>
      <c r="EG138" s="55">
        <f t="shared" si="928"/>
        <v>0.74999999999999989</v>
      </c>
      <c r="EH138" s="55">
        <f t="shared" si="928"/>
        <v>0.72999999999999987</v>
      </c>
      <c r="EI138" s="55">
        <f t="shared" si="928"/>
        <v>0.70999999999999985</v>
      </c>
      <c r="EJ138" s="55">
        <f t="shared" si="928"/>
        <v>0.68999999999999984</v>
      </c>
      <c r="EK138" s="55">
        <f t="shared" si="928"/>
        <v>0.66999999999999982</v>
      </c>
      <c r="EL138" s="55">
        <f t="shared" si="928"/>
        <v>0.6499999999999998</v>
      </c>
      <c r="EM138" s="55">
        <f t="shared" si="928"/>
        <v>0.62999999999999978</v>
      </c>
      <c r="EN138" s="55">
        <f t="shared" si="928"/>
        <v>0.60999999999999976</v>
      </c>
      <c r="EO138" s="55">
        <f t="shared" si="928"/>
        <v>0.58999999999999975</v>
      </c>
      <c r="EP138" s="55">
        <f t="shared" si="928"/>
        <v>0.56999999999999973</v>
      </c>
      <c r="ER138" s="55">
        <f t="shared" si="648"/>
        <v>0</v>
      </c>
      <c r="ES138" s="55">
        <f t="shared" si="510"/>
        <v>0</v>
      </c>
      <c r="ET138" s="59">
        <f t="shared" si="885"/>
        <v>0</v>
      </c>
      <c r="EU138" s="55">
        <f t="shared" si="886"/>
        <v>0</v>
      </c>
      <c r="EV138" s="59">
        <f t="shared" si="887"/>
        <v>0</v>
      </c>
      <c r="EW138" s="55">
        <f t="shared" si="888"/>
        <v>0</v>
      </c>
      <c r="EX138" s="59">
        <f t="shared" si="889"/>
        <v>0</v>
      </c>
      <c r="EY138" s="55">
        <f t="shared" si="890"/>
        <v>0</v>
      </c>
      <c r="EZ138" s="59">
        <f t="shared" si="891"/>
        <v>0</v>
      </c>
      <c r="FA138" s="57">
        <f t="shared" si="892"/>
        <v>0</v>
      </c>
      <c r="FB138" s="59">
        <f t="shared" si="893"/>
        <v>0</v>
      </c>
      <c r="FC138" s="55">
        <f t="shared" si="894"/>
        <v>0</v>
      </c>
      <c r="FD138" s="59">
        <f t="shared" si="895"/>
        <v>0</v>
      </c>
      <c r="FE138" s="57">
        <f t="shared" si="896"/>
        <v>0</v>
      </c>
      <c r="FF138" s="59">
        <f t="shared" si="897"/>
        <v>0</v>
      </c>
      <c r="FG138" s="60">
        <f t="shared" si="898"/>
        <v>0</v>
      </c>
      <c r="FH138" s="59">
        <f t="shared" si="899"/>
        <v>0</v>
      </c>
      <c r="FI138" s="57">
        <f t="shared" si="900"/>
        <v>0</v>
      </c>
      <c r="FJ138" s="59">
        <f t="shared" si="901"/>
        <v>0</v>
      </c>
      <c r="FK138" s="55">
        <f t="shared" si="902"/>
        <v>0</v>
      </c>
      <c r="FL138" s="59">
        <f t="shared" si="903"/>
        <v>0</v>
      </c>
      <c r="FM138" s="60">
        <f t="shared" si="904"/>
        <v>0</v>
      </c>
      <c r="FN138" s="59">
        <f t="shared" si="905"/>
        <v>0</v>
      </c>
      <c r="FO138" s="60">
        <f t="shared" si="906"/>
        <v>0</v>
      </c>
      <c r="FP138" s="59">
        <f t="shared" si="907"/>
        <v>0</v>
      </c>
      <c r="FQ138" s="60">
        <f t="shared" si="908"/>
        <v>0</v>
      </c>
      <c r="FR138" s="59">
        <f t="shared" si="909"/>
        <v>0</v>
      </c>
      <c r="FS138" s="55">
        <f t="shared" si="910"/>
        <v>0</v>
      </c>
      <c r="FT138" s="59">
        <f t="shared" si="911"/>
        <v>0</v>
      </c>
      <c r="FU138" s="60">
        <f t="shared" si="912"/>
        <v>0</v>
      </c>
      <c r="FV138" s="59">
        <f t="shared" si="913"/>
        <v>0</v>
      </c>
      <c r="FW138" s="60">
        <f t="shared" si="914"/>
        <v>0</v>
      </c>
      <c r="FX138" s="59">
        <f t="shared" si="915"/>
        <v>0</v>
      </c>
      <c r="FY138" s="60">
        <f t="shared" si="916"/>
        <v>0</v>
      </c>
      <c r="FZ138" s="59">
        <f t="shared" si="917"/>
        <v>0</v>
      </c>
      <c r="GA138" s="60">
        <f t="shared" si="918"/>
        <v>0</v>
      </c>
      <c r="GB138" s="59">
        <f t="shared" si="919"/>
        <v>0</v>
      </c>
      <c r="GC138" s="55">
        <f t="shared" si="920"/>
        <v>0</v>
      </c>
      <c r="GD138" s="59">
        <f t="shared" si="921"/>
        <v>0</v>
      </c>
      <c r="GE138" s="60">
        <f t="shared" si="922"/>
        <v>0</v>
      </c>
      <c r="GF138" s="59">
        <f t="shared" si="923"/>
        <v>0</v>
      </c>
      <c r="GG138" s="60">
        <f t="shared" si="924"/>
        <v>0</v>
      </c>
      <c r="GH138" s="59">
        <f t="shared" si="925"/>
        <v>0</v>
      </c>
      <c r="GI138" s="55">
        <f t="shared" si="926"/>
        <v>0</v>
      </c>
      <c r="GJ138" s="59">
        <f t="shared" si="927"/>
        <v>0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93"/>
        <v>0.91</v>
      </c>
      <c r="GR138" s="55">
        <f t="shared" si="793"/>
        <v>0.89</v>
      </c>
      <c r="GS138" s="55">
        <f t="shared" si="793"/>
        <v>0.87</v>
      </c>
      <c r="GT138" s="55">
        <f t="shared" ref="GT138:HH138" si="929">+GS138-0.02</f>
        <v>0.85</v>
      </c>
      <c r="GU138" s="55">
        <f t="shared" si="929"/>
        <v>0.83</v>
      </c>
      <c r="GV138" s="55">
        <f t="shared" si="929"/>
        <v>0.80999999999999994</v>
      </c>
      <c r="GW138" s="55">
        <f t="shared" si="929"/>
        <v>0.78999999999999992</v>
      </c>
      <c r="GX138" s="55">
        <f t="shared" si="929"/>
        <v>0.76999999999999991</v>
      </c>
      <c r="GY138" s="55">
        <f t="shared" si="929"/>
        <v>0.74999999999999989</v>
      </c>
      <c r="GZ138" s="55">
        <f t="shared" si="929"/>
        <v>0.72999999999999987</v>
      </c>
      <c r="HA138" s="55">
        <f t="shared" si="929"/>
        <v>0.70999999999999985</v>
      </c>
      <c r="HB138" s="55">
        <f t="shared" si="929"/>
        <v>0.68999999999999984</v>
      </c>
      <c r="HC138" s="55">
        <f t="shared" si="929"/>
        <v>0.66999999999999982</v>
      </c>
      <c r="HD138" s="55">
        <f t="shared" si="929"/>
        <v>0.6499999999999998</v>
      </c>
      <c r="HE138" s="55">
        <f t="shared" si="929"/>
        <v>0.62999999999999978</v>
      </c>
      <c r="HF138" s="55">
        <f t="shared" si="929"/>
        <v>0.60999999999999976</v>
      </c>
      <c r="HG138" s="55">
        <f t="shared" si="929"/>
        <v>0.58999999999999975</v>
      </c>
      <c r="HH138" s="55">
        <f t="shared" si="929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72">
        <f t="shared" si="798"/>
        <v>0</v>
      </c>
      <c r="H139" s="55">
        <f t="shared" si="505"/>
        <v>0</v>
      </c>
      <c r="I139" s="55">
        <f t="shared" si="506"/>
        <v>0</v>
      </c>
      <c r="J139" s="59">
        <f t="shared" si="507"/>
        <v>0</v>
      </c>
      <c r="K139" s="55">
        <f t="shared" si="799"/>
        <v>0</v>
      </c>
      <c r="L139" s="59">
        <f t="shared" si="800"/>
        <v>0</v>
      </c>
      <c r="M139" s="55">
        <f t="shared" si="801"/>
        <v>0</v>
      </c>
      <c r="N139" s="59">
        <f t="shared" si="802"/>
        <v>0</v>
      </c>
      <c r="O139" s="55">
        <f t="shared" si="803"/>
        <v>0</v>
      </c>
      <c r="P139" s="59">
        <f t="shared" si="804"/>
        <v>0</v>
      </c>
      <c r="Q139" s="57">
        <f t="shared" si="805"/>
        <v>0</v>
      </c>
      <c r="R139" s="59">
        <f t="shared" si="806"/>
        <v>0</v>
      </c>
      <c r="S139" s="55">
        <f t="shared" si="807"/>
        <v>0</v>
      </c>
      <c r="T139" s="59">
        <f t="shared" si="808"/>
        <v>0</v>
      </c>
      <c r="U139" s="57">
        <f t="shared" si="809"/>
        <v>0</v>
      </c>
      <c r="V139" s="59">
        <f t="shared" si="810"/>
        <v>0</v>
      </c>
      <c r="W139" s="60">
        <f t="shared" si="811"/>
        <v>0</v>
      </c>
      <c r="X139" s="59">
        <f t="shared" si="812"/>
        <v>0</v>
      </c>
      <c r="Y139" s="57">
        <f t="shared" si="813"/>
        <v>0</v>
      </c>
      <c r="Z139" s="59">
        <f t="shared" si="814"/>
        <v>0</v>
      </c>
      <c r="AA139" s="55">
        <f t="shared" si="815"/>
        <v>0</v>
      </c>
      <c r="AB139" s="59">
        <f t="shared" si="816"/>
        <v>0</v>
      </c>
      <c r="AC139" s="60">
        <f t="shared" si="817"/>
        <v>0</v>
      </c>
      <c r="AD139" s="59">
        <f t="shared" si="818"/>
        <v>0</v>
      </c>
      <c r="AE139" s="60">
        <f t="shared" si="819"/>
        <v>0</v>
      </c>
      <c r="AF139" s="59">
        <f t="shared" si="820"/>
        <v>0</v>
      </c>
      <c r="AG139" s="60">
        <f t="shared" si="821"/>
        <v>0</v>
      </c>
      <c r="AH139" s="59">
        <f t="shared" si="822"/>
        <v>0</v>
      </c>
      <c r="AI139" s="55">
        <f t="shared" si="823"/>
        <v>0</v>
      </c>
      <c r="AJ139" s="59">
        <f t="shared" si="824"/>
        <v>0</v>
      </c>
      <c r="AK139" s="60">
        <f t="shared" si="825"/>
        <v>0</v>
      </c>
      <c r="AL139" s="59">
        <f t="shared" si="826"/>
        <v>0</v>
      </c>
      <c r="AM139" s="60">
        <f t="shared" si="827"/>
        <v>0</v>
      </c>
      <c r="AN139" s="59">
        <f t="shared" si="828"/>
        <v>0</v>
      </c>
      <c r="AO139" s="60">
        <f t="shared" si="829"/>
        <v>0</v>
      </c>
      <c r="AP139" s="59">
        <f t="shared" si="830"/>
        <v>0</v>
      </c>
      <c r="AQ139" s="60">
        <f t="shared" si="831"/>
        <v>0</v>
      </c>
      <c r="AR139" s="59">
        <f t="shared" si="832"/>
        <v>0</v>
      </c>
      <c r="AS139" s="55">
        <f t="shared" si="833"/>
        <v>0</v>
      </c>
      <c r="AT139" s="59">
        <f t="shared" si="834"/>
        <v>0</v>
      </c>
      <c r="AU139" s="60">
        <f t="shared" si="835"/>
        <v>0</v>
      </c>
      <c r="AV139" s="59">
        <f t="shared" si="836"/>
        <v>0</v>
      </c>
      <c r="AW139" s="60">
        <f t="shared" si="837"/>
        <v>0</v>
      </c>
      <c r="AX139" s="59">
        <f t="shared" si="838"/>
        <v>0</v>
      </c>
      <c r="AY139" s="55">
        <f t="shared" si="839"/>
        <v>0</v>
      </c>
      <c r="AZ139" s="59">
        <f t="shared" si="84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41"/>
        <v>0.91</v>
      </c>
      <c r="BH139" s="55">
        <f t="shared" si="841"/>
        <v>0.89</v>
      </c>
      <c r="BI139" s="55">
        <f t="shared" si="841"/>
        <v>0.87</v>
      </c>
      <c r="BJ139" s="55">
        <f t="shared" si="841"/>
        <v>0.85</v>
      </c>
      <c r="BK139" s="55">
        <f t="shared" si="841"/>
        <v>0.83</v>
      </c>
      <c r="BL139" s="55">
        <f t="shared" si="841"/>
        <v>0.80999999999999994</v>
      </c>
      <c r="BM139" s="55">
        <f t="shared" si="841"/>
        <v>0.78999999999999992</v>
      </c>
      <c r="BN139" s="55">
        <f t="shared" si="841"/>
        <v>0.76999999999999991</v>
      </c>
      <c r="BO139" s="55">
        <f t="shared" si="841"/>
        <v>0.74999999999999989</v>
      </c>
      <c r="BP139" s="55">
        <f t="shared" si="841"/>
        <v>0.72999999999999987</v>
      </c>
      <c r="BQ139" s="55">
        <f t="shared" si="841"/>
        <v>0.70999999999999985</v>
      </c>
      <c r="BR139" s="55">
        <f t="shared" si="841"/>
        <v>0.68999999999999984</v>
      </c>
      <c r="BS139" s="55">
        <f t="shared" si="841"/>
        <v>0.66999999999999982</v>
      </c>
      <c r="BT139" s="55">
        <f t="shared" si="841"/>
        <v>0.6499999999999998</v>
      </c>
      <c r="BU139" s="55">
        <f t="shared" si="841"/>
        <v>0.62999999999999978</v>
      </c>
      <c r="BV139" s="55">
        <f t="shared" si="841"/>
        <v>0.60999999999999976</v>
      </c>
      <c r="BW139" s="55">
        <f t="shared" si="841"/>
        <v>0.58999999999999975</v>
      </c>
      <c r="BX139" s="55">
        <f t="shared" si="841"/>
        <v>0.56999999999999973</v>
      </c>
      <c r="BZ139" s="55">
        <f t="shared" si="508"/>
        <v>0</v>
      </c>
      <c r="CA139" s="55">
        <f t="shared" si="509"/>
        <v>0</v>
      </c>
      <c r="CB139" s="59">
        <f t="shared" si="842"/>
        <v>0</v>
      </c>
      <c r="CC139" s="55">
        <f t="shared" si="843"/>
        <v>0</v>
      </c>
      <c r="CD139" s="59">
        <f t="shared" si="844"/>
        <v>0</v>
      </c>
      <c r="CE139" s="55">
        <f t="shared" si="845"/>
        <v>0</v>
      </c>
      <c r="CF139" s="59">
        <f t="shared" si="846"/>
        <v>0</v>
      </c>
      <c r="CG139" s="55">
        <f t="shared" si="847"/>
        <v>0</v>
      </c>
      <c r="CH139" s="59">
        <f t="shared" si="848"/>
        <v>0</v>
      </c>
      <c r="CI139" s="57">
        <f t="shared" si="849"/>
        <v>0</v>
      </c>
      <c r="CJ139" s="59">
        <f t="shared" si="850"/>
        <v>0</v>
      </c>
      <c r="CK139" s="55">
        <f t="shared" si="851"/>
        <v>0</v>
      </c>
      <c r="CL139" s="59">
        <f t="shared" si="852"/>
        <v>0</v>
      </c>
      <c r="CM139" s="57">
        <f t="shared" si="853"/>
        <v>0</v>
      </c>
      <c r="CN139" s="59">
        <f t="shared" si="854"/>
        <v>0</v>
      </c>
      <c r="CO139" s="60">
        <f t="shared" si="855"/>
        <v>0</v>
      </c>
      <c r="CP139" s="59">
        <f t="shared" si="856"/>
        <v>0</v>
      </c>
      <c r="CQ139" s="57">
        <f t="shared" si="857"/>
        <v>0</v>
      </c>
      <c r="CR139" s="59">
        <f t="shared" si="858"/>
        <v>0</v>
      </c>
      <c r="CS139" s="55">
        <f t="shared" si="859"/>
        <v>0</v>
      </c>
      <c r="CT139" s="59">
        <f t="shared" si="860"/>
        <v>0</v>
      </c>
      <c r="CU139" s="60">
        <f t="shared" si="861"/>
        <v>0</v>
      </c>
      <c r="CV139" s="59">
        <f t="shared" si="862"/>
        <v>0</v>
      </c>
      <c r="CW139" s="60">
        <f t="shared" si="863"/>
        <v>0</v>
      </c>
      <c r="CX139" s="59">
        <f t="shared" si="864"/>
        <v>0</v>
      </c>
      <c r="CY139" s="60">
        <f t="shared" si="865"/>
        <v>0</v>
      </c>
      <c r="CZ139" s="59">
        <f t="shared" si="866"/>
        <v>0</v>
      </c>
      <c r="DA139" s="55">
        <f t="shared" si="867"/>
        <v>0</v>
      </c>
      <c r="DB139" s="59">
        <f t="shared" si="868"/>
        <v>0</v>
      </c>
      <c r="DC139" s="60">
        <f t="shared" si="869"/>
        <v>0</v>
      </c>
      <c r="DD139" s="59">
        <f t="shared" si="870"/>
        <v>0</v>
      </c>
      <c r="DE139" s="60">
        <f t="shared" si="871"/>
        <v>0</v>
      </c>
      <c r="DF139" s="59">
        <f t="shared" si="872"/>
        <v>0</v>
      </c>
      <c r="DG139" s="60">
        <f t="shared" si="873"/>
        <v>0</v>
      </c>
      <c r="DH139" s="59">
        <f t="shared" si="874"/>
        <v>0</v>
      </c>
      <c r="DI139" s="60">
        <f t="shared" si="875"/>
        <v>0</v>
      </c>
      <c r="DJ139" s="59">
        <f t="shared" si="876"/>
        <v>0</v>
      </c>
      <c r="DK139" s="55">
        <f t="shared" si="877"/>
        <v>0</v>
      </c>
      <c r="DL139" s="59">
        <f t="shared" si="878"/>
        <v>0</v>
      </c>
      <c r="DM139" s="60">
        <f t="shared" si="879"/>
        <v>0</v>
      </c>
      <c r="DN139" s="59">
        <f t="shared" si="880"/>
        <v>0</v>
      </c>
      <c r="DO139" s="60">
        <f t="shared" si="881"/>
        <v>0</v>
      </c>
      <c r="DP139" s="59">
        <f t="shared" si="882"/>
        <v>0</v>
      </c>
      <c r="DQ139" s="55">
        <f t="shared" si="883"/>
        <v>0</v>
      </c>
      <c r="DR139" s="59">
        <f t="shared" si="88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30">+DX139-0.02</f>
        <v>0.91</v>
      </c>
      <c r="DZ139" s="55">
        <f t="shared" si="930"/>
        <v>0.89</v>
      </c>
      <c r="EA139" s="55">
        <f t="shared" si="930"/>
        <v>0.87</v>
      </c>
      <c r="EB139" s="55">
        <f t="shared" si="930"/>
        <v>0.85</v>
      </c>
      <c r="EC139" s="55">
        <f t="shared" si="930"/>
        <v>0.83</v>
      </c>
      <c r="ED139" s="55">
        <f t="shared" si="930"/>
        <v>0.80999999999999994</v>
      </c>
      <c r="EE139" s="55">
        <f t="shared" si="930"/>
        <v>0.78999999999999992</v>
      </c>
      <c r="EF139" s="55">
        <f t="shared" si="930"/>
        <v>0.76999999999999991</v>
      </c>
      <c r="EG139" s="55">
        <f t="shared" si="930"/>
        <v>0.74999999999999989</v>
      </c>
      <c r="EH139" s="55">
        <f t="shared" si="930"/>
        <v>0.72999999999999987</v>
      </c>
      <c r="EI139" s="55">
        <f t="shared" si="930"/>
        <v>0.70999999999999985</v>
      </c>
      <c r="EJ139" s="55">
        <f t="shared" si="930"/>
        <v>0.68999999999999984</v>
      </c>
      <c r="EK139" s="55">
        <f t="shared" si="930"/>
        <v>0.66999999999999982</v>
      </c>
      <c r="EL139" s="55">
        <f t="shared" si="930"/>
        <v>0.6499999999999998</v>
      </c>
      <c r="EM139" s="55">
        <f t="shared" si="930"/>
        <v>0.62999999999999978</v>
      </c>
      <c r="EN139" s="55">
        <f t="shared" si="930"/>
        <v>0.60999999999999976</v>
      </c>
      <c r="EO139" s="55">
        <f t="shared" si="930"/>
        <v>0.58999999999999975</v>
      </c>
      <c r="EP139" s="55">
        <f t="shared" si="930"/>
        <v>0.56999999999999973</v>
      </c>
      <c r="ER139" s="55">
        <f t="shared" si="648"/>
        <v>0</v>
      </c>
      <c r="ES139" s="55">
        <f t="shared" si="510"/>
        <v>0</v>
      </c>
      <c r="ET139" s="59">
        <f t="shared" si="885"/>
        <v>0</v>
      </c>
      <c r="EU139" s="55">
        <f t="shared" si="886"/>
        <v>0</v>
      </c>
      <c r="EV139" s="59">
        <f t="shared" si="887"/>
        <v>0</v>
      </c>
      <c r="EW139" s="55">
        <f t="shared" si="888"/>
        <v>0</v>
      </c>
      <c r="EX139" s="59">
        <f t="shared" si="889"/>
        <v>0</v>
      </c>
      <c r="EY139" s="55">
        <f t="shared" si="890"/>
        <v>0</v>
      </c>
      <c r="EZ139" s="59">
        <f t="shared" si="891"/>
        <v>0</v>
      </c>
      <c r="FA139" s="57">
        <f t="shared" si="892"/>
        <v>0</v>
      </c>
      <c r="FB139" s="59">
        <f t="shared" si="893"/>
        <v>0</v>
      </c>
      <c r="FC139" s="55">
        <f t="shared" si="894"/>
        <v>0</v>
      </c>
      <c r="FD139" s="59">
        <f t="shared" si="895"/>
        <v>0</v>
      </c>
      <c r="FE139" s="57">
        <f t="shared" si="896"/>
        <v>0</v>
      </c>
      <c r="FF139" s="59">
        <f t="shared" si="897"/>
        <v>0</v>
      </c>
      <c r="FG139" s="60">
        <f t="shared" si="898"/>
        <v>0</v>
      </c>
      <c r="FH139" s="59">
        <f t="shared" si="899"/>
        <v>0</v>
      </c>
      <c r="FI139" s="57">
        <f t="shared" si="900"/>
        <v>0</v>
      </c>
      <c r="FJ139" s="59">
        <f t="shared" si="901"/>
        <v>0</v>
      </c>
      <c r="FK139" s="55">
        <f t="shared" si="902"/>
        <v>0</v>
      </c>
      <c r="FL139" s="59">
        <f t="shared" si="903"/>
        <v>0</v>
      </c>
      <c r="FM139" s="60">
        <f t="shared" si="904"/>
        <v>0</v>
      </c>
      <c r="FN139" s="59">
        <f t="shared" si="905"/>
        <v>0</v>
      </c>
      <c r="FO139" s="60">
        <f t="shared" si="906"/>
        <v>0</v>
      </c>
      <c r="FP139" s="59">
        <f t="shared" si="907"/>
        <v>0</v>
      </c>
      <c r="FQ139" s="60">
        <f t="shared" si="908"/>
        <v>0</v>
      </c>
      <c r="FR139" s="59">
        <f t="shared" si="909"/>
        <v>0</v>
      </c>
      <c r="FS139" s="55">
        <f t="shared" si="910"/>
        <v>0</v>
      </c>
      <c r="FT139" s="59">
        <f t="shared" si="911"/>
        <v>0</v>
      </c>
      <c r="FU139" s="60">
        <f t="shared" si="912"/>
        <v>0</v>
      </c>
      <c r="FV139" s="59">
        <f t="shared" si="913"/>
        <v>0</v>
      </c>
      <c r="FW139" s="60">
        <f t="shared" si="914"/>
        <v>0</v>
      </c>
      <c r="FX139" s="59">
        <f t="shared" si="915"/>
        <v>0</v>
      </c>
      <c r="FY139" s="60">
        <f t="shared" si="916"/>
        <v>0</v>
      </c>
      <c r="FZ139" s="59">
        <f t="shared" si="917"/>
        <v>0</v>
      </c>
      <c r="GA139" s="60">
        <f t="shared" si="918"/>
        <v>0</v>
      </c>
      <c r="GB139" s="59">
        <f t="shared" si="919"/>
        <v>0</v>
      </c>
      <c r="GC139" s="55">
        <f t="shared" si="920"/>
        <v>0</v>
      </c>
      <c r="GD139" s="59">
        <f t="shared" si="921"/>
        <v>0</v>
      </c>
      <c r="GE139" s="60">
        <f t="shared" si="922"/>
        <v>0</v>
      </c>
      <c r="GF139" s="59">
        <f t="shared" si="923"/>
        <v>0</v>
      </c>
      <c r="GG139" s="60">
        <f t="shared" si="924"/>
        <v>0</v>
      </c>
      <c r="GH139" s="59">
        <f t="shared" si="925"/>
        <v>0</v>
      </c>
      <c r="GI139" s="55">
        <f t="shared" si="926"/>
        <v>0</v>
      </c>
      <c r="GJ139" s="59">
        <f t="shared" si="92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31">+GP139-0.02</f>
        <v>0.91</v>
      </c>
      <c r="GR139" s="55">
        <f t="shared" si="931"/>
        <v>0.89</v>
      </c>
      <c r="GS139" s="55">
        <f t="shared" si="931"/>
        <v>0.87</v>
      </c>
      <c r="GT139" s="55">
        <f t="shared" si="931"/>
        <v>0.85</v>
      </c>
      <c r="GU139" s="55">
        <f t="shared" si="931"/>
        <v>0.83</v>
      </c>
      <c r="GV139" s="55">
        <f t="shared" si="931"/>
        <v>0.80999999999999994</v>
      </c>
      <c r="GW139" s="55">
        <f t="shared" si="931"/>
        <v>0.78999999999999992</v>
      </c>
      <c r="GX139" s="55">
        <f t="shared" si="931"/>
        <v>0.76999999999999991</v>
      </c>
      <c r="GY139" s="55">
        <f t="shared" si="931"/>
        <v>0.74999999999999989</v>
      </c>
      <c r="GZ139" s="55">
        <f t="shared" si="931"/>
        <v>0.72999999999999987</v>
      </c>
      <c r="HA139" s="55">
        <f t="shared" si="931"/>
        <v>0.70999999999999985</v>
      </c>
      <c r="HB139" s="55">
        <f t="shared" si="931"/>
        <v>0.68999999999999984</v>
      </c>
      <c r="HC139" s="55">
        <f t="shared" si="931"/>
        <v>0.66999999999999982</v>
      </c>
      <c r="HD139" s="55">
        <f t="shared" si="931"/>
        <v>0.6499999999999998</v>
      </c>
      <c r="HE139" s="55">
        <f t="shared" si="931"/>
        <v>0.62999999999999978</v>
      </c>
      <c r="HF139" s="55">
        <f t="shared" si="931"/>
        <v>0.60999999999999976</v>
      </c>
      <c r="HG139" s="55">
        <f t="shared" si="931"/>
        <v>0.58999999999999975</v>
      </c>
      <c r="HH139" s="55">
        <f t="shared" si="93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35490</v>
      </c>
      <c r="E140" s="39">
        <f>SUM(E130:E139)</f>
        <v>117320</v>
      </c>
      <c r="H140" s="55">
        <f t="shared" si="505"/>
        <v>129052.00000000001</v>
      </c>
      <c r="I140" s="55">
        <f t="shared" si="506"/>
        <v>129052.00000000001</v>
      </c>
      <c r="J140" s="59">
        <f t="shared" si="507"/>
        <v>426620.10160000005</v>
      </c>
      <c r="K140" s="55">
        <f t="shared" si="799"/>
        <v>125180.44000000002</v>
      </c>
      <c r="L140" s="59">
        <f t="shared" si="800"/>
        <v>413821.49855200009</v>
      </c>
      <c r="M140" s="55">
        <f t="shared" si="801"/>
        <v>122599.40000000001</v>
      </c>
      <c r="N140" s="59">
        <f t="shared" si="802"/>
        <v>405289.09652000002</v>
      </c>
      <c r="O140" s="55">
        <f t="shared" si="803"/>
        <v>120018.36000000002</v>
      </c>
      <c r="P140" s="59">
        <f t="shared" si="804"/>
        <v>396756.69448800007</v>
      </c>
      <c r="Q140" s="57">
        <f t="shared" si="805"/>
        <v>117437.32000000002</v>
      </c>
      <c r="R140" s="59">
        <f t="shared" si="806"/>
        <v>388224.29245600005</v>
      </c>
      <c r="S140" s="55">
        <f t="shared" si="807"/>
        <v>114856.28000000001</v>
      </c>
      <c r="T140" s="59">
        <f t="shared" si="808"/>
        <v>379691.89042400004</v>
      </c>
      <c r="U140" s="57">
        <f t="shared" si="809"/>
        <v>112275.24</v>
      </c>
      <c r="V140" s="59">
        <f t="shared" si="810"/>
        <v>371159.48839200003</v>
      </c>
      <c r="W140" s="60">
        <f t="shared" si="811"/>
        <v>109694.20000000001</v>
      </c>
      <c r="X140" s="59">
        <f t="shared" si="812"/>
        <v>362627.08636000007</v>
      </c>
      <c r="Y140" s="57">
        <f t="shared" si="813"/>
        <v>107113.16</v>
      </c>
      <c r="Z140" s="59">
        <f t="shared" si="814"/>
        <v>354094.684328</v>
      </c>
      <c r="AA140" s="55">
        <f t="shared" si="815"/>
        <v>104532.12000000001</v>
      </c>
      <c r="AB140" s="59">
        <f t="shared" si="816"/>
        <v>345562.28229600005</v>
      </c>
      <c r="AC140" s="60">
        <f t="shared" si="817"/>
        <v>101951.08</v>
      </c>
      <c r="AD140" s="59">
        <f t="shared" si="818"/>
        <v>337029.88026400004</v>
      </c>
      <c r="AE140" s="60">
        <f t="shared" si="819"/>
        <v>99370.04</v>
      </c>
      <c r="AF140" s="59">
        <f t="shared" si="820"/>
        <v>328497.47823199996</v>
      </c>
      <c r="AG140" s="60">
        <f t="shared" si="821"/>
        <v>96789</v>
      </c>
      <c r="AH140" s="59">
        <f t="shared" si="822"/>
        <v>319965.07620000001</v>
      </c>
      <c r="AI140" s="55">
        <f t="shared" si="823"/>
        <v>94207.959999999992</v>
      </c>
      <c r="AJ140" s="59">
        <f t="shared" si="824"/>
        <v>311432.674168</v>
      </c>
      <c r="AK140" s="60">
        <f t="shared" si="825"/>
        <v>91626.92</v>
      </c>
      <c r="AL140" s="59">
        <f t="shared" si="826"/>
        <v>302900.27213599999</v>
      </c>
      <c r="AM140" s="60">
        <f t="shared" si="827"/>
        <v>89045.87999999999</v>
      </c>
      <c r="AN140" s="59">
        <f t="shared" si="828"/>
        <v>294367.87010399997</v>
      </c>
      <c r="AO140" s="60">
        <f t="shared" si="829"/>
        <v>86464.839999999982</v>
      </c>
      <c r="AP140" s="59">
        <f t="shared" si="830"/>
        <v>285835.46807199996</v>
      </c>
      <c r="AQ140" s="60">
        <f t="shared" si="831"/>
        <v>83883.799999999988</v>
      </c>
      <c r="AR140" s="59">
        <f t="shared" si="832"/>
        <v>277303.06603999995</v>
      </c>
      <c r="AS140" s="55">
        <f t="shared" si="833"/>
        <v>81302.75999999998</v>
      </c>
      <c r="AT140" s="59">
        <f t="shared" si="834"/>
        <v>268770.66400799993</v>
      </c>
      <c r="AU140" s="60">
        <f t="shared" si="835"/>
        <v>78721.719999999972</v>
      </c>
      <c r="AV140" s="59">
        <f t="shared" si="836"/>
        <v>260238.26197599992</v>
      </c>
      <c r="AW140" s="60">
        <f t="shared" si="837"/>
        <v>76140.679999999978</v>
      </c>
      <c r="AX140" s="59">
        <f t="shared" si="838"/>
        <v>251705.85994399994</v>
      </c>
      <c r="AY140" s="55">
        <f t="shared" si="839"/>
        <v>73559.63999999997</v>
      </c>
      <c r="AZ140" s="59">
        <f t="shared" si="840"/>
        <v>243173.4579119999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41"/>
        <v>0.91</v>
      </c>
      <c r="BH140" s="55">
        <f t="shared" si="841"/>
        <v>0.89</v>
      </c>
      <c r="BI140" s="55">
        <f t="shared" si="841"/>
        <v>0.87</v>
      </c>
      <c r="BJ140" s="55">
        <f t="shared" si="841"/>
        <v>0.85</v>
      </c>
      <c r="BK140" s="55">
        <f t="shared" si="841"/>
        <v>0.83</v>
      </c>
      <c r="BL140" s="55">
        <f t="shared" si="841"/>
        <v>0.80999999999999994</v>
      </c>
      <c r="BM140" s="55">
        <f t="shared" si="841"/>
        <v>0.78999999999999992</v>
      </c>
      <c r="BN140" s="55">
        <f t="shared" si="841"/>
        <v>0.76999999999999991</v>
      </c>
      <c r="BO140" s="55">
        <f t="shared" si="841"/>
        <v>0.74999999999999989</v>
      </c>
      <c r="BP140" s="55">
        <f t="shared" si="841"/>
        <v>0.72999999999999987</v>
      </c>
      <c r="BQ140" s="55">
        <f t="shared" si="841"/>
        <v>0.70999999999999985</v>
      </c>
      <c r="BR140" s="55">
        <f t="shared" si="841"/>
        <v>0.68999999999999984</v>
      </c>
      <c r="BS140" s="55">
        <f t="shared" si="841"/>
        <v>0.66999999999999982</v>
      </c>
      <c r="BT140" s="55">
        <f t="shared" si="841"/>
        <v>0.6499999999999998</v>
      </c>
      <c r="BU140" s="55">
        <f t="shared" si="841"/>
        <v>0.62999999999999978</v>
      </c>
      <c r="BV140" s="55">
        <f t="shared" si="841"/>
        <v>0.60999999999999976</v>
      </c>
      <c r="BW140" s="55">
        <f t="shared" si="841"/>
        <v>0.58999999999999975</v>
      </c>
      <c r="BX140" s="55">
        <f t="shared" si="841"/>
        <v>0.56999999999999973</v>
      </c>
      <c r="BZ140" s="55">
        <f t="shared" si="508"/>
        <v>117437.32000000002</v>
      </c>
      <c r="CA140" s="55">
        <f t="shared" si="509"/>
        <v>117437.32000000002</v>
      </c>
      <c r="CB140" s="59">
        <f t="shared" si="842"/>
        <v>388224.29245600005</v>
      </c>
      <c r="CC140" s="55">
        <f t="shared" si="843"/>
        <v>113914.20040000002</v>
      </c>
      <c r="CD140" s="59">
        <f t="shared" si="844"/>
        <v>376577.56368232006</v>
      </c>
      <c r="CE140" s="55">
        <f t="shared" si="845"/>
        <v>111565.45400000001</v>
      </c>
      <c r="CF140" s="59">
        <f t="shared" si="846"/>
        <v>368813.07783320005</v>
      </c>
      <c r="CG140" s="55">
        <f t="shared" si="847"/>
        <v>109216.70760000002</v>
      </c>
      <c r="CH140" s="59">
        <f t="shared" si="848"/>
        <v>361048.59198408009</v>
      </c>
      <c r="CI140" s="57">
        <f t="shared" si="849"/>
        <v>106867.96120000002</v>
      </c>
      <c r="CJ140" s="59">
        <f t="shared" si="850"/>
        <v>353284.10613496008</v>
      </c>
      <c r="CK140" s="55">
        <f t="shared" si="851"/>
        <v>104519.21480000002</v>
      </c>
      <c r="CL140" s="59">
        <f t="shared" si="852"/>
        <v>345519.62028584006</v>
      </c>
      <c r="CM140" s="57">
        <f t="shared" si="853"/>
        <v>102170.46840000001</v>
      </c>
      <c r="CN140" s="59">
        <f t="shared" si="854"/>
        <v>337755.13443672005</v>
      </c>
      <c r="CO140" s="60">
        <f t="shared" si="855"/>
        <v>99821.722000000009</v>
      </c>
      <c r="CP140" s="59">
        <f t="shared" si="856"/>
        <v>329990.64858760004</v>
      </c>
      <c r="CQ140" s="57">
        <f t="shared" si="857"/>
        <v>97472.97560000002</v>
      </c>
      <c r="CR140" s="59">
        <f t="shared" si="858"/>
        <v>322226.16273848008</v>
      </c>
      <c r="CS140" s="55">
        <f t="shared" si="859"/>
        <v>95124.229200000016</v>
      </c>
      <c r="CT140" s="59">
        <f t="shared" si="860"/>
        <v>314461.67688936007</v>
      </c>
      <c r="CU140" s="60">
        <f t="shared" si="861"/>
        <v>92775.482800000013</v>
      </c>
      <c r="CV140" s="59">
        <f t="shared" si="862"/>
        <v>306697.19104024005</v>
      </c>
      <c r="CW140" s="60">
        <f t="shared" si="863"/>
        <v>90426.736400000009</v>
      </c>
      <c r="CX140" s="59">
        <f t="shared" si="864"/>
        <v>298932.70519112004</v>
      </c>
      <c r="CY140" s="60">
        <f t="shared" si="865"/>
        <v>88077.99</v>
      </c>
      <c r="CZ140" s="59">
        <f t="shared" si="866"/>
        <v>291168.21934200003</v>
      </c>
      <c r="DA140" s="55">
        <f t="shared" si="867"/>
        <v>85729.243600000002</v>
      </c>
      <c r="DB140" s="59">
        <f t="shared" si="868"/>
        <v>283403.73349288001</v>
      </c>
      <c r="DC140" s="60">
        <f t="shared" si="869"/>
        <v>83380.497199999998</v>
      </c>
      <c r="DD140" s="59">
        <f t="shared" si="870"/>
        <v>275639.24764376</v>
      </c>
      <c r="DE140" s="60">
        <f t="shared" si="871"/>
        <v>81031.750799999994</v>
      </c>
      <c r="DF140" s="59">
        <f t="shared" si="872"/>
        <v>267874.76179463998</v>
      </c>
      <c r="DG140" s="60">
        <f t="shared" si="873"/>
        <v>78683.004399999991</v>
      </c>
      <c r="DH140" s="59">
        <f t="shared" si="874"/>
        <v>260110.27594551997</v>
      </c>
      <c r="DI140" s="60">
        <f t="shared" si="875"/>
        <v>76334.257999999987</v>
      </c>
      <c r="DJ140" s="59">
        <f t="shared" si="876"/>
        <v>252345.79009639996</v>
      </c>
      <c r="DK140" s="55">
        <f t="shared" si="877"/>
        <v>73985.511599999983</v>
      </c>
      <c r="DL140" s="59">
        <f t="shared" si="878"/>
        <v>244581.30424727994</v>
      </c>
      <c r="DM140" s="60">
        <f t="shared" si="879"/>
        <v>71636.76519999998</v>
      </c>
      <c r="DN140" s="59">
        <f t="shared" si="880"/>
        <v>236816.81839815993</v>
      </c>
      <c r="DO140" s="60">
        <f t="shared" si="881"/>
        <v>69288.018799999976</v>
      </c>
      <c r="DP140" s="59">
        <f t="shared" si="882"/>
        <v>229052.33254903991</v>
      </c>
      <c r="DQ140" s="55">
        <f t="shared" si="883"/>
        <v>66939.272399999987</v>
      </c>
      <c r="DR140" s="59">
        <f t="shared" si="884"/>
        <v>221287.84669991996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30"/>
        <v>0.91</v>
      </c>
      <c r="DZ140" s="55">
        <f t="shared" si="930"/>
        <v>0.89</v>
      </c>
      <c r="EA140" s="55">
        <f t="shared" si="930"/>
        <v>0.87</v>
      </c>
      <c r="EB140" s="55">
        <f t="shared" si="930"/>
        <v>0.85</v>
      </c>
      <c r="EC140" s="55">
        <f t="shared" si="930"/>
        <v>0.83</v>
      </c>
      <c r="ED140" s="55">
        <f t="shared" si="930"/>
        <v>0.80999999999999994</v>
      </c>
      <c r="EE140" s="55">
        <f t="shared" si="930"/>
        <v>0.78999999999999992</v>
      </c>
      <c r="EF140" s="55">
        <f t="shared" si="930"/>
        <v>0.76999999999999991</v>
      </c>
      <c r="EG140" s="55">
        <f t="shared" si="930"/>
        <v>0.74999999999999989</v>
      </c>
      <c r="EH140" s="55">
        <f t="shared" si="930"/>
        <v>0.72999999999999987</v>
      </c>
      <c r="EI140" s="55">
        <f t="shared" si="930"/>
        <v>0.70999999999999985</v>
      </c>
      <c r="EJ140" s="55">
        <f t="shared" si="930"/>
        <v>0.68999999999999984</v>
      </c>
      <c r="EK140" s="55">
        <f t="shared" si="930"/>
        <v>0.66999999999999982</v>
      </c>
      <c r="EL140" s="55">
        <f t="shared" si="930"/>
        <v>0.6499999999999998</v>
      </c>
      <c r="EM140" s="55">
        <f t="shared" si="930"/>
        <v>0.62999999999999978</v>
      </c>
      <c r="EN140" s="55">
        <f t="shared" si="930"/>
        <v>0.60999999999999976</v>
      </c>
      <c r="EO140" s="55">
        <f t="shared" si="930"/>
        <v>0.58999999999999975</v>
      </c>
      <c r="EP140" s="55">
        <f t="shared" si="930"/>
        <v>0.56999999999999973</v>
      </c>
      <c r="ER140" s="55">
        <f t="shared" si="648"/>
        <v>106867.96120000002</v>
      </c>
      <c r="ES140" s="55">
        <f t="shared" si="510"/>
        <v>106867.96120000002</v>
      </c>
      <c r="ET140" s="59">
        <f t="shared" si="885"/>
        <v>353284.10613496008</v>
      </c>
      <c r="EU140" s="55">
        <f t="shared" si="886"/>
        <v>103661.92236400001</v>
      </c>
      <c r="EV140" s="59">
        <f t="shared" si="887"/>
        <v>342685.58295091125</v>
      </c>
      <c r="EW140" s="55">
        <f t="shared" si="888"/>
        <v>101524.56314000001</v>
      </c>
      <c r="EX140" s="59">
        <f t="shared" si="889"/>
        <v>335619.90082821203</v>
      </c>
      <c r="EY140" s="55">
        <f t="shared" si="890"/>
        <v>99387.203916000028</v>
      </c>
      <c r="EZ140" s="59">
        <f t="shared" si="891"/>
        <v>328554.21870551287</v>
      </c>
      <c r="FA140" s="57">
        <f t="shared" si="892"/>
        <v>97249.844692000028</v>
      </c>
      <c r="FB140" s="59">
        <f t="shared" si="893"/>
        <v>321488.53658281371</v>
      </c>
      <c r="FC140" s="55">
        <f t="shared" si="894"/>
        <v>95112.485468000013</v>
      </c>
      <c r="FD140" s="59">
        <f t="shared" si="895"/>
        <v>314422.85446011444</v>
      </c>
      <c r="FE140" s="57">
        <f t="shared" si="896"/>
        <v>92975.126244000014</v>
      </c>
      <c r="FF140" s="59">
        <f t="shared" si="897"/>
        <v>307357.17233741528</v>
      </c>
      <c r="FG140" s="60">
        <f t="shared" si="898"/>
        <v>90837.767020000014</v>
      </c>
      <c r="FH140" s="59">
        <f t="shared" si="899"/>
        <v>300291.49021471606</v>
      </c>
      <c r="FI140" s="57">
        <f t="shared" si="900"/>
        <v>88700.407796000014</v>
      </c>
      <c r="FJ140" s="59">
        <f t="shared" si="901"/>
        <v>293225.80809201684</v>
      </c>
      <c r="FK140" s="55">
        <f t="shared" si="902"/>
        <v>86563.048572000014</v>
      </c>
      <c r="FL140" s="59">
        <f t="shared" si="903"/>
        <v>286160.12596931763</v>
      </c>
      <c r="FM140" s="60">
        <f t="shared" si="904"/>
        <v>84425.689348000014</v>
      </c>
      <c r="FN140" s="59">
        <f t="shared" si="905"/>
        <v>279094.44384661847</v>
      </c>
      <c r="FO140" s="60">
        <f t="shared" si="906"/>
        <v>82288.330124</v>
      </c>
      <c r="FP140" s="59">
        <f t="shared" si="907"/>
        <v>272028.76172391919</v>
      </c>
      <c r="FQ140" s="60">
        <f t="shared" si="908"/>
        <v>80150.9709</v>
      </c>
      <c r="FR140" s="59">
        <f t="shared" si="909"/>
        <v>264963.07960122003</v>
      </c>
      <c r="FS140" s="55">
        <f t="shared" si="910"/>
        <v>78013.611676</v>
      </c>
      <c r="FT140" s="59">
        <f t="shared" si="911"/>
        <v>257897.39747852081</v>
      </c>
      <c r="FU140" s="60">
        <f t="shared" si="912"/>
        <v>75876.252452000001</v>
      </c>
      <c r="FV140" s="59">
        <f t="shared" si="913"/>
        <v>250831.71535582159</v>
      </c>
      <c r="FW140" s="60">
        <f t="shared" si="914"/>
        <v>73738.893228000001</v>
      </c>
      <c r="FX140" s="59">
        <f t="shared" si="915"/>
        <v>243766.03323312241</v>
      </c>
      <c r="FY140" s="60">
        <f t="shared" si="916"/>
        <v>71601.534004000001</v>
      </c>
      <c r="FZ140" s="59">
        <f t="shared" si="917"/>
        <v>236700.35111042322</v>
      </c>
      <c r="GA140" s="60">
        <f t="shared" si="918"/>
        <v>69464.174779999987</v>
      </c>
      <c r="GB140" s="59">
        <f t="shared" si="919"/>
        <v>229634.66898772397</v>
      </c>
      <c r="GC140" s="55">
        <f t="shared" si="920"/>
        <v>67326.815555999987</v>
      </c>
      <c r="GD140" s="59">
        <f t="shared" si="921"/>
        <v>222568.98686502475</v>
      </c>
      <c r="GE140" s="60">
        <f t="shared" si="922"/>
        <v>65189.456331999987</v>
      </c>
      <c r="GF140" s="59">
        <f t="shared" si="923"/>
        <v>215503.30474232556</v>
      </c>
      <c r="GG140" s="60">
        <f t="shared" si="924"/>
        <v>63052.097107999987</v>
      </c>
      <c r="GH140" s="59">
        <f t="shared" si="925"/>
        <v>208437.62261962637</v>
      </c>
      <c r="GI140" s="55">
        <f t="shared" si="926"/>
        <v>60914.73788399998</v>
      </c>
      <c r="GJ140" s="59">
        <f t="shared" si="927"/>
        <v>201371.94049692713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31"/>
        <v>0.91</v>
      </c>
      <c r="GR140" s="55">
        <f t="shared" si="931"/>
        <v>0.89</v>
      </c>
      <c r="GS140" s="55">
        <f t="shared" si="931"/>
        <v>0.87</v>
      </c>
      <c r="GT140" s="55">
        <f t="shared" si="931"/>
        <v>0.85</v>
      </c>
      <c r="GU140" s="55">
        <f t="shared" si="931"/>
        <v>0.83</v>
      </c>
      <c r="GV140" s="55">
        <f t="shared" si="931"/>
        <v>0.80999999999999994</v>
      </c>
      <c r="GW140" s="55">
        <f t="shared" si="931"/>
        <v>0.78999999999999992</v>
      </c>
      <c r="GX140" s="55">
        <f t="shared" si="931"/>
        <v>0.76999999999999991</v>
      </c>
      <c r="GY140" s="55">
        <f t="shared" si="931"/>
        <v>0.74999999999999989</v>
      </c>
      <c r="GZ140" s="55">
        <f t="shared" si="931"/>
        <v>0.72999999999999987</v>
      </c>
      <c r="HA140" s="55">
        <f t="shared" si="931"/>
        <v>0.70999999999999985</v>
      </c>
      <c r="HB140" s="55">
        <f t="shared" si="931"/>
        <v>0.68999999999999984</v>
      </c>
      <c r="HC140" s="55">
        <f t="shared" si="931"/>
        <v>0.66999999999999982</v>
      </c>
      <c r="HD140" s="55">
        <f t="shared" si="931"/>
        <v>0.6499999999999998</v>
      </c>
      <c r="HE140" s="55">
        <f t="shared" si="931"/>
        <v>0.62999999999999978</v>
      </c>
      <c r="HF140" s="55">
        <f t="shared" si="931"/>
        <v>0.60999999999999976</v>
      </c>
      <c r="HG140" s="55">
        <f t="shared" si="931"/>
        <v>0.58999999999999975</v>
      </c>
      <c r="HH140" s="55">
        <f t="shared" si="93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3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33">+DW141-0.02</f>
        <v>0.91</v>
      </c>
      <c r="DY141" s="61">
        <f t="shared" si="933"/>
        <v>0.89</v>
      </c>
      <c r="DZ141" s="61">
        <f t="shared" si="933"/>
        <v>0.87</v>
      </c>
      <c r="EA141" s="61">
        <f t="shared" si="933"/>
        <v>0.85</v>
      </c>
      <c r="EB141" s="61">
        <f t="shared" si="933"/>
        <v>0.83</v>
      </c>
      <c r="EC141" s="61">
        <f t="shared" si="933"/>
        <v>0.80999999999999994</v>
      </c>
      <c r="ED141" s="61">
        <f t="shared" si="933"/>
        <v>0.78999999999999992</v>
      </c>
      <c r="EE141" s="61">
        <f t="shared" si="933"/>
        <v>0.76999999999999991</v>
      </c>
      <c r="EF141" s="61">
        <f t="shared" si="933"/>
        <v>0.74999999999999989</v>
      </c>
      <c r="EG141" s="61">
        <f t="shared" si="933"/>
        <v>0.72999999999999987</v>
      </c>
      <c r="EH141" s="61">
        <f t="shared" si="933"/>
        <v>0.70999999999999985</v>
      </c>
      <c r="EI141" s="61">
        <f t="shared" si="933"/>
        <v>0.68999999999999984</v>
      </c>
      <c r="EJ141" s="61">
        <f t="shared" si="933"/>
        <v>0.66999999999999982</v>
      </c>
      <c r="EK141" s="61">
        <f t="shared" si="933"/>
        <v>0.6499999999999998</v>
      </c>
      <c r="EL141" s="61">
        <f t="shared" si="933"/>
        <v>0.62999999999999978</v>
      </c>
      <c r="EM141" s="61">
        <f t="shared" si="933"/>
        <v>0.60999999999999976</v>
      </c>
      <c r="EN141" s="61">
        <f t="shared" si="933"/>
        <v>0.58999999999999975</v>
      </c>
      <c r="EO141" s="61">
        <f t="shared" si="933"/>
        <v>0.56999999999999973</v>
      </c>
      <c r="EQ141" s="61">
        <f t="shared" ref="EQ141:EQ142" si="93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35">+GO141-0.02</f>
        <v>0.91</v>
      </c>
      <c r="GQ141" s="61">
        <f t="shared" si="935"/>
        <v>0.89</v>
      </c>
      <c r="GR141" s="61">
        <f t="shared" si="935"/>
        <v>0.87</v>
      </c>
      <c r="GS141" s="61">
        <f t="shared" si="935"/>
        <v>0.85</v>
      </c>
      <c r="GT141" s="61">
        <f t="shared" si="935"/>
        <v>0.83</v>
      </c>
      <c r="GU141" s="61">
        <f t="shared" si="935"/>
        <v>0.80999999999999994</v>
      </c>
      <c r="GV141" s="61">
        <f t="shared" si="935"/>
        <v>0.78999999999999992</v>
      </c>
      <c r="GW141" s="61">
        <f t="shared" si="935"/>
        <v>0.76999999999999991</v>
      </c>
      <c r="GX141" s="61">
        <f t="shared" si="935"/>
        <v>0.74999999999999989</v>
      </c>
      <c r="GY141" s="61">
        <f t="shared" si="935"/>
        <v>0.72999999999999987</v>
      </c>
      <c r="GZ141" s="61">
        <f t="shared" si="935"/>
        <v>0.70999999999999985</v>
      </c>
      <c r="HA141" s="61">
        <f t="shared" si="935"/>
        <v>0.68999999999999984</v>
      </c>
      <c r="HB141" s="61">
        <f t="shared" si="935"/>
        <v>0.66999999999999982</v>
      </c>
      <c r="HC141" s="61">
        <f t="shared" si="935"/>
        <v>0.6499999999999998</v>
      </c>
      <c r="HD141" s="61">
        <f t="shared" si="935"/>
        <v>0.62999999999999978</v>
      </c>
      <c r="HE141" s="61">
        <f t="shared" si="935"/>
        <v>0.60999999999999976</v>
      </c>
      <c r="HF141" s="61">
        <f t="shared" si="935"/>
        <v>0.58999999999999975</v>
      </c>
      <c r="HG141" s="61">
        <f t="shared" si="935"/>
        <v>0.56999999999999973</v>
      </c>
    </row>
    <row r="142" spans="1:216" s="64" customFormat="1" ht="17.25" thickBot="1" x14ac:dyDescent="0.35">
      <c r="B142" s="64" t="s">
        <v>302</v>
      </c>
      <c r="C142" s="64" t="s">
        <v>298</v>
      </c>
      <c r="D142" s="65" t="s">
        <v>272</v>
      </c>
      <c r="E142" s="65" t="s">
        <v>155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3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33"/>
        <v>0.91</v>
      </c>
      <c r="DY142" s="61">
        <f t="shared" si="933"/>
        <v>0.89</v>
      </c>
      <c r="DZ142" s="61">
        <f t="shared" si="933"/>
        <v>0.87</v>
      </c>
      <c r="EA142" s="61">
        <f t="shared" si="933"/>
        <v>0.85</v>
      </c>
      <c r="EB142" s="61">
        <f t="shared" si="933"/>
        <v>0.83</v>
      </c>
      <c r="EC142" s="61">
        <f t="shared" si="933"/>
        <v>0.80999999999999994</v>
      </c>
      <c r="ED142" s="61">
        <f t="shared" si="933"/>
        <v>0.78999999999999992</v>
      </c>
      <c r="EE142" s="61">
        <f t="shared" si="933"/>
        <v>0.76999999999999991</v>
      </c>
      <c r="EF142" s="61">
        <f t="shared" si="933"/>
        <v>0.74999999999999989</v>
      </c>
      <c r="EG142" s="61">
        <f t="shared" si="933"/>
        <v>0.72999999999999987</v>
      </c>
      <c r="EH142" s="61">
        <f t="shared" si="933"/>
        <v>0.70999999999999985</v>
      </c>
      <c r="EI142" s="61">
        <f t="shared" si="933"/>
        <v>0.68999999999999984</v>
      </c>
      <c r="EJ142" s="61">
        <f t="shared" si="933"/>
        <v>0.66999999999999982</v>
      </c>
      <c r="EK142" s="61">
        <f t="shared" si="933"/>
        <v>0.6499999999999998</v>
      </c>
      <c r="EL142" s="61">
        <f t="shared" si="933"/>
        <v>0.62999999999999978</v>
      </c>
      <c r="EM142" s="61">
        <f t="shared" si="933"/>
        <v>0.60999999999999976</v>
      </c>
      <c r="EN142" s="61">
        <f t="shared" si="933"/>
        <v>0.58999999999999975</v>
      </c>
      <c r="EO142" s="61">
        <f t="shared" si="933"/>
        <v>0.56999999999999973</v>
      </c>
      <c r="EQ142" s="61">
        <f t="shared" si="93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35"/>
        <v>0.91</v>
      </c>
      <c r="GQ142" s="61">
        <f t="shared" si="935"/>
        <v>0.89</v>
      </c>
      <c r="GR142" s="61">
        <f t="shared" si="935"/>
        <v>0.87</v>
      </c>
      <c r="GS142" s="61">
        <f t="shared" si="935"/>
        <v>0.85</v>
      </c>
      <c r="GT142" s="61">
        <f t="shared" si="935"/>
        <v>0.83</v>
      </c>
      <c r="GU142" s="61">
        <f t="shared" si="935"/>
        <v>0.80999999999999994</v>
      </c>
      <c r="GV142" s="61">
        <f t="shared" si="935"/>
        <v>0.78999999999999992</v>
      </c>
      <c r="GW142" s="61">
        <f t="shared" si="935"/>
        <v>0.76999999999999991</v>
      </c>
      <c r="GX142" s="61">
        <f t="shared" si="935"/>
        <v>0.74999999999999989</v>
      </c>
      <c r="GY142" s="61">
        <f t="shared" si="935"/>
        <v>0.72999999999999987</v>
      </c>
      <c r="GZ142" s="61">
        <f t="shared" si="935"/>
        <v>0.70999999999999985</v>
      </c>
      <c r="HA142" s="61">
        <f t="shared" si="935"/>
        <v>0.68999999999999984</v>
      </c>
      <c r="HB142" s="61">
        <f t="shared" si="935"/>
        <v>0.66999999999999982</v>
      </c>
      <c r="HC142" s="61">
        <f t="shared" si="935"/>
        <v>0.6499999999999998</v>
      </c>
      <c r="HD142" s="61">
        <f t="shared" si="935"/>
        <v>0.62999999999999978</v>
      </c>
      <c r="HE142" s="61">
        <f t="shared" si="935"/>
        <v>0.60999999999999976</v>
      </c>
      <c r="HF142" s="61">
        <f t="shared" si="935"/>
        <v>0.58999999999999975</v>
      </c>
      <c r="HG142" s="61">
        <f t="shared" si="935"/>
        <v>0.56999999999999973</v>
      </c>
    </row>
    <row r="143" spans="1:216" x14ac:dyDescent="0.3">
      <c r="A143" s="2">
        <v>1</v>
      </c>
      <c r="C143" s="38" t="s">
        <v>48</v>
      </c>
      <c r="D143" s="40">
        <f>TRUNC(9445.5917828873,-1)</f>
        <v>9440</v>
      </c>
      <c r="E143" s="70">
        <f>TRUNC(+D143*3.3058,-1)</f>
        <v>31200</v>
      </c>
      <c r="F143" s="2" t="s">
        <v>312</v>
      </c>
      <c r="H143" s="55">
        <f t="shared" si="505"/>
        <v>34320</v>
      </c>
      <c r="I143" s="55">
        <f t="shared" si="506"/>
        <v>34320</v>
      </c>
      <c r="J143" s="59">
        <f t="shared" si="507"/>
        <v>113455.056</v>
      </c>
      <c r="K143" s="55">
        <f t="shared" ref="K143:K148" si="936">+I143*BD143</f>
        <v>33290.400000000001</v>
      </c>
      <c r="L143" s="59">
        <f t="shared" ref="L143:L148" si="937">+K143*3.3058</f>
        <v>110051.40432</v>
      </c>
      <c r="M143" s="55">
        <f t="shared" ref="M143:M148" si="938">+I143*BE143</f>
        <v>32604</v>
      </c>
      <c r="N143" s="59">
        <f t="shared" ref="N143:N148" si="939">+M143*3.3058</f>
        <v>107782.30320000001</v>
      </c>
      <c r="O143" s="55">
        <f t="shared" ref="O143:O148" si="940">+I143*BF143</f>
        <v>31917.600000000002</v>
      </c>
      <c r="P143" s="59">
        <f t="shared" ref="P143:P148" si="941">+O143*3.3058</f>
        <v>105513.20208</v>
      </c>
      <c r="Q143" s="57">
        <f t="shared" ref="Q143:Q148" si="942">+I143*BG143</f>
        <v>31231.200000000001</v>
      </c>
      <c r="R143" s="59">
        <f t="shared" ref="R143:R148" si="943">+Q143*3.3058</f>
        <v>103244.10096000001</v>
      </c>
      <c r="S143" s="55">
        <f t="shared" ref="S143:S148" si="944">+I143*BH143</f>
        <v>30544.799999999999</v>
      </c>
      <c r="T143" s="59">
        <f t="shared" ref="T143:T148" si="945">+S143*3.3058</f>
        <v>100974.99984</v>
      </c>
      <c r="U143" s="57">
        <f t="shared" ref="U143:U148" si="946">+I143*BI143</f>
        <v>29858.400000000001</v>
      </c>
      <c r="V143" s="59">
        <f t="shared" ref="V143:V148" si="947">+U143*3.3058</f>
        <v>98705.898720000012</v>
      </c>
      <c r="W143" s="60">
        <f t="shared" ref="W143:W148" si="948">+I143*BJ143</f>
        <v>29172</v>
      </c>
      <c r="X143" s="59">
        <f t="shared" ref="X143:X148" si="949">+W143*3.3058</f>
        <v>96436.797600000005</v>
      </c>
      <c r="Y143" s="57">
        <f t="shared" ref="Y143:Y148" si="950">+I143*BK143</f>
        <v>28485.599999999999</v>
      </c>
      <c r="Z143" s="59">
        <f t="shared" ref="Z143:Z148" si="951">+Y143*3.3058</f>
        <v>94167.696479999999</v>
      </c>
      <c r="AA143" s="55">
        <f t="shared" ref="AA143:AA148" si="952">+I143*BL143</f>
        <v>27799.199999999997</v>
      </c>
      <c r="AB143" s="59">
        <f t="shared" ref="AB143:AB148" si="953">+AA143*3.3058</f>
        <v>91898.595359999992</v>
      </c>
      <c r="AC143" s="60">
        <f t="shared" ref="AC143:AC148" si="954">+I143*BM143</f>
        <v>27112.799999999996</v>
      </c>
      <c r="AD143" s="59">
        <f t="shared" ref="AD143:AD148" si="955">+AC143*3.3058</f>
        <v>89629.494239999985</v>
      </c>
      <c r="AE143" s="60">
        <f t="shared" ref="AE143:AE148" si="956">+I143*BN143</f>
        <v>26426.399999999998</v>
      </c>
      <c r="AF143" s="59">
        <f t="shared" ref="AF143:AF148" si="957">+AE143*3.3058</f>
        <v>87360.393119999993</v>
      </c>
      <c r="AG143" s="60">
        <f t="shared" ref="AG143:AG148" si="958">+I143*BO143</f>
        <v>25739.999999999996</v>
      </c>
      <c r="AH143" s="59">
        <f t="shared" ref="AH143:AH148" si="959">+AG143*3.3058</f>
        <v>85091.291999999987</v>
      </c>
      <c r="AI143" s="55">
        <f t="shared" ref="AI143:AI148" si="960">+I143*BP143</f>
        <v>25053.599999999995</v>
      </c>
      <c r="AJ143" s="59">
        <f t="shared" ref="AJ143:AJ148" si="961">+AI143*3.3058</f>
        <v>82822.19087999998</v>
      </c>
      <c r="AK143" s="60">
        <f t="shared" ref="AK143:AK148" si="962">+I143*BQ143</f>
        <v>24367.199999999993</v>
      </c>
      <c r="AL143" s="59">
        <f t="shared" ref="AL143:AL148" si="963">+AK143*3.3058</f>
        <v>80553.089759999973</v>
      </c>
      <c r="AM143" s="60">
        <f t="shared" ref="AM143:AM148" si="964">+I143*BR143</f>
        <v>23680.799999999996</v>
      </c>
      <c r="AN143" s="59">
        <f t="shared" ref="AN143:AN148" si="965">+AM143*3.3058</f>
        <v>78283.988639999981</v>
      </c>
      <c r="AO143" s="60">
        <f t="shared" ref="AO143:AO148" si="966">+I143*BS143</f>
        <v>22994.399999999994</v>
      </c>
      <c r="AP143" s="59">
        <f t="shared" ref="AP143:AP148" si="967">+AO143*3.3058</f>
        <v>76014.887519999989</v>
      </c>
      <c r="AQ143" s="60">
        <f t="shared" ref="AQ143:AQ148" si="968">+I143*BT143</f>
        <v>22307.999999999993</v>
      </c>
      <c r="AR143" s="59">
        <f t="shared" ref="AR143:AR148" si="969">+AQ143*3.3058</f>
        <v>73745.786399999983</v>
      </c>
      <c r="AS143" s="55">
        <f t="shared" ref="AS143:AS148" si="970">+I143*BU143</f>
        <v>21621.599999999991</v>
      </c>
      <c r="AT143" s="59">
        <f t="shared" ref="AT143:AT148" si="971">+AS143*3.3058</f>
        <v>71476.685279999976</v>
      </c>
      <c r="AU143" s="60">
        <f t="shared" ref="AU143:AU148" si="972">+I143*BV143</f>
        <v>20935.199999999993</v>
      </c>
      <c r="AV143" s="59">
        <f t="shared" ref="AV143:AV148" si="973">+AU143*3.3058</f>
        <v>69207.584159999984</v>
      </c>
      <c r="AW143" s="60">
        <f t="shared" ref="AW143:AW148" si="974">+I143*BW143</f>
        <v>20248.799999999992</v>
      </c>
      <c r="AX143" s="59">
        <f t="shared" ref="AX143:AX148" si="975">+AW143*3.3058</f>
        <v>66938.483039999977</v>
      </c>
      <c r="AY143" s="55">
        <f t="shared" ref="AY143:AY148" si="976">+I143*BX143</f>
        <v>19562.399999999991</v>
      </c>
      <c r="AZ143" s="59">
        <f t="shared" ref="AZ143:AZ148" si="977">+AY143*3.3058</f>
        <v>64669.381919999971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78">+BF143-0.02</f>
        <v>0.91</v>
      </c>
      <c r="BH143" s="55">
        <f t="shared" si="978"/>
        <v>0.89</v>
      </c>
      <c r="BI143" s="55">
        <f t="shared" si="978"/>
        <v>0.87</v>
      </c>
      <c r="BJ143" s="55">
        <f t="shared" si="978"/>
        <v>0.85</v>
      </c>
      <c r="BK143" s="55">
        <f t="shared" si="978"/>
        <v>0.83</v>
      </c>
      <c r="BL143" s="55">
        <f t="shared" si="978"/>
        <v>0.80999999999999994</v>
      </c>
      <c r="BM143" s="55">
        <f t="shared" si="978"/>
        <v>0.78999999999999992</v>
      </c>
      <c r="BN143" s="55">
        <f t="shared" si="978"/>
        <v>0.76999999999999991</v>
      </c>
      <c r="BO143" s="55">
        <f t="shared" si="978"/>
        <v>0.74999999999999989</v>
      </c>
      <c r="BP143" s="55">
        <f t="shared" si="978"/>
        <v>0.72999999999999987</v>
      </c>
      <c r="BQ143" s="55">
        <f t="shared" si="978"/>
        <v>0.70999999999999985</v>
      </c>
      <c r="BR143" s="55">
        <f t="shared" si="978"/>
        <v>0.68999999999999984</v>
      </c>
      <c r="BS143" s="55">
        <f t="shared" si="978"/>
        <v>0.66999999999999982</v>
      </c>
      <c r="BT143" s="55">
        <f t="shared" si="978"/>
        <v>0.6499999999999998</v>
      </c>
      <c r="BU143" s="55">
        <f t="shared" si="978"/>
        <v>0.62999999999999978</v>
      </c>
      <c r="BV143" s="55">
        <f t="shared" si="978"/>
        <v>0.60999999999999976</v>
      </c>
      <c r="BW143" s="55">
        <f t="shared" si="978"/>
        <v>0.58999999999999975</v>
      </c>
      <c r="BX143" s="55">
        <f t="shared" si="978"/>
        <v>0.56999999999999973</v>
      </c>
      <c r="BZ143" s="55">
        <f t="shared" si="508"/>
        <v>31231.200000000001</v>
      </c>
      <c r="CA143" s="55">
        <f t="shared" si="509"/>
        <v>31231.200000000001</v>
      </c>
      <c r="CB143" s="59">
        <f t="shared" ref="CB143:CB148" si="979">+CA143*3.3058</f>
        <v>103244.10096000001</v>
      </c>
      <c r="CC143" s="55">
        <f t="shared" ref="CC143:CC148" si="980">+CA143*DV143</f>
        <v>30294.263999999999</v>
      </c>
      <c r="CD143" s="59">
        <f t="shared" ref="CD143:CD148" si="981">+CC143*3.3058</f>
        <v>100146.77793120001</v>
      </c>
      <c r="CE143" s="55">
        <f t="shared" ref="CE143:CE148" si="982">+CA143*DW143</f>
        <v>29669.64</v>
      </c>
      <c r="CF143" s="59">
        <f t="shared" ref="CF143:CF148" si="983">+CE143*3.3058</f>
        <v>98081.895912000007</v>
      </c>
      <c r="CG143" s="55">
        <f t="shared" ref="CG143:CG148" si="984">+CA143*DX143</f>
        <v>29045.016000000003</v>
      </c>
      <c r="CH143" s="59">
        <f t="shared" ref="CH143:CH148" si="985">+CG143*3.3058</f>
        <v>96017.013892800009</v>
      </c>
      <c r="CI143" s="57">
        <f t="shared" ref="CI143:CI148" si="986">+CA143*DY143</f>
        <v>28420.392</v>
      </c>
      <c r="CJ143" s="59">
        <f t="shared" ref="CJ143:CJ148" si="987">+CI143*3.3058</f>
        <v>93952.131873599996</v>
      </c>
      <c r="CK143" s="55">
        <f t="shared" ref="CK143:CK148" si="988">+CA143*DZ143</f>
        <v>27795.768</v>
      </c>
      <c r="CL143" s="59">
        <f t="shared" ref="CL143:CL148" si="989">+CK143*3.3058</f>
        <v>91887.249854399997</v>
      </c>
      <c r="CM143" s="57">
        <f t="shared" ref="CM143:CM148" si="990">+CA143*EA143</f>
        <v>27171.144</v>
      </c>
      <c r="CN143" s="59">
        <f t="shared" ref="CN143:CN148" si="991">+CM143*3.3058</f>
        <v>89822.367835199999</v>
      </c>
      <c r="CO143" s="60">
        <f t="shared" ref="CO143:CO148" si="992">+CA143*EB143</f>
        <v>26546.52</v>
      </c>
      <c r="CP143" s="59">
        <f t="shared" ref="CP143:CP148" si="993">+CO143*3.3058</f>
        <v>87757.485816</v>
      </c>
      <c r="CQ143" s="57">
        <f t="shared" ref="CQ143:CQ148" si="994">+CA143*EC143</f>
        <v>25921.896000000001</v>
      </c>
      <c r="CR143" s="59">
        <f t="shared" ref="CR143:CR148" si="995">+CQ143*3.3058</f>
        <v>85692.603796800002</v>
      </c>
      <c r="CS143" s="55">
        <f t="shared" ref="CS143:CS148" si="996">+CA143*ED143</f>
        <v>25297.271999999997</v>
      </c>
      <c r="CT143" s="59">
        <f t="shared" ref="CT143:CT148" si="997">+CS143*3.3058</f>
        <v>83627.721777599989</v>
      </c>
      <c r="CU143" s="60">
        <f t="shared" ref="CU143:CU148" si="998">+CA143*EE143</f>
        <v>24672.647999999997</v>
      </c>
      <c r="CV143" s="59">
        <f t="shared" ref="CV143:CV148" si="999">+CU143*3.3058</f>
        <v>81562.83975839999</v>
      </c>
      <c r="CW143" s="60">
        <f t="shared" ref="CW143:CW148" si="1000">+CA143*EF143</f>
        <v>24048.023999999998</v>
      </c>
      <c r="CX143" s="59">
        <f t="shared" ref="CX143:CX148" si="1001">+CW143*3.3058</f>
        <v>79497.957739199992</v>
      </c>
      <c r="CY143" s="60">
        <f t="shared" ref="CY143:CY148" si="1002">+CA143*EG143</f>
        <v>23423.399999999998</v>
      </c>
      <c r="CZ143" s="59">
        <f t="shared" ref="CZ143:CZ148" si="1003">+CY143*3.3058</f>
        <v>77433.075719999993</v>
      </c>
      <c r="DA143" s="55">
        <f t="shared" ref="DA143:DA148" si="1004">+CA143*EH143</f>
        <v>22798.775999999998</v>
      </c>
      <c r="DB143" s="59">
        <f t="shared" ref="DB143:DB148" si="1005">+DA143*3.3058</f>
        <v>75368.193700799995</v>
      </c>
      <c r="DC143" s="60">
        <f t="shared" ref="DC143:DC148" si="1006">+CA143*EI143</f>
        <v>22174.151999999995</v>
      </c>
      <c r="DD143" s="59">
        <f t="shared" ref="DD143:DD148" si="1007">+DC143*3.3058</f>
        <v>73303.311681599982</v>
      </c>
      <c r="DE143" s="60">
        <f t="shared" ref="DE143:DE148" si="1008">+CA143*EJ143</f>
        <v>21549.527999999995</v>
      </c>
      <c r="DF143" s="59">
        <f t="shared" ref="DF143:DF148" si="1009">+DE143*3.3058</f>
        <v>71238.429662399983</v>
      </c>
      <c r="DG143" s="60">
        <f t="shared" ref="DG143:DG148" si="1010">+CA143*EK143</f>
        <v>20924.903999999995</v>
      </c>
      <c r="DH143" s="59">
        <f t="shared" ref="DH143:DH148" si="1011">+DG143*3.3058</f>
        <v>69173.547643199985</v>
      </c>
      <c r="DI143" s="60">
        <f t="shared" ref="DI143:DI148" si="1012">+CA143*EL143</f>
        <v>20300.279999999995</v>
      </c>
      <c r="DJ143" s="59">
        <f t="shared" ref="DJ143:DJ148" si="1013">+DI143*3.3058</f>
        <v>67108.665623999987</v>
      </c>
      <c r="DK143" s="55">
        <f t="shared" ref="DK143:DK148" si="1014">+CA143*EM143</f>
        <v>19675.655999999995</v>
      </c>
      <c r="DL143" s="59">
        <f t="shared" ref="DL143:DL148" si="1015">+DK143*3.3058</f>
        <v>65043.783604799988</v>
      </c>
      <c r="DM143" s="60">
        <f t="shared" ref="DM143:DM148" si="1016">+CA143*EN143</f>
        <v>19051.031999999992</v>
      </c>
      <c r="DN143" s="59">
        <f t="shared" ref="DN143:DN148" si="1017">+DM143*3.3058</f>
        <v>62978.901585599975</v>
      </c>
      <c r="DO143" s="60">
        <f t="shared" ref="DO143:DO148" si="1018">+CA143*EO143</f>
        <v>18426.407999999992</v>
      </c>
      <c r="DP143" s="59">
        <f t="shared" ref="DP143:DP148" si="1019">+DO143*3.3058</f>
        <v>60914.019566399977</v>
      </c>
      <c r="DQ143" s="55">
        <f t="shared" ref="DQ143:DQ148" si="1020">+CA143*EP143</f>
        <v>17801.783999999992</v>
      </c>
      <c r="DR143" s="59">
        <f t="shared" ref="DR143:DR148" si="1021">+DQ143*3.3058</f>
        <v>58849.137547199978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30"/>
        <v>0.91</v>
      </c>
      <c r="DZ143" s="55">
        <f t="shared" si="930"/>
        <v>0.89</v>
      </c>
      <c r="EA143" s="55">
        <f t="shared" si="930"/>
        <v>0.87</v>
      </c>
      <c r="EB143" s="55">
        <f t="shared" si="930"/>
        <v>0.85</v>
      </c>
      <c r="EC143" s="55">
        <f t="shared" si="930"/>
        <v>0.83</v>
      </c>
      <c r="ED143" s="55">
        <f t="shared" si="930"/>
        <v>0.80999999999999994</v>
      </c>
      <c r="EE143" s="55">
        <f t="shared" si="930"/>
        <v>0.78999999999999992</v>
      </c>
      <c r="EF143" s="55">
        <f t="shared" si="930"/>
        <v>0.76999999999999991</v>
      </c>
      <c r="EG143" s="55">
        <f t="shared" si="930"/>
        <v>0.74999999999999989</v>
      </c>
      <c r="EH143" s="55">
        <f t="shared" si="930"/>
        <v>0.72999999999999987</v>
      </c>
      <c r="EI143" s="55">
        <f t="shared" si="930"/>
        <v>0.70999999999999985</v>
      </c>
      <c r="EJ143" s="55">
        <f t="shared" si="930"/>
        <v>0.68999999999999984</v>
      </c>
      <c r="EK143" s="55">
        <f t="shared" si="930"/>
        <v>0.66999999999999982</v>
      </c>
      <c r="EL143" s="55">
        <f t="shared" si="930"/>
        <v>0.6499999999999998</v>
      </c>
      <c r="EM143" s="55">
        <f t="shared" si="930"/>
        <v>0.62999999999999978</v>
      </c>
      <c r="EN143" s="55">
        <f t="shared" si="930"/>
        <v>0.60999999999999976</v>
      </c>
      <c r="EO143" s="55">
        <f t="shared" si="930"/>
        <v>0.58999999999999975</v>
      </c>
      <c r="EP143" s="55">
        <f t="shared" si="930"/>
        <v>0.56999999999999973</v>
      </c>
      <c r="ER143" s="55">
        <f t="shared" si="648"/>
        <v>28420.392</v>
      </c>
      <c r="ES143" s="55">
        <f t="shared" si="510"/>
        <v>28420.392</v>
      </c>
      <c r="ET143" s="59">
        <f t="shared" ref="ET143:ET148" si="1022">+ES143*3.3058</f>
        <v>93952.131873599996</v>
      </c>
      <c r="EU143" s="55">
        <f t="shared" ref="EU143:EU148" si="1023">+ES143*GN143</f>
        <v>27567.78024</v>
      </c>
      <c r="EV143" s="59">
        <f t="shared" ref="EV143:EV148" si="1024">+EU143*3.3058</f>
        <v>91133.567917392007</v>
      </c>
      <c r="EW143" s="55">
        <f t="shared" ref="EW143:EW148" si="1025">+ES143*GO143</f>
        <v>26999.3724</v>
      </c>
      <c r="EX143" s="59">
        <f t="shared" ref="EX143:EX148" si="1026">+EW143*3.3058</f>
        <v>89254.52527992001</v>
      </c>
      <c r="EY143" s="55">
        <f t="shared" ref="EY143:EY148" si="1027">+ES143*GP143</f>
        <v>26430.96456</v>
      </c>
      <c r="EZ143" s="59">
        <f t="shared" ref="EZ143:EZ148" si="1028">+EY143*3.3058</f>
        <v>87375.482642447998</v>
      </c>
      <c r="FA143" s="57">
        <f t="shared" ref="FA143:FA148" si="1029">+ES143*GQ143</f>
        <v>25862.55672</v>
      </c>
      <c r="FB143" s="59">
        <f t="shared" ref="FB143:FB148" si="1030">+FA143*3.3058</f>
        <v>85496.440004976001</v>
      </c>
      <c r="FC143" s="55">
        <f t="shared" ref="FC143:FC148" si="1031">+ES143*GR143</f>
        <v>25294.148880000001</v>
      </c>
      <c r="FD143" s="59">
        <f t="shared" ref="FD143:FD148" si="1032">+FC143*3.3058</f>
        <v>83617.397367504003</v>
      </c>
      <c r="FE143" s="57">
        <f t="shared" ref="FE143:FE148" si="1033">+ES143*GS143</f>
        <v>24725.741040000001</v>
      </c>
      <c r="FF143" s="59">
        <f t="shared" ref="FF143:FF148" si="1034">+FE143*3.3058</f>
        <v>81738.354730032006</v>
      </c>
      <c r="FG143" s="60">
        <f t="shared" ref="FG143:FG148" si="1035">+ES143*GT143</f>
        <v>24157.333200000001</v>
      </c>
      <c r="FH143" s="59">
        <f t="shared" ref="FH143:FH148" si="1036">+FG143*3.3058</f>
        <v>79859.312092560009</v>
      </c>
      <c r="FI143" s="57">
        <f t="shared" ref="FI143:FI148" si="1037">+ES143*GU143</f>
        <v>23588.925359999997</v>
      </c>
      <c r="FJ143" s="59">
        <f t="shared" ref="FJ143:FJ148" si="1038">+FI143*3.3058</f>
        <v>77980.269455087997</v>
      </c>
      <c r="FK143" s="55">
        <f t="shared" ref="FK143:FK148" si="1039">+ES143*GV143</f>
        <v>23020.517519999998</v>
      </c>
      <c r="FL143" s="59">
        <f t="shared" ref="FL143:FL148" si="1040">+FK143*3.3058</f>
        <v>76101.226817616</v>
      </c>
      <c r="FM143" s="60">
        <f t="shared" ref="FM143:FM148" si="1041">+ES143*GW143</f>
        <v>22452.109679999998</v>
      </c>
      <c r="FN143" s="59">
        <f t="shared" ref="FN143:FN148" si="1042">+FM143*3.3058</f>
        <v>74222.184180143988</v>
      </c>
      <c r="FO143" s="60">
        <f t="shared" ref="FO143:FO148" si="1043">+ES143*GX143</f>
        <v>21883.701839999998</v>
      </c>
      <c r="FP143" s="59">
        <f t="shared" ref="FP143:FP148" si="1044">+FO143*3.3058</f>
        <v>72343.14154267199</v>
      </c>
      <c r="FQ143" s="60">
        <f t="shared" ref="FQ143:FQ148" si="1045">+ES143*GY143</f>
        <v>21315.293999999998</v>
      </c>
      <c r="FR143" s="59">
        <f t="shared" ref="FR143:FR148" si="1046">+FQ143*3.3058</f>
        <v>70464.098905199993</v>
      </c>
      <c r="FS143" s="55">
        <f t="shared" ref="FS143:FS148" si="1047">+ES143*GZ143</f>
        <v>20746.886159999995</v>
      </c>
      <c r="FT143" s="59">
        <f t="shared" ref="FT143:FT148" si="1048">+FS143*3.3058</f>
        <v>68585.056267727981</v>
      </c>
      <c r="FU143" s="60">
        <f t="shared" ref="FU143:FU148" si="1049">+ES143*HA143</f>
        <v>20178.478319999995</v>
      </c>
      <c r="FV143" s="59">
        <f t="shared" ref="FV143:FV148" si="1050">+FU143*3.3058</f>
        <v>66706.013630255984</v>
      </c>
      <c r="FW143" s="60">
        <f t="shared" ref="FW143:FW148" si="1051">+ES143*HB143</f>
        <v>19610.070479999995</v>
      </c>
      <c r="FX143" s="59">
        <f t="shared" ref="FX143:FX148" si="1052">+FW143*3.3058</f>
        <v>64826.970992783987</v>
      </c>
      <c r="FY143" s="60">
        <f t="shared" ref="FY143:FY148" si="1053">+ES143*HC143</f>
        <v>19041.662639999995</v>
      </c>
      <c r="FZ143" s="59">
        <f t="shared" ref="FZ143:FZ148" si="1054">+FY143*3.3058</f>
        <v>62947.928355311982</v>
      </c>
      <c r="GA143" s="60">
        <f t="shared" ref="GA143:GA148" si="1055">+ES143*HD143</f>
        <v>18473.254799999995</v>
      </c>
      <c r="GB143" s="59">
        <f t="shared" ref="GB143:GB148" si="1056">+GA143*3.3058</f>
        <v>61068.885717839985</v>
      </c>
      <c r="GC143" s="55">
        <f t="shared" ref="GC143:GC148" si="1057">+ES143*HE143</f>
        <v>17904.846959999995</v>
      </c>
      <c r="GD143" s="59">
        <f t="shared" ref="GD143:GD148" si="1058">+GC143*3.3058</f>
        <v>59189.843080367988</v>
      </c>
      <c r="GE143" s="60">
        <f t="shared" ref="GE143:GE148" si="1059">+ES143*HF143</f>
        <v>17336.439119999992</v>
      </c>
      <c r="GF143" s="59">
        <f t="shared" ref="GF143:GF148" si="1060">+GE143*3.3058</f>
        <v>57310.800442895976</v>
      </c>
      <c r="GG143" s="60">
        <f t="shared" ref="GG143:GG148" si="1061">+ES143*HG143</f>
        <v>16768.031279999992</v>
      </c>
      <c r="GH143" s="59">
        <f t="shared" ref="GH143:GH148" si="1062">+GG143*3.3058</f>
        <v>55431.757805423971</v>
      </c>
      <c r="GI143" s="55">
        <f t="shared" ref="GI143:GI148" si="1063">+ES143*HH143</f>
        <v>16199.623439999992</v>
      </c>
      <c r="GJ143" s="59">
        <f t="shared" ref="GJ143:GJ148" si="1064">+GI143*3.3058</f>
        <v>53552.715167951974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31"/>
        <v>0.91</v>
      </c>
      <c r="GR143" s="55">
        <f t="shared" si="931"/>
        <v>0.89</v>
      </c>
      <c r="GS143" s="55">
        <f t="shared" si="931"/>
        <v>0.87</v>
      </c>
      <c r="GT143" s="55">
        <f t="shared" si="931"/>
        <v>0.85</v>
      </c>
      <c r="GU143" s="55">
        <f t="shared" si="931"/>
        <v>0.83</v>
      </c>
      <c r="GV143" s="55">
        <f t="shared" si="931"/>
        <v>0.80999999999999994</v>
      </c>
      <c r="GW143" s="55">
        <f t="shared" si="931"/>
        <v>0.78999999999999992</v>
      </c>
      <c r="GX143" s="55">
        <f t="shared" si="931"/>
        <v>0.76999999999999991</v>
      </c>
      <c r="GY143" s="55">
        <f t="shared" si="931"/>
        <v>0.74999999999999989</v>
      </c>
      <c r="GZ143" s="55">
        <f t="shared" si="931"/>
        <v>0.72999999999999987</v>
      </c>
      <c r="HA143" s="55">
        <f t="shared" si="931"/>
        <v>0.70999999999999985</v>
      </c>
      <c r="HB143" s="55">
        <f t="shared" si="931"/>
        <v>0.68999999999999984</v>
      </c>
      <c r="HC143" s="55">
        <f t="shared" si="931"/>
        <v>0.66999999999999982</v>
      </c>
      <c r="HD143" s="55">
        <f t="shared" si="931"/>
        <v>0.6499999999999998</v>
      </c>
      <c r="HE143" s="55">
        <f t="shared" si="931"/>
        <v>0.62999999999999978</v>
      </c>
      <c r="HF143" s="55">
        <f t="shared" si="931"/>
        <v>0.60999999999999976</v>
      </c>
      <c r="HG143" s="55">
        <f t="shared" si="931"/>
        <v>0.58999999999999975</v>
      </c>
      <c r="HH143" s="55">
        <f t="shared" si="931"/>
        <v>0.56999999999999973</v>
      </c>
    </row>
    <row r="144" spans="1:216" x14ac:dyDescent="0.3">
      <c r="A144" s="2">
        <v>2</v>
      </c>
      <c r="C144" s="38" t="s">
        <v>49</v>
      </c>
      <c r="D144" s="42">
        <f>TRUNC(34679.5938560121,-1)</f>
        <v>34670</v>
      </c>
      <c r="E144" s="71">
        <f>TRUNC(+D144*3.3058,-1)</f>
        <v>114610</v>
      </c>
      <c r="H144" s="55">
        <f t="shared" si="505"/>
        <v>126071.00000000001</v>
      </c>
      <c r="I144" s="55">
        <f t="shared" si="506"/>
        <v>126071.00000000001</v>
      </c>
      <c r="J144" s="59">
        <f t="shared" si="507"/>
        <v>416765.51180000004</v>
      </c>
      <c r="K144" s="55">
        <f t="shared" si="936"/>
        <v>122288.87000000001</v>
      </c>
      <c r="L144" s="59">
        <f t="shared" si="937"/>
        <v>404262.54644600005</v>
      </c>
      <c r="M144" s="55">
        <f t="shared" si="938"/>
        <v>119767.45000000001</v>
      </c>
      <c r="N144" s="59">
        <f t="shared" si="939"/>
        <v>395927.23621000006</v>
      </c>
      <c r="O144" s="55">
        <f t="shared" si="940"/>
        <v>117246.03000000001</v>
      </c>
      <c r="P144" s="59">
        <f t="shared" si="941"/>
        <v>387591.92597400007</v>
      </c>
      <c r="Q144" s="57">
        <f t="shared" si="942"/>
        <v>114724.61000000002</v>
      </c>
      <c r="R144" s="59">
        <f t="shared" si="943"/>
        <v>379256.61573800008</v>
      </c>
      <c r="S144" s="55">
        <f t="shared" si="944"/>
        <v>112203.19000000002</v>
      </c>
      <c r="T144" s="59">
        <f t="shared" si="945"/>
        <v>370921.30550200009</v>
      </c>
      <c r="U144" s="57">
        <f t="shared" si="946"/>
        <v>109681.77000000002</v>
      </c>
      <c r="V144" s="59">
        <f t="shared" si="947"/>
        <v>362585.99526600004</v>
      </c>
      <c r="W144" s="60">
        <f t="shared" si="948"/>
        <v>107160.35</v>
      </c>
      <c r="X144" s="59">
        <f t="shared" si="949"/>
        <v>354250.68503000005</v>
      </c>
      <c r="Y144" s="57">
        <f t="shared" si="950"/>
        <v>104638.93000000001</v>
      </c>
      <c r="Z144" s="59">
        <f t="shared" si="951"/>
        <v>345915.37479400006</v>
      </c>
      <c r="AA144" s="55">
        <f t="shared" si="952"/>
        <v>102117.51000000001</v>
      </c>
      <c r="AB144" s="59">
        <f t="shared" si="953"/>
        <v>337580.06455800001</v>
      </c>
      <c r="AC144" s="60">
        <f t="shared" si="954"/>
        <v>99596.09</v>
      </c>
      <c r="AD144" s="59">
        <f t="shared" si="955"/>
        <v>329244.75432200002</v>
      </c>
      <c r="AE144" s="60">
        <f t="shared" si="956"/>
        <v>97074.67</v>
      </c>
      <c r="AF144" s="59">
        <f t="shared" si="957"/>
        <v>320909.44408599997</v>
      </c>
      <c r="AG144" s="60">
        <f t="shared" si="958"/>
        <v>94553.25</v>
      </c>
      <c r="AH144" s="59">
        <f t="shared" si="959"/>
        <v>312574.13384999998</v>
      </c>
      <c r="AI144" s="55">
        <f t="shared" si="960"/>
        <v>92031.829999999987</v>
      </c>
      <c r="AJ144" s="59">
        <f t="shared" si="961"/>
        <v>304238.82361399994</v>
      </c>
      <c r="AK144" s="60">
        <f t="shared" si="962"/>
        <v>89510.409999999989</v>
      </c>
      <c r="AL144" s="59">
        <f t="shared" si="963"/>
        <v>295903.51337799995</v>
      </c>
      <c r="AM144" s="60">
        <f t="shared" si="964"/>
        <v>86988.989999999991</v>
      </c>
      <c r="AN144" s="59">
        <f t="shared" si="965"/>
        <v>287568.20314199995</v>
      </c>
      <c r="AO144" s="60">
        <f t="shared" si="966"/>
        <v>84467.569999999992</v>
      </c>
      <c r="AP144" s="59">
        <f t="shared" si="967"/>
        <v>279232.89290599996</v>
      </c>
      <c r="AQ144" s="60">
        <f t="shared" si="968"/>
        <v>81946.14999999998</v>
      </c>
      <c r="AR144" s="59">
        <f t="shared" si="969"/>
        <v>270897.58266999992</v>
      </c>
      <c r="AS144" s="55">
        <f t="shared" si="970"/>
        <v>79424.729999999981</v>
      </c>
      <c r="AT144" s="59">
        <f t="shared" si="971"/>
        <v>262562.27243399993</v>
      </c>
      <c r="AU144" s="60">
        <f t="shared" si="972"/>
        <v>76903.309999999983</v>
      </c>
      <c r="AV144" s="59">
        <f t="shared" si="973"/>
        <v>254226.96219799994</v>
      </c>
      <c r="AW144" s="60">
        <f t="shared" si="974"/>
        <v>74381.88999999997</v>
      </c>
      <c r="AX144" s="59">
        <f t="shared" si="975"/>
        <v>245891.65196199992</v>
      </c>
      <c r="AY144" s="55">
        <f t="shared" si="976"/>
        <v>71860.469999999972</v>
      </c>
      <c r="AZ144" s="59">
        <f t="shared" si="977"/>
        <v>237556.34172599993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78"/>
        <v>0.91</v>
      </c>
      <c r="BH144" s="55">
        <f t="shared" si="978"/>
        <v>0.89</v>
      </c>
      <c r="BI144" s="55">
        <f t="shared" si="978"/>
        <v>0.87</v>
      </c>
      <c r="BJ144" s="55">
        <f t="shared" si="978"/>
        <v>0.85</v>
      </c>
      <c r="BK144" s="55">
        <f t="shared" si="978"/>
        <v>0.83</v>
      </c>
      <c r="BL144" s="55">
        <f t="shared" si="978"/>
        <v>0.80999999999999994</v>
      </c>
      <c r="BM144" s="55">
        <f t="shared" si="978"/>
        <v>0.78999999999999992</v>
      </c>
      <c r="BN144" s="55">
        <f t="shared" si="978"/>
        <v>0.76999999999999991</v>
      </c>
      <c r="BO144" s="55">
        <f t="shared" si="978"/>
        <v>0.74999999999999989</v>
      </c>
      <c r="BP144" s="55">
        <f t="shared" si="978"/>
        <v>0.72999999999999987</v>
      </c>
      <c r="BQ144" s="55">
        <f t="shared" si="978"/>
        <v>0.70999999999999985</v>
      </c>
      <c r="BR144" s="55">
        <f t="shared" si="978"/>
        <v>0.68999999999999984</v>
      </c>
      <c r="BS144" s="55">
        <f t="shared" si="978"/>
        <v>0.66999999999999982</v>
      </c>
      <c r="BT144" s="55">
        <f t="shared" si="978"/>
        <v>0.6499999999999998</v>
      </c>
      <c r="BU144" s="55">
        <f t="shared" si="978"/>
        <v>0.62999999999999978</v>
      </c>
      <c r="BV144" s="55">
        <f t="shared" si="978"/>
        <v>0.60999999999999976</v>
      </c>
      <c r="BW144" s="55">
        <f t="shared" si="978"/>
        <v>0.58999999999999975</v>
      </c>
      <c r="BX144" s="55">
        <f t="shared" si="978"/>
        <v>0.56999999999999973</v>
      </c>
      <c r="BZ144" s="55">
        <f t="shared" si="508"/>
        <v>114724.61000000002</v>
      </c>
      <c r="CA144" s="55">
        <f t="shared" si="509"/>
        <v>114724.61000000002</v>
      </c>
      <c r="CB144" s="59">
        <f t="shared" si="979"/>
        <v>379256.61573800008</v>
      </c>
      <c r="CC144" s="55">
        <f t="shared" si="980"/>
        <v>111282.87170000002</v>
      </c>
      <c r="CD144" s="59">
        <f t="shared" si="981"/>
        <v>367878.91726586007</v>
      </c>
      <c r="CE144" s="55">
        <f t="shared" si="982"/>
        <v>108988.37950000001</v>
      </c>
      <c r="CF144" s="59">
        <f t="shared" si="983"/>
        <v>360293.78495110007</v>
      </c>
      <c r="CG144" s="55">
        <f t="shared" si="984"/>
        <v>106693.88730000002</v>
      </c>
      <c r="CH144" s="59">
        <f t="shared" si="985"/>
        <v>352708.65263634006</v>
      </c>
      <c r="CI144" s="57">
        <f t="shared" si="986"/>
        <v>104399.39510000002</v>
      </c>
      <c r="CJ144" s="59">
        <f t="shared" si="987"/>
        <v>345123.52032158006</v>
      </c>
      <c r="CK144" s="55">
        <f t="shared" si="988"/>
        <v>102104.90290000002</v>
      </c>
      <c r="CL144" s="59">
        <f t="shared" si="989"/>
        <v>337538.38800682005</v>
      </c>
      <c r="CM144" s="57">
        <f t="shared" si="990"/>
        <v>99810.410700000008</v>
      </c>
      <c r="CN144" s="59">
        <f t="shared" si="991"/>
        <v>329953.25569206005</v>
      </c>
      <c r="CO144" s="60">
        <f t="shared" si="992"/>
        <v>97515.918500000014</v>
      </c>
      <c r="CP144" s="59">
        <f t="shared" si="993"/>
        <v>322368.12337730004</v>
      </c>
      <c r="CQ144" s="57">
        <f t="shared" si="994"/>
        <v>95221.426300000006</v>
      </c>
      <c r="CR144" s="59">
        <f t="shared" si="995"/>
        <v>314782.99106254004</v>
      </c>
      <c r="CS144" s="55">
        <f t="shared" si="996"/>
        <v>92926.934099999999</v>
      </c>
      <c r="CT144" s="59">
        <f t="shared" si="997"/>
        <v>307197.85874777997</v>
      </c>
      <c r="CU144" s="60">
        <f t="shared" si="998"/>
        <v>90632.441900000005</v>
      </c>
      <c r="CV144" s="59">
        <f t="shared" si="999"/>
        <v>299612.72643302003</v>
      </c>
      <c r="CW144" s="60">
        <f t="shared" si="1000"/>
        <v>88337.949699999997</v>
      </c>
      <c r="CX144" s="59">
        <f t="shared" si="1001"/>
        <v>292027.59411826002</v>
      </c>
      <c r="CY144" s="60">
        <f t="shared" si="1002"/>
        <v>86043.457500000004</v>
      </c>
      <c r="CZ144" s="59">
        <f t="shared" si="1003"/>
        <v>284442.46180350002</v>
      </c>
      <c r="DA144" s="55">
        <f t="shared" si="1004"/>
        <v>83748.965299999996</v>
      </c>
      <c r="DB144" s="59">
        <f t="shared" si="1005"/>
        <v>276857.32948874001</v>
      </c>
      <c r="DC144" s="60">
        <f t="shared" si="1006"/>
        <v>81454.473099999988</v>
      </c>
      <c r="DD144" s="59">
        <f t="shared" si="1007"/>
        <v>269272.19717397995</v>
      </c>
      <c r="DE144" s="60">
        <f t="shared" si="1008"/>
        <v>79159.980899999995</v>
      </c>
      <c r="DF144" s="59">
        <f t="shared" si="1009"/>
        <v>261687.06485922</v>
      </c>
      <c r="DG144" s="60">
        <f t="shared" si="1010"/>
        <v>76865.488699999987</v>
      </c>
      <c r="DH144" s="59">
        <f t="shared" si="1011"/>
        <v>254101.93254445997</v>
      </c>
      <c r="DI144" s="60">
        <f t="shared" si="1012"/>
        <v>74570.996499999994</v>
      </c>
      <c r="DJ144" s="59">
        <f t="shared" si="1013"/>
        <v>246516.80022969999</v>
      </c>
      <c r="DK144" s="55">
        <f t="shared" si="1014"/>
        <v>72276.504299999986</v>
      </c>
      <c r="DL144" s="59">
        <f t="shared" si="1015"/>
        <v>238931.66791493996</v>
      </c>
      <c r="DM144" s="60">
        <f t="shared" si="1016"/>
        <v>69982.012099999978</v>
      </c>
      <c r="DN144" s="59">
        <f t="shared" si="1017"/>
        <v>231346.53560017992</v>
      </c>
      <c r="DO144" s="60">
        <f t="shared" si="1018"/>
        <v>67687.519899999985</v>
      </c>
      <c r="DP144" s="59">
        <f t="shared" si="1019"/>
        <v>223761.40328541995</v>
      </c>
      <c r="DQ144" s="55">
        <f t="shared" si="1020"/>
        <v>65393.027699999977</v>
      </c>
      <c r="DR144" s="59">
        <f t="shared" si="1021"/>
        <v>216176.27097065994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30"/>
        <v>0.91</v>
      </c>
      <c r="DZ144" s="55">
        <f t="shared" si="930"/>
        <v>0.89</v>
      </c>
      <c r="EA144" s="55">
        <f t="shared" si="930"/>
        <v>0.87</v>
      </c>
      <c r="EB144" s="55">
        <f t="shared" si="930"/>
        <v>0.85</v>
      </c>
      <c r="EC144" s="55">
        <f t="shared" si="930"/>
        <v>0.83</v>
      </c>
      <c r="ED144" s="55">
        <f t="shared" si="930"/>
        <v>0.80999999999999994</v>
      </c>
      <c r="EE144" s="55">
        <f t="shared" si="930"/>
        <v>0.78999999999999992</v>
      </c>
      <c r="EF144" s="55">
        <f t="shared" si="930"/>
        <v>0.76999999999999991</v>
      </c>
      <c r="EG144" s="55">
        <f t="shared" si="930"/>
        <v>0.74999999999999989</v>
      </c>
      <c r="EH144" s="55">
        <f t="shared" si="930"/>
        <v>0.72999999999999987</v>
      </c>
      <c r="EI144" s="55">
        <f t="shared" si="930"/>
        <v>0.70999999999999985</v>
      </c>
      <c r="EJ144" s="55">
        <f t="shared" si="930"/>
        <v>0.68999999999999984</v>
      </c>
      <c r="EK144" s="55">
        <f t="shared" si="930"/>
        <v>0.66999999999999982</v>
      </c>
      <c r="EL144" s="55">
        <f t="shared" si="930"/>
        <v>0.6499999999999998</v>
      </c>
      <c r="EM144" s="55">
        <f t="shared" si="930"/>
        <v>0.62999999999999978</v>
      </c>
      <c r="EN144" s="55">
        <f t="shared" si="930"/>
        <v>0.60999999999999976</v>
      </c>
      <c r="EO144" s="55">
        <f t="shared" si="930"/>
        <v>0.58999999999999975</v>
      </c>
      <c r="EP144" s="55">
        <f t="shared" si="930"/>
        <v>0.56999999999999973</v>
      </c>
      <c r="ER144" s="55">
        <f t="shared" si="648"/>
        <v>104399.39510000002</v>
      </c>
      <c r="ES144" s="55">
        <f t="shared" si="510"/>
        <v>104399.39510000002</v>
      </c>
      <c r="ET144" s="59">
        <f t="shared" si="1022"/>
        <v>345123.52032158006</v>
      </c>
      <c r="EU144" s="55">
        <f t="shared" si="1023"/>
        <v>101267.41324700002</v>
      </c>
      <c r="EV144" s="59">
        <f t="shared" si="1024"/>
        <v>334769.81471193267</v>
      </c>
      <c r="EW144" s="55">
        <f t="shared" si="1025"/>
        <v>99179.425345000011</v>
      </c>
      <c r="EX144" s="59">
        <f t="shared" si="1026"/>
        <v>327867.34430550103</v>
      </c>
      <c r="EY144" s="55">
        <f t="shared" si="1027"/>
        <v>97091.437443000032</v>
      </c>
      <c r="EZ144" s="59">
        <f t="shared" si="1028"/>
        <v>320964.8738990695</v>
      </c>
      <c r="FA144" s="57">
        <f t="shared" si="1029"/>
        <v>95003.449541000024</v>
      </c>
      <c r="FB144" s="59">
        <f t="shared" si="1030"/>
        <v>314062.40349263791</v>
      </c>
      <c r="FC144" s="55">
        <f t="shared" si="1031"/>
        <v>92915.461639000016</v>
      </c>
      <c r="FD144" s="59">
        <f t="shared" si="1032"/>
        <v>307159.93308620626</v>
      </c>
      <c r="FE144" s="57">
        <f t="shared" si="1033"/>
        <v>90827.473737000022</v>
      </c>
      <c r="FF144" s="59">
        <f t="shared" si="1034"/>
        <v>300257.46267977468</v>
      </c>
      <c r="FG144" s="60">
        <f t="shared" si="1035"/>
        <v>88739.485835000014</v>
      </c>
      <c r="FH144" s="59">
        <f t="shared" si="1036"/>
        <v>293354.99227334303</v>
      </c>
      <c r="FI144" s="57">
        <f t="shared" si="1037"/>
        <v>86651.497933000021</v>
      </c>
      <c r="FJ144" s="59">
        <f t="shared" si="1038"/>
        <v>286452.5218669115</v>
      </c>
      <c r="FK144" s="55">
        <f t="shared" si="1039"/>
        <v>84563.510031000013</v>
      </c>
      <c r="FL144" s="59">
        <f t="shared" si="1040"/>
        <v>279550.05146047985</v>
      </c>
      <c r="FM144" s="60">
        <f t="shared" si="1041"/>
        <v>82475.522129000004</v>
      </c>
      <c r="FN144" s="59">
        <f t="shared" si="1042"/>
        <v>272647.58105404821</v>
      </c>
      <c r="FO144" s="60">
        <f t="shared" si="1043"/>
        <v>80387.534227000011</v>
      </c>
      <c r="FP144" s="59">
        <f t="shared" si="1044"/>
        <v>265745.11064761662</v>
      </c>
      <c r="FQ144" s="60">
        <f t="shared" si="1045"/>
        <v>78299.546325000003</v>
      </c>
      <c r="FR144" s="59">
        <f t="shared" si="1046"/>
        <v>258842.64024118503</v>
      </c>
      <c r="FS144" s="55">
        <f t="shared" si="1047"/>
        <v>76211.558423000009</v>
      </c>
      <c r="FT144" s="59">
        <f t="shared" si="1048"/>
        <v>251940.16983475344</v>
      </c>
      <c r="FU144" s="60">
        <f t="shared" si="1049"/>
        <v>74123.570521000001</v>
      </c>
      <c r="FV144" s="59">
        <f t="shared" si="1050"/>
        <v>245037.69942832182</v>
      </c>
      <c r="FW144" s="60">
        <f t="shared" si="1051"/>
        <v>72035.582618999993</v>
      </c>
      <c r="FX144" s="59">
        <f t="shared" si="1052"/>
        <v>238135.22902189018</v>
      </c>
      <c r="FY144" s="60">
        <f t="shared" si="1053"/>
        <v>69947.594717</v>
      </c>
      <c r="FZ144" s="59">
        <f t="shared" si="1054"/>
        <v>231232.75861545862</v>
      </c>
      <c r="GA144" s="60">
        <f t="shared" si="1055"/>
        <v>67859.606814999992</v>
      </c>
      <c r="GB144" s="59">
        <f t="shared" si="1056"/>
        <v>224330.28820902697</v>
      </c>
      <c r="GC144" s="55">
        <f t="shared" si="1057"/>
        <v>65771.618912999998</v>
      </c>
      <c r="GD144" s="59">
        <f t="shared" si="1058"/>
        <v>217427.81780259541</v>
      </c>
      <c r="GE144" s="60">
        <f t="shared" si="1059"/>
        <v>63683.63101099999</v>
      </c>
      <c r="GF144" s="59">
        <f t="shared" si="1060"/>
        <v>210525.34739616376</v>
      </c>
      <c r="GG144" s="60">
        <f t="shared" si="1061"/>
        <v>61595.64310899999</v>
      </c>
      <c r="GH144" s="59">
        <f t="shared" si="1062"/>
        <v>203622.87698973218</v>
      </c>
      <c r="GI144" s="55">
        <f t="shared" si="1063"/>
        <v>59507.655206999982</v>
      </c>
      <c r="GJ144" s="59">
        <f t="shared" si="1064"/>
        <v>196720.40658330053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31"/>
        <v>0.91</v>
      </c>
      <c r="GR144" s="55">
        <f t="shared" si="931"/>
        <v>0.89</v>
      </c>
      <c r="GS144" s="55">
        <f t="shared" si="931"/>
        <v>0.87</v>
      </c>
      <c r="GT144" s="55">
        <f t="shared" si="931"/>
        <v>0.85</v>
      </c>
      <c r="GU144" s="55">
        <f t="shared" si="931"/>
        <v>0.83</v>
      </c>
      <c r="GV144" s="55">
        <f t="shared" si="931"/>
        <v>0.80999999999999994</v>
      </c>
      <c r="GW144" s="55">
        <f t="shared" si="931"/>
        <v>0.78999999999999992</v>
      </c>
      <c r="GX144" s="55">
        <f t="shared" si="931"/>
        <v>0.76999999999999991</v>
      </c>
      <c r="GY144" s="55">
        <f t="shared" si="931"/>
        <v>0.74999999999999989</v>
      </c>
      <c r="GZ144" s="55">
        <f t="shared" si="931"/>
        <v>0.72999999999999987</v>
      </c>
      <c r="HA144" s="55">
        <f t="shared" si="931"/>
        <v>0.70999999999999985</v>
      </c>
      <c r="HB144" s="55">
        <f t="shared" si="931"/>
        <v>0.68999999999999984</v>
      </c>
      <c r="HC144" s="55">
        <f t="shared" si="931"/>
        <v>0.66999999999999982</v>
      </c>
      <c r="HD144" s="55">
        <f t="shared" si="931"/>
        <v>0.6499999999999998</v>
      </c>
      <c r="HE144" s="55">
        <f t="shared" si="931"/>
        <v>0.62999999999999978</v>
      </c>
      <c r="HF144" s="55">
        <f t="shared" si="931"/>
        <v>0.60999999999999976</v>
      </c>
      <c r="HG144" s="55">
        <f t="shared" si="931"/>
        <v>0.58999999999999975</v>
      </c>
      <c r="HH144" s="55">
        <f t="shared" si="931"/>
        <v>0.56999999999999973</v>
      </c>
    </row>
    <row r="145" spans="1:216" x14ac:dyDescent="0.3">
      <c r="A145" s="2">
        <v>3</v>
      </c>
      <c r="C145" s="38" t="s">
        <v>50</v>
      </c>
      <c r="D145" s="42">
        <f>TRUNC(57812.2389747456,-1)</f>
        <v>57810</v>
      </c>
      <c r="E145" s="71">
        <f>TRUNC(+D145*3.3058,-1)</f>
        <v>191100</v>
      </c>
      <c r="H145" s="55">
        <f t="shared" si="505"/>
        <v>210210.00000000003</v>
      </c>
      <c r="I145" s="55">
        <f t="shared" si="506"/>
        <v>210210.00000000003</v>
      </c>
      <c r="J145" s="59">
        <f t="shared" si="507"/>
        <v>694912.21800000011</v>
      </c>
      <c r="K145" s="55">
        <f t="shared" si="936"/>
        <v>203903.7</v>
      </c>
      <c r="L145" s="59">
        <f t="shared" si="937"/>
        <v>674064.85146000003</v>
      </c>
      <c r="M145" s="55">
        <f t="shared" si="938"/>
        <v>199699.50000000003</v>
      </c>
      <c r="N145" s="59">
        <f t="shared" si="939"/>
        <v>660166.60710000014</v>
      </c>
      <c r="O145" s="55">
        <f t="shared" si="940"/>
        <v>195495.30000000005</v>
      </c>
      <c r="P145" s="59">
        <f t="shared" si="941"/>
        <v>646268.36274000013</v>
      </c>
      <c r="Q145" s="57">
        <f t="shared" si="942"/>
        <v>191291.10000000003</v>
      </c>
      <c r="R145" s="59">
        <f t="shared" si="943"/>
        <v>632370.11838000012</v>
      </c>
      <c r="S145" s="55">
        <f t="shared" si="944"/>
        <v>187086.90000000002</v>
      </c>
      <c r="T145" s="59">
        <f t="shared" si="945"/>
        <v>618471.8740200001</v>
      </c>
      <c r="U145" s="57">
        <f t="shared" si="946"/>
        <v>182882.7</v>
      </c>
      <c r="V145" s="59">
        <f t="shared" si="947"/>
        <v>604573.62966000009</v>
      </c>
      <c r="W145" s="60">
        <f t="shared" si="948"/>
        <v>178678.50000000003</v>
      </c>
      <c r="X145" s="59">
        <f t="shared" si="949"/>
        <v>590675.38530000008</v>
      </c>
      <c r="Y145" s="57">
        <f t="shared" si="950"/>
        <v>174474.30000000002</v>
      </c>
      <c r="Z145" s="59">
        <f t="shared" si="951"/>
        <v>576777.14094000007</v>
      </c>
      <c r="AA145" s="55">
        <f t="shared" si="952"/>
        <v>170270.1</v>
      </c>
      <c r="AB145" s="59">
        <f t="shared" si="953"/>
        <v>562878.89658000006</v>
      </c>
      <c r="AC145" s="60">
        <f t="shared" si="954"/>
        <v>166065.9</v>
      </c>
      <c r="AD145" s="59">
        <f t="shared" si="955"/>
        <v>548980.65222000005</v>
      </c>
      <c r="AE145" s="60">
        <f t="shared" si="956"/>
        <v>161861.70000000001</v>
      </c>
      <c r="AF145" s="59">
        <f t="shared" si="957"/>
        <v>535082.40786000004</v>
      </c>
      <c r="AG145" s="60">
        <f t="shared" si="958"/>
        <v>157657.5</v>
      </c>
      <c r="AH145" s="59">
        <f t="shared" si="959"/>
        <v>521184.16350000002</v>
      </c>
      <c r="AI145" s="55">
        <f t="shared" si="960"/>
        <v>153453.29999999999</v>
      </c>
      <c r="AJ145" s="59">
        <f t="shared" si="961"/>
        <v>507285.91913999995</v>
      </c>
      <c r="AK145" s="60">
        <f t="shared" si="962"/>
        <v>149249.09999999998</v>
      </c>
      <c r="AL145" s="59">
        <f t="shared" si="963"/>
        <v>493387.67477999994</v>
      </c>
      <c r="AM145" s="60">
        <f t="shared" si="964"/>
        <v>145044.9</v>
      </c>
      <c r="AN145" s="59">
        <f t="shared" si="965"/>
        <v>479489.43041999999</v>
      </c>
      <c r="AO145" s="60">
        <f t="shared" si="966"/>
        <v>140840.69999999998</v>
      </c>
      <c r="AP145" s="59">
        <f t="shared" si="967"/>
        <v>465591.18605999998</v>
      </c>
      <c r="AQ145" s="60">
        <f t="shared" si="968"/>
        <v>136636.49999999997</v>
      </c>
      <c r="AR145" s="59">
        <f t="shared" si="969"/>
        <v>451692.94169999991</v>
      </c>
      <c r="AS145" s="55">
        <f t="shared" si="970"/>
        <v>132432.29999999996</v>
      </c>
      <c r="AT145" s="59">
        <f t="shared" si="971"/>
        <v>437794.6973399999</v>
      </c>
      <c r="AU145" s="60">
        <f t="shared" si="972"/>
        <v>128228.09999999996</v>
      </c>
      <c r="AV145" s="59">
        <f t="shared" si="973"/>
        <v>423896.45297999989</v>
      </c>
      <c r="AW145" s="60">
        <f t="shared" si="974"/>
        <v>124023.89999999997</v>
      </c>
      <c r="AX145" s="59">
        <f t="shared" si="975"/>
        <v>409998.20861999987</v>
      </c>
      <c r="AY145" s="55">
        <f t="shared" si="976"/>
        <v>119819.69999999995</v>
      </c>
      <c r="AZ145" s="59">
        <f t="shared" si="977"/>
        <v>396099.96425999986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78"/>
        <v>0.91</v>
      </c>
      <c r="BH145" s="55">
        <f t="shared" si="978"/>
        <v>0.89</v>
      </c>
      <c r="BI145" s="55">
        <f t="shared" si="978"/>
        <v>0.87</v>
      </c>
      <c r="BJ145" s="55">
        <f t="shared" si="978"/>
        <v>0.85</v>
      </c>
      <c r="BK145" s="55">
        <f t="shared" si="978"/>
        <v>0.83</v>
      </c>
      <c r="BL145" s="55">
        <f t="shared" si="978"/>
        <v>0.80999999999999994</v>
      </c>
      <c r="BM145" s="55">
        <f t="shared" si="978"/>
        <v>0.78999999999999992</v>
      </c>
      <c r="BN145" s="55">
        <f t="shared" si="978"/>
        <v>0.76999999999999991</v>
      </c>
      <c r="BO145" s="55">
        <f t="shared" si="978"/>
        <v>0.74999999999999989</v>
      </c>
      <c r="BP145" s="55">
        <f t="shared" si="978"/>
        <v>0.72999999999999987</v>
      </c>
      <c r="BQ145" s="55">
        <f t="shared" si="978"/>
        <v>0.70999999999999985</v>
      </c>
      <c r="BR145" s="55">
        <f t="shared" si="978"/>
        <v>0.68999999999999984</v>
      </c>
      <c r="BS145" s="55">
        <f t="shared" si="978"/>
        <v>0.66999999999999982</v>
      </c>
      <c r="BT145" s="55">
        <f t="shared" si="978"/>
        <v>0.6499999999999998</v>
      </c>
      <c r="BU145" s="55">
        <f t="shared" si="978"/>
        <v>0.62999999999999978</v>
      </c>
      <c r="BV145" s="55">
        <f t="shared" si="978"/>
        <v>0.60999999999999976</v>
      </c>
      <c r="BW145" s="55">
        <f t="shared" si="978"/>
        <v>0.58999999999999975</v>
      </c>
      <c r="BX145" s="55">
        <f t="shared" si="978"/>
        <v>0.56999999999999973</v>
      </c>
      <c r="BZ145" s="55">
        <f t="shared" si="508"/>
        <v>191291.10000000003</v>
      </c>
      <c r="CA145" s="55">
        <f t="shared" si="509"/>
        <v>191291.10000000003</v>
      </c>
      <c r="CB145" s="59">
        <f t="shared" si="979"/>
        <v>632370.11838000012</v>
      </c>
      <c r="CC145" s="55">
        <f t="shared" si="980"/>
        <v>185552.36700000003</v>
      </c>
      <c r="CD145" s="59">
        <f t="shared" si="981"/>
        <v>613399.01482860011</v>
      </c>
      <c r="CE145" s="55">
        <f t="shared" si="982"/>
        <v>181726.54500000001</v>
      </c>
      <c r="CF145" s="59">
        <f t="shared" si="983"/>
        <v>600751.6124610001</v>
      </c>
      <c r="CG145" s="55">
        <f t="shared" si="984"/>
        <v>177900.72300000006</v>
      </c>
      <c r="CH145" s="59">
        <f t="shared" si="985"/>
        <v>588104.21009340021</v>
      </c>
      <c r="CI145" s="57">
        <f t="shared" si="986"/>
        <v>174074.90100000004</v>
      </c>
      <c r="CJ145" s="59">
        <f t="shared" si="987"/>
        <v>575456.8077258002</v>
      </c>
      <c r="CK145" s="55">
        <f t="shared" si="988"/>
        <v>170249.07900000003</v>
      </c>
      <c r="CL145" s="59">
        <f t="shared" si="989"/>
        <v>562809.40535820008</v>
      </c>
      <c r="CM145" s="57">
        <f t="shared" si="990"/>
        <v>166423.25700000004</v>
      </c>
      <c r="CN145" s="59">
        <f t="shared" si="991"/>
        <v>550162.00299060019</v>
      </c>
      <c r="CO145" s="60">
        <f t="shared" si="992"/>
        <v>162597.43500000003</v>
      </c>
      <c r="CP145" s="59">
        <f t="shared" si="993"/>
        <v>537514.60062300006</v>
      </c>
      <c r="CQ145" s="57">
        <f t="shared" si="994"/>
        <v>158771.61300000001</v>
      </c>
      <c r="CR145" s="59">
        <f t="shared" si="995"/>
        <v>524867.19825540006</v>
      </c>
      <c r="CS145" s="55">
        <f t="shared" si="996"/>
        <v>154945.79100000003</v>
      </c>
      <c r="CT145" s="59">
        <f t="shared" si="997"/>
        <v>512219.79588780011</v>
      </c>
      <c r="CU145" s="60">
        <f t="shared" si="998"/>
        <v>151119.96900000001</v>
      </c>
      <c r="CV145" s="59">
        <f t="shared" si="999"/>
        <v>499572.39352020004</v>
      </c>
      <c r="CW145" s="60">
        <f t="shared" si="1000"/>
        <v>147294.147</v>
      </c>
      <c r="CX145" s="59">
        <f t="shared" si="1001"/>
        <v>486924.99115259998</v>
      </c>
      <c r="CY145" s="60">
        <f t="shared" si="1002"/>
        <v>143468.32500000001</v>
      </c>
      <c r="CZ145" s="59">
        <f t="shared" si="1003"/>
        <v>474277.58878500003</v>
      </c>
      <c r="DA145" s="55">
        <f t="shared" si="1004"/>
        <v>139642.503</v>
      </c>
      <c r="DB145" s="59">
        <f t="shared" si="1005"/>
        <v>461630.18641740002</v>
      </c>
      <c r="DC145" s="60">
        <f t="shared" si="1006"/>
        <v>135816.68099999998</v>
      </c>
      <c r="DD145" s="59">
        <f t="shared" si="1007"/>
        <v>448982.78404979996</v>
      </c>
      <c r="DE145" s="60">
        <f t="shared" si="1008"/>
        <v>131990.859</v>
      </c>
      <c r="DF145" s="59">
        <f t="shared" si="1009"/>
        <v>436335.38168220001</v>
      </c>
      <c r="DG145" s="60">
        <f t="shared" si="1010"/>
        <v>128165.03699999998</v>
      </c>
      <c r="DH145" s="59">
        <f t="shared" si="1011"/>
        <v>423687.97931459994</v>
      </c>
      <c r="DI145" s="60">
        <f t="shared" si="1012"/>
        <v>124339.21499999998</v>
      </c>
      <c r="DJ145" s="59">
        <f t="shared" si="1013"/>
        <v>411040.57694699994</v>
      </c>
      <c r="DK145" s="55">
        <f t="shared" si="1014"/>
        <v>120513.39299999998</v>
      </c>
      <c r="DL145" s="59">
        <f t="shared" si="1015"/>
        <v>398393.17457939993</v>
      </c>
      <c r="DM145" s="60">
        <f t="shared" si="1016"/>
        <v>116687.57099999998</v>
      </c>
      <c r="DN145" s="59">
        <f t="shared" si="1017"/>
        <v>385745.77221179992</v>
      </c>
      <c r="DO145" s="60">
        <f t="shared" si="1018"/>
        <v>112861.74899999997</v>
      </c>
      <c r="DP145" s="59">
        <f t="shared" si="1019"/>
        <v>373098.36984419991</v>
      </c>
      <c r="DQ145" s="55">
        <f t="shared" si="1020"/>
        <v>109035.92699999997</v>
      </c>
      <c r="DR145" s="59">
        <f t="shared" si="1021"/>
        <v>360450.96747659991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30"/>
        <v>0.91</v>
      </c>
      <c r="DZ145" s="55">
        <f t="shared" si="930"/>
        <v>0.89</v>
      </c>
      <c r="EA145" s="55">
        <f t="shared" si="930"/>
        <v>0.87</v>
      </c>
      <c r="EB145" s="55">
        <f t="shared" si="930"/>
        <v>0.85</v>
      </c>
      <c r="EC145" s="55">
        <f t="shared" si="930"/>
        <v>0.83</v>
      </c>
      <c r="ED145" s="55">
        <f t="shared" si="930"/>
        <v>0.80999999999999994</v>
      </c>
      <c r="EE145" s="55">
        <f t="shared" si="930"/>
        <v>0.78999999999999992</v>
      </c>
      <c r="EF145" s="55">
        <f t="shared" si="930"/>
        <v>0.76999999999999991</v>
      </c>
      <c r="EG145" s="55">
        <f t="shared" si="930"/>
        <v>0.74999999999999989</v>
      </c>
      <c r="EH145" s="55">
        <f t="shared" si="930"/>
        <v>0.72999999999999987</v>
      </c>
      <c r="EI145" s="55">
        <f t="shared" si="930"/>
        <v>0.70999999999999985</v>
      </c>
      <c r="EJ145" s="55">
        <f t="shared" si="930"/>
        <v>0.68999999999999984</v>
      </c>
      <c r="EK145" s="55">
        <f t="shared" si="930"/>
        <v>0.66999999999999982</v>
      </c>
      <c r="EL145" s="55">
        <f t="shared" si="930"/>
        <v>0.6499999999999998</v>
      </c>
      <c r="EM145" s="55">
        <f t="shared" si="930"/>
        <v>0.62999999999999978</v>
      </c>
      <c r="EN145" s="55">
        <f t="shared" si="930"/>
        <v>0.60999999999999976</v>
      </c>
      <c r="EO145" s="55">
        <f t="shared" si="930"/>
        <v>0.58999999999999975</v>
      </c>
      <c r="EP145" s="55">
        <f t="shared" si="930"/>
        <v>0.56999999999999973</v>
      </c>
      <c r="ER145" s="55">
        <f t="shared" si="648"/>
        <v>174074.90100000004</v>
      </c>
      <c r="ES145" s="55">
        <f t="shared" si="510"/>
        <v>174074.90100000004</v>
      </c>
      <c r="ET145" s="59">
        <f t="shared" si="1022"/>
        <v>575456.8077258002</v>
      </c>
      <c r="EU145" s="55">
        <f t="shared" si="1023"/>
        <v>168852.65397000004</v>
      </c>
      <c r="EV145" s="59">
        <f t="shared" si="1024"/>
        <v>558193.10349402612</v>
      </c>
      <c r="EW145" s="55">
        <f t="shared" si="1025"/>
        <v>165371.15595000004</v>
      </c>
      <c r="EX145" s="59">
        <f t="shared" si="1026"/>
        <v>546683.96733951021</v>
      </c>
      <c r="EY145" s="55">
        <f t="shared" si="1027"/>
        <v>161889.65793000004</v>
      </c>
      <c r="EZ145" s="59">
        <f t="shared" si="1028"/>
        <v>535174.8311849942</v>
      </c>
      <c r="FA145" s="57">
        <f t="shared" si="1029"/>
        <v>158408.15991000005</v>
      </c>
      <c r="FB145" s="59">
        <f t="shared" si="1030"/>
        <v>523665.69503047818</v>
      </c>
      <c r="FC145" s="55">
        <f t="shared" si="1031"/>
        <v>154926.66189000005</v>
      </c>
      <c r="FD145" s="59">
        <f t="shared" si="1032"/>
        <v>512156.55887596216</v>
      </c>
      <c r="FE145" s="57">
        <f t="shared" si="1033"/>
        <v>151445.16387000005</v>
      </c>
      <c r="FF145" s="59">
        <f t="shared" si="1034"/>
        <v>500647.42272144614</v>
      </c>
      <c r="FG145" s="60">
        <f t="shared" si="1035"/>
        <v>147963.66585000002</v>
      </c>
      <c r="FH145" s="59">
        <f t="shared" si="1036"/>
        <v>489138.28656693007</v>
      </c>
      <c r="FI145" s="57">
        <f t="shared" si="1037"/>
        <v>144482.16783000002</v>
      </c>
      <c r="FJ145" s="59">
        <f t="shared" si="1038"/>
        <v>477629.15041241411</v>
      </c>
      <c r="FK145" s="55">
        <f t="shared" si="1039"/>
        <v>141000.66981000002</v>
      </c>
      <c r="FL145" s="59">
        <f t="shared" si="1040"/>
        <v>466120.01425789809</v>
      </c>
      <c r="FM145" s="60">
        <f t="shared" si="1041"/>
        <v>137519.17179000002</v>
      </c>
      <c r="FN145" s="59">
        <f t="shared" si="1042"/>
        <v>454610.87810338207</v>
      </c>
      <c r="FO145" s="60">
        <f t="shared" si="1043"/>
        <v>134037.67377000002</v>
      </c>
      <c r="FP145" s="59">
        <f t="shared" si="1044"/>
        <v>443101.74194886611</v>
      </c>
      <c r="FQ145" s="60">
        <f t="shared" si="1045"/>
        <v>130556.17575000001</v>
      </c>
      <c r="FR145" s="59">
        <f t="shared" si="1046"/>
        <v>431592.60579435003</v>
      </c>
      <c r="FS145" s="55">
        <f t="shared" si="1047"/>
        <v>127074.67773000001</v>
      </c>
      <c r="FT145" s="59">
        <f t="shared" si="1048"/>
        <v>420083.46963983402</v>
      </c>
      <c r="FU145" s="60">
        <f t="shared" si="1049"/>
        <v>123593.17971000001</v>
      </c>
      <c r="FV145" s="59">
        <f t="shared" si="1050"/>
        <v>408574.33348531806</v>
      </c>
      <c r="FW145" s="60">
        <f t="shared" si="1051"/>
        <v>120111.68169</v>
      </c>
      <c r="FX145" s="59">
        <f t="shared" si="1052"/>
        <v>397065.19733080198</v>
      </c>
      <c r="FY145" s="60">
        <f t="shared" si="1053"/>
        <v>116630.18367</v>
      </c>
      <c r="FZ145" s="59">
        <f t="shared" si="1054"/>
        <v>385556.06117628602</v>
      </c>
      <c r="GA145" s="60">
        <f t="shared" si="1055"/>
        <v>113148.68565</v>
      </c>
      <c r="GB145" s="59">
        <f t="shared" si="1056"/>
        <v>374046.92502177</v>
      </c>
      <c r="GC145" s="55">
        <f t="shared" si="1057"/>
        <v>109667.18762999999</v>
      </c>
      <c r="GD145" s="59">
        <f t="shared" si="1058"/>
        <v>362537.78886725398</v>
      </c>
      <c r="GE145" s="60">
        <f t="shared" si="1059"/>
        <v>106185.68960999999</v>
      </c>
      <c r="GF145" s="59">
        <f t="shared" si="1060"/>
        <v>351028.65271273797</v>
      </c>
      <c r="GG145" s="60">
        <f t="shared" si="1061"/>
        <v>102704.19158999999</v>
      </c>
      <c r="GH145" s="59">
        <f t="shared" si="1062"/>
        <v>339519.51655822195</v>
      </c>
      <c r="GI145" s="55">
        <f t="shared" si="1063"/>
        <v>99222.693569999974</v>
      </c>
      <c r="GJ145" s="59">
        <f t="shared" si="1064"/>
        <v>328010.38040370593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31"/>
        <v>0.91</v>
      </c>
      <c r="GR145" s="55">
        <f t="shared" si="931"/>
        <v>0.89</v>
      </c>
      <c r="GS145" s="55">
        <f t="shared" si="931"/>
        <v>0.87</v>
      </c>
      <c r="GT145" s="55">
        <f t="shared" si="931"/>
        <v>0.85</v>
      </c>
      <c r="GU145" s="55">
        <f t="shared" si="931"/>
        <v>0.83</v>
      </c>
      <c r="GV145" s="55">
        <f t="shared" si="931"/>
        <v>0.80999999999999994</v>
      </c>
      <c r="GW145" s="55">
        <f t="shared" si="931"/>
        <v>0.78999999999999992</v>
      </c>
      <c r="GX145" s="55">
        <f t="shared" si="931"/>
        <v>0.76999999999999991</v>
      </c>
      <c r="GY145" s="55">
        <f t="shared" si="931"/>
        <v>0.74999999999999989</v>
      </c>
      <c r="GZ145" s="55">
        <f t="shared" si="931"/>
        <v>0.72999999999999987</v>
      </c>
      <c r="HA145" s="55">
        <f t="shared" si="931"/>
        <v>0.70999999999999985</v>
      </c>
      <c r="HB145" s="55">
        <f t="shared" si="931"/>
        <v>0.68999999999999984</v>
      </c>
      <c r="HC145" s="55">
        <f t="shared" si="931"/>
        <v>0.66999999999999982</v>
      </c>
      <c r="HD145" s="55">
        <f t="shared" si="931"/>
        <v>0.6499999999999998</v>
      </c>
      <c r="HE145" s="55">
        <f t="shared" si="931"/>
        <v>0.62999999999999978</v>
      </c>
      <c r="HF145" s="55">
        <f t="shared" si="931"/>
        <v>0.60999999999999976</v>
      </c>
      <c r="HG145" s="55">
        <f t="shared" si="931"/>
        <v>0.58999999999999975</v>
      </c>
      <c r="HH145" s="55">
        <f t="shared" si="931"/>
        <v>0.56999999999999973</v>
      </c>
    </row>
    <row r="146" spans="1:216" x14ac:dyDescent="0.3">
      <c r="A146" s="2">
        <v>4</v>
      </c>
      <c r="C146" s="38" t="s">
        <v>47</v>
      </c>
      <c r="D146" s="42">
        <f>TRUNC(707.340180927252+12626.6192989069+7850.78533735394+77765.7482095741+89.1639653222767,-1)</f>
        <v>99030</v>
      </c>
      <c r="E146" s="71">
        <f>TRUNC(+D146*3.3058,-1)</f>
        <v>327370</v>
      </c>
      <c r="F146" s="2" t="s">
        <v>313</v>
      </c>
      <c r="H146" s="55">
        <f t="shared" si="505"/>
        <v>360107</v>
      </c>
      <c r="I146" s="55">
        <f t="shared" si="506"/>
        <v>360107</v>
      </c>
      <c r="J146" s="59">
        <f t="shared" si="507"/>
        <v>1190441.7206000001</v>
      </c>
      <c r="K146" s="55">
        <f t="shared" si="936"/>
        <v>349303.79</v>
      </c>
      <c r="L146" s="59">
        <f t="shared" si="937"/>
        <v>1154728.4689819999</v>
      </c>
      <c r="M146" s="55">
        <f t="shared" si="938"/>
        <v>342101.64999999997</v>
      </c>
      <c r="N146" s="59">
        <f t="shared" si="939"/>
        <v>1130919.63457</v>
      </c>
      <c r="O146" s="55">
        <f t="shared" si="940"/>
        <v>334899.51</v>
      </c>
      <c r="P146" s="59">
        <f t="shared" si="941"/>
        <v>1107110.8001580001</v>
      </c>
      <c r="Q146" s="57">
        <f t="shared" si="942"/>
        <v>327697.37</v>
      </c>
      <c r="R146" s="59">
        <f t="shared" si="943"/>
        <v>1083301.9657459999</v>
      </c>
      <c r="S146" s="55">
        <f t="shared" si="944"/>
        <v>320495.23</v>
      </c>
      <c r="T146" s="59">
        <f t="shared" si="945"/>
        <v>1059493.131334</v>
      </c>
      <c r="U146" s="57">
        <f t="shared" si="946"/>
        <v>313293.09000000003</v>
      </c>
      <c r="V146" s="59">
        <f t="shared" si="947"/>
        <v>1035684.2969220001</v>
      </c>
      <c r="W146" s="60">
        <f t="shared" si="948"/>
        <v>306090.95</v>
      </c>
      <c r="X146" s="59">
        <f t="shared" si="949"/>
        <v>1011875.4625100001</v>
      </c>
      <c r="Y146" s="57">
        <f t="shared" si="950"/>
        <v>298888.81</v>
      </c>
      <c r="Z146" s="59">
        <f t="shared" si="951"/>
        <v>988066.62809799996</v>
      </c>
      <c r="AA146" s="55">
        <f t="shared" si="952"/>
        <v>291686.67</v>
      </c>
      <c r="AB146" s="59">
        <f t="shared" si="953"/>
        <v>964257.79368599993</v>
      </c>
      <c r="AC146" s="60">
        <f t="shared" si="954"/>
        <v>284484.52999999997</v>
      </c>
      <c r="AD146" s="59">
        <f t="shared" si="955"/>
        <v>940448.95927399991</v>
      </c>
      <c r="AE146" s="60">
        <f t="shared" si="956"/>
        <v>277282.38999999996</v>
      </c>
      <c r="AF146" s="59">
        <f t="shared" si="957"/>
        <v>916640.12486199988</v>
      </c>
      <c r="AG146" s="60">
        <f t="shared" si="958"/>
        <v>270080.24999999994</v>
      </c>
      <c r="AH146" s="59">
        <f t="shared" si="959"/>
        <v>892831.29044999985</v>
      </c>
      <c r="AI146" s="55">
        <f t="shared" si="960"/>
        <v>262878.10999999993</v>
      </c>
      <c r="AJ146" s="59">
        <f t="shared" si="961"/>
        <v>869022.45603799983</v>
      </c>
      <c r="AK146" s="60">
        <f t="shared" si="962"/>
        <v>255675.96999999994</v>
      </c>
      <c r="AL146" s="59">
        <f t="shared" si="963"/>
        <v>845213.6216259998</v>
      </c>
      <c r="AM146" s="60">
        <f t="shared" si="964"/>
        <v>248473.82999999993</v>
      </c>
      <c r="AN146" s="59">
        <f t="shared" si="965"/>
        <v>821404.78721399978</v>
      </c>
      <c r="AO146" s="60">
        <f t="shared" si="966"/>
        <v>241271.68999999994</v>
      </c>
      <c r="AP146" s="59">
        <f t="shared" si="967"/>
        <v>797595.95280199987</v>
      </c>
      <c r="AQ146" s="60">
        <f t="shared" si="968"/>
        <v>234069.54999999993</v>
      </c>
      <c r="AR146" s="59">
        <f t="shared" si="969"/>
        <v>773787.11838999984</v>
      </c>
      <c r="AS146" s="55">
        <f t="shared" si="970"/>
        <v>226867.40999999992</v>
      </c>
      <c r="AT146" s="59">
        <f t="shared" si="971"/>
        <v>749978.2839779997</v>
      </c>
      <c r="AU146" s="60">
        <f t="shared" si="972"/>
        <v>219665.2699999999</v>
      </c>
      <c r="AV146" s="59">
        <f t="shared" si="973"/>
        <v>726169.44956599968</v>
      </c>
      <c r="AW146" s="60">
        <f t="shared" si="974"/>
        <v>212463.12999999992</v>
      </c>
      <c r="AX146" s="59">
        <f t="shared" si="975"/>
        <v>702360.61515399977</v>
      </c>
      <c r="AY146" s="55">
        <f t="shared" si="976"/>
        <v>205260.9899999999</v>
      </c>
      <c r="AZ146" s="59">
        <f t="shared" si="977"/>
        <v>678551.78074199974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78"/>
        <v>0.91</v>
      </c>
      <c r="BH146" s="55">
        <f t="shared" si="978"/>
        <v>0.89</v>
      </c>
      <c r="BI146" s="55">
        <f t="shared" si="978"/>
        <v>0.87</v>
      </c>
      <c r="BJ146" s="55">
        <f t="shared" si="978"/>
        <v>0.85</v>
      </c>
      <c r="BK146" s="55">
        <f t="shared" si="978"/>
        <v>0.83</v>
      </c>
      <c r="BL146" s="55">
        <f t="shared" si="978"/>
        <v>0.80999999999999994</v>
      </c>
      <c r="BM146" s="55">
        <f t="shared" si="978"/>
        <v>0.78999999999999992</v>
      </c>
      <c r="BN146" s="55">
        <f t="shared" si="978"/>
        <v>0.76999999999999991</v>
      </c>
      <c r="BO146" s="55">
        <f t="shared" si="978"/>
        <v>0.74999999999999989</v>
      </c>
      <c r="BP146" s="55">
        <f t="shared" si="978"/>
        <v>0.72999999999999987</v>
      </c>
      <c r="BQ146" s="55">
        <f t="shared" si="978"/>
        <v>0.70999999999999985</v>
      </c>
      <c r="BR146" s="55">
        <f t="shared" si="978"/>
        <v>0.68999999999999984</v>
      </c>
      <c r="BS146" s="55">
        <f t="shared" si="978"/>
        <v>0.66999999999999982</v>
      </c>
      <c r="BT146" s="55">
        <f t="shared" si="978"/>
        <v>0.6499999999999998</v>
      </c>
      <c r="BU146" s="55">
        <f t="shared" si="978"/>
        <v>0.62999999999999978</v>
      </c>
      <c r="BV146" s="55">
        <f t="shared" si="978"/>
        <v>0.60999999999999976</v>
      </c>
      <c r="BW146" s="55">
        <f t="shared" si="978"/>
        <v>0.58999999999999975</v>
      </c>
      <c r="BX146" s="55">
        <f t="shared" si="978"/>
        <v>0.56999999999999973</v>
      </c>
      <c r="BZ146" s="55">
        <f t="shared" si="508"/>
        <v>327697.37</v>
      </c>
      <c r="CA146" s="55">
        <f t="shared" si="509"/>
        <v>327697.37</v>
      </c>
      <c r="CB146" s="59">
        <f t="shared" si="979"/>
        <v>1083301.9657459999</v>
      </c>
      <c r="CC146" s="55">
        <f t="shared" si="980"/>
        <v>317866.44889999996</v>
      </c>
      <c r="CD146" s="59">
        <f t="shared" si="981"/>
        <v>1050802.9067736198</v>
      </c>
      <c r="CE146" s="55">
        <f t="shared" si="982"/>
        <v>311312.50149999995</v>
      </c>
      <c r="CF146" s="59">
        <f t="shared" si="983"/>
        <v>1029136.8674586999</v>
      </c>
      <c r="CG146" s="55">
        <f t="shared" si="984"/>
        <v>304758.55410000001</v>
      </c>
      <c r="CH146" s="59">
        <f t="shared" si="985"/>
        <v>1007470.82814378</v>
      </c>
      <c r="CI146" s="57">
        <f t="shared" si="986"/>
        <v>298204.6067</v>
      </c>
      <c r="CJ146" s="59">
        <f t="shared" si="987"/>
        <v>985804.78882886004</v>
      </c>
      <c r="CK146" s="55">
        <f t="shared" si="988"/>
        <v>291650.6593</v>
      </c>
      <c r="CL146" s="59">
        <f t="shared" si="989"/>
        <v>964138.74951394007</v>
      </c>
      <c r="CM146" s="57">
        <f t="shared" si="990"/>
        <v>285096.71189999999</v>
      </c>
      <c r="CN146" s="59">
        <f t="shared" si="991"/>
        <v>942472.71019901999</v>
      </c>
      <c r="CO146" s="60">
        <f t="shared" si="992"/>
        <v>278542.76449999999</v>
      </c>
      <c r="CP146" s="59">
        <f t="shared" si="993"/>
        <v>920806.67088410002</v>
      </c>
      <c r="CQ146" s="57">
        <f t="shared" si="994"/>
        <v>271988.81709999999</v>
      </c>
      <c r="CR146" s="59">
        <f t="shared" si="995"/>
        <v>899140.63156917994</v>
      </c>
      <c r="CS146" s="55">
        <f t="shared" si="996"/>
        <v>265434.86969999998</v>
      </c>
      <c r="CT146" s="59">
        <f t="shared" si="997"/>
        <v>877474.59225425997</v>
      </c>
      <c r="CU146" s="60">
        <f t="shared" si="998"/>
        <v>258880.92229999998</v>
      </c>
      <c r="CV146" s="59">
        <f t="shared" si="999"/>
        <v>855808.55293933989</v>
      </c>
      <c r="CW146" s="60">
        <f t="shared" si="1000"/>
        <v>252326.97489999997</v>
      </c>
      <c r="CX146" s="59">
        <f t="shared" si="1001"/>
        <v>834142.51362441992</v>
      </c>
      <c r="CY146" s="60">
        <f t="shared" si="1002"/>
        <v>245773.02749999997</v>
      </c>
      <c r="CZ146" s="59">
        <f t="shared" si="1003"/>
        <v>812476.47430949996</v>
      </c>
      <c r="DA146" s="55">
        <f t="shared" si="1004"/>
        <v>239219.08009999996</v>
      </c>
      <c r="DB146" s="59">
        <f t="shared" si="1005"/>
        <v>790810.43499457987</v>
      </c>
      <c r="DC146" s="60">
        <f t="shared" si="1006"/>
        <v>232665.13269999996</v>
      </c>
      <c r="DD146" s="59">
        <f t="shared" si="1007"/>
        <v>769144.39567965991</v>
      </c>
      <c r="DE146" s="60">
        <f t="shared" si="1008"/>
        <v>226111.18529999995</v>
      </c>
      <c r="DF146" s="59">
        <f t="shared" si="1009"/>
        <v>747478.35636473983</v>
      </c>
      <c r="DG146" s="60">
        <f t="shared" si="1010"/>
        <v>219557.23789999995</v>
      </c>
      <c r="DH146" s="59">
        <f t="shared" si="1011"/>
        <v>725812.31704981986</v>
      </c>
      <c r="DI146" s="60">
        <f t="shared" si="1012"/>
        <v>213003.29049999994</v>
      </c>
      <c r="DJ146" s="59">
        <f t="shared" si="1013"/>
        <v>704146.27773489978</v>
      </c>
      <c r="DK146" s="55">
        <f t="shared" si="1014"/>
        <v>206449.34309999994</v>
      </c>
      <c r="DL146" s="59">
        <f t="shared" si="1015"/>
        <v>682480.23841997981</v>
      </c>
      <c r="DM146" s="60">
        <f t="shared" si="1016"/>
        <v>199895.39569999991</v>
      </c>
      <c r="DN146" s="59">
        <f t="shared" si="1017"/>
        <v>660814.19910505973</v>
      </c>
      <c r="DO146" s="60">
        <f t="shared" si="1018"/>
        <v>193341.4482999999</v>
      </c>
      <c r="DP146" s="59">
        <f t="shared" si="1019"/>
        <v>639148.15979013965</v>
      </c>
      <c r="DQ146" s="55">
        <f t="shared" si="1020"/>
        <v>186787.5008999999</v>
      </c>
      <c r="DR146" s="59">
        <f t="shared" si="1021"/>
        <v>617482.12047521968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30"/>
        <v>0.91</v>
      </c>
      <c r="DZ146" s="55">
        <f t="shared" si="930"/>
        <v>0.89</v>
      </c>
      <c r="EA146" s="55">
        <f t="shared" si="930"/>
        <v>0.87</v>
      </c>
      <c r="EB146" s="55">
        <f t="shared" si="930"/>
        <v>0.85</v>
      </c>
      <c r="EC146" s="55">
        <f t="shared" si="930"/>
        <v>0.83</v>
      </c>
      <c r="ED146" s="55">
        <f t="shared" si="930"/>
        <v>0.80999999999999994</v>
      </c>
      <c r="EE146" s="55">
        <f t="shared" si="930"/>
        <v>0.78999999999999992</v>
      </c>
      <c r="EF146" s="55">
        <f t="shared" si="930"/>
        <v>0.76999999999999991</v>
      </c>
      <c r="EG146" s="55">
        <f t="shared" si="930"/>
        <v>0.74999999999999989</v>
      </c>
      <c r="EH146" s="55">
        <f t="shared" si="930"/>
        <v>0.72999999999999987</v>
      </c>
      <c r="EI146" s="55">
        <f t="shared" si="930"/>
        <v>0.70999999999999985</v>
      </c>
      <c r="EJ146" s="55">
        <f t="shared" si="930"/>
        <v>0.68999999999999984</v>
      </c>
      <c r="EK146" s="55">
        <f t="shared" si="930"/>
        <v>0.66999999999999982</v>
      </c>
      <c r="EL146" s="55">
        <f t="shared" si="930"/>
        <v>0.6499999999999998</v>
      </c>
      <c r="EM146" s="55">
        <f t="shared" si="930"/>
        <v>0.62999999999999978</v>
      </c>
      <c r="EN146" s="55">
        <f t="shared" si="930"/>
        <v>0.60999999999999976</v>
      </c>
      <c r="EO146" s="55">
        <f t="shared" si="930"/>
        <v>0.58999999999999975</v>
      </c>
      <c r="EP146" s="55">
        <f t="shared" si="930"/>
        <v>0.56999999999999973</v>
      </c>
      <c r="ER146" s="55">
        <f t="shared" si="648"/>
        <v>298204.6067</v>
      </c>
      <c r="ES146" s="55">
        <f t="shared" si="510"/>
        <v>298204.6067</v>
      </c>
      <c r="ET146" s="59">
        <f t="shared" si="1022"/>
        <v>985804.78882886004</v>
      </c>
      <c r="EU146" s="55">
        <f t="shared" si="1023"/>
        <v>289258.46849900001</v>
      </c>
      <c r="EV146" s="59">
        <f t="shared" si="1024"/>
        <v>956230.64516399428</v>
      </c>
      <c r="EW146" s="55">
        <f t="shared" si="1025"/>
        <v>283294.37636499997</v>
      </c>
      <c r="EX146" s="59">
        <f t="shared" si="1026"/>
        <v>936514.54938741692</v>
      </c>
      <c r="EY146" s="55">
        <f t="shared" si="1027"/>
        <v>277330.284231</v>
      </c>
      <c r="EZ146" s="59">
        <f t="shared" si="1028"/>
        <v>916798.45361083979</v>
      </c>
      <c r="FA146" s="57">
        <f t="shared" si="1029"/>
        <v>271366.19209700002</v>
      </c>
      <c r="FB146" s="59">
        <f t="shared" si="1030"/>
        <v>897082.35783426266</v>
      </c>
      <c r="FC146" s="55">
        <f t="shared" si="1031"/>
        <v>265402.09996299999</v>
      </c>
      <c r="FD146" s="59">
        <f t="shared" si="1032"/>
        <v>877366.26205768541</v>
      </c>
      <c r="FE146" s="57">
        <f t="shared" si="1033"/>
        <v>259438.00782900001</v>
      </c>
      <c r="FF146" s="59">
        <f t="shared" si="1034"/>
        <v>857650.16628110828</v>
      </c>
      <c r="FG146" s="60">
        <f t="shared" si="1035"/>
        <v>253473.915695</v>
      </c>
      <c r="FH146" s="59">
        <f t="shared" si="1036"/>
        <v>837934.07050453103</v>
      </c>
      <c r="FI146" s="57">
        <f t="shared" si="1037"/>
        <v>247509.823561</v>
      </c>
      <c r="FJ146" s="59">
        <f t="shared" si="1038"/>
        <v>818217.97472795378</v>
      </c>
      <c r="FK146" s="55">
        <f t="shared" si="1039"/>
        <v>241545.73142699999</v>
      </c>
      <c r="FL146" s="59">
        <f t="shared" si="1040"/>
        <v>798501.87895137654</v>
      </c>
      <c r="FM146" s="60">
        <f t="shared" si="1041"/>
        <v>235581.63929299999</v>
      </c>
      <c r="FN146" s="59">
        <f t="shared" si="1042"/>
        <v>778785.78317479941</v>
      </c>
      <c r="FO146" s="60">
        <f t="shared" si="1043"/>
        <v>229617.54715899998</v>
      </c>
      <c r="FP146" s="59">
        <f t="shared" si="1044"/>
        <v>759069.68739822216</v>
      </c>
      <c r="FQ146" s="60">
        <f t="shared" si="1045"/>
        <v>223653.45502499997</v>
      </c>
      <c r="FR146" s="59">
        <f t="shared" si="1046"/>
        <v>739353.59162164491</v>
      </c>
      <c r="FS146" s="55">
        <f t="shared" si="1047"/>
        <v>217689.36289099997</v>
      </c>
      <c r="FT146" s="59">
        <f t="shared" si="1048"/>
        <v>719637.49584506766</v>
      </c>
      <c r="FU146" s="60">
        <f t="shared" si="1049"/>
        <v>211725.27075699996</v>
      </c>
      <c r="FV146" s="59">
        <f t="shared" si="1050"/>
        <v>699921.40006849053</v>
      </c>
      <c r="FW146" s="60">
        <f t="shared" si="1051"/>
        <v>205761.17862299996</v>
      </c>
      <c r="FX146" s="59">
        <f t="shared" si="1052"/>
        <v>680205.30429191329</v>
      </c>
      <c r="FY146" s="60">
        <f t="shared" si="1053"/>
        <v>199797.08648899995</v>
      </c>
      <c r="FZ146" s="59">
        <f t="shared" si="1054"/>
        <v>660489.20851533604</v>
      </c>
      <c r="GA146" s="60">
        <f t="shared" si="1055"/>
        <v>193832.99435499994</v>
      </c>
      <c r="GB146" s="59">
        <f t="shared" si="1056"/>
        <v>640773.11273875879</v>
      </c>
      <c r="GC146" s="55">
        <f t="shared" si="1057"/>
        <v>187868.90222099994</v>
      </c>
      <c r="GD146" s="59">
        <f t="shared" si="1058"/>
        <v>621057.01696218166</v>
      </c>
      <c r="GE146" s="60">
        <f t="shared" si="1059"/>
        <v>181904.81008699993</v>
      </c>
      <c r="GF146" s="59">
        <f t="shared" si="1060"/>
        <v>601340.92118560441</v>
      </c>
      <c r="GG146" s="60">
        <f t="shared" si="1061"/>
        <v>175940.71795299993</v>
      </c>
      <c r="GH146" s="59">
        <f t="shared" si="1062"/>
        <v>581624.82540902717</v>
      </c>
      <c r="GI146" s="55">
        <f t="shared" si="1063"/>
        <v>169976.62581899992</v>
      </c>
      <c r="GJ146" s="59">
        <f t="shared" si="1064"/>
        <v>561908.72963244992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31"/>
        <v>0.91</v>
      </c>
      <c r="GR146" s="55">
        <f t="shared" si="931"/>
        <v>0.89</v>
      </c>
      <c r="GS146" s="55">
        <f t="shared" si="931"/>
        <v>0.87</v>
      </c>
      <c r="GT146" s="55">
        <f t="shared" si="931"/>
        <v>0.85</v>
      </c>
      <c r="GU146" s="55">
        <f t="shared" si="931"/>
        <v>0.83</v>
      </c>
      <c r="GV146" s="55">
        <f t="shared" si="931"/>
        <v>0.80999999999999994</v>
      </c>
      <c r="GW146" s="55">
        <f t="shared" si="931"/>
        <v>0.78999999999999992</v>
      </c>
      <c r="GX146" s="55">
        <f t="shared" si="931"/>
        <v>0.76999999999999991</v>
      </c>
      <c r="GY146" s="55">
        <f t="shared" si="931"/>
        <v>0.74999999999999989</v>
      </c>
      <c r="GZ146" s="55">
        <f t="shared" si="931"/>
        <v>0.72999999999999987</v>
      </c>
      <c r="HA146" s="55">
        <f t="shared" si="931"/>
        <v>0.70999999999999985</v>
      </c>
      <c r="HB146" s="55">
        <f t="shared" si="931"/>
        <v>0.68999999999999984</v>
      </c>
      <c r="HC146" s="55">
        <f t="shared" si="931"/>
        <v>0.66999999999999982</v>
      </c>
      <c r="HD146" s="55">
        <f t="shared" si="931"/>
        <v>0.6499999999999998</v>
      </c>
      <c r="HE146" s="55">
        <f t="shared" si="931"/>
        <v>0.62999999999999978</v>
      </c>
      <c r="HF146" s="55">
        <f t="shared" si="931"/>
        <v>0.60999999999999976</v>
      </c>
      <c r="HG146" s="55">
        <f t="shared" si="931"/>
        <v>0.58999999999999975</v>
      </c>
      <c r="HH146" s="55">
        <f t="shared" si="931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f>TRUNC(5930.45608744817,-1)</f>
        <v>5930</v>
      </c>
      <c r="E147" s="72">
        <f>TRUNC(+D147*3.3058,-1)</f>
        <v>19600</v>
      </c>
      <c r="H147" s="55">
        <f t="shared" si="505"/>
        <v>21560</v>
      </c>
      <c r="I147" s="55">
        <f t="shared" si="506"/>
        <v>21560</v>
      </c>
      <c r="J147" s="59">
        <f t="shared" si="507"/>
        <v>71273.047999999995</v>
      </c>
      <c r="K147" s="55">
        <f t="shared" si="936"/>
        <v>20913.2</v>
      </c>
      <c r="L147" s="59">
        <f t="shared" si="937"/>
        <v>69134.85656</v>
      </c>
      <c r="M147" s="55">
        <f t="shared" si="938"/>
        <v>20482</v>
      </c>
      <c r="N147" s="59">
        <f t="shared" si="939"/>
        <v>67709.395600000003</v>
      </c>
      <c r="O147" s="55">
        <f t="shared" si="940"/>
        <v>20050.8</v>
      </c>
      <c r="P147" s="59">
        <f t="shared" si="941"/>
        <v>66283.934639999992</v>
      </c>
      <c r="Q147" s="57">
        <f t="shared" si="942"/>
        <v>19619.600000000002</v>
      </c>
      <c r="R147" s="59">
        <f t="shared" si="943"/>
        <v>64858.47368000001</v>
      </c>
      <c r="S147" s="55">
        <f t="shared" si="944"/>
        <v>19188.400000000001</v>
      </c>
      <c r="T147" s="59">
        <f t="shared" si="945"/>
        <v>63433.012720000006</v>
      </c>
      <c r="U147" s="57">
        <f t="shared" si="946"/>
        <v>18757.2</v>
      </c>
      <c r="V147" s="59">
        <f t="shared" si="947"/>
        <v>62007.551760000002</v>
      </c>
      <c r="W147" s="60">
        <f t="shared" si="948"/>
        <v>18326</v>
      </c>
      <c r="X147" s="59">
        <f t="shared" si="949"/>
        <v>60582.090799999998</v>
      </c>
      <c r="Y147" s="57">
        <f t="shared" si="950"/>
        <v>17894.8</v>
      </c>
      <c r="Z147" s="59">
        <f t="shared" si="951"/>
        <v>59156.629840000001</v>
      </c>
      <c r="AA147" s="55">
        <f t="shared" si="952"/>
        <v>17463.599999999999</v>
      </c>
      <c r="AB147" s="59">
        <f t="shared" si="953"/>
        <v>57731.168879999997</v>
      </c>
      <c r="AC147" s="60">
        <f t="shared" si="954"/>
        <v>17032.399999999998</v>
      </c>
      <c r="AD147" s="59">
        <f t="shared" si="955"/>
        <v>56305.707919999993</v>
      </c>
      <c r="AE147" s="60">
        <f t="shared" si="956"/>
        <v>16601.199999999997</v>
      </c>
      <c r="AF147" s="59">
        <f t="shared" si="957"/>
        <v>54880.246959999989</v>
      </c>
      <c r="AG147" s="60">
        <f t="shared" si="958"/>
        <v>16169.999999999998</v>
      </c>
      <c r="AH147" s="59">
        <f t="shared" si="959"/>
        <v>53454.785999999993</v>
      </c>
      <c r="AI147" s="55">
        <f t="shared" si="960"/>
        <v>15738.799999999997</v>
      </c>
      <c r="AJ147" s="59">
        <f t="shared" si="961"/>
        <v>52029.325039999996</v>
      </c>
      <c r="AK147" s="60">
        <f t="shared" si="962"/>
        <v>15307.599999999997</v>
      </c>
      <c r="AL147" s="59">
        <f t="shared" si="963"/>
        <v>50603.864079999992</v>
      </c>
      <c r="AM147" s="60">
        <f t="shared" si="964"/>
        <v>14876.399999999996</v>
      </c>
      <c r="AN147" s="59">
        <f t="shared" si="965"/>
        <v>49178.403119999988</v>
      </c>
      <c r="AO147" s="60">
        <f t="shared" si="966"/>
        <v>14445.199999999995</v>
      </c>
      <c r="AP147" s="59">
        <f t="shared" si="967"/>
        <v>47752.942159999984</v>
      </c>
      <c r="AQ147" s="60">
        <f t="shared" si="968"/>
        <v>14013.999999999996</v>
      </c>
      <c r="AR147" s="59">
        <f t="shared" si="969"/>
        <v>46327.481199999987</v>
      </c>
      <c r="AS147" s="55">
        <f t="shared" si="970"/>
        <v>13582.799999999996</v>
      </c>
      <c r="AT147" s="59">
        <f t="shared" si="971"/>
        <v>44902.020239999983</v>
      </c>
      <c r="AU147" s="60">
        <f t="shared" si="972"/>
        <v>13151.599999999995</v>
      </c>
      <c r="AV147" s="59">
        <f t="shared" si="973"/>
        <v>43476.559279999987</v>
      </c>
      <c r="AW147" s="60">
        <f t="shared" si="974"/>
        <v>12720.399999999994</v>
      </c>
      <c r="AX147" s="59">
        <f t="shared" si="975"/>
        <v>42051.098319999983</v>
      </c>
      <c r="AY147" s="55">
        <f t="shared" si="976"/>
        <v>12289.199999999993</v>
      </c>
      <c r="AZ147" s="59">
        <f t="shared" si="977"/>
        <v>40625.637359999979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78"/>
        <v>0.91</v>
      </c>
      <c r="BH147" s="55">
        <f t="shared" si="978"/>
        <v>0.89</v>
      </c>
      <c r="BI147" s="55">
        <f t="shared" si="978"/>
        <v>0.87</v>
      </c>
      <c r="BJ147" s="55">
        <f t="shared" si="978"/>
        <v>0.85</v>
      </c>
      <c r="BK147" s="55">
        <f t="shared" si="978"/>
        <v>0.83</v>
      </c>
      <c r="BL147" s="55">
        <f t="shared" si="978"/>
        <v>0.80999999999999994</v>
      </c>
      <c r="BM147" s="55">
        <f t="shared" si="978"/>
        <v>0.78999999999999992</v>
      </c>
      <c r="BN147" s="55">
        <f t="shared" si="978"/>
        <v>0.76999999999999991</v>
      </c>
      <c r="BO147" s="55">
        <f t="shared" si="978"/>
        <v>0.74999999999999989</v>
      </c>
      <c r="BP147" s="55">
        <f t="shared" si="978"/>
        <v>0.72999999999999987</v>
      </c>
      <c r="BQ147" s="55">
        <f t="shared" si="978"/>
        <v>0.70999999999999985</v>
      </c>
      <c r="BR147" s="55">
        <f t="shared" si="978"/>
        <v>0.68999999999999984</v>
      </c>
      <c r="BS147" s="55">
        <f t="shared" si="978"/>
        <v>0.66999999999999982</v>
      </c>
      <c r="BT147" s="55">
        <f t="shared" si="978"/>
        <v>0.6499999999999998</v>
      </c>
      <c r="BU147" s="55">
        <f t="shared" si="978"/>
        <v>0.62999999999999978</v>
      </c>
      <c r="BV147" s="55">
        <f t="shared" si="978"/>
        <v>0.60999999999999976</v>
      </c>
      <c r="BW147" s="55">
        <f t="shared" si="978"/>
        <v>0.58999999999999975</v>
      </c>
      <c r="BX147" s="55">
        <f t="shared" si="978"/>
        <v>0.56999999999999973</v>
      </c>
      <c r="BZ147" s="55">
        <f t="shared" si="508"/>
        <v>19619.600000000002</v>
      </c>
      <c r="CA147" s="55">
        <f t="shared" si="509"/>
        <v>19619.600000000002</v>
      </c>
      <c r="CB147" s="59">
        <f t="shared" si="979"/>
        <v>64858.47368000001</v>
      </c>
      <c r="CC147" s="55">
        <f t="shared" si="980"/>
        <v>19031.012000000002</v>
      </c>
      <c r="CD147" s="59">
        <f t="shared" si="981"/>
        <v>62912.719469600008</v>
      </c>
      <c r="CE147" s="55">
        <f t="shared" si="982"/>
        <v>18638.620000000003</v>
      </c>
      <c r="CF147" s="59">
        <f t="shared" si="983"/>
        <v>61615.549996000009</v>
      </c>
      <c r="CG147" s="55">
        <f t="shared" si="984"/>
        <v>18246.228000000003</v>
      </c>
      <c r="CH147" s="59">
        <f t="shared" si="985"/>
        <v>60318.38052240001</v>
      </c>
      <c r="CI147" s="57">
        <f t="shared" si="986"/>
        <v>17853.836000000003</v>
      </c>
      <c r="CJ147" s="59">
        <f t="shared" si="987"/>
        <v>59021.211048800011</v>
      </c>
      <c r="CK147" s="55">
        <f t="shared" si="988"/>
        <v>17461.444000000003</v>
      </c>
      <c r="CL147" s="59">
        <f t="shared" si="989"/>
        <v>57724.041575200012</v>
      </c>
      <c r="CM147" s="57">
        <f t="shared" si="990"/>
        <v>17069.052000000003</v>
      </c>
      <c r="CN147" s="59">
        <f t="shared" si="991"/>
        <v>56426.872101600013</v>
      </c>
      <c r="CO147" s="60">
        <f t="shared" si="992"/>
        <v>16676.66</v>
      </c>
      <c r="CP147" s="59">
        <f t="shared" si="993"/>
        <v>55129.702627999999</v>
      </c>
      <c r="CQ147" s="57">
        <f t="shared" si="994"/>
        <v>16284.268000000002</v>
      </c>
      <c r="CR147" s="59">
        <f t="shared" si="995"/>
        <v>53832.533154400007</v>
      </c>
      <c r="CS147" s="55">
        <f t="shared" si="996"/>
        <v>15891.876</v>
      </c>
      <c r="CT147" s="59">
        <f t="shared" si="997"/>
        <v>52535.363680800001</v>
      </c>
      <c r="CU147" s="60">
        <f t="shared" si="998"/>
        <v>15499.484</v>
      </c>
      <c r="CV147" s="59">
        <f t="shared" si="999"/>
        <v>51238.194207200002</v>
      </c>
      <c r="CW147" s="60">
        <f t="shared" si="1000"/>
        <v>15107.092000000001</v>
      </c>
      <c r="CX147" s="59">
        <f t="shared" si="1001"/>
        <v>49941.024733600003</v>
      </c>
      <c r="CY147" s="60">
        <f t="shared" si="1002"/>
        <v>14714.699999999999</v>
      </c>
      <c r="CZ147" s="59">
        <f t="shared" si="1003"/>
        <v>48643.855259999997</v>
      </c>
      <c r="DA147" s="55">
        <f t="shared" si="1004"/>
        <v>14322.307999999999</v>
      </c>
      <c r="DB147" s="59">
        <f t="shared" si="1005"/>
        <v>47346.685786399998</v>
      </c>
      <c r="DC147" s="60">
        <f t="shared" si="1006"/>
        <v>13929.915999999999</v>
      </c>
      <c r="DD147" s="59">
        <f t="shared" si="1007"/>
        <v>46049.516312799999</v>
      </c>
      <c r="DE147" s="60">
        <f t="shared" si="1008"/>
        <v>13537.523999999998</v>
      </c>
      <c r="DF147" s="59">
        <f t="shared" si="1009"/>
        <v>44752.346839199992</v>
      </c>
      <c r="DG147" s="60">
        <f t="shared" si="1010"/>
        <v>13145.131999999998</v>
      </c>
      <c r="DH147" s="59">
        <f t="shared" si="1011"/>
        <v>43455.177365599993</v>
      </c>
      <c r="DI147" s="60">
        <f t="shared" si="1012"/>
        <v>12752.739999999998</v>
      </c>
      <c r="DJ147" s="59">
        <f t="shared" si="1013"/>
        <v>42158.007891999994</v>
      </c>
      <c r="DK147" s="55">
        <f t="shared" si="1014"/>
        <v>12360.347999999996</v>
      </c>
      <c r="DL147" s="59">
        <f t="shared" si="1015"/>
        <v>40860.838418399988</v>
      </c>
      <c r="DM147" s="60">
        <f t="shared" si="1016"/>
        <v>11967.955999999996</v>
      </c>
      <c r="DN147" s="59">
        <f t="shared" si="1017"/>
        <v>39563.668944799989</v>
      </c>
      <c r="DO147" s="60">
        <f t="shared" si="1018"/>
        <v>11575.563999999997</v>
      </c>
      <c r="DP147" s="59">
        <f t="shared" si="1019"/>
        <v>38266.49947119999</v>
      </c>
      <c r="DQ147" s="55">
        <f t="shared" si="1020"/>
        <v>11183.171999999995</v>
      </c>
      <c r="DR147" s="59">
        <f t="shared" si="1021"/>
        <v>36969.329997599983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30"/>
        <v>0.91</v>
      </c>
      <c r="DZ147" s="55">
        <f t="shared" si="930"/>
        <v>0.89</v>
      </c>
      <c r="EA147" s="55">
        <f t="shared" si="930"/>
        <v>0.87</v>
      </c>
      <c r="EB147" s="55">
        <f t="shared" si="930"/>
        <v>0.85</v>
      </c>
      <c r="EC147" s="55">
        <f t="shared" si="930"/>
        <v>0.83</v>
      </c>
      <c r="ED147" s="55">
        <f t="shared" si="930"/>
        <v>0.80999999999999994</v>
      </c>
      <c r="EE147" s="55">
        <f t="shared" si="930"/>
        <v>0.78999999999999992</v>
      </c>
      <c r="EF147" s="55">
        <f t="shared" si="930"/>
        <v>0.76999999999999991</v>
      </c>
      <c r="EG147" s="55">
        <f t="shared" si="930"/>
        <v>0.74999999999999989</v>
      </c>
      <c r="EH147" s="55">
        <f t="shared" si="930"/>
        <v>0.72999999999999987</v>
      </c>
      <c r="EI147" s="55">
        <f t="shared" si="930"/>
        <v>0.70999999999999985</v>
      </c>
      <c r="EJ147" s="55">
        <f t="shared" si="930"/>
        <v>0.68999999999999984</v>
      </c>
      <c r="EK147" s="55">
        <f t="shared" si="930"/>
        <v>0.66999999999999982</v>
      </c>
      <c r="EL147" s="55">
        <f t="shared" si="930"/>
        <v>0.6499999999999998</v>
      </c>
      <c r="EM147" s="55">
        <f t="shared" si="930"/>
        <v>0.62999999999999978</v>
      </c>
      <c r="EN147" s="55">
        <f t="shared" si="930"/>
        <v>0.60999999999999976</v>
      </c>
      <c r="EO147" s="55">
        <f t="shared" si="930"/>
        <v>0.58999999999999975</v>
      </c>
      <c r="EP147" s="55">
        <f t="shared" si="930"/>
        <v>0.56999999999999973</v>
      </c>
      <c r="ER147" s="55">
        <f t="shared" si="648"/>
        <v>17853.836000000003</v>
      </c>
      <c r="ES147" s="55">
        <f t="shared" si="510"/>
        <v>17853.836000000003</v>
      </c>
      <c r="ET147" s="59">
        <f t="shared" si="1022"/>
        <v>59021.211048800011</v>
      </c>
      <c r="EU147" s="55">
        <f t="shared" si="1023"/>
        <v>17318.220920000003</v>
      </c>
      <c r="EV147" s="59">
        <f t="shared" si="1024"/>
        <v>57250.574717336014</v>
      </c>
      <c r="EW147" s="55">
        <f t="shared" si="1025"/>
        <v>16961.144200000002</v>
      </c>
      <c r="EX147" s="59">
        <f t="shared" si="1026"/>
        <v>56070.150496360009</v>
      </c>
      <c r="EY147" s="55">
        <f t="shared" si="1027"/>
        <v>16604.067480000005</v>
      </c>
      <c r="EZ147" s="59">
        <f t="shared" si="1028"/>
        <v>54889.726275384019</v>
      </c>
      <c r="FA147" s="57">
        <f t="shared" si="1029"/>
        <v>16246.990760000002</v>
      </c>
      <c r="FB147" s="59">
        <f t="shared" si="1030"/>
        <v>53709.302054408006</v>
      </c>
      <c r="FC147" s="55">
        <f t="shared" si="1031"/>
        <v>15889.914040000003</v>
      </c>
      <c r="FD147" s="59">
        <f t="shared" si="1032"/>
        <v>52528.877833432009</v>
      </c>
      <c r="FE147" s="57">
        <f t="shared" si="1033"/>
        <v>15532.837320000002</v>
      </c>
      <c r="FF147" s="59">
        <f t="shared" si="1034"/>
        <v>51348.453612456011</v>
      </c>
      <c r="FG147" s="60">
        <f t="shared" si="1035"/>
        <v>15175.760600000001</v>
      </c>
      <c r="FH147" s="59">
        <f t="shared" si="1036"/>
        <v>50168.029391480006</v>
      </c>
      <c r="FI147" s="57">
        <f t="shared" si="1037"/>
        <v>14818.683880000002</v>
      </c>
      <c r="FJ147" s="59">
        <f t="shared" si="1038"/>
        <v>48987.605170504008</v>
      </c>
      <c r="FK147" s="55">
        <f t="shared" si="1039"/>
        <v>14461.607160000001</v>
      </c>
      <c r="FL147" s="59">
        <f t="shared" si="1040"/>
        <v>47807.180949528003</v>
      </c>
      <c r="FM147" s="60">
        <f t="shared" si="1041"/>
        <v>14104.53044</v>
      </c>
      <c r="FN147" s="59">
        <f t="shared" si="1042"/>
        <v>46626.756728552005</v>
      </c>
      <c r="FO147" s="60">
        <f t="shared" si="1043"/>
        <v>13747.453720000001</v>
      </c>
      <c r="FP147" s="59">
        <f t="shared" si="1044"/>
        <v>45446.332507576008</v>
      </c>
      <c r="FQ147" s="60">
        <f t="shared" si="1045"/>
        <v>13390.377</v>
      </c>
      <c r="FR147" s="59">
        <f t="shared" si="1046"/>
        <v>44265.908286600003</v>
      </c>
      <c r="FS147" s="55">
        <f t="shared" si="1047"/>
        <v>13033.300279999999</v>
      </c>
      <c r="FT147" s="59">
        <f t="shared" si="1048"/>
        <v>43085.484065623998</v>
      </c>
      <c r="FU147" s="60">
        <f t="shared" si="1049"/>
        <v>12676.22356</v>
      </c>
      <c r="FV147" s="59">
        <f t="shared" si="1050"/>
        <v>41905.059844648</v>
      </c>
      <c r="FW147" s="60">
        <f t="shared" si="1051"/>
        <v>12319.146839999999</v>
      </c>
      <c r="FX147" s="59">
        <f t="shared" si="1052"/>
        <v>40724.635623672002</v>
      </c>
      <c r="FY147" s="60">
        <f t="shared" si="1053"/>
        <v>11962.070119999998</v>
      </c>
      <c r="FZ147" s="59">
        <f t="shared" si="1054"/>
        <v>39544.211402695997</v>
      </c>
      <c r="GA147" s="60">
        <f t="shared" si="1055"/>
        <v>11604.993399999998</v>
      </c>
      <c r="GB147" s="59">
        <f t="shared" si="1056"/>
        <v>38363.787181719992</v>
      </c>
      <c r="GC147" s="55">
        <f t="shared" si="1057"/>
        <v>11247.916679999998</v>
      </c>
      <c r="GD147" s="59">
        <f t="shared" si="1058"/>
        <v>37183.362960743994</v>
      </c>
      <c r="GE147" s="60">
        <f t="shared" si="1059"/>
        <v>10890.839959999998</v>
      </c>
      <c r="GF147" s="59">
        <f t="shared" si="1060"/>
        <v>36002.938739767989</v>
      </c>
      <c r="GG147" s="60">
        <f t="shared" si="1061"/>
        <v>10533.763239999997</v>
      </c>
      <c r="GH147" s="59">
        <f t="shared" si="1062"/>
        <v>34822.514518791992</v>
      </c>
      <c r="GI147" s="55">
        <f t="shared" si="1063"/>
        <v>10176.686519999997</v>
      </c>
      <c r="GJ147" s="59">
        <f t="shared" si="1064"/>
        <v>33642.090297815994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31"/>
        <v>0.91</v>
      </c>
      <c r="GR147" s="55">
        <f t="shared" si="931"/>
        <v>0.89</v>
      </c>
      <c r="GS147" s="55">
        <f t="shared" si="931"/>
        <v>0.87</v>
      </c>
      <c r="GT147" s="55">
        <f t="shared" si="931"/>
        <v>0.85</v>
      </c>
      <c r="GU147" s="55">
        <f t="shared" si="931"/>
        <v>0.83</v>
      </c>
      <c r="GV147" s="55">
        <f t="shared" si="931"/>
        <v>0.80999999999999994</v>
      </c>
      <c r="GW147" s="55">
        <f t="shared" si="931"/>
        <v>0.78999999999999992</v>
      </c>
      <c r="GX147" s="55">
        <f t="shared" si="931"/>
        <v>0.76999999999999991</v>
      </c>
      <c r="GY147" s="55">
        <f t="shared" si="931"/>
        <v>0.74999999999999989</v>
      </c>
      <c r="GZ147" s="55">
        <f t="shared" si="931"/>
        <v>0.72999999999999987</v>
      </c>
      <c r="HA147" s="55">
        <f t="shared" si="931"/>
        <v>0.70999999999999985</v>
      </c>
      <c r="HB147" s="55">
        <f t="shared" si="931"/>
        <v>0.68999999999999984</v>
      </c>
      <c r="HC147" s="55">
        <f t="shared" si="931"/>
        <v>0.66999999999999982</v>
      </c>
      <c r="HD147" s="55">
        <f t="shared" si="931"/>
        <v>0.6499999999999998</v>
      </c>
      <c r="HE147" s="55">
        <f t="shared" si="931"/>
        <v>0.62999999999999978</v>
      </c>
      <c r="HF147" s="55">
        <f t="shared" si="931"/>
        <v>0.60999999999999976</v>
      </c>
      <c r="HG147" s="55">
        <f t="shared" si="931"/>
        <v>0.58999999999999975</v>
      </c>
      <c r="HH147" s="55">
        <f t="shared" si="93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206880</v>
      </c>
      <c r="E148" s="39">
        <f>SUM(E143:E147)</f>
        <v>683880</v>
      </c>
      <c r="H148" s="55">
        <f t="shared" ref="H148:H155" si="1065">+E148*1.1</f>
        <v>752268.00000000012</v>
      </c>
      <c r="I148" s="55">
        <f t="shared" ref="I148:I155" si="1066">+H148</f>
        <v>752268.00000000012</v>
      </c>
      <c r="J148" s="59">
        <f t="shared" ref="J148:J155" si="1067">+I148*3.3058</f>
        <v>2486847.5544000003</v>
      </c>
      <c r="K148" s="55">
        <f t="shared" si="936"/>
        <v>729699.96000000008</v>
      </c>
      <c r="L148" s="59">
        <f t="shared" si="937"/>
        <v>2412242.1277680001</v>
      </c>
      <c r="M148" s="55">
        <f t="shared" si="938"/>
        <v>714654.60000000009</v>
      </c>
      <c r="N148" s="59">
        <f t="shared" si="939"/>
        <v>2362505.1766800005</v>
      </c>
      <c r="O148" s="55">
        <f t="shared" si="940"/>
        <v>699609.24000000011</v>
      </c>
      <c r="P148" s="59">
        <f t="shared" si="941"/>
        <v>2312768.2255920004</v>
      </c>
      <c r="Q148" s="57">
        <f t="shared" si="942"/>
        <v>684563.88000000012</v>
      </c>
      <c r="R148" s="59">
        <f t="shared" si="943"/>
        <v>2263031.2745040003</v>
      </c>
      <c r="S148" s="55">
        <f t="shared" si="944"/>
        <v>669518.52000000014</v>
      </c>
      <c r="T148" s="59">
        <f t="shared" si="945"/>
        <v>2213294.3234160007</v>
      </c>
      <c r="U148" s="57">
        <f t="shared" si="946"/>
        <v>654473.16000000015</v>
      </c>
      <c r="V148" s="59">
        <f t="shared" si="947"/>
        <v>2163557.3723280006</v>
      </c>
      <c r="W148" s="60">
        <f t="shared" si="948"/>
        <v>639427.80000000005</v>
      </c>
      <c r="X148" s="59">
        <f t="shared" si="949"/>
        <v>2113820.4212400001</v>
      </c>
      <c r="Y148" s="57">
        <f t="shared" si="950"/>
        <v>624382.44000000006</v>
      </c>
      <c r="Z148" s="59">
        <f t="shared" si="951"/>
        <v>2064083.4701520002</v>
      </c>
      <c r="AA148" s="55">
        <f t="shared" si="952"/>
        <v>609337.08000000007</v>
      </c>
      <c r="AB148" s="59">
        <f t="shared" si="953"/>
        <v>2014346.5190640003</v>
      </c>
      <c r="AC148" s="60">
        <f t="shared" si="954"/>
        <v>594291.72000000009</v>
      </c>
      <c r="AD148" s="59">
        <f t="shared" si="955"/>
        <v>1964609.5679760003</v>
      </c>
      <c r="AE148" s="60">
        <f t="shared" si="956"/>
        <v>579246.36</v>
      </c>
      <c r="AF148" s="59">
        <f t="shared" si="957"/>
        <v>1914872.6168879999</v>
      </c>
      <c r="AG148" s="60">
        <f t="shared" si="958"/>
        <v>564201</v>
      </c>
      <c r="AH148" s="59">
        <f t="shared" si="959"/>
        <v>1865135.6658000001</v>
      </c>
      <c r="AI148" s="55">
        <f t="shared" si="960"/>
        <v>549155.64</v>
      </c>
      <c r="AJ148" s="59">
        <f t="shared" si="961"/>
        <v>1815398.714712</v>
      </c>
      <c r="AK148" s="60">
        <f t="shared" si="962"/>
        <v>534110.28</v>
      </c>
      <c r="AL148" s="59">
        <f t="shared" si="963"/>
        <v>1765661.7636240001</v>
      </c>
      <c r="AM148" s="60">
        <f t="shared" si="964"/>
        <v>519064.92</v>
      </c>
      <c r="AN148" s="59">
        <f t="shared" si="965"/>
        <v>1715924.812536</v>
      </c>
      <c r="AO148" s="60">
        <f t="shared" si="966"/>
        <v>504019.55999999994</v>
      </c>
      <c r="AP148" s="59">
        <f t="shared" si="967"/>
        <v>1666187.861448</v>
      </c>
      <c r="AQ148" s="60">
        <f t="shared" si="968"/>
        <v>488974.19999999995</v>
      </c>
      <c r="AR148" s="59">
        <f t="shared" si="969"/>
        <v>1616450.9103599999</v>
      </c>
      <c r="AS148" s="55">
        <f t="shared" si="970"/>
        <v>473928.83999999991</v>
      </c>
      <c r="AT148" s="59">
        <f t="shared" si="971"/>
        <v>1566713.9592719998</v>
      </c>
      <c r="AU148" s="60">
        <f t="shared" si="972"/>
        <v>458883.47999999986</v>
      </c>
      <c r="AV148" s="59">
        <f t="shared" si="973"/>
        <v>1516977.0081839997</v>
      </c>
      <c r="AW148" s="60">
        <f t="shared" si="974"/>
        <v>443838.11999999988</v>
      </c>
      <c r="AX148" s="59">
        <f t="shared" si="975"/>
        <v>1467240.0570959996</v>
      </c>
      <c r="AY148" s="55">
        <f t="shared" si="976"/>
        <v>428792.75999999983</v>
      </c>
      <c r="AZ148" s="59">
        <f t="shared" si="977"/>
        <v>1417503.1060079995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78"/>
        <v>0.91</v>
      </c>
      <c r="BH148" s="55">
        <f t="shared" si="978"/>
        <v>0.89</v>
      </c>
      <c r="BI148" s="55">
        <f t="shared" si="978"/>
        <v>0.87</v>
      </c>
      <c r="BJ148" s="55">
        <f t="shared" si="978"/>
        <v>0.85</v>
      </c>
      <c r="BK148" s="55">
        <f t="shared" si="978"/>
        <v>0.83</v>
      </c>
      <c r="BL148" s="55">
        <f t="shared" si="978"/>
        <v>0.80999999999999994</v>
      </c>
      <c r="BM148" s="55">
        <f t="shared" si="978"/>
        <v>0.78999999999999992</v>
      </c>
      <c r="BN148" s="55">
        <f t="shared" si="978"/>
        <v>0.76999999999999991</v>
      </c>
      <c r="BO148" s="55">
        <f t="shared" si="978"/>
        <v>0.74999999999999989</v>
      </c>
      <c r="BP148" s="55">
        <f t="shared" si="978"/>
        <v>0.72999999999999987</v>
      </c>
      <c r="BQ148" s="55">
        <f t="shared" si="978"/>
        <v>0.70999999999999985</v>
      </c>
      <c r="BR148" s="55">
        <f t="shared" si="978"/>
        <v>0.68999999999999984</v>
      </c>
      <c r="BS148" s="55">
        <f t="shared" si="978"/>
        <v>0.66999999999999982</v>
      </c>
      <c r="BT148" s="55">
        <f t="shared" si="978"/>
        <v>0.6499999999999998</v>
      </c>
      <c r="BU148" s="55">
        <f t="shared" si="978"/>
        <v>0.62999999999999978</v>
      </c>
      <c r="BV148" s="55">
        <f t="shared" si="978"/>
        <v>0.60999999999999976</v>
      </c>
      <c r="BW148" s="55">
        <f t="shared" si="978"/>
        <v>0.58999999999999975</v>
      </c>
      <c r="BX148" s="55">
        <f t="shared" si="978"/>
        <v>0.56999999999999973</v>
      </c>
      <c r="BZ148" s="55">
        <f t="shared" ref="BZ148:BZ155" si="1068">+H148*0.91</f>
        <v>684563.88000000012</v>
      </c>
      <c r="CA148" s="55">
        <f t="shared" ref="CA148:CA155" si="1069">+BZ148</f>
        <v>684563.88000000012</v>
      </c>
      <c r="CB148" s="59">
        <f t="shared" si="979"/>
        <v>2263031.2745040003</v>
      </c>
      <c r="CC148" s="55">
        <f t="shared" si="980"/>
        <v>664026.96360000013</v>
      </c>
      <c r="CD148" s="59">
        <f t="shared" si="981"/>
        <v>2195140.3362688804</v>
      </c>
      <c r="CE148" s="55">
        <f t="shared" si="982"/>
        <v>650335.6860000001</v>
      </c>
      <c r="CF148" s="59">
        <f t="shared" si="983"/>
        <v>2149879.7107788003</v>
      </c>
      <c r="CG148" s="55">
        <f t="shared" si="984"/>
        <v>636644.40840000019</v>
      </c>
      <c r="CH148" s="59">
        <f t="shared" si="985"/>
        <v>2104619.0852887207</v>
      </c>
      <c r="CI148" s="57">
        <f t="shared" si="986"/>
        <v>622953.13080000016</v>
      </c>
      <c r="CJ148" s="59">
        <f t="shared" si="987"/>
        <v>2059358.4597986406</v>
      </c>
      <c r="CK148" s="55">
        <f t="shared" si="988"/>
        <v>609261.85320000013</v>
      </c>
      <c r="CL148" s="59">
        <f t="shared" si="989"/>
        <v>2014097.8343085605</v>
      </c>
      <c r="CM148" s="57">
        <f t="shared" si="990"/>
        <v>595570.5756000001</v>
      </c>
      <c r="CN148" s="59">
        <f t="shared" si="991"/>
        <v>1968837.2088184804</v>
      </c>
      <c r="CO148" s="60">
        <f t="shared" si="992"/>
        <v>581879.29800000007</v>
      </c>
      <c r="CP148" s="59">
        <f t="shared" si="993"/>
        <v>1923576.5833284003</v>
      </c>
      <c r="CQ148" s="57">
        <f t="shared" si="994"/>
        <v>568188.02040000004</v>
      </c>
      <c r="CR148" s="59">
        <f t="shared" si="995"/>
        <v>1878315.9578383202</v>
      </c>
      <c r="CS148" s="55">
        <f t="shared" si="996"/>
        <v>554496.74280000001</v>
      </c>
      <c r="CT148" s="59">
        <f t="shared" si="997"/>
        <v>1833055.3323482401</v>
      </c>
      <c r="CU148" s="60">
        <f t="shared" si="998"/>
        <v>540805.46520000009</v>
      </c>
      <c r="CV148" s="59">
        <f t="shared" si="999"/>
        <v>1787794.7068581604</v>
      </c>
      <c r="CW148" s="60">
        <f t="shared" si="1000"/>
        <v>527114.18760000006</v>
      </c>
      <c r="CX148" s="59">
        <f t="shared" si="1001"/>
        <v>1742534.0813680803</v>
      </c>
      <c r="CY148" s="60">
        <f t="shared" si="1002"/>
        <v>513422.91000000003</v>
      </c>
      <c r="CZ148" s="59">
        <f t="shared" si="1003"/>
        <v>1697273.4558780002</v>
      </c>
      <c r="DA148" s="55">
        <f t="shared" si="1004"/>
        <v>499731.6324</v>
      </c>
      <c r="DB148" s="59">
        <f t="shared" si="1005"/>
        <v>1652012.8303879201</v>
      </c>
      <c r="DC148" s="60">
        <f t="shared" si="1006"/>
        <v>486040.35479999997</v>
      </c>
      <c r="DD148" s="59">
        <f t="shared" si="1007"/>
        <v>1606752.20489784</v>
      </c>
      <c r="DE148" s="60">
        <f t="shared" si="1008"/>
        <v>472349.0772</v>
      </c>
      <c r="DF148" s="59">
        <f t="shared" si="1009"/>
        <v>1561491.5794077599</v>
      </c>
      <c r="DG148" s="60">
        <f t="shared" si="1010"/>
        <v>458657.79959999997</v>
      </c>
      <c r="DH148" s="59">
        <f t="shared" si="1011"/>
        <v>1516230.9539176798</v>
      </c>
      <c r="DI148" s="60">
        <f t="shared" si="1012"/>
        <v>444966.52199999994</v>
      </c>
      <c r="DJ148" s="59">
        <f t="shared" si="1013"/>
        <v>1470970.3284275997</v>
      </c>
      <c r="DK148" s="55">
        <f t="shared" si="1014"/>
        <v>431275.24439999991</v>
      </c>
      <c r="DL148" s="59">
        <f t="shared" si="1015"/>
        <v>1425709.7029375196</v>
      </c>
      <c r="DM148" s="60">
        <f t="shared" si="1016"/>
        <v>417583.96679999994</v>
      </c>
      <c r="DN148" s="59">
        <f t="shared" si="1017"/>
        <v>1380449.0774474398</v>
      </c>
      <c r="DO148" s="60">
        <f t="shared" si="1018"/>
        <v>403892.68919999991</v>
      </c>
      <c r="DP148" s="59">
        <f t="shared" si="1019"/>
        <v>1335188.4519573597</v>
      </c>
      <c r="DQ148" s="55">
        <f t="shared" si="1020"/>
        <v>390201.41159999988</v>
      </c>
      <c r="DR148" s="59">
        <f t="shared" si="1021"/>
        <v>1289927.8264672796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30"/>
        <v>0.91</v>
      </c>
      <c r="DZ148" s="55">
        <f t="shared" si="930"/>
        <v>0.89</v>
      </c>
      <c r="EA148" s="55">
        <f t="shared" si="930"/>
        <v>0.87</v>
      </c>
      <c r="EB148" s="55">
        <f t="shared" si="930"/>
        <v>0.85</v>
      </c>
      <c r="EC148" s="55">
        <f t="shared" si="930"/>
        <v>0.83</v>
      </c>
      <c r="ED148" s="55">
        <f t="shared" si="930"/>
        <v>0.80999999999999994</v>
      </c>
      <c r="EE148" s="55">
        <f t="shared" si="930"/>
        <v>0.78999999999999992</v>
      </c>
      <c r="EF148" s="55">
        <f t="shared" si="930"/>
        <v>0.76999999999999991</v>
      </c>
      <c r="EG148" s="55">
        <f t="shared" si="930"/>
        <v>0.74999999999999989</v>
      </c>
      <c r="EH148" s="55">
        <f t="shared" si="930"/>
        <v>0.72999999999999987</v>
      </c>
      <c r="EI148" s="55">
        <f t="shared" si="930"/>
        <v>0.70999999999999985</v>
      </c>
      <c r="EJ148" s="55">
        <f t="shared" si="930"/>
        <v>0.68999999999999984</v>
      </c>
      <c r="EK148" s="55">
        <f t="shared" si="930"/>
        <v>0.66999999999999982</v>
      </c>
      <c r="EL148" s="55">
        <f t="shared" si="930"/>
        <v>0.6499999999999998</v>
      </c>
      <c r="EM148" s="55">
        <f t="shared" si="930"/>
        <v>0.62999999999999978</v>
      </c>
      <c r="EN148" s="55">
        <f t="shared" si="930"/>
        <v>0.60999999999999976</v>
      </c>
      <c r="EO148" s="55">
        <f t="shared" si="930"/>
        <v>0.58999999999999975</v>
      </c>
      <c r="EP148" s="55">
        <f t="shared" si="930"/>
        <v>0.56999999999999973</v>
      </c>
      <c r="ER148" s="55">
        <f t="shared" si="648"/>
        <v>622953.13080000016</v>
      </c>
      <c r="ES148" s="55">
        <f t="shared" ref="ES148:ES155" si="1070">+ER148</f>
        <v>622953.13080000016</v>
      </c>
      <c r="ET148" s="59">
        <f t="shared" si="1022"/>
        <v>2059358.4597986406</v>
      </c>
      <c r="EU148" s="55">
        <f t="shared" si="1023"/>
        <v>604264.53687600011</v>
      </c>
      <c r="EV148" s="59">
        <f t="shared" si="1024"/>
        <v>1997577.7060046813</v>
      </c>
      <c r="EW148" s="55">
        <f t="shared" si="1025"/>
        <v>591805.47426000016</v>
      </c>
      <c r="EX148" s="59">
        <f t="shared" si="1026"/>
        <v>1956390.5368087087</v>
      </c>
      <c r="EY148" s="55">
        <f t="shared" si="1027"/>
        <v>579346.41164400021</v>
      </c>
      <c r="EZ148" s="59">
        <f t="shared" si="1028"/>
        <v>1915203.3676127358</v>
      </c>
      <c r="FA148" s="57">
        <f t="shared" si="1029"/>
        <v>566887.34902800014</v>
      </c>
      <c r="FB148" s="59">
        <f t="shared" si="1030"/>
        <v>1874016.198416763</v>
      </c>
      <c r="FC148" s="55">
        <f t="shared" si="1031"/>
        <v>554428.28641200019</v>
      </c>
      <c r="FD148" s="59">
        <f t="shared" si="1032"/>
        <v>1832829.0292207904</v>
      </c>
      <c r="FE148" s="57">
        <f t="shared" si="1033"/>
        <v>541969.22379600012</v>
      </c>
      <c r="FF148" s="59">
        <f t="shared" si="1034"/>
        <v>1791641.8600248173</v>
      </c>
      <c r="FG148" s="60">
        <f t="shared" si="1035"/>
        <v>529510.16118000017</v>
      </c>
      <c r="FH148" s="59">
        <f t="shared" si="1036"/>
        <v>1750454.6908288447</v>
      </c>
      <c r="FI148" s="57">
        <f t="shared" si="1037"/>
        <v>517051.0985640001</v>
      </c>
      <c r="FJ148" s="59">
        <f t="shared" si="1038"/>
        <v>1709267.5216328716</v>
      </c>
      <c r="FK148" s="55">
        <f t="shared" si="1039"/>
        <v>504592.03594800009</v>
      </c>
      <c r="FL148" s="59">
        <f t="shared" si="1040"/>
        <v>1668080.3524368987</v>
      </c>
      <c r="FM148" s="60">
        <f t="shared" si="1041"/>
        <v>492132.97333200008</v>
      </c>
      <c r="FN148" s="59">
        <f t="shared" si="1042"/>
        <v>1626893.1832409259</v>
      </c>
      <c r="FO148" s="60">
        <f t="shared" si="1043"/>
        <v>479673.91071600007</v>
      </c>
      <c r="FP148" s="59">
        <f t="shared" si="1044"/>
        <v>1585706.014044953</v>
      </c>
      <c r="FQ148" s="60">
        <f t="shared" si="1045"/>
        <v>467214.84810000006</v>
      </c>
      <c r="FR148" s="59">
        <f t="shared" si="1046"/>
        <v>1544518.8448489802</v>
      </c>
      <c r="FS148" s="55">
        <f t="shared" si="1047"/>
        <v>454755.78548400005</v>
      </c>
      <c r="FT148" s="59">
        <f t="shared" si="1048"/>
        <v>1503331.6756530073</v>
      </c>
      <c r="FU148" s="60">
        <f t="shared" si="1049"/>
        <v>442296.72286800004</v>
      </c>
      <c r="FV148" s="59">
        <f t="shared" si="1050"/>
        <v>1462144.5064570345</v>
      </c>
      <c r="FW148" s="60">
        <f t="shared" si="1051"/>
        <v>429837.66025200003</v>
      </c>
      <c r="FX148" s="59">
        <f t="shared" si="1052"/>
        <v>1420957.3372610616</v>
      </c>
      <c r="FY148" s="60">
        <f t="shared" si="1053"/>
        <v>417378.59763600002</v>
      </c>
      <c r="FZ148" s="59">
        <f t="shared" si="1054"/>
        <v>1379770.1680650888</v>
      </c>
      <c r="GA148" s="60">
        <f t="shared" si="1055"/>
        <v>404919.53501999995</v>
      </c>
      <c r="GB148" s="59">
        <f t="shared" si="1056"/>
        <v>1338582.998869116</v>
      </c>
      <c r="GC148" s="55">
        <f t="shared" si="1057"/>
        <v>392460.47240399994</v>
      </c>
      <c r="GD148" s="59">
        <f t="shared" si="1058"/>
        <v>1297395.8296731431</v>
      </c>
      <c r="GE148" s="60">
        <f t="shared" si="1059"/>
        <v>380001.40978799993</v>
      </c>
      <c r="GF148" s="59">
        <f t="shared" si="1060"/>
        <v>1256208.6604771703</v>
      </c>
      <c r="GG148" s="60">
        <f t="shared" si="1061"/>
        <v>367542.34717199992</v>
      </c>
      <c r="GH148" s="59">
        <f t="shared" si="1062"/>
        <v>1215021.4912811974</v>
      </c>
      <c r="GI148" s="55">
        <f t="shared" si="1063"/>
        <v>355083.28455599991</v>
      </c>
      <c r="GJ148" s="59">
        <f t="shared" si="1064"/>
        <v>1173834.3220852246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31"/>
        <v>0.91</v>
      </c>
      <c r="GR148" s="55">
        <f t="shared" si="931"/>
        <v>0.89</v>
      </c>
      <c r="GS148" s="55">
        <f t="shared" si="931"/>
        <v>0.87</v>
      </c>
      <c r="GT148" s="55">
        <f t="shared" si="931"/>
        <v>0.85</v>
      </c>
      <c r="GU148" s="55">
        <f t="shared" si="931"/>
        <v>0.83</v>
      </c>
      <c r="GV148" s="55">
        <f t="shared" si="931"/>
        <v>0.80999999999999994</v>
      </c>
      <c r="GW148" s="55">
        <f t="shared" si="931"/>
        <v>0.78999999999999992</v>
      </c>
      <c r="GX148" s="55">
        <f t="shared" si="931"/>
        <v>0.76999999999999991</v>
      </c>
      <c r="GY148" s="55">
        <f t="shared" si="931"/>
        <v>0.74999999999999989</v>
      </c>
      <c r="GZ148" s="55">
        <f t="shared" si="931"/>
        <v>0.72999999999999987</v>
      </c>
      <c r="HA148" s="55">
        <f t="shared" si="931"/>
        <v>0.70999999999999985</v>
      </c>
      <c r="HB148" s="55">
        <f t="shared" si="931"/>
        <v>0.68999999999999984</v>
      </c>
      <c r="HC148" s="55">
        <f t="shared" si="931"/>
        <v>0.66999999999999982</v>
      </c>
      <c r="HD148" s="55">
        <f t="shared" si="931"/>
        <v>0.6499999999999998</v>
      </c>
      <c r="HE148" s="55">
        <f t="shared" si="931"/>
        <v>0.62999999999999978</v>
      </c>
      <c r="HF148" s="55">
        <f t="shared" si="931"/>
        <v>0.60999999999999976</v>
      </c>
      <c r="HG148" s="55">
        <f t="shared" si="931"/>
        <v>0.58999999999999975</v>
      </c>
      <c r="HH148" s="55">
        <f t="shared" si="93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7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72">+DW149-0.02</f>
        <v>0.91</v>
      </c>
      <c r="DY149" s="61">
        <f t="shared" si="1072"/>
        <v>0.89</v>
      </c>
      <c r="DZ149" s="61">
        <f t="shared" si="1072"/>
        <v>0.87</v>
      </c>
      <c r="EA149" s="61">
        <f t="shared" si="1072"/>
        <v>0.85</v>
      </c>
      <c r="EB149" s="61">
        <f t="shared" si="1072"/>
        <v>0.83</v>
      </c>
      <c r="EC149" s="61">
        <f t="shared" si="1072"/>
        <v>0.80999999999999994</v>
      </c>
      <c r="ED149" s="61">
        <f t="shared" si="1072"/>
        <v>0.78999999999999992</v>
      </c>
      <c r="EE149" s="61">
        <f t="shared" si="1072"/>
        <v>0.76999999999999991</v>
      </c>
      <c r="EF149" s="61">
        <f t="shared" si="1072"/>
        <v>0.74999999999999989</v>
      </c>
      <c r="EG149" s="61">
        <f t="shared" si="1072"/>
        <v>0.72999999999999987</v>
      </c>
      <c r="EH149" s="61">
        <f t="shared" si="1072"/>
        <v>0.70999999999999985</v>
      </c>
      <c r="EI149" s="61">
        <f t="shared" si="1072"/>
        <v>0.68999999999999984</v>
      </c>
      <c r="EJ149" s="61">
        <f t="shared" si="1072"/>
        <v>0.66999999999999982</v>
      </c>
      <c r="EK149" s="61">
        <f t="shared" si="1072"/>
        <v>0.6499999999999998</v>
      </c>
      <c r="EL149" s="61">
        <f t="shared" si="1072"/>
        <v>0.62999999999999978</v>
      </c>
      <c r="EM149" s="61">
        <f t="shared" si="1072"/>
        <v>0.60999999999999976</v>
      </c>
      <c r="EN149" s="61">
        <f t="shared" si="1072"/>
        <v>0.58999999999999975</v>
      </c>
      <c r="EO149" s="61">
        <f t="shared" si="1072"/>
        <v>0.56999999999999973</v>
      </c>
      <c r="EQ149" s="61">
        <f t="shared" ref="EQ149:EQ150" si="107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74">+GO149-0.02</f>
        <v>0.91</v>
      </c>
      <c r="GQ149" s="61">
        <f t="shared" si="1074"/>
        <v>0.89</v>
      </c>
      <c r="GR149" s="61">
        <f t="shared" si="1074"/>
        <v>0.87</v>
      </c>
      <c r="GS149" s="61">
        <f t="shared" si="1074"/>
        <v>0.85</v>
      </c>
      <c r="GT149" s="61">
        <f t="shared" si="1074"/>
        <v>0.83</v>
      </c>
      <c r="GU149" s="61">
        <f t="shared" si="1074"/>
        <v>0.80999999999999994</v>
      </c>
      <c r="GV149" s="61">
        <f t="shared" si="1074"/>
        <v>0.78999999999999992</v>
      </c>
      <c r="GW149" s="61">
        <f t="shared" si="1074"/>
        <v>0.76999999999999991</v>
      </c>
      <c r="GX149" s="61">
        <f t="shared" si="1074"/>
        <v>0.74999999999999989</v>
      </c>
      <c r="GY149" s="61">
        <f t="shared" si="1074"/>
        <v>0.72999999999999987</v>
      </c>
      <c r="GZ149" s="61">
        <f t="shared" si="1074"/>
        <v>0.70999999999999985</v>
      </c>
      <c r="HA149" s="61">
        <f t="shared" si="1074"/>
        <v>0.68999999999999984</v>
      </c>
      <c r="HB149" s="61">
        <f t="shared" si="1074"/>
        <v>0.66999999999999982</v>
      </c>
      <c r="HC149" s="61">
        <f t="shared" si="1074"/>
        <v>0.6499999999999998</v>
      </c>
      <c r="HD149" s="61">
        <f t="shared" si="1074"/>
        <v>0.62999999999999978</v>
      </c>
      <c r="HE149" s="61">
        <f t="shared" si="1074"/>
        <v>0.60999999999999976</v>
      </c>
      <c r="HF149" s="61">
        <f t="shared" si="1074"/>
        <v>0.58999999999999975</v>
      </c>
      <c r="HG149" s="61">
        <f t="shared" si="1074"/>
        <v>0.56999999999999973</v>
      </c>
    </row>
    <row r="150" spans="1:216" s="64" customFormat="1" ht="17.25" thickBot="1" x14ac:dyDescent="0.35">
      <c r="B150" s="64" t="s">
        <v>303</v>
      </c>
      <c r="C150" s="64" t="s">
        <v>298</v>
      </c>
      <c r="D150" s="65" t="s">
        <v>272</v>
      </c>
      <c r="E150" s="65" t="s">
        <v>155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7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72"/>
        <v>0.91</v>
      </c>
      <c r="DY150" s="61">
        <f t="shared" si="1072"/>
        <v>0.89</v>
      </c>
      <c r="DZ150" s="61">
        <f t="shared" si="1072"/>
        <v>0.87</v>
      </c>
      <c r="EA150" s="61">
        <f t="shared" si="1072"/>
        <v>0.85</v>
      </c>
      <c r="EB150" s="61">
        <f t="shared" si="1072"/>
        <v>0.83</v>
      </c>
      <c r="EC150" s="61">
        <f t="shared" si="1072"/>
        <v>0.80999999999999994</v>
      </c>
      <c r="ED150" s="61">
        <f t="shared" si="1072"/>
        <v>0.78999999999999992</v>
      </c>
      <c r="EE150" s="61">
        <f t="shared" si="1072"/>
        <v>0.76999999999999991</v>
      </c>
      <c r="EF150" s="61">
        <f t="shared" si="1072"/>
        <v>0.74999999999999989</v>
      </c>
      <c r="EG150" s="61">
        <f t="shared" si="1072"/>
        <v>0.72999999999999987</v>
      </c>
      <c r="EH150" s="61">
        <f t="shared" si="1072"/>
        <v>0.70999999999999985</v>
      </c>
      <c r="EI150" s="61">
        <f t="shared" si="1072"/>
        <v>0.68999999999999984</v>
      </c>
      <c r="EJ150" s="61">
        <f t="shared" si="1072"/>
        <v>0.66999999999999982</v>
      </c>
      <c r="EK150" s="61">
        <f t="shared" si="1072"/>
        <v>0.6499999999999998</v>
      </c>
      <c r="EL150" s="61">
        <f t="shared" si="1072"/>
        <v>0.62999999999999978</v>
      </c>
      <c r="EM150" s="61">
        <f t="shared" si="1072"/>
        <v>0.60999999999999976</v>
      </c>
      <c r="EN150" s="61">
        <f t="shared" si="1072"/>
        <v>0.58999999999999975</v>
      </c>
      <c r="EO150" s="61">
        <f t="shared" si="1072"/>
        <v>0.56999999999999973</v>
      </c>
      <c r="EQ150" s="61">
        <f t="shared" si="107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74"/>
        <v>0.91</v>
      </c>
      <c r="GQ150" s="61">
        <f t="shared" si="1074"/>
        <v>0.89</v>
      </c>
      <c r="GR150" s="61">
        <f t="shared" si="1074"/>
        <v>0.87</v>
      </c>
      <c r="GS150" s="61">
        <f t="shared" si="1074"/>
        <v>0.85</v>
      </c>
      <c r="GT150" s="61">
        <f t="shared" si="1074"/>
        <v>0.83</v>
      </c>
      <c r="GU150" s="61">
        <f t="shared" si="1074"/>
        <v>0.80999999999999994</v>
      </c>
      <c r="GV150" s="61">
        <f t="shared" si="1074"/>
        <v>0.78999999999999992</v>
      </c>
      <c r="GW150" s="61">
        <f t="shared" si="1074"/>
        <v>0.76999999999999991</v>
      </c>
      <c r="GX150" s="61">
        <f t="shared" si="1074"/>
        <v>0.74999999999999989</v>
      </c>
      <c r="GY150" s="61">
        <f t="shared" si="1074"/>
        <v>0.72999999999999987</v>
      </c>
      <c r="GZ150" s="61">
        <f t="shared" si="1074"/>
        <v>0.70999999999999985</v>
      </c>
      <c r="HA150" s="61">
        <f t="shared" si="1074"/>
        <v>0.68999999999999984</v>
      </c>
      <c r="HB150" s="61">
        <f t="shared" si="1074"/>
        <v>0.66999999999999982</v>
      </c>
      <c r="HC150" s="61">
        <f t="shared" si="1074"/>
        <v>0.6499999999999998</v>
      </c>
      <c r="HD150" s="61">
        <f t="shared" si="1074"/>
        <v>0.62999999999999978</v>
      </c>
      <c r="HE150" s="61">
        <f t="shared" si="1074"/>
        <v>0.60999999999999976</v>
      </c>
      <c r="HF150" s="61">
        <f t="shared" si="1074"/>
        <v>0.58999999999999975</v>
      </c>
      <c r="HG150" s="61">
        <f t="shared" si="1074"/>
        <v>0.56999999999999973</v>
      </c>
    </row>
    <row r="151" spans="1:216" x14ac:dyDescent="0.3">
      <c r="A151" s="2">
        <v>1</v>
      </c>
      <c r="C151" s="38" t="s">
        <v>51</v>
      </c>
      <c r="D151" s="40">
        <v>0</v>
      </c>
      <c r="E151" s="70">
        <f>TRUNC(+D151*3.3058,-1)</f>
        <v>0</v>
      </c>
      <c r="H151" s="55">
        <f t="shared" si="1065"/>
        <v>0</v>
      </c>
      <c r="I151" s="55">
        <f t="shared" si="1066"/>
        <v>0</v>
      </c>
      <c r="J151" s="59">
        <f t="shared" si="1067"/>
        <v>0</v>
      </c>
      <c r="K151" s="55">
        <f t="shared" ref="K151:K155" si="1075">+I151*BD151</f>
        <v>0</v>
      </c>
      <c r="L151" s="59">
        <f t="shared" ref="L151:L155" si="1076">+K151*3.3058</f>
        <v>0</v>
      </c>
      <c r="M151" s="55">
        <f t="shared" ref="M151:M155" si="1077">+I151*BE151</f>
        <v>0</v>
      </c>
      <c r="N151" s="59">
        <f t="shared" ref="N151:N155" si="1078">+M151*3.3058</f>
        <v>0</v>
      </c>
      <c r="O151" s="55">
        <f>+I151*BF151</f>
        <v>0</v>
      </c>
      <c r="P151" s="59">
        <f t="shared" ref="P151:P155" si="1079">+O151*3.3058</f>
        <v>0</v>
      </c>
      <c r="Q151" s="57">
        <f>+I151*BG151</f>
        <v>0</v>
      </c>
      <c r="R151" s="59">
        <f t="shared" ref="R151:R155" si="1080">+Q151*3.3058</f>
        <v>0</v>
      </c>
      <c r="S151" s="55">
        <f>+I151*BH151</f>
        <v>0</v>
      </c>
      <c r="T151" s="59">
        <f t="shared" ref="T151:T155" si="1081">+S151*3.3058</f>
        <v>0</v>
      </c>
      <c r="U151" s="57">
        <f>+I151*BI151</f>
        <v>0</v>
      </c>
      <c r="V151" s="59">
        <f t="shared" ref="V151:V155" si="1082">+U151*3.3058</f>
        <v>0</v>
      </c>
      <c r="W151" s="60">
        <f>+I151*BJ151</f>
        <v>0</v>
      </c>
      <c r="X151" s="59">
        <f t="shared" ref="X151:X155" si="1083">+W151*3.3058</f>
        <v>0</v>
      </c>
      <c r="Y151" s="57">
        <f>+I151*BK151</f>
        <v>0</v>
      </c>
      <c r="Z151" s="59">
        <f t="shared" ref="Z151:Z155" si="1084">+Y151*3.3058</f>
        <v>0</v>
      </c>
      <c r="AA151" s="55">
        <f>+I151*BL151</f>
        <v>0</v>
      </c>
      <c r="AB151" s="59">
        <f t="shared" ref="AB151:AB155" si="1085">+AA151*3.3058</f>
        <v>0</v>
      </c>
      <c r="AC151" s="60">
        <f>+I151*BM151</f>
        <v>0</v>
      </c>
      <c r="AD151" s="59">
        <f t="shared" ref="AD151:AD155" si="1086">+AC151*3.3058</f>
        <v>0</v>
      </c>
      <c r="AE151" s="60">
        <f>+I151*BN151</f>
        <v>0</v>
      </c>
      <c r="AF151" s="59">
        <f t="shared" ref="AF151:AF155" si="1087">+AE151*3.3058</f>
        <v>0</v>
      </c>
      <c r="AG151" s="60">
        <f>+I151*BO151</f>
        <v>0</v>
      </c>
      <c r="AH151" s="59">
        <f t="shared" ref="AH151:AH155" si="1088">+AG151*3.3058</f>
        <v>0</v>
      </c>
      <c r="AI151" s="55">
        <f>+I151*BP151</f>
        <v>0</v>
      </c>
      <c r="AJ151" s="59">
        <f t="shared" ref="AJ151:AJ155" si="1089">+AI151*3.3058</f>
        <v>0</v>
      </c>
      <c r="AK151" s="60">
        <f>+I151*BQ151</f>
        <v>0</v>
      </c>
      <c r="AL151" s="59">
        <f t="shared" ref="AL151:AL155" si="1090">+AK151*3.3058</f>
        <v>0</v>
      </c>
      <c r="AM151" s="60">
        <f>+I151*BR151</f>
        <v>0</v>
      </c>
      <c r="AN151" s="59">
        <f t="shared" ref="AN151:AN155" si="1091">+AM151*3.3058</f>
        <v>0</v>
      </c>
      <c r="AO151" s="60">
        <f>+I151*BS151</f>
        <v>0</v>
      </c>
      <c r="AP151" s="59">
        <f t="shared" ref="AP151:AP155" si="1092">+AO151*3.3058</f>
        <v>0</v>
      </c>
      <c r="AQ151" s="60">
        <f>+I151*BT151</f>
        <v>0</v>
      </c>
      <c r="AR151" s="59">
        <f t="shared" ref="AR151:AR155" si="1093">+AQ151*3.3058</f>
        <v>0</v>
      </c>
      <c r="AS151" s="55">
        <f>+I151*BU151</f>
        <v>0</v>
      </c>
      <c r="AT151" s="59">
        <f t="shared" ref="AT151:AT155" si="1094">+AS151*3.3058</f>
        <v>0</v>
      </c>
      <c r="AU151" s="60">
        <f>+I151*BV151</f>
        <v>0</v>
      </c>
      <c r="AV151" s="59">
        <f t="shared" ref="AV151:AV155" si="1095">+AU151*3.3058</f>
        <v>0</v>
      </c>
      <c r="AW151" s="60">
        <f>+I151*BW151</f>
        <v>0</v>
      </c>
      <c r="AX151" s="59">
        <f t="shared" ref="AX151:AX155" si="1096">+AW151*3.3058</f>
        <v>0</v>
      </c>
      <c r="AY151" s="55">
        <f>+I151*BX151</f>
        <v>0</v>
      </c>
      <c r="AZ151" s="59">
        <f t="shared" ref="AZ151:AZ155" si="1097">+AY151*3.3058</f>
        <v>0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098">+BF151-0.02</f>
        <v>0.91</v>
      </c>
      <c r="BH151" s="55">
        <f t="shared" si="1098"/>
        <v>0.89</v>
      </c>
      <c r="BI151" s="55">
        <f t="shared" si="1098"/>
        <v>0.87</v>
      </c>
      <c r="BJ151" s="55">
        <f t="shared" si="1098"/>
        <v>0.85</v>
      </c>
      <c r="BK151" s="55">
        <f t="shared" si="1098"/>
        <v>0.83</v>
      </c>
      <c r="BL151" s="55">
        <f t="shared" si="1098"/>
        <v>0.80999999999999994</v>
      </c>
      <c r="BM151" s="55">
        <f t="shared" si="1098"/>
        <v>0.78999999999999992</v>
      </c>
      <c r="BN151" s="55">
        <f t="shared" si="1098"/>
        <v>0.76999999999999991</v>
      </c>
      <c r="BO151" s="55">
        <f t="shared" si="1098"/>
        <v>0.74999999999999989</v>
      </c>
      <c r="BP151" s="55">
        <f t="shared" si="1098"/>
        <v>0.72999999999999987</v>
      </c>
      <c r="BQ151" s="55">
        <f t="shared" si="1098"/>
        <v>0.70999999999999985</v>
      </c>
      <c r="BR151" s="55">
        <f t="shared" si="1098"/>
        <v>0.68999999999999984</v>
      </c>
      <c r="BS151" s="55">
        <f t="shared" si="1098"/>
        <v>0.66999999999999982</v>
      </c>
      <c r="BT151" s="55">
        <f t="shared" si="1098"/>
        <v>0.6499999999999998</v>
      </c>
      <c r="BU151" s="55">
        <f t="shared" si="1098"/>
        <v>0.62999999999999978</v>
      </c>
      <c r="BV151" s="55">
        <f t="shared" si="1098"/>
        <v>0.60999999999999976</v>
      </c>
      <c r="BW151" s="55">
        <f t="shared" si="1098"/>
        <v>0.58999999999999975</v>
      </c>
      <c r="BX151" s="55">
        <f t="shared" si="1098"/>
        <v>0.56999999999999973</v>
      </c>
      <c r="BZ151" s="55">
        <f t="shared" si="1068"/>
        <v>0</v>
      </c>
      <c r="CA151" s="55">
        <f t="shared" si="1069"/>
        <v>0</v>
      </c>
      <c r="CB151" s="59">
        <f t="shared" ref="CB151:CB155" si="1099">+CA151*3.3058</f>
        <v>0</v>
      </c>
      <c r="CC151" s="55">
        <f t="shared" ref="CC151:CC155" si="1100">+CA151*DV151</f>
        <v>0</v>
      </c>
      <c r="CD151" s="59">
        <f t="shared" ref="CD151:CD155" si="1101">+CC151*3.3058</f>
        <v>0</v>
      </c>
      <c r="CE151" s="55">
        <f t="shared" ref="CE151:CE155" si="1102">+CA151*DW151</f>
        <v>0</v>
      </c>
      <c r="CF151" s="59">
        <f t="shared" ref="CF151:CF155" si="1103">+CE151*3.3058</f>
        <v>0</v>
      </c>
      <c r="CG151" s="55">
        <f>+CA151*DX151</f>
        <v>0</v>
      </c>
      <c r="CH151" s="59">
        <f t="shared" ref="CH151:CH155" si="1104">+CG151*3.3058</f>
        <v>0</v>
      </c>
      <c r="CI151" s="57">
        <f>+CA151*DY151</f>
        <v>0</v>
      </c>
      <c r="CJ151" s="59">
        <f t="shared" ref="CJ151:CJ155" si="1105">+CI151*3.3058</f>
        <v>0</v>
      </c>
      <c r="CK151" s="55">
        <f>+CA151*DZ151</f>
        <v>0</v>
      </c>
      <c r="CL151" s="59">
        <f t="shared" ref="CL151:CL155" si="1106">+CK151*3.3058</f>
        <v>0</v>
      </c>
      <c r="CM151" s="57">
        <f>+CA151*EA151</f>
        <v>0</v>
      </c>
      <c r="CN151" s="59">
        <f t="shared" ref="CN151:CN155" si="1107">+CM151*3.3058</f>
        <v>0</v>
      </c>
      <c r="CO151" s="60">
        <f>+CA151*EB151</f>
        <v>0</v>
      </c>
      <c r="CP151" s="59">
        <f t="shared" ref="CP151:CP155" si="1108">+CO151*3.3058</f>
        <v>0</v>
      </c>
      <c r="CQ151" s="57">
        <f>+CA151*EC151</f>
        <v>0</v>
      </c>
      <c r="CR151" s="59">
        <f t="shared" ref="CR151:CR155" si="1109">+CQ151*3.3058</f>
        <v>0</v>
      </c>
      <c r="CS151" s="55">
        <f>+CA151*ED151</f>
        <v>0</v>
      </c>
      <c r="CT151" s="59">
        <f t="shared" ref="CT151:CT155" si="1110">+CS151*3.3058</f>
        <v>0</v>
      </c>
      <c r="CU151" s="60">
        <f>+CA151*EE151</f>
        <v>0</v>
      </c>
      <c r="CV151" s="59">
        <f t="shared" ref="CV151:CV155" si="1111">+CU151*3.3058</f>
        <v>0</v>
      </c>
      <c r="CW151" s="60">
        <f>+CA151*EF151</f>
        <v>0</v>
      </c>
      <c r="CX151" s="59">
        <f t="shared" ref="CX151:CX155" si="1112">+CW151*3.3058</f>
        <v>0</v>
      </c>
      <c r="CY151" s="60">
        <f>+CA151*EG151</f>
        <v>0</v>
      </c>
      <c r="CZ151" s="59">
        <f t="shared" ref="CZ151:CZ155" si="1113">+CY151*3.3058</f>
        <v>0</v>
      </c>
      <c r="DA151" s="55">
        <f>+CA151*EH151</f>
        <v>0</v>
      </c>
      <c r="DB151" s="59">
        <f t="shared" ref="DB151:DB155" si="1114">+DA151*3.3058</f>
        <v>0</v>
      </c>
      <c r="DC151" s="60">
        <f>+CA151*EI151</f>
        <v>0</v>
      </c>
      <c r="DD151" s="59">
        <f t="shared" ref="DD151:DD155" si="1115">+DC151*3.3058</f>
        <v>0</v>
      </c>
      <c r="DE151" s="60">
        <f>+CA151*EJ151</f>
        <v>0</v>
      </c>
      <c r="DF151" s="59">
        <f t="shared" ref="DF151:DF155" si="1116">+DE151*3.3058</f>
        <v>0</v>
      </c>
      <c r="DG151" s="60">
        <f>+CA151*EK151</f>
        <v>0</v>
      </c>
      <c r="DH151" s="59">
        <f t="shared" ref="DH151:DH155" si="1117">+DG151*3.3058</f>
        <v>0</v>
      </c>
      <c r="DI151" s="60">
        <f>+CA151*EL151</f>
        <v>0</v>
      </c>
      <c r="DJ151" s="59">
        <f t="shared" ref="DJ151:DJ155" si="1118">+DI151*3.3058</f>
        <v>0</v>
      </c>
      <c r="DK151" s="55">
        <f>+CA151*EM151</f>
        <v>0</v>
      </c>
      <c r="DL151" s="59">
        <f t="shared" ref="DL151:DL155" si="1119">+DK151*3.3058</f>
        <v>0</v>
      </c>
      <c r="DM151" s="60">
        <f>+CA151*EN151</f>
        <v>0</v>
      </c>
      <c r="DN151" s="59">
        <f t="shared" ref="DN151:DN155" si="1120">+DM151*3.3058</f>
        <v>0</v>
      </c>
      <c r="DO151" s="60">
        <f>+CA151*EO151</f>
        <v>0</v>
      </c>
      <c r="DP151" s="59">
        <f t="shared" ref="DP151:DP155" si="1121">+DO151*3.3058</f>
        <v>0</v>
      </c>
      <c r="DQ151" s="55">
        <f>+CA151*EP151</f>
        <v>0</v>
      </c>
      <c r="DR151" s="59">
        <f t="shared" ref="DR151:DR155" si="1122">+DQ151*3.3058</f>
        <v>0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30"/>
        <v>0.91</v>
      </c>
      <c r="DZ151" s="55">
        <f t="shared" si="930"/>
        <v>0.89</v>
      </c>
      <c r="EA151" s="55">
        <f t="shared" si="930"/>
        <v>0.87</v>
      </c>
      <c r="EB151" s="55">
        <f t="shared" si="930"/>
        <v>0.85</v>
      </c>
      <c r="EC151" s="55">
        <f t="shared" si="930"/>
        <v>0.83</v>
      </c>
      <c r="ED151" s="55">
        <f t="shared" si="930"/>
        <v>0.80999999999999994</v>
      </c>
      <c r="EE151" s="55">
        <f t="shared" si="930"/>
        <v>0.78999999999999992</v>
      </c>
      <c r="EF151" s="55">
        <f t="shared" si="930"/>
        <v>0.76999999999999991</v>
      </c>
      <c r="EG151" s="55">
        <f t="shared" si="930"/>
        <v>0.74999999999999989</v>
      </c>
      <c r="EH151" s="55">
        <f t="shared" si="930"/>
        <v>0.72999999999999987</v>
      </c>
      <c r="EI151" s="55">
        <f t="shared" si="930"/>
        <v>0.70999999999999985</v>
      </c>
      <c r="EJ151" s="55">
        <f t="shared" si="930"/>
        <v>0.68999999999999984</v>
      </c>
      <c r="EK151" s="55">
        <f t="shared" si="930"/>
        <v>0.66999999999999982</v>
      </c>
      <c r="EL151" s="55">
        <f t="shared" si="930"/>
        <v>0.6499999999999998</v>
      </c>
      <c r="EM151" s="55">
        <f t="shared" si="930"/>
        <v>0.62999999999999978</v>
      </c>
      <c r="EN151" s="55">
        <f t="shared" si="930"/>
        <v>0.60999999999999976</v>
      </c>
      <c r="EO151" s="55">
        <f t="shared" si="930"/>
        <v>0.58999999999999975</v>
      </c>
      <c r="EP151" s="55">
        <f t="shared" si="930"/>
        <v>0.56999999999999973</v>
      </c>
      <c r="ER151" s="55">
        <f t="shared" si="648"/>
        <v>0</v>
      </c>
      <c r="ES151" s="55">
        <f t="shared" si="1070"/>
        <v>0</v>
      </c>
      <c r="ET151" s="59">
        <f t="shared" ref="ET151:ET155" si="1123">+ES151*3.3058</f>
        <v>0</v>
      </c>
      <c r="EU151" s="55">
        <f t="shared" ref="EU151:EU155" si="1124">+ES151*GN151</f>
        <v>0</v>
      </c>
      <c r="EV151" s="59">
        <f t="shared" ref="EV151:EV155" si="1125">+EU151*3.3058</f>
        <v>0</v>
      </c>
      <c r="EW151" s="55">
        <f t="shared" ref="EW151:EW155" si="1126">+ES151*GO151</f>
        <v>0</v>
      </c>
      <c r="EX151" s="59">
        <f t="shared" ref="EX151:EX155" si="1127">+EW151*3.3058</f>
        <v>0</v>
      </c>
      <c r="EY151" s="55">
        <f>+ES151*GP151</f>
        <v>0</v>
      </c>
      <c r="EZ151" s="59">
        <f t="shared" ref="EZ151:EZ155" si="1128">+EY151*3.3058</f>
        <v>0</v>
      </c>
      <c r="FA151" s="57">
        <f>+ES151*GQ151</f>
        <v>0</v>
      </c>
      <c r="FB151" s="59">
        <f t="shared" ref="FB151:FB155" si="1129">+FA151*3.3058</f>
        <v>0</v>
      </c>
      <c r="FC151" s="55">
        <f>+ES151*GR151</f>
        <v>0</v>
      </c>
      <c r="FD151" s="59">
        <f t="shared" ref="FD151:FD155" si="1130">+FC151*3.3058</f>
        <v>0</v>
      </c>
      <c r="FE151" s="57">
        <f>+ES151*GS151</f>
        <v>0</v>
      </c>
      <c r="FF151" s="59">
        <f t="shared" ref="FF151:FF155" si="1131">+FE151*3.3058</f>
        <v>0</v>
      </c>
      <c r="FG151" s="60">
        <f>+ES151*GT151</f>
        <v>0</v>
      </c>
      <c r="FH151" s="59">
        <f t="shared" ref="FH151:FH155" si="1132">+FG151*3.3058</f>
        <v>0</v>
      </c>
      <c r="FI151" s="57">
        <f>+ES151*GU151</f>
        <v>0</v>
      </c>
      <c r="FJ151" s="59">
        <f t="shared" ref="FJ151:FJ155" si="1133">+FI151*3.3058</f>
        <v>0</v>
      </c>
      <c r="FK151" s="55">
        <f>+ES151*GV151</f>
        <v>0</v>
      </c>
      <c r="FL151" s="59">
        <f t="shared" ref="FL151:FL155" si="1134">+FK151*3.3058</f>
        <v>0</v>
      </c>
      <c r="FM151" s="60">
        <f>+ES151*GW151</f>
        <v>0</v>
      </c>
      <c r="FN151" s="59">
        <f t="shared" ref="FN151:FN155" si="1135">+FM151*3.3058</f>
        <v>0</v>
      </c>
      <c r="FO151" s="60">
        <f>+ES151*GX151</f>
        <v>0</v>
      </c>
      <c r="FP151" s="59">
        <f t="shared" ref="FP151:FP155" si="1136">+FO151*3.3058</f>
        <v>0</v>
      </c>
      <c r="FQ151" s="60">
        <f>+ES151*GY151</f>
        <v>0</v>
      </c>
      <c r="FR151" s="59">
        <f t="shared" ref="FR151:FR155" si="1137">+FQ151*3.3058</f>
        <v>0</v>
      </c>
      <c r="FS151" s="55">
        <f>+ES151*GZ151</f>
        <v>0</v>
      </c>
      <c r="FT151" s="59">
        <f t="shared" ref="FT151:FT155" si="1138">+FS151*3.3058</f>
        <v>0</v>
      </c>
      <c r="FU151" s="60">
        <f>+ES151*HA151</f>
        <v>0</v>
      </c>
      <c r="FV151" s="59">
        <f t="shared" ref="FV151:FV155" si="1139">+FU151*3.3058</f>
        <v>0</v>
      </c>
      <c r="FW151" s="60">
        <f>+ES151*HB151</f>
        <v>0</v>
      </c>
      <c r="FX151" s="59">
        <f t="shared" ref="FX151:FX155" si="1140">+FW151*3.3058</f>
        <v>0</v>
      </c>
      <c r="FY151" s="60">
        <f>+ES151*HC151</f>
        <v>0</v>
      </c>
      <c r="FZ151" s="59">
        <f t="shared" ref="FZ151:FZ155" si="1141">+FY151*3.3058</f>
        <v>0</v>
      </c>
      <c r="GA151" s="60">
        <f>+ES151*HD151</f>
        <v>0</v>
      </c>
      <c r="GB151" s="59">
        <f t="shared" ref="GB151:GB155" si="1142">+GA151*3.3058</f>
        <v>0</v>
      </c>
      <c r="GC151" s="55">
        <f>+ES151*HE151</f>
        <v>0</v>
      </c>
      <c r="GD151" s="59">
        <f t="shared" ref="GD151:GD155" si="1143">+GC151*3.3058</f>
        <v>0</v>
      </c>
      <c r="GE151" s="60">
        <f>+ES151*HF151</f>
        <v>0</v>
      </c>
      <c r="GF151" s="59">
        <f t="shared" ref="GF151:GF155" si="1144">+GE151*3.3058</f>
        <v>0</v>
      </c>
      <c r="GG151" s="60">
        <f>+ES151*HG151</f>
        <v>0</v>
      </c>
      <c r="GH151" s="59">
        <f t="shared" ref="GH151:GH155" si="1145">+GG151*3.3058</f>
        <v>0</v>
      </c>
      <c r="GI151" s="55">
        <f>+ES151*HH151</f>
        <v>0</v>
      </c>
      <c r="GJ151" s="59">
        <f t="shared" ref="GJ151:GJ155" si="1146">+GI151*3.3058</f>
        <v>0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31"/>
        <v>0.91</v>
      </c>
      <c r="GR151" s="55">
        <f t="shared" si="931"/>
        <v>0.89</v>
      </c>
      <c r="GS151" s="55">
        <f t="shared" si="931"/>
        <v>0.87</v>
      </c>
      <c r="GT151" s="55">
        <f t="shared" si="931"/>
        <v>0.85</v>
      </c>
      <c r="GU151" s="55">
        <f t="shared" si="931"/>
        <v>0.83</v>
      </c>
      <c r="GV151" s="55">
        <f t="shared" si="931"/>
        <v>0.80999999999999994</v>
      </c>
      <c r="GW151" s="55">
        <f t="shared" si="931"/>
        <v>0.78999999999999992</v>
      </c>
      <c r="GX151" s="55">
        <f t="shared" si="931"/>
        <v>0.76999999999999991</v>
      </c>
      <c r="GY151" s="55">
        <f t="shared" si="931"/>
        <v>0.74999999999999989</v>
      </c>
      <c r="GZ151" s="55">
        <f t="shared" si="931"/>
        <v>0.72999999999999987</v>
      </c>
      <c r="HA151" s="55">
        <f t="shared" si="931"/>
        <v>0.70999999999999985</v>
      </c>
      <c r="HB151" s="55">
        <f t="shared" si="931"/>
        <v>0.68999999999999984</v>
      </c>
      <c r="HC151" s="55">
        <f t="shared" si="931"/>
        <v>0.66999999999999982</v>
      </c>
      <c r="HD151" s="55">
        <f t="shared" si="931"/>
        <v>0.6499999999999998</v>
      </c>
      <c r="HE151" s="55">
        <f t="shared" si="931"/>
        <v>0.62999999999999978</v>
      </c>
      <c r="HF151" s="55">
        <f t="shared" si="931"/>
        <v>0.60999999999999976</v>
      </c>
      <c r="HG151" s="55">
        <f t="shared" si="931"/>
        <v>0.58999999999999975</v>
      </c>
      <c r="HH151" s="55">
        <f t="shared" si="931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71">
        <f>TRUNC(+D152*3.3058,-1)</f>
        <v>0</v>
      </c>
      <c r="H152" s="55">
        <f t="shared" si="1065"/>
        <v>0</v>
      </c>
      <c r="I152" s="55">
        <f t="shared" si="1066"/>
        <v>0</v>
      </c>
      <c r="J152" s="59">
        <f t="shared" si="1067"/>
        <v>0</v>
      </c>
      <c r="K152" s="55">
        <f t="shared" si="1075"/>
        <v>0</v>
      </c>
      <c r="L152" s="59">
        <f t="shared" si="1076"/>
        <v>0</v>
      </c>
      <c r="M152" s="55">
        <f t="shared" si="1077"/>
        <v>0</v>
      </c>
      <c r="N152" s="59">
        <f t="shared" si="1078"/>
        <v>0</v>
      </c>
      <c r="O152" s="55">
        <f>+I152*BF152</f>
        <v>0</v>
      </c>
      <c r="P152" s="59">
        <f t="shared" si="1079"/>
        <v>0</v>
      </c>
      <c r="Q152" s="57">
        <f>+I152*BG152</f>
        <v>0</v>
      </c>
      <c r="R152" s="59">
        <f t="shared" si="1080"/>
        <v>0</v>
      </c>
      <c r="S152" s="55">
        <f>+I152*BH152</f>
        <v>0</v>
      </c>
      <c r="T152" s="59">
        <f t="shared" si="1081"/>
        <v>0</v>
      </c>
      <c r="U152" s="57">
        <f>+I152*BI152</f>
        <v>0</v>
      </c>
      <c r="V152" s="59">
        <f t="shared" si="1082"/>
        <v>0</v>
      </c>
      <c r="W152" s="60">
        <f>+I152*BJ152</f>
        <v>0</v>
      </c>
      <c r="X152" s="59">
        <f t="shared" si="1083"/>
        <v>0</v>
      </c>
      <c r="Y152" s="57">
        <f>+I152*BK152</f>
        <v>0</v>
      </c>
      <c r="Z152" s="59">
        <f t="shared" si="1084"/>
        <v>0</v>
      </c>
      <c r="AA152" s="55">
        <f>+I152*BL152</f>
        <v>0</v>
      </c>
      <c r="AB152" s="59">
        <f t="shared" si="1085"/>
        <v>0</v>
      </c>
      <c r="AC152" s="60">
        <f>+I152*BM152</f>
        <v>0</v>
      </c>
      <c r="AD152" s="59">
        <f t="shared" si="1086"/>
        <v>0</v>
      </c>
      <c r="AE152" s="60">
        <f>+I152*BN152</f>
        <v>0</v>
      </c>
      <c r="AF152" s="59">
        <f t="shared" si="1087"/>
        <v>0</v>
      </c>
      <c r="AG152" s="60">
        <f>+I152*BO152</f>
        <v>0</v>
      </c>
      <c r="AH152" s="59">
        <f t="shared" si="1088"/>
        <v>0</v>
      </c>
      <c r="AI152" s="55">
        <f>+I152*BP152</f>
        <v>0</v>
      </c>
      <c r="AJ152" s="59">
        <f t="shared" si="1089"/>
        <v>0</v>
      </c>
      <c r="AK152" s="60">
        <f>+I152*BQ152</f>
        <v>0</v>
      </c>
      <c r="AL152" s="59">
        <f t="shared" si="1090"/>
        <v>0</v>
      </c>
      <c r="AM152" s="60">
        <f>+I152*BR152</f>
        <v>0</v>
      </c>
      <c r="AN152" s="59">
        <f t="shared" si="1091"/>
        <v>0</v>
      </c>
      <c r="AO152" s="60">
        <f>+I152*BS152</f>
        <v>0</v>
      </c>
      <c r="AP152" s="59">
        <f t="shared" si="1092"/>
        <v>0</v>
      </c>
      <c r="AQ152" s="60">
        <f>+I152*BT152</f>
        <v>0</v>
      </c>
      <c r="AR152" s="59">
        <f t="shared" si="1093"/>
        <v>0</v>
      </c>
      <c r="AS152" s="55">
        <f>+I152*BU152</f>
        <v>0</v>
      </c>
      <c r="AT152" s="59">
        <f t="shared" si="1094"/>
        <v>0</v>
      </c>
      <c r="AU152" s="60">
        <f>+I152*BV152</f>
        <v>0</v>
      </c>
      <c r="AV152" s="59">
        <f t="shared" si="1095"/>
        <v>0</v>
      </c>
      <c r="AW152" s="60">
        <f>+I152*BW152</f>
        <v>0</v>
      </c>
      <c r="AX152" s="59">
        <f t="shared" si="1096"/>
        <v>0</v>
      </c>
      <c r="AY152" s="55">
        <f>+I152*BX152</f>
        <v>0</v>
      </c>
      <c r="AZ152" s="59">
        <f t="shared" si="1097"/>
        <v>0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098"/>
        <v>0.91</v>
      </c>
      <c r="BH152" s="55">
        <f t="shared" si="1098"/>
        <v>0.89</v>
      </c>
      <c r="BI152" s="55">
        <f t="shared" si="1098"/>
        <v>0.87</v>
      </c>
      <c r="BJ152" s="55">
        <f t="shared" si="1098"/>
        <v>0.85</v>
      </c>
      <c r="BK152" s="55">
        <f t="shared" si="1098"/>
        <v>0.83</v>
      </c>
      <c r="BL152" s="55">
        <f t="shared" si="1098"/>
        <v>0.80999999999999994</v>
      </c>
      <c r="BM152" s="55">
        <f t="shared" si="1098"/>
        <v>0.78999999999999992</v>
      </c>
      <c r="BN152" s="55">
        <f t="shared" si="1098"/>
        <v>0.76999999999999991</v>
      </c>
      <c r="BO152" s="55">
        <f t="shared" si="1098"/>
        <v>0.74999999999999989</v>
      </c>
      <c r="BP152" s="55">
        <f t="shared" si="1098"/>
        <v>0.72999999999999987</v>
      </c>
      <c r="BQ152" s="55">
        <f t="shared" si="1098"/>
        <v>0.70999999999999985</v>
      </c>
      <c r="BR152" s="55">
        <f t="shared" si="1098"/>
        <v>0.68999999999999984</v>
      </c>
      <c r="BS152" s="55">
        <f t="shared" si="1098"/>
        <v>0.66999999999999982</v>
      </c>
      <c r="BT152" s="55">
        <f t="shared" si="1098"/>
        <v>0.6499999999999998</v>
      </c>
      <c r="BU152" s="55">
        <f t="shared" si="1098"/>
        <v>0.62999999999999978</v>
      </c>
      <c r="BV152" s="55">
        <f t="shared" si="1098"/>
        <v>0.60999999999999976</v>
      </c>
      <c r="BW152" s="55">
        <f t="shared" si="1098"/>
        <v>0.58999999999999975</v>
      </c>
      <c r="BX152" s="55">
        <f t="shared" si="1098"/>
        <v>0.56999999999999973</v>
      </c>
      <c r="BZ152" s="55">
        <f t="shared" si="1068"/>
        <v>0</v>
      </c>
      <c r="CA152" s="55">
        <f t="shared" si="1069"/>
        <v>0</v>
      </c>
      <c r="CB152" s="59">
        <f t="shared" si="1099"/>
        <v>0</v>
      </c>
      <c r="CC152" s="55">
        <f t="shared" si="1100"/>
        <v>0</v>
      </c>
      <c r="CD152" s="59">
        <f t="shared" si="1101"/>
        <v>0</v>
      </c>
      <c r="CE152" s="55">
        <f t="shared" si="1102"/>
        <v>0</v>
      </c>
      <c r="CF152" s="59">
        <f t="shared" si="1103"/>
        <v>0</v>
      </c>
      <c r="CG152" s="55">
        <f>+CA152*DX152</f>
        <v>0</v>
      </c>
      <c r="CH152" s="59">
        <f t="shared" si="1104"/>
        <v>0</v>
      </c>
      <c r="CI152" s="57">
        <f>+CA152*DY152</f>
        <v>0</v>
      </c>
      <c r="CJ152" s="59">
        <f t="shared" si="1105"/>
        <v>0</v>
      </c>
      <c r="CK152" s="55">
        <f>+CA152*DZ152</f>
        <v>0</v>
      </c>
      <c r="CL152" s="59">
        <f t="shared" si="1106"/>
        <v>0</v>
      </c>
      <c r="CM152" s="57">
        <f>+CA152*EA152</f>
        <v>0</v>
      </c>
      <c r="CN152" s="59">
        <f t="shared" si="1107"/>
        <v>0</v>
      </c>
      <c r="CO152" s="60">
        <f>+CA152*EB152</f>
        <v>0</v>
      </c>
      <c r="CP152" s="59">
        <f t="shared" si="1108"/>
        <v>0</v>
      </c>
      <c r="CQ152" s="57">
        <f>+CA152*EC152</f>
        <v>0</v>
      </c>
      <c r="CR152" s="59">
        <f t="shared" si="1109"/>
        <v>0</v>
      </c>
      <c r="CS152" s="55">
        <f>+CA152*ED152</f>
        <v>0</v>
      </c>
      <c r="CT152" s="59">
        <f t="shared" si="1110"/>
        <v>0</v>
      </c>
      <c r="CU152" s="60">
        <f>+CA152*EE152</f>
        <v>0</v>
      </c>
      <c r="CV152" s="59">
        <f t="shared" si="1111"/>
        <v>0</v>
      </c>
      <c r="CW152" s="60">
        <f>+CA152*EF152</f>
        <v>0</v>
      </c>
      <c r="CX152" s="59">
        <f t="shared" si="1112"/>
        <v>0</v>
      </c>
      <c r="CY152" s="60">
        <f>+CA152*EG152</f>
        <v>0</v>
      </c>
      <c r="CZ152" s="59">
        <f t="shared" si="1113"/>
        <v>0</v>
      </c>
      <c r="DA152" s="55">
        <f>+CA152*EH152</f>
        <v>0</v>
      </c>
      <c r="DB152" s="59">
        <f t="shared" si="1114"/>
        <v>0</v>
      </c>
      <c r="DC152" s="60">
        <f>+CA152*EI152</f>
        <v>0</v>
      </c>
      <c r="DD152" s="59">
        <f t="shared" si="1115"/>
        <v>0</v>
      </c>
      <c r="DE152" s="60">
        <f>+CA152*EJ152</f>
        <v>0</v>
      </c>
      <c r="DF152" s="59">
        <f t="shared" si="1116"/>
        <v>0</v>
      </c>
      <c r="DG152" s="60">
        <f>+CA152*EK152</f>
        <v>0</v>
      </c>
      <c r="DH152" s="59">
        <f t="shared" si="1117"/>
        <v>0</v>
      </c>
      <c r="DI152" s="60">
        <f>+CA152*EL152</f>
        <v>0</v>
      </c>
      <c r="DJ152" s="59">
        <f t="shared" si="1118"/>
        <v>0</v>
      </c>
      <c r="DK152" s="55">
        <f>+CA152*EM152</f>
        <v>0</v>
      </c>
      <c r="DL152" s="59">
        <f t="shared" si="1119"/>
        <v>0</v>
      </c>
      <c r="DM152" s="60">
        <f>+CA152*EN152</f>
        <v>0</v>
      </c>
      <c r="DN152" s="59">
        <f t="shared" si="1120"/>
        <v>0</v>
      </c>
      <c r="DO152" s="60">
        <f>+CA152*EO152</f>
        <v>0</v>
      </c>
      <c r="DP152" s="59">
        <f t="shared" si="1121"/>
        <v>0</v>
      </c>
      <c r="DQ152" s="55">
        <f>+CA152*EP152</f>
        <v>0</v>
      </c>
      <c r="DR152" s="59">
        <f t="shared" si="1122"/>
        <v>0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30"/>
        <v>0.91</v>
      </c>
      <c r="DZ152" s="55">
        <f t="shared" si="930"/>
        <v>0.89</v>
      </c>
      <c r="EA152" s="55">
        <f t="shared" si="930"/>
        <v>0.87</v>
      </c>
      <c r="EB152" s="55">
        <f t="shared" si="930"/>
        <v>0.85</v>
      </c>
      <c r="EC152" s="55">
        <f t="shared" si="930"/>
        <v>0.83</v>
      </c>
      <c r="ED152" s="55">
        <f t="shared" si="930"/>
        <v>0.80999999999999994</v>
      </c>
      <c r="EE152" s="55">
        <f t="shared" si="930"/>
        <v>0.78999999999999992</v>
      </c>
      <c r="EF152" s="55">
        <f t="shared" si="930"/>
        <v>0.76999999999999991</v>
      </c>
      <c r="EG152" s="55">
        <f t="shared" si="930"/>
        <v>0.74999999999999989</v>
      </c>
      <c r="EH152" s="55">
        <f t="shared" si="930"/>
        <v>0.72999999999999987</v>
      </c>
      <c r="EI152" s="55">
        <f t="shared" si="930"/>
        <v>0.70999999999999985</v>
      </c>
      <c r="EJ152" s="55">
        <f t="shared" si="930"/>
        <v>0.68999999999999984</v>
      </c>
      <c r="EK152" s="55">
        <f t="shared" si="930"/>
        <v>0.66999999999999982</v>
      </c>
      <c r="EL152" s="55">
        <f t="shared" si="930"/>
        <v>0.6499999999999998</v>
      </c>
      <c r="EM152" s="55">
        <f t="shared" si="930"/>
        <v>0.62999999999999978</v>
      </c>
      <c r="EN152" s="55">
        <f t="shared" si="930"/>
        <v>0.60999999999999976</v>
      </c>
      <c r="EO152" s="55">
        <f t="shared" si="930"/>
        <v>0.58999999999999975</v>
      </c>
      <c r="EP152" s="55">
        <f t="shared" si="930"/>
        <v>0.56999999999999973</v>
      </c>
      <c r="ER152" s="55">
        <f t="shared" si="648"/>
        <v>0</v>
      </c>
      <c r="ES152" s="55">
        <f t="shared" si="1070"/>
        <v>0</v>
      </c>
      <c r="ET152" s="59">
        <f t="shared" si="1123"/>
        <v>0</v>
      </c>
      <c r="EU152" s="55">
        <f t="shared" si="1124"/>
        <v>0</v>
      </c>
      <c r="EV152" s="59">
        <f t="shared" si="1125"/>
        <v>0</v>
      </c>
      <c r="EW152" s="55">
        <f t="shared" si="1126"/>
        <v>0</v>
      </c>
      <c r="EX152" s="59">
        <f t="shared" si="1127"/>
        <v>0</v>
      </c>
      <c r="EY152" s="55">
        <f>+ES152*GP152</f>
        <v>0</v>
      </c>
      <c r="EZ152" s="59">
        <f t="shared" si="1128"/>
        <v>0</v>
      </c>
      <c r="FA152" s="57">
        <f>+ES152*GQ152</f>
        <v>0</v>
      </c>
      <c r="FB152" s="59">
        <f t="shared" si="1129"/>
        <v>0</v>
      </c>
      <c r="FC152" s="55">
        <f>+ES152*GR152</f>
        <v>0</v>
      </c>
      <c r="FD152" s="59">
        <f t="shared" si="1130"/>
        <v>0</v>
      </c>
      <c r="FE152" s="57">
        <f>+ES152*GS152</f>
        <v>0</v>
      </c>
      <c r="FF152" s="59">
        <f t="shared" si="1131"/>
        <v>0</v>
      </c>
      <c r="FG152" s="60">
        <f>+ES152*GT152</f>
        <v>0</v>
      </c>
      <c r="FH152" s="59">
        <f t="shared" si="1132"/>
        <v>0</v>
      </c>
      <c r="FI152" s="57">
        <f>+ES152*GU152</f>
        <v>0</v>
      </c>
      <c r="FJ152" s="59">
        <f t="shared" si="1133"/>
        <v>0</v>
      </c>
      <c r="FK152" s="55">
        <f>+ES152*GV152</f>
        <v>0</v>
      </c>
      <c r="FL152" s="59">
        <f t="shared" si="1134"/>
        <v>0</v>
      </c>
      <c r="FM152" s="60">
        <f>+ES152*GW152</f>
        <v>0</v>
      </c>
      <c r="FN152" s="59">
        <f t="shared" si="1135"/>
        <v>0</v>
      </c>
      <c r="FO152" s="60">
        <f>+ES152*GX152</f>
        <v>0</v>
      </c>
      <c r="FP152" s="59">
        <f t="shared" si="1136"/>
        <v>0</v>
      </c>
      <c r="FQ152" s="60">
        <f>+ES152*GY152</f>
        <v>0</v>
      </c>
      <c r="FR152" s="59">
        <f t="shared" si="1137"/>
        <v>0</v>
      </c>
      <c r="FS152" s="55">
        <f>+ES152*GZ152</f>
        <v>0</v>
      </c>
      <c r="FT152" s="59">
        <f t="shared" si="1138"/>
        <v>0</v>
      </c>
      <c r="FU152" s="60">
        <f>+ES152*HA152</f>
        <v>0</v>
      </c>
      <c r="FV152" s="59">
        <f t="shared" si="1139"/>
        <v>0</v>
      </c>
      <c r="FW152" s="60">
        <f>+ES152*HB152</f>
        <v>0</v>
      </c>
      <c r="FX152" s="59">
        <f t="shared" si="1140"/>
        <v>0</v>
      </c>
      <c r="FY152" s="60">
        <f>+ES152*HC152</f>
        <v>0</v>
      </c>
      <c r="FZ152" s="59">
        <f t="shared" si="1141"/>
        <v>0</v>
      </c>
      <c r="GA152" s="60">
        <f>+ES152*HD152</f>
        <v>0</v>
      </c>
      <c r="GB152" s="59">
        <f t="shared" si="1142"/>
        <v>0</v>
      </c>
      <c r="GC152" s="55">
        <f>+ES152*HE152</f>
        <v>0</v>
      </c>
      <c r="GD152" s="59">
        <f t="shared" si="1143"/>
        <v>0</v>
      </c>
      <c r="GE152" s="60">
        <f>+ES152*HF152</f>
        <v>0</v>
      </c>
      <c r="GF152" s="59">
        <f t="shared" si="1144"/>
        <v>0</v>
      </c>
      <c r="GG152" s="60">
        <f>+ES152*HG152</f>
        <v>0</v>
      </c>
      <c r="GH152" s="59">
        <f t="shared" si="1145"/>
        <v>0</v>
      </c>
      <c r="GI152" s="55">
        <f>+ES152*HH152</f>
        <v>0</v>
      </c>
      <c r="GJ152" s="59">
        <f t="shared" si="1146"/>
        <v>0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31"/>
        <v>0.91</v>
      </c>
      <c r="GR152" s="55">
        <f t="shared" si="931"/>
        <v>0.89</v>
      </c>
      <c r="GS152" s="55">
        <f t="shared" si="931"/>
        <v>0.87</v>
      </c>
      <c r="GT152" s="55">
        <f t="shared" si="931"/>
        <v>0.85</v>
      </c>
      <c r="GU152" s="55">
        <f t="shared" si="931"/>
        <v>0.83</v>
      </c>
      <c r="GV152" s="55">
        <f t="shared" si="931"/>
        <v>0.80999999999999994</v>
      </c>
      <c r="GW152" s="55">
        <f t="shared" si="931"/>
        <v>0.78999999999999992</v>
      </c>
      <c r="GX152" s="55">
        <f t="shared" si="931"/>
        <v>0.76999999999999991</v>
      </c>
      <c r="GY152" s="55">
        <f t="shared" si="931"/>
        <v>0.74999999999999989</v>
      </c>
      <c r="GZ152" s="55">
        <f t="shared" si="931"/>
        <v>0.72999999999999987</v>
      </c>
      <c r="HA152" s="55">
        <f t="shared" si="931"/>
        <v>0.70999999999999985</v>
      </c>
      <c r="HB152" s="55">
        <f t="shared" si="931"/>
        <v>0.68999999999999984</v>
      </c>
      <c r="HC152" s="55">
        <f t="shared" si="931"/>
        <v>0.66999999999999982</v>
      </c>
      <c r="HD152" s="55">
        <f t="shared" si="931"/>
        <v>0.6499999999999998</v>
      </c>
      <c r="HE152" s="55">
        <f t="shared" si="931"/>
        <v>0.62999999999999978</v>
      </c>
      <c r="HF152" s="55">
        <f t="shared" si="931"/>
        <v>0.60999999999999976</v>
      </c>
      <c r="HG152" s="55">
        <f t="shared" si="931"/>
        <v>0.58999999999999975</v>
      </c>
      <c r="HH152" s="55">
        <f t="shared" si="931"/>
        <v>0.56999999999999973</v>
      </c>
    </row>
    <row r="153" spans="1:216" x14ac:dyDescent="0.3">
      <c r="A153" s="2">
        <v>3</v>
      </c>
      <c r="C153" s="38" t="s">
        <v>47</v>
      </c>
      <c r="D153" s="42">
        <v>0</v>
      </c>
      <c r="E153" s="71">
        <f>TRUNC(+D153*3.3058,-1)</f>
        <v>0</v>
      </c>
      <c r="H153" s="55">
        <f t="shared" si="1065"/>
        <v>0</v>
      </c>
      <c r="I153" s="55">
        <f t="shared" si="1066"/>
        <v>0</v>
      </c>
      <c r="J153" s="59">
        <f t="shared" si="1067"/>
        <v>0</v>
      </c>
      <c r="K153" s="55">
        <f t="shared" si="1075"/>
        <v>0</v>
      </c>
      <c r="L153" s="59">
        <f t="shared" si="1076"/>
        <v>0</v>
      </c>
      <c r="M153" s="55">
        <f t="shared" si="1077"/>
        <v>0</v>
      </c>
      <c r="N153" s="59">
        <f t="shared" si="1078"/>
        <v>0</v>
      </c>
      <c r="O153" s="55">
        <f>+I153*BF153</f>
        <v>0</v>
      </c>
      <c r="P153" s="59">
        <f t="shared" si="1079"/>
        <v>0</v>
      </c>
      <c r="Q153" s="57">
        <f>+I153*BG153</f>
        <v>0</v>
      </c>
      <c r="R153" s="59">
        <f t="shared" si="1080"/>
        <v>0</v>
      </c>
      <c r="S153" s="55">
        <f>+I153*BH153</f>
        <v>0</v>
      </c>
      <c r="T153" s="59">
        <f t="shared" si="1081"/>
        <v>0</v>
      </c>
      <c r="U153" s="57">
        <f>+I153*BI153</f>
        <v>0</v>
      </c>
      <c r="V153" s="59">
        <f t="shared" si="1082"/>
        <v>0</v>
      </c>
      <c r="W153" s="60">
        <f>+I153*BJ153</f>
        <v>0</v>
      </c>
      <c r="X153" s="59">
        <f t="shared" si="1083"/>
        <v>0</v>
      </c>
      <c r="Y153" s="57">
        <f>+I153*BK153</f>
        <v>0</v>
      </c>
      <c r="Z153" s="59">
        <f t="shared" si="1084"/>
        <v>0</v>
      </c>
      <c r="AA153" s="55">
        <f>+I153*BL153</f>
        <v>0</v>
      </c>
      <c r="AB153" s="59">
        <f t="shared" si="1085"/>
        <v>0</v>
      </c>
      <c r="AC153" s="60">
        <f>+I153*BM153</f>
        <v>0</v>
      </c>
      <c r="AD153" s="59">
        <f t="shared" si="1086"/>
        <v>0</v>
      </c>
      <c r="AE153" s="60">
        <f>+I153*BN153</f>
        <v>0</v>
      </c>
      <c r="AF153" s="59">
        <f t="shared" si="1087"/>
        <v>0</v>
      </c>
      <c r="AG153" s="60">
        <f>+I153*BO153</f>
        <v>0</v>
      </c>
      <c r="AH153" s="59">
        <f t="shared" si="1088"/>
        <v>0</v>
      </c>
      <c r="AI153" s="55">
        <f>+I153*BP153</f>
        <v>0</v>
      </c>
      <c r="AJ153" s="59">
        <f t="shared" si="1089"/>
        <v>0</v>
      </c>
      <c r="AK153" s="60">
        <f>+I153*BQ153</f>
        <v>0</v>
      </c>
      <c r="AL153" s="59">
        <f t="shared" si="1090"/>
        <v>0</v>
      </c>
      <c r="AM153" s="60">
        <f>+I153*BR153</f>
        <v>0</v>
      </c>
      <c r="AN153" s="59">
        <f t="shared" si="1091"/>
        <v>0</v>
      </c>
      <c r="AO153" s="60">
        <f>+I153*BS153</f>
        <v>0</v>
      </c>
      <c r="AP153" s="59">
        <f t="shared" si="1092"/>
        <v>0</v>
      </c>
      <c r="AQ153" s="60">
        <f>+I153*BT153</f>
        <v>0</v>
      </c>
      <c r="AR153" s="59">
        <f t="shared" si="1093"/>
        <v>0</v>
      </c>
      <c r="AS153" s="55">
        <f>+I153*BU153</f>
        <v>0</v>
      </c>
      <c r="AT153" s="59">
        <f t="shared" si="1094"/>
        <v>0</v>
      </c>
      <c r="AU153" s="60">
        <f>+I153*BV153</f>
        <v>0</v>
      </c>
      <c r="AV153" s="59">
        <f t="shared" si="1095"/>
        <v>0</v>
      </c>
      <c r="AW153" s="60">
        <f>+I153*BW153</f>
        <v>0</v>
      </c>
      <c r="AX153" s="59">
        <f t="shared" si="1096"/>
        <v>0</v>
      </c>
      <c r="AY153" s="55">
        <f>+I153*BX153</f>
        <v>0</v>
      </c>
      <c r="AZ153" s="59">
        <f t="shared" si="1097"/>
        <v>0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098"/>
        <v>0.91</v>
      </c>
      <c r="BH153" s="55">
        <f t="shared" si="1098"/>
        <v>0.89</v>
      </c>
      <c r="BI153" s="55">
        <f t="shared" si="1098"/>
        <v>0.87</v>
      </c>
      <c r="BJ153" s="55">
        <f t="shared" si="1098"/>
        <v>0.85</v>
      </c>
      <c r="BK153" s="55">
        <f t="shared" si="1098"/>
        <v>0.83</v>
      </c>
      <c r="BL153" s="55">
        <f t="shared" si="1098"/>
        <v>0.80999999999999994</v>
      </c>
      <c r="BM153" s="55">
        <f t="shared" si="1098"/>
        <v>0.78999999999999992</v>
      </c>
      <c r="BN153" s="55">
        <f t="shared" si="1098"/>
        <v>0.76999999999999991</v>
      </c>
      <c r="BO153" s="55">
        <f t="shared" si="1098"/>
        <v>0.74999999999999989</v>
      </c>
      <c r="BP153" s="55">
        <f t="shared" si="1098"/>
        <v>0.72999999999999987</v>
      </c>
      <c r="BQ153" s="55">
        <f t="shared" si="1098"/>
        <v>0.70999999999999985</v>
      </c>
      <c r="BR153" s="55">
        <f t="shared" si="1098"/>
        <v>0.68999999999999984</v>
      </c>
      <c r="BS153" s="55">
        <f t="shared" si="1098"/>
        <v>0.66999999999999982</v>
      </c>
      <c r="BT153" s="55">
        <f t="shared" si="1098"/>
        <v>0.6499999999999998</v>
      </c>
      <c r="BU153" s="55">
        <f t="shared" si="1098"/>
        <v>0.62999999999999978</v>
      </c>
      <c r="BV153" s="55">
        <f t="shared" si="1098"/>
        <v>0.60999999999999976</v>
      </c>
      <c r="BW153" s="55">
        <f t="shared" si="1098"/>
        <v>0.58999999999999975</v>
      </c>
      <c r="BX153" s="55">
        <f t="shared" si="1098"/>
        <v>0.56999999999999973</v>
      </c>
      <c r="BZ153" s="55">
        <f t="shared" si="1068"/>
        <v>0</v>
      </c>
      <c r="CA153" s="55">
        <f t="shared" si="1069"/>
        <v>0</v>
      </c>
      <c r="CB153" s="59">
        <f t="shared" si="1099"/>
        <v>0</v>
      </c>
      <c r="CC153" s="55">
        <f t="shared" si="1100"/>
        <v>0</v>
      </c>
      <c r="CD153" s="59">
        <f t="shared" si="1101"/>
        <v>0</v>
      </c>
      <c r="CE153" s="55">
        <f t="shared" si="1102"/>
        <v>0</v>
      </c>
      <c r="CF153" s="59">
        <f t="shared" si="1103"/>
        <v>0</v>
      </c>
      <c r="CG153" s="55">
        <f>+CA153*DX153</f>
        <v>0</v>
      </c>
      <c r="CH153" s="59">
        <f t="shared" si="1104"/>
        <v>0</v>
      </c>
      <c r="CI153" s="57">
        <f>+CA153*DY153</f>
        <v>0</v>
      </c>
      <c r="CJ153" s="59">
        <f t="shared" si="1105"/>
        <v>0</v>
      </c>
      <c r="CK153" s="55">
        <f>+CA153*DZ153</f>
        <v>0</v>
      </c>
      <c r="CL153" s="59">
        <f t="shared" si="1106"/>
        <v>0</v>
      </c>
      <c r="CM153" s="57">
        <f>+CA153*EA153</f>
        <v>0</v>
      </c>
      <c r="CN153" s="59">
        <f t="shared" si="1107"/>
        <v>0</v>
      </c>
      <c r="CO153" s="60">
        <f>+CA153*EB153</f>
        <v>0</v>
      </c>
      <c r="CP153" s="59">
        <f t="shared" si="1108"/>
        <v>0</v>
      </c>
      <c r="CQ153" s="57">
        <f>+CA153*EC153</f>
        <v>0</v>
      </c>
      <c r="CR153" s="59">
        <f t="shared" si="1109"/>
        <v>0</v>
      </c>
      <c r="CS153" s="55">
        <f>+CA153*ED153</f>
        <v>0</v>
      </c>
      <c r="CT153" s="59">
        <f t="shared" si="1110"/>
        <v>0</v>
      </c>
      <c r="CU153" s="60">
        <f>+CA153*EE153</f>
        <v>0</v>
      </c>
      <c r="CV153" s="59">
        <f t="shared" si="1111"/>
        <v>0</v>
      </c>
      <c r="CW153" s="60">
        <f>+CA153*EF153</f>
        <v>0</v>
      </c>
      <c r="CX153" s="59">
        <f t="shared" si="1112"/>
        <v>0</v>
      </c>
      <c r="CY153" s="60">
        <f>+CA153*EG153</f>
        <v>0</v>
      </c>
      <c r="CZ153" s="59">
        <f t="shared" si="1113"/>
        <v>0</v>
      </c>
      <c r="DA153" s="55">
        <f>+CA153*EH153</f>
        <v>0</v>
      </c>
      <c r="DB153" s="59">
        <f t="shared" si="1114"/>
        <v>0</v>
      </c>
      <c r="DC153" s="60">
        <f>+CA153*EI153</f>
        <v>0</v>
      </c>
      <c r="DD153" s="59">
        <f t="shared" si="1115"/>
        <v>0</v>
      </c>
      <c r="DE153" s="60">
        <f>+CA153*EJ153</f>
        <v>0</v>
      </c>
      <c r="DF153" s="59">
        <f t="shared" si="1116"/>
        <v>0</v>
      </c>
      <c r="DG153" s="60">
        <f>+CA153*EK153</f>
        <v>0</v>
      </c>
      <c r="DH153" s="59">
        <f t="shared" si="1117"/>
        <v>0</v>
      </c>
      <c r="DI153" s="60">
        <f>+CA153*EL153</f>
        <v>0</v>
      </c>
      <c r="DJ153" s="59">
        <f t="shared" si="1118"/>
        <v>0</v>
      </c>
      <c r="DK153" s="55">
        <f>+CA153*EM153</f>
        <v>0</v>
      </c>
      <c r="DL153" s="59">
        <f t="shared" si="1119"/>
        <v>0</v>
      </c>
      <c r="DM153" s="60">
        <f>+CA153*EN153</f>
        <v>0</v>
      </c>
      <c r="DN153" s="59">
        <f t="shared" si="1120"/>
        <v>0</v>
      </c>
      <c r="DO153" s="60">
        <f>+CA153*EO153</f>
        <v>0</v>
      </c>
      <c r="DP153" s="59">
        <f t="shared" si="1121"/>
        <v>0</v>
      </c>
      <c r="DQ153" s="55">
        <f>+CA153*EP153</f>
        <v>0</v>
      </c>
      <c r="DR153" s="59">
        <f t="shared" si="1122"/>
        <v>0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30"/>
        <v>0.91</v>
      </c>
      <c r="DZ153" s="55">
        <f t="shared" si="930"/>
        <v>0.89</v>
      </c>
      <c r="EA153" s="55">
        <f t="shared" si="930"/>
        <v>0.87</v>
      </c>
      <c r="EB153" s="55">
        <f t="shared" ref="EB153:EP153" si="1147">+EA153-0.02</f>
        <v>0.85</v>
      </c>
      <c r="EC153" s="55">
        <f t="shared" si="1147"/>
        <v>0.83</v>
      </c>
      <c r="ED153" s="55">
        <f t="shared" si="1147"/>
        <v>0.80999999999999994</v>
      </c>
      <c r="EE153" s="55">
        <f t="shared" si="1147"/>
        <v>0.78999999999999992</v>
      </c>
      <c r="EF153" s="55">
        <f t="shared" si="1147"/>
        <v>0.76999999999999991</v>
      </c>
      <c r="EG153" s="55">
        <f t="shared" si="1147"/>
        <v>0.74999999999999989</v>
      </c>
      <c r="EH153" s="55">
        <f t="shared" si="1147"/>
        <v>0.72999999999999987</v>
      </c>
      <c r="EI153" s="55">
        <f t="shared" si="1147"/>
        <v>0.70999999999999985</v>
      </c>
      <c r="EJ153" s="55">
        <f t="shared" si="1147"/>
        <v>0.68999999999999984</v>
      </c>
      <c r="EK153" s="55">
        <f t="shared" si="1147"/>
        <v>0.66999999999999982</v>
      </c>
      <c r="EL153" s="55">
        <f t="shared" si="1147"/>
        <v>0.6499999999999998</v>
      </c>
      <c r="EM153" s="55">
        <f t="shared" si="1147"/>
        <v>0.62999999999999978</v>
      </c>
      <c r="EN153" s="55">
        <f t="shared" si="1147"/>
        <v>0.60999999999999976</v>
      </c>
      <c r="EO153" s="55">
        <f t="shared" si="1147"/>
        <v>0.58999999999999975</v>
      </c>
      <c r="EP153" s="55">
        <f t="shared" si="1147"/>
        <v>0.56999999999999973</v>
      </c>
      <c r="ER153" s="55">
        <f t="shared" si="648"/>
        <v>0</v>
      </c>
      <c r="ES153" s="55">
        <f t="shared" si="1070"/>
        <v>0</v>
      </c>
      <c r="ET153" s="59">
        <f t="shared" si="1123"/>
        <v>0</v>
      </c>
      <c r="EU153" s="55">
        <f t="shared" si="1124"/>
        <v>0</v>
      </c>
      <c r="EV153" s="59">
        <f t="shared" si="1125"/>
        <v>0</v>
      </c>
      <c r="EW153" s="55">
        <f t="shared" si="1126"/>
        <v>0</v>
      </c>
      <c r="EX153" s="59">
        <f t="shared" si="1127"/>
        <v>0</v>
      </c>
      <c r="EY153" s="55">
        <f>+ES153*GP153</f>
        <v>0</v>
      </c>
      <c r="EZ153" s="59">
        <f t="shared" si="1128"/>
        <v>0</v>
      </c>
      <c r="FA153" s="57">
        <f>+ES153*GQ153</f>
        <v>0</v>
      </c>
      <c r="FB153" s="59">
        <f t="shared" si="1129"/>
        <v>0</v>
      </c>
      <c r="FC153" s="55">
        <f>+ES153*GR153</f>
        <v>0</v>
      </c>
      <c r="FD153" s="59">
        <f t="shared" si="1130"/>
        <v>0</v>
      </c>
      <c r="FE153" s="57">
        <f>+ES153*GS153</f>
        <v>0</v>
      </c>
      <c r="FF153" s="59">
        <f t="shared" si="1131"/>
        <v>0</v>
      </c>
      <c r="FG153" s="60">
        <f>+ES153*GT153</f>
        <v>0</v>
      </c>
      <c r="FH153" s="59">
        <f t="shared" si="1132"/>
        <v>0</v>
      </c>
      <c r="FI153" s="57">
        <f>+ES153*GU153</f>
        <v>0</v>
      </c>
      <c r="FJ153" s="59">
        <f t="shared" si="1133"/>
        <v>0</v>
      </c>
      <c r="FK153" s="55">
        <f>+ES153*GV153</f>
        <v>0</v>
      </c>
      <c r="FL153" s="59">
        <f t="shared" si="1134"/>
        <v>0</v>
      </c>
      <c r="FM153" s="60">
        <f>+ES153*GW153</f>
        <v>0</v>
      </c>
      <c r="FN153" s="59">
        <f t="shared" si="1135"/>
        <v>0</v>
      </c>
      <c r="FO153" s="60">
        <f>+ES153*GX153</f>
        <v>0</v>
      </c>
      <c r="FP153" s="59">
        <f t="shared" si="1136"/>
        <v>0</v>
      </c>
      <c r="FQ153" s="60">
        <f>+ES153*GY153</f>
        <v>0</v>
      </c>
      <c r="FR153" s="59">
        <f t="shared" si="1137"/>
        <v>0</v>
      </c>
      <c r="FS153" s="55">
        <f>+ES153*GZ153</f>
        <v>0</v>
      </c>
      <c r="FT153" s="59">
        <f t="shared" si="1138"/>
        <v>0</v>
      </c>
      <c r="FU153" s="60">
        <f>+ES153*HA153</f>
        <v>0</v>
      </c>
      <c r="FV153" s="59">
        <f t="shared" si="1139"/>
        <v>0</v>
      </c>
      <c r="FW153" s="60">
        <f>+ES153*HB153</f>
        <v>0</v>
      </c>
      <c r="FX153" s="59">
        <f t="shared" si="1140"/>
        <v>0</v>
      </c>
      <c r="FY153" s="60">
        <f>+ES153*HC153</f>
        <v>0</v>
      </c>
      <c r="FZ153" s="59">
        <f t="shared" si="1141"/>
        <v>0</v>
      </c>
      <c r="GA153" s="60">
        <f>+ES153*HD153</f>
        <v>0</v>
      </c>
      <c r="GB153" s="59">
        <f t="shared" si="1142"/>
        <v>0</v>
      </c>
      <c r="GC153" s="55">
        <f>+ES153*HE153</f>
        <v>0</v>
      </c>
      <c r="GD153" s="59">
        <f t="shared" si="1143"/>
        <v>0</v>
      </c>
      <c r="GE153" s="60">
        <f>+ES153*HF153</f>
        <v>0</v>
      </c>
      <c r="GF153" s="59">
        <f t="shared" si="1144"/>
        <v>0</v>
      </c>
      <c r="GG153" s="60">
        <f>+ES153*HG153</f>
        <v>0</v>
      </c>
      <c r="GH153" s="59">
        <f t="shared" si="1145"/>
        <v>0</v>
      </c>
      <c r="GI153" s="55">
        <f>+ES153*HH153</f>
        <v>0</v>
      </c>
      <c r="GJ153" s="59">
        <f t="shared" si="1146"/>
        <v>0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31"/>
        <v>0.91</v>
      </c>
      <c r="GR153" s="55">
        <f t="shared" si="931"/>
        <v>0.89</v>
      </c>
      <c r="GS153" s="55">
        <f t="shared" si="931"/>
        <v>0.87</v>
      </c>
      <c r="GT153" s="55">
        <f t="shared" ref="GT153:HH153" si="1148">+GS153-0.02</f>
        <v>0.85</v>
      </c>
      <c r="GU153" s="55">
        <f t="shared" si="1148"/>
        <v>0.83</v>
      </c>
      <c r="GV153" s="55">
        <f t="shared" si="1148"/>
        <v>0.80999999999999994</v>
      </c>
      <c r="GW153" s="55">
        <f t="shared" si="1148"/>
        <v>0.78999999999999992</v>
      </c>
      <c r="GX153" s="55">
        <f t="shared" si="1148"/>
        <v>0.76999999999999991</v>
      </c>
      <c r="GY153" s="55">
        <f t="shared" si="1148"/>
        <v>0.74999999999999989</v>
      </c>
      <c r="GZ153" s="55">
        <f t="shared" si="1148"/>
        <v>0.72999999999999987</v>
      </c>
      <c r="HA153" s="55">
        <f t="shared" si="1148"/>
        <v>0.70999999999999985</v>
      </c>
      <c r="HB153" s="55">
        <f t="shared" si="1148"/>
        <v>0.68999999999999984</v>
      </c>
      <c r="HC153" s="55">
        <f t="shared" si="1148"/>
        <v>0.66999999999999982</v>
      </c>
      <c r="HD153" s="55">
        <f t="shared" si="1148"/>
        <v>0.6499999999999998</v>
      </c>
      <c r="HE153" s="55">
        <f t="shared" si="1148"/>
        <v>0.62999999999999978</v>
      </c>
      <c r="HF153" s="55">
        <f t="shared" si="1148"/>
        <v>0.60999999999999976</v>
      </c>
      <c r="HG153" s="55">
        <f t="shared" si="1148"/>
        <v>0.58999999999999975</v>
      </c>
      <c r="HH153" s="55">
        <f t="shared" si="1148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v>0</v>
      </c>
      <c r="E154" s="72">
        <f>TRUNC(+D154*3.3058,-1)</f>
        <v>0</v>
      </c>
      <c r="H154" s="55">
        <f t="shared" si="1065"/>
        <v>0</v>
      </c>
      <c r="I154" s="55">
        <f t="shared" si="1066"/>
        <v>0</v>
      </c>
      <c r="J154" s="59">
        <f t="shared" si="1067"/>
        <v>0</v>
      </c>
      <c r="K154" s="55">
        <f t="shared" si="1075"/>
        <v>0</v>
      </c>
      <c r="L154" s="59">
        <f t="shared" si="1076"/>
        <v>0</v>
      </c>
      <c r="M154" s="55">
        <f t="shared" si="1077"/>
        <v>0</v>
      </c>
      <c r="N154" s="59">
        <f t="shared" si="1078"/>
        <v>0</v>
      </c>
      <c r="O154" s="55">
        <f>+I154*BF154</f>
        <v>0</v>
      </c>
      <c r="P154" s="59">
        <f t="shared" si="1079"/>
        <v>0</v>
      </c>
      <c r="Q154" s="57">
        <f>+I154*BG154</f>
        <v>0</v>
      </c>
      <c r="R154" s="59">
        <f t="shared" si="1080"/>
        <v>0</v>
      </c>
      <c r="S154" s="55">
        <f>+I154*BH154</f>
        <v>0</v>
      </c>
      <c r="T154" s="59">
        <f t="shared" si="1081"/>
        <v>0</v>
      </c>
      <c r="U154" s="57">
        <f>+I154*BI154</f>
        <v>0</v>
      </c>
      <c r="V154" s="59">
        <f t="shared" si="1082"/>
        <v>0</v>
      </c>
      <c r="W154" s="60">
        <f>+I154*BJ154</f>
        <v>0</v>
      </c>
      <c r="X154" s="59">
        <f t="shared" si="1083"/>
        <v>0</v>
      </c>
      <c r="Y154" s="57">
        <f>+I154*BK154</f>
        <v>0</v>
      </c>
      <c r="Z154" s="59">
        <f t="shared" si="1084"/>
        <v>0</v>
      </c>
      <c r="AA154" s="55">
        <f>+I154*BL154</f>
        <v>0</v>
      </c>
      <c r="AB154" s="59">
        <f t="shared" si="1085"/>
        <v>0</v>
      </c>
      <c r="AC154" s="60">
        <f>+I154*BM154</f>
        <v>0</v>
      </c>
      <c r="AD154" s="59">
        <f t="shared" si="1086"/>
        <v>0</v>
      </c>
      <c r="AE154" s="60">
        <f>+I154*BN154</f>
        <v>0</v>
      </c>
      <c r="AF154" s="59">
        <f t="shared" si="1087"/>
        <v>0</v>
      </c>
      <c r="AG154" s="60">
        <f>+I154*BO154</f>
        <v>0</v>
      </c>
      <c r="AH154" s="59">
        <f t="shared" si="1088"/>
        <v>0</v>
      </c>
      <c r="AI154" s="55">
        <f>+I154*BP154</f>
        <v>0</v>
      </c>
      <c r="AJ154" s="59">
        <f t="shared" si="1089"/>
        <v>0</v>
      </c>
      <c r="AK154" s="60">
        <f>+I154*BQ154</f>
        <v>0</v>
      </c>
      <c r="AL154" s="59">
        <f t="shared" si="1090"/>
        <v>0</v>
      </c>
      <c r="AM154" s="60">
        <f>+I154*BR154</f>
        <v>0</v>
      </c>
      <c r="AN154" s="59">
        <f t="shared" si="1091"/>
        <v>0</v>
      </c>
      <c r="AO154" s="60">
        <f>+I154*BS154</f>
        <v>0</v>
      </c>
      <c r="AP154" s="59">
        <f t="shared" si="1092"/>
        <v>0</v>
      </c>
      <c r="AQ154" s="60">
        <f>+I154*BT154</f>
        <v>0</v>
      </c>
      <c r="AR154" s="59">
        <f t="shared" si="1093"/>
        <v>0</v>
      </c>
      <c r="AS154" s="55">
        <f>+I154*BU154</f>
        <v>0</v>
      </c>
      <c r="AT154" s="59">
        <f t="shared" si="1094"/>
        <v>0</v>
      </c>
      <c r="AU154" s="60">
        <f>+I154*BV154</f>
        <v>0</v>
      </c>
      <c r="AV154" s="59">
        <f t="shared" si="1095"/>
        <v>0</v>
      </c>
      <c r="AW154" s="60">
        <f>+I154*BW154</f>
        <v>0</v>
      </c>
      <c r="AX154" s="59">
        <f t="shared" si="1096"/>
        <v>0</v>
      </c>
      <c r="AY154" s="55">
        <f>+I154*BX154</f>
        <v>0</v>
      </c>
      <c r="AZ154" s="59">
        <f t="shared" si="1097"/>
        <v>0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098"/>
        <v>0.91</v>
      </c>
      <c r="BH154" s="55">
        <f t="shared" si="1098"/>
        <v>0.89</v>
      </c>
      <c r="BI154" s="55">
        <f t="shared" si="1098"/>
        <v>0.87</v>
      </c>
      <c r="BJ154" s="55">
        <f t="shared" si="1098"/>
        <v>0.85</v>
      </c>
      <c r="BK154" s="55">
        <f t="shared" si="1098"/>
        <v>0.83</v>
      </c>
      <c r="BL154" s="55">
        <f t="shared" si="1098"/>
        <v>0.80999999999999994</v>
      </c>
      <c r="BM154" s="55">
        <f t="shared" si="1098"/>
        <v>0.78999999999999992</v>
      </c>
      <c r="BN154" s="55">
        <f t="shared" si="1098"/>
        <v>0.76999999999999991</v>
      </c>
      <c r="BO154" s="55">
        <f t="shared" si="1098"/>
        <v>0.74999999999999989</v>
      </c>
      <c r="BP154" s="55">
        <f t="shared" si="1098"/>
        <v>0.72999999999999987</v>
      </c>
      <c r="BQ154" s="55">
        <f t="shared" si="1098"/>
        <v>0.70999999999999985</v>
      </c>
      <c r="BR154" s="55">
        <f t="shared" si="1098"/>
        <v>0.68999999999999984</v>
      </c>
      <c r="BS154" s="55">
        <f t="shared" si="1098"/>
        <v>0.66999999999999982</v>
      </c>
      <c r="BT154" s="55">
        <f t="shared" si="1098"/>
        <v>0.6499999999999998</v>
      </c>
      <c r="BU154" s="55">
        <f t="shared" si="1098"/>
        <v>0.62999999999999978</v>
      </c>
      <c r="BV154" s="55">
        <f t="shared" si="1098"/>
        <v>0.60999999999999976</v>
      </c>
      <c r="BW154" s="55">
        <f t="shared" si="1098"/>
        <v>0.58999999999999975</v>
      </c>
      <c r="BX154" s="55">
        <f t="shared" si="1098"/>
        <v>0.56999999999999973</v>
      </c>
      <c r="BZ154" s="55">
        <f t="shared" si="1068"/>
        <v>0</v>
      </c>
      <c r="CA154" s="55">
        <f t="shared" si="1069"/>
        <v>0</v>
      </c>
      <c r="CB154" s="59">
        <f t="shared" si="1099"/>
        <v>0</v>
      </c>
      <c r="CC154" s="55">
        <f t="shared" si="1100"/>
        <v>0</v>
      </c>
      <c r="CD154" s="59">
        <f t="shared" si="1101"/>
        <v>0</v>
      </c>
      <c r="CE154" s="55">
        <f t="shared" si="1102"/>
        <v>0</v>
      </c>
      <c r="CF154" s="59">
        <f t="shared" si="1103"/>
        <v>0</v>
      </c>
      <c r="CG154" s="55">
        <f>+CA154*DX154</f>
        <v>0</v>
      </c>
      <c r="CH154" s="59">
        <f t="shared" si="1104"/>
        <v>0</v>
      </c>
      <c r="CI154" s="57">
        <f>+CA154*DY154</f>
        <v>0</v>
      </c>
      <c r="CJ154" s="59">
        <f t="shared" si="1105"/>
        <v>0</v>
      </c>
      <c r="CK154" s="55">
        <f>+CA154*DZ154</f>
        <v>0</v>
      </c>
      <c r="CL154" s="59">
        <f t="shared" si="1106"/>
        <v>0</v>
      </c>
      <c r="CM154" s="57">
        <f>+CA154*EA154</f>
        <v>0</v>
      </c>
      <c r="CN154" s="59">
        <f t="shared" si="1107"/>
        <v>0</v>
      </c>
      <c r="CO154" s="60">
        <f>+CA154*EB154</f>
        <v>0</v>
      </c>
      <c r="CP154" s="59">
        <f t="shared" si="1108"/>
        <v>0</v>
      </c>
      <c r="CQ154" s="57">
        <f>+CA154*EC154</f>
        <v>0</v>
      </c>
      <c r="CR154" s="59">
        <f t="shared" si="1109"/>
        <v>0</v>
      </c>
      <c r="CS154" s="55">
        <f>+CA154*ED154</f>
        <v>0</v>
      </c>
      <c r="CT154" s="59">
        <f t="shared" si="1110"/>
        <v>0</v>
      </c>
      <c r="CU154" s="60">
        <f>+CA154*EE154</f>
        <v>0</v>
      </c>
      <c r="CV154" s="59">
        <f t="shared" si="1111"/>
        <v>0</v>
      </c>
      <c r="CW154" s="60">
        <f>+CA154*EF154</f>
        <v>0</v>
      </c>
      <c r="CX154" s="59">
        <f t="shared" si="1112"/>
        <v>0</v>
      </c>
      <c r="CY154" s="60">
        <f>+CA154*EG154</f>
        <v>0</v>
      </c>
      <c r="CZ154" s="59">
        <f t="shared" si="1113"/>
        <v>0</v>
      </c>
      <c r="DA154" s="55">
        <f>+CA154*EH154</f>
        <v>0</v>
      </c>
      <c r="DB154" s="59">
        <f t="shared" si="1114"/>
        <v>0</v>
      </c>
      <c r="DC154" s="60">
        <f>+CA154*EI154</f>
        <v>0</v>
      </c>
      <c r="DD154" s="59">
        <f t="shared" si="1115"/>
        <v>0</v>
      </c>
      <c r="DE154" s="60">
        <f>+CA154*EJ154</f>
        <v>0</v>
      </c>
      <c r="DF154" s="59">
        <f t="shared" si="1116"/>
        <v>0</v>
      </c>
      <c r="DG154" s="60">
        <f>+CA154*EK154</f>
        <v>0</v>
      </c>
      <c r="DH154" s="59">
        <f t="shared" si="1117"/>
        <v>0</v>
      </c>
      <c r="DI154" s="60">
        <f>+CA154*EL154</f>
        <v>0</v>
      </c>
      <c r="DJ154" s="59">
        <f t="shared" si="1118"/>
        <v>0</v>
      </c>
      <c r="DK154" s="55">
        <f>+CA154*EM154</f>
        <v>0</v>
      </c>
      <c r="DL154" s="59">
        <f t="shared" si="1119"/>
        <v>0</v>
      </c>
      <c r="DM154" s="60">
        <f>+CA154*EN154</f>
        <v>0</v>
      </c>
      <c r="DN154" s="59">
        <f t="shared" si="1120"/>
        <v>0</v>
      </c>
      <c r="DO154" s="60">
        <f>+CA154*EO154</f>
        <v>0</v>
      </c>
      <c r="DP154" s="59">
        <f t="shared" si="1121"/>
        <v>0</v>
      </c>
      <c r="DQ154" s="55">
        <f>+CA154*EP154</f>
        <v>0</v>
      </c>
      <c r="DR154" s="59">
        <f t="shared" si="1122"/>
        <v>0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49">+DX154-0.02</f>
        <v>0.91</v>
      </c>
      <c r="DZ154" s="55">
        <f t="shared" si="1149"/>
        <v>0.89</v>
      </c>
      <c r="EA154" s="55">
        <f t="shared" si="1149"/>
        <v>0.87</v>
      </c>
      <c r="EB154" s="55">
        <f t="shared" si="1149"/>
        <v>0.85</v>
      </c>
      <c r="EC154" s="55">
        <f t="shared" si="1149"/>
        <v>0.83</v>
      </c>
      <c r="ED154" s="55">
        <f t="shared" si="1149"/>
        <v>0.80999999999999994</v>
      </c>
      <c r="EE154" s="55">
        <f t="shared" si="1149"/>
        <v>0.78999999999999992</v>
      </c>
      <c r="EF154" s="55">
        <f t="shared" si="1149"/>
        <v>0.76999999999999991</v>
      </c>
      <c r="EG154" s="55">
        <f t="shared" si="1149"/>
        <v>0.74999999999999989</v>
      </c>
      <c r="EH154" s="55">
        <f t="shared" si="1149"/>
        <v>0.72999999999999987</v>
      </c>
      <c r="EI154" s="55">
        <f t="shared" si="1149"/>
        <v>0.70999999999999985</v>
      </c>
      <c r="EJ154" s="55">
        <f t="shared" si="1149"/>
        <v>0.68999999999999984</v>
      </c>
      <c r="EK154" s="55">
        <f t="shared" si="1149"/>
        <v>0.66999999999999982</v>
      </c>
      <c r="EL154" s="55">
        <f t="shared" si="1149"/>
        <v>0.6499999999999998</v>
      </c>
      <c r="EM154" s="55">
        <f t="shared" si="1149"/>
        <v>0.62999999999999978</v>
      </c>
      <c r="EN154" s="55">
        <f t="shared" si="1149"/>
        <v>0.60999999999999976</v>
      </c>
      <c r="EO154" s="55">
        <f t="shared" si="1149"/>
        <v>0.58999999999999975</v>
      </c>
      <c r="EP154" s="55">
        <f t="shared" si="1149"/>
        <v>0.56999999999999973</v>
      </c>
      <c r="ER154" s="55">
        <f t="shared" si="648"/>
        <v>0</v>
      </c>
      <c r="ES154" s="55">
        <f t="shared" si="1070"/>
        <v>0</v>
      </c>
      <c r="ET154" s="59">
        <f t="shared" si="1123"/>
        <v>0</v>
      </c>
      <c r="EU154" s="55">
        <f t="shared" si="1124"/>
        <v>0</v>
      </c>
      <c r="EV154" s="59">
        <f t="shared" si="1125"/>
        <v>0</v>
      </c>
      <c r="EW154" s="55">
        <f t="shared" si="1126"/>
        <v>0</v>
      </c>
      <c r="EX154" s="59">
        <f t="shared" si="1127"/>
        <v>0</v>
      </c>
      <c r="EY154" s="55">
        <f>+ES154*GP154</f>
        <v>0</v>
      </c>
      <c r="EZ154" s="59">
        <f t="shared" si="1128"/>
        <v>0</v>
      </c>
      <c r="FA154" s="57">
        <f>+ES154*GQ154</f>
        <v>0</v>
      </c>
      <c r="FB154" s="59">
        <f t="shared" si="1129"/>
        <v>0</v>
      </c>
      <c r="FC154" s="55">
        <f>+ES154*GR154</f>
        <v>0</v>
      </c>
      <c r="FD154" s="59">
        <f t="shared" si="1130"/>
        <v>0</v>
      </c>
      <c r="FE154" s="57">
        <f>+ES154*GS154</f>
        <v>0</v>
      </c>
      <c r="FF154" s="59">
        <f t="shared" si="1131"/>
        <v>0</v>
      </c>
      <c r="FG154" s="60">
        <f>+ES154*GT154</f>
        <v>0</v>
      </c>
      <c r="FH154" s="59">
        <f t="shared" si="1132"/>
        <v>0</v>
      </c>
      <c r="FI154" s="57">
        <f>+ES154*GU154</f>
        <v>0</v>
      </c>
      <c r="FJ154" s="59">
        <f t="shared" si="1133"/>
        <v>0</v>
      </c>
      <c r="FK154" s="55">
        <f>+ES154*GV154</f>
        <v>0</v>
      </c>
      <c r="FL154" s="59">
        <f t="shared" si="1134"/>
        <v>0</v>
      </c>
      <c r="FM154" s="60">
        <f>+ES154*GW154</f>
        <v>0</v>
      </c>
      <c r="FN154" s="59">
        <f t="shared" si="1135"/>
        <v>0</v>
      </c>
      <c r="FO154" s="60">
        <f>+ES154*GX154</f>
        <v>0</v>
      </c>
      <c r="FP154" s="59">
        <f t="shared" si="1136"/>
        <v>0</v>
      </c>
      <c r="FQ154" s="60">
        <f>+ES154*GY154</f>
        <v>0</v>
      </c>
      <c r="FR154" s="59">
        <f t="shared" si="1137"/>
        <v>0</v>
      </c>
      <c r="FS154" s="55">
        <f>+ES154*GZ154</f>
        <v>0</v>
      </c>
      <c r="FT154" s="59">
        <f t="shared" si="1138"/>
        <v>0</v>
      </c>
      <c r="FU154" s="60">
        <f>+ES154*HA154</f>
        <v>0</v>
      </c>
      <c r="FV154" s="59">
        <f t="shared" si="1139"/>
        <v>0</v>
      </c>
      <c r="FW154" s="60">
        <f>+ES154*HB154</f>
        <v>0</v>
      </c>
      <c r="FX154" s="59">
        <f t="shared" si="1140"/>
        <v>0</v>
      </c>
      <c r="FY154" s="60">
        <f>+ES154*HC154</f>
        <v>0</v>
      </c>
      <c r="FZ154" s="59">
        <f t="shared" si="1141"/>
        <v>0</v>
      </c>
      <c r="GA154" s="60">
        <f>+ES154*HD154</f>
        <v>0</v>
      </c>
      <c r="GB154" s="59">
        <f t="shared" si="1142"/>
        <v>0</v>
      </c>
      <c r="GC154" s="55">
        <f>+ES154*HE154</f>
        <v>0</v>
      </c>
      <c r="GD154" s="59">
        <f t="shared" si="1143"/>
        <v>0</v>
      </c>
      <c r="GE154" s="60">
        <f>+ES154*HF154</f>
        <v>0</v>
      </c>
      <c r="GF154" s="59">
        <f t="shared" si="1144"/>
        <v>0</v>
      </c>
      <c r="GG154" s="60">
        <f>+ES154*HG154</f>
        <v>0</v>
      </c>
      <c r="GH154" s="59">
        <f t="shared" si="1145"/>
        <v>0</v>
      </c>
      <c r="GI154" s="55">
        <f>+ES154*HH154</f>
        <v>0</v>
      </c>
      <c r="GJ154" s="59">
        <f t="shared" si="1146"/>
        <v>0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50">+GP154-0.02</f>
        <v>0.91</v>
      </c>
      <c r="GR154" s="55">
        <f t="shared" si="1150"/>
        <v>0.89</v>
      </c>
      <c r="GS154" s="55">
        <f t="shared" si="1150"/>
        <v>0.87</v>
      </c>
      <c r="GT154" s="55">
        <f t="shared" si="1150"/>
        <v>0.85</v>
      </c>
      <c r="GU154" s="55">
        <f t="shared" si="1150"/>
        <v>0.83</v>
      </c>
      <c r="GV154" s="55">
        <f t="shared" si="1150"/>
        <v>0.80999999999999994</v>
      </c>
      <c r="GW154" s="55">
        <f t="shared" si="1150"/>
        <v>0.78999999999999992</v>
      </c>
      <c r="GX154" s="55">
        <f t="shared" si="1150"/>
        <v>0.76999999999999991</v>
      </c>
      <c r="GY154" s="55">
        <f t="shared" si="1150"/>
        <v>0.74999999999999989</v>
      </c>
      <c r="GZ154" s="55">
        <f t="shared" si="1150"/>
        <v>0.72999999999999987</v>
      </c>
      <c r="HA154" s="55">
        <f t="shared" si="1150"/>
        <v>0.70999999999999985</v>
      </c>
      <c r="HB154" s="55">
        <f t="shared" si="1150"/>
        <v>0.68999999999999984</v>
      </c>
      <c r="HC154" s="55">
        <f t="shared" si="1150"/>
        <v>0.66999999999999982</v>
      </c>
      <c r="HD154" s="55">
        <f t="shared" si="1150"/>
        <v>0.6499999999999998</v>
      </c>
      <c r="HE154" s="55">
        <f t="shared" si="1150"/>
        <v>0.62999999999999978</v>
      </c>
      <c r="HF154" s="55">
        <f t="shared" si="1150"/>
        <v>0.60999999999999976</v>
      </c>
      <c r="HG154" s="55">
        <f t="shared" si="1150"/>
        <v>0.58999999999999975</v>
      </c>
      <c r="HH154" s="55">
        <f t="shared" si="1150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0</v>
      </c>
      <c r="E155" s="39">
        <f>SUM(E150:E154)</f>
        <v>0</v>
      </c>
      <c r="H155" s="55">
        <f t="shared" si="1065"/>
        <v>0</v>
      </c>
      <c r="I155" s="55">
        <f t="shared" si="1066"/>
        <v>0</v>
      </c>
      <c r="J155" s="59">
        <f t="shared" si="1067"/>
        <v>0</v>
      </c>
      <c r="K155" s="55">
        <f t="shared" si="1075"/>
        <v>0</v>
      </c>
      <c r="L155" s="59">
        <f t="shared" si="1076"/>
        <v>0</v>
      </c>
      <c r="M155" s="55">
        <f t="shared" si="1077"/>
        <v>0</v>
      </c>
      <c r="N155" s="59">
        <f t="shared" si="1078"/>
        <v>0</v>
      </c>
      <c r="O155" s="55">
        <f>+I155*BF155</f>
        <v>0</v>
      </c>
      <c r="P155" s="59">
        <f t="shared" si="1079"/>
        <v>0</v>
      </c>
      <c r="Q155" s="57">
        <f>+I155*BG155</f>
        <v>0</v>
      </c>
      <c r="R155" s="59">
        <f t="shared" si="1080"/>
        <v>0</v>
      </c>
      <c r="S155" s="55">
        <f>+I155*BH155</f>
        <v>0</v>
      </c>
      <c r="T155" s="59">
        <f t="shared" si="1081"/>
        <v>0</v>
      </c>
      <c r="U155" s="57">
        <f>+I155*BI155</f>
        <v>0</v>
      </c>
      <c r="V155" s="59">
        <f t="shared" si="1082"/>
        <v>0</v>
      </c>
      <c r="W155" s="60">
        <f>+I155*BJ155</f>
        <v>0</v>
      </c>
      <c r="X155" s="59">
        <f t="shared" si="1083"/>
        <v>0</v>
      </c>
      <c r="Y155" s="57">
        <f>+I155*BK155</f>
        <v>0</v>
      </c>
      <c r="Z155" s="59">
        <f t="shared" si="1084"/>
        <v>0</v>
      </c>
      <c r="AA155" s="55">
        <f>+I155*BL155</f>
        <v>0</v>
      </c>
      <c r="AB155" s="59">
        <f t="shared" si="1085"/>
        <v>0</v>
      </c>
      <c r="AC155" s="60">
        <f>+I155*BM155</f>
        <v>0</v>
      </c>
      <c r="AD155" s="59">
        <f t="shared" si="1086"/>
        <v>0</v>
      </c>
      <c r="AE155" s="60">
        <f>+I155*BN155</f>
        <v>0</v>
      </c>
      <c r="AF155" s="59">
        <f t="shared" si="1087"/>
        <v>0</v>
      </c>
      <c r="AG155" s="60">
        <f>+I155*BO155</f>
        <v>0</v>
      </c>
      <c r="AH155" s="59">
        <f t="shared" si="1088"/>
        <v>0</v>
      </c>
      <c r="AI155" s="55">
        <f>+I155*BP155</f>
        <v>0</v>
      </c>
      <c r="AJ155" s="59">
        <f t="shared" si="1089"/>
        <v>0</v>
      </c>
      <c r="AK155" s="60">
        <f>+I155*BQ155</f>
        <v>0</v>
      </c>
      <c r="AL155" s="59">
        <f t="shared" si="1090"/>
        <v>0</v>
      </c>
      <c r="AM155" s="60">
        <f>+I155*BR155</f>
        <v>0</v>
      </c>
      <c r="AN155" s="59">
        <f t="shared" si="1091"/>
        <v>0</v>
      </c>
      <c r="AO155" s="60">
        <f>+I155*BS155</f>
        <v>0</v>
      </c>
      <c r="AP155" s="59">
        <f t="shared" si="1092"/>
        <v>0</v>
      </c>
      <c r="AQ155" s="60">
        <f>+I155*BT155</f>
        <v>0</v>
      </c>
      <c r="AR155" s="59">
        <f t="shared" si="1093"/>
        <v>0</v>
      </c>
      <c r="AS155" s="55">
        <f>+I155*BU155</f>
        <v>0</v>
      </c>
      <c r="AT155" s="59">
        <f t="shared" si="1094"/>
        <v>0</v>
      </c>
      <c r="AU155" s="60">
        <f>+I155*BV155</f>
        <v>0</v>
      </c>
      <c r="AV155" s="59">
        <f t="shared" si="1095"/>
        <v>0</v>
      </c>
      <c r="AW155" s="60">
        <f>+I155*BW155</f>
        <v>0</v>
      </c>
      <c r="AX155" s="59">
        <f t="shared" si="1096"/>
        <v>0</v>
      </c>
      <c r="AY155" s="55">
        <f>+I155*BX155</f>
        <v>0</v>
      </c>
      <c r="AZ155" s="59">
        <f t="shared" si="1097"/>
        <v>0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098"/>
        <v>0.91</v>
      </c>
      <c r="BH155" s="55">
        <f t="shared" si="1098"/>
        <v>0.89</v>
      </c>
      <c r="BI155" s="55">
        <f t="shared" si="1098"/>
        <v>0.87</v>
      </c>
      <c r="BJ155" s="55">
        <f t="shared" si="1098"/>
        <v>0.85</v>
      </c>
      <c r="BK155" s="55">
        <f t="shared" si="1098"/>
        <v>0.83</v>
      </c>
      <c r="BL155" s="55">
        <f t="shared" si="1098"/>
        <v>0.80999999999999994</v>
      </c>
      <c r="BM155" s="55">
        <f t="shared" si="1098"/>
        <v>0.78999999999999992</v>
      </c>
      <c r="BN155" s="55">
        <f t="shared" si="1098"/>
        <v>0.76999999999999991</v>
      </c>
      <c r="BO155" s="55">
        <f t="shared" si="1098"/>
        <v>0.74999999999999989</v>
      </c>
      <c r="BP155" s="55">
        <f t="shared" si="1098"/>
        <v>0.72999999999999987</v>
      </c>
      <c r="BQ155" s="55">
        <f t="shared" si="1098"/>
        <v>0.70999999999999985</v>
      </c>
      <c r="BR155" s="55">
        <f t="shared" si="1098"/>
        <v>0.68999999999999984</v>
      </c>
      <c r="BS155" s="55">
        <f t="shared" si="1098"/>
        <v>0.66999999999999982</v>
      </c>
      <c r="BT155" s="55">
        <f t="shared" si="1098"/>
        <v>0.6499999999999998</v>
      </c>
      <c r="BU155" s="55">
        <f t="shared" si="1098"/>
        <v>0.62999999999999978</v>
      </c>
      <c r="BV155" s="55">
        <f t="shared" si="1098"/>
        <v>0.60999999999999976</v>
      </c>
      <c r="BW155" s="55">
        <f t="shared" si="1098"/>
        <v>0.58999999999999975</v>
      </c>
      <c r="BX155" s="55">
        <f t="shared" si="1098"/>
        <v>0.56999999999999973</v>
      </c>
      <c r="BZ155" s="55">
        <f t="shared" si="1068"/>
        <v>0</v>
      </c>
      <c r="CA155" s="55">
        <f t="shared" si="1069"/>
        <v>0</v>
      </c>
      <c r="CB155" s="59">
        <f t="shared" si="1099"/>
        <v>0</v>
      </c>
      <c r="CC155" s="55">
        <f t="shared" si="1100"/>
        <v>0</v>
      </c>
      <c r="CD155" s="59">
        <f t="shared" si="1101"/>
        <v>0</v>
      </c>
      <c r="CE155" s="55">
        <f t="shared" si="1102"/>
        <v>0</v>
      </c>
      <c r="CF155" s="59">
        <f t="shared" si="1103"/>
        <v>0</v>
      </c>
      <c r="CG155" s="55">
        <f>+CA155*DX155</f>
        <v>0</v>
      </c>
      <c r="CH155" s="59">
        <f t="shared" si="1104"/>
        <v>0</v>
      </c>
      <c r="CI155" s="57">
        <f>+CA155*DY155</f>
        <v>0</v>
      </c>
      <c r="CJ155" s="59">
        <f t="shared" si="1105"/>
        <v>0</v>
      </c>
      <c r="CK155" s="55">
        <f>+CA155*DZ155</f>
        <v>0</v>
      </c>
      <c r="CL155" s="59">
        <f t="shared" si="1106"/>
        <v>0</v>
      </c>
      <c r="CM155" s="57">
        <f>+CA155*EA155</f>
        <v>0</v>
      </c>
      <c r="CN155" s="59">
        <f t="shared" si="1107"/>
        <v>0</v>
      </c>
      <c r="CO155" s="60">
        <f>+CA155*EB155</f>
        <v>0</v>
      </c>
      <c r="CP155" s="59">
        <f t="shared" si="1108"/>
        <v>0</v>
      </c>
      <c r="CQ155" s="57">
        <f>+CA155*EC155</f>
        <v>0</v>
      </c>
      <c r="CR155" s="59">
        <f t="shared" si="1109"/>
        <v>0</v>
      </c>
      <c r="CS155" s="55">
        <f>+CA155*ED155</f>
        <v>0</v>
      </c>
      <c r="CT155" s="59">
        <f t="shared" si="1110"/>
        <v>0</v>
      </c>
      <c r="CU155" s="60">
        <f>+CA155*EE155</f>
        <v>0</v>
      </c>
      <c r="CV155" s="59">
        <f t="shared" si="1111"/>
        <v>0</v>
      </c>
      <c r="CW155" s="60">
        <f>+CA155*EF155</f>
        <v>0</v>
      </c>
      <c r="CX155" s="59">
        <f t="shared" si="1112"/>
        <v>0</v>
      </c>
      <c r="CY155" s="60">
        <f>+CA155*EG155</f>
        <v>0</v>
      </c>
      <c r="CZ155" s="59">
        <f t="shared" si="1113"/>
        <v>0</v>
      </c>
      <c r="DA155" s="55">
        <f>+CA155*EH155</f>
        <v>0</v>
      </c>
      <c r="DB155" s="59">
        <f t="shared" si="1114"/>
        <v>0</v>
      </c>
      <c r="DC155" s="60">
        <f>+CA155*EI155</f>
        <v>0</v>
      </c>
      <c r="DD155" s="59">
        <f t="shared" si="1115"/>
        <v>0</v>
      </c>
      <c r="DE155" s="60">
        <f>+CA155*EJ155</f>
        <v>0</v>
      </c>
      <c r="DF155" s="59">
        <f t="shared" si="1116"/>
        <v>0</v>
      </c>
      <c r="DG155" s="60">
        <f>+CA155*EK155</f>
        <v>0</v>
      </c>
      <c r="DH155" s="59">
        <f t="shared" si="1117"/>
        <v>0</v>
      </c>
      <c r="DI155" s="60">
        <f>+CA155*EL155</f>
        <v>0</v>
      </c>
      <c r="DJ155" s="59">
        <f t="shared" si="1118"/>
        <v>0</v>
      </c>
      <c r="DK155" s="55">
        <f>+CA155*EM155</f>
        <v>0</v>
      </c>
      <c r="DL155" s="59">
        <f t="shared" si="1119"/>
        <v>0</v>
      </c>
      <c r="DM155" s="60">
        <f>+CA155*EN155</f>
        <v>0</v>
      </c>
      <c r="DN155" s="59">
        <f t="shared" si="1120"/>
        <v>0</v>
      </c>
      <c r="DO155" s="60">
        <f>+CA155*EO155</f>
        <v>0</v>
      </c>
      <c r="DP155" s="59">
        <f t="shared" si="1121"/>
        <v>0</v>
      </c>
      <c r="DQ155" s="55">
        <f>+CA155*EP155</f>
        <v>0</v>
      </c>
      <c r="DR155" s="59">
        <f t="shared" si="1122"/>
        <v>0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49"/>
        <v>0.91</v>
      </c>
      <c r="DZ155" s="55">
        <f t="shared" si="1149"/>
        <v>0.89</v>
      </c>
      <c r="EA155" s="55">
        <f t="shared" si="1149"/>
        <v>0.87</v>
      </c>
      <c r="EB155" s="55">
        <f t="shared" si="1149"/>
        <v>0.85</v>
      </c>
      <c r="EC155" s="55">
        <f t="shared" si="1149"/>
        <v>0.83</v>
      </c>
      <c r="ED155" s="55">
        <f t="shared" si="1149"/>
        <v>0.80999999999999994</v>
      </c>
      <c r="EE155" s="55">
        <f t="shared" si="1149"/>
        <v>0.78999999999999992</v>
      </c>
      <c r="EF155" s="55">
        <f t="shared" si="1149"/>
        <v>0.76999999999999991</v>
      </c>
      <c r="EG155" s="55">
        <f t="shared" si="1149"/>
        <v>0.74999999999999989</v>
      </c>
      <c r="EH155" s="55">
        <f t="shared" si="1149"/>
        <v>0.72999999999999987</v>
      </c>
      <c r="EI155" s="55">
        <f t="shared" si="1149"/>
        <v>0.70999999999999985</v>
      </c>
      <c r="EJ155" s="55">
        <f t="shared" si="1149"/>
        <v>0.68999999999999984</v>
      </c>
      <c r="EK155" s="55">
        <f t="shared" si="1149"/>
        <v>0.66999999999999982</v>
      </c>
      <c r="EL155" s="55">
        <f t="shared" si="1149"/>
        <v>0.6499999999999998</v>
      </c>
      <c r="EM155" s="55">
        <f t="shared" si="1149"/>
        <v>0.62999999999999978</v>
      </c>
      <c r="EN155" s="55">
        <f t="shared" si="1149"/>
        <v>0.60999999999999976</v>
      </c>
      <c r="EO155" s="55">
        <f t="shared" si="1149"/>
        <v>0.58999999999999975</v>
      </c>
      <c r="EP155" s="55">
        <f t="shared" si="1149"/>
        <v>0.56999999999999973</v>
      </c>
      <c r="ER155" s="55">
        <f t="shared" si="648"/>
        <v>0</v>
      </c>
      <c r="ES155" s="55">
        <f t="shared" si="1070"/>
        <v>0</v>
      </c>
      <c r="ET155" s="59">
        <f t="shared" si="1123"/>
        <v>0</v>
      </c>
      <c r="EU155" s="55">
        <f t="shared" si="1124"/>
        <v>0</v>
      </c>
      <c r="EV155" s="59">
        <f t="shared" si="1125"/>
        <v>0</v>
      </c>
      <c r="EW155" s="55">
        <f t="shared" si="1126"/>
        <v>0</v>
      </c>
      <c r="EX155" s="59">
        <f t="shared" si="1127"/>
        <v>0</v>
      </c>
      <c r="EY155" s="55">
        <f>+ES155*GP155</f>
        <v>0</v>
      </c>
      <c r="EZ155" s="59">
        <f t="shared" si="1128"/>
        <v>0</v>
      </c>
      <c r="FA155" s="57">
        <f>+ES155*GQ155</f>
        <v>0</v>
      </c>
      <c r="FB155" s="59">
        <f t="shared" si="1129"/>
        <v>0</v>
      </c>
      <c r="FC155" s="55">
        <f>+ES155*GR155</f>
        <v>0</v>
      </c>
      <c r="FD155" s="59">
        <f t="shared" si="1130"/>
        <v>0</v>
      </c>
      <c r="FE155" s="57">
        <f>+ES155*GS155</f>
        <v>0</v>
      </c>
      <c r="FF155" s="59">
        <f t="shared" si="1131"/>
        <v>0</v>
      </c>
      <c r="FG155" s="60">
        <f>+ES155*GT155</f>
        <v>0</v>
      </c>
      <c r="FH155" s="59">
        <f t="shared" si="1132"/>
        <v>0</v>
      </c>
      <c r="FI155" s="57">
        <f>+ES155*GU155</f>
        <v>0</v>
      </c>
      <c r="FJ155" s="59">
        <f t="shared" si="1133"/>
        <v>0</v>
      </c>
      <c r="FK155" s="55">
        <f>+ES155*GV155</f>
        <v>0</v>
      </c>
      <c r="FL155" s="59">
        <f t="shared" si="1134"/>
        <v>0</v>
      </c>
      <c r="FM155" s="60">
        <f>+ES155*GW155</f>
        <v>0</v>
      </c>
      <c r="FN155" s="59">
        <f t="shared" si="1135"/>
        <v>0</v>
      </c>
      <c r="FO155" s="60">
        <f>+ES155*GX155</f>
        <v>0</v>
      </c>
      <c r="FP155" s="59">
        <f t="shared" si="1136"/>
        <v>0</v>
      </c>
      <c r="FQ155" s="60">
        <f>+ES155*GY155</f>
        <v>0</v>
      </c>
      <c r="FR155" s="59">
        <f t="shared" si="1137"/>
        <v>0</v>
      </c>
      <c r="FS155" s="55">
        <f>+ES155*GZ155</f>
        <v>0</v>
      </c>
      <c r="FT155" s="59">
        <f t="shared" si="1138"/>
        <v>0</v>
      </c>
      <c r="FU155" s="60">
        <f>+ES155*HA155</f>
        <v>0</v>
      </c>
      <c r="FV155" s="59">
        <f t="shared" si="1139"/>
        <v>0</v>
      </c>
      <c r="FW155" s="60">
        <f>+ES155*HB155</f>
        <v>0</v>
      </c>
      <c r="FX155" s="59">
        <f t="shared" si="1140"/>
        <v>0</v>
      </c>
      <c r="FY155" s="60">
        <f>+ES155*HC155</f>
        <v>0</v>
      </c>
      <c r="FZ155" s="59">
        <f t="shared" si="1141"/>
        <v>0</v>
      </c>
      <c r="GA155" s="60">
        <f>+ES155*HD155</f>
        <v>0</v>
      </c>
      <c r="GB155" s="59">
        <f t="shared" si="1142"/>
        <v>0</v>
      </c>
      <c r="GC155" s="55">
        <f>+ES155*HE155</f>
        <v>0</v>
      </c>
      <c r="GD155" s="59">
        <f t="shared" si="1143"/>
        <v>0</v>
      </c>
      <c r="GE155" s="60">
        <f>+ES155*HF155</f>
        <v>0</v>
      </c>
      <c r="GF155" s="59">
        <f t="shared" si="1144"/>
        <v>0</v>
      </c>
      <c r="GG155" s="60">
        <f>+ES155*HG155</f>
        <v>0</v>
      </c>
      <c r="GH155" s="59">
        <f t="shared" si="1145"/>
        <v>0</v>
      </c>
      <c r="GI155" s="55">
        <f>+ES155*HH155</f>
        <v>0</v>
      </c>
      <c r="GJ155" s="59">
        <f t="shared" si="1146"/>
        <v>0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50"/>
        <v>0.91</v>
      </c>
      <c r="GR155" s="55">
        <f t="shared" si="1150"/>
        <v>0.89</v>
      </c>
      <c r="GS155" s="55">
        <f t="shared" si="1150"/>
        <v>0.87</v>
      </c>
      <c r="GT155" s="55">
        <f t="shared" si="1150"/>
        <v>0.85</v>
      </c>
      <c r="GU155" s="55">
        <f t="shared" si="1150"/>
        <v>0.83</v>
      </c>
      <c r="GV155" s="55">
        <f t="shared" si="1150"/>
        <v>0.80999999999999994</v>
      </c>
      <c r="GW155" s="55">
        <f t="shared" si="1150"/>
        <v>0.78999999999999992</v>
      </c>
      <c r="GX155" s="55">
        <f t="shared" si="1150"/>
        <v>0.76999999999999991</v>
      </c>
      <c r="GY155" s="55">
        <f t="shared" si="1150"/>
        <v>0.74999999999999989</v>
      </c>
      <c r="GZ155" s="55">
        <f t="shared" si="1150"/>
        <v>0.72999999999999987</v>
      </c>
      <c r="HA155" s="55">
        <f t="shared" si="1150"/>
        <v>0.70999999999999985</v>
      </c>
      <c r="HB155" s="55">
        <f t="shared" si="1150"/>
        <v>0.68999999999999984</v>
      </c>
      <c r="HC155" s="55">
        <f t="shared" si="1150"/>
        <v>0.66999999999999982</v>
      </c>
      <c r="HD155" s="55">
        <f t="shared" si="1150"/>
        <v>0.6499999999999998</v>
      </c>
      <c r="HE155" s="55">
        <f t="shared" si="1150"/>
        <v>0.62999999999999978</v>
      </c>
      <c r="HF155" s="55">
        <f t="shared" si="1150"/>
        <v>0.60999999999999976</v>
      </c>
      <c r="HG155" s="55">
        <f t="shared" si="1150"/>
        <v>0.58999999999999975</v>
      </c>
      <c r="HH155" s="55">
        <f t="shared" si="1150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2020-05-19T00:27:27Z</dcterms:modified>
</cp:coreProperties>
</file>