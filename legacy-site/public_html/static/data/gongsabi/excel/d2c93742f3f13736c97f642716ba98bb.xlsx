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6" i="4" l="1"/>
  <c r="D112" i="4"/>
  <c r="E154" i="4" l="1"/>
  <c r="E153" i="4"/>
  <c r="E152" i="4"/>
  <c r="E151" i="4"/>
  <c r="E155" i="4" s="1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40" i="4" s="1"/>
  <c r="E131" i="4"/>
  <c r="E130" i="4"/>
  <c r="E126" i="4"/>
  <c r="E125" i="4"/>
  <c r="E124" i="4"/>
  <c r="E123" i="4"/>
  <c r="E122" i="4"/>
  <c r="E121" i="4"/>
  <c r="E120" i="4"/>
  <c r="E119" i="4"/>
  <c r="E118" i="4"/>
  <c r="E127" i="4" s="1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89" i="4" s="1"/>
  <c r="E60" i="4"/>
  <c r="E59" i="4"/>
  <c r="E58" i="4"/>
  <c r="E57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54" i="4" s="1"/>
  <c r="E31" i="4"/>
  <c r="E26" i="4"/>
  <c r="E25" i="4"/>
  <c r="E24" i="4"/>
  <c r="E23" i="4"/>
  <c r="E21" i="4"/>
  <c r="E20" i="4"/>
  <c r="E19" i="4"/>
  <c r="E18" i="4"/>
  <c r="E113" i="4" l="1"/>
  <c r="D146" i="4"/>
  <c r="D126" i="4"/>
  <c r="D88" i="4"/>
  <c r="D52" i="4"/>
  <c r="D68" i="4"/>
  <c r="D130" i="4"/>
  <c r="D53" i="4" l="1"/>
  <c r="D49" i="4"/>
  <c r="D39" i="4"/>
  <c r="D35" i="4"/>
  <c r="D36" i="4"/>
  <c r="D44" i="4"/>
  <c r="D37" i="4"/>
  <c r="D48" i="4"/>
  <c r="D45" i="4"/>
  <c r="D47" i="4"/>
  <c r="D40" i="4"/>
  <c r="D38" i="4"/>
  <c r="D43" i="4"/>
  <c r="D46" i="4"/>
  <c r="D42" i="4"/>
  <c r="D31" i="4"/>
  <c r="D34" i="4"/>
  <c r="D59" i="4"/>
  <c r="D153" i="4"/>
  <c r="D152" i="4"/>
  <c r="D151" i="4"/>
  <c r="D87" i="4"/>
  <c r="D69" i="4"/>
  <c r="D84" i="4"/>
  <c r="D66" i="4"/>
  <c r="D72" i="4"/>
  <c r="D65" i="4"/>
  <c r="D64" i="4"/>
  <c r="D63" i="4"/>
  <c r="D131" i="4"/>
  <c r="D138" i="4"/>
  <c r="D111" i="4"/>
  <c r="D99" i="4"/>
  <c r="D98" i="4"/>
  <c r="D94" i="4"/>
  <c r="D93" i="4"/>
  <c r="D92" i="4"/>
  <c r="D109" i="4"/>
  <c r="D108" i="4"/>
  <c r="D125" i="4"/>
  <c r="D122" i="4"/>
  <c r="D121" i="4"/>
  <c r="D116" i="4"/>
  <c r="D118" i="4"/>
  <c r="D119" i="4"/>
  <c r="D124" i="4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18" i="4"/>
  <c r="D54" i="4"/>
  <c r="D19" i="4" s="1"/>
  <c r="D60" i="4"/>
  <c r="D89" i="4"/>
  <c r="G89" i="4" s="1"/>
  <c r="H89" i="4" s="1"/>
  <c r="D127" i="4"/>
  <c r="D23" i="4" s="1"/>
  <c r="D155" i="4"/>
  <c r="D26" i="4" s="1"/>
  <c r="D7" i="4"/>
  <c r="GP44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G44" i="4"/>
  <c r="BY44" i="4" s="1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GP155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GP154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G154" i="4"/>
  <c r="BY154" i="4" s="1"/>
  <c r="GP153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G153" i="4"/>
  <c r="H153" i="4" s="1"/>
  <c r="GP152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G152" i="4"/>
  <c r="BY152" i="4" s="1"/>
  <c r="BZ152" i="4" s="1"/>
  <c r="GP151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G151" i="4"/>
  <c r="BY151" i="4" s="1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GP148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GP147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GP146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GP145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GP144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G144" i="4"/>
  <c r="H144" i="4" s="1"/>
  <c r="GP143" i="4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G143" i="4"/>
  <c r="BY143" i="4" s="1"/>
  <c r="EQ143" i="4" s="1"/>
  <c r="ER143" i="4" s="1"/>
  <c r="GH143" i="4" s="1"/>
  <c r="GI143" i="4" s="1"/>
  <c r="FZ143" i="4"/>
  <c r="GA143" i="4" s="1"/>
  <c r="FV143" i="4"/>
  <c r="FW143" i="4" s="1"/>
  <c r="FF143" i="4"/>
  <c r="FG143" i="4" s="1"/>
  <c r="ET143" i="4"/>
  <c r="EU143" i="4" s="1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GP140" i="4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GP139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G139" i="4"/>
  <c r="BY139" i="4" s="1"/>
  <c r="EQ139" i="4" s="1"/>
  <c r="ER139" i="4" s="1"/>
  <c r="GP138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GP137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GP136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GP135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GP134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GP133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GP132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G132" i="4"/>
  <c r="BY132" i="4" s="1"/>
  <c r="EQ132" i="4" s="1"/>
  <c r="ER132" i="4" s="1"/>
  <c r="GP131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G131" i="4"/>
  <c r="BY131" i="4" s="1"/>
  <c r="GP130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G130" i="4"/>
  <c r="BY130" i="4" s="1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GP127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GP126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G126" i="4"/>
  <c r="BY126" i="4" s="1"/>
  <c r="EQ126" i="4" s="1"/>
  <c r="ER126" i="4" s="1"/>
  <c r="GP125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G125" i="4"/>
  <c r="BY125" i="4" s="1"/>
  <c r="EQ125" i="4" s="1"/>
  <c r="ER125" i="4" s="1"/>
  <c r="EV125" i="4" s="1"/>
  <c r="EW125" i="4" s="1"/>
  <c r="GP124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G124" i="4"/>
  <c r="H124" i="4" s="1"/>
  <c r="GP123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G123" i="4"/>
  <c r="BY123" i="4" s="1"/>
  <c r="EQ123" i="4" s="1"/>
  <c r="ER123" i="4" s="1"/>
  <c r="GH123" i="4" s="1"/>
  <c r="GI123" i="4" s="1"/>
  <c r="GP122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G122" i="4"/>
  <c r="BY122" i="4" s="1"/>
  <c r="GP121" i="4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G121" i="4"/>
  <c r="BY121" i="4" s="1"/>
  <c r="EQ121" i="4" s="1"/>
  <c r="ER121" i="4" s="1"/>
  <c r="GP120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G120" i="4"/>
  <c r="BY120" i="4"/>
  <c r="EQ120" i="4" s="1"/>
  <c r="ER120" i="4" s="1"/>
  <c r="FZ120" i="4" s="1"/>
  <c r="GA120" i="4" s="1"/>
  <c r="GP119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G119" i="4"/>
  <c r="BY119" i="4" s="1"/>
  <c r="EQ119" i="4" s="1"/>
  <c r="ER119" i="4" s="1"/>
  <c r="GP118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G118" i="4"/>
  <c r="BY118" i="4" s="1"/>
  <c r="EQ118" i="4" s="1"/>
  <c r="ER118" i="4" s="1"/>
  <c r="GP117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G117" i="4"/>
  <c r="BY117" i="4" s="1"/>
  <c r="GP116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G116" i="4"/>
  <c r="BY116" i="4" s="1"/>
  <c r="EQ116" i="4" s="1"/>
  <c r="ER116" i="4" s="1"/>
  <c r="FF116" i="4" s="1"/>
  <c r="FG116" i="4" s="1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GP113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GP112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GP111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GP110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GP109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GP108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GP107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GP106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GP105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GP104" i="4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GP103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GP102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GP101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GP100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GP99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GP98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GP97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GP96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GP95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GP94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GP93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G93" i="4"/>
  <c r="BY93" i="4" s="1"/>
  <c r="EQ93" i="4" s="1"/>
  <c r="ER93" i="4" s="1"/>
  <c r="FJ93" i="4" s="1"/>
  <c r="FK93" i="4" s="1"/>
  <c r="GP92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G92" i="4"/>
  <c r="BY92" i="4" s="1"/>
  <c r="EQ92" i="4" s="1"/>
  <c r="ER92" i="4" s="1"/>
  <c r="GF92" i="4" s="1"/>
  <c r="GG92" i="4" s="1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GP89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GP88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G88" i="4"/>
  <c r="BY88" i="4" s="1"/>
  <c r="EQ88" i="4" s="1"/>
  <c r="ER88" i="4" s="1"/>
  <c r="GH88" i="4" s="1"/>
  <c r="GI88" i="4" s="1"/>
  <c r="GP87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G87" i="4"/>
  <c r="BY87" i="4" s="1"/>
  <c r="EQ87" i="4" s="1"/>
  <c r="ER87" i="4" s="1"/>
  <c r="GP86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G86" i="4"/>
  <c r="BY86" i="4" s="1"/>
  <c r="EQ86" i="4" s="1"/>
  <c r="ER86" i="4" s="1"/>
  <c r="ES86" i="4" s="1"/>
  <c r="FX86" i="4"/>
  <c r="FY86" i="4" s="1"/>
  <c r="GP85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G85" i="4"/>
  <c r="H85" i="4" s="1"/>
  <c r="GP84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G84" i="4"/>
  <c r="BY84" i="4" s="1"/>
  <c r="EQ84" i="4" s="1"/>
  <c r="ER84" i="4" s="1"/>
  <c r="FB84" i="4" s="1"/>
  <c r="FC84" i="4" s="1"/>
  <c r="GP83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G83" i="4"/>
  <c r="BY83" i="4" s="1"/>
  <c r="EQ83" i="4" s="1"/>
  <c r="ER83" i="4" s="1"/>
  <c r="GP82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G82" i="4"/>
  <c r="GP81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G81" i="4"/>
  <c r="BY81" i="4"/>
  <c r="EQ81" i="4" s="1"/>
  <c r="ER81" i="4" s="1"/>
  <c r="GP80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G80" i="4"/>
  <c r="BY80" i="4" s="1"/>
  <c r="EQ80" i="4" s="1"/>
  <c r="ER80" i="4" s="1"/>
  <c r="GD80" i="4" s="1"/>
  <c r="GE80" i="4" s="1"/>
  <c r="GF80" i="4"/>
  <c r="GG80" i="4" s="1"/>
  <c r="FZ80" i="4"/>
  <c r="GA80" i="4" s="1"/>
  <c r="FX80" i="4"/>
  <c r="FY80" i="4" s="1"/>
  <c r="FT80" i="4"/>
  <c r="FU80" i="4" s="1"/>
  <c r="FP80" i="4"/>
  <c r="FQ80" i="4" s="1"/>
  <c r="FL80" i="4"/>
  <c r="FM80" i="4" s="1"/>
  <c r="FJ80" i="4"/>
  <c r="FK80" i="4" s="1"/>
  <c r="FH80" i="4"/>
  <c r="FI80" i="4" s="1"/>
  <c r="FF80" i="4"/>
  <c r="FG80" i="4" s="1"/>
  <c r="FD80" i="4"/>
  <c r="FE80" i="4" s="1"/>
  <c r="FB80" i="4"/>
  <c r="FC80" i="4" s="1"/>
  <c r="EZ80" i="4"/>
  <c r="FA80" i="4" s="1"/>
  <c r="EX80" i="4"/>
  <c r="EY80" i="4" s="1"/>
  <c r="EV80" i="4"/>
  <c r="EW80" i="4" s="1"/>
  <c r="ET80" i="4"/>
  <c r="EU80" i="4" s="1"/>
  <c r="ES80" i="4"/>
  <c r="GP79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G79" i="4"/>
  <c r="BY79" i="4" s="1"/>
  <c r="GP78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G78" i="4"/>
  <c r="BY78" i="4" s="1"/>
  <c r="GP77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G77" i="4"/>
  <c r="BY77" i="4" s="1"/>
  <c r="EQ77" i="4" s="1"/>
  <c r="ER77" i="4" s="1"/>
  <c r="GD77" i="4" s="1"/>
  <c r="GE77" i="4" s="1"/>
  <c r="FR77" i="4"/>
  <c r="FS77" i="4" s="1"/>
  <c r="GP76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G76" i="4"/>
  <c r="GP75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G75" i="4"/>
  <c r="BY75" i="4" s="1"/>
  <c r="EQ75" i="4" s="1"/>
  <c r="ER75" i="4" s="1"/>
  <c r="FH75" i="4" s="1"/>
  <c r="FI75" i="4" s="1"/>
  <c r="GP74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G74" i="4"/>
  <c r="BY74" i="4" s="1"/>
  <c r="GP73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G73" i="4"/>
  <c r="BY73" i="4" s="1"/>
  <c r="EQ73" i="4" s="1"/>
  <c r="ER73" i="4" s="1"/>
  <c r="FV73" i="4" s="1"/>
  <c r="FW73" i="4" s="1"/>
  <c r="GP72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G72" i="4"/>
  <c r="BY72" i="4" s="1"/>
  <c r="EQ72" i="4" s="1"/>
  <c r="ER72" i="4" s="1"/>
  <c r="GP71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G71" i="4"/>
  <c r="BY71" i="4"/>
  <c r="GP70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G70" i="4"/>
  <c r="BY70" i="4" s="1"/>
  <c r="EQ70" i="4"/>
  <c r="ER70" i="4" s="1"/>
  <c r="GP69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G69" i="4"/>
  <c r="BY69" i="4" s="1"/>
  <c r="GP68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G68" i="4"/>
  <c r="BY68" i="4" s="1"/>
  <c r="EQ68" i="4" s="1"/>
  <c r="ER68" i="4" s="1"/>
  <c r="GP67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G67" i="4"/>
  <c r="H67" i="4" s="1"/>
  <c r="GP66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G66" i="4"/>
  <c r="BY66" i="4" s="1"/>
  <c r="EQ66" i="4" s="1"/>
  <c r="ER66" i="4" s="1"/>
  <c r="EZ66" i="4" s="1"/>
  <c r="FA66" i="4" s="1"/>
  <c r="GP65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G65" i="4"/>
  <c r="BY65" i="4" s="1"/>
  <c r="GP64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G64" i="4"/>
  <c r="BY64" i="4" s="1"/>
  <c r="BZ64" i="4" s="1"/>
  <c r="GP63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G63" i="4"/>
  <c r="BY63" i="4" s="1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GP60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GP59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G59" i="4"/>
  <c r="BY59" i="4" s="1"/>
  <c r="BZ59" i="4" s="1"/>
  <c r="EQ59" i="4"/>
  <c r="ER59" i="4" s="1"/>
  <c r="FT59" i="4" s="1"/>
  <c r="FU59" i="4" s="1"/>
  <c r="GF59" i="4"/>
  <c r="GG59" i="4" s="1"/>
  <c r="FP59" i="4"/>
  <c r="FQ59" i="4" s="1"/>
  <c r="FL59" i="4"/>
  <c r="FM59" i="4" s="1"/>
  <c r="EV59" i="4"/>
  <c r="EW59" i="4" s="1"/>
  <c r="GP58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G58" i="4"/>
  <c r="BY58" i="4"/>
  <c r="EQ58" i="4" s="1"/>
  <c r="ER58" i="4" s="1"/>
  <c r="GP57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G57" i="4"/>
  <c r="H57" i="4" s="1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GP54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GP53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G53" i="4"/>
  <c r="BY53" i="4" s="1"/>
  <c r="EQ53" i="4" s="1"/>
  <c r="ER53" i="4" s="1"/>
  <c r="GP52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G52" i="4"/>
  <c r="BY52" i="4" s="1"/>
  <c r="EQ52" i="4" s="1"/>
  <c r="ER52" i="4" s="1"/>
  <c r="GP51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G51" i="4"/>
  <c r="BY51" i="4" s="1"/>
  <c r="EQ51" i="4" s="1"/>
  <c r="ER51" i="4" s="1"/>
  <c r="GD51" i="4" s="1"/>
  <c r="GE51" i="4" s="1"/>
  <c r="GP50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G50" i="4"/>
  <c r="BY50" i="4" s="1"/>
  <c r="EQ50" i="4" s="1"/>
  <c r="ER50" i="4" s="1"/>
  <c r="GP49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G49" i="4"/>
  <c r="BY49" i="4" s="1"/>
  <c r="EQ49" i="4" s="1"/>
  <c r="ER49" i="4" s="1"/>
  <c r="GP48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G48" i="4"/>
  <c r="BY48" i="4" s="1"/>
  <c r="EQ48" i="4" s="1"/>
  <c r="ER48" i="4" s="1"/>
  <c r="GP47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G47" i="4"/>
  <c r="BY47" i="4" s="1"/>
  <c r="EQ47" i="4" s="1"/>
  <c r="ER47" i="4" s="1"/>
  <c r="FZ47" i="4" s="1"/>
  <c r="GA47" i="4" s="1"/>
  <c r="GP46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G46" i="4"/>
  <c r="H46" i="4" s="1"/>
  <c r="GP45" i="4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G45" i="4"/>
  <c r="H45" i="4" s="1"/>
  <c r="GP43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G43" i="4"/>
  <c r="BY43" i="4" s="1"/>
  <c r="EQ43" i="4" s="1"/>
  <c r="ER43" i="4" s="1"/>
  <c r="GP42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G42" i="4"/>
  <c r="BY42" i="4" s="1"/>
  <c r="EQ42" i="4" s="1"/>
  <c r="ER42" i="4" s="1"/>
  <c r="GP41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G41" i="4"/>
  <c r="BY41" i="4" s="1"/>
  <c r="GP40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G40" i="4"/>
  <c r="BY40" i="4" s="1"/>
  <c r="GP39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G39" i="4"/>
  <c r="BY39" i="4" s="1"/>
  <c r="GP38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G38" i="4"/>
  <c r="H38" i="4" s="1"/>
  <c r="GP37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G37" i="4"/>
  <c r="BY37" i="4" s="1"/>
  <c r="EQ37" i="4" s="1"/>
  <c r="ER37" i="4" s="1"/>
  <c r="GD37" i="4" s="1"/>
  <c r="GE37" i="4" s="1"/>
  <c r="GP36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G36" i="4"/>
  <c r="BY36" i="4" s="1"/>
  <c r="GP35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G35" i="4"/>
  <c r="BY35" i="4" s="1"/>
  <c r="EQ35" i="4" s="1"/>
  <c r="ER35" i="4" s="1"/>
  <c r="GP34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G34" i="4"/>
  <c r="BY34" i="4" s="1"/>
  <c r="EQ34" i="4" s="1"/>
  <c r="ER34" i="4" s="1"/>
  <c r="GP33" i="4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BY33" i="4"/>
  <c r="EQ33" i="4"/>
  <c r="GP32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BY32" i="4"/>
  <c r="EQ32" i="4"/>
  <c r="GP31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G31" i="4"/>
  <c r="BY31" i="4" s="1"/>
  <c r="GP30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BY30" i="4"/>
  <c r="EQ30" i="4"/>
  <c r="GP29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BY29" i="4"/>
  <c r="EQ29" i="4"/>
  <c r="GP28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G18" i="4"/>
  <c r="H18" i="4" s="1"/>
  <c r="GP27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GP26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GP25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GP24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GP23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GP22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GP21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GP20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GP19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GP18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BZ143" i="4"/>
  <c r="DP143" i="4" s="1"/>
  <c r="DQ143" i="4" s="1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DJ143" i="4"/>
  <c r="DK143" i="4" s="1"/>
  <c r="DF143" i="4"/>
  <c r="DG143" i="4" s="1"/>
  <c r="DB143" i="4"/>
  <c r="DC143" i="4" s="1"/>
  <c r="CZ143" i="4"/>
  <c r="DA143" i="4" s="1"/>
  <c r="CX143" i="4"/>
  <c r="CY143" i="4" s="1"/>
  <c r="CV143" i="4"/>
  <c r="CW143" i="4" s="1"/>
  <c r="CT143" i="4"/>
  <c r="CU143" i="4" s="1"/>
  <c r="CR143" i="4"/>
  <c r="CS143" i="4" s="1"/>
  <c r="CP143" i="4"/>
  <c r="CQ143" i="4" s="1"/>
  <c r="CN143" i="4"/>
  <c r="CO143" i="4" s="1"/>
  <c r="CL143" i="4"/>
  <c r="CM143" i="4" s="1"/>
  <c r="CJ143" i="4"/>
  <c r="CK143" i="4" s="1"/>
  <c r="CH143" i="4"/>
  <c r="CI143" i="4" s="1"/>
  <c r="CF143" i="4"/>
  <c r="CG143" i="4" s="1"/>
  <c r="CD143" i="4"/>
  <c r="CE143" i="4" s="1"/>
  <c r="CB143" i="4"/>
  <c r="CC143" i="4" s="1"/>
  <c r="CA143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BZ126" i="4"/>
  <c r="DP126" i="4" s="1"/>
  <c r="DQ126" i="4" s="1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BZ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BZ120" i="4"/>
  <c r="DP120" i="4" s="1"/>
  <c r="DQ120" i="4" s="1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DN120" i="4"/>
  <c r="DO120" i="4"/>
  <c r="DJ120" i="4"/>
  <c r="DK120" i="4" s="1"/>
  <c r="DF120" i="4"/>
  <c r="DG120" i="4" s="1"/>
  <c r="DB120" i="4"/>
  <c r="DC120" i="4" s="1"/>
  <c r="CX120" i="4"/>
  <c r="CY120" i="4" s="1"/>
  <c r="CT120" i="4"/>
  <c r="CU120" i="4" s="1"/>
  <c r="CP120" i="4"/>
  <c r="CQ120" i="4"/>
  <c r="CN120" i="4"/>
  <c r="CO120" i="4" s="1"/>
  <c r="CL120" i="4"/>
  <c r="CM120" i="4"/>
  <c r="CJ120" i="4"/>
  <c r="CK120" i="4" s="1"/>
  <c r="CH120" i="4"/>
  <c r="CI120" i="4"/>
  <c r="CF120" i="4"/>
  <c r="CG120" i="4" s="1"/>
  <c r="CD120" i="4"/>
  <c r="CE120" i="4" s="1"/>
  <c r="CB120" i="4"/>
  <c r="CC120" i="4" s="1"/>
  <c r="CA120" i="4"/>
  <c r="BZ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BZ118" i="4"/>
  <c r="DP118" i="4" s="1"/>
  <c r="DQ118" i="4" s="1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DN118" i="4"/>
  <c r="DO118" i="4"/>
  <c r="DJ118" i="4"/>
  <c r="DK118" i="4" s="1"/>
  <c r="DF118" i="4"/>
  <c r="DG118" i="4"/>
  <c r="DB118" i="4"/>
  <c r="DC118" i="4" s="1"/>
  <c r="CX118" i="4"/>
  <c r="CY118" i="4" s="1"/>
  <c r="CT118" i="4"/>
  <c r="CU118" i="4"/>
  <c r="CP118" i="4"/>
  <c r="CQ118" i="4" s="1"/>
  <c r="CL118" i="4"/>
  <c r="CM118" i="4"/>
  <c r="CH118" i="4"/>
  <c r="CI118" i="4" s="1"/>
  <c r="CD118" i="4"/>
  <c r="CE118" i="4" s="1"/>
  <c r="CA118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BZ116" i="4"/>
  <c r="DP116" i="4" s="1"/>
  <c r="DQ116" i="4" s="1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DJ116" i="4"/>
  <c r="DK116" i="4" s="1"/>
  <c r="DF116" i="4"/>
  <c r="DG116" i="4" s="1"/>
  <c r="DB116" i="4"/>
  <c r="DC116" i="4" s="1"/>
  <c r="CT116" i="4"/>
  <c r="CU116" i="4" s="1"/>
  <c r="CP116" i="4"/>
  <c r="CQ116" i="4" s="1"/>
  <c r="CH116" i="4"/>
  <c r="CI116" i="4" s="1"/>
  <c r="CD116" i="4"/>
  <c r="CE116" i="4" s="1"/>
  <c r="CA116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BZ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BZ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BZ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BZ77" i="4"/>
  <c r="CF77" i="4" s="1"/>
  <c r="CG77" i="4" s="1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CV77" i="4"/>
  <c r="CW77" i="4" s="1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BZ73" i="4"/>
  <c r="DL73" i="4" s="1"/>
  <c r="DM73" i="4" s="1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CN73" i="4"/>
  <c r="CO73" i="4" s="1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BZ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DP70" i="4"/>
  <c r="DQ70" i="4" s="1"/>
  <c r="DN70" i="4"/>
  <c r="DO70" i="4" s="1"/>
  <c r="DL70" i="4"/>
  <c r="DM70" i="4" s="1"/>
  <c r="DJ70" i="4"/>
  <c r="DK70" i="4" s="1"/>
  <c r="DH70" i="4"/>
  <c r="DI70" i="4" s="1"/>
  <c r="DF70" i="4"/>
  <c r="DG70" i="4" s="1"/>
  <c r="DD70" i="4"/>
  <c r="DE70" i="4" s="1"/>
  <c r="DB70" i="4"/>
  <c r="DC70" i="4" s="1"/>
  <c r="CZ70" i="4"/>
  <c r="DA70" i="4" s="1"/>
  <c r="CX70" i="4"/>
  <c r="CY70" i="4" s="1"/>
  <c r="CV70" i="4"/>
  <c r="CW70" i="4" s="1"/>
  <c r="CT70" i="4"/>
  <c r="CU70" i="4" s="1"/>
  <c r="CR70" i="4"/>
  <c r="CS70" i="4" s="1"/>
  <c r="CP70" i="4"/>
  <c r="CQ70" i="4" s="1"/>
  <c r="CN70" i="4"/>
  <c r="CO70" i="4" s="1"/>
  <c r="CL70" i="4"/>
  <c r="CM70" i="4" s="1"/>
  <c r="CJ70" i="4"/>
  <c r="CK70" i="4" s="1"/>
  <c r="CH70" i="4"/>
  <c r="CI70" i="4" s="1"/>
  <c r="CF70" i="4"/>
  <c r="CG70" i="4" s="1"/>
  <c r="CD70" i="4"/>
  <c r="CE70" i="4" s="1"/>
  <c r="CB70" i="4"/>
  <c r="CC70" i="4" s="1"/>
  <c r="CA70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DP59" i="4"/>
  <c r="DQ59" i="4" s="1"/>
  <c r="DL59" i="4"/>
  <c r="DM59" i="4" s="1"/>
  <c r="DH59" i="4"/>
  <c r="DI59" i="4" s="1"/>
  <c r="DD59" i="4"/>
  <c r="DE59" i="4" s="1"/>
  <c r="CZ59" i="4"/>
  <c r="DA59" i="4" s="1"/>
  <c r="CV59" i="4"/>
  <c r="CW59" i="4" s="1"/>
  <c r="CR59" i="4"/>
  <c r="CS59" i="4" s="1"/>
  <c r="CN59" i="4"/>
  <c r="CO59" i="4" s="1"/>
  <c r="CJ59" i="4"/>
  <c r="CK59" i="4" s="1"/>
  <c r="CF59" i="4"/>
  <c r="CG59" i="4" s="1"/>
  <c r="CB59" i="4"/>
  <c r="CC59" i="4" s="1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BZ37" i="4"/>
  <c r="DN37" i="4" s="1"/>
  <c r="DO37" i="4" s="1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BZ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H154" i="4"/>
  <c r="AV154" i="4" s="1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H152" i="4"/>
  <c r="AX152" i="4" s="1"/>
  <c r="AY152" i="4" s="1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H143" i="4"/>
  <c r="AX143" i="4" s="1"/>
  <c r="AY143" i="4" s="1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H132" i="4"/>
  <c r="AX132" i="4" s="1"/>
  <c r="AY132" i="4" s="1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H131" i="4"/>
  <c r="AX131" i="4" s="1"/>
  <c r="AY131" i="4" s="1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H130" i="4"/>
  <c r="AT130" i="4" s="1"/>
  <c r="AU130" i="4" s="1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H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H121" i="4"/>
  <c r="AJ121" i="4" s="1"/>
  <c r="AK121" i="4" s="1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H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H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H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H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H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AX93" i="4"/>
  <c r="AY93" i="4" s="1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H86" i="4"/>
  <c r="X86" i="4" s="1"/>
  <c r="Y86" i="4" s="1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H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H80" i="4"/>
  <c r="T80" i="4" s="1"/>
  <c r="U80" i="4" s="1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H79" i="4"/>
  <c r="AF79" i="4" s="1"/>
  <c r="AG79" i="4" s="1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H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H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H73" i="4"/>
  <c r="AL73" i="4" s="1"/>
  <c r="AM73" i="4" s="1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H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H70" i="4"/>
  <c r="Z70" i="4" s="1"/>
  <c r="AA70" i="4" s="1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H65" i="4"/>
  <c r="AR65" i="4" s="1"/>
  <c r="AS65" i="4" s="1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H59" i="4"/>
  <c r="AX59" i="4" s="1"/>
  <c r="AY59" i="4" s="1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H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AX58" i="4"/>
  <c r="AY58" i="4" s="1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H53" i="4"/>
  <c r="AR53" i="4" s="1"/>
  <c r="AS53" i="4" s="1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H51" i="4"/>
  <c r="AV51" i="4" s="1"/>
  <c r="AW51" i="4" s="1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H50" i="4"/>
  <c r="AP50" i="4" s="1"/>
  <c r="AQ50" i="4" s="1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H48" i="4"/>
  <c r="AP48" i="4" s="1"/>
  <c r="AQ48" i="4" s="1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H37" i="4"/>
  <c r="AD37" i="4" s="1"/>
  <c r="AE37" i="4" s="1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H36" i="4"/>
  <c r="AX36" i="4" s="1"/>
  <c r="AY36" i="4" s="1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H31" i="4"/>
  <c r="AV31" i="4" s="1"/>
  <c r="AW31" i="4" s="1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AV152" i="4"/>
  <c r="AW152" i="4" s="1"/>
  <c r="AV119" i="4"/>
  <c r="AW119" i="4" s="1"/>
  <c r="AV93" i="4"/>
  <c r="AV59" i="4"/>
  <c r="AV58" i="4"/>
  <c r="AT143" i="4"/>
  <c r="AU143" i="4" s="1"/>
  <c r="AT118" i="4"/>
  <c r="AT93" i="4"/>
  <c r="AU93" i="4" s="1"/>
  <c r="AT70" i="4"/>
  <c r="AU70" i="4" s="1"/>
  <c r="AT59" i="4"/>
  <c r="AU59" i="4" s="1"/>
  <c r="AT58" i="4"/>
  <c r="AU58" i="4" s="1"/>
  <c r="AR154" i="4"/>
  <c r="AS154" i="4" s="1"/>
  <c r="AR93" i="4"/>
  <c r="AS93" i="4" s="1"/>
  <c r="AR81" i="4"/>
  <c r="AR77" i="4"/>
  <c r="AS77" i="4" s="1"/>
  <c r="AR71" i="4"/>
  <c r="AR59" i="4"/>
  <c r="AS59" i="4" s="1"/>
  <c r="AR58" i="4"/>
  <c r="AR50" i="4"/>
  <c r="AS50" i="4" s="1"/>
  <c r="AP120" i="4"/>
  <c r="AQ120" i="4" s="1"/>
  <c r="AP116" i="4"/>
  <c r="AQ116" i="4" s="1"/>
  <c r="AP93" i="4"/>
  <c r="AP81" i="4"/>
  <c r="AQ81" i="4" s="1"/>
  <c r="AP77" i="4"/>
  <c r="AP59" i="4"/>
  <c r="AP58" i="4"/>
  <c r="AP51" i="4"/>
  <c r="AQ51" i="4" s="1"/>
  <c r="AN119" i="4"/>
  <c r="AO119" i="4" s="1"/>
  <c r="AN93" i="4"/>
  <c r="AO93" i="4" s="1"/>
  <c r="AN81" i="4"/>
  <c r="AN77" i="4"/>
  <c r="AO77" i="4" s="1"/>
  <c r="AN59" i="4"/>
  <c r="AN58" i="4"/>
  <c r="AN51" i="4"/>
  <c r="AO51" i="4" s="1"/>
  <c r="AL154" i="4"/>
  <c r="AM154" i="4" s="1"/>
  <c r="AL132" i="4"/>
  <c r="AM132" i="4" s="1"/>
  <c r="AL131" i="4"/>
  <c r="AM131" i="4" s="1"/>
  <c r="AL118" i="4"/>
  <c r="AL93" i="4"/>
  <c r="AL81" i="4"/>
  <c r="AM81" i="4" s="1"/>
  <c r="AL77" i="4"/>
  <c r="AM77" i="4" s="1"/>
  <c r="AL59" i="4"/>
  <c r="AL58" i="4"/>
  <c r="AM58" i="4" s="1"/>
  <c r="AL37" i="4"/>
  <c r="AM37" i="4" s="1"/>
  <c r="AJ132" i="4"/>
  <c r="AK132" i="4" s="1"/>
  <c r="AJ93" i="4"/>
  <c r="AK93" i="4" s="1"/>
  <c r="AJ81" i="4"/>
  <c r="AK81" i="4" s="1"/>
  <c r="AJ77" i="4"/>
  <c r="AK77" i="4" s="1"/>
  <c r="AJ59" i="4"/>
  <c r="AJ58" i="4"/>
  <c r="AJ37" i="4"/>
  <c r="AK37" i="4" s="1"/>
  <c r="AH132" i="4"/>
  <c r="AH120" i="4"/>
  <c r="AI120" i="4" s="1"/>
  <c r="AH116" i="4"/>
  <c r="AH93" i="4"/>
  <c r="AI93" i="4" s="1"/>
  <c r="AH81" i="4"/>
  <c r="AH77" i="4"/>
  <c r="AI77" i="4" s="1"/>
  <c r="AH59" i="4"/>
  <c r="AI59" i="4" s="1"/>
  <c r="AH58" i="4"/>
  <c r="AI58" i="4" s="1"/>
  <c r="AH53" i="4"/>
  <c r="AI53" i="4" s="1"/>
  <c r="AH50" i="4"/>
  <c r="AF152" i="4"/>
  <c r="AG152" i="4" s="1"/>
  <c r="AF119" i="4"/>
  <c r="AG119" i="4" s="1"/>
  <c r="AF93" i="4"/>
  <c r="AG93" i="4" s="1"/>
  <c r="AF81" i="4"/>
  <c r="AG81" i="4" s="1"/>
  <c r="AF77" i="4"/>
  <c r="AF65" i="4"/>
  <c r="AG65" i="4" s="1"/>
  <c r="AF59" i="4"/>
  <c r="AG59" i="4" s="1"/>
  <c r="AF58" i="4"/>
  <c r="AF48" i="4"/>
  <c r="AG48" i="4" s="1"/>
  <c r="AD154" i="4"/>
  <c r="AE154" i="4" s="1"/>
  <c r="AD132" i="4"/>
  <c r="AE132" i="4" s="1"/>
  <c r="AD118" i="4"/>
  <c r="AD93" i="4"/>
  <c r="AD81" i="4"/>
  <c r="AD77" i="4"/>
  <c r="AD73" i="4"/>
  <c r="AE73" i="4" s="1"/>
  <c r="AD59" i="4"/>
  <c r="AD58" i="4"/>
  <c r="AB93" i="4"/>
  <c r="AC93" i="4" s="1"/>
  <c r="AB81" i="4"/>
  <c r="AC81" i="4" s="1"/>
  <c r="AB77" i="4"/>
  <c r="AB73" i="4"/>
  <c r="AC73" i="4" s="1"/>
  <c r="AB59" i="4"/>
  <c r="AB58" i="4"/>
  <c r="AB37" i="4"/>
  <c r="AC37" i="4" s="1"/>
  <c r="Z154" i="4"/>
  <c r="AA154" i="4" s="1"/>
  <c r="Z120" i="4"/>
  <c r="AA120" i="4" s="1"/>
  <c r="Z116" i="4"/>
  <c r="AA116" i="4" s="1"/>
  <c r="Z93" i="4"/>
  <c r="AA93" i="4" s="1"/>
  <c r="Z81" i="4"/>
  <c r="Z77" i="4"/>
  <c r="Z59" i="4"/>
  <c r="Z58" i="4"/>
  <c r="X154" i="4"/>
  <c r="Y154" i="4" s="1"/>
  <c r="X119" i="4"/>
  <c r="Y119" i="4" s="1"/>
  <c r="X93" i="4"/>
  <c r="Y93" i="4" s="1"/>
  <c r="X81" i="4"/>
  <c r="Y81" i="4" s="1"/>
  <c r="X77" i="4"/>
  <c r="X65" i="4"/>
  <c r="Y65" i="4" s="1"/>
  <c r="X59" i="4"/>
  <c r="Y59" i="4" s="1"/>
  <c r="X58" i="4"/>
  <c r="X51" i="4"/>
  <c r="Y51" i="4" s="1"/>
  <c r="V118" i="4"/>
  <c r="V93" i="4"/>
  <c r="W93" i="4" s="1"/>
  <c r="V81" i="4"/>
  <c r="W81" i="4" s="1"/>
  <c r="V77" i="4"/>
  <c r="V59" i="4"/>
  <c r="V58" i="4"/>
  <c r="W58" i="4" s="1"/>
  <c r="T93" i="4"/>
  <c r="T81" i="4"/>
  <c r="U81" i="4" s="1"/>
  <c r="T77" i="4"/>
  <c r="U77" i="4" s="1"/>
  <c r="T59" i="4"/>
  <c r="U59" i="4" s="1"/>
  <c r="T58" i="4"/>
  <c r="T37" i="4"/>
  <c r="U37" i="4" s="1"/>
  <c r="R154" i="4"/>
  <c r="S154" i="4" s="1"/>
  <c r="R120" i="4"/>
  <c r="S120" i="4" s="1"/>
  <c r="R116" i="4"/>
  <c r="S116" i="4" s="1"/>
  <c r="R93" i="4"/>
  <c r="S93" i="4" s="1"/>
  <c r="R81" i="4"/>
  <c r="S81" i="4" s="1"/>
  <c r="R77" i="4"/>
  <c r="S77" i="4" s="1"/>
  <c r="R59" i="4"/>
  <c r="R58" i="4"/>
  <c r="S58" i="4" s="1"/>
  <c r="P119" i="4"/>
  <c r="Q119" i="4" s="1"/>
  <c r="P93" i="4"/>
  <c r="Q93" i="4" s="1"/>
  <c r="P81" i="4"/>
  <c r="Q81" i="4" s="1"/>
  <c r="P77" i="4"/>
  <c r="Q77" i="4" s="1"/>
  <c r="P59" i="4"/>
  <c r="Q59" i="4" s="1"/>
  <c r="P58" i="4"/>
  <c r="P50" i="4"/>
  <c r="Q50" i="4" s="1"/>
  <c r="P37" i="4"/>
  <c r="Q37" i="4" s="1"/>
  <c r="N152" i="4"/>
  <c r="O152" i="4" s="1"/>
  <c r="N118" i="4"/>
  <c r="N93" i="4"/>
  <c r="O93" i="4" s="1"/>
  <c r="N81" i="4"/>
  <c r="O81" i="4" s="1"/>
  <c r="N77" i="4"/>
  <c r="O77" i="4" s="1"/>
  <c r="N59" i="4"/>
  <c r="N58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AW154" i="4"/>
  <c r="J154" i="4"/>
  <c r="K154" i="4" s="1"/>
  <c r="J152" i="4"/>
  <c r="K152" i="4" s="1"/>
  <c r="AI132" i="4"/>
  <c r="J132" i="4"/>
  <c r="K132" i="4" s="1"/>
  <c r="L120" i="4"/>
  <c r="M120" i="4" s="1"/>
  <c r="J120" i="4"/>
  <c r="K120" i="4"/>
  <c r="L119" i="4"/>
  <c r="M119" i="4" s="1"/>
  <c r="J119" i="4"/>
  <c r="K119" i="4" s="1"/>
  <c r="AU118" i="4"/>
  <c r="AM118" i="4"/>
  <c r="AE118" i="4"/>
  <c r="W118" i="4"/>
  <c r="O118" i="4"/>
  <c r="L118" i="4"/>
  <c r="M118" i="4" s="1"/>
  <c r="J118" i="4"/>
  <c r="K118" i="4" s="1"/>
  <c r="AI116" i="4"/>
  <c r="L116" i="4"/>
  <c r="M116" i="4" s="1"/>
  <c r="J116" i="4"/>
  <c r="K116" i="4" s="1"/>
  <c r="AW93" i="4"/>
  <c r="AQ93" i="4"/>
  <c r="AM93" i="4"/>
  <c r="AE93" i="4"/>
  <c r="U93" i="4"/>
  <c r="L93" i="4"/>
  <c r="M93" i="4" s="1"/>
  <c r="J93" i="4"/>
  <c r="K93" i="4" s="1"/>
  <c r="L86" i="4"/>
  <c r="M86" i="4" s="1"/>
  <c r="AS81" i="4"/>
  <c r="AO81" i="4"/>
  <c r="AI81" i="4"/>
  <c r="AE81" i="4"/>
  <c r="AA81" i="4"/>
  <c r="L81" i="4"/>
  <c r="M81" i="4" s="1"/>
  <c r="J81" i="4"/>
  <c r="K81" i="4" s="1"/>
  <c r="AQ77" i="4"/>
  <c r="AG77" i="4"/>
  <c r="AE77" i="4"/>
  <c r="AC77" i="4"/>
  <c r="AA77" i="4"/>
  <c r="Y77" i="4"/>
  <c r="W77" i="4"/>
  <c r="L77" i="4"/>
  <c r="M77" i="4"/>
  <c r="J77" i="4"/>
  <c r="K77" i="4" s="1"/>
  <c r="L74" i="4"/>
  <c r="M74" i="4" s="1"/>
  <c r="J74" i="4"/>
  <c r="K74" i="4" s="1"/>
  <c r="AS71" i="4"/>
  <c r="J71" i="4"/>
  <c r="K71" i="4" s="1"/>
  <c r="J70" i="4"/>
  <c r="K70" i="4" s="1"/>
  <c r="AW59" i="4"/>
  <c r="AQ59" i="4"/>
  <c r="AO59" i="4"/>
  <c r="AM59" i="4"/>
  <c r="AK59" i="4"/>
  <c r="AE59" i="4"/>
  <c r="AC59" i="4"/>
  <c r="AA59" i="4"/>
  <c r="W59" i="4"/>
  <c r="S59" i="4"/>
  <c r="O59" i="4"/>
  <c r="L59" i="4"/>
  <c r="M59" i="4" s="1"/>
  <c r="J59" i="4"/>
  <c r="K59" i="4" s="1"/>
  <c r="AW58" i="4"/>
  <c r="AS58" i="4"/>
  <c r="AQ58" i="4"/>
  <c r="AO58" i="4"/>
  <c r="AK58" i="4"/>
  <c r="AG58" i="4"/>
  <c r="AE58" i="4"/>
  <c r="AC58" i="4"/>
  <c r="AA58" i="4"/>
  <c r="Y58" i="4"/>
  <c r="U58" i="4"/>
  <c r="Q58" i="4"/>
  <c r="O58" i="4"/>
  <c r="L58" i="4"/>
  <c r="M58" i="4" s="1"/>
  <c r="J58" i="4"/>
  <c r="K58" i="4" s="1"/>
  <c r="J51" i="4"/>
  <c r="K51" i="4" s="1"/>
  <c r="AI50" i="4"/>
  <c r="L50" i="4"/>
  <c r="M50" i="4" s="1"/>
  <c r="J37" i="4"/>
  <c r="K37" i="4" s="1"/>
  <c r="I120" i="4"/>
  <c r="I119" i="4"/>
  <c r="I118" i="4"/>
  <c r="I116" i="4"/>
  <c r="I93" i="4"/>
  <c r="I81" i="4"/>
  <c r="I77" i="4"/>
  <c r="I59" i="4"/>
  <c r="I58" i="4"/>
  <c r="I51" i="4"/>
  <c r="O31" i="1"/>
  <c r="M31" i="1"/>
  <c r="H52" i="4" l="1"/>
  <c r="AF130" i="4"/>
  <c r="AG130" i="4" s="1"/>
  <c r="I130" i="4"/>
  <c r="D21" i="4"/>
  <c r="H35" i="4"/>
  <c r="V37" i="4"/>
  <c r="W37" i="4" s="1"/>
  <c r="AT37" i="4"/>
  <c r="AU37" i="4" s="1"/>
  <c r="AR37" i="4"/>
  <c r="AS37" i="4" s="1"/>
  <c r="AD48" i="4"/>
  <c r="AE48" i="4" s="1"/>
  <c r="AH48" i="4"/>
  <c r="AI48" i="4" s="1"/>
  <c r="H42" i="4"/>
  <c r="AV42" i="4" s="1"/>
  <c r="AW42" i="4" s="1"/>
  <c r="BZ42" i="4"/>
  <c r="CP42" i="4" s="1"/>
  <c r="CQ42" i="4" s="1"/>
  <c r="AN18" i="4"/>
  <c r="AO18" i="4" s="1"/>
  <c r="V18" i="4"/>
  <c r="W18" i="4" s="1"/>
  <c r="AF31" i="4"/>
  <c r="AG31" i="4" s="1"/>
  <c r="AL31" i="4"/>
  <c r="AM31" i="4" s="1"/>
  <c r="AR31" i="4"/>
  <c r="AS31" i="4" s="1"/>
  <c r="BY18" i="4"/>
  <c r="BZ18" i="4" s="1"/>
  <c r="FD59" i="4"/>
  <c r="FE59" i="4" s="1"/>
  <c r="GB59" i="4"/>
  <c r="GC59" i="4" s="1"/>
  <c r="EZ59" i="4"/>
  <c r="FA59" i="4" s="1"/>
  <c r="AT153" i="4"/>
  <c r="AU153" i="4" s="1"/>
  <c r="AP153" i="4"/>
  <c r="AQ153" i="4" s="1"/>
  <c r="AH153" i="4"/>
  <c r="AI153" i="4" s="1"/>
  <c r="Z153" i="4"/>
  <c r="AA153" i="4" s="1"/>
  <c r="V153" i="4"/>
  <c r="W153" i="4" s="1"/>
  <c r="P153" i="4"/>
  <c r="Q153" i="4" s="1"/>
  <c r="X153" i="4"/>
  <c r="Y153" i="4" s="1"/>
  <c r="N153" i="4"/>
  <c r="O153" i="4" s="1"/>
  <c r="AV153" i="4"/>
  <c r="AW153" i="4" s="1"/>
  <c r="AR153" i="4"/>
  <c r="AS153" i="4" s="1"/>
  <c r="AN153" i="4"/>
  <c r="AO153" i="4" s="1"/>
  <c r="AF153" i="4"/>
  <c r="AG153" i="4" s="1"/>
  <c r="L153" i="4"/>
  <c r="M153" i="4" s="1"/>
  <c r="AB153" i="4"/>
  <c r="AC153" i="4" s="1"/>
  <c r="J153" i="4"/>
  <c r="K153" i="4" s="1"/>
  <c r="AX153" i="4"/>
  <c r="AY153" i="4" s="1"/>
  <c r="AL153" i="4"/>
  <c r="AM153" i="4" s="1"/>
  <c r="AJ153" i="4"/>
  <c r="AK153" i="4" s="1"/>
  <c r="AD153" i="4"/>
  <c r="AE153" i="4" s="1"/>
  <c r="R153" i="4"/>
  <c r="S153" i="4" s="1"/>
  <c r="T153" i="4"/>
  <c r="U153" i="4" s="1"/>
  <c r="I153" i="4"/>
  <c r="BY153" i="4"/>
  <c r="H69" i="4"/>
  <c r="AL69" i="4" s="1"/>
  <c r="AM69" i="4" s="1"/>
  <c r="BZ125" i="4"/>
  <c r="H122" i="4"/>
  <c r="GB118" i="4"/>
  <c r="GC118" i="4" s="1"/>
  <c r="FD118" i="4"/>
  <c r="FE118" i="4" s="1"/>
  <c r="EZ118" i="4"/>
  <c r="FA118" i="4" s="1"/>
  <c r="I152" i="4"/>
  <c r="P152" i="4"/>
  <c r="Q152" i="4" s="1"/>
  <c r="T152" i="4"/>
  <c r="U152" i="4" s="1"/>
  <c r="V152" i="4"/>
  <c r="W152" i="4" s="1"/>
  <c r="AH152" i="4"/>
  <c r="AI152" i="4" s="1"/>
  <c r="AL152" i="4"/>
  <c r="AM152" i="4" s="1"/>
  <c r="AN152" i="4"/>
  <c r="AO152" i="4" s="1"/>
  <c r="R152" i="4"/>
  <c r="S152" i="4" s="1"/>
  <c r="AB152" i="4"/>
  <c r="AC152" i="4" s="1"/>
  <c r="AJ152" i="4"/>
  <c r="AK152" i="4" s="1"/>
  <c r="AT152" i="4"/>
  <c r="AU152" i="4" s="1"/>
  <c r="L152" i="4"/>
  <c r="M152" i="4" s="1"/>
  <c r="X152" i="4"/>
  <c r="Y152" i="4" s="1"/>
  <c r="Z152" i="4"/>
  <c r="AA152" i="4" s="1"/>
  <c r="AD152" i="4"/>
  <c r="AE152" i="4" s="1"/>
  <c r="AP152" i="4"/>
  <c r="AQ152" i="4" s="1"/>
  <c r="AR152" i="4"/>
  <c r="AS152" i="4" s="1"/>
  <c r="H151" i="4"/>
  <c r="FJ143" i="4"/>
  <c r="FK143" i="4" s="1"/>
  <c r="V130" i="4"/>
  <c r="W130" i="4" s="1"/>
  <c r="AJ130" i="4"/>
  <c r="AK130" i="4" s="1"/>
  <c r="AN130" i="4"/>
  <c r="AO130" i="4" s="1"/>
  <c r="AP130" i="4"/>
  <c r="AQ130" i="4" s="1"/>
  <c r="T130" i="4"/>
  <c r="U130" i="4" s="1"/>
  <c r="X131" i="4"/>
  <c r="Y131" i="4" s="1"/>
  <c r="T131" i="4"/>
  <c r="U131" i="4" s="1"/>
  <c r="AF131" i="4"/>
  <c r="AG131" i="4" s="1"/>
  <c r="G23" i="4"/>
  <c r="BY23" i="4" s="1"/>
  <c r="EQ23" i="4" s="1"/>
  <c r="ER23" i="4" s="1"/>
  <c r="FX23" i="4" s="1"/>
  <c r="FY23" i="4" s="1"/>
  <c r="J124" i="4"/>
  <c r="K124" i="4" s="1"/>
  <c r="I124" i="4"/>
  <c r="AP124" i="4"/>
  <c r="AQ124" i="4" s="1"/>
  <c r="Z124" i="4"/>
  <c r="AA124" i="4" s="1"/>
  <c r="AH124" i="4"/>
  <c r="AI124" i="4" s="1"/>
  <c r="R124" i="4"/>
  <c r="S124" i="4" s="1"/>
  <c r="ET123" i="4"/>
  <c r="EU123" i="4" s="1"/>
  <c r="T121" i="4"/>
  <c r="U121" i="4" s="1"/>
  <c r="FF123" i="4"/>
  <c r="FG123" i="4" s="1"/>
  <c r="FV123" i="4"/>
  <c r="FW123" i="4" s="1"/>
  <c r="BY124" i="4"/>
  <c r="BZ123" i="4"/>
  <c r="EX120" i="4"/>
  <c r="EY120" i="4" s="1"/>
  <c r="EX123" i="4"/>
  <c r="EY123" i="4" s="1"/>
  <c r="FN123" i="4"/>
  <c r="FO123" i="4" s="1"/>
  <c r="FJ123" i="4"/>
  <c r="FK123" i="4" s="1"/>
  <c r="H123" i="4"/>
  <c r="FB123" i="4"/>
  <c r="FC123" i="4" s="1"/>
  <c r="FR123" i="4"/>
  <c r="FS123" i="4" s="1"/>
  <c r="AL85" i="4"/>
  <c r="AM85" i="4" s="1"/>
  <c r="AH85" i="4"/>
  <c r="AI85" i="4" s="1"/>
  <c r="Z85" i="4"/>
  <c r="AA85" i="4" s="1"/>
  <c r="P85" i="4"/>
  <c r="Q85" i="4" s="1"/>
  <c r="I85" i="4"/>
  <c r="AP85" i="4"/>
  <c r="AQ85" i="4" s="1"/>
  <c r="X85" i="4"/>
  <c r="Y85" i="4" s="1"/>
  <c r="V85" i="4"/>
  <c r="W85" i="4" s="1"/>
  <c r="R85" i="4"/>
  <c r="S85" i="4" s="1"/>
  <c r="N85" i="4"/>
  <c r="O85" i="4" s="1"/>
  <c r="AJ85" i="4"/>
  <c r="AK85" i="4" s="1"/>
  <c r="AR85" i="4"/>
  <c r="AS85" i="4" s="1"/>
  <c r="AN85" i="4"/>
  <c r="AO85" i="4" s="1"/>
  <c r="AD85" i="4"/>
  <c r="AE85" i="4" s="1"/>
  <c r="T85" i="4"/>
  <c r="U85" i="4" s="1"/>
  <c r="J85" i="4"/>
  <c r="K85" i="4" s="1"/>
  <c r="AF85" i="4"/>
  <c r="AG85" i="4" s="1"/>
  <c r="L85" i="4"/>
  <c r="M85" i="4" s="1"/>
  <c r="EQ79" i="4"/>
  <c r="ER79" i="4" s="1"/>
  <c r="FH79" i="4" s="1"/>
  <c r="FI79" i="4" s="1"/>
  <c r="BZ79" i="4"/>
  <c r="CF79" i="4" s="1"/>
  <c r="CG79" i="4" s="1"/>
  <c r="I79" i="4"/>
  <c r="J86" i="4"/>
  <c r="K86" i="4" s="1"/>
  <c r="Z86" i="4"/>
  <c r="AA86" i="4" s="1"/>
  <c r="AB70" i="4"/>
  <c r="AC70" i="4" s="1"/>
  <c r="AR73" i="4"/>
  <c r="AS73" i="4" s="1"/>
  <c r="H83" i="4"/>
  <c r="R83" i="4" s="1"/>
  <c r="S83" i="4" s="1"/>
  <c r="H87" i="4"/>
  <c r="CN77" i="4"/>
  <c r="CO77" i="4" s="1"/>
  <c r="ET77" i="4"/>
  <c r="EU77" i="4" s="1"/>
  <c r="FR80" i="4"/>
  <c r="FS80" i="4" s="1"/>
  <c r="GB80" i="4"/>
  <c r="GC80" i="4" s="1"/>
  <c r="GH84" i="4"/>
  <c r="GI84" i="4" s="1"/>
  <c r="BY85" i="4"/>
  <c r="I73" i="4"/>
  <c r="L70" i="4"/>
  <c r="M70" i="4" s="1"/>
  <c r="J79" i="4"/>
  <c r="K79" i="4" s="1"/>
  <c r="X70" i="4"/>
  <c r="Y70" i="4" s="1"/>
  <c r="AR79" i="4"/>
  <c r="AS79" i="4" s="1"/>
  <c r="AT86" i="4"/>
  <c r="AU86" i="4" s="1"/>
  <c r="H78" i="4"/>
  <c r="DL77" i="4"/>
  <c r="DM77" i="4" s="1"/>
  <c r="GH80" i="4"/>
  <c r="GI80" i="4" s="1"/>
  <c r="L65" i="4"/>
  <c r="M65" i="4" s="1"/>
  <c r="L79" i="4"/>
  <c r="M79" i="4" s="1"/>
  <c r="H84" i="4"/>
  <c r="BZ84" i="4"/>
  <c r="BZ87" i="4"/>
  <c r="R50" i="4"/>
  <c r="S50" i="4" s="1"/>
  <c r="T50" i="4"/>
  <c r="U50" i="4" s="1"/>
  <c r="V50" i="4"/>
  <c r="W50" i="4" s="1"/>
  <c r="AH51" i="4"/>
  <c r="AI51" i="4" s="1"/>
  <c r="AT50" i="4"/>
  <c r="AU50" i="4" s="1"/>
  <c r="AX50" i="4"/>
  <c r="AY50" i="4" s="1"/>
  <c r="CN37" i="4"/>
  <c r="CO37" i="4" s="1"/>
  <c r="L36" i="4"/>
  <c r="M36" i="4" s="1"/>
  <c r="N50" i="4"/>
  <c r="O50" i="4" s="1"/>
  <c r="R51" i="4"/>
  <c r="S51" i="4" s="1"/>
  <c r="T51" i="4"/>
  <c r="U51" i="4" s="1"/>
  <c r="V51" i="4"/>
  <c r="W51" i="4" s="1"/>
  <c r="Z50" i="4"/>
  <c r="AA50" i="4" s="1"/>
  <c r="AB50" i="4"/>
  <c r="AC50" i="4" s="1"/>
  <c r="AD50" i="4"/>
  <c r="AE50" i="4" s="1"/>
  <c r="AF51" i="4"/>
  <c r="AG51" i="4" s="1"/>
  <c r="AJ50" i="4"/>
  <c r="AK50" i="4" s="1"/>
  <c r="AL50" i="4"/>
  <c r="AM50" i="4" s="1"/>
  <c r="AN36" i="4"/>
  <c r="AO36" i="4" s="1"/>
  <c r="AT51" i="4"/>
  <c r="AU51" i="4" s="1"/>
  <c r="AV50" i="4"/>
  <c r="AW50" i="4" s="1"/>
  <c r="H40" i="4"/>
  <c r="Z40" i="4" s="1"/>
  <c r="AA40" i="4" s="1"/>
  <c r="CH42" i="4"/>
  <c r="CI42" i="4" s="1"/>
  <c r="DN42" i="4"/>
  <c r="DO42" i="4" s="1"/>
  <c r="BZ50" i="4"/>
  <c r="L51" i="4"/>
  <c r="M51" i="4" s="1"/>
  <c r="P51" i="4"/>
  <c r="Q51" i="4" s="1"/>
  <c r="AF50" i="4"/>
  <c r="AG50" i="4" s="1"/>
  <c r="AR51" i="4"/>
  <c r="AS51" i="4" s="1"/>
  <c r="AX51" i="4"/>
  <c r="AY51" i="4" s="1"/>
  <c r="I50" i="4"/>
  <c r="J50" i="4"/>
  <c r="K50" i="4" s="1"/>
  <c r="N51" i="4"/>
  <c r="O51" i="4" s="1"/>
  <c r="X50" i="4"/>
  <c r="Y50" i="4" s="1"/>
  <c r="Z51" i="4"/>
  <c r="AA51" i="4" s="1"/>
  <c r="AB51" i="4"/>
  <c r="AC51" i="4" s="1"/>
  <c r="AD51" i="4"/>
  <c r="AE51" i="4" s="1"/>
  <c r="AJ51" i="4"/>
  <c r="AK51" i="4" s="1"/>
  <c r="AL51" i="4"/>
  <c r="AM51" i="4" s="1"/>
  <c r="AN50" i="4"/>
  <c r="AO50" i="4" s="1"/>
  <c r="BZ51" i="4"/>
  <c r="CN51" i="4" s="1"/>
  <c r="CO51" i="4" s="1"/>
  <c r="GH51" i="4"/>
  <c r="GI51" i="4" s="1"/>
  <c r="AB35" i="4"/>
  <c r="AC35" i="4" s="1"/>
  <c r="AD35" i="4"/>
  <c r="AE35" i="4" s="1"/>
  <c r="AF35" i="4"/>
  <c r="AG35" i="4" s="1"/>
  <c r="P35" i="4"/>
  <c r="Q35" i="4" s="1"/>
  <c r="Z42" i="4"/>
  <c r="AA42" i="4" s="1"/>
  <c r="DH37" i="4"/>
  <c r="DI37" i="4" s="1"/>
  <c r="CF37" i="4"/>
  <c r="CG37" i="4" s="1"/>
  <c r="I36" i="4"/>
  <c r="AF36" i="4"/>
  <c r="AG36" i="4" s="1"/>
  <c r="N36" i="4"/>
  <c r="O36" i="4" s="1"/>
  <c r="AP36" i="4"/>
  <c r="AQ36" i="4" s="1"/>
  <c r="L35" i="4"/>
  <c r="M35" i="4" s="1"/>
  <c r="Z35" i="4"/>
  <c r="AA35" i="4" s="1"/>
  <c r="AH35" i="4"/>
  <c r="AI35" i="4" s="1"/>
  <c r="AL35" i="4"/>
  <c r="AM35" i="4" s="1"/>
  <c r="AV35" i="4"/>
  <c r="AW35" i="4" s="1"/>
  <c r="R35" i="4"/>
  <c r="S35" i="4" s="1"/>
  <c r="T35" i="4"/>
  <c r="U35" i="4" s="1"/>
  <c r="AP35" i="4"/>
  <c r="AQ35" i="4" s="1"/>
  <c r="AT35" i="4"/>
  <c r="AU35" i="4" s="1"/>
  <c r="J35" i="4"/>
  <c r="K35" i="4" s="1"/>
  <c r="N35" i="4"/>
  <c r="O35" i="4" s="1"/>
  <c r="V35" i="4"/>
  <c r="W35" i="4" s="1"/>
  <c r="X35" i="4"/>
  <c r="Y35" i="4" s="1"/>
  <c r="AJ35" i="4"/>
  <c r="AK35" i="4" s="1"/>
  <c r="AN35" i="4"/>
  <c r="AO35" i="4" s="1"/>
  <c r="AR35" i="4"/>
  <c r="AS35" i="4" s="1"/>
  <c r="H34" i="4"/>
  <c r="G155" i="4"/>
  <c r="BY155" i="4" s="1"/>
  <c r="EQ155" i="4" s="1"/>
  <c r="ER155" i="4" s="1"/>
  <c r="BZ72" i="4"/>
  <c r="DN72" i="4" s="1"/>
  <c r="DO72" i="4" s="1"/>
  <c r="H72" i="4"/>
  <c r="R72" i="4" s="1"/>
  <c r="S72" i="4" s="1"/>
  <c r="I65" i="4"/>
  <c r="J65" i="4"/>
  <c r="K65" i="4" s="1"/>
  <c r="P65" i="4"/>
  <c r="Q65" i="4" s="1"/>
  <c r="R65" i="4"/>
  <c r="S65" i="4" s="1"/>
  <c r="T65" i="4"/>
  <c r="U65" i="4" s="1"/>
  <c r="Z65" i="4"/>
  <c r="AA65" i="4" s="1"/>
  <c r="AD65" i="4"/>
  <c r="AE65" i="4" s="1"/>
  <c r="AP65" i="4"/>
  <c r="AQ65" i="4" s="1"/>
  <c r="N65" i="4"/>
  <c r="O65" i="4" s="1"/>
  <c r="V65" i="4"/>
  <c r="W65" i="4" s="1"/>
  <c r="AB65" i="4"/>
  <c r="AC65" i="4" s="1"/>
  <c r="AH65" i="4"/>
  <c r="AI65" i="4" s="1"/>
  <c r="AJ65" i="4"/>
  <c r="AK65" i="4" s="1"/>
  <c r="AL65" i="4"/>
  <c r="AM65" i="4" s="1"/>
  <c r="AN65" i="4"/>
  <c r="AO65" i="4" s="1"/>
  <c r="H63" i="4"/>
  <c r="AN63" i="4" s="1"/>
  <c r="AO63" i="4" s="1"/>
  <c r="L131" i="4"/>
  <c r="M131" i="4" s="1"/>
  <c r="AN131" i="4"/>
  <c r="AO131" i="4" s="1"/>
  <c r="AR131" i="4"/>
  <c r="AS131" i="4" s="1"/>
  <c r="AT131" i="4"/>
  <c r="AU131" i="4" s="1"/>
  <c r="AV131" i="4"/>
  <c r="AW131" i="4" s="1"/>
  <c r="I131" i="4"/>
  <c r="EQ130" i="4"/>
  <c r="ER130" i="4" s="1"/>
  <c r="FZ130" i="4" s="1"/>
  <c r="GA130" i="4" s="1"/>
  <c r="BZ130" i="4"/>
  <c r="DB130" i="4" s="1"/>
  <c r="DC130" i="4" s="1"/>
  <c r="R130" i="4"/>
  <c r="S130" i="4" s="1"/>
  <c r="AR130" i="4"/>
  <c r="AS130" i="4" s="1"/>
  <c r="L130" i="4"/>
  <c r="M130" i="4" s="1"/>
  <c r="P130" i="4"/>
  <c r="Q130" i="4" s="1"/>
  <c r="Z130" i="4"/>
  <c r="AA130" i="4" s="1"/>
  <c r="AB130" i="4"/>
  <c r="AC130" i="4" s="1"/>
  <c r="AD130" i="4"/>
  <c r="AE130" i="4" s="1"/>
  <c r="AV130" i="4"/>
  <c r="AW130" i="4" s="1"/>
  <c r="N130" i="4"/>
  <c r="O130" i="4" s="1"/>
  <c r="X130" i="4"/>
  <c r="Y130" i="4" s="1"/>
  <c r="AL130" i="4"/>
  <c r="AM130" i="4" s="1"/>
  <c r="AX130" i="4"/>
  <c r="AY130" i="4" s="1"/>
  <c r="J130" i="4"/>
  <c r="K130" i="4" s="1"/>
  <c r="AH130" i="4"/>
  <c r="AI130" i="4" s="1"/>
  <c r="H139" i="4"/>
  <c r="J131" i="4"/>
  <c r="K131" i="4" s="1"/>
  <c r="N131" i="4"/>
  <c r="O131" i="4" s="1"/>
  <c r="P131" i="4"/>
  <c r="Q131" i="4" s="1"/>
  <c r="R131" i="4"/>
  <c r="S131" i="4" s="1"/>
  <c r="Z131" i="4"/>
  <c r="AA131" i="4" s="1"/>
  <c r="AD131" i="4"/>
  <c r="AE131" i="4" s="1"/>
  <c r="V131" i="4"/>
  <c r="W131" i="4" s="1"/>
  <c r="AB131" i="4"/>
  <c r="AC131" i="4" s="1"/>
  <c r="AH131" i="4"/>
  <c r="AI131" i="4" s="1"/>
  <c r="AJ131" i="4"/>
  <c r="AK131" i="4" s="1"/>
  <c r="AP131" i="4"/>
  <c r="AQ131" i="4" s="1"/>
  <c r="CF125" i="4"/>
  <c r="CG125" i="4" s="1"/>
  <c r="CN125" i="4"/>
  <c r="CO125" i="4" s="1"/>
  <c r="CV125" i="4"/>
  <c r="CW125" i="4" s="1"/>
  <c r="DD125" i="4"/>
  <c r="DE125" i="4" s="1"/>
  <c r="DL125" i="4"/>
  <c r="DM125" i="4" s="1"/>
  <c r="CB125" i="4"/>
  <c r="CC125" i="4" s="1"/>
  <c r="CJ125" i="4"/>
  <c r="CK125" i="4" s="1"/>
  <c r="CR125" i="4"/>
  <c r="CS125" i="4" s="1"/>
  <c r="CZ125" i="4"/>
  <c r="DA125" i="4" s="1"/>
  <c r="DH125" i="4"/>
  <c r="DI125" i="4" s="1"/>
  <c r="DP125" i="4"/>
  <c r="DQ125" i="4" s="1"/>
  <c r="CD125" i="4"/>
  <c r="CE125" i="4" s="1"/>
  <c r="CL125" i="4"/>
  <c r="CM125" i="4" s="1"/>
  <c r="CT125" i="4"/>
  <c r="CU125" i="4" s="1"/>
  <c r="DB125" i="4"/>
  <c r="DC125" i="4" s="1"/>
  <c r="GB125" i="4"/>
  <c r="GC125" i="4" s="1"/>
  <c r="L143" i="4"/>
  <c r="M143" i="4" s="1"/>
  <c r="R143" i="4"/>
  <c r="S143" i="4" s="1"/>
  <c r="V143" i="4"/>
  <c r="W143" i="4" s="1"/>
  <c r="X143" i="4"/>
  <c r="Y143" i="4" s="1"/>
  <c r="Z143" i="4"/>
  <c r="AA143" i="4" s="1"/>
  <c r="AJ143" i="4"/>
  <c r="AK143" i="4" s="1"/>
  <c r="AL143" i="4"/>
  <c r="AM143" i="4" s="1"/>
  <c r="AN143" i="4"/>
  <c r="AO143" i="4" s="1"/>
  <c r="I143" i="4"/>
  <c r="J143" i="4"/>
  <c r="K143" i="4" s="1"/>
  <c r="N143" i="4"/>
  <c r="O143" i="4" s="1"/>
  <c r="T143" i="4"/>
  <c r="U143" i="4" s="1"/>
  <c r="AF143" i="4"/>
  <c r="AG143" i="4" s="1"/>
  <c r="AP143" i="4"/>
  <c r="AQ143" i="4" s="1"/>
  <c r="AR143" i="4"/>
  <c r="AS143" i="4" s="1"/>
  <c r="EX143" i="4"/>
  <c r="EY143" i="4" s="1"/>
  <c r="FN143" i="4"/>
  <c r="FO143" i="4" s="1"/>
  <c r="GD143" i="4"/>
  <c r="GE143" i="4" s="1"/>
  <c r="P143" i="4"/>
  <c r="Q143" i="4" s="1"/>
  <c r="AB143" i="4"/>
  <c r="AC143" i="4" s="1"/>
  <c r="AD143" i="4"/>
  <c r="AE143" i="4" s="1"/>
  <c r="AH143" i="4"/>
  <c r="AI143" i="4" s="1"/>
  <c r="AV143" i="4"/>
  <c r="AW143" i="4" s="1"/>
  <c r="DN143" i="4"/>
  <c r="DO143" i="4" s="1"/>
  <c r="FB143" i="4"/>
  <c r="FC143" i="4" s="1"/>
  <c r="FR143" i="4"/>
  <c r="FS143" i="4" s="1"/>
  <c r="FP92" i="4"/>
  <c r="FQ92" i="4" s="1"/>
  <c r="EZ92" i="4"/>
  <c r="FA92" i="4" s="1"/>
  <c r="H92" i="4"/>
  <c r="BZ92" i="4"/>
  <c r="FF92" i="4"/>
  <c r="FG92" i="4" s="1"/>
  <c r="H88" i="4"/>
  <c r="N88" i="4" s="1"/>
  <c r="O88" i="4" s="1"/>
  <c r="BZ88" i="4"/>
  <c r="CJ88" i="4" s="1"/>
  <c r="CK88" i="4" s="1"/>
  <c r="GB68" i="4"/>
  <c r="GC68" i="4" s="1"/>
  <c r="GF68" i="4"/>
  <c r="GG68" i="4" s="1"/>
  <c r="FH68" i="4"/>
  <c r="FI68" i="4" s="1"/>
  <c r="FX68" i="4"/>
  <c r="FY68" i="4" s="1"/>
  <c r="FD68" i="4"/>
  <c r="FE68" i="4" s="1"/>
  <c r="EZ68" i="4"/>
  <c r="FA68" i="4" s="1"/>
  <c r="FP68" i="4"/>
  <c r="FQ68" i="4" s="1"/>
  <c r="ES68" i="4"/>
  <c r="FT68" i="4"/>
  <c r="FU68" i="4" s="1"/>
  <c r="J67" i="4"/>
  <c r="K67" i="4" s="1"/>
  <c r="I67" i="4"/>
  <c r="R67" i="4"/>
  <c r="S67" i="4" s="1"/>
  <c r="AN67" i="4"/>
  <c r="AO67" i="4" s="1"/>
  <c r="I69" i="4"/>
  <c r="L80" i="4"/>
  <c r="M80" i="4" s="1"/>
  <c r="N73" i="4"/>
  <c r="O73" i="4" s="1"/>
  <c r="P73" i="4"/>
  <c r="Q73" i="4" s="1"/>
  <c r="R73" i="4"/>
  <c r="S73" i="4" s="1"/>
  <c r="T73" i="4"/>
  <c r="U73" i="4" s="1"/>
  <c r="V73" i="4"/>
  <c r="W73" i="4" s="1"/>
  <c r="X69" i="4"/>
  <c r="Y69" i="4" s="1"/>
  <c r="AD69" i="4"/>
  <c r="AE69" i="4" s="1"/>
  <c r="AD83" i="4"/>
  <c r="AE83" i="4" s="1"/>
  <c r="AJ73" i="4"/>
  <c r="AK73" i="4" s="1"/>
  <c r="AT80" i="4"/>
  <c r="AU80" i="4" s="1"/>
  <c r="H66" i="4"/>
  <c r="J66" i="4" s="1"/>
  <c r="K66" i="4" s="1"/>
  <c r="BZ68" i="4"/>
  <c r="CF73" i="4"/>
  <c r="CG73" i="4" s="1"/>
  <c r="BZ83" i="4"/>
  <c r="DP83" i="4" s="1"/>
  <c r="DQ83" i="4" s="1"/>
  <c r="BY67" i="4"/>
  <c r="FB77" i="4"/>
  <c r="FC77" i="4" s="1"/>
  <c r="FN80" i="4"/>
  <c r="FO80" i="4" s="1"/>
  <c r="FV80" i="4"/>
  <c r="FW80" i="4" s="1"/>
  <c r="FJ84" i="4"/>
  <c r="FK84" i="4" s="1"/>
  <c r="J73" i="4"/>
  <c r="K73" i="4" s="1"/>
  <c r="X73" i="4"/>
  <c r="Y73" i="4" s="1"/>
  <c r="AF69" i="4"/>
  <c r="AG69" i="4" s="1"/>
  <c r="AH73" i="4"/>
  <c r="AI73" i="4" s="1"/>
  <c r="AN73" i="4"/>
  <c r="AO73" i="4" s="1"/>
  <c r="AP73" i="4"/>
  <c r="AQ73" i="4" s="1"/>
  <c r="H68" i="4"/>
  <c r="P68" i="4" s="1"/>
  <c r="Q68" i="4" s="1"/>
  <c r="BZ75" i="4"/>
  <c r="DB75" i="4" s="1"/>
  <c r="DC75" i="4" s="1"/>
  <c r="FL73" i="4"/>
  <c r="FM73" i="4" s="1"/>
  <c r="FV77" i="4"/>
  <c r="FW77" i="4" s="1"/>
  <c r="J69" i="4"/>
  <c r="K69" i="4" s="1"/>
  <c r="L73" i="4"/>
  <c r="M73" i="4" s="1"/>
  <c r="J80" i="4"/>
  <c r="K80" i="4" s="1"/>
  <c r="N69" i="4"/>
  <c r="O69" i="4" s="1"/>
  <c r="P69" i="4"/>
  <c r="Q69" i="4" s="1"/>
  <c r="T69" i="4"/>
  <c r="U69" i="4" s="1"/>
  <c r="V69" i="4"/>
  <c r="W69" i="4" s="1"/>
  <c r="V83" i="4"/>
  <c r="W83" i="4" s="1"/>
  <c r="Z73" i="4"/>
  <c r="AA73" i="4" s="1"/>
  <c r="Z83" i="4"/>
  <c r="AA83" i="4" s="1"/>
  <c r="AB69" i="4"/>
  <c r="AC69" i="4" s="1"/>
  <c r="AF73" i="4"/>
  <c r="AG73" i="4" s="1"/>
  <c r="H75" i="4"/>
  <c r="AN75" i="4" s="1"/>
  <c r="AO75" i="4" s="1"/>
  <c r="I48" i="4"/>
  <c r="J36" i="4"/>
  <c r="K36" i="4" s="1"/>
  <c r="N48" i="4"/>
  <c r="O48" i="4" s="1"/>
  <c r="P36" i="4"/>
  <c r="Q36" i="4" s="1"/>
  <c r="R48" i="4"/>
  <c r="S48" i="4" s="1"/>
  <c r="T36" i="4"/>
  <c r="U36" i="4" s="1"/>
  <c r="T48" i="4"/>
  <c r="U48" i="4" s="1"/>
  <c r="V36" i="4"/>
  <c r="W36" i="4" s="1"/>
  <c r="X37" i="4"/>
  <c r="Y37" i="4" s="1"/>
  <c r="AB36" i="4"/>
  <c r="AC36" i="4" s="1"/>
  <c r="AF42" i="4"/>
  <c r="AG42" i="4" s="1"/>
  <c r="AH37" i="4"/>
  <c r="AI37" i="4" s="1"/>
  <c r="AJ36" i="4"/>
  <c r="AK36" i="4" s="1"/>
  <c r="AL36" i="4"/>
  <c r="AM36" i="4" s="1"/>
  <c r="AR36" i="4"/>
  <c r="AS36" i="4" s="1"/>
  <c r="AT36" i="4"/>
  <c r="AU36" i="4" s="1"/>
  <c r="AV37" i="4"/>
  <c r="AW37" i="4" s="1"/>
  <c r="CD37" i="4"/>
  <c r="CE37" i="4" s="1"/>
  <c r="CL37" i="4"/>
  <c r="CM37" i="4" s="1"/>
  <c r="CX37" i="4"/>
  <c r="CY37" i="4" s="1"/>
  <c r="I37" i="4"/>
  <c r="L37" i="4"/>
  <c r="M37" i="4" s="1"/>
  <c r="J48" i="4"/>
  <c r="K48" i="4" s="1"/>
  <c r="N37" i="4"/>
  <c r="O37" i="4" s="1"/>
  <c r="P48" i="4"/>
  <c r="Q48" i="4" s="1"/>
  <c r="R36" i="4"/>
  <c r="S36" i="4" s="1"/>
  <c r="V48" i="4"/>
  <c r="W48" i="4" s="1"/>
  <c r="X48" i="4"/>
  <c r="Y48" i="4" s="1"/>
  <c r="Z36" i="4"/>
  <c r="AA36" i="4" s="1"/>
  <c r="Z48" i="4"/>
  <c r="AA48" i="4" s="1"/>
  <c r="AB48" i="4"/>
  <c r="AC48" i="4" s="1"/>
  <c r="AD36" i="4"/>
  <c r="AE36" i="4" s="1"/>
  <c r="AF37" i="4"/>
  <c r="AG37" i="4" s="1"/>
  <c r="AJ48" i="4"/>
  <c r="AK48" i="4" s="1"/>
  <c r="AN37" i="4"/>
  <c r="AO37" i="4" s="1"/>
  <c r="AP37" i="4"/>
  <c r="AQ37" i="4" s="1"/>
  <c r="AR48" i="4"/>
  <c r="AS48" i="4" s="1"/>
  <c r="AT48" i="4"/>
  <c r="AU48" i="4" s="1"/>
  <c r="AV48" i="4"/>
  <c r="AW48" i="4" s="1"/>
  <c r="AX37" i="4"/>
  <c r="AY37" i="4" s="1"/>
  <c r="AX48" i="4"/>
  <c r="AY48" i="4" s="1"/>
  <c r="CA37" i="4"/>
  <c r="CH37" i="4"/>
  <c r="CI37" i="4" s="1"/>
  <c r="CP37" i="4"/>
  <c r="CQ37" i="4" s="1"/>
  <c r="DL37" i="4"/>
  <c r="DM37" i="4" s="1"/>
  <c r="I42" i="4"/>
  <c r="L48" i="4"/>
  <c r="M48" i="4" s="1"/>
  <c r="N42" i="4"/>
  <c r="O42" i="4" s="1"/>
  <c r="R37" i="4"/>
  <c r="S37" i="4" s="1"/>
  <c r="T42" i="4"/>
  <c r="U42" i="4" s="1"/>
  <c r="X36" i="4"/>
  <c r="Y36" i="4" s="1"/>
  <c r="Z37" i="4"/>
  <c r="AA37" i="4" s="1"/>
  <c r="AH36" i="4"/>
  <c r="AI36" i="4" s="1"/>
  <c r="AL48" i="4"/>
  <c r="AM48" i="4" s="1"/>
  <c r="AN48" i="4"/>
  <c r="AO48" i="4" s="1"/>
  <c r="AV36" i="4"/>
  <c r="AW36" i="4" s="1"/>
  <c r="CB37" i="4"/>
  <c r="CC37" i="4" s="1"/>
  <c r="CJ37" i="4"/>
  <c r="CK37" i="4" s="1"/>
  <c r="CV37" i="4"/>
  <c r="CW37" i="4" s="1"/>
  <c r="CT37" i="4"/>
  <c r="CU37" i="4" s="1"/>
  <c r="DD37" i="4"/>
  <c r="DE37" i="4" s="1"/>
  <c r="CF51" i="4"/>
  <c r="CG51" i="4" s="1"/>
  <c r="CV51" i="4"/>
  <c r="CW51" i="4" s="1"/>
  <c r="DL51" i="4"/>
  <c r="DM51" i="4" s="1"/>
  <c r="FF51" i="4"/>
  <c r="FG51" i="4" s="1"/>
  <c r="BZ48" i="4"/>
  <c r="CV48" i="4" s="1"/>
  <c r="CW48" i="4" s="1"/>
  <c r="CJ51" i="4"/>
  <c r="CK51" i="4" s="1"/>
  <c r="CZ51" i="4"/>
  <c r="DA51" i="4" s="1"/>
  <c r="DP51" i="4"/>
  <c r="DQ51" i="4" s="1"/>
  <c r="FF37" i="4"/>
  <c r="FG37" i="4" s="1"/>
  <c r="H49" i="4"/>
  <c r="CR37" i="4"/>
  <c r="CS37" i="4" s="1"/>
  <c r="CZ37" i="4"/>
  <c r="DA37" i="4" s="1"/>
  <c r="DP37" i="4"/>
  <c r="DQ37" i="4" s="1"/>
  <c r="BZ43" i="4"/>
  <c r="CX43" i="4" s="1"/>
  <c r="CY43" i="4" s="1"/>
  <c r="BZ49" i="4"/>
  <c r="CD51" i="4"/>
  <c r="CE51" i="4" s="1"/>
  <c r="CT51" i="4"/>
  <c r="CU51" i="4" s="1"/>
  <c r="FB51" i="4"/>
  <c r="FC51" i="4" s="1"/>
  <c r="AX45" i="4"/>
  <c r="AY45" i="4" s="1"/>
  <c r="AR45" i="4"/>
  <c r="AS45" i="4" s="1"/>
  <c r="AJ45" i="4"/>
  <c r="AK45" i="4" s="1"/>
  <c r="V45" i="4"/>
  <c r="W45" i="4" s="1"/>
  <c r="P45" i="4"/>
  <c r="Q45" i="4" s="1"/>
  <c r="J45" i="4"/>
  <c r="K45" i="4" s="1"/>
  <c r="X45" i="4"/>
  <c r="Y45" i="4" s="1"/>
  <c r="R45" i="4"/>
  <c r="S45" i="4" s="1"/>
  <c r="AH45" i="4"/>
  <c r="AI45" i="4" s="1"/>
  <c r="AF45" i="4"/>
  <c r="AG45" i="4" s="1"/>
  <c r="AB45" i="4"/>
  <c r="AC45" i="4" s="1"/>
  <c r="Z45" i="4"/>
  <c r="AA45" i="4" s="1"/>
  <c r="AV45" i="4"/>
  <c r="AW45" i="4" s="1"/>
  <c r="AT45" i="4"/>
  <c r="AU45" i="4" s="1"/>
  <c r="AP45" i="4"/>
  <c r="AQ45" i="4" s="1"/>
  <c r="AN45" i="4"/>
  <c r="AO45" i="4" s="1"/>
  <c r="AL45" i="4"/>
  <c r="AM45" i="4" s="1"/>
  <c r="L45" i="4"/>
  <c r="M45" i="4" s="1"/>
  <c r="I45" i="4"/>
  <c r="AD45" i="4"/>
  <c r="AE45" i="4" s="1"/>
  <c r="T45" i="4"/>
  <c r="U45" i="4" s="1"/>
  <c r="N45" i="4"/>
  <c r="O45" i="4" s="1"/>
  <c r="AX46" i="4"/>
  <c r="AY46" i="4" s="1"/>
  <c r="AH46" i="4"/>
  <c r="AI46" i="4" s="1"/>
  <c r="AF46" i="4"/>
  <c r="AG46" i="4" s="1"/>
  <c r="AB46" i="4"/>
  <c r="AC46" i="4" s="1"/>
  <c r="Z46" i="4"/>
  <c r="AA46" i="4" s="1"/>
  <c r="AV46" i="4"/>
  <c r="AW46" i="4" s="1"/>
  <c r="AT46" i="4"/>
  <c r="AU46" i="4" s="1"/>
  <c r="AP46" i="4"/>
  <c r="AQ46" i="4" s="1"/>
  <c r="AD46" i="4"/>
  <c r="AE46" i="4" s="1"/>
  <c r="X46" i="4"/>
  <c r="Y46" i="4" s="1"/>
  <c r="T46" i="4"/>
  <c r="U46" i="4" s="1"/>
  <c r="R46" i="4"/>
  <c r="S46" i="4" s="1"/>
  <c r="N46" i="4"/>
  <c r="O46" i="4" s="1"/>
  <c r="AR46" i="4"/>
  <c r="AS46" i="4" s="1"/>
  <c r="AJ46" i="4"/>
  <c r="AK46" i="4" s="1"/>
  <c r="V46" i="4"/>
  <c r="W46" i="4" s="1"/>
  <c r="P46" i="4"/>
  <c r="Q46" i="4" s="1"/>
  <c r="J46" i="4"/>
  <c r="K46" i="4" s="1"/>
  <c r="AN46" i="4"/>
  <c r="AO46" i="4" s="1"/>
  <c r="AL46" i="4"/>
  <c r="AM46" i="4" s="1"/>
  <c r="L46" i="4"/>
  <c r="M46" i="4" s="1"/>
  <c r="I46" i="4"/>
  <c r="X53" i="4"/>
  <c r="Y53" i="4" s="1"/>
  <c r="AD53" i="4"/>
  <c r="AE53" i="4" s="1"/>
  <c r="H39" i="4"/>
  <c r="BY45" i="4"/>
  <c r="BY46" i="4"/>
  <c r="FV51" i="4"/>
  <c r="FW51" i="4" s="1"/>
  <c r="V53" i="4"/>
  <c r="W53" i="4" s="1"/>
  <c r="CD43" i="4"/>
  <c r="CE43" i="4" s="1"/>
  <c r="FN37" i="4"/>
  <c r="FO37" i="4" s="1"/>
  <c r="H43" i="4"/>
  <c r="L43" i="4" s="1"/>
  <c r="M43" i="4" s="1"/>
  <c r="FR51" i="4"/>
  <c r="FS51" i="4" s="1"/>
  <c r="BZ53" i="4"/>
  <c r="DN53" i="4" s="1"/>
  <c r="DO53" i="4" s="1"/>
  <c r="FT49" i="4"/>
  <c r="FU49" i="4" s="1"/>
  <c r="FD49" i="4"/>
  <c r="FE49" i="4" s="1"/>
  <c r="EZ47" i="4"/>
  <c r="FA47" i="4" s="1"/>
  <c r="ET47" i="4"/>
  <c r="EU47" i="4" s="1"/>
  <c r="FD47" i="4"/>
  <c r="FE47" i="4" s="1"/>
  <c r="FJ47" i="4"/>
  <c r="FK47" i="4" s="1"/>
  <c r="GD47" i="4"/>
  <c r="GE47" i="4" s="1"/>
  <c r="H47" i="4"/>
  <c r="BZ47" i="4"/>
  <c r="EV47" i="4"/>
  <c r="EW47" i="4" s="1"/>
  <c r="FB47" i="4"/>
  <c r="FC47" i="4" s="1"/>
  <c r="FL47" i="4"/>
  <c r="FM47" i="4" s="1"/>
  <c r="FV47" i="4"/>
  <c r="FW47" i="4" s="1"/>
  <c r="FF47" i="4"/>
  <c r="FG47" i="4" s="1"/>
  <c r="FP47" i="4"/>
  <c r="FQ47" i="4" s="1"/>
  <c r="ES47" i="4"/>
  <c r="EX47" i="4"/>
  <c r="EY47" i="4" s="1"/>
  <c r="FH47" i="4"/>
  <c r="FI47" i="4" s="1"/>
  <c r="FN47" i="4"/>
  <c r="FO47" i="4" s="1"/>
  <c r="H44" i="4"/>
  <c r="AR44" i="4" s="1"/>
  <c r="AS44" i="4" s="1"/>
  <c r="AB42" i="4"/>
  <c r="AC42" i="4" s="1"/>
  <c r="AH42" i="4"/>
  <c r="AI42" i="4" s="1"/>
  <c r="AJ42" i="4"/>
  <c r="AK42" i="4" s="1"/>
  <c r="AL42" i="4"/>
  <c r="AM42" i="4" s="1"/>
  <c r="AR42" i="4"/>
  <c r="AS42" i="4" s="1"/>
  <c r="CF42" i="4"/>
  <c r="CG42" i="4" s="1"/>
  <c r="CN42" i="4"/>
  <c r="CO42" i="4" s="1"/>
  <c r="CV42" i="4"/>
  <c r="CW42" i="4" s="1"/>
  <c r="DD42" i="4"/>
  <c r="DE42" i="4" s="1"/>
  <c r="DL42" i="4"/>
  <c r="DM42" i="4" s="1"/>
  <c r="P42" i="4"/>
  <c r="Q42" i="4" s="1"/>
  <c r="V42" i="4"/>
  <c r="W42" i="4" s="1"/>
  <c r="X42" i="4"/>
  <c r="Y42" i="4" s="1"/>
  <c r="AD42" i="4"/>
  <c r="AE42" i="4" s="1"/>
  <c r="AP42" i="4"/>
  <c r="AQ42" i="4" s="1"/>
  <c r="AX42" i="4"/>
  <c r="AY42" i="4" s="1"/>
  <c r="CB42" i="4"/>
  <c r="CC42" i="4" s="1"/>
  <c r="CJ42" i="4"/>
  <c r="CK42" i="4" s="1"/>
  <c r="CR42" i="4"/>
  <c r="CS42" i="4" s="1"/>
  <c r="CZ42" i="4"/>
  <c r="DA42" i="4" s="1"/>
  <c r="DH42" i="4"/>
  <c r="DI42" i="4" s="1"/>
  <c r="DP42" i="4"/>
  <c r="DQ42" i="4" s="1"/>
  <c r="J42" i="4"/>
  <c r="K42" i="4" s="1"/>
  <c r="R42" i="4"/>
  <c r="S42" i="4" s="1"/>
  <c r="AN42" i="4"/>
  <c r="AO42" i="4" s="1"/>
  <c r="CD42" i="4"/>
  <c r="CE42" i="4" s="1"/>
  <c r="CL42" i="4"/>
  <c r="CM42" i="4" s="1"/>
  <c r="CT42" i="4"/>
  <c r="CU42" i="4" s="1"/>
  <c r="DB42" i="4"/>
  <c r="DC42" i="4" s="1"/>
  <c r="EQ41" i="4"/>
  <c r="ER41" i="4" s="1"/>
  <c r="GH41" i="4" s="1"/>
  <c r="GI41" i="4" s="1"/>
  <c r="BZ41" i="4"/>
  <c r="H41" i="4"/>
  <c r="EQ40" i="4"/>
  <c r="ER40" i="4" s="1"/>
  <c r="GD40" i="4" s="1"/>
  <c r="GE40" i="4" s="1"/>
  <c r="BZ40" i="4"/>
  <c r="L40" i="4"/>
  <c r="M40" i="4" s="1"/>
  <c r="AT40" i="4"/>
  <c r="AU40" i="4" s="1"/>
  <c r="AR38" i="4"/>
  <c r="AS38" i="4" s="1"/>
  <c r="AF38" i="4"/>
  <c r="AG38" i="4" s="1"/>
  <c r="X38" i="4"/>
  <c r="Y38" i="4" s="1"/>
  <c r="I38" i="4"/>
  <c r="AH38" i="4"/>
  <c r="AI38" i="4" s="1"/>
  <c r="N38" i="4"/>
  <c r="O38" i="4" s="1"/>
  <c r="AV38" i="4"/>
  <c r="AW38" i="4" s="1"/>
  <c r="AP38" i="4"/>
  <c r="AQ38" i="4" s="1"/>
  <c r="AL38" i="4"/>
  <c r="AM38" i="4" s="1"/>
  <c r="AD38" i="4"/>
  <c r="AE38" i="4" s="1"/>
  <c r="AB38" i="4"/>
  <c r="AC38" i="4" s="1"/>
  <c r="AT38" i="4"/>
  <c r="AU38" i="4" s="1"/>
  <c r="V38" i="4"/>
  <c r="W38" i="4" s="1"/>
  <c r="R38" i="4"/>
  <c r="S38" i="4" s="1"/>
  <c r="P38" i="4"/>
  <c r="Q38" i="4" s="1"/>
  <c r="AX38" i="4"/>
  <c r="AY38" i="4" s="1"/>
  <c r="AN38" i="4"/>
  <c r="AO38" i="4" s="1"/>
  <c r="AJ38" i="4"/>
  <c r="AK38" i="4" s="1"/>
  <c r="Z38" i="4"/>
  <c r="AA38" i="4" s="1"/>
  <c r="J38" i="4"/>
  <c r="K38" i="4" s="1"/>
  <c r="T38" i="4"/>
  <c r="U38" i="4" s="1"/>
  <c r="L38" i="4"/>
  <c r="M38" i="4" s="1"/>
  <c r="BY38" i="4"/>
  <c r="FV37" i="4"/>
  <c r="FW37" i="4" s="1"/>
  <c r="EX37" i="4"/>
  <c r="EY37" i="4" s="1"/>
  <c r="EQ36" i="4"/>
  <c r="ER36" i="4" s="1"/>
  <c r="GH36" i="4" s="1"/>
  <c r="GI36" i="4" s="1"/>
  <c r="BZ36" i="4"/>
  <c r="FJ88" i="4"/>
  <c r="FK88" i="4" s="1"/>
  <c r="AJ75" i="4"/>
  <c r="AK75" i="4" s="1"/>
  <c r="AV66" i="4"/>
  <c r="AW66" i="4" s="1"/>
  <c r="BZ66" i="4"/>
  <c r="CR66" i="4" s="1"/>
  <c r="CS66" i="4" s="1"/>
  <c r="ES72" i="4"/>
  <c r="FP72" i="4"/>
  <c r="FQ72" i="4" s="1"/>
  <c r="P63" i="4"/>
  <c r="Q63" i="4" s="1"/>
  <c r="Z63" i="4"/>
  <c r="AA63" i="4" s="1"/>
  <c r="AR63" i="4"/>
  <c r="AS63" i="4" s="1"/>
  <c r="AF63" i="4"/>
  <c r="AG63" i="4" s="1"/>
  <c r="FV92" i="4"/>
  <c r="FW92" i="4" s="1"/>
  <c r="CA126" i="4"/>
  <c r="CH126" i="4"/>
  <c r="CI126" i="4" s="1"/>
  <c r="CX126" i="4"/>
  <c r="CY126" i="4" s="1"/>
  <c r="DF126" i="4"/>
  <c r="DG126" i="4" s="1"/>
  <c r="CP126" i="4"/>
  <c r="CQ126" i="4" s="1"/>
  <c r="FV116" i="4"/>
  <c r="FW116" i="4" s="1"/>
  <c r="CL116" i="4"/>
  <c r="CM116" i="4" s="1"/>
  <c r="CX116" i="4"/>
  <c r="CY116" i="4" s="1"/>
  <c r="DN116" i="4"/>
  <c r="DO116" i="4" s="1"/>
  <c r="H117" i="4"/>
  <c r="T117" i="4" s="1"/>
  <c r="U117" i="4" s="1"/>
  <c r="G26" i="4"/>
  <c r="BZ154" i="4"/>
  <c r="EQ154" i="4"/>
  <c r="ER154" i="4" s="1"/>
  <c r="I154" i="4"/>
  <c r="AX154" i="4"/>
  <c r="AY154" i="4" s="1"/>
  <c r="L154" i="4"/>
  <c r="M154" i="4" s="1"/>
  <c r="P154" i="4"/>
  <c r="Q154" i="4" s="1"/>
  <c r="V154" i="4"/>
  <c r="W154" i="4" s="1"/>
  <c r="AB154" i="4"/>
  <c r="AC154" i="4" s="1"/>
  <c r="AF154" i="4"/>
  <c r="AG154" i="4" s="1"/>
  <c r="T154" i="4"/>
  <c r="U154" i="4" s="1"/>
  <c r="AN154" i="4"/>
  <c r="AO154" i="4" s="1"/>
  <c r="N154" i="4"/>
  <c r="O154" i="4" s="1"/>
  <c r="AH154" i="4"/>
  <c r="AI154" i="4" s="1"/>
  <c r="AJ154" i="4"/>
  <c r="AK154" i="4" s="1"/>
  <c r="AP154" i="4"/>
  <c r="AQ154" i="4" s="1"/>
  <c r="AT154" i="4"/>
  <c r="AU154" i="4" s="1"/>
  <c r="DP152" i="4"/>
  <c r="DQ152" i="4" s="1"/>
  <c r="DL152" i="4"/>
  <c r="DM152" i="4" s="1"/>
  <c r="DH152" i="4"/>
  <c r="DI152" i="4" s="1"/>
  <c r="DD152" i="4"/>
  <c r="DE152" i="4" s="1"/>
  <c r="CZ152" i="4"/>
  <c r="DA152" i="4" s="1"/>
  <c r="CV152" i="4"/>
  <c r="CW152" i="4" s="1"/>
  <c r="CR152" i="4"/>
  <c r="CS152" i="4" s="1"/>
  <c r="CN152" i="4"/>
  <c r="CO152" i="4" s="1"/>
  <c r="CJ152" i="4"/>
  <c r="CK152" i="4" s="1"/>
  <c r="CF152" i="4"/>
  <c r="CG152" i="4" s="1"/>
  <c r="CB152" i="4"/>
  <c r="CC152" i="4" s="1"/>
  <c r="DJ152" i="4"/>
  <c r="DK152" i="4" s="1"/>
  <c r="CX152" i="4"/>
  <c r="CY152" i="4" s="1"/>
  <c r="CL152" i="4"/>
  <c r="CM152" i="4" s="1"/>
  <c r="CA152" i="4"/>
  <c r="DN152" i="4"/>
  <c r="DO152" i="4" s="1"/>
  <c r="CT152" i="4"/>
  <c r="CU152" i="4" s="1"/>
  <c r="CH152" i="4"/>
  <c r="CI152" i="4" s="1"/>
  <c r="DF152" i="4"/>
  <c r="DG152" i="4" s="1"/>
  <c r="DB152" i="4"/>
  <c r="DC152" i="4" s="1"/>
  <c r="CP152" i="4"/>
  <c r="CQ152" i="4" s="1"/>
  <c r="CD152" i="4"/>
  <c r="CE152" i="4" s="1"/>
  <c r="EQ152" i="4"/>
  <c r="ER152" i="4" s="1"/>
  <c r="AL151" i="4"/>
  <c r="AM151" i="4" s="1"/>
  <c r="AH151" i="4"/>
  <c r="AI151" i="4" s="1"/>
  <c r="T151" i="4"/>
  <c r="U151" i="4" s="1"/>
  <c r="AX151" i="4"/>
  <c r="AY151" i="4" s="1"/>
  <c r="AV151" i="4"/>
  <c r="AW151" i="4" s="1"/>
  <c r="AP151" i="4"/>
  <c r="AQ151" i="4" s="1"/>
  <c r="AN151" i="4"/>
  <c r="AO151" i="4" s="1"/>
  <c r="X151" i="4"/>
  <c r="Y151" i="4" s="1"/>
  <c r="V151" i="4"/>
  <c r="W151" i="4" s="1"/>
  <c r="AF151" i="4"/>
  <c r="AG151" i="4" s="1"/>
  <c r="AD151" i="4"/>
  <c r="AE151" i="4" s="1"/>
  <c r="AB151" i="4"/>
  <c r="AC151" i="4" s="1"/>
  <c r="Z151" i="4"/>
  <c r="AA151" i="4" s="1"/>
  <c r="R151" i="4"/>
  <c r="S151" i="4" s="1"/>
  <c r="N151" i="4"/>
  <c r="O151" i="4" s="1"/>
  <c r="I151" i="4"/>
  <c r="J151" i="4"/>
  <c r="K151" i="4" s="1"/>
  <c r="AJ151" i="4"/>
  <c r="AK151" i="4" s="1"/>
  <c r="BZ151" i="4"/>
  <c r="EQ151" i="4"/>
  <c r="ER151" i="4" s="1"/>
  <c r="L151" i="4"/>
  <c r="M151" i="4" s="1"/>
  <c r="P151" i="4"/>
  <c r="Q151" i="4" s="1"/>
  <c r="AR151" i="4"/>
  <c r="AS151" i="4" s="1"/>
  <c r="AT151" i="4"/>
  <c r="AU151" i="4" s="1"/>
  <c r="AT144" i="4"/>
  <c r="AU144" i="4" s="1"/>
  <c r="AH144" i="4"/>
  <c r="AI144" i="4" s="1"/>
  <c r="AF144" i="4"/>
  <c r="AG144" i="4" s="1"/>
  <c r="AL144" i="4"/>
  <c r="AM144" i="4" s="1"/>
  <c r="AR144" i="4"/>
  <c r="AS144" i="4" s="1"/>
  <c r="AP144" i="4"/>
  <c r="AQ144" i="4" s="1"/>
  <c r="AJ144" i="4"/>
  <c r="AK144" i="4" s="1"/>
  <c r="AD144" i="4"/>
  <c r="AE144" i="4" s="1"/>
  <c r="N144" i="4"/>
  <c r="O144" i="4" s="1"/>
  <c r="AN144" i="4"/>
  <c r="AO144" i="4" s="1"/>
  <c r="AB144" i="4"/>
  <c r="AC144" i="4" s="1"/>
  <c r="L144" i="4"/>
  <c r="M144" i="4" s="1"/>
  <c r="AX144" i="4"/>
  <c r="AY144" i="4" s="1"/>
  <c r="Z144" i="4"/>
  <c r="AA144" i="4" s="1"/>
  <c r="V144" i="4"/>
  <c r="W144" i="4" s="1"/>
  <c r="T144" i="4"/>
  <c r="U144" i="4" s="1"/>
  <c r="R144" i="4"/>
  <c r="S144" i="4" s="1"/>
  <c r="P144" i="4"/>
  <c r="Q144" i="4" s="1"/>
  <c r="J144" i="4"/>
  <c r="K144" i="4" s="1"/>
  <c r="I144" i="4"/>
  <c r="AV144" i="4"/>
  <c r="AW144" i="4" s="1"/>
  <c r="X144" i="4"/>
  <c r="Y144" i="4" s="1"/>
  <c r="BY144" i="4"/>
  <c r="DD143" i="4"/>
  <c r="DE143" i="4" s="1"/>
  <c r="DH143" i="4"/>
  <c r="DI143" i="4" s="1"/>
  <c r="DL143" i="4"/>
  <c r="DM143" i="4" s="1"/>
  <c r="GF143" i="4"/>
  <c r="GG143" i="4" s="1"/>
  <c r="GB143" i="4"/>
  <c r="GC143" i="4" s="1"/>
  <c r="FX143" i="4"/>
  <c r="FY143" i="4" s="1"/>
  <c r="FT143" i="4"/>
  <c r="FU143" i="4" s="1"/>
  <c r="FP143" i="4"/>
  <c r="FQ143" i="4" s="1"/>
  <c r="FL143" i="4"/>
  <c r="FM143" i="4" s="1"/>
  <c r="FH143" i="4"/>
  <c r="FI143" i="4" s="1"/>
  <c r="FD143" i="4"/>
  <c r="FE143" i="4" s="1"/>
  <c r="EZ143" i="4"/>
  <c r="FA143" i="4" s="1"/>
  <c r="EV143" i="4"/>
  <c r="EW143" i="4" s="1"/>
  <c r="ES143" i="4"/>
  <c r="GF139" i="4"/>
  <c r="GG139" i="4" s="1"/>
  <c r="GB139" i="4"/>
  <c r="GC139" i="4" s="1"/>
  <c r="FX139" i="4"/>
  <c r="FY139" i="4" s="1"/>
  <c r="FT139" i="4"/>
  <c r="FU139" i="4" s="1"/>
  <c r="FP139" i="4"/>
  <c r="FQ139" i="4" s="1"/>
  <c r="FL139" i="4"/>
  <c r="FM139" i="4" s="1"/>
  <c r="FH139" i="4"/>
  <c r="FI139" i="4" s="1"/>
  <c r="FD139" i="4"/>
  <c r="FE139" i="4" s="1"/>
  <c r="EZ139" i="4"/>
  <c r="FA139" i="4" s="1"/>
  <c r="EV139" i="4"/>
  <c r="EW139" i="4" s="1"/>
  <c r="ES139" i="4"/>
  <c r="GH139" i="4"/>
  <c r="GI139" i="4" s="1"/>
  <c r="GD139" i="4"/>
  <c r="GE139" i="4" s="1"/>
  <c r="FZ139" i="4"/>
  <c r="GA139" i="4" s="1"/>
  <c r="FV139" i="4"/>
  <c r="FW139" i="4" s="1"/>
  <c r="FR139" i="4"/>
  <c r="FS139" i="4" s="1"/>
  <c r="FN139" i="4"/>
  <c r="FO139" i="4" s="1"/>
  <c r="FJ139" i="4"/>
  <c r="FK139" i="4" s="1"/>
  <c r="FF139" i="4"/>
  <c r="FG139" i="4" s="1"/>
  <c r="FB139" i="4"/>
  <c r="FC139" i="4" s="1"/>
  <c r="EX139" i="4"/>
  <c r="EY139" i="4" s="1"/>
  <c r="ET139" i="4"/>
  <c r="EU139" i="4" s="1"/>
  <c r="BZ139" i="4"/>
  <c r="I132" i="4"/>
  <c r="T132" i="4"/>
  <c r="U132" i="4" s="1"/>
  <c r="R132" i="4"/>
  <c r="S132" i="4" s="1"/>
  <c r="V132" i="4"/>
  <c r="W132" i="4" s="1"/>
  <c r="Z132" i="4"/>
  <c r="AA132" i="4" s="1"/>
  <c r="AF132" i="4"/>
  <c r="AG132" i="4" s="1"/>
  <c r="AR132" i="4"/>
  <c r="AS132" i="4" s="1"/>
  <c r="L132" i="4"/>
  <c r="M132" i="4" s="1"/>
  <c r="N132" i="4"/>
  <c r="O132" i="4" s="1"/>
  <c r="P132" i="4"/>
  <c r="Q132" i="4" s="1"/>
  <c r="AP132" i="4"/>
  <c r="AQ132" i="4" s="1"/>
  <c r="X132" i="4"/>
  <c r="Y132" i="4" s="1"/>
  <c r="AB132" i="4"/>
  <c r="AC132" i="4" s="1"/>
  <c r="AN132" i="4"/>
  <c r="AO132" i="4" s="1"/>
  <c r="AT132" i="4"/>
  <c r="AU132" i="4" s="1"/>
  <c r="AV132" i="4"/>
  <c r="AW132" i="4" s="1"/>
  <c r="EQ131" i="4"/>
  <c r="ER131" i="4" s="1"/>
  <c r="GD131" i="4" s="1"/>
  <c r="GE131" i="4" s="1"/>
  <c r="BZ131" i="4"/>
  <c r="CD131" i="4" s="1"/>
  <c r="CE131" i="4" s="1"/>
  <c r="BZ132" i="4"/>
  <c r="DB132" i="4" s="1"/>
  <c r="DC132" i="4" s="1"/>
  <c r="CP130" i="4"/>
  <c r="CQ130" i="4" s="1"/>
  <c r="CV132" i="4"/>
  <c r="CW132" i="4" s="1"/>
  <c r="CP132" i="4"/>
  <c r="CQ132" i="4" s="1"/>
  <c r="CA132" i="4"/>
  <c r="EZ131" i="4"/>
  <c r="FA131" i="4" s="1"/>
  <c r="GH130" i="4"/>
  <c r="GI130" i="4" s="1"/>
  <c r="GD130" i="4"/>
  <c r="GE130" i="4" s="1"/>
  <c r="FR130" i="4"/>
  <c r="FS130" i="4" s="1"/>
  <c r="FN130" i="4"/>
  <c r="FO130" i="4" s="1"/>
  <c r="FB130" i="4"/>
  <c r="FC130" i="4" s="1"/>
  <c r="EX130" i="4"/>
  <c r="EY130" i="4" s="1"/>
  <c r="GB130" i="4"/>
  <c r="GC130" i="4" s="1"/>
  <c r="FX130" i="4"/>
  <c r="FY130" i="4" s="1"/>
  <c r="FL130" i="4"/>
  <c r="FM130" i="4" s="1"/>
  <c r="FH130" i="4"/>
  <c r="FI130" i="4" s="1"/>
  <c r="EV130" i="4"/>
  <c r="EW130" i="4" s="1"/>
  <c r="ES130" i="4"/>
  <c r="GF132" i="4"/>
  <c r="GG132" i="4" s="1"/>
  <c r="GB132" i="4"/>
  <c r="GC132" i="4" s="1"/>
  <c r="FX132" i="4"/>
  <c r="FY132" i="4" s="1"/>
  <c r="FT132" i="4"/>
  <c r="FU132" i="4" s="1"/>
  <c r="FP132" i="4"/>
  <c r="FQ132" i="4" s="1"/>
  <c r="FL132" i="4"/>
  <c r="FM132" i="4" s="1"/>
  <c r="FH132" i="4"/>
  <c r="FI132" i="4" s="1"/>
  <c r="FD132" i="4"/>
  <c r="FE132" i="4" s="1"/>
  <c r="EZ132" i="4"/>
  <c r="FA132" i="4" s="1"/>
  <c r="EV132" i="4"/>
  <c r="EW132" i="4" s="1"/>
  <c r="ES132" i="4"/>
  <c r="GH132" i="4"/>
  <c r="GI132" i="4" s="1"/>
  <c r="GD132" i="4"/>
  <c r="GE132" i="4" s="1"/>
  <c r="FZ132" i="4"/>
  <c r="GA132" i="4" s="1"/>
  <c r="FV132" i="4"/>
  <c r="FW132" i="4" s="1"/>
  <c r="FR132" i="4"/>
  <c r="FS132" i="4" s="1"/>
  <c r="FN132" i="4"/>
  <c r="FO132" i="4" s="1"/>
  <c r="FJ132" i="4"/>
  <c r="FK132" i="4" s="1"/>
  <c r="FF132" i="4"/>
  <c r="FG132" i="4" s="1"/>
  <c r="FB132" i="4"/>
  <c r="FC132" i="4" s="1"/>
  <c r="EX132" i="4"/>
  <c r="EY132" i="4" s="1"/>
  <c r="ET132" i="4"/>
  <c r="EU132" i="4" s="1"/>
  <c r="H126" i="4"/>
  <c r="X126" i="4" s="1"/>
  <c r="Y126" i="4" s="1"/>
  <c r="CD126" i="4"/>
  <c r="CE126" i="4" s="1"/>
  <c r="CL126" i="4"/>
  <c r="CM126" i="4" s="1"/>
  <c r="CT126" i="4"/>
  <c r="CU126" i="4" s="1"/>
  <c r="DB126" i="4"/>
  <c r="DC126" i="4" s="1"/>
  <c r="DJ126" i="4"/>
  <c r="DK126" i="4" s="1"/>
  <c r="CF126" i="4"/>
  <c r="CG126" i="4" s="1"/>
  <c r="CN126" i="4"/>
  <c r="CO126" i="4" s="1"/>
  <c r="CV126" i="4"/>
  <c r="CW126" i="4" s="1"/>
  <c r="DD126" i="4"/>
  <c r="DE126" i="4" s="1"/>
  <c r="DL126" i="4"/>
  <c r="DM126" i="4" s="1"/>
  <c r="G127" i="4"/>
  <c r="BY127" i="4" s="1"/>
  <c r="EQ127" i="4" s="1"/>
  <c r="ER127" i="4" s="1"/>
  <c r="GH127" i="4" s="1"/>
  <c r="GI127" i="4" s="1"/>
  <c r="DN126" i="4"/>
  <c r="DO126" i="4" s="1"/>
  <c r="CB126" i="4"/>
  <c r="CC126" i="4" s="1"/>
  <c r="CJ126" i="4"/>
  <c r="CK126" i="4" s="1"/>
  <c r="CR126" i="4"/>
  <c r="CS126" i="4" s="1"/>
  <c r="CZ126" i="4"/>
  <c r="DA126" i="4" s="1"/>
  <c r="DH126" i="4"/>
  <c r="DI126" i="4" s="1"/>
  <c r="EQ122" i="4"/>
  <c r="ER122" i="4" s="1"/>
  <c r="BZ122" i="4"/>
  <c r="FP118" i="4"/>
  <c r="FQ118" i="4" s="1"/>
  <c r="FN120" i="4"/>
  <c r="FO120" i="4" s="1"/>
  <c r="FL125" i="4"/>
  <c r="FM125" i="4" s="1"/>
  <c r="FT118" i="4"/>
  <c r="FU118" i="4" s="1"/>
  <c r="FR120" i="4"/>
  <c r="FS120" i="4" s="1"/>
  <c r="FZ123" i="4"/>
  <c r="GA123" i="4" s="1"/>
  <c r="GF118" i="4"/>
  <c r="GG118" i="4" s="1"/>
  <c r="GD123" i="4"/>
  <c r="GE123" i="4" s="1"/>
  <c r="FB120" i="4"/>
  <c r="FC120" i="4" s="1"/>
  <c r="EQ117" i="4"/>
  <c r="ER117" i="4" s="1"/>
  <c r="GB117" i="4" s="1"/>
  <c r="GC117" i="4" s="1"/>
  <c r="BZ117" i="4"/>
  <c r="DH117" i="4" s="1"/>
  <c r="DI117" i="4" s="1"/>
  <c r="FZ93" i="4"/>
  <c r="GA93" i="4" s="1"/>
  <c r="ET93" i="4"/>
  <c r="EU93" i="4" s="1"/>
  <c r="BZ93" i="4"/>
  <c r="GF93" i="4"/>
  <c r="GG93" i="4" s="1"/>
  <c r="GB93" i="4"/>
  <c r="GC93" i="4" s="1"/>
  <c r="FX93" i="4"/>
  <c r="FY93" i="4" s="1"/>
  <c r="FT93" i="4"/>
  <c r="FU93" i="4" s="1"/>
  <c r="FP93" i="4"/>
  <c r="FQ93" i="4" s="1"/>
  <c r="FL93" i="4"/>
  <c r="FM93" i="4" s="1"/>
  <c r="FH93" i="4"/>
  <c r="FI93" i="4" s="1"/>
  <c r="FD93" i="4"/>
  <c r="FE93" i="4" s="1"/>
  <c r="EZ93" i="4"/>
  <c r="FA93" i="4" s="1"/>
  <c r="EV93" i="4"/>
  <c r="EW93" i="4" s="1"/>
  <c r="ES93" i="4"/>
  <c r="GH93" i="4"/>
  <c r="GI93" i="4" s="1"/>
  <c r="FR93" i="4"/>
  <c r="FS93" i="4" s="1"/>
  <c r="FB93" i="4"/>
  <c r="FC93" i="4" s="1"/>
  <c r="FV93" i="4"/>
  <c r="FW93" i="4" s="1"/>
  <c r="FF93" i="4"/>
  <c r="FG93" i="4" s="1"/>
  <c r="GD93" i="4"/>
  <c r="GE93" i="4" s="1"/>
  <c r="FN93" i="4"/>
  <c r="FO93" i="4" s="1"/>
  <c r="EX93" i="4"/>
  <c r="EY93" i="4" s="1"/>
  <c r="GD92" i="4"/>
  <c r="GE92" i="4" s="1"/>
  <c r="FX92" i="4"/>
  <c r="FY92" i="4" s="1"/>
  <c r="FN92" i="4"/>
  <c r="FO92" i="4" s="1"/>
  <c r="FH92" i="4"/>
  <c r="FI92" i="4" s="1"/>
  <c r="EX92" i="4"/>
  <c r="EY92" i="4" s="1"/>
  <c r="ES92" i="4"/>
  <c r="GH92" i="4"/>
  <c r="GI92" i="4" s="1"/>
  <c r="GB92" i="4"/>
  <c r="GC92" i="4" s="1"/>
  <c r="FR92" i="4"/>
  <c r="FS92" i="4" s="1"/>
  <c r="FL92" i="4"/>
  <c r="FM92" i="4" s="1"/>
  <c r="FB92" i="4"/>
  <c r="FC92" i="4" s="1"/>
  <c r="EV92" i="4"/>
  <c r="EW92" i="4" s="1"/>
  <c r="FZ92" i="4"/>
  <c r="GA92" i="4" s="1"/>
  <c r="FT92" i="4"/>
  <c r="FU92" i="4" s="1"/>
  <c r="FJ92" i="4"/>
  <c r="FK92" i="4" s="1"/>
  <c r="FD92" i="4"/>
  <c r="FE92" i="4" s="1"/>
  <c r="ET92" i="4"/>
  <c r="EU92" i="4" s="1"/>
  <c r="GF53" i="4"/>
  <c r="GG53" i="4" s="1"/>
  <c r="GB53" i="4"/>
  <c r="GC53" i="4" s="1"/>
  <c r="FX53" i="4"/>
  <c r="FY53" i="4" s="1"/>
  <c r="FT53" i="4"/>
  <c r="FU53" i="4" s="1"/>
  <c r="FP53" i="4"/>
  <c r="FQ53" i="4" s="1"/>
  <c r="FL53" i="4"/>
  <c r="FM53" i="4" s="1"/>
  <c r="FH53" i="4"/>
  <c r="FI53" i="4" s="1"/>
  <c r="FD53" i="4"/>
  <c r="FE53" i="4" s="1"/>
  <c r="EZ53" i="4"/>
  <c r="FA53" i="4" s="1"/>
  <c r="EV53" i="4"/>
  <c r="EW53" i="4" s="1"/>
  <c r="ES53" i="4"/>
  <c r="GH53" i="4"/>
  <c r="GI53" i="4" s="1"/>
  <c r="GD53" i="4"/>
  <c r="GE53" i="4" s="1"/>
  <c r="FZ53" i="4"/>
  <c r="GA53" i="4" s="1"/>
  <c r="FV53" i="4"/>
  <c r="FW53" i="4" s="1"/>
  <c r="FR53" i="4"/>
  <c r="FS53" i="4" s="1"/>
  <c r="FN53" i="4"/>
  <c r="FO53" i="4" s="1"/>
  <c r="FJ53" i="4"/>
  <c r="FK53" i="4" s="1"/>
  <c r="FF53" i="4"/>
  <c r="FG53" i="4" s="1"/>
  <c r="FB53" i="4"/>
  <c r="FC53" i="4" s="1"/>
  <c r="EX53" i="4"/>
  <c r="EY53" i="4" s="1"/>
  <c r="ET53" i="4"/>
  <c r="EU53" i="4" s="1"/>
  <c r="I53" i="4"/>
  <c r="J53" i="4"/>
  <c r="K53" i="4" s="1"/>
  <c r="P53" i="4"/>
  <c r="Q53" i="4" s="1"/>
  <c r="R53" i="4"/>
  <c r="S53" i="4" s="1"/>
  <c r="AX53" i="4"/>
  <c r="AY53" i="4" s="1"/>
  <c r="CB53" i="4"/>
  <c r="CC53" i="4" s="1"/>
  <c r="CR53" i="4"/>
  <c r="CS53" i="4" s="1"/>
  <c r="DH53" i="4"/>
  <c r="DI53" i="4" s="1"/>
  <c r="N53" i="4"/>
  <c r="O53" i="4" s="1"/>
  <c r="T53" i="4"/>
  <c r="U53" i="4" s="1"/>
  <c r="Z53" i="4"/>
  <c r="AA53" i="4" s="1"/>
  <c r="AB53" i="4"/>
  <c r="AC53" i="4" s="1"/>
  <c r="AF53" i="4"/>
  <c r="AG53" i="4" s="1"/>
  <c r="AN53" i="4"/>
  <c r="AO53" i="4" s="1"/>
  <c r="AT53" i="4"/>
  <c r="AU53" i="4" s="1"/>
  <c r="AV53" i="4"/>
  <c r="AW53" i="4" s="1"/>
  <c r="L53" i="4"/>
  <c r="M53" i="4" s="1"/>
  <c r="AJ53" i="4"/>
  <c r="AK53" i="4" s="1"/>
  <c r="AL53" i="4"/>
  <c r="AM53" i="4" s="1"/>
  <c r="AP53" i="4"/>
  <c r="AQ53" i="4" s="1"/>
  <c r="CD53" i="4"/>
  <c r="CE53" i="4" s="1"/>
  <c r="CT53" i="4"/>
  <c r="CU53" i="4" s="1"/>
  <c r="DJ53" i="4"/>
  <c r="DK53" i="4" s="1"/>
  <c r="GH52" i="4"/>
  <c r="GI52" i="4" s="1"/>
  <c r="GD52" i="4"/>
  <c r="GE52" i="4" s="1"/>
  <c r="FZ52" i="4"/>
  <c r="GA52" i="4" s="1"/>
  <c r="FV52" i="4"/>
  <c r="FW52" i="4" s="1"/>
  <c r="FR52" i="4"/>
  <c r="FS52" i="4" s="1"/>
  <c r="FN52" i="4"/>
  <c r="FO52" i="4" s="1"/>
  <c r="FJ52" i="4"/>
  <c r="FK52" i="4" s="1"/>
  <c r="FF52" i="4"/>
  <c r="FG52" i="4" s="1"/>
  <c r="FB52" i="4"/>
  <c r="FC52" i="4" s="1"/>
  <c r="EX52" i="4"/>
  <c r="EY52" i="4" s="1"/>
  <c r="ET52" i="4"/>
  <c r="EU52" i="4" s="1"/>
  <c r="GF52" i="4"/>
  <c r="GG52" i="4" s="1"/>
  <c r="GB52" i="4"/>
  <c r="GC52" i="4" s="1"/>
  <c r="FX52" i="4"/>
  <c r="FY52" i="4" s="1"/>
  <c r="FT52" i="4"/>
  <c r="FU52" i="4" s="1"/>
  <c r="FP52" i="4"/>
  <c r="FQ52" i="4" s="1"/>
  <c r="FL52" i="4"/>
  <c r="FM52" i="4" s="1"/>
  <c r="FH52" i="4"/>
  <c r="FI52" i="4" s="1"/>
  <c r="FD52" i="4"/>
  <c r="FE52" i="4" s="1"/>
  <c r="EZ52" i="4"/>
  <c r="FA52" i="4" s="1"/>
  <c r="EV52" i="4"/>
  <c r="EW52" i="4" s="1"/>
  <c r="ES52" i="4"/>
  <c r="BZ52" i="4"/>
  <c r="AT52" i="4"/>
  <c r="AU52" i="4" s="1"/>
  <c r="AX52" i="4"/>
  <c r="AY52" i="4" s="1"/>
  <c r="AP52" i="4"/>
  <c r="AQ52" i="4" s="1"/>
  <c r="G54" i="4"/>
  <c r="GB37" i="4"/>
  <c r="GC37" i="4" s="1"/>
  <c r="FT37" i="4"/>
  <c r="FU37" i="4" s="1"/>
  <c r="FL37" i="4"/>
  <c r="FM37" i="4" s="1"/>
  <c r="FD37" i="4"/>
  <c r="FE37" i="4" s="1"/>
  <c r="EV37" i="4"/>
  <c r="EW37" i="4" s="1"/>
  <c r="GH37" i="4"/>
  <c r="GI37" i="4" s="1"/>
  <c r="FZ37" i="4"/>
  <c r="GA37" i="4" s="1"/>
  <c r="FR37" i="4"/>
  <c r="FS37" i="4" s="1"/>
  <c r="FJ37" i="4"/>
  <c r="FK37" i="4" s="1"/>
  <c r="FB37" i="4"/>
  <c r="FC37" i="4" s="1"/>
  <c r="ET37" i="4"/>
  <c r="EU37" i="4" s="1"/>
  <c r="GF37" i="4"/>
  <c r="GG37" i="4" s="1"/>
  <c r="FX37" i="4"/>
  <c r="FY37" i="4" s="1"/>
  <c r="FP37" i="4"/>
  <c r="FQ37" i="4" s="1"/>
  <c r="FH37" i="4"/>
  <c r="FI37" i="4" s="1"/>
  <c r="EZ37" i="4"/>
  <c r="FA37" i="4" s="1"/>
  <c r="ES37" i="4"/>
  <c r="DB37" i="4"/>
  <c r="DC37" i="4" s="1"/>
  <c r="DF37" i="4"/>
  <c r="DG37" i="4" s="1"/>
  <c r="DJ37" i="4"/>
  <c r="DK37" i="4" s="1"/>
  <c r="FR40" i="4"/>
  <c r="FS40" i="4" s="1"/>
  <c r="FZ36" i="4"/>
  <c r="GA36" i="4" s="1"/>
  <c r="FJ36" i="4"/>
  <c r="FK36" i="4" s="1"/>
  <c r="ET36" i="4"/>
  <c r="EU36" i="4" s="1"/>
  <c r="FT36" i="4"/>
  <c r="FU36" i="4" s="1"/>
  <c r="FD36" i="4"/>
  <c r="FE36" i="4" s="1"/>
  <c r="EQ39" i="4"/>
  <c r="ER39" i="4" s="1"/>
  <c r="BZ39" i="4"/>
  <c r="GH42" i="4"/>
  <c r="GI42" i="4" s="1"/>
  <c r="GD42" i="4"/>
  <c r="GE42" i="4" s="1"/>
  <c r="FZ42" i="4"/>
  <c r="GA42" i="4" s="1"/>
  <c r="FV42" i="4"/>
  <c r="FW42" i="4" s="1"/>
  <c r="FR42" i="4"/>
  <c r="FS42" i="4" s="1"/>
  <c r="FN42" i="4"/>
  <c r="FO42" i="4" s="1"/>
  <c r="FJ42" i="4"/>
  <c r="FK42" i="4" s="1"/>
  <c r="FF42" i="4"/>
  <c r="FG42" i="4" s="1"/>
  <c r="FB42" i="4"/>
  <c r="FC42" i="4" s="1"/>
  <c r="EX42" i="4"/>
  <c r="EY42" i="4" s="1"/>
  <c r="ET42" i="4"/>
  <c r="EU42" i="4" s="1"/>
  <c r="GB42" i="4"/>
  <c r="GC42" i="4" s="1"/>
  <c r="FT42" i="4"/>
  <c r="FU42" i="4" s="1"/>
  <c r="FL42" i="4"/>
  <c r="FM42" i="4" s="1"/>
  <c r="FD42" i="4"/>
  <c r="FE42" i="4" s="1"/>
  <c r="EV42" i="4"/>
  <c r="EW42" i="4" s="1"/>
  <c r="GF42" i="4"/>
  <c r="GG42" i="4" s="1"/>
  <c r="FX42" i="4"/>
  <c r="FY42" i="4" s="1"/>
  <c r="FP42" i="4"/>
  <c r="FQ42" i="4" s="1"/>
  <c r="FH42" i="4"/>
  <c r="FI42" i="4" s="1"/>
  <c r="EZ42" i="4"/>
  <c r="FA42" i="4" s="1"/>
  <c r="ES42" i="4"/>
  <c r="GF43" i="4"/>
  <c r="GG43" i="4" s="1"/>
  <c r="GB43" i="4"/>
  <c r="GC43" i="4" s="1"/>
  <c r="FX43" i="4"/>
  <c r="FY43" i="4" s="1"/>
  <c r="FT43" i="4"/>
  <c r="FU43" i="4" s="1"/>
  <c r="FP43" i="4"/>
  <c r="FQ43" i="4" s="1"/>
  <c r="FL43" i="4"/>
  <c r="FM43" i="4" s="1"/>
  <c r="FH43" i="4"/>
  <c r="FI43" i="4" s="1"/>
  <c r="FD43" i="4"/>
  <c r="FE43" i="4" s="1"/>
  <c r="EZ43" i="4"/>
  <c r="FA43" i="4" s="1"/>
  <c r="EV43" i="4"/>
  <c r="EW43" i="4" s="1"/>
  <c r="ES43" i="4"/>
  <c r="GH43" i="4"/>
  <c r="GI43" i="4" s="1"/>
  <c r="FZ43" i="4"/>
  <c r="GA43" i="4" s="1"/>
  <c r="FR43" i="4"/>
  <c r="FS43" i="4" s="1"/>
  <c r="FJ43" i="4"/>
  <c r="FK43" i="4" s="1"/>
  <c r="FB43" i="4"/>
  <c r="FC43" i="4" s="1"/>
  <c r="ET43" i="4"/>
  <c r="EU43" i="4" s="1"/>
  <c r="GD43" i="4"/>
  <c r="GE43" i="4" s="1"/>
  <c r="FV43" i="4"/>
  <c r="FW43" i="4" s="1"/>
  <c r="FN43" i="4"/>
  <c r="FO43" i="4" s="1"/>
  <c r="FF43" i="4"/>
  <c r="FG43" i="4" s="1"/>
  <c r="EX43" i="4"/>
  <c r="EY43" i="4" s="1"/>
  <c r="GD41" i="4"/>
  <c r="GE41" i="4" s="1"/>
  <c r="GF41" i="4"/>
  <c r="GG41" i="4" s="1"/>
  <c r="AV44" i="4"/>
  <c r="AW44" i="4" s="1"/>
  <c r="AN44" i="4"/>
  <c r="AO44" i="4" s="1"/>
  <c r="AF44" i="4"/>
  <c r="AG44" i="4" s="1"/>
  <c r="X44" i="4"/>
  <c r="Y44" i="4" s="1"/>
  <c r="P44" i="4"/>
  <c r="Q44" i="4" s="1"/>
  <c r="I44" i="4"/>
  <c r="AT44" i="4"/>
  <c r="AU44" i="4" s="1"/>
  <c r="AL44" i="4"/>
  <c r="AM44" i="4" s="1"/>
  <c r="AD44" i="4"/>
  <c r="AE44" i="4" s="1"/>
  <c r="V44" i="4"/>
  <c r="W44" i="4" s="1"/>
  <c r="N44" i="4"/>
  <c r="O44" i="4" s="1"/>
  <c r="GF50" i="4"/>
  <c r="GG50" i="4" s="1"/>
  <c r="GB50" i="4"/>
  <c r="GC50" i="4" s="1"/>
  <c r="FX50" i="4"/>
  <c r="FY50" i="4" s="1"/>
  <c r="FT50" i="4"/>
  <c r="FU50" i="4" s="1"/>
  <c r="FP50" i="4"/>
  <c r="FQ50" i="4" s="1"/>
  <c r="FL50" i="4"/>
  <c r="FM50" i="4" s="1"/>
  <c r="FH50" i="4"/>
  <c r="FI50" i="4" s="1"/>
  <c r="FD50" i="4"/>
  <c r="FE50" i="4" s="1"/>
  <c r="EZ50" i="4"/>
  <c r="FA50" i="4" s="1"/>
  <c r="EV50" i="4"/>
  <c r="EW50" i="4" s="1"/>
  <c r="ES50" i="4"/>
  <c r="GH50" i="4"/>
  <c r="GI50" i="4" s="1"/>
  <c r="GD50" i="4"/>
  <c r="GE50" i="4" s="1"/>
  <c r="FZ50" i="4"/>
  <c r="GA50" i="4" s="1"/>
  <c r="FV50" i="4"/>
  <c r="FW50" i="4" s="1"/>
  <c r="FR50" i="4"/>
  <c r="FS50" i="4" s="1"/>
  <c r="FN50" i="4"/>
  <c r="FO50" i="4" s="1"/>
  <c r="FJ50" i="4"/>
  <c r="FK50" i="4" s="1"/>
  <c r="FF50" i="4"/>
  <c r="FG50" i="4" s="1"/>
  <c r="FB50" i="4"/>
  <c r="FC50" i="4" s="1"/>
  <c r="EX50" i="4"/>
  <c r="EY50" i="4" s="1"/>
  <c r="ET50" i="4"/>
  <c r="EU50" i="4" s="1"/>
  <c r="GH49" i="4"/>
  <c r="GI49" i="4" s="1"/>
  <c r="GD49" i="4"/>
  <c r="GE49" i="4" s="1"/>
  <c r="FZ49" i="4"/>
  <c r="GA49" i="4" s="1"/>
  <c r="FV49" i="4"/>
  <c r="FW49" i="4" s="1"/>
  <c r="FR49" i="4"/>
  <c r="FS49" i="4" s="1"/>
  <c r="FN49" i="4"/>
  <c r="FO49" i="4" s="1"/>
  <c r="FJ49" i="4"/>
  <c r="FK49" i="4" s="1"/>
  <c r="FF49" i="4"/>
  <c r="FG49" i="4" s="1"/>
  <c r="FB49" i="4"/>
  <c r="FC49" i="4" s="1"/>
  <c r="EX49" i="4"/>
  <c r="EY49" i="4" s="1"/>
  <c r="ET49" i="4"/>
  <c r="EU49" i="4" s="1"/>
  <c r="GB49" i="4"/>
  <c r="GC49" i="4" s="1"/>
  <c r="FL49" i="4"/>
  <c r="FM49" i="4" s="1"/>
  <c r="EV49" i="4"/>
  <c r="EW49" i="4" s="1"/>
  <c r="FX49" i="4"/>
  <c r="FY49" i="4" s="1"/>
  <c r="FH49" i="4"/>
  <c r="FI49" i="4" s="1"/>
  <c r="ES49" i="4"/>
  <c r="GF49" i="4"/>
  <c r="GG49" i="4" s="1"/>
  <c r="FP49" i="4"/>
  <c r="FQ49" i="4" s="1"/>
  <c r="EZ49" i="4"/>
  <c r="FA49" i="4" s="1"/>
  <c r="GF47" i="4"/>
  <c r="GG47" i="4" s="1"/>
  <c r="GB47" i="4"/>
  <c r="GC47" i="4" s="1"/>
  <c r="FX47" i="4"/>
  <c r="FY47" i="4" s="1"/>
  <c r="FT47" i="4"/>
  <c r="FU47" i="4" s="1"/>
  <c r="EX51" i="4"/>
  <c r="EY51" i="4" s="1"/>
  <c r="FN51" i="4"/>
  <c r="FO51" i="4" s="1"/>
  <c r="BZ44" i="4"/>
  <c r="EQ44" i="4"/>
  <c r="ER44" i="4" s="1"/>
  <c r="GH48" i="4"/>
  <c r="GI48" i="4" s="1"/>
  <c r="GD48" i="4"/>
  <c r="GE48" i="4" s="1"/>
  <c r="FZ48" i="4"/>
  <c r="GA48" i="4" s="1"/>
  <c r="FV48" i="4"/>
  <c r="FW48" i="4" s="1"/>
  <c r="FR48" i="4"/>
  <c r="FS48" i="4" s="1"/>
  <c r="FN48" i="4"/>
  <c r="FO48" i="4" s="1"/>
  <c r="FJ48" i="4"/>
  <c r="FK48" i="4" s="1"/>
  <c r="FF48" i="4"/>
  <c r="FG48" i="4" s="1"/>
  <c r="FB48" i="4"/>
  <c r="FC48" i="4" s="1"/>
  <c r="EX48" i="4"/>
  <c r="EY48" i="4" s="1"/>
  <c r="ET48" i="4"/>
  <c r="EU48" i="4" s="1"/>
  <c r="GF48" i="4"/>
  <c r="GG48" i="4" s="1"/>
  <c r="GB48" i="4"/>
  <c r="GC48" i="4" s="1"/>
  <c r="FX48" i="4"/>
  <c r="FY48" i="4" s="1"/>
  <c r="FT48" i="4"/>
  <c r="FU48" i="4" s="1"/>
  <c r="FP48" i="4"/>
  <c r="FQ48" i="4" s="1"/>
  <c r="FL48" i="4"/>
  <c r="FM48" i="4" s="1"/>
  <c r="FH48" i="4"/>
  <c r="FI48" i="4" s="1"/>
  <c r="FD48" i="4"/>
  <c r="FE48" i="4" s="1"/>
  <c r="EZ48" i="4"/>
  <c r="FA48" i="4" s="1"/>
  <c r="EV48" i="4"/>
  <c r="EW48" i="4" s="1"/>
  <c r="ES48" i="4"/>
  <c r="GF51" i="4"/>
  <c r="GG51" i="4" s="1"/>
  <c r="GB51" i="4"/>
  <c r="GC51" i="4" s="1"/>
  <c r="FX51" i="4"/>
  <c r="FY51" i="4" s="1"/>
  <c r="FT51" i="4"/>
  <c r="FU51" i="4" s="1"/>
  <c r="FP51" i="4"/>
  <c r="FQ51" i="4" s="1"/>
  <c r="FL51" i="4"/>
  <c r="FM51" i="4" s="1"/>
  <c r="FH51" i="4"/>
  <c r="FI51" i="4" s="1"/>
  <c r="FD51" i="4"/>
  <c r="FE51" i="4" s="1"/>
  <c r="EZ51" i="4"/>
  <c r="FA51" i="4" s="1"/>
  <c r="EV51" i="4"/>
  <c r="EW51" i="4" s="1"/>
  <c r="ES51" i="4"/>
  <c r="FR47" i="4"/>
  <c r="FS47" i="4" s="1"/>
  <c r="GH47" i="4"/>
  <c r="GI47" i="4" s="1"/>
  <c r="ET51" i="4"/>
  <c r="EU51" i="4" s="1"/>
  <c r="FJ51" i="4"/>
  <c r="FK51" i="4" s="1"/>
  <c r="FZ51" i="4"/>
  <c r="GA51" i="4" s="1"/>
  <c r="GH35" i="4"/>
  <c r="GI35" i="4" s="1"/>
  <c r="GD35" i="4"/>
  <c r="GE35" i="4" s="1"/>
  <c r="FZ35" i="4"/>
  <c r="GA35" i="4" s="1"/>
  <c r="FV35" i="4"/>
  <c r="FW35" i="4" s="1"/>
  <c r="FR35" i="4"/>
  <c r="FS35" i="4" s="1"/>
  <c r="FN35" i="4"/>
  <c r="FO35" i="4" s="1"/>
  <c r="FJ35" i="4"/>
  <c r="FK35" i="4" s="1"/>
  <c r="FF35" i="4"/>
  <c r="FG35" i="4" s="1"/>
  <c r="FB35" i="4"/>
  <c r="FC35" i="4" s="1"/>
  <c r="EX35" i="4"/>
  <c r="EY35" i="4" s="1"/>
  <c r="ET35" i="4"/>
  <c r="EU35" i="4" s="1"/>
  <c r="GF35" i="4"/>
  <c r="GG35" i="4" s="1"/>
  <c r="GB35" i="4"/>
  <c r="GC35" i="4" s="1"/>
  <c r="FX35" i="4"/>
  <c r="FY35" i="4" s="1"/>
  <c r="FT35" i="4"/>
  <c r="FU35" i="4" s="1"/>
  <c r="FP35" i="4"/>
  <c r="FQ35" i="4" s="1"/>
  <c r="FL35" i="4"/>
  <c r="FM35" i="4" s="1"/>
  <c r="FH35" i="4"/>
  <c r="FI35" i="4" s="1"/>
  <c r="FD35" i="4"/>
  <c r="FE35" i="4" s="1"/>
  <c r="EZ35" i="4"/>
  <c r="FA35" i="4" s="1"/>
  <c r="EV35" i="4"/>
  <c r="EW35" i="4" s="1"/>
  <c r="ES35" i="4"/>
  <c r="G19" i="4"/>
  <c r="BZ35" i="4"/>
  <c r="X18" i="4"/>
  <c r="Y18" i="4" s="1"/>
  <c r="AH31" i="4"/>
  <c r="AI31" i="4" s="1"/>
  <c r="T31" i="4"/>
  <c r="U31" i="4" s="1"/>
  <c r="N31" i="4"/>
  <c r="O31" i="4" s="1"/>
  <c r="AX31" i="4"/>
  <c r="AY31" i="4" s="1"/>
  <c r="AP31" i="4"/>
  <c r="AQ31" i="4" s="1"/>
  <c r="AJ31" i="4"/>
  <c r="AK31" i="4" s="1"/>
  <c r="AB31" i="4"/>
  <c r="AC31" i="4" s="1"/>
  <c r="Z31" i="4"/>
  <c r="AA31" i="4" s="1"/>
  <c r="R31" i="4"/>
  <c r="S31" i="4" s="1"/>
  <c r="P31" i="4"/>
  <c r="Q31" i="4" s="1"/>
  <c r="L31" i="4"/>
  <c r="M31" i="4" s="1"/>
  <c r="I31" i="4"/>
  <c r="AN31" i="4"/>
  <c r="AO31" i="4" s="1"/>
  <c r="AD31" i="4"/>
  <c r="AE31" i="4" s="1"/>
  <c r="X31" i="4"/>
  <c r="Y31" i="4" s="1"/>
  <c r="V31" i="4"/>
  <c r="W31" i="4" s="1"/>
  <c r="J31" i="4"/>
  <c r="K31" i="4" s="1"/>
  <c r="AP18" i="4"/>
  <c r="AQ18" i="4" s="1"/>
  <c r="AJ18" i="4"/>
  <c r="AK18" i="4" s="1"/>
  <c r="AB18" i="4"/>
  <c r="AC18" i="4" s="1"/>
  <c r="Z18" i="4"/>
  <c r="AA18" i="4" s="1"/>
  <c r="R18" i="4"/>
  <c r="S18" i="4" s="1"/>
  <c r="P18" i="4"/>
  <c r="Q18" i="4" s="1"/>
  <c r="L18" i="4"/>
  <c r="M18" i="4" s="1"/>
  <c r="AX18" i="4"/>
  <c r="AY18" i="4" s="1"/>
  <c r="AV18" i="4"/>
  <c r="AW18" i="4" s="1"/>
  <c r="AT18" i="4"/>
  <c r="AU18" i="4" s="1"/>
  <c r="AR18" i="4"/>
  <c r="AS18" i="4" s="1"/>
  <c r="AL18" i="4"/>
  <c r="AM18" i="4" s="1"/>
  <c r="AF18" i="4"/>
  <c r="AG18" i="4" s="1"/>
  <c r="J18" i="4"/>
  <c r="K18" i="4" s="1"/>
  <c r="AH18" i="4"/>
  <c r="AI18" i="4" s="1"/>
  <c r="T18" i="4"/>
  <c r="U18" i="4" s="1"/>
  <c r="N18" i="4"/>
  <c r="O18" i="4" s="1"/>
  <c r="I18" i="4"/>
  <c r="AD18" i="4"/>
  <c r="AE18" i="4" s="1"/>
  <c r="AT31" i="4"/>
  <c r="AU31" i="4" s="1"/>
  <c r="DP18" i="4"/>
  <c r="DQ18" i="4" s="1"/>
  <c r="DL18" i="4"/>
  <c r="DM18" i="4" s="1"/>
  <c r="DH18" i="4"/>
  <c r="DI18" i="4" s="1"/>
  <c r="DD18" i="4"/>
  <c r="DE18" i="4" s="1"/>
  <c r="CZ18" i="4"/>
  <c r="DA18" i="4" s="1"/>
  <c r="CV18" i="4"/>
  <c r="CW18" i="4" s="1"/>
  <c r="CR18" i="4"/>
  <c r="CS18" i="4" s="1"/>
  <c r="CN18" i="4"/>
  <c r="CO18" i="4" s="1"/>
  <c r="CJ18" i="4"/>
  <c r="CK18" i="4" s="1"/>
  <c r="CF18" i="4"/>
  <c r="CG18" i="4" s="1"/>
  <c r="CB18" i="4"/>
  <c r="CC18" i="4" s="1"/>
  <c r="DF18" i="4"/>
  <c r="DG18" i="4" s="1"/>
  <c r="DJ18" i="4"/>
  <c r="DK18" i="4" s="1"/>
  <c r="DN18" i="4"/>
  <c r="DO18" i="4" s="1"/>
  <c r="EQ31" i="4"/>
  <c r="ER31" i="4" s="1"/>
  <c r="BZ31" i="4"/>
  <c r="EQ18" i="4"/>
  <c r="ER18" i="4" s="1"/>
  <c r="DP34" i="4"/>
  <c r="DQ34" i="4" s="1"/>
  <c r="DL34" i="4"/>
  <c r="DM34" i="4" s="1"/>
  <c r="DH34" i="4"/>
  <c r="DI34" i="4" s="1"/>
  <c r="DD34" i="4"/>
  <c r="DE34" i="4" s="1"/>
  <c r="CZ34" i="4"/>
  <c r="DA34" i="4" s="1"/>
  <c r="CV34" i="4"/>
  <c r="CW34" i="4" s="1"/>
  <c r="CR34" i="4"/>
  <c r="CS34" i="4" s="1"/>
  <c r="CN34" i="4"/>
  <c r="CO34" i="4" s="1"/>
  <c r="CJ34" i="4"/>
  <c r="CK34" i="4" s="1"/>
  <c r="CF34" i="4"/>
  <c r="CG34" i="4" s="1"/>
  <c r="CB34" i="4"/>
  <c r="CC34" i="4" s="1"/>
  <c r="DN34" i="4"/>
  <c r="DO34" i="4" s="1"/>
  <c r="DJ34" i="4"/>
  <c r="DK34" i="4" s="1"/>
  <c r="DF34" i="4"/>
  <c r="DG34" i="4" s="1"/>
  <c r="DB34" i="4"/>
  <c r="DC34" i="4" s="1"/>
  <c r="CX34" i="4"/>
  <c r="CY34" i="4" s="1"/>
  <c r="CT34" i="4"/>
  <c r="CU34" i="4" s="1"/>
  <c r="CP34" i="4"/>
  <c r="CQ34" i="4" s="1"/>
  <c r="CL34" i="4"/>
  <c r="CM34" i="4" s="1"/>
  <c r="CH34" i="4"/>
  <c r="CI34" i="4" s="1"/>
  <c r="CD34" i="4"/>
  <c r="CE34" i="4" s="1"/>
  <c r="CA34" i="4"/>
  <c r="FT34" i="4"/>
  <c r="FU34" i="4" s="1"/>
  <c r="FL34" i="4"/>
  <c r="FM34" i="4" s="1"/>
  <c r="EZ34" i="4"/>
  <c r="FA34" i="4" s="1"/>
  <c r="GF34" i="4"/>
  <c r="GG34" i="4" s="1"/>
  <c r="FX34" i="4"/>
  <c r="FY34" i="4" s="1"/>
  <c r="FH34" i="4"/>
  <c r="FI34" i="4" s="1"/>
  <c r="EV34" i="4"/>
  <c r="EW34" i="4" s="1"/>
  <c r="GH34" i="4"/>
  <c r="GI34" i="4" s="1"/>
  <c r="GD34" i="4"/>
  <c r="GE34" i="4" s="1"/>
  <c r="FZ34" i="4"/>
  <c r="GA34" i="4" s="1"/>
  <c r="FV34" i="4"/>
  <c r="FW34" i="4" s="1"/>
  <c r="FR34" i="4"/>
  <c r="FS34" i="4" s="1"/>
  <c r="FN34" i="4"/>
  <c r="FO34" i="4" s="1"/>
  <c r="FJ34" i="4"/>
  <c r="FK34" i="4" s="1"/>
  <c r="FF34" i="4"/>
  <c r="FG34" i="4" s="1"/>
  <c r="FB34" i="4"/>
  <c r="FC34" i="4" s="1"/>
  <c r="EX34" i="4"/>
  <c r="EY34" i="4" s="1"/>
  <c r="ET34" i="4"/>
  <c r="EU34" i="4" s="1"/>
  <c r="GB34" i="4"/>
  <c r="GC34" i="4" s="1"/>
  <c r="FP34" i="4"/>
  <c r="FQ34" i="4" s="1"/>
  <c r="FD34" i="4"/>
  <c r="FE34" i="4" s="1"/>
  <c r="ES34" i="4"/>
  <c r="FB88" i="4"/>
  <c r="FC88" i="4" s="1"/>
  <c r="AR67" i="4"/>
  <c r="AS67" i="4" s="1"/>
  <c r="AP67" i="4"/>
  <c r="AQ67" i="4" s="1"/>
  <c r="X67" i="4"/>
  <c r="Y67" i="4" s="1"/>
  <c r="T67" i="4"/>
  <c r="U67" i="4" s="1"/>
  <c r="N67" i="4"/>
  <c r="O67" i="4" s="1"/>
  <c r="AL67" i="4"/>
  <c r="AM67" i="4" s="1"/>
  <c r="AH67" i="4"/>
  <c r="AI67" i="4" s="1"/>
  <c r="P67" i="4"/>
  <c r="Q67" i="4" s="1"/>
  <c r="AF67" i="4"/>
  <c r="AG67" i="4" s="1"/>
  <c r="AB67" i="4"/>
  <c r="AC67" i="4" s="1"/>
  <c r="Z67" i="4"/>
  <c r="AA67" i="4" s="1"/>
  <c r="AL71" i="4"/>
  <c r="AM71" i="4" s="1"/>
  <c r="AH71" i="4"/>
  <c r="AI71" i="4" s="1"/>
  <c r="AB71" i="4"/>
  <c r="AC71" i="4" s="1"/>
  <c r="Z71" i="4"/>
  <c r="AA71" i="4" s="1"/>
  <c r="P71" i="4"/>
  <c r="Q71" i="4" s="1"/>
  <c r="AP71" i="4"/>
  <c r="AQ71" i="4" s="1"/>
  <c r="T71" i="4"/>
  <c r="U71" i="4" s="1"/>
  <c r="N71" i="4"/>
  <c r="O71" i="4" s="1"/>
  <c r="AN71" i="4"/>
  <c r="AO71" i="4" s="1"/>
  <c r="AJ71" i="4"/>
  <c r="AK71" i="4" s="1"/>
  <c r="AD71" i="4"/>
  <c r="AE71" i="4" s="1"/>
  <c r="V71" i="4"/>
  <c r="W71" i="4" s="1"/>
  <c r="R71" i="4"/>
  <c r="S71" i="4" s="1"/>
  <c r="T75" i="4"/>
  <c r="U75" i="4" s="1"/>
  <c r="AB75" i="4"/>
  <c r="AC75" i="4" s="1"/>
  <c r="AF75" i="4"/>
  <c r="AG75" i="4" s="1"/>
  <c r="FT66" i="4"/>
  <c r="FU66" i="4" s="1"/>
  <c r="FD66" i="4"/>
  <c r="FE66" i="4" s="1"/>
  <c r="GB66" i="4"/>
  <c r="GC66" i="4" s="1"/>
  <c r="FL66" i="4"/>
  <c r="FM66" i="4" s="1"/>
  <c r="EV66" i="4"/>
  <c r="EW66" i="4" s="1"/>
  <c r="FX66" i="4"/>
  <c r="FY66" i="4" s="1"/>
  <c r="FH66" i="4"/>
  <c r="FI66" i="4" s="1"/>
  <c r="ES66" i="4"/>
  <c r="FX70" i="4"/>
  <c r="FY70" i="4" s="1"/>
  <c r="FH70" i="4"/>
  <c r="FI70" i="4" s="1"/>
  <c r="ES70" i="4"/>
  <c r="GF70" i="4"/>
  <c r="GG70" i="4" s="1"/>
  <c r="FP70" i="4"/>
  <c r="FQ70" i="4" s="1"/>
  <c r="EZ70" i="4"/>
  <c r="FA70" i="4" s="1"/>
  <c r="GB70" i="4"/>
  <c r="GC70" i="4" s="1"/>
  <c r="FL70" i="4"/>
  <c r="FM70" i="4" s="1"/>
  <c r="EV70" i="4"/>
  <c r="EW70" i="4" s="1"/>
  <c r="EQ85" i="4"/>
  <c r="ER85" i="4" s="1"/>
  <c r="BZ85" i="4"/>
  <c r="DH85" i="4" s="1"/>
  <c r="DI85" i="4" s="1"/>
  <c r="BY76" i="4"/>
  <c r="H76" i="4"/>
  <c r="AX76" i="4" s="1"/>
  <c r="AY76" i="4" s="1"/>
  <c r="BY82" i="4"/>
  <c r="H82" i="4"/>
  <c r="AX82" i="4" s="1"/>
  <c r="AY82" i="4" s="1"/>
  <c r="L67" i="4"/>
  <c r="M67" i="4" s="1"/>
  <c r="AD67" i="4"/>
  <c r="AE67" i="4" s="1"/>
  <c r="AF71" i="4"/>
  <c r="AG71" i="4" s="1"/>
  <c r="AJ67" i="4"/>
  <c r="AK67" i="4" s="1"/>
  <c r="AP83" i="4"/>
  <c r="AQ83" i="4" s="1"/>
  <c r="T83" i="4"/>
  <c r="U83" i="4" s="1"/>
  <c r="N83" i="4"/>
  <c r="O83" i="4" s="1"/>
  <c r="L83" i="4"/>
  <c r="M83" i="4" s="1"/>
  <c r="AL83" i="4"/>
  <c r="AM83" i="4" s="1"/>
  <c r="AH83" i="4"/>
  <c r="AI83" i="4" s="1"/>
  <c r="X83" i="4"/>
  <c r="Y83" i="4" s="1"/>
  <c r="P83" i="4"/>
  <c r="Q83" i="4" s="1"/>
  <c r="J83" i="4"/>
  <c r="K83" i="4" s="1"/>
  <c r="AR83" i="4"/>
  <c r="AS83" i="4" s="1"/>
  <c r="AF83" i="4"/>
  <c r="AG83" i="4" s="1"/>
  <c r="AL87" i="4"/>
  <c r="AM87" i="4" s="1"/>
  <c r="AH87" i="4"/>
  <c r="AI87" i="4" s="1"/>
  <c r="P87" i="4"/>
  <c r="Q87" i="4" s="1"/>
  <c r="AP87" i="4"/>
  <c r="AQ87" i="4" s="1"/>
  <c r="Z87" i="4"/>
  <c r="AA87" i="4" s="1"/>
  <c r="T87" i="4"/>
  <c r="U87" i="4" s="1"/>
  <c r="N87" i="4"/>
  <c r="O87" i="4" s="1"/>
  <c r="AN87" i="4"/>
  <c r="AO87" i="4" s="1"/>
  <c r="AJ87" i="4"/>
  <c r="AK87" i="4" s="1"/>
  <c r="AD87" i="4"/>
  <c r="AE87" i="4" s="1"/>
  <c r="X87" i="4"/>
  <c r="Y87" i="4" s="1"/>
  <c r="V87" i="4"/>
  <c r="W87" i="4" s="1"/>
  <c r="R87" i="4"/>
  <c r="S87" i="4" s="1"/>
  <c r="L87" i="4"/>
  <c r="M87" i="4" s="1"/>
  <c r="DP66" i="4"/>
  <c r="DQ66" i="4" s="1"/>
  <c r="DH66" i="4"/>
  <c r="DI66" i="4" s="1"/>
  <c r="CZ66" i="4"/>
  <c r="DA66" i="4" s="1"/>
  <c r="CJ66" i="4"/>
  <c r="CK66" i="4" s="1"/>
  <c r="CB66" i="4"/>
  <c r="CC66" i="4" s="1"/>
  <c r="DL66" i="4"/>
  <c r="DM66" i="4" s="1"/>
  <c r="CV66" i="4"/>
  <c r="CW66" i="4" s="1"/>
  <c r="CN66" i="4"/>
  <c r="CO66" i="4" s="1"/>
  <c r="CF66" i="4"/>
  <c r="CG66" i="4" s="1"/>
  <c r="DB66" i="4"/>
  <c r="DC66" i="4" s="1"/>
  <c r="CT66" i="4"/>
  <c r="CU66" i="4" s="1"/>
  <c r="CL66" i="4"/>
  <c r="CM66" i="4" s="1"/>
  <c r="DL75" i="4"/>
  <c r="DM75" i="4" s="1"/>
  <c r="CB79" i="4"/>
  <c r="CC79" i="4" s="1"/>
  <c r="FP66" i="4"/>
  <c r="FQ66" i="4" s="1"/>
  <c r="FD70" i="4"/>
  <c r="FE70" i="4" s="1"/>
  <c r="GB72" i="4"/>
  <c r="GC72" i="4" s="1"/>
  <c r="FT72" i="4"/>
  <c r="FU72" i="4" s="1"/>
  <c r="EZ72" i="4"/>
  <c r="FA72" i="4" s="1"/>
  <c r="GF72" i="4"/>
  <c r="GG72" i="4" s="1"/>
  <c r="FH72" i="4"/>
  <c r="FI72" i="4" s="1"/>
  <c r="FX72" i="4"/>
  <c r="FY72" i="4" s="1"/>
  <c r="FD72" i="4"/>
  <c r="FE72" i="4" s="1"/>
  <c r="EQ74" i="4"/>
  <c r="ER74" i="4" s="1"/>
  <c r="FX74" i="4" s="1"/>
  <c r="FY74" i="4" s="1"/>
  <c r="BZ74" i="4"/>
  <c r="FP75" i="4"/>
  <c r="FQ75" i="4" s="1"/>
  <c r="GF75" i="4"/>
  <c r="GG75" i="4" s="1"/>
  <c r="EZ75" i="4"/>
  <c r="FA75" i="4" s="1"/>
  <c r="FX75" i="4"/>
  <c r="FY75" i="4" s="1"/>
  <c r="ES75" i="4"/>
  <c r="GF86" i="4"/>
  <c r="GG86" i="4" s="1"/>
  <c r="EZ86" i="4"/>
  <c r="FA86" i="4" s="1"/>
  <c r="FP86" i="4"/>
  <c r="FQ86" i="4" s="1"/>
  <c r="FH86" i="4"/>
  <c r="FI86" i="4" s="1"/>
  <c r="I71" i="4"/>
  <c r="L71" i="4"/>
  <c r="M71" i="4" s="1"/>
  <c r="V67" i="4"/>
  <c r="W67" i="4" s="1"/>
  <c r="X71" i="4"/>
  <c r="Y71" i="4" s="1"/>
  <c r="AL79" i="4"/>
  <c r="AM79" i="4" s="1"/>
  <c r="AH79" i="4"/>
  <c r="AI79" i="4" s="1"/>
  <c r="X79" i="4"/>
  <c r="Y79" i="4" s="1"/>
  <c r="P79" i="4"/>
  <c r="Q79" i="4" s="1"/>
  <c r="AP79" i="4"/>
  <c r="AQ79" i="4" s="1"/>
  <c r="T79" i="4"/>
  <c r="U79" i="4" s="1"/>
  <c r="N79" i="4"/>
  <c r="O79" i="4" s="1"/>
  <c r="AN79" i="4"/>
  <c r="AO79" i="4" s="1"/>
  <c r="AJ79" i="4"/>
  <c r="AK79" i="4" s="1"/>
  <c r="AD79" i="4"/>
  <c r="AE79" i="4" s="1"/>
  <c r="AB79" i="4"/>
  <c r="AC79" i="4" s="1"/>
  <c r="Z79" i="4"/>
  <c r="AA79" i="4" s="1"/>
  <c r="V79" i="4"/>
  <c r="W79" i="4" s="1"/>
  <c r="R79" i="4"/>
  <c r="S79" i="4" s="1"/>
  <c r="CH66" i="4"/>
  <c r="CI66" i="4" s="1"/>
  <c r="CZ79" i="4"/>
  <c r="DA79" i="4" s="1"/>
  <c r="GF66" i="4"/>
  <c r="GG66" i="4" s="1"/>
  <c r="FT70" i="4"/>
  <c r="FU70" i="4" s="1"/>
  <c r="EQ78" i="4"/>
  <c r="ER78" i="4" s="1"/>
  <c r="FX78" i="4" s="1"/>
  <c r="FY78" i="4" s="1"/>
  <c r="BZ78" i="4"/>
  <c r="CN78" i="4" s="1"/>
  <c r="CO78" i="4" s="1"/>
  <c r="GD73" i="4"/>
  <c r="GE73" i="4" s="1"/>
  <c r="FJ77" i="4"/>
  <c r="FK77" i="4" s="1"/>
  <c r="GH77" i="4"/>
  <c r="GI77" i="4" s="1"/>
  <c r="FN73" i="4"/>
  <c r="FO73" i="4" s="1"/>
  <c r="FF77" i="4"/>
  <c r="FG77" i="4" s="1"/>
  <c r="FZ77" i="4"/>
  <c r="GA77" i="4" s="1"/>
  <c r="DP64" i="4"/>
  <c r="DQ64" i="4" s="1"/>
  <c r="DH64" i="4"/>
  <c r="DI64" i="4" s="1"/>
  <c r="CZ64" i="4"/>
  <c r="DA64" i="4" s="1"/>
  <c r="CR64" i="4"/>
  <c r="CS64" i="4" s="1"/>
  <c r="CJ64" i="4"/>
  <c r="CK64" i="4" s="1"/>
  <c r="CB64" i="4"/>
  <c r="CC64" i="4" s="1"/>
  <c r="CV64" i="4"/>
  <c r="CW64" i="4" s="1"/>
  <c r="CN64" i="4"/>
  <c r="CO64" i="4" s="1"/>
  <c r="DN64" i="4"/>
  <c r="DO64" i="4" s="1"/>
  <c r="DF64" i="4"/>
  <c r="DG64" i="4" s="1"/>
  <c r="CX64" i="4"/>
  <c r="CY64" i="4" s="1"/>
  <c r="CP64" i="4"/>
  <c r="CQ64" i="4" s="1"/>
  <c r="CH64" i="4"/>
  <c r="CI64" i="4" s="1"/>
  <c r="CA64" i="4"/>
  <c r="DD64" i="4"/>
  <c r="DE64" i="4" s="1"/>
  <c r="CF64" i="4"/>
  <c r="CG64" i="4" s="1"/>
  <c r="DJ64" i="4"/>
  <c r="DK64" i="4" s="1"/>
  <c r="DB64" i="4"/>
  <c r="DC64" i="4" s="1"/>
  <c r="CT64" i="4"/>
  <c r="CU64" i="4" s="1"/>
  <c r="CL64" i="4"/>
  <c r="CM64" i="4" s="1"/>
  <c r="CD64" i="4"/>
  <c r="CE64" i="4" s="1"/>
  <c r="DL64" i="4"/>
  <c r="DM64" i="4" s="1"/>
  <c r="H64" i="4"/>
  <c r="I64" i="4" s="1"/>
  <c r="EQ64" i="4"/>
  <c r="ER64" i="4" s="1"/>
  <c r="FL64" i="4" s="1"/>
  <c r="FM64" i="4" s="1"/>
  <c r="AP89" i="4"/>
  <c r="AQ89" i="4" s="1"/>
  <c r="AD89" i="4"/>
  <c r="AE89" i="4" s="1"/>
  <c r="X89" i="4"/>
  <c r="Y89" i="4" s="1"/>
  <c r="N89" i="4"/>
  <c r="O89" i="4" s="1"/>
  <c r="R89" i="4"/>
  <c r="S89" i="4" s="1"/>
  <c r="AF89" i="4"/>
  <c r="AG89" i="4" s="1"/>
  <c r="P89" i="4"/>
  <c r="Q89" i="4" s="1"/>
  <c r="L89" i="4"/>
  <c r="M89" i="4" s="1"/>
  <c r="AR89" i="4"/>
  <c r="AS89" i="4" s="1"/>
  <c r="AL89" i="4"/>
  <c r="AM89" i="4" s="1"/>
  <c r="Z89" i="4"/>
  <c r="AA89" i="4" s="1"/>
  <c r="V89" i="4"/>
  <c r="W89" i="4" s="1"/>
  <c r="AN89" i="4"/>
  <c r="AO89" i="4" s="1"/>
  <c r="AJ89" i="4"/>
  <c r="AK89" i="4" s="1"/>
  <c r="T89" i="4"/>
  <c r="U89" i="4" s="1"/>
  <c r="J89" i="4"/>
  <c r="K89" i="4" s="1"/>
  <c r="I89" i="4"/>
  <c r="AH89" i="4"/>
  <c r="AI89" i="4" s="1"/>
  <c r="J63" i="4"/>
  <c r="K63" i="4" s="1"/>
  <c r="R63" i="4"/>
  <c r="S63" i="4" s="1"/>
  <c r="V63" i="4"/>
  <c r="W63" i="4" s="1"/>
  <c r="AH63" i="4"/>
  <c r="AI63" i="4" s="1"/>
  <c r="AL63" i="4"/>
  <c r="AM63" i="4" s="1"/>
  <c r="BY89" i="4"/>
  <c r="L63" i="4"/>
  <c r="M63" i="4" s="1"/>
  <c r="N63" i="4"/>
  <c r="O63" i="4" s="1"/>
  <c r="AD63" i="4"/>
  <c r="AE63" i="4" s="1"/>
  <c r="AP63" i="4"/>
  <c r="AQ63" i="4" s="1"/>
  <c r="I63" i="4"/>
  <c r="T63" i="4"/>
  <c r="U63" i="4" s="1"/>
  <c r="X63" i="4"/>
  <c r="Y63" i="4" s="1"/>
  <c r="AB63" i="4"/>
  <c r="AC63" i="4" s="1"/>
  <c r="AJ63" i="4"/>
  <c r="AK63" i="4" s="1"/>
  <c r="GH58" i="4"/>
  <c r="GI58" i="4" s="1"/>
  <c r="GD58" i="4"/>
  <c r="GE58" i="4" s="1"/>
  <c r="FZ58" i="4"/>
  <c r="GA58" i="4" s="1"/>
  <c r="FV58" i="4"/>
  <c r="FW58" i="4" s="1"/>
  <c r="FR58" i="4"/>
  <c r="FS58" i="4" s="1"/>
  <c r="FN58" i="4"/>
  <c r="FO58" i="4" s="1"/>
  <c r="FJ58" i="4"/>
  <c r="FK58" i="4" s="1"/>
  <c r="FF58" i="4"/>
  <c r="FG58" i="4" s="1"/>
  <c r="FB58" i="4"/>
  <c r="FC58" i="4" s="1"/>
  <c r="EX58" i="4"/>
  <c r="EY58" i="4" s="1"/>
  <c r="ET58" i="4"/>
  <c r="EU58" i="4" s="1"/>
  <c r="GF58" i="4"/>
  <c r="GG58" i="4" s="1"/>
  <c r="GB58" i="4"/>
  <c r="GC58" i="4" s="1"/>
  <c r="FX58" i="4"/>
  <c r="FY58" i="4" s="1"/>
  <c r="FT58" i="4"/>
  <c r="FU58" i="4" s="1"/>
  <c r="FP58" i="4"/>
  <c r="FQ58" i="4" s="1"/>
  <c r="FL58" i="4"/>
  <c r="FM58" i="4" s="1"/>
  <c r="FH58" i="4"/>
  <c r="FI58" i="4" s="1"/>
  <c r="FD58" i="4"/>
  <c r="FE58" i="4" s="1"/>
  <c r="EZ58" i="4"/>
  <c r="FA58" i="4" s="1"/>
  <c r="EV58" i="4"/>
  <c r="EW58" i="4" s="1"/>
  <c r="ES58" i="4"/>
  <c r="BZ58" i="4"/>
  <c r="AX57" i="4"/>
  <c r="AY57" i="4" s="1"/>
  <c r="AV57" i="4"/>
  <c r="AW57" i="4" s="1"/>
  <c r="AT57" i="4"/>
  <c r="AU57" i="4" s="1"/>
  <c r="AR57" i="4"/>
  <c r="AS57" i="4" s="1"/>
  <c r="AP57" i="4"/>
  <c r="AQ57" i="4" s="1"/>
  <c r="AN57" i="4"/>
  <c r="AO57" i="4" s="1"/>
  <c r="AL57" i="4"/>
  <c r="AM57" i="4" s="1"/>
  <c r="X57" i="4"/>
  <c r="Y57" i="4" s="1"/>
  <c r="V57" i="4"/>
  <c r="W57" i="4" s="1"/>
  <c r="AJ57" i="4"/>
  <c r="AK57" i="4" s="1"/>
  <c r="AB57" i="4"/>
  <c r="AC57" i="4" s="1"/>
  <c r="R57" i="4"/>
  <c r="S57" i="4" s="1"/>
  <c r="Z57" i="4"/>
  <c r="AA57" i="4" s="1"/>
  <c r="L57" i="4"/>
  <c r="M57" i="4" s="1"/>
  <c r="AD57" i="4"/>
  <c r="AE57" i="4" s="1"/>
  <c r="N57" i="4"/>
  <c r="O57" i="4" s="1"/>
  <c r="J57" i="4"/>
  <c r="K57" i="4" s="1"/>
  <c r="I57" i="4"/>
  <c r="AH57" i="4"/>
  <c r="AI57" i="4" s="1"/>
  <c r="AF57" i="4"/>
  <c r="AG57" i="4" s="1"/>
  <c r="T57" i="4"/>
  <c r="U57" i="4" s="1"/>
  <c r="P57" i="4"/>
  <c r="Q57" i="4" s="1"/>
  <c r="BY57" i="4"/>
  <c r="GH59" i="4"/>
  <c r="GI59" i="4" s="1"/>
  <c r="GD59" i="4"/>
  <c r="GE59" i="4" s="1"/>
  <c r="FZ59" i="4"/>
  <c r="GA59" i="4" s="1"/>
  <c r="FV59" i="4"/>
  <c r="FW59" i="4" s="1"/>
  <c r="FR59" i="4"/>
  <c r="FS59" i="4" s="1"/>
  <c r="FN59" i="4"/>
  <c r="FO59" i="4" s="1"/>
  <c r="FJ59" i="4"/>
  <c r="FK59" i="4" s="1"/>
  <c r="FF59" i="4"/>
  <c r="FG59" i="4" s="1"/>
  <c r="FB59" i="4"/>
  <c r="FC59" i="4" s="1"/>
  <c r="EX59" i="4"/>
  <c r="EY59" i="4" s="1"/>
  <c r="ET59" i="4"/>
  <c r="EU59" i="4" s="1"/>
  <c r="ES59" i="4"/>
  <c r="FH59" i="4"/>
  <c r="FI59" i="4" s="1"/>
  <c r="FX59" i="4"/>
  <c r="FY59" i="4" s="1"/>
  <c r="DN59" i="4"/>
  <c r="DO59" i="4" s="1"/>
  <c r="DJ59" i="4"/>
  <c r="DK59" i="4" s="1"/>
  <c r="DF59" i="4"/>
  <c r="DG59" i="4" s="1"/>
  <c r="DB59" i="4"/>
  <c r="DC59" i="4" s="1"/>
  <c r="CX59" i="4"/>
  <c r="CY59" i="4" s="1"/>
  <c r="CT59" i="4"/>
  <c r="CU59" i="4" s="1"/>
  <c r="CP59" i="4"/>
  <c r="CQ59" i="4" s="1"/>
  <c r="CL59" i="4"/>
  <c r="CM59" i="4" s="1"/>
  <c r="CH59" i="4"/>
  <c r="CI59" i="4" s="1"/>
  <c r="CD59" i="4"/>
  <c r="CE59" i="4" s="1"/>
  <c r="CA59" i="4"/>
  <c r="D20" i="4"/>
  <c r="G60" i="4"/>
  <c r="AH66" i="4"/>
  <c r="AI66" i="4" s="1"/>
  <c r="AF66" i="4"/>
  <c r="AG66" i="4" s="1"/>
  <c r="AR66" i="4"/>
  <c r="AS66" i="4" s="1"/>
  <c r="AP66" i="4"/>
  <c r="AQ66" i="4" s="1"/>
  <c r="AT66" i="4"/>
  <c r="AU66" i="4" s="1"/>
  <c r="AJ70" i="4"/>
  <c r="AK70" i="4" s="1"/>
  <c r="AH70" i="4"/>
  <c r="AI70" i="4" s="1"/>
  <c r="AF70" i="4"/>
  <c r="AG70" i="4" s="1"/>
  <c r="AD70" i="4"/>
  <c r="AE70" i="4" s="1"/>
  <c r="AX70" i="4"/>
  <c r="AY70" i="4" s="1"/>
  <c r="AR70" i="4"/>
  <c r="AS70" i="4" s="1"/>
  <c r="AP70" i="4"/>
  <c r="AQ70" i="4" s="1"/>
  <c r="AN70" i="4"/>
  <c r="AO70" i="4" s="1"/>
  <c r="AL70" i="4"/>
  <c r="AM70" i="4" s="1"/>
  <c r="AV70" i="4"/>
  <c r="AW70" i="4" s="1"/>
  <c r="AJ74" i="4"/>
  <c r="AK74" i="4" s="1"/>
  <c r="AH74" i="4"/>
  <c r="AI74" i="4" s="1"/>
  <c r="AF74" i="4"/>
  <c r="AG74" i="4" s="1"/>
  <c r="AD74" i="4"/>
  <c r="AE74" i="4" s="1"/>
  <c r="AX74" i="4"/>
  <c r="AY74" i="4" s="1"/>
  <c r="AR74" i="4"/>
  <c r="AS74" i="4" s="1"/>
  <c r="AP74" i="4"/>
  <c r="AQ74" i="4" s="1"/>
  <c r="AN74" i="4"/>
  <c r="AO74" i="4" s="1"/>
  <c r="AL74" i="4"/>
  <c r="AM74" i="4" s="1"/>
  <c r="AT74" i="4"/>
  <c r="AU74" i="4" s="1"/>
  <c r="AH78" i="4"/>
  <c r="AI78" i="4" s="1"/>
  <c r="AR78" i="4"/>
  <c r="AS78" i="4" s="1"/>
  <c r="AV78" i="4"/>
  <c r="AW78" i="4" s="1"/>
  <c r="AJ86" i="4"/>
  <c r="AK86" i="4" s="1"/>
  <c r="AH86" i="4"/>
  <c r="AI86" i="4" s="1"/>
  <c r="AF86" i="4"/>
  <c r="AG86" i="4" s="1"/>
  <c r="AD86" i="4"/>
  <c r="AE86" i="4" s="1"/>
  <c r="AX86" i="4"/>
  <c r="AY86" i="4" s="1"/>
  <c r="AR86" i="4"/>
  <c r="AS86" i="4" s="1"/>
  <c r="AP86" i="4"/>
  <c r="AQ86" i="4" s="1"/>
  <c r="AN86" i="4"/>
  <c r="AO86" i="4" s="1"/>
  <c r="AL86" i="4"/>
  <c r="AM86" i="4" s="1"/>
  <c r="AV86" i="4"/>
  <c r="AW86" i="4" s="1"/>
  <c r="AB86" i="4"/>
  <c r="AC86" i="4" s="1"/>
  <c r="EQ63" i="4"/>
  <c r="ER63" i="4" s="1"/>
  <c r="BZ63" i="4"/>
  <c r="I68" i="4"/>
  <c r="I80" i="4"/>
  <c r="I84" i="4"/>
  <c r="N80" i="4"/>
  <c r="O80" i="4" s="1"/>
  <c r="N84" i="4"/>
  <c r="O84" i="4" s="1"/>
  <c r="P72" i="4"/>
  <c r="Q72" i="4" s="1"/>
  <c r="P80" i="4"/>
  <c r="Q80" i="4" s="1"/>
  <c r="P84" i="4"/>
  <c r="Q84" i="4" s="1"/>
  <c r="R80" i="4"/>
  <c r="S80" i="4" s="1"/>
  <c r="R84" i="4"/>
  <c r="S84" i="4" s="1"/>
  <c r="T84" i="4"/>
  <c r="U84" i="4" s="1"/>
  <c r="V70" i="4"/>
  <c r="W70" i="4" s="1"/>
  <c r="V74" i="4"/>
  <c r="W74" i="4" s="1"/>
  <c r="V86" i="4"/>
  <c r="W86" i="4" s="1"/>
  <c r="X74" i="4"/>
  <c r="Y74" i="4" s="1"/>
  <c r="Z74" i="4"/>
  <c r="AA74" i="4" s="1"/>
  <c r="AB74" i="4"/>
  <c r="AC74" i="4" s="1"/>
  <c r="AT84" i="4"/>
  <c r="AU84" i="4" s="1"/>
  <c r="AV74" i="4"/>
  <c r="AW74" i="4" s="1"/>
  <c r="DN73" i="4"/>
  <c r="DO73" i="4" s="1"/>
  <c r="DJ73" i="4"/>
  <c r="DK73" i="4" s="1"/>
  <c r="DF73" i="4"/>
  <c r="DG73" i="4" s="1"/>
  <c r="DB73" i="4"/>
  <c r="DC73" i="4" s="1"/>
  <c r="CX73" i="4"/>
  <c r="CY73" i="4" s="1"/>
  <c r="CT73" i="4"/>
  <c r="CU73" i="4" s="1"/>
  <c r="CP73" i="4"/>
  <c r="CQ73" i="4" s="1"/>
  <c r="CL73" i="4"/>
  <c r="CM73" i="4" s="1"/>
  <c r="CH73" i="4"/>
  <c r="CI73" i="4" s="1"/>
  <c r="CD73" i="4"/>
  <c r="CE73" i="4" s="1"/>
  <c r="CA73" i="4"/>
  <c r="DP73" i="4"/>
  <c r="DQ73" i="4" s="1"/>
  <c r="CZ73" i="4"/>
  <c r="DA73" i="4" s="1"/>
  <c r="CJ73" i="4"/>
  <c r="CK73" i="4" s="1"/>
  <c r="DH73" i="4"/>
  <c r="DI73" i="4" s="1"/>
  <c r="CR73" i="4"/>
  <c r="CS73" i="4" s="1"/>
  <c r="CB73" i="4"/>
  <c r="CC73" i="4" s="1"/>
  <c r="CV73" i="4"/>
  <c r="CW73" i="4" s="1"/>
  <c r="DD73" i="4"/>
  <c r="DE73" i="4" s="1"/>
  <c r="AR64" i="4"/>
  <c r="AS64" i="4" s="1"/>
  <c r="AX64" i="4"/>
  <c r="AY64" i="4" s="1"/>
  <c r="AD64" i="4"/>
  <c r="AE64" i="4" s="1"/>
  <c r="AR68" i="4"/>
  <c r="AS68" i="4" s="1"/>
  <c r="AP68" i="4"/>
  <c r="AQ68" i="4" s="1"/>
  <c r="AX68" i="4"/>
  <c r="AY68" i="4" s="1"/>
  <c r="AJ68" i="4"/>
  <c r="AK68" i="4" s="1"/>
  <c r="AD68" i="4"/>
  <c r="AE68" i="4" s="1"/>
  <c r="AB68" i="4"/>
  <c r="AC68" i="4" s="1"/>
  <c r="AL72" i="4"/>
  <c r="AM72" i="4" s="1"/>
  <c r="AF72" i="4"/>
  <c r="AG72" i="4" s="1"/>
  <c r="X72" i="4"/>
  <c r="Y72" i="4" s="1"/>
  <c r="AR76" i="4"/>
  <c r="AS76" i="4" s="1"/>
  <c r="AL76" i="4"/>
  <c r="AM76" i="4" s="1"/>
  <c r="AF76" i="4"/>
  <c r="AG76" i="4" s="1"/>
  <c r="AD76" i="4"/>
  <c r="AE76" i="4" s="1"/>
  <c r="X76" i="4"/>
  <c r="Y76" i="4" s="1"/>
  <c r="AR80" i="4"/>
  <c r="AS80" i="4" s="1"/>
  <c r="AP80" i="4"/>
  <c r="AQ80" i="4" s="1"/>
  <c r="AN80" i="4"/>
  <c r="AO80" i="4" s="1"/>
  <c r="AL80" i="4"/>
  <c r="AM80" i="4" s="1"/>
  <c r="AX80" i="4"/>
  <c r="AY80" i="4" s="1"/>
  <c r="AJ80" i="4"/>
  <c r="AK80" i="4" s="1"/>
  <c r="AH80" i="4"/>
  <c r="AI80" i="4" s="1"/>
  <c r="AF80" i="4"/>
  <c r="AG80" i="4" s="1"/>
  <c r="AD80" i="4"/>
  <c r="AE80" i="4" s="1"/>
  <c r="AB80" i="4"/>
  <c r="AC80" i="4" s="1"/>
  <c r="Z80" i="4"/>
  <c r="AA80" i="4" s="1"/>
  <c r="X80" i="4"/>
  <c r="Y80" i="4" s="1"/>
  <c r="AR84" i="4"/>
  <c r="AS84" i="4" s="1"/>
  <c r="AP84" i="4"/>
  <c r="AQ84" i="4" s="1"/>
  <c r="AN84" i="4"/>
  <c r="AO84" i="4" s="1"/>
  <c r="AL84" i="4"/>
  <c r="AM84" i="4" s="1"/>
  <c r="AX84" i="4"/>
  <c r="AY84" i="4" s="1"/>
  <c r="AJ84" i="4"/>
  <c r="AK84" i="4" s="1"/>
  <c r="AH84" i="4"/>
  <c r="AI84" i="4" s="1"/>
  <c r="AF84" i="4"/>
  <c r="AG84" i="4" s="1"/>
  <c r="AD84" i="4"/>
  <c r="AE84" i="4" s="1"/>
  <c r="Z84" i="4"/>
  <c r="AA84" i="4" s="1"/>
  <c r="X84" i="4"/>
  <c r="Y84" i="4" s="1"/>
  <c r="I70" i="4"/>
  <c r="I74" i="4"/>
  <c r="I86" i="4"/>
  <c r="N70" i="4"/>
  <c r="O70" i="4" s="1"/>
  <c r="N74" i="4"/>
  <c r="O74" i="4" s="1"/>
  <c r="N78" i="4"/>
  <c r="O78" i="4" s="1"/>
  <c r="N86" i="4"/>
  <c r="O86" i="4" s="1"/>
  <c r="P70" i="4"/>
  <c r="Q70" i="4" s="1"/>
  <c r="P74" i="4"/>
  <c r="Q74" i="4" s="1"/>
  <c r="P86" i="4"/>
  <c r="Q86" i="4" s="1"/>
  <c r="R70" i="4"/>
  <c r="S70" i="4" s="1"/>
  <c r="R74" i="4"/>
  <c r="S74" i="4" s="1"/>
  <c r="R86" i="4"/>
  <c r="S86" i="4" s="1"/>
  <c r="T70" i="4"/>
  <c r="U70" i="4" s="1"/>
  <c r="T74" i="4"/>
  <c r="U74" i="4" s="1"/>
  <c r="T78" i="4"/>
  <c r="U78" i="4" s="1"/>
  <c r="T86" i="4"/>
  <c r="U86" i="4" s="1"/>
  <c r="V68" i="4"/>
  <c r="W68" i="4" s="1"/>
  <c r="V72" i="4"/>
  <c r="W72" i="4" s="1"/>
  <c r="V76" i="4"/>
  <c r="W76" i="4" s="1"/>
  <c r="V80" i="4"/>
  <c r="W80" i="4" s="1"/>
  <c r="V84" i="4"/>
  <c r="W84" i="4" s="1"/>
  <c r="AB66" i="4"/>
  <c r="AC66" i="4" s="1"/>
  <c r="AV80" i="4"/>
  <c r="AW80" i="4" s="1"/>
  <c r="AV63" i="4"/>
  <c r="AW63" i="4" s="1"/>
  <c r="AT63" i="4"/>
  <c r="AU63" i="4" s="1"/>
  <c r="AX63" i="4"/>
  <c r="AY63" i="4" s="1"/>
  <c r="AV67" i="4"/>
  <c r="AW67" i="4" s="1"/>
  <c r="AT67" i="4"/>
  <c r="AU67" i="4" s="1"/>
  <c r="AX67" i="4"/>
  <c r="AY67" i="4" s="1"/>
  <c r="AV71" i="4"/>
  <c r="AW71" i="4" s="1"/>
  <c r="AT71" i="4"/>
  <c r="AU71" i="4" s="1"/>
  <c r="AX71" i="4"/>
  <c r="AY71" i="4" s="1"/>
  <c r="AX75" i="4"/>
  <c r="AY75" i="4" s="1"/>
  <c r="AV79" i="4"/>
  <c r="AW79" i="4" s="1"/>
  <c r="AT79" i="4"/>
  <c r="AU79" i="4" s="1"/>
  <c r="AX79" i="4"/>
  <c r="AY79" i="4" s="1"/>
  <c r="AV83" i="4"/>
  <c r="AW83" i="4" s="1"/>
  <c r="AT83" i="4"/>
  <c r="AU83" i="4" s="1"/>
  <c r="AB83" i="4"/>
  <c r="AC83" i="4" s="1"/>
  <c r="AX83" i="4"/>
  <c r="AY83" i="4" s="1"/>
  <c r="AV87" i="4"/>
  <c r="AW87" i="4" s="1"/>
  <c r="AT87" i="4"/>
  <c r="AU87" i="4" s="1"/>
  <c r="AB87" i="4"/>
  <c r="AC87" i="4" s="1"/>
  <c r="AX87" i="4"/>
  <c r="AY87" i="4" s="1"/>
  <c r="DJ75" i="4"/>
  <c r="DK75" i="4" s="1"/>
  <c r="CT75" i="4"/>
  <c r="CU75" i="4" s="1"/>
  <c r="CD75" i="4"/>
  <c r="CE75" i="4" s="1"/>
  <c r="CB75" i="4"/>
  <c r="CC75" i="4" s="1"/>
  <c r="CV75" i="4"/>
  <c r="CW75" i="4" s="1"/>
  <c r="DN77" i="4"/>
  <c r="DO77" i="4" s="1"/>
  <c r="DJ77" i="4"/>
  <c r="DK77" i="4" s="1"/>
  <c r="DF77" i="4"/>
  <c r="DG77" i="4" s="1"/>
  <c r="DB77" i="4"/>
  <c r="DC77" i="4" s="1"/>
  <c r="CX77" i="4"/>
  <c r="CY77" i="4" s="1"/>
  <c r="CT77" i="4"/>
  <c r="CU77" i="4" s="1"/>
  <c r="CP77" i="4"/>
  <c r="CQ77" i="4" s="1"/>
  <c r="CL77" i="4"/>
  <c r="CM77" i="4" s="1"/>
  <c r="CH77" i="4"/>
  <c r="CI77" i="4" s="1"/>
  <c r="CD77" i="4"/>
  <c r="CE77" i="4" s="1"/>
  <c r="CA77" i="4"/>
  <c r="DP77" i="4"/>
  <c r="DQ77" i="4" s="1"/>
  <c r="CZ77" i="4"/>
  <c r="DA77" i="4" s="1"/>
  <c r="CJ77" i="4"/>
  <c r="CK77" i="4" s="1"/>
  <c r="DH77" i="4"/>
  <c r="DI77" i="4" s="1"/>
  <c r="CR77" i="4"/>
  <c r="CS77" i="4" s="1"/>
  <c r="CB77" i="4"/>
  <c r="CC77" i="4" s="1"/>
  <c r="EQ65" i="4"/>
  <c r="ER65" i="4" s="1"/>
  <c r="BZ65" i="4"/>
  <c r="EQ67" i="4"/>
  <c r="ER67" i="4" s="1"/>
  <c r="BZ67" i="4"/>
  <c r="AX65" i="4"/>
  <c r="AY65" i="4" s="1"/>
  <c r="AV65" i="4"/>
  <c r="AW65" i="4" s="1"/>
  <c r="AT65" i="4"/>
  <c r="AU65" i="4" s="1"/>
  <c r="AX69" i="4"/>
  <c r="AY69" i="4" s="1"/>
  <c r="AV69" i="4"/>
  <c r="AW69" i="4" s="1"/>
  <c r="AT69" i="4"/>
  <c r="AU69" i="4" s="1"/>
  <c r="AX73" i="4"/>
  <c r="AY73" i="4" s="1"/>
  <c r="AV73" i="4"/>
  <c r="AW73" i="4" s="1"/>
  <c r="AT73" i="4"/>
  <c r="AU73" i="4" s="1"/>
  <c r="AX77" i="4"/>
  <c r="AY77" i="4" s="1"/>
  <c r="AV77" i="4"/>
  <c r="AW77" i="4" s="1"/>
  <c r="AT77" i="4"/>
  <c r="AU77" i="4" s="1"/>
  <c r="AX81" i="4"/>
  <c r="AY81" i="4" s="1"/>
  <c r="AV81" i="4"/>
  <c r="AW81" i="4" s="1"/>
  <c r="AT81" i="4"/>
  <c r="AU81" i="4" s="1"/>
  <c r="AX85" i="4"/>
  <c r="AY85" i="4" s="1"/>
  <c r="AV85" i="4"/>
  <c r="AW85" i="4" s="1"/>
  <c r="AT85" i="4"/>
  <c r="AU85" i="4" s="1"/>
  <c r="AB85" i="4"/>
  <c r="AC85" i="4" s="1"/>
  <c r="AX89" i="4"/>
  <c r="AY89" i="4" s="1"/>
  <c r="AV89" i="4"/>
  <c r="AW89" i="4" s="1"/>
  <c r="AT89" i="4"/>
  <c r="AU89" i="4" s="1"/>
  <c r="AB89" i="4"/>
  <c r="AC89" i="4" s="1"/>
  <c r="DD77" i="4"/>
  <c r="DE77" i="4" s="1"/>
  <c r="EQ69" i="4"/>
  <c r="ER69" i="4" s="1"/>
  <c r="BZ69" i="4"/>
  <c r="EQ71" i="4"/>
  <c r="ER71" i="4" s="1"/>
  <c r="BZ71" i="4"/>
  <c r="DP74" i="4"/>
  <c r="DQ74" i="4" s="1"/>
  <c r="DL74" i="4"/>
  <c r="DM74" i="4" s="1"/>
  <c r="CZ74" i="4"/>
  <c r="DA74" i="4" s="1"/>
  <c r="CV74" i="4"/>
  <c r="CW74" i="4" s="1"/>
  <c r="CJ74" i="4"/>
  <c r="CK74" i="4" s="1"/>
  <c r="CF74" i="4"/>
  <c r="CG74" i="4" s="1"/>
  <c r="CZ78" i="4"/>
  <c r="DA78" i="4" s="1"/>
  <c r="DL79" i="4"/>
  <c r="DM79" i="4" s="1"/>
  <c r="DF79" i="4"/>
  <c r="DG79" i="4" s="1"/>
  <c r="CP79" i="4"/>
  <c r="CQ79" i="4" s="1"/>
  <c r="CA79" i="4"/>
  <c r="DN80" i="4"/>
  <c r="DO80" i="4" s="1"/>
  <c r="DJ80" i="4"/>
  <c r="DK80" i="4" s="1"/>
  <c r="DF80" i="4"/>
  <c r="DG80" i="4" s="1"/>
  <c r="DB80" i="4"/>
  <c r="DC80" i="4" s="1"/>
  <c r="CX80" i="4"/>
  <c r="CY80" i="4" s="1"/>
  <c r="CT80" i="4"/>
  <c r="CU80" i="4" s="1"/>
  <c r="CP80" i="4"/>
  <c r="CQ80" i="4" s="1"/>
  <c r="CL80" i="4"/>
  <c r="CM80" i="4" s="1"/>
  <c r="CH80" i="4"/>
  <c r="CI80" i="4" s="1"/>
  <c r="CD80" i="4"/>
  <c r="CE80" i="4" s="1"/>
  <c r="CA80" i="4"/>
  <c r="DP80" i="4"/>
  <c r="DQ80" i="4" s="1"/>
  <c r="DL80" i="4"/>
  <c r="DM80" i="4" s="1"/>
  <c r="DH80" i="4"/>
  <c r="DI80" i="4" s="1"/>
  <c r="DD80" i="4"/>
  <c r="DE80" i="4" s="1"/>
  <c r="CZ80" i="4"/>
  <c r="DA80" i="4" s="1"/>
  <c r="CV80" i="4"/>
  <c r="CW80" i="4" s="1"/>
  <c r="CR80" i="4"/>
  <c r="CS80" i="4" s="1"/>
  <c r="CN80" i="4"/>
  <c r="CO80" i="4" s="1"/>
  <c r="CJ80" i="4"/>
  <c r="CK80" i="4" s="1"/>
  <c r="CF80" i="4"/>
  <c r="CG80" i="4" s="1"/>
  <c r="CB80" i="4"/>
  <c r="CC80" i="4" s="1"/>
  <c r="DP81" i="4"/>
  <c r="DQ81" i="4" s="1"/>
  <c r="DL81" i="4"/>
  <c r="DM81" i="4" s="1"/>
  <c r="DH81" i="4"/>
  <c r="DI81" i="4" s="1"/>
  <c r="DD81" i="4"/>
  <c r="DE81" i="4" s="1"/>
  <c r="CZ81" i="4"/>
  <c r="DA81" i="4" s="1"/>
  <c r="CV81" i="4"/>
  <c r="CW81" i="4" s="1"/>
  <c r="CR81" i="4"/>
  <c r="CS81" i="4" s="1"/>
  <c r="CN81" i="4"/>
  <c r="CO81" i="4" s="1"/>
  <c r="CJ81" i="4"/>
  <c r="CK81" i="4" s="1"/>
  <c r="CF81" i="4"/>
  <c r="CG81" i="4" s="1"/>
  <c r="CB81" i="4"/>
  <c r="CC81" i="4" s="1"/>
  <c r="DN81" i="4"/>
  <c r="DO81" i="4" s="1"/>
  <c r="DJ81" i="4"/>
  <c r="DK81" i="4" s="1"/>
  <c r="DF81" i="4"/>
  <c r="DG81" i="4" s="1"/>
  <c r="DB81" i="4"/>
  <c r="DC81" i="4" s="1"/>
  <c r="CX81" i="4"/>
  <c r="CY81" i="4" s="1"/>
  <c r="CT81" i="4"/>
  <c r="CU81" i="4" s="1"/>
  <c r="CP81" i="4"/>
  <c r="CQ81" i="4" s="1"/>
  <c r="CL81" i="4"/>
  <c r="CM81" i="4" s="1"/>
  <c r="CH81" i="4"/>
  <c r="CI81" i="4" s="1"/>
  <c r="CD81" i="4"/>
  <c r="CE81" i="4" s="1"/>
  <c r="CA81" i="4"/>
  <c r="DD83" i="4"/>
  <c r="DE83" i="4" s="1"/>
  <c r="CN83" i="4"/>
  <c r="CO83" i="4" s="1"/>
  <c r="DN83" i="4"/>
  <c r="DO83" i="4" s="1"/>
  <c r="CX83" i="4"/>
  <c r="CY83" i="4" s="1"/>
  <c r="CH83" i="4"/>
  <c r="CI83" i="4" s="1"/>
  <c r="DN84" i="4"/>
  <c r="DO84" i="4" s="1"/>
  <c r="DJ84" i="4"/>
  <c r="DK84" i="4" s="1"/>
  <c r="DF84" i="4"/>
  <c r="DG84" i="4" s="1"/>
  <c r="DB84" i="4"/>
  <c r="DC84" i="4" s="1"/>
  <c r="CX84" i="4"/>
  <c r="CY84" i="4" s="1"/>
  <c r="CT84" i="4"/>
  <c r="CU84" i="4" s="1"/>
  <c r="CP84" i="4"/>
  <c r="CQ84" i="4" s="1"/>
  <c r="CL84" i="4"/>
  <c r="CM84" i="4" s="1"/>
  <c r="CH84" i="4"/>
  <c r="CI84" i="4" s="1"/>
  <c r="CD84" i="4"/>
  <c r="CE84" i="4" s="1"/>
  <c r="CA84" i="4"/>
  <c r="DP84" i="4"/>
  <c r="DQ84" i="4" s="1"/>
  <c r="DL84" i="4"/>
  <c r="DM84" i="4" s="1"/>
  <c r="DH84" i="4"/>
  <c r="DI84" i="4" s="1"/>
  <c r="DD84" i="4"/>
  <c r="DE84" i="4" s="1"/>
  <c r="CZ84" i="4"/>
  <c r="DA84" i="4" s="1"/>
  <c r="CV84" i="4"/>
  <c r="CW84" i="4" s="1"/>
  <c r="CR84" i="4"/>
  <c r="CS84" i="4" s="1"/>
  <c r="CN84" i="4"/>
  <c r="CO84" i="4" s="1"/>
  <c r="CJ84" i="4"/>
  <c r="CK84" i="4" s="1"/>
  <c r="CF84" i="4"/>
  <c r="CG84" i="4" s="1"/>
  <c r="CB84" i="4"/>
  <c r="CC84" i="4" s="1"/>
  <c r="CH85" i="4"/>
  <c r="CI85" i="4" s="1"/>
  <c r="DN86" i="4"/>
  <c r="DO86" i="4" s="1"/>
  <c r="DJ86" i="4"/>
  <c r="DK86" i="4" s="1"/>
  <c r="DF86" i="4"/>
  <c r="DG86" i="4" s="1"/>
  <c r="DB86" i="4"/>
  <c r="DC86" i="4" s="1"/>
  <c r="CX86" i="4"/>
  <c r="CY86" i="4" s="1"/>
  <c r="CT86" i="4"/>
  <c r="CU86" i="4" s="1"/>
  <c r="CP86" i="4"/>
  <c r="CQ86" i="4" s="1"/>
  <c r="CL86" i="4"/>
  <c r="CM86" i="4" s="1"/>
  <c r="CH86" i="4"/>
  <c r="CI86" i="4" s="1"/>
  <c r="CD86" i="4"/>
  <c r="CE86" i="4" s="1"/>
  <c r="CA86" i="4"/>
  <c r="DP86" i="4"/>
  <c r="DQ86" i="4" s="1"/>
  <c r="DL86" i="4"/>
  <c r="DM86" i="4" s="1"/>
  <c r="DH86" i="4"/>
  <c r="DI86" i="4" s="1"/>
  <c r="DD86" i="4"/>
  <c r="DE86" i="4" s="1"/>
  <c r="CZ86" i="4"/>
  <c r="DA86" i="4" s="1"/>
  <c r="CV86" i="4"/>
  <c r="CW86" i="4" s="1"/>
  <c r="CR86" i="4"/>
  <c r="CS86" i="4" s="1"/>
  <c r="CN86" i="4"/>
  <c r="CO86" i="4" s="1"/>
  <c r="CJ86" i="4"/>
  <c r="CK86" i="4" s="1"/>
  <c r="CF86" i="4"/>
  <c r="CG86" i="4" s="1"/>
  <c r="CB86" i="4"/>
  <c r="CC86" i="4" s="1"/>
  <c r="DP87" i="4"/>
  <c r="DQ87" i="4" s="1"/>
  <c r="DL87" i="4"/>
  <c r="DM87" i="4" s="1"/>
  <c r="DH87" i="4"/>
  <c r="DI87" i="4" s="1"/>
  <c r="DD87" i="4"/>
  <c r="DE87" i="4" s="1"/>
  <c r="CZ87" i="4"/>
  <c r="DA87" i="4" s="1"/>
  <c r="CV87" i="4"/>
  <c r="CW87" i="4" s="1"/>
  <c r="CR87" i="4"/>
  <c r="CS87" i="4" s="1"/>
  <c r="CN87" i="4"/>
  <c r="CO87" i="4" s="1"/>
  <c r="CJ87" i="4"/>
  <c r="CK87" i="4" s="1"/>
  <c r="CF87" i="4"/>
  <c r="CG87" i="4" s="1"/>
  <c r="CB87" i="4"/>
  <c r="CC87" i="4" s="1"/>
  <c r="DN87" i="4"/>
  <c r="DO87" i="4" s="1"/>
  <c r="DJ87" i="4"/>
  <c r="DK87" i="4" s="1"/>
  <c r="DF87" i="4"/>
  <c r="DG87" i="4" s="1"/>
  <c r="DB87" i="4"/>
  <c r="DC87" i="4" s="1"/>
  <c r="CX87" i="4"/>
  <c r="CY87" i="4" s="1"/>
  <c r="CT87" i="4"/>
  <c r="CU87" i="4" s="1"/>
  <c r="CP87" i="4"/>
  <c r="CQ87" i="4" s="1"/>
  <c r="CL87" i="4"/>
  <c r="CM87" i="4" s="1"/>
  <c r="CH87" i="4"/>
  <c r="CI87" i="4" s="1"/>
  <c r="CD87" i="4"/>
  <c r="CE87" i="4" s="1"/>
  <c r="CA87" i="4"/>
  <c r="DN88" i="4"/>
  <c r="DO88" i="4" s="1"/>
  <c r="CH88" i="4"/>
  <c r="CI88" i="4" s="1"/>
  <c r="CN88" i="4"/>
  <c r="CO88" i="4" s="1"/>
  <c r="GD66" i="4"/>
  <c r="GE66" i="4" s="1"/>
  <c r="FV66" i="4"/>
  <c r="FW66" i="4" s="1"/>
  <c r="FN66" i="4"/>
  <c r="FO66" i="4" s="1"/>
  <c r="FF66" i="4"/>
  <c r="FG66" i="4" s="1"/>
  <c r="EX66" i="4"/>
  <c r="EY66" i="4" s="1"/>
  <c r="GH66" i="4"/>
  <c r="GI66" i="4" s="1"/>
  <c r="FZ66" i="4"/>
  <c r="GA66" i="4" s="1"/>
  <c r="FR66" i="4"/>
  <c r="FS66" i="4" s="1"/>
  <c r="FJ66" i="4"/>
  <c r="FK66" i="4" s="1"/>
  <c r="FB66" i="4"/>
  <c r="FC66" i="4" s="1"/>
  <c r="ET66" i="4"/>
  <c r="EU66" i="4" s="1"/>
  <c r="EV68" i="4"/>
  <c r="EW68" i="4" s="1"/>
  <c r="FL68" i="4"/>
  <c r="FM68" i="4" s="1"/>
  <c r="GD70" i="4"/>
  <c r="GE70" i="4" s="1"/>
  <c r="FV70" i="4"/>
  <c r="FW70" i="4" s="1"/>
  <c r="FN70" i="4"/>
  <c r="FO70" i="4" s="1"/>
  <c r="FF70" i="4"/>
  <c r="FG70" i="4" s="1"/>
  <c r="EX70" i="4"/>
  <c r="EY70" i="4" s="1"/>
  <c r="GH70" i="4"/>
  <c r="GI70" i="4" s="1"/>
  <c r="FZ70" i="4"/>
  <c r="GA70" i="4" s="1"/>
  <c r="FR70" i="4"/>
  <c r="FS70" i="4" s="1"/>
  <c r="FJ70" i="4"/>
  <c r="FK70" i="4" s="1"/>
  <c r="FB70" i="4"/>
  <c r="FC70" i="4" s="1"/>
  <c r="ET70" i="4"/>
  <c r="EU70" i="4" s="1"/>
  <c r="EV72" i="4"/>
  <c r="EW72" i="4" s="1"/>
  <c r="FL72" i="4"/>
  <c r="FM72" i="4" s="1"/>
  <c r="DD72" i="4"/>
  <c r="DE72" i="4" s="1"/>
  <c r="FZ64" i="4"/>
  <c r="GA64" i="4" s="1"/>
  <c r="GD68" i="4"/>
  <c r="GE68" i="4" s="1"/>
  <c r="FV68" i="4"/>
  <c r="FW68" i="4" s="1"/>
  <c r="FN68" i="4"/>
  <c r="FO68" i="4" s="1"/>
  <c r="FF68" i="4"/>
  <c r="FG68" i="4" s="1"/>
  <c r="EX68" i="4"/>
  <c r="EY68" i="4" s="1"/>
  <c r="GH68" i="4"/>
  <c r="GI68" i="4" s="1"/>
  <c r="FZ68" i="4"/>
  <c r="GA68" i="4" s="1"/>
  <c r="FR68" i="4"/>
  <c r="FS68" i="4" s="1"/>
  <c r="FJ68" i="4"/>
  <c r="FK68" i="4" s="1"/>
  <c r="FB68" i="4"/>
  <c r="FC68" i="4" s="1"/>
  <c r="ET68" i="4"/>
  <c r="EU68" i="4" s="1"/>
  <c r="GD72" i="4"/>
  <c r="GE72" i="4" s="1"/>
  <c r="FV72" i="4"/>
  <c r="FW72" i="4" s="1"/>
  <c r="FN72" i="4"/>
  <c r="FO72" i="4" s="1"/>
  <c r="FF72" i="4"/>
  <c r="FG72" i="4" s="1"/>
  <c r="EX72" i="4"/>
  <c r="EY72" i="4" s="1"/>
  <c r="GH72" i="4"/>
  <c r="GI72" i="4" s="1"/>
  <c r="FZ72" i="4"/>
  <c r="GA72" i="4" s="1"/>
  <c r="FR72" i="4"/>
  <c r="FS72" i="4" s="1"/>
  <c r="FJ72" i="4"/>
  <c r="FK72" i="4" s="1"/>
  <c r="FB72" i="4"/>
  <c r="FC72" i="4" s="1"/>
  <c r="ET72" i="4"/>
  <c r="EU72" i="4" s="1"/>
  <c r="GH75" i="4"/>
  <c r="GI75" i="4" s="1"/>
  <c r="GD75" i="4"/>
  <c r="GE75" i="4" s="1"/>
  <c r="FZ75" i="4"/>
  <c r="GA75" i="4" s="1"/>
  <c r="FV75" i="4"/>
  <c r="FW75" i="4" s="1"/>
  <c r="FR75" i="4"/>
  <c r="FS75" i="4" s="1"/>
  <c r="FN75" i="4"/>
  <c r="FO75" i="4" s="1"/>
  <c r="FJ75" i="4"/>
  <c r="FK75" i="4" s="1"/>
  <c r="FF75" i="4"/>
  <c r="FG75" i="4" s="1"/>
  <c r="FB75" i="4"/>
  <c r="FC75" i="4" s="1"/>
  <c r="EX75" i="4"/>
  <c r="EY75" i="4" s="1"/>
  <c r="ET75" i="4"/>
  <c r="EU75" i="4" s="1"/>
  <c r="GB75" i="4"/>
  <c r="GC75" i="4" s="1"/>
  <c r="FL75" i="4"/>
  <c r="FM75" i="4" s="1"/>
  <c r="EV75" i="4"/>
  <c r="EW75" i="4" s="1"/>
  <c r="FT75" i="4"/>
  <c r="FU75" i="4" s="1"/>
  <c r="FD75" i="4"/>
  <c r="FE75" i="4" s="1"/>
  <c r="GF79" i="4"/>
  <c r="GG79" i="4" s="1"/>
  <c r="GB79" i="4"/>
  <c r="GC79" i="4" s="1"/>
  <c r="FX79" i="4"/>
  <c r="FY79" i="4" s="1"/>
  <c r="FT79" i="4"/>
  <c r="FU79" i="4" s="1"/>
  <c r="GH79" i="4"/>
  <c r="GI79" i="4" s="1"/>
  <c r="GD79" i="4"/>
  <c r="GE79" i="4" s="1"/>
  <c r="FZ79" i="4"/>
  <c r="GA79" i="4" s="1"/>
  <c r="FV79" i="4"/>
  <c r="FW79" i="4" s="1"/>
  <c r="FR79" i="4"/>
  <c r="FS79" i="4" s="1"/>
  <c r="FN79" i="4"/>
  <c r="FO79" i="4" s="1"/>
  <c r="FJ79" i="4"/>
  <c r="FK79" i="4" s="1"/>
  <c r="FF79" i="4"/>
  <c r="FG79" i="4" s="1"/>
  <c r="FB79" i="4"/>
  <c r="FC79" i="4" s="1"/>
  <c r="EX79" i="4"/>
  <c r="EY79" i="4" s="1"/>
  <c r="ET79" i="4"/>
  <c r="EU79" i="4" s="1"/>
  <c r="FL79" i="4"/>
  <c r="FM79" i="4" s="1"/>
  <c r="EV79" i="4"/>
  <c r="EW79" i="4" s="1"/>
  <c r="FP79" i="4"/>
  <c r="FQ79" i="4" s="1"/>
  <c r="EZ79" i="4"/>
  <c r="FA79" i="4" s="1"/>
  <c r="FD79" i="4"/>
  <c r="FE79" i="4" s="1"/>
  <c r="ES79" i="4"/>
  <c r="GF73" i="4"/>
  <c r="GG73" i="4" s="1"/>
  <c r="GB73" i="4"/>
  <c r="GC73" i="4" s="1"/>
  <c r="FX73" i="4"/>
  <c r="FY73" i="4" s="1"/>
  <c r="FT73" i="4"/>
  <c r="FU73" i="4" s="1"/>
  <c r="FP73" i="4"/>
  <c r="FQ73" i="4" s="1"/>
  <c r="GH73" i="4"/>
  <c r="GI73" i="4" s="1"/>
  <c r="FR73" i="4"/>
  <c r="FS73" i="4" s="1"/>
  <c r="FJ73" i="4"/>
  <c r="FK73" i="4" s="1"/>
  <c r="FF73" i="4"/>
  <c r="FG73" i="4" s="1"/>
  <c r="FB73" i="4"/>
  <c r="FC73" i="4" s="1"/>
  <c r="EX73" i="4"/>
  <c r="EY73" i="4" s="1"/>
  <c r="ET73" i="4"/>
  <c r="EU73" i="4" s="1"/>
  <c r="FZ73" i="4"/>
  <c r="GA73" i="4" s="1"/>
  <c r="FH73" i="4"/>
  <c r="FI73" i="4" s="1"/>
  <c r="FD73" i="4"/>
  <c r="FE73" i="4" s="1"/>
  <c r="EZ73" i="4"/>
  <c r="FA73" i="4" s="1"/>
  <c r="EV73" i="4"/>
  <c r="EW73" i="4" s="1"/>
  <c r="ES73" i="4"/>
  <c r="EZ74" i="4"/>
  <c r="FA74" i="4" s="1"/>
  <c r="GF83" i="4"/>
  <c r="GG83" i="4" s="1"/>
  <c r="GB83" i="4"/>
  <c r="GC83" i="4" s="1"/>
  <c r="FX83" i="4"/>
  <c r="FY83" i="4" s="1"/>
  <c r="FT83" i="4"/>
  <c r="FU83" i="4" s="1"/>
  <c r="FP83" i="4"/>
  <c r="FQ83" i="4" s="1"/>
  <c r="FL83" i="4"/>
  <c r="FM83" i="4" s="1"/>
  <c r="FH83" i="4"/>
  <c r="FI83" i="4" s="1"/>
  <c r="FD83" i="4"/>
  <c r="FE83" i="4" s="1"/>
  <c r="EZ83" i="4"/>
  <c r="FA83" i="4" s="1"/>
  <c r="EV83" i="4"/>
  <c r="EW83" i="4" s="1"/>
  <c r="ES83" i="4"/>
  <c r="GH83" i="4"/>
  <c r="GI83" i="4" s="1"/>
  <c r="FZ83" i="4"/>
  <c r="GA83" i="4" s="1"/>
  <c r="FR83" i="4"/>
  <c r="FS83" i="4" s="1"/>
  <c r="FJ83" i="4"/>
  <c r="FK83" i="4" s="1"/>
  <c r="FB83" i="4"/>
  <c r="FC83" i="4" s="1"/>
  <c r="ET83" i="4"/>
  <c r="EU83" i="4" s="1"/>
  <c r="GD83" i="4"/>
  <c r="GE83" i="4" s="1"/>
  <c r="EX83" i="4"/>
  <c r="EY83" i="4" s="1"/>
  <c r="FV83" i="4"/>
  <c r="FW83" i="4" s="1"/>
  <c r="FN83" i="4"/>
  <c r="FO83" i="4" s="1"/>
  <c r="FF83" i="4"/>
  <c r="FG83" i="4" s="1"/>
  <c r="GF87" i="4"/>
  <c r="GG87" i="4" s="1"/>
  <c r="GB87" i="4"/>
  <c r="GC87" i="4" s="1"/>
  <c r="FX87" i="4"/>
  <c r="FY87" i="4" s="1"/>
  <c r="FT87" i="4"/>
  <c r="FU87" i="4" s="1"/>
  <c r="FP87" i="4"/>
  <c r="FQ87" i="4" s="1"/>
  <c r="FL87" i="4"/>
  <c r="FM87" i="4" s="1"/>
  <c r="FH87" i="4"/>
  <c r="FI87" i="4" s="1"/>
  <c r="FD87" i="4"/>
  <c r="FE87" i="4" s="1"/>
  <c r="EZ87" i="4"/>
  <c r="FA87" i="4" s="1"/>
  <c r="EV87" i="4"/>
  <c r="EW87" i="4" s="1"/>
  <c r="ES87" i="4"/>
  <c r="GH87" i="4"/>
  <c r="GI87" i="4" s="1"/>
  <c r="FZ87" i="4"/>
  <c r="GA87" i="4" s="1"/>
  <c r="FR87" i="4"/>
  <c r="FS87" i="4" s="1"/>
  <c r="FJ87" i="4"/>
  <c r="FK87" i="4" s="1"/>
  <c r="FB87" i="4"/>
  <c r="FC87" i="4" s="1"/>
  <c r="ET87" i="4"/>
  <c r="EU87" i="4" s="1"/>
  <c r="GD87" i="4"/>
  <c r="GE87" i="4" s="1"/>
  <c r="EX87" i="4"/>
  <c r="EY87" i="4" s="1"/>
  <c r="FV87" i="4"/>
  <c r="FW87" i="4" s="1"/>
  <c r="FN87" i="4"/>
  <c r="FO87" i="4" s="1"/>
  <c r="FF87" i="4"/>
  <c r="FG87" i="4" s="1"/>
  <c r="EX77" i="4"/>
  <c r="EY77" i="4" s="1"/>
  <c r="FN77" i="4"/>
  <c r="FO77" i="4" s="1"/>
  <c r="GF78" i="4"/>
  <c r="GG78" i="4" s="1"/>
  <c r="FP78" i="4"/>
  <c r="FQ78" i="4" s="1"/>
  <c r="EZ78" i="4"/>
  <c r="FA78" i="4" s="1"/>
  <c r="GD78" i="4"/>
  <c r="GE78" i="4" s="1"/>
  <c r="FN78" i="4"/>
  <c r="FO78" i="4" s="1"/>
  <c r="EX78" i="4"/>
  <c r="EY78" i="4" s="1"/>
  <c r="GF77" i="4"/>
  <c r="GG77" i="4" s="1"/>
  <c r="GB77" i="4"/>
  <c r="GC77" i="4" s="1"/>
  <c r="FX77" i="4"/>
  <c r="FY77" i="4" s="1"/>
  <c r="FT77" i="4"/>
  <c r="FU77" i="4" s="1"/>
  <c r="FP77" i="4"/>
  <c r="FQ77" i="4" s="1"/>
  <c r="FL77" i="4"/>
  <c r="FM77" i="4" s="1"/>
  <c r="FH77" i="4"/>
  <c r="FI77" i="4" s="1"/>
  <c r="FD77" i="4"/>
  <c r="FE77" i="4" s="1"/>
  <c r="EZ77" i="4"/>
  <c r="FA77" i="4" s="1"/>
  <c r="EV77" i="4"/>
  <c r="EW77" i="4" s="1"/>
  <c r="ES77" i="4"/>
  <c r="GH81" i="4"/>
  <c r="GI81" i="4" s="1"/>
  <c r="GD81" i="4"/>
  <c r="GE81" i="4" s="1"/>
  <c r="FZ81" i="4"/>
  <c r="GA81" i="4" s="1"/>
  <c r="FV81" i="4"/>
  <c r="FW81" i="4" s="1"/>
  <c r="FR81" i="4"/>
  <c r="FS81" i="4" s="1"/>
  <c r="FN81" i="4"/>
  <c r="FO81" i="4" s="1"/>
  <c r="FJ81" i="4"/>
  <c r="FK81" i="4" s="1"/>
  <c r="FF81" i="4"/>
  <c r="FG81" i="4" s="1"/>
  <c r="FB81" i="4"/>
  <c r="FC81" i="4" s="1"/>
  <c r="EX81" i="4"/>
  <c r="EY81" i="4" s="1"/>
  <c r="ET81" i="4"/>
  <c r="EU81" i="4" s="1"/>
  <c r="GF81" i="4"/>
  <c r="GG81" i="4" s="1"/>
  <c r="GB81" i="4"/>
  <c r="GC81" i="4" s="1"/>
  <c r="FX81" i="4"/>
  <c r="FY81" i="4" s="1"/>
  <c r="FT81" i="4"/>
  <c r="FU81" i="4" s="1"/>
  <c r="FP81" i="4"/>
  <c r="FQ81" i="4" s="1"/>
  <c r="FL81" i="4"/>
  <c r="FM81" i="4" s="1"/>
  <c r="FH81" i="4"/>
  <c r="FI81" i="4" s="1"/>
  <c r="FD81" i="4"/>
  <c r="FE81" i="4" s="1"/>
  <c r="EZ81" i="4"/>
  <c r="FA81" i="4" s="1"/>
  <c r="EV81" i="4"/>
  <c r="EW81" i="4" s="1"/>
  <c r="ES81" i="4"/>
  <c r="GF84" i="4"/>
  <c r="GG84" i="4" s="1"/>
  <c r="GB84" i="4"/>
  <c r="GC84" i="4" s="1"/>
  <c r="FX84" i="4"/>
  <c r="FY84" i="4" s="1"/>
  <c r="FT84" i="4"/>
  <c r="FU84" i="4" s="1"/>
  <c r="FP84" i="4"/>
  <c r="FQ84" i="4" s="1"/>
  <c r="FL84" i="4"/>
  <c r="FM84" i="4" s="1"/>
  <c r="FH84" i="4"/>
  <c r="FI84" i="4" s="1"/>
  <c r="FD84" i="4"/>
  <c r="FE84" i="4" s="1"/>
  <c r="EZ84" i="4"/>
  <c r="FA84" i="4" s="1"/>
  <c r="EV84" i="4"/>
  <c r="EW84" i="4" s="1"/>
  <c r="ES84" i="4"/>
  <c r="GD84" i="4"/>
  <c r="GE84" i="4" s="1"/>
  <c r="FV84" i="4"/>
  <c r="FW84" i="4" s="1"/>
  <c r="FN84" i="4"/>
  <c r="FO84" i="4" s="1"/>
  <c r="FF84" i="4"/>
  <c r="FG84" i="4" s="1"/>
  <c r="EX84" i="4"/>
  <c r="EY84" i="4" s="1"/>
  <c r="GH85" i="4"/>
  <c r="GI85" i="4" s="1"/>
  <c r="GD85" i="4"/>
  <c r="GE85" i="4" s="1"/>
  <c r="FZ85" i="4"/>
  <c r="GA85" i="4" s="1"/>
  <c r="FV85" i="4"/>
  <c r="FW85" i="4" s="1"/>
  <c r="FR85" i="4"/>
  <c r="FS85" i="4" s="1"/>
  <c r="FN85" i="4"/>
  <c r="FO85" i="4" s="1"/>
  <c r="FJ85" i="4"/>
  <c r="FK85" i="4" s="1"/>
  <c r="FF85" i="4"/>
  <c r="FG85" i="4" s="1"/>
  <c r="FB85" i="4"/>
  <c r="FC85" i="4" s="1"/>
  <c r="EX85" i="4"/>
  <c r="EY85" i="4" s="1"/>
  <c r="ET85" i="4"/>
  <c r="EU85" i="4" s="1"/>
  <c r="GF85" i="4"/>
  <c r="GG85" i="4" s="1"/>
  <c r="FX85" i="4"/>
  <c r="FY85" i="4" s="1"/>
  <c r="FP85" i="4"/>
  <c r="FQ85" i="4" s="1"/>
  <c r="FH85" i="4"/>
  <c r="FI85" i="4" s="1"/>
  <c r="EZ85" i="4"/>
  <c r="FA85" i="4" s="1"/>
  <c r="ES85" i="4"/>
  <c r="GB85" i="4"/>
  <c r="GC85" i="4" s="1"/>
  <c r="FT85" i="4"/>
  <c r="FU85" i="4" s="1"/>
  <c r="FL85" i="4"/>
  <c r="FM85" i="4" s="1"/>
  <c r="FD85" i="4"/>
  <c r="FE85" i="4" s="1"/>
  <c r="EV85" i="4"/>
  <c r="EW85" i="4" s="1"/>
  <c r="GF88" i="4"/>
  <c r="GG88" i="4" s="1"/>
  <c r="GB88" i="4"/>
  <c r="GC88" i="4" s="1"/>
  <c r="FX88" i="4"/>
  <c r="FY88" i="4" s="1"/>
  <c r="FT88" i="4"/>
  <c r="FU88" i="4" s="1"/>
  <c r="FP88" i="4"/>
  <c r="FQ88" i="4" s="1"/>
  <c r="FL88" i="4"/>
  <c r="FM88" i="4" s="1"/>
  <c r="FH88" i="4"/>
  <c r="FI88" i="4" s="1"/>
  <c r="FD88" i="4"/>
  <c r="FE88" i="4" s="1"/>
  <c r="EZ88" i="4"/>
  <c r="FA88" i="4" s="1"/>
  <c r="EV88" i="4"/>
  <c r="EW88" i="4" s="1"/>
  <c r="ES88" i="4"/>
  <c r="GD88" i="4"/>
  <c r="GE88" i="4" s="1"/>
  <c r="FV88" i="4"/>
  <c r="FW88" i="4" s="1"/>
  <c r="FN88" i="4"/>
  <c r="FO88" i="4" s="1"/>
  <c r="FF88" i="4"/>
  <c r="FG88" i="4" s="1"/>
  <c r="EX88" i="4"/>
  <c r="EY88" i="4" s="1"/>
  <c r="FR84" i="4"/>
  <c r="FS84" i="4" s="1"/>
  <c r="FR88" i="4"/>
  <c r="FS88" i="4" s="1"/>
  <c r="ET84" i="4"/>
  <c r="EU84" i="4" s="1"/>
  <c r="FZ84" i="4"/>
  <c r="GA84" i="4" s="1"/>
  <c r="GH86" i="4"/>
  <c r="GI86" i="4" s="1"/>
  <c r="GD86" i="4"/>
  <c r="GE86" i="4" s="1"/>
  <c r="FZ86" i="4"/>
  <c r="GA86" i="4" s="1"/>
  <c r="FV86" i="4"/>
  <c r="FW86" i="4" s="1"/>
  <c r="FR86" i="4"/>
  <c r="FS86" i="4" s="1"/>
  <c r="FN86" i="4"/>
  <c r="FO86" i="4" s="1"/>
  <c r="FJ86" i="4"/>
  <c r="FK86" i="4" s="1"/>
  <c r="FF86" i="4"/>
  <c r="FG86" i="4" s="1"/>
  <c r="FB86" i="4"/>
  <c r="FC86" i="4" s="1"/>
  <c r="EX86" i="4"/>
  <c r="EY86" i="4" s="1"/>
  <c r="ET86" i="4"/>
  <c r="EU86" i="4" s="1"/>
  <c r="GB86" i="4"/>
  <c r="GC86" i="4" s="1"/>
  <c r="FT86" i="4"/>
  <c r="FU86" i="4" s="1"/>
  <c r="FL86" i="4"/>
  <c r="FM86" i="4" s="1"/>
  <c r="FD86" i="4"/>
  <c r="FE86" i="4" s="1"/>
  <c r="EV86" i="4"/>
  <c r="EW86" i="4" s="1"/>
  <c r="ET88" i="4"/>
  <c r="EU88" i="4" s="1"/>
  <c r="FZ88" i="4"/>
  <c r="GA88" i="4" s="1"/>
  <c r="AT125" i="4"/>
  <c r="AU125" i="4" s="1"/>
  <c r="AL125" i="4"/>
  <c r="AM125" i="4" s="1"/>
  <c r="AD125" i="4"/>
  <c r="AE125" i="4" s="1"/>
  <c r="V125" i="4"/>
  <c r="W125" i="4" s="1"/>
  <c r="N125" i="4"/>
  <c r="O125" i="4" s="1"/>
  <c r="J125" i="4"/>
  <c r="K125" i="4" s="1"/>
  <c r="AV125" i="4"/>
  <c r="AW125" i="4" s="1"/>
  <c r="AN125" i="4"/>
  <c r="AO125" i="4" s="1"/>
  <c r="AF125" i="4"/>
  <c r="AG125" i="4" s="1"/>
  <c r="X125" i="4"/>
  <c r="Y125" i="4" s="1"/>
  <c r="P125" i="4"/>
  <c r="Q125" i="4" s="1"/>
  <c r="AX125" i="4"/>
  <c r="AY125" i="4" s="1"/>
  <c r="AP125" i="4"/>
  <c r="AQ125" i="4" s="1"/>
  <c r="AH125" i="4"/>
  <c r="AI125" i="4" s="1"/>
  <c r="Z125" i="4"/>
  <c r="AA125" i="4" s="1"/>
  <c r="R125" i="4"/>
  <c r="S125" i="4" s="1"/>
  <c r="L125" i="4"/>
  <c r="M125" i="4" s="1"/>
  <c r="I117" i="4"/>
  <c r="I125" i="4"/>
  <c r="AB125" i="4"/>
  <c r="AC125" i="4" s="1"/>
  <c r="AJ117" i="4"/>
  <c r="AK117" i="4" s="1"/>
  <c r="AR125" i="4"/>
  <c r="AS125" i="4" s="1"/>
  <c r="AV118" i="4"/>
  <c r="AW118" i="4" s="1"/>
  <c r="AN118" i="4"/>
  <c r="AO118" i="4" s="1"/>
  <c r="AF118" i="4"/>
  <c r="AG118" i="4" s="1"/>
  <c r="X118" i="4"/>
  <c r="Y118" i="4" s="1"/>
  <c r="P118" i="4"/>
  <c r="Q118" i="4" s="1"/>
  <c r="AP118" i="4"/>
  <c r="AQ118" i="4" s="1"/>
  <c r="AH118" i="4"/>
  <c r="AI118" i="4" s="1"/>
  <c r="Z118" i="4"/>
  <c r="AA118" i="4" s="1"/>
  <c r="R118" i="4"/>
  <c r="S118" i="4" s="1"/>
  <c r="AX118" i="4"/>
  <c r="AY118" i="4" s="1"/>
  <c r="AR118" i="4"/>
  <c r="AS118" i="4" s="1"/>
  <c r="AJ118" i="4"/>
  <c r="AK118" i="4" s="1"/>
  <c r="AB118" i="4"/>
  <c r="AC118" i="4" s="1"/>
  <c r="T118" i="4"/>
  <c r="U118" i="4" s="1"/>
  <c r="AV122" i="4"/>
  <c r="AW122" i="4" s="1"/>
  <c r="AN122" i="4"/>
  <c r="AO122" i="4" s="1"/>
  <c r="AF122" i="4"/>
  <c r="AG122" i="4" s="1"/>
  <c r="X122" i="4"/>
  <c r="Y122" i="4" s="1"/>
  <c r="P122" i="4"/>
  <c r="Q122" i="4" s="1"/>
  <c r="AP122" i="4"/>
  <c r="AQ122" i="4" s="1"/>
  <c r="AH122" i="4"/>
  <c r="AI122" i="4" s="1"/>
  <c r="Z122" i="4"/>
  <c r="AA122" i="4" s="1"/>
  <c r="R122" i="4"/>
  <c r="S122" i="4" s="1"/>
  <c r="J122" i="4"/>
  <c r="K122" i="4" s="1"/>
  <c r="AX122" i="4"/>
  <c r="AY122" i="4" s="1"/>
  <c r="AR122" i="4"/>
  <c r="AS122" i="4" s="1"/>
  <c r="AJ122" i="4"/>
  <c r="AK122" i="4" s="1"/>
  <c r="AB122" i="4"/>
  <c r="AC122" i="4" s="1"/>
  <c r="T122" i="4"/>
  <c r="U122" i="4" s="1"/>
  <c r="AV126" i="4"/>
  <c r="AW126" i="4" s="1"/>
  <c r="P126" i="4"/>
  <c r="Q126" i="4" s="1"/>
  <c r="AH126" i="4"/>
  <c r="AI126" i="4" s="1"/>
  <c r="R126" i="4"/>
  <c r="S126" i="4" s="1"/>
  <c r="AX126" i="4"/>
  <c r="AY126" i="4" s="1"/>
  <c r="AJ126" i="4"/>
  <c r="AK126" i="4" s="1"/>
  <c r="T126" i="4"/>
  <c r="U126" i="4" s="1"/>
  <c r="AT121" i="4"/>
  <c r="AU121" i="4" s="1"/>
  <c r="AL121" i="4"/>
  <c r="AM121" i="4" s="1"/>
  <c r="AD121" i="4"/>
  <c r="AE121" i="4" s="1"/>
  <c r="V121" i="4"/>
  <c r="W121" i="4" s="1"/>
  <c r="N121" i="4"/>
  <c r="O121" i="4" s="1"/>
  <c r="J121" i="4"/>
  <c r="K121" i="4" s="1"/>
  <c r="AV121" i="4"/>
  <c r="AW121" i="4" s="1"/>
  <c r="AN121" i="4"/>
  <c r="AO121" i="4" s="1"/>
  <c r="AF121" i="4"/>
  <c r="AG121" i="4" s="1"/>
  <c r="X121" i="4"/>
  <c r="Y121" i="4" s="1"/>
  <c r="P121" i="4"/>
  <c r="Q121" i="4" s="1"/>
  <c r="AX121" i="4"/>
  <c r="AY121" i="4" s="1"/>
  <c r="AP121" i="4"/>
  <c r="AQ121" i="4" s="1"/>
  <c r="AH121" i="4"/>
  <c r="AI121" i="4" s="1"/>
  <c r="Z121" i="4"/>
  <c r="AA121" i="4" s="1"/>
  <c r="R121" i="4"/>
  <c r="S121" i="4" s="1"/>
  <c r="L121" i="4"/>
  <c r="M121" i="4" s="1"/>
  <c r="T125" i="4"/>
  <c r="U125" i="4" s="1"/>
  <c r="AB117" i="4"/>
  <c r="AC117" i="4" s="1"/>
  <c r="AJ125" i="4"/>
  <c r="AK125" i="4" s="1"/>
  <c r="AR116" i="4"/>
  <c r="AS116" i="4" s="1"/>
  <c r="AJ116" i="4"/>
  <c r="AK116" i="4" s="1"/>
  <c r="AB116" i="4"/>
  <c r="AC116" i="4" s="1"/>
  <c r="T116" i="4"/>
  <c r="U116" i="4" s="1"/>
  <c r="AT116" i="4"/>
  <c r="AU116" i="4" s="1"/>
  <c r="AL116" i="4"/>
  <c r="AM116" i="4" s="1"/>
  <c r="AD116" i="4"/>
  <c r="AE116" i="4" s="1"/>
  <c r="V116" i="4"/>
  <c r="W116" i="4" s="1"/>
  <c r="N116" i="4"/>
  <c r="O116" i="4" s="1"/>
  <c r="AX116" i="4"/>
  <c r="AY116" i="4" s="1"/>
  <c r="AV116" i="4"/>
  <c r="AW116" i="4" s="1"/>
  <c r="AN116" i="4"/>
  <c r="AO116" i="4" s="1"/>
  <c r="AF116" i="4"/>
  <c r="AG116" i="4" s="1"/>
  <c r="X116" i="4"/>
  <c r="Y116" i="4" s="1"/>
  <c r="P116" i="4"/>
  <c r="Q116" i="4" s="1"/>
  <c r="AR120" i="4"/>
  <c r="AS120" i="4" s="1"/>
  <c r="AJ120" i="4"/>
  <c r="AK120" i="4" s="1"/>
  <c r="AB120" i="4"/>
  <c r="AC120" i="4" s="1"/>
  <c r="T120" i="4"/>
  <c r="U120" i="4" s="1"/>
  <c r="AT120" i="4"/>
  <c r="AU120" i="4" s="1"/>
  <c r="AL120" i="4"/>
  <c r="AM120" i="4" s="1"/>
  <c r="AD120" i="4"/>
  <c r="AE120" i="4" s="1"/>
  <c r="V120" i="4"/>
  <c r="W120" i="4" s="1"/>
  <c r="N120" i="4"/>
  <c r="O120" i="4" s="1"/>
  <c r="AX120" i="4"/>
  <c r="AY120" i="4" s="1"/>
  <c r="AV120" i="4"/>
  <c r="AW120" i="4" s="1"/>
  <c r="AN120" i="4"/>
  <c r="AO120" i="4" s="1"/>
  <c r="AF120" i="4"/>
  <c r="AG120" i="4" s="1"/>
  <c r="X120" i="4"/>
  <c r="Y120" i="4" s="1"/>
  <c r="P120" i="4"/>
  <c r="Q120" i="4" s="1"/>
  <c r="AR124" i="4"/>
  <c r="AS124" i="4" s="1"/>
  <c r="AJ124" i="4"/>
  <c r="AK124" i="4" s="1"/>
  <c r="AB124" i="4"/>
  <c r="AC124" i="4" s="1"/>
  <c r="T124" i="4"/>
  <c r="U124" i="4" s="1"/>
  <c r="AT124" i="4"/>
  <c r="AU124" i="4" s="1"/>
  <c r="AL124" i="4"/>
  <c r="AM124" i="4" s="1"/>
  <c r="AD124" i="4"/>
  <c r="AE124" i="4" s="1"/>
  <c r="V124" i="4"/>
  <c r="W124" i="4" s="1"/>
  <c r="N124" i="4"/>
  <c r="O124" i="4" s="1"/>
  <c r="L124" i="4"/>
  <c r="M124" i="4" s="1"/>
  <c r="AX124" i="4"/>
  <c r="AY124" i="4" s="1"/>
  <c r="AV124" i="4"/>
  <c r="AW124" i="4" s="1"/>
  <c r="AN124" i="4"/>
  <c r="AO124" i="4" s="1"/>
  <c r="AF124" i="4"/>
  <c r="AG124" i="4" s="1"/>
  <c r="X124" i="4"/>
  <c r="Y124" i="4" s="1"/>
  <c r="P124" i="4"/>
  <c r="Q124" i="4" s="1"/>
  <c r="DP123" i="4"/>
  <c r="DQ123" i="4" s="1"/>
  <c r="DL123" i="4"/>
  <c r="DM123" i="4" s="1"/>
  <c r="DH123" i="4"/>
  <c r="DI123" i="4" s="1"/>
  <c r="DD123" i="4"/>
  <c r="DE123" i="4" s="1"/>
  <c r="CZ123" i="4"/>
  <c r="DA123" i="4" s="1"/>
  <c r="CV123" i="4"/>
  <c r="CW123" i="4" s="1"/>
  <c r="CR123" i="4"/>
  <c r="CS123" i="4" s="1"/>
  <c r="CN123" i="4"/>
  <c r="CO123" i="4" s="1"/>
  <c r="CJ123" i="4"/>
  <c r="CK123" i="4" s="1"/>
  <c r="CF123" i="4"/>
  <c r="CG123" i="4" s="1"/>
  <c r="CB123" i="4"/>
  <c r="CC123" i="4" s="1"/>
  <c r="DN123" i="4"/>
  <c r="DO123" i="4" s="1"/>
  <c r="DJ123" i="4"/>
  <c r="DK123" i="4" s="1"/>
  <c r="DF123" i="4"/>
  <c r="DG123" i="4" s="1"/>
  <c r="DB123" i="4"/>
  <c r="DC123" i="4" s="1"/>
  <c r="CX123" i="4"/>
  <c r="CY123" i="4" s="1"/>
  <c r="CT123" i="4"/>
  <c r="CU123" i="4" s="1"/>
  <c r="CP123" i="4"/>
  <c r="CQ123" i="4" s="1"/>
  <c r="CL123" i="4"/>
  <c r="CM123" i="4" s="1"/>
  <c r="CH123" i="4"/>
  <c r="CI123" i="4" s="1"/>
  <c r="CD123" i="4"/>
  <c r="CE123" i="4" s="1"/>
  <c r="CA123" i="4"/>
  <c r="AD117" i="4"/>
  <c r="AE117" i="4" s="1"/>
  <c r="AN117" i="4"/>
  <c r="AO117" i="4" s="1"/>
  <c r="AX117" i="4"/>
  <c r="AY117" i="4" s="1"/>
  <c r="R117" i="4"/>
  <c r="S117" i="4" s="1"/>
  <c r="I121" i="4"/>
  <c r="AB121" i="4"/>
  <c r="AC121" i="4" s="1"/>
  <c r="AR121" i="4"/>
  <c r="AS121" i="4" s="1"/>
  <c r="AP119" i="4"/>
  <c r="AQ119" i="4" s="1"/>
  <c r="AH119" i="4"/>
  <c r="AI119" i="4" s="1"/>
  <c r="Z119" i="4"/>
  <c r="AA119" i="4" s="1"/>
  <c r="R119" i="4"/>
  <c r="S119" i="4" s="1"/>
  <c r="AR119" i="4"/>
  <c r="AS119" i="4" s="1"/>
  <c r="AJ119" i="4"/>
  <c r="AK119" i="4" s="1"/>
  <c r="AB119" i="4"/>
  <c r="AC119" i="4" s="1"/>
  <c r="T119" i="4"/>
  <c r="U119" i="4" s="1"/>
  <c r="AX119" i="4"/>
  <c r="AY119" i="4" s="1"/>
  <c r="AT119" i="4"/>
  <c r="AU119" i="4" s="1"/>
  <c r="AL119" i="4"/>
  <c r="AM119" i="4" s="1"/>
  <c r="AD119" i="4"/>
  <c r="AE119" i="4" s="1"/>
  <c r="V119" i="4"/>
  <c r="W119" i="4" s="1"/>
  <c r="N119" i="4"/>
  <c r="O119" i="4" s="1"/>
  <c r="AP123" i="4"/>
  <c r="AQ123" i="4" s="1"/>
  <c r="AH123" i="4"/>
  <c r="AI123" i="4" s="1"/>
  <c r="Z123" i="4"/>
  <c r="AA123" i="4" s="1"/>
  <c r="R123" i="4"/>
  <c r="S123" i="4" s="1"/>
  <c r="L123" i="4"/>
  <c r="M123" i="4" s="1"/>
  <c r="AR123" i="4"/>
  <c r="AS123" i="4" s="1"/>
  <c r="AJ123" i="4"/>
  <c r="AK123" i="4" s="1"/>
  <c r="AB123" i="4"/>
  <c r="AC123" i="4" s="1"/>
  <c r="T123" i="4"/>
  <c r="U123" i="4" s="1"/>
  <c r="AX123" i="4"/>
  <c r="AY123" i="4" s="1"/>
  <c r="AT123" i="4"/>
  <c r="AU123" i="4" s="1"/>
  <c r="AL123" i="4"/>
  <c r="AM123" i="4" s="1"/>
  <c r="AD123" i="4"/>
  <c r="AE123" i="4" s="1"/>
  <c r="V123" i="4"/>
  <c r="W123" i="4" s="1"/>
  <c r="N123" i="4"/>
  <c r="O123" i="4" s="1"/>
  <c r="J123" i="4"/>
  <c r="K123" i="4" s="1"/>
  <c r="DP119" i="4"/>
  <c r="DQ119" i="4" s="1"/>
  <c r="DL119" i="4"/>
  <c r="DM119" i="4" s="1"/>
  <c r="DH119" i="4"/>
  <c r="DI119" i="4" s="1"/>
  <c r="DD119" i="4"/>
  <c r="DE119" i="4" s="1"/>
  <c r="CZ119" i="4"/>
  <c r="DA119" i="4" s="1"/>
  <c r="CV119" i="4"/>
  <c r="CW119" i="4" s="1"/>
  <c r="CR119" i="4"/>
  <c r="CS119" i="4" s="1"/>
  <c r="CN119" i="4"/>
  <c r="CO119" i="4" s="1"/>
  <c r="CJ119" i="4"/>
  <c r="CK119" i="4" s="1"/>
  <c r="CF119" i="4"/>
  <c r="CG119" i="4" s="1"/>
  <c r="CB119" i="4"/>
  <c r="CC119" i="4" s="1"/>
  <c r="DN119" i="4"/>
  <c r="DO119" i="4" s="1"/>
  <c r="DJ119" i="4"/>
  <c r="DK119" i="4" s="1"/>
  <c r="DF119" i="4"/>
  <c r="DG119" i="4" s="1"/>
  <c r="DB119" i="4"/>
  <c r="DC119" i="4" s="1"/>
  <c r="CX119" i="4"/>
  <c r="CY119" i="4" s="1"/>
  <c r="CT119" i="4"/>
  <c r="CU119" i="4" s="1"/>
  <c r="CP119" i="4"/>
  <c r="CQ119" i="4" s="1"/>
  <c r="CL119" i="4"/>
  <c r="CM119" i="4" s="1"/>
  <c r="CH119" i="4"/>
  <c r="CI119" i="4" s="1"/>
  <c r="CD119" i="4"/>
  <c r="CE119" i="4" s="1"/>
  <c r="CA119" i="4"/>
  <c r="DP117" i="4"/>
  <c r="DQ117" i="4" s="1"/>
  <c r="CZ117" i="4"/>
  <c r="DA117" i="4" s="1"/>
  <c r="CJ117" i="4"/>
  <c r="CK117" i="4" s="1"/>
  <c r="DJ117" i="4"/>
  <c r="DK117" i="4" s="1"/>
  <c r="CT117" i="4"/>
  <c r="CU117" i="4" s="1"/>
  <c r="CD117" i="4"/>
  <c r="CE117" i="4" s="1"/>
  <c r="DP121" i="4"/>
  <c r="DQ121" i="4" s="1"/>
  <c r="DL121" i="4"/>
  <c r="DM121" i="4" s="1"/>
  <c r="DH121" i="4"/>
  <c r="DI121" i="4" s="1"/>
  <c r="DD121" i="4"/>
  <c r="DE121" i="4" s="1"/>
  <c r="CZ121" i="4"/>
  <c r="DA121" i="4" s="1"/>
  <c r="CV121" i="4"/>
  <c r="CW121" i="4" s="1"/>
  <c r="CR121" i="4"/>
  <c r="CS121" i="4" s="1"/>
  <c r="CN121" i="4"/>
  <c r="CO121" i="4" s="1"/>
  <c r="CJ121" i="4"/>
  <c r="CK121" i="4" s="1"/>
  <c r="CF121" i="4"/>
  <c r="CG121" i="4" s="1"/>
  <c r="CB121" i="4"/>
  <c r="CC121" i="4" s="1"/>
  <c r="DN121" i="4"/>
  <c r="DO121" i="4" s="1"/>
  <c r="DJ121" i="4"/>
  <c r="DK121" i="4" s="1"/>
  <c r="DF121" i="4"/>
  <c r="DG121" i="4" s="1"/>
  <c r="DB121" i="4"/>
  <c r="DC121" i="4" s="1"/>
  <c r="CX121" i="4"/>
  <c r="CY121" i="4" s="1"/>
  <c r="CT121" i="4"/>
  <c r="CU121" i="4" s="1"/>
  <c r="CP121" i="4"/>
  <c r="CQ121" i="4" s="1"/>
  <c r="CL121" i="4"/>
  <c r="CM121" i="4" s="1"/>
  <c r="CH121" i="4"/>
  <c r="CI121" i="4" s="1"/>
  <c r="CD121" i="4"/>
  <c r="CE121" i="4" s="1"/>
  <c r="CA121" i="4"/>
  <c r="CB116" i="4"/>
  <c r="CC116" i="4" s="1"/>
  <c r="CF116" i="4"/>
  <c r="CG116" i="4" s="1"/>
  <c r="CJ116" i="4"/>
  <c r="CK116" i="4" s="1"/>
  <c r="CN116" i="4"/>
  <c r="CO116" i="4" s="1"/>
  <c r="CR116" i="4"/>
  <c r="CS116" i="4" s="1"/>
  <c r="CV116" i="4"/>
  <c r="CW116" i="4" s="1"/>
  <c r="CZ116" i="4"/>
  <c r="DA116" i="4" s="1"/>
  <c r="DD116" i="4"/>
  <c r="DE116" i="4" s="1"/>
  <c r="DH116" i="4"/>
  <c r="DI116" i="4" s="1"/>
  <c r="DL116" i="4"/>
  <c r="DM116" i="4" s="1"/>
  <c r="CB118" i="4"/>
  <c r="CC118" i="4" s="1"/>
  <c r="CF118" i="4"/>
  <c r="CG118" i="4" s="1"/>
  <c r="CJ118" i="4"/>
  <c r="CK118" i="4" s="1"/>
  <c r="CN118" i="4"/>
  <c r="CO118" i="4" s="1"/>
  <c r="CR118" i="4"/>
  <c r="CS118" i="4" s="1"/>
  <c r="CV118" i="4"/>
  <c r="CW118" i="4" s="1"/>
  <c r="CZ118" i="4"/>
  <c r="DA118" i="4" s="1"/>
  <c r="DD118" i="4"/>
  <c r="DE118" i="4" s="1"/>
  <c r="DH118" i="4"/>
  <c r="DI118" i="4" s="1"/>
  <c r="DL118" i="4"/>
  <c r="DM118" i="4" s="1"/>
  <c r="CR120" i="4"/>
  <c r="CS120" i="4" s="1"/>
  <c r="CV120" i="4"/>
  <c r="CW120" i="4" s="1"/>
  <c r="CZ120" i="4"/>
  <c r="DA120" i="4" s="1"/>
  <c r="DD120" i="4"/>
  <c r="DE120" i="4" s="1"/>
  <c r="DH120" i="4"/>
  <c r="DI120" i="4" s="1"/>
  <c r="DL120" i="4"/>
  <c r="DM120" i="4" s="1"/>
  <c r="GF116" i="4"/>
  <c r="GG116" i="4" s="1"/>
  <c r="GB116" i="4"/>
  <c r="GC116" i="4" s="1"/>
  <c r="FX116" i="4"/>
  <c r="FY116" i="4" s="1"/>
  <c r="FT116" i="4"/>
  <c r="FU116" i="4" s="1"/>
  <c r="FP116" i="4"/>
  <c r="FQ116" i="4" s="1"/>
  <c r="FL116" i="4"/>
  <c r="FM116" i="4" s="1"/>
  <c r="FH116" i="4"/>
  <c r="FI116" i="4" s="1"/>
  <c r="FD116" i="4"/>
  <c r="FE116" i="4" s="1"/>
  <c r="EZ116" i="4"/>
  <c r="FA116" i="4" s="1"/>
  <c r="EV116" i="4"/>
  <c r="EW116" i="4" s="1"/>
  <c r="ES116" i="4"/>
  <c r="GD116" i="4"/>
  <c r="GE116" i="4" s="1"/>
  <c r="FN116" i="4"/>
  <c r="FO116" i="4" s="1"/>
  <c r="EX116" i="4"/>
  <c r="EY116" i="4" s="1"/>
  <c r="FZ116" i="4"/>
  <c r="GA116" i="4" s="1"/>
  <c r="FJ116" i="4"/>
  <c r="FK116" i="4" s="1"/>
  <c r="ET116" i="4"/>
  <c r="EU116" i="4" s="1"/>
  <c r="GH116" i="4"/>
  <c r="GI116" i="4" s="1"/>
  <c r="FR116" i="4"/>
  <c r="FS116" i="4" s="1"/>
  <c r="FB116" i="4"/>
  <c r="FC116" i="4" s="1"/>
  <c r="GF23" i="4"/>
  <c r="GG23" i="4" s="1"/>
  <c r="FN23" i="4"/>
  <c r="FO23" i="4" s="1"/>
  <c r="GH119" i="4"/>
  <c r="GI119" i="4" s="1"/>
  <c r="GD119" i="4"/>
  <c r="GE119" i="4" s="1"/>
  <c r="FZ119" i="4"/>
  <c r="GA119" i="4" s="1"/>
  <c r="FV119" i="4"/>
  <c r="FW119" i="4" s="1"/>
  <c r="FR119" i="4"/>
  <c r="FS119" i="4" s="1"/>
  <c r="FN119" i="4"/>
  <c r="FO119" i="4" s="1"/>
  <c r="FJ119" i="4"/>
  <c r="FK119" i="4" s="1"/>
  <c r="FF119" i="4"/>
  <c r="FG119" i="4" s="1"/>
  <c r="FB119" i="4"/>
  <c r="FC119" i="4" s="1"/>
  <c r="EX119" i="4"/>
  <c r="EY119" i="4" s="1"/>
  <c r="ET119" i="4"/>
  <c r="EU119" i="4" s="1"/>
  <c r="GF119" i="4"/>
  <c r="GG119" i="4" s="1"/>
  <c r="GB119" i="4"/>
  <c r="GC119" i="4" s="1"/>
  <c r="FX119" i="4"/>
  <c r="FY119" i="4" s="1"/>
  <c r="FT119" i="4"/>
  <c r="FU119" i="4" s="1"/>
  <c r="FP119" i="4"/>
  <c r="FQ119" i="4" s="1"/>
  <c r="FL119" i="4"/>
  <c r="FM119" i="4" s="1"/>
  <c r="FH119" i="4"/>
  <c r="FI119" i="4" s="1"/>
  <c r="FD119" i="4"/>
  <c r="FE119" i="4" s="1"/>
  <c r="EZ119" i="4"/>
  <c r="FA119" i="4" s="1"/>
  <c r="EV119" i="4"/>
  <c r="EW119" i="4" s="1"/>
  <c r="ES119" i="4"/>
  <c r="GH121" i="4"/>
  <c r="GI121" i="4" s="1"/>
  <c r="GD121" i="4"/>
  <c r="GE121" i="4" s="1"/>
  <c r="FZ121" i="4"/>
  <c r="GA121" i="4" s="1"/>
  <c r="FV121" i="4"/>
  <c r="FW121" i="4" s="1"/>
  <c r="FR121" i="4"/>
  <c r="FS121" i="4" s="1"/>
  <c r="FN121" i="4"/>
  <c r="FO121" i="4" s="1"/>
  <c r="FJ121" i="4"/>
  <c r="FK121" i="4" s="1"/>
  <c r="FF121" i="4"/>
  <c r="FG121" i="4" s="1"/>
  <c r="FB121" i="4"/>
  <c r="FC121" i="4" s="1"/>
  <c r="EX121" i="4"/>
  <c r="EY121" i="4" s="1"/>
  <c r="ET121" i="4"/>
  <c r="EU121" i="4" s="1"/>
  <c r="FT121" i="4"/>
  <c r="FU121" i="4" s="1"/>
  <c r="FD121" i="4"/>
  <c r="FE121" i="4" s="1"/>
  <c r="GF121" i="4"/>
  <c r="GG121" i="4" s="1"/>
  <c r="FP121" i="4"/>
  <c r="FQ121" i="4" s="1"/>
  <c r="EZ121" i="4"/>
  <c r="FA121" i="4" s="1"/>
  <c r="GB121" i="4"/>
  <c r="GC121" i="4" s="1"/>
  <c r="FL121" i="4"/>
  <c r="FM121" i="4" s="1"/>
  <c r="EV121" i="4"/>
  <c r="EW121" i="4" s="1"/>
  <c r="FH121" i="4"/>
  <c r="FI121" i="4" s="1"/>
  <c r="ES121" i="4"/>
  <c r="FX121" i="4"/>
  <c r="FY121" i="4" s="1"/>
  <c r="EV118" i="4"/>
  <c r="EW118" i="4" s="1"/>
  <c r="FL118" i="4"/>
  <c r="FM118" i="4" s="1"/>
  <c r="ET120" i="4"/>
  <c r="EU120" i="4" s="1"/>
  <c r="FJ120" i="4"/>
  <c r="FK120" i="4" s="1"/>
  <c r="GH126" i="4"/>
  <c r="GI126" i="4" s="1"/>
  <c r="GD126" i="4"/>
  <c r="GE126" i="4" s="1"/>
  <c r="FZ126" i="4"/>
  <c r="GA126" i="4" s="1"/>
  <c r="FV126" i="4"/>
  <c r="FW126" i="4" s="1"/>
  <c r="FR126" i="4"/>
  <c r="FS126" i="4" s="1"/>
  <c r="FN126" i="4"/>
  <c r="FO126" i="4" s="1"/>
  <c r="FJ126" i="4"/>
  <c r="FK126" i="4" s="1"/>
  <c r="FF126" i="4"/>
  <c r="FG126" i="4" s="1"/>
  <c r="FB126" i="4"/>
  <c r="FC126" i="4" s="1"/>
  <c r="EX126" i="4"/>
  <c r="EY126" i="4" s="1"/>
  <c r="ET126" i="4"/>
  <c r="EU126" i="4" s="1"/>
  <c r="GF126" i="4"/>
  <c r="GG126" i="4" s="1"/>
  <c r="GB126" i="4"/>
  <c r="GC126" i="4" s="1"/>
  <c r="FX126" i="4"/>
  <c r="FY126" i="4" s="1"/>
  <c r="FT126" i="4"/>
  <c r="FU126" i="4" s="1"/>
  <c r="FP126" i="4"/>
  <c r="FQ126" i="4" s="1"/>
  <c r="FL126" i="4"/>
  <c r="FM126" i="4" s="1"/>
  <c r="FH126" i="4"/>
  <c r="FI126" i="4" s="1"/>
  <c r="FD126" i="4"/>
  <c r="FE126" i="4" s="1"/>
  <c r="EZ126" i="4"/>
  <c r="FA126" i="4" s="1"/>
  <c r="EV126" i="4"/>
  <c r="EW126" i="4" s="1"/>
  <c r="ES126" i="4"/>
  <c r="GH118" i="4"/>
  <c r="GI118" i="4" s="1"/>
  <c r="GD118" i="4"/>
  <c r="GE118" i="4" s="1"/>
  <c r="FZ118" i="4"/>
  <c r="GA118" i="4" s="1"/>
  <c r="FV118" i="4"/>
  <c r="FW118" i="4" s="1"/>
  <c r="FR118" i="4"/>
  <c r="FS118" i="4" s="1"/>
  <c r="FN118" i="4"/>
  <c r="FO118" i="4" s="1"/>
  <c r="FJ118" i="4"/>
  <c r="FK118" i="4" s="1"/>
  <c r="FF118" i="4"/>
  <c r="FG118" i="4" s="1"/>
  <c r="FB118" i="4"/>
  <c r="FC118" i="4" s="1"/>
  <c r="EX118" i="4"/>
  <c r="EY118" i="4" s="1"/>
  <c r="ET118" i="4"/>
  <c r="EU118" i="4" s="1"/>
  <c r="GF120" i="4"/>
  <c r="GG120" i="4" s="1"/>
  <c r="GB120" i="4"/>
  <c r="GC120" i="4" s="1"/>
  <c r="GD120" i="4"/>
  <c r="GE120" i="4" s="1"/>
  <c r="GH120" i="4"/>
  <c r="GI120" i="4" s="1"/>
  <c r="FX120" i="4"/>
  <c r="FY120" i="4" s="1"/>
  <c r="FT120" i="4"/>
  <c r="FU120" i="4" s="1"/>
  <c r="FP120" i="4"/>
  <c r="FQ120" i="4" s="1"/>
  <c r="FL120" i="4"/>
  <c r="FM120" i="4" s="1"/>
  <c r="FH120" i="4"/>
  <c r="FI120" i="4" s="1"/>
  <c r="FD120" i="4"/>
  <c r="FE120" i="4" s="1"/>
  <c r="EZ120" i="4"/>
  <c r="FA120" i="4" s="1"/>
  <c r="EV120" i="4"/>
  <c r="EW120" i="4" s="1"/>
  <c r="ES120" i="4"/>
  <c r="FT117" i="4"/>
  <c r="FU117" i="4" s="1"/>
  <c r="FD117" i="4"/>
  <c r="FE117" i="4" s="1"/>
  <c r="GH117" i="4"/>
  <c r="GI117" i="4" s="1"/>
  <c r="FR117" i="4"/>
  <c r="FS117" i="4" s="1"/>
  <c r="FB117" i="4"/>
  <c r="FC117" i="4" s="1"/>
  <c r="ES118" i="4"/>
  <c r="FH118" i="4"/>
  <c r="FI118" i="4" s="1"/>
  <c r="FX118" i="4"/>
  <c r="FY118" i="4" s="1"/>
  <c r="FF120" i="4"/>
  <c r="FG120" i="4" s="1"/>
  <c r="FV120" i="4"/>
  <c r="FW120" i="4" s="1"/>
  <c r="GH122" i="4"/>
  <c r="GI122" i="4" s="1"/>
  <c r="GD122" i="4"/>
  <c r="GE122" i="4" s="1"/>
  <c r="FZ122" i="4"/>
  <c r="GA122" i="4" s="1"/>
  <c r="FV122" i="4"/>
  <c r="FW122" i="4" s="1"/>
  <c r="FR122" i="4"/>
  <c r="FS122" i="4" s="1"/>
  <c r="FN122" i="4"/>
  <c r="FO122" i="4" s="1"/>
  <c r="FJ122" i="4"/>
  <c r="FK122" i="4" s="1"/>
  <c r="FF122" i="4"/>
  <c r="FG122" i="4" s="1"/>
  <c r="FB122" i="4"/>
  <c r="FC122" i="4" s="1"/>
  <c r="EX122" i="4"/>
  <c r="EY122" i="4" s="1"/>
  <c r="ET122" i="4"/>
  <c r="EU122" i="4" s="1"/>
  <c r="GF122" i="4"/>
  <c r="GG122" i="4" s="1"/>
  <c r="GB122" i="4"/>
  <c r="GC122" i="4" s="1"/>
  <c r="FX122" i="4"/>
  <c r="FY122" i="4" s="1"/>
  <c r="FT122" i="4"/>
  <c r="FU122" i="4" s="1"/>
  <c r="FP122" i="4"/>
  <c r="FQ122" i="4" s="1"/>
  <c r="FL122" i="4"/>
  <c r="FM122" i="4" s="1"/>
  <c r="FH122" i="4"/>
  <c r="FI122" i="4" s="1"/>
  <c r="FD122" i="4"/>
  <c r="FE122" i="4" s="1"/>
  <c r="EZ122" i="4"/>
  <c r="FA122" i="4" s="1"/>
  <c r="EV122" i="4"/>
  <c r="EW122" i="4" s="1"/>
  <c r="ES122" i="4"/>
  <c r="GH125" i="4"/>
  <c r="GI125" i="4" s="1"/>
  <c r="GD125" i="4"/>
  <c r="GE125" i="4" s="1"/>
  <c r="FZ125" i="4"/>
  <c r="GA125" i="4" s="1"/>
  <c r="FV125" i="4"/>
  <c r="FW125" i="4" s="1"/>
  <c r="FR125" i="4"/>
  <c r="FS125" i="4" s="1"/>
  <c r="FN125" i="4"/>
  <c r="FO125" i="4" s="1"/>
  <c r="FJ125" i="4"/>
  <c r="FK125" i="4" s="1"/>
  <c r="FF125" i="4"/>
  <c r="FG125" i="4" s="1"/>
  <c r="FB125" i="4"/>
  <c r="FC125" i="4" s="1"/>
  <c r="EX125" i="4"/>
  <c r="EY125" i="4" s="1"/>
  <c r="ET125" i="4"/>
  <c r="EU125" i="4" s="1"/>
  <c r="FX125" i="4"/>
  <c r="FY125" i="4" s="1"/>
  <c r="FH125" i="4"/>
  <c r="FI125" i="4" s="1"/>
  <c r="ES125" i="4"/>
  <c r="FT125" i="4"/>
  <c r="FU125" i="4" s="1"/>
  <c r="FD125" i="4"/>
  <c r="FE125" i="4" s="1"/>
  <c r="GF125" i="4"/>
  <c r="GG125" i="4" s="1"/>
  <c r="FP125" i="4"/>
  <c r="FQ125" i="4" s="1"/>
  <c r="EZ125" i="4"/>
  <c r="FA125" i="4" s="1"/>
  <c r="GF123" i="4"/>
  <c r="GG123" i="4" s="1"/>
  <c r="GB123" i="4"/>
  <c r="GC123" i="4" s="1"/>
  <c r="FX123" i="4"/>
  <c r="FY123" i="4" s="1"/>
  <c r="FT123" i="4"/>
  <c r="FU123" i="4" s="1"/>
  <c r="FP123" i="4"/>
  <c r="FQ123" i="4" s="1"/>
  <c r="FL123" i="4"/>
  <c r="FM123" i="4" s="1"/>
  <c r="FH123" i="4"/>
  <c r="FI123" i="4" s="1"/>
  <c r="FD123" i="4"/>
  <c r="FE123" i="4" s="1"/>
  <c r="EZ123" i="4"/>
  <c r="FA123" i="4" s="1"/>
  <c r="EV123" i="4"/>
  <c r="EW123" i="4" s="1"/>
  <c r="ES123" i="4"/>
  <c r="AV52" i="4" l="1"/>
  <c r="AW52" i="4" s="1"/>
  <c r="AH52" i="4"/>
  <c r="AI52" i="4" s="1"/>
  <c r="AB52" i="4"/>
  <c r="AC52" i="4" s="1"/>
  <c r="N52" i="4"/>
  <c r="O52" i="4" s="1"/>
  <c r="I52" i="4"/>
  <c r="AN52" i="4"/>
  <c r="AO52" i="4" s="1"/>
  <c r="Z52" i="4"/>
  <c r="AA52" i="4" s="1"/>
  <c r="J52" i="4"/>
  <c r="K52" i="4" s="1"/>
  <c r="X52" i="4"/>
  <c r="Y52" i="4" s="1"/>
  <c r="R52" i="4"/>
  <c r="S52" i="4" s="1"/>
  <c r="AL52" i="4"/>
  <c r="AM52" i="4" s="1"/>
  <c r="AJ52" i="4"/>
  <c r="AK52" i="4" s="1"/>
  <c r="AD52" i="4"/>
  <c r="AE52" i="4" s="1"/>
  <c r="T52" i="4"/>
  <c r="U52" i="4" s="1"/>
  <c r="L52" i="4"/>
  <c r="M52" i="4" s="1"/>
  <c r="AR52" i="4"/>
  <c r="AS52" i="4" s="1"/>
  <c r="AF52" i="4"/>
  <c r="AG52" i="4" s="1"/>
  <c r="P52" i="4"/>
  <c r="Q52" i="4" s="1"/>
  <c r="V52" i="4"/>
  <c r="W52" i="4" s="1"/>
  <c r="AV68" i="4"/>
  <c r="AW68" i="4" s="1"/>
  <c r="X68" i="4"/>
  <c r="Y68" i="4" s="1"/>
  <c r="AF68" i="4"/>
  <c r="AG68" i="4" s="1"/>
  <c r="AL68" i="4"/>
  <c r="AM68" i="4" s="1"/>
  <c r="N68" i="4"/>
  <c r="O68" i="4" s="1"/>
  <c r="AT68" i="4"/>
  <c r="AU68" i="4" s="1"/>
  <c r="Z68" i="4"/>
  <c r="AA68" i="4" s="1"/>
  <c r="AH68" i="4"/>
  <c r="AI68" i="4" s="1"/>
  <c r="AN68" i="4"/>
  <c r="AO68" i="4" s="1"/>
  <c r="R68" i="4"/>
  <c r="S68" i="4" s="1"/>
  <c r="CV88" i="4"/>
  <c r="CW88" i="4" s="1"/>
  <c r="CA88" i="4"/>
  <c r="DL88" i="4"/>
  <c r="DM88" i="4" s="1"/>
  <c r="DF88" i="4"/>
  <c r="DG88" i="4" s="1"/>
  <c r="CP88" i="4"/>
  <c r="CQ88" i="4" s="1"/>
  <c r="CB88" i="4"/>
  <c r="CC88" i="4" s="1"/>
  <c r="DD88" i="4"/>
  <c r="DE88" i="4" s="1"/>
  <c r="CX88" i="4"/>
  <c r="CY88" i="4" s="1"/>
  <c r="DF130" i="4"/>
  <c r="DG130" i="4" s="1"/>
  <c r="CA130" i="4"/>
  <c r="AL88" i="4"/>
  <c r="AM88" i="4" s="1"/>
  <c r="G21" i="4"/>
  <c r="AX35" i="4"/>
  <c r="AY35" i="4" s="1"/>
  <c r="I35" i="4"/>
  <c r="CZ48" i="4"/>
  <c r="DA48" i="4" s="1"/>
  <c r="DB48" i="4"/>
  <c r="DC48" i="4" s="1"/>
  <c r="V40" i="4"/>
  <c r="W40" i="4" s="1"/>
  <c r="AN40" i="4"/>
  <c r="AO40" i="4" s="1"/>
  <c r="T40" i="4"/>
  <c r="U40" i="4" s="1"/>
  <c r="I40" i="4"/>
  <c r="AB40" i="4"/>
  <c r="AC40" i="4" s="1"/>
  <c r="X40" i="4"/>
  <c r="Y40" i="4" s="1"/>
  <c r="EV40" i="4"/>
  <c r="EW40" i="4" s="1"/>
  <c r="AP40" i="4"/>
  <c r="AQ40" i="4" s="1"/>
  <c r="DJ42" i="4"/>
  <c r="DK42" i="4" s="1"/>
  <c r="CA42" i="4"/>
  <c r="DF42" i="4"/>
  <c r="DG42" i="4" s="1"/>
  <c r="CX42" i="4"/>
  <c r="CY42" i="4" s="1"/>
  <c r="AT42" i="4"/>
  <c r="AU42" i="4" s="1"/>
  <c r="L42" i="4"/>
  <c r="M42" i="4" s="1"/>
  <c r="DB18" i="4"/>
  <c r="DC18" i="4" s="1"/>
  <c r="CL18" i="4"/>
  <c r="CM18" i="4" s="1"/>
  <c r="CX18" i="4"/>
  <c r="CY18" i="4" s="1"/>
  <c r="CH18" i="4"/>
  <c r="CI18" i="4" s="1"/>
  <c r="CT18" i="4"/>
  <c r="CU18" i="4" s="1"/>
  <c r="CP18" i="4"/>
  <c r="CQ18" i="4" s="1"/>
  <c r="CA18" i="4"/>
  <c r="CD18" i="4"/>
  <c r="CE18" i="4" s="1"/>
  <c r="EQ153" i="4"/>
  <c r="ER153" i="4" s="1"/>
  <c r="BZ153" i="4"/>
  <c r="BZ155" i="4"/>
  <c r="H155" i="4"/>
  <c r="T155" i="4" s="1"/>
  <c r="U155" i="4" s="1"/>
  <c r="V88" i="4"/>
  <c r="W88" i="4" s="1"/>
  <c r="AJ69" i="4"/>
  <c r="AK69" i="4" s="1"/>
  <c r="R69" i="4"/>
  <c r="S69" i="4" s="1"/>
  <c r="AR69" i="4"/>
  <c r="AS69" i="4" s="1"/>
  <c r="AN69" i="4"/>
  <c r="AO69" i="4" s="1"/>
  <c r="L69" i="4"/>
  <c r="M69" i="4" s="1"/>
  <c r="AH69" i="4"/>
  <c r="AI69" i="4" s="1"/>
  <c r="Z69" i="4"/>
  <c r="AA69" i="4" s="1"/>
  <c r="AP69" i="4"/>
  <c r="AQ69" i="4" s="1"/>
  <c r="L66" i="4"/>
  <c r="M66" i="4" s="1"/>
  <c r="CZ72" i="4"/>
  <c r="DA72" i="4" s="1"/>
  <c r="DP72" i="4"/>
  <c r="DQ72" i="4" s="1"/>
  <c r="DH72" i="4"/>
  <c r="DI72" i="4" s="1"/>
  <c r="CV72" i="4"/>
  <c r="CW72" i="4" s="1"/>
  <c r="DL72" i="4"/>
  <c r="DM72" i="4" s="1"/>
  <c r="Z66" i="4"/>
  <c r="AA66" i="4" s="1"/>
  <c r="T66" i="4"/>
  <c r="U66" i="4" s="1"/>
  <c r="R66" i="4"/>
  <c r="S66" i="4" s="1"/>
  <c r="P66" i="4"/>
  <c r="Q66" i="4" s="1"/>
  <c r="V66" i="4"/>
  <c r="W66" i="4" s="1"/>
  <c r="AL66" i="4"/>
  <c r="AM66" i="4" s="1"/>
  <c r="AX66" i="4"/>
  <c r="AY66" i="4" s="1"/>
  <c r="AJ66" i="4"/>
  <c r="AK66" i="4" s="1"/>
  <c r="X66" i="4"/>
  <c r="Y66" i="4" s="1"/>
  <c r="N66" i="4"/>
  <c r="O66" i="4" s="1"/>
  <c r="I66" i="4"/>
  <c r="AN66" i="4"/>
  <c r="AO66" i="4" s="1"/>
  <c r="AD66" i="4"/>
  <c r="AE66" i="4" s="1"/>
  <c r="X64" i="4"/>
  <c r="Y64" i="4" s="1"/>
  <c r="AF64" i="4"/>
  <c r="AG64" i="4" s="1"/>
  <c r="AL64" i="4"/>
  <c r="AM64" i="4" s="1"/>
  <c r="V64" i="4"/>
  <c r="W64" i="4" s="1"/>
  <c r="Z64" i="4"/>
  <c r="AA64" i="4" s="1"/>
  <c r="AH64" i="4"/>
  <c r="AI64" i="4" s="1"/>
  <c r="AN64" i="4"/>
  <c r="AO64" i="4" s="1"/>
  <c r="T64" i="4"/>
  <c r="U64" i="4" s="1"/>
  <c r="R64" i="4"/>
  <c r="S64" i="4" s="1"/>
  <c r="AB64" i="4"/>
  <c r="AC64" i="4" s="1"/>
  <c r="AJ64" i="4"/>
  <c r="AK64" i="4" s="1"/>
  <c r="AP64" i="4"/>
  <c r="AQ64" i="4" s="1"/>
  <c r="P64" i="4"/>
  <c r="Q64" i="4" s="1"/>
  <c r="N64" i="4"/>
  <c r="O64" i="4" s="1"/>
  <c r="DJ125" i="4"/>
  <c r="DK125" i="4" s="1"/>
  <c r="CX125" i="4"/>
  <c r="CY125" i="4" s="1"/>
  <c r="CH125" i="4"/>
  <c r="CI125" i="4" s="1"/>
  <c r="CP125" i="4"/>
  <c r="CQ125" i="4" s="1"/>
  <c r="DF125" i="4"/>
  <c r="DG125" i="4" s="1"/>
  <c r="CA125" i="4"/>
  <c r="DN125" i="4"/>
  <c r="DO125" i="4" s="1"/>
  <c r="GD23" i="4"/>
  <c r="GE23" i="4" s="1"/>
  <c r="EZ23" i="4"/>
  <c r="FA23" i="4" s="1"/>
  <c r="EX23" i="4"/>
  <c r="EY23" i="4" s="1"/>
  <c r="FP23" i="4"/>
  <c r="FQ23" i="4" s="1"/>
  <c r="L122" i="4"/>
  <c r="M122" i="4" s="1"/>
  <c r="AT122" i="4"/>
  <c r="AU122" i="4" s="1"/>
  <c r="V122" i="4"/>
  <c r="W122" i="4" s="1"/>
  <c r="N122" i="4"/>
  <c r="O122" i="4" s="1"/>
  <c r="AD122" i="4"/>
  <c r="AE122" i="4" s="1"/>
  <c r="AL122" i="4"/>
  <c r="AM122" i="4" s="1"/>
  <c r="I122" i="4"/>
  <c r="ET23" i="4"/>
  <c r="EU23" i="4" s="1"/>
  <c r="FJ23" i="4"/>
  <c r="FK23" i="4" s="1"/>
  <c r="FZ23" i="4"/>
  <c r="GA23" i="4" s="1"/>
  <c r="EV23" i="4"/>
  <c r="EW23" i="4" s="1"/>
  <c r="FL23" i="4"/>
  <c r="FM23" i="4" s="1"/>
  <c r="GB23" i="4"/>
  <c r="GC23" i="4" s="1"/>
  <c r="FB23" i="4"/>
  <c r="FC23" i="4" s="1"/>
  <c r="FR23" i="4"/>
  <c r="FS23" i="4" s="1"/>
  <c r="GH23" i="4"/>
  <c r="GI23" i="4" s="1"/>
  <c r="FD23" i="4"/>
  <c r="FE23" i="4" s="1"/>
  <c r="FT23" i="4"/>
  <c r="FU23" i="4" s="1"/>
  <c r="FF23" i="4"/>
  <c r="FG23" i="4" s="1"/>
  <c r="FV23" i="4"/>
  <c r="FW23" i="4" s="1"/>
  <c r="ES23" i="4"/>
  <c r="FH23" i="4"/>
  <c r="FI23" i="4" s="1"/>
  <c r="BZ23" i="4"/>
  <c r="DB23" i="4" s="1"/>
  <c r="DC23" i="4" s="1"/>
  <c r="H23" i="4"/>
  <c r="X23" i="4" s="1"/>
  <c r="Y23" i="4" s="1"/>
  <c r="GB131" i="4"/>
  <c r="GC131" i="4" s="1"/>
  <c r="ES131" i="4"/>
  <c r="EX131" i="4"/>
  <c r="EY131" i="4" s="1"/>
  <c r="DF132" i="4"/>
  <c r="DG132" i="4" s="1"/>
  <c r="FH131" i="4"/>
  <c r="FI131" i="4" s="1"/>
  <c r="FV131" i="4"/>
  <c r="FW131" i="4" s="1"/>
  <c r="DJ130" i="4"/>
  <c r="DK130" i="4" s="1"/>
  <c r="EZ130" i="4"/>
  <c r="FA130" i="4" s="1"/>
  <c r="FP130" i="4"/>
  <c r="FQ130" i="4" s="1"/>
  <c r="GF130" i="4"/>
  <c r="GG130" i="4" s="1"/>
  <c r="FF130" i="4"/>
  <c r="FG130" i="4" s="1"/>
  <c r="FV130" i="4"/>
  <c r="FW130" i="4" s="1"/>
  <c r="CH130" i="4"/>
  <c r="CI130" i="4" s="1"/>
  <c r="CX130" i="4"/>
  <c r="CY130" i="4" s="1"/>
  <c r="DN130" i="4"/>
  <c r="DO130" i="4" s="1"/>
  <c r="CD130" i="4"/>
  <c r="CE130" i="4" s="1"/>
  <c r="CT130" i="4"/>
  <c r="CU130" i="4" s="1"/>
  <c r="FD130" i="4"/>
  <c r="FE130" i="4" s="1"/>
  <c r="FT130" i="4"/>
  <c r="FU130" i="4" s="1"/>
  <c r="ET130" i="4"/>
  <c r="EU130" i="4" s="1"/>
  <c r="FJ130" i="4"/>
  <c r="FK130" i="4" s="1"/>
  <c r="CL130" i="4"/>
  <c r="CM130" i="4" s="1"/>
  <c r="FL131" i="4"/>
  <c r="FM131" i="4" s="1"/>
  <c r="ET131" i="4"/>
  <c r="EU131" i="4" s="1"/>
  <c r="FN131" i="4"/>
  <c r="FO131" i="4" s="1"/>
  <c r="DD131" i="4"/>
  <c r="DE131" i="4" s="1"/>
  <c r="FF131" i="4"/>
  <c r="FG131" i="4" s="1"/>
  <c r="FZ131" i="4"/>
  <c r="GA131" i="4" s="1"/>
  <c r="FX131" i="4"/>
  <c r="FY131" i="4" s="1"/>
  <c r="GF131" i="4"/>
  <c r="GG131" i="4" s="1"/>
  <c r="FJ131" i="4"/>
  <c r="FK131" i="4" s="1"/>
  <c r="GH131" i="4"/>
  <c r="GI131" i="4" s="1"/>
  <c r="AF126" i="4"/>
  <c r="AG126" i="4" s="1"/>
  <c r="AB126" i="4"/>
  <c r="AC126" i="4" s="1"/>
  <c r="J126" i="4"/>
  <c r="K126" i="4" s="1"/>
  <c r="AP126" i="4"/>
  <c r="AQ126" i="4" s="1"/>
  <c r="AN126" i="4"/>
  <c r="AO126" i="4" s="1"/>
  <c r="AR126" i="4"/>
  <c r="AS126" i="4" s="1"/>
  <c r="Z126" i="4"/>
  <c r="AA126" i="4" s="1"/>
  <c r="EQ124" i="4"/>
  <c r="ER124" i="4" s="1"/>
  <c r="BZ124" i="4"/>
  <c r="AF123" i="4"/>
  <c r="AG123" i="4" s="1"/>
  <c r="X123" i="4"/>
  <c r="Y123" i="4" s="1"/>
  <c r="P123" i="4"/>
  <c r="Q123" i="4" s="1"/>
  <c r="I123" i="4"/>
  <c r="AN123" i="4"/>
  <c r="AO123" i="4" s="1"/>
  <c r="AV123" i="4"/>
  <c r="AW123" i="4" s="1"/>
  <c r="AF88" i="4"/>
  <c r="AG88" i="4" s="1"/>
  <c r="AB78" i="4"/>
  <c r="AC78" i="4" s="1"/>
  <c r="L78" i="4"/>
  <c r="M78" i="4" s="1"/>
  <c r="J78" i="4"/>
  <c r="K78" i="4" s="1"/>
  <c r="X78" i="4"/>
  <c r="Y78" i="4" s="1"/>
  <c r="Z78" i="4"/>
  <c r="AA78" i="4" s="1"/>
  <c r="EX74" i="4"/>
  <c r="EY74" i="4" s="1"/>
  <c r="FP74" i="4"/>
  <c r="FQ74" i="4" s="1"/>
  <c r="DF85" i="4"/>
  <c r="DG85" i="4" s="1"/>
  <c r="CL83" i="4"/>
  <c r="CM83" i="4" s="1"/>
  <c r="DB83" i="4"/>
  <c r="DC83" i="4" s="1"/>
  <c r="CB83" i="4"/>
  <c r="CC83" i="4" s="1"/>
  <c r="CR83" i="4"/>
  <c r="CS83" i="4" s="1"/>
  <c r="DH83" i="4"/>
  <c r="DI83" i="4" s="1"/>
  <c r="CD79" i="4"/>
  <c r="CE79" i="4" s="1"/>
  <c r="CT79" i="4"/>
  <c r="CU79" i="4" s="1"/>
  <c r="DJ79" i="4"/>
  <c r="DK79" i="4" s="1"/>
  <c r="DP79" i="4"/>
  <c r="DQ79" i="4" s="1"/>
  <c r="DD78" i="4"/>
  <c r="DE78" i="4" s="1"/>
  <c r="AT75" i="4"/>
  <c r="AU75" i="4" s="1"/>
  <c r="Z82" i="4"/>
  <c r="AA82" i="4" s="1"/>
  <c r="R78" i="4"/>
  <c r="S78" i="4" s="1"/>
  <c r="I78" i="4"/>
  <c r="Z72" i="4"/>
  <c r="AA72" i="4" s="1"/>
  <c r="AH72" i="4"/>
  <c r="AI72" i="4" s="1"/>
  <c r="AN72" i="4"/>
  <c r="AO72" i="4" s="1"/>
  <c r="V82" i="4"/>
  <c r="W82" i="4" s="1"/>
  <c r="N72" i="4"/>
  <c r="O72" i="4" s="1"/>
  <c r="AL78" i="4"/>
  <c r="AM78" i="4" s="1"/>
  <c r="AX78" i="4"/>
  <c r="AY78" i="4" s="1"/>
  <c r="AJ78" i="4"/>
  <c r="AK78" i="4" s="1"/>
  <c r="DN66" i="4"/>
  <c r="DO66" i="4" s="1"/>
  <c r="CN79" i="4"/>
  <c r="CO79" i="4" s="1"/>
  <c r="CD66" i="4"/>
  <c r="CE66" i="4" s="1"/>
  <c r="DJ66" i="4"/>
  <c r="DK66" i="4" s="1"/>
  <c r="DD66" i="4"/>
  <c r="DE66" i="4" s="1"/>
  <c r="V75" i="4"/>
  <c r="W75" i="4" s="1"/>
  <c r="AR75" i="4"/>
  <c r="AS75" i="4" s="1"/>
  <c r="AH75" i="4"/>
  <c r="AI75" i="4" s="1"/>
  <c r="AP75" i="4"/>
  <c r="AQ75" i="4" s="1"/>
  <c r="AD75" i="4"/>
  <c r="AE75" i="4" s="1"/>
  <c r="J87" i="4"/>
  <c r="K87" i="4" s="1"/>
  <c r="AF87" i="4"/>
  <c r="AG87" i="4" s="1"/>
  <c r="AR87" i="4"/>
  <c r="AS87" i="4" s="1"/>
  <c r="I87" i="4"/>
  <c r="FN74" i="4"/>
  <c r="FO74" i="4" s="1"/>
  <c r="GF74" i="4"/>
  <c r="GG74" i="4" s="1"/>
  <c r="CJ85" i="4"/>
  <c r="CK85" i="4" s="1"/>
  <c r="CA83" i="4"/>
  <c r="CP83" i="4"/>
  <c r="CQ83" i="4" s="1"/>
  <c r="DF83" i="4"/>
  <c r="DG83" i="4" s="1"/>
  <c r="CF83" i="4"/>
  <c r="CG83" i="4" s="1"/>
  <c r="CV83" i="4"/>
  <c r="CW83" i="4" s="1"/>
  <c r="DL83" i="4"/>
  <c r="DM83" i="4" s="1"/>
  <c r="CH79" i="4"/>
  <c r="CI79" i="4" s="1"/>
  <c r="CX79" i="4"/>
  <c r="CY79" i="4" s="1"/>
  <c r="DN79" i="4"/>
  <c r="DO79" i="4" s="1"/>
  <c r="CJ78" i="4"/>
  <c r="CK78" i="4" s="1"/>
  <c r="DP78" i="4"/>
  <c r="DQ78" i="4" s="1"/>
  <c r="AV75" i="4"/>
  <c r="AW75" i="4" s="1"/>
  <c r="AT78" i="4"/>
  <c r="AU78" i="4" s="1"/>
  <c r="P78" i="4"/>
  <c r="Q78" i="4" s="1"/>
  <c r="AB72" i="4"/>
  <c r="AC72" i="4" s="1"/>
  <c r="AJ72" i="4"/>
  <c r="AK72" i="4" s="1"/>
  <c r="AP72" i="4"/>
  <c r="AQ72" i="4" s="1"/>
  <c r="V78" i="4"/>
  <c r="W78" i="4" s="1"/>
  <c r="I72" i="4"/>
  <c r="AP82" i="4"/>
  <c r="AQ82" i="4" s="1"/>
  <c r="AN78" i="4"/>
  <c r="AO78" i="4" s="1"/>
  <c r="AD78" i="4"/>
  <c r="AE78" i="4" s="1"/>
  <c r="CJ79" i="4"/>
  <c r="CK79" i="4" s="1"/>
  <c r="CR79" i="4"/>
  <c r="CS79" i="4" s="1"/>
  <c r="J75" i="4"/>
  <c r="K75" i="4" s="1"/>
  <c r="P75" i="4"/>
  <c r="Q75" i="4" s="1"/>
  <c r="AL75" i="4"/>
  <c r="AM75" i="4" s="1"/>
  <c r="L75" i="4"/>
  <c r="M75" i="4" s="1"/>
  <c r="AJ83" i="4"/>
  <c r="AK83" i="4" s="1"/>
  <c r="AN83" i="4"/>
  <c r="AO83" i="4" s="1"/>
  <c r="I83" i="4"/>
  <c r="GD74" i="4"/>
  <c r="GE74" i="4" s="1"/>
  <c r="DD85" i="4"/>
  <c r="DE85" i="4" s="1"/>
  <c r="CD83" i="4"/>
  <c r="CE83" i="4" s="1"/>
  <c r="CT83" i="4"/>
  <c r="CU83" i="4" s="1"/>
  <c r="DJ83" i="4"/>
  <c r="DK83" i="4" s="1"/>
  <c r="CJ83" i="4"/>
  <c r="CK83" i="4" s="1"/>
  <c r="CZ83" i="4"/>
  <c r="DA83" i="4" s="1"/>
  <c r="CL79" i="4"/>
  <c r="CM79" i="4" s="1"/>
  <c r="DB79" i="4"/>
  <c r="DC79" i="4" s="1"/>
  <c r="DH79" i="4"/>
  <c r="DI79" i="4" s="1"/>
  <c r="N82" i="4"/>
  <c r="O82" i="4" s="1"/>
  <c r="AD72" i="4"/>
  <c r="AE72" i="4" s="1"/>
  <c r="AX72" i="4"/>
  <c r="AY72" i="4" s="1"/>
  <c r="AR72" i="4"/>
  <c r="AS72" i="4" s="1"/>
  <c r="T72" i="4"/>
  <c r="U72" i="4" s="1"/>
  <c r="AH82" i="4"/>
  <c r="AI82" i="4" s="1"/>
  <c r="AP78" i="4"/>
  <c r="AQ78" i="4" s="1"/>
  <c r="AF78" i="4"/>
  <c r="AG78" i="4" s="1"/>
  <c r="R75" i="4"/>
  <c r="S75" i="4" s="1"/>
  <c r="CV79" i="4"/>
  <c r="CW79" i="4" s="1"/>
  <c r="DD79" i="4"/>
  <c r="DE79" i="4" s="1"/>
  <c r="X75" i="4"/>
  <c r="Y75" i="4" s="1"/>
  <c r="Z75" i="4"/>
  <c r="AA75" i="4" s="1"/>
  <c r="N75" i="4"/>
  <c r="O75" i="4" s="1"/>
  <c r="I75" i="4"/>
  <c r="AV84" i="4"/>
  <c r="AW84" i="4" s="1"/>
  <c r="J84" i="4"/>
  <c r="K84" i="4" s="1"/>
  <c r="L84" i="4"/>
  <c r="M84" i="4" s="1"/>
  <c r="AB84" i="4"/>
  <c r="AC84" i="4" s="1"/>
  <c r="R44" i="4"/>
  <c r="S44" i="4" s="1"/>
  <c r="AH44" i="4"/>
  <c r="AI44" i="4" s="1"/>
  <c r="AX44" i="4"/>
  <c r="AY44" i="4" s="1"/>
  <c r="T44" i="4"/>
  <c r="U44" i="4" s="1"/>
  <c r="AJ44" i="4"/>
  <c r="AK44" i="4" s="1"/>
  <c r="ES41" i="4"/>
  <c r="FP36" i="4"/>
  <c r="FQ36" i="4" s="1"/>
  <c r="FF36" i="4"/>
  <c r="FG36" i="4" s="1"/>
  <c r="N40" i="4"/>
  <c r="O40" i="4" s="1"/>
  <c r="P40" i="4"/>
  <c r="Q40" i="4" s="1"/>
  <c r="AH40" i="4"/>
  <c r="AI40" i="4" s="1"/>
  <c r="CN48" i="4"/>
  <c r="CO48" i="4" s="1"/>
  <c r="CL51" i="4"/>
  <c r="CM51" i="4" s="1"/>
  <c r="CR51" i="4"/>
  <c r="CS51" i="4" s="1"/>
  <c r="AB43" i="4"/>
  <c r="AC43" i="4" s="1"/>
  <c r="CP43" i="4"/>
  <c r="CQ43" i="4" s="1"/>
  <c r="DJ51" i="4"/>
  <c r="DK51" i="4" s="1"/>
  <c r="DF51" i="4"/>
  <c r="DG51" i="4" s="1"/>
  <c r="CA51" i="4"/>
  <c r="DN51" i="4"/>
  <c r="DO51" i="4" s="1"/>
  <c r="CX51" i="4"/>
  <c r="CY51" i="4" s="1"/>
  <c r="CP51" i="4"/>
  <c r="CQ51" i="4" s="1"/>
  <c r="CH51" i="4"/>
  <c r="CI51" i="4" s="1"/>
  <c r="AV40" i="4"/>
  <c r="AW40" i="4" s="1"/>
  <c r="AF40" i="4"/>
  <c r="AG40" i="4" s="1"/>
  <c r="AD40" i="4"/>
  <c r="AE40" i="4" s="1"/>
  <c r="J40" i="4"/>
  <c r="K40" i="4" s="1"/>
  <c r="J44" i="4"/>
  <c r="K44" i="4" s="1"/>
  <c r="Z44" i="4"/>
  <c r="AA44" i="4" s="1"/>
  <c r="AP44" i="4"/>
  <c r="AQ44" i="4" s="1"/>
  <c r="L44" i="4"/>
  <c r="M44" i="4" s="1"/>
  <c r="AB44" i="4"/>
  <c r="AC44" i="4" s="1"/>
  <c r="FJ41" i="4"/>
  <c r="FK41" i="4" s="1"/>
  <c r="EZ36" i="4"/>
  <c r="FA36" i="4" s="1"/>
  <c r="GF36" i="4"/>
  <c r="GG36" i="4" s="1"/>
  <c r="FV36" i="4"/>
  <c r="FW36" i="4" s="1"/>
  <c r="AJ40" i="4"/>
  <c r="AK40" i="4" s="1"/>
  <c r="AR40" i="4"/>
  <c r="AS40" i="4" s="1"/>
  <c r="AX40" i="4"/>
  <c r="AY40" i="4" s="1"/>
  <c r="R40" i="4"/>
  <c r="S40" i="4" s="1"/>
  <c r="R43" i="4"/>
  <c r="S43" i="4" s="1"/>
  <c r="DD43" i="4"/>
  <c r="DE43" i="4" s="1"/>
  <c r="DN43" i="4"/>
  <c r="DO43" i="4" s="1"/>
  <c r="DB51" i="4"/>
  <c r="DC51" i="4" s="1"/>
  <c r="DH51" i="4"/>
  <c r="DI51" i="4" s="1"/>
  <c r="CB51" i="4"/>
  <c r="CC51" i="4" s="1"/>
  <c r="DD51" i="4"/>
  <c r="DE51" i="4" s="1"/>
  <c r="AL40" i="4"/>
  <c r="AM40" i="4" s="1"/>
  <c r="DP50" i="4"/>
  <c r="DQ50" i="4" s="1"/>
  <c r="DH50" i="4"/>
  <c r="DI50" i="4" s="1"/>
  <c r="CZ50" i="4"/>
  <c r="DA50" i="4" s="1"/>
  <c r="CR50" i="4"/>
  <c r="CS50" i="4" s="1"/>
  <c r="CJ50" i="4"/>
  <c r="CK50" i="4" s="1"/>
  <c r="CB50" i="4"/>
  <c r="CC50" i="4" s="1"/>
  <c r="DL50" i="4"/>
  <c r="DM50" i="4" s="1"/>
  <c r="CV50" i="4"/>
  <c r="CW50" i="4" s="1"/>
  <c r="DB50" i="4"/>
  <c r="DC50" i="4" s="1"/>
  <c r="CL50" i="4"/>
  <c r="CM50" i="4" s="1"/>
  <c r="DN50" i="4"/>
  <c r="DO50" i="4" s="1"/>
  <c r="DF50" i="4"/>
  <c r="DG50" i="4" s="1"/>
  <c r="CX50" i="4"/>
  <c r="CY50" i="4" s="1"/>
  <c r="CP50" i="4"/>
  <c r="CQ50" i="4" s="1"/>
  <c r="CH50" i="4"/>
  <c r="CI50" i="4" s="1"/>
  <c r="CA50" i="4"/>
  <c r="DD50" i="4"/>
  <c r="DE50" i="4" s="1"/>
  <c r="CN50" i="4"/>
  <c r="CO50" i="4" s="1"/>
  <c r="CF50" i="4"/>
  <c r="CG50" i="4" s="1"/>
  <c r="DJ50" i="4"/>
  <c r="DK50" i="4" s="1"/>
  <c r="CT50" i="4"/>
  <c r="CU50" i="4" s="1"/>
  <c r="CD50" i="4"/>
  <c r="CE50" i="4" s="1"/>
  <c r="AR43" i="4"/>
  <c r="AS43" i="4" s="1"/>
  <c r="EZ41" i="4"/>
  <c r="FA41" i="4" s="1"/>
  <c r="ET41" i="4"/>
  <c r="EU41" i="4" s="1"/>
  <c r="FN41" i="4"/>
  <c r="FO41" i="4" s="1"/>
  <c r="FH41" i="4"/>
  <c r="FI41" i="4" s="1"/>
  <c r="EX41" i="4"/>
  <c r="EY41" i="4" s="1"/>
  <c r="FV41" i="4"/>
  <c r="FW41" i="4" s="1"/>
  <c r="FP41" i="4"/>
  <c r="FQ41" i="4" s="1"/>
  <c r="FF41" i="4"/>
  <c r="FG41" i="4" s="1"/>
  <c r="FZ41" i="4"/>
  <c r="GA41" i="4" s="1"/>
  <c r="FB40" i="4"/>
  <c r="FC40" i="4" s="1"/>
  <c r="FL40" i="4"/>
  <c r="FM40" i="4" s="1"/>
  <c r="GH40" i="4"/>
  <c r="GI40" i="4" s="1"/>
  <c r="GB40" i="4"/>
  <c r="GC40" i="4" s="1"/>
  <c r="AX34" i="4"/>
  <c r="AY34" i="4" s="1"/>
  <c r="AR34" i="4"/>
  <c r="AS34" i="4" s="1"/>
  <c r="AJ34" i="4"/>
  <c r="AK34" i="4" s="1"/>
  <c r="AH34" i="4"/>
  <c r="AI34" i="4" s="1"/>
  <c r="AD34" i="4"/>
  <c r="AE34" i="4" s="1"/>
  <c r="Z34" i="4"/>
  <c r="AA34" i="4" s="1"/>
  <c r="L34" i="4"/>
  <c r="M34" i="4" s="1"/>
  <c r="AN34" i="4"/>
  <c r="AO34" i="4" s="1"/>
  <c r="X34" i="4"/>
  <c r="Y34" i="4" s="1"/>
  <c r="AV34" i="4"/>
  <c r="AW34" i="4" s="1"/>
  <c r="AT34" i="4"/>
  <c r="AU34" i="4" s="1"/>
  <c r="AB34" i="4"/>
  <c r="AC34" i="4" s="1"/>
  <c r="J34" i="4"/>
  <c r="K34" i="4" s="1"/>
  <c r="AL34" i="4"/>
  <c r="AM34" i="4" s="1"/>
  <c r="T34" i="4"/>
  <c r="U34" i="4" s="1"/>
  <c r="AP34" i="4"/>
  <c r="AQ34" i="4" s="1"/>
  <c r="AF34" i="4"/>
  <c r="AG34" i="4" s="1"/>
  <c r="V34" i="4"/>
  <c r="W34" i="4" s="1"/>
  <c r="R34" i="4"/>
  <c r="S34" i="4" s="1"/>
  <c r="P34" i="4"/>
  <c r="Q34" i="4" s="1"/>
  <c r="N34" i="4"/>
  <c r="O34" i="4" s="1"/>
  <c r="I34" i="4"/>
  <c r="AH155" i="4"/>
  <c r="AI155" i="4" s="1"/>
  <c r="V155" i="4"/>
  <c r="W155" i="4" s="1"/>
  <c r="X155" i="4"/>
  <c r="Y155" i="4" s="1"/>
  <c r="AN155" i="4"/>
  <c r="AO155" i="4" s="1"/>
  <c r="AT88" i="4"/>
  <c r="AU88" i="4" s="1"/>
  <c r="X88" i="4"/>
  <c r="Y88" i="4" s="1"/>
  <c r="AH88" i="4"/>
  <c r="AI88" i="4" s="1"/>
  <c r="AN88" i="4"/>
  <c r="AO88" i="4" s="1"/>
  <c r="P88" i="4"/>
  <c r="Q88" i="4" s="1"/>
  <c r="I88" i="4"/>
  <c r="AV88" i="4"/>
  <c r="AW88" i="4" s="1"/>
  <c r="Z88" i="4"/>
  <c r="AA88" i="4" s="1"/>
  <c r="AJ88" i="4"/>
  <c r="AK88" i="4" s="1"/>
  <c r="AP88" i="4"/>
  <c r="AQ88" i="4" s="1"/>
  <c r="L88" i="4"/>
  <c r="M88" i="4" s="1"/>
  <c r="AD88" i="4"/>
  <c r="AE88" i="4" s="1"/>
  <c r="AX88" i="4"/>
  <c r="AY88" i="4" s="1"/>
  <c r="AR88" i="4"/>
  <c r="AS88" i="4" s="1"/>
  <c r="T88" i="4"/>
  <c r="U88" i="4" s="1"/>
  <c r="R88" i="4"/>
  <c r="S88" i="4" s="1"/>
  <c r="AT72" i="4"/>
  <c r="AU72" i="4" s="1"/>
  <c r="L72" i="4"/>
  <c r="M72" i="4" s="1"/>
  <c r="AV72" i="4"/>
  <c r="AW72" i="4" s="1"/>
  <c r="J72" i="4"/>
  <c r="K72" i="4" s="1"/>
  <c r="DF72" i="4"/>
  <c r="DG72" i="4" s="1"/>
  <c r="CN72" i="4"/>
  <c r="CO72" i="4" s="1"/>
  <c r="CF72" i="4"/>
  <c r="CG72" i="4" s="1"/>
  <c r="DJ72" i="4"/>
  <c r="DK72" i="4" s="1"/>
  <c r="CD72" i="4"/>
  <c r="CE72" i="4" s="1"/>
  <c r="DB72" i="4"/>
  <c r="DC72" i="4" s="1"/>
  <c r="CR72" i="4"/>
  <c r="CS72" i="4" s="1"/>
  <c r="CJ72" i="4"/>
  <c r="CK72" i="4" s="1"/>
  <c r="CB72" i="4"/>
  <c r="CC72" i="4" s="1"/>
  <c r="CT72" i="4"/>
  <c r="CU72" i="4" s="1"/>
  <c r="CX72" i="4"/>
  <c r="CY72" i="4" s="1"/>
  <c r="CP72" i="4"/>
  <c r="CQ72" i="4" s="1"/>
  <c r="CH72" i="4"/>
  <c r="CI72" i="4" s="1"/>
  <c r="CA72" i="4"/>
  <c r="CL72" i="4"/>
  <c r="CM72" i="4" s="1"/>
  <c r="EV131" i="4"/>
  <c r="EW131" i="4" s="1"/>
  <c r="FP131" i="4"/>
  <c r="FQ131" i="4" s="1"/>
  <c r="FB131" i="4"/>
  <c r="FC131" i="4" s="1"/>
  <c r="FR131" i="4"/>
  <c r="FS131" i="4" s="1"/>
  <c r="CN131" i="4"/>
  <c r="CO131" i="4" s="1"/>
  <c r="DP130" i="4"/>
  <c r="DQ130" i="4" s="1"/>
  <c r="DD130" i="4"/>
  <c r="DE130" i="4" s="1"/>
  <c r="CJ130" i="4"/>
  <c r="CK130" i="4" s="1"/>
  <c r="CN130" i="4"/>
  <c r="CO130" i="4" s="1"/>
  <c r="DH130" i="4"/>
  <c r="DI130" i="4" s="1"/>
  <c r="CV130" i="4"/>
  <c r="CW130" i="4" s="1"/>
  <c r="CB130" i="4"/>
  <c r="CC130" i="4" s="1"/>
  <c r="DL130" i="4"/>
  <c r="DM130" i="4" s="1"/>
  <c r="CR130" i="4"/>
  <c r="CS130" i="4" s="1"/>
  <c r="CF130" i="4"/>
  <c r="CG130" i="4" s="1"/>
  <c r="CZ130" i="4"/>
  <c r="DA130" i="4" s="1"/>
  <c r="AX139" i="4"/>
  <c r="AY139" i="4" s="1"/>
  <c r="AV139" i="4"/>
  <c r="AW139" i="4" s="1"/>
  <c r="AR139" i="4"/>
  <c r="AS139" i="4" s="1"/>
  <c r="AH139" i="4"/>
  <c r="AI139" i="4" s="1"/>
  <c r="Z139" i="4"/>
  <c r="AA139" i="4" s="1"/>
  <c r="N139" i="4"/>
  <c r="O139" i="4" s="1"/>
  <c r="J139" i="4"/>
  <c r="K139" i="4" s="1"/>
  <c r="AT139" i="4"/>
  <c r="AU139" i="4" s="1"/>
  <c r="I139" i="4"/>
  <c r="AP139" i="4"/>
  <c r="AQ139" i="4" s="1"/>
  <c r="AF139" i="4"/>
  <c r="AG139" i="4" s="1"/>
  <c r="L139" i="4"/>
  <c r="M139" i="4" s="1"/>
  <c r="AJ139" i="4"/>
  <c r="AK139" i="4" s="1"/>
  <c r="AD139" i="4"/>
  <c r="AE139" i="4" s="1"/>
  <c r="V139" i="4"/>
  <c r="W139" i="4" s="1"/>
  <c r="T139" i="4"/>
  <c r="U139" i="4" s="1"/>
  <c r="P139" i="4"/>
  <c r="Q139" i="4" s="1"/>
  <c r="AL139" i="4"/>
  <c r="AM139" i="4" s="1"/>
  <c r="X139" i="4"/>
  <c r="Y139" i="4" s="1"/>
  <c r="R139" i="4"/>
  <c r="S139" i="4" s="1"/>
  <c r="AN139" i="4"/>
  <c r="AO139" i="4" s="1"/>
  <c r="AB139" i="4"/>
  <c r="AC139" i="4" s="1"/>
  <c r="EX117" i="4"/>
  <c r="EY117" i="4" s="1"/>
  <c r="FN117" i="4"/>
  <c r="FO117" i="4" s="1"/>
  <c r="GD117" i="4"/>
  <c r="GE117" i="4" s="1"/>
  <c r="EZ117" i="4"/>
  <c r="FA117" i="4" s="1"/>
  <c r="FP117" i="4"/>
  <c r="FQ117" i="4" s="1"/>
  <c r="GF117" i="4"/>
  <c r="GG117" i="4" s="1"/>
  <c r="AP117" i="4"/>
  <c r="AQ117" i="4" s="1"/>
  <c r="AF117" i="4"/>
  <c r="AG117" i="4" s="1"/>
  <c r="V117" i="4"/>
  <c r="W117" i="4" s="1"/>
  <c r="FF117" i="4"/>
  <c r="FG117" i="4" s="1"/>
  <c r="FV117" i="4"/>
  <c r="FW117" i="4" s="1"/>
  <c r="ES117" i="4"/>
  <c r="FH117" i="4"/>
  <c r="FI117" i="4" s="1"/>
  <c r="FX117" i="4"/>
  <c r="FY117" i="4" s="1"/>
  <c r="Z117" i="4"/>
  <c r="AA117" i="4" s="1"/>
  <c r="P117" i="4"/>
  <c r="Q117" i="4" s="1"/>
  <c r="AV117" i="4"/>
  <c r="AW117" i="4" s="1"/>
  <c r="AL117" i="4"/>
  <c r="AM117" i="4" s="1"/>
  <c r="ET117" i="4"/>
  <c r="EU117" i="4" s="1"/>
  <c r="FJ117" i="4"/>
  <c r="FK117" i="4" s="1"/>
  <c r="FZ117" i="4"/>
  <c r="GA117" i="4" s="1"/>
  <c r="EV117" i="4"/>
  <c r="EW117" i="4" s="1"/>
  <c r="FL117" i="4"/>
  <c r="FM117" i="4" s="1"/>
  <c r="J117" i="4"/>
  <c r="K117" i="4" s="1"/>
  <c r="AH117" i="4"/>
  <c r="AI117" i="4" s="1"/>
  <c r="X117" i="4"/>
  <c r="Y117" i="4" s="1"/>
  <c r="N117" i="4"/>
  <c r="O117" i="4" s="1"/>
  <c r="AT117" i="4"/>
  <c r="AU117" i="4" s="1"/>
  <c r="DN92" i="4"/>
  <c r="DO92" i="4" s="1"/>
  <c r="DF92" i="4"/>
  <c r="DG92" i="4" s="1"/>
  <c r="CX92" i="4"/>
  <c r="CY92" i="4" s="1"/>
  <c r="CP92" i="4"/>
  <c r="CQ92" i="4" s="1"/>
  <c r="CH92" i="4"/>
  <c r="CI92" i="4" s="1"/>
  <c r="CA92" i="4"/>
  <c r="CT92" i="4"/>
  <c r="CU92" i="4" s="1"/>
  <c r="DL92" i="4"/>
  <c r="DM92" i="4" s="1"/>
  <c r="DD92" i="4"/>
  <c r="DE92" i="4" s="1"/>
  <c r="CV92" i="4"/>
  <c r="CW92" i="4" s="1"/>
  <c r="CN92" i="4"/>
  <c r="CO92" i="4" s="1"/>
  <c r="CF92" i="4"/>
  <c r="CG92" i="4" s="1"/>
  <c r="DB92" i="4"/>
  <c r="DC92" i="4" s="1"/>
  <c r="CD92" i="4"/>
  <c r="CE92" i="4" s="1"/>
  <c r="DP92" i="4"/>
  <c r="DQ92" i="4" s="1"/>
  <c r="DH92" i="4"/>
  <c r="DI92" i="4" s="1"/>
  <c r="CZ92" i="4"/>
  <c r="DA92" i="4" s="1"/>
  <c r="CR92" i="4"/>
  <c r="CS92" i="4" s="1"/>
  <c r="CJ92" i="4"/>
  <c r="CK92" i="4" s="1"/>
  <c r="CB92" i="4"/>
  <c r="CC92" i="4" s="1"/>
  <c r="DJ92" i="4"/>
  <c r="DK92" i="4" s="1"/>
  <c r="CL92" i="4"/>
  <c r="CM92" i="4" s="1"/>
  <c r="AX92" i="4"/>
  <c r="AY92" i="4" s="1"/>
  <c r="AR92" i="4"/>
  <c r="AS92" i="4" s="1"/>
  <c r="AP92" i="4"/>
  <c r="AQ92" i="4" s="1"/>
  <c r="AL92" i="4"/>
  <c r="AM92" i="4" s="1"/>
  <c r="AJ92" i="4"/>
  <c r="AK92" i="4" s="1"/>
  <c r="AH92" i="4"/>
  <c r="AI92" i="4" s="1"/>
  <c r="AF92" i="4"/>
  <c r="AG92" i="4" s="1"/>
  <c r="AT92" i="4"/>
  <c r="AU92" i="4" s="1"/>
  <c r="Z92" i="4"/>
  <c r="AA92" i="4" s="1"/>
  <c r="AD92" i="4"/>
  <c r="AE92" i="4" s="1"/>
  <c r="T92" i="4"/>
  <c r="U92" i="4" s="1"/>
  <c r="N92" i="4"/>
  <c r="O92" i="4" s="1"/>
  <c r="J92" i="4"/>
  <c r="K92" i="4" s="1"/>
  <c r="AN92" i="4"/>
  <c r="AO92" i="4" s="1"/>
  <c r="AV92" i="4"/>
  <c r="AW92" i="4" s="1"/>
  <c r="AB92" i="4"/>
  <c r="AC92" i="4" s="1"/>
  <c r="V92" i="4"/>
  <c r="W92" i="4" s="1"/>
  <c r="P92" i="4"/>
  <c r="Q92" i="4" s="1"/>
  <c r="L92" i="4"/>
  <c r="M92" i="4" s="1"/>
  <c r="I92" i="4"/>
  <c r="X92" i="4"/>
  <c r="Y92" i="4" s="1"/>
  <c r="R92" i="4"/>
  <c r="S92" i="4" s="1"/>
  <c r="CD88" i="4"/>
  <c r="CE88" i="4" s="1"/>
  <c r="CZ88" i="4"/>
  <c r="DA88" i="4" s="1"/>
  <c r="DP88" i="4"/>
  <c r="DQ88" i="4" s="1"/>
  <c r="CT88" i="4"/>
  <c r="CU88" i="4" s="1"/>
  <c r="DJ88" i="4"/>
  <c r="DK88" i="4" s="1"/>
  <c r="CF88" i="4"/>
  <c r="CG88" i="4" s="1"/>
  <c r="CR88" i="4"/>
  <c r="CS88" i="4" s="1"/>
  <c r="DH88" i="4"/>
  <c r="DI88" i="4" s="1"/>
  <c r="CL88" i="4"/>
  <c r="CM88" i="4" s="1"/>
  <c r="DB88" i="4"/>
  <c r="DC88" i="4" s="1"/>
  <c r="AB88" i="4"/>
  <c r="AC88" i="4" s="1"/>
  <c r="J88" i="4"/>
  <c r="K88" i="4" s="1"/>
  <c r="CD85" i="4"/>
  <c r="CE85" i="4" s="1"/>
  <c r="CX85" i="4"/>
  <c r="CY85" i="4" s="1"/>
  <c r="CF85" i="4"/>
  <c r="CG85" i="4" s="1"/>
  <c r="CZ85" i="4"/>
  <c r="DA85" i="4" s="1"/>
  <c r="DD75" i="4"/>
  <c r="DE75" i="4" s="1"/>
  <c r="DP75" i="4"/>
  <c r="DQ75" i="4" s="1"/>
  <c r="CA75" i="4"/>
  <c r="CP75" i="4"/>
  <c r="CQ75" i="4" s="1"/>
  <c r="DF75" i="4"/>
  <c r="DG75" i="4" s="1"/>
  <c r="AL82" i="4"/>
  <c r="AM82" i="4" s="1"/>
  <c r="AF82" i="4"/>
  <c r="AG82" i="4" s="1"/>
  <c r="CN75" i="4"/>
  <c r="CO75" i="4" s="1"/>
  <c r="CF75" i="4"/>
  <c r="CG75" i="4" s="1"/>
  <c r="DJ68" i="4"/>
  <c r="DK68" i="4" s="1"/>
  <c r="DL68" i="4"/>
  <c r="DM68" i="4" s="1"/>
  <c r="DB68" i="4"/>
  <c r="DC68" i="4" s="1"/>
  <c r="CT68" i="4"/>
  <c r="CU68" i="4" s="1"/>
  <c r="CL68" i="4"/>
  <c r="CM68" i="4" s="1"/>
  <c r="CD68" i="4"/>
  <c r="CE68" i="4" s="1"/>
  <c r="DF68" i="4"/>
  <c r="DG68" i="4" s="1"/>
  <c r="CH68" i="4"/>
  <c r="CI68" i="4" s="1"/>
  <c r="DH68" i="4"/>
  <c r="DI68" i="4" s="1"/>
  <c r="CZ68" i="4"/>
  <c r="DA68" i="4" s="1"/>
  <c r="CR68" i="4"/>
  <c r="CS68" i="4" s="1"/>
  <c r="CJ68" i="4"/>
  <c r="CK68" i="4" s="1"/>
  <c r="CB68" i="4"/>
  <c r="CC68" i="4" s="1"/>
  <c r="CX68" i="4"/>
  <c r="CY68" i="4" s="1"/>
  <c r="DN68" i="4"/>
  <c r="DO68" i="4" s="1"/>
  <c r="DD68" i="4"/>
  <c r="DE68" i="4" s="1"/>
  <c r="CV68" i="4"/>
  <c r="CW68" i="4" s="1"/>
  <c r="CN68" i="4"/>
  <c r="CO68" i="4" s="1"/>
  <c r="CF68" i="4"/>
  <c r="CG68" i="4" s="1"/>
  <c r="DP68" i="4"/>
  <c r="DQ68" i="4" s="1"/>
  <c r="CP68" i="4"/>
  <c r="CQ68" i="4" s="1"/>
  <c r="CA68" i="4"/>
  <c r="CP85" i="4"/>
  <c r="CQ85" i="4" s="1"/>
  <c r="DJ85" i="4"/>
  <c r="DK85" i="4" s="1"/>
  <c r="CN85" i="4"/>
  <c r="CO85" i="4" s="1"/>
  <c r="DL85" i="4"/>
  <c r="DM85" i="4" s="1"/>
  <c r="CJ75" i="4"/>
  <c r="CK75" i="4" s="1"/>
  <c r="CR75" i="4"/>
  <c r="CS75" i="4" s="1"/>
  <c r="CH75" i="4"/>
  <c r="CI75" i="4" s="1"/>
  <c r="CX75" i="4"/>
  <c r="CY75" i="4" s="1"/>
  <c r="DN75" i="4"/>
  <c r="DO75" i="4" s="1"/>
  <c r="R82" i="4"/>
  <c r="S82" i="4" s="1"/>
  <c r="AR82" i="4"/>
  <c r="AS82" i="4" s="1"/>
  <c r="AJ82" i="4"/>
  <c r="AK82" i="4" s="1"/>
  <c r="T68" i="4"/>
  <c r="U68" i="4" s="1"/>
  <c r="J68" i="4"/>
  <c r="K68" i="4" s="1"/>
  <c r="L68" i="4"/>
  <c r="M68" i="4" s="1"/>
  <c r="CA85" i="4"/>
  <c r="CT85" i="4"/>
  <c r="CU85" i="4" s="1"/>
  <c r="DN85" i="4"/>
  <c r="DO85" i="4" s="1"/>
  <c r="CV85" i="4"/>
  <c r="CW85" i="4" s="1"/>
  <c r="DP85" i="4"/>
  <c r="DQ85" i="4" s="1"/>
  <c r="CZ75" i="4"/>
  <c r="DA75" i="4" s="1"/>
  <c r="DH75" i="4"/>
  <c r="DI75" i="4" s="1"/>
  <c r="CL75" i="4"/>
  <c r="CM75" i="4" s="1"/>
  <c r="AB82" i="4"/>
  <c r="AC82" i="4" s="1"/>
  <c r="X82" i="4"/>
  <c r="Y82" i="4" s="1"/>
  <c r="AT82" i="4"/>
  <c r="AU82" i="4" s="1"/>
  <c r="ET64" i="4"/>
  <c r="EU64" i="4" s="1"/>
  <c r="FN64" i="4"/>
  <c r="FO64" i="4" s="1"/>
  <c r="AD43" i="4"/>
  <c r="AE43" i="4" s="1"/>
  <c r="T43" i="4"/>
  <c r="U43" i="4" s="1"/>
  <c r="N43" i="4"/>
  <c r="O43" i="4" s="1"/>
  <c r="CT48" i="4"/>
  <c r="CU48" i="4" s="1"/>
  <c r="CV43" i="4"/>
  <c r="CW43" i="4" s="1"/>
  <c r="CR48" i="4"/>
  <c r="CS48" i="4" s="1"/>
  <c r="DB43" i="4"/>
  <c r="DC43" i="4" s="1"/>
  <c r="DL48" i="4"/>
  <c r="DM48" i="4" s="1"/>
  <c r="CF48" i="4"/>
  <c r="CG48" i="4" s="1"/>
  <c r="CH43" i="4"/>
  <c r="CI43" i="4" s="1"/>
  <c r="ES36" i="4"/>
  <c r="FH36" i="4"/>
  <c r="FI36" i="4" s="1"/>
  <c r="FX36" i="4"/>
  <c r="FY36" i="4" s="1"/>
  <c r="EX36" i="4"/>
  <c r="EY36" i="4" s="1"/>
  <c r="FN36" i="4"/>
  <c r="FO36" i="4" s="1"/>
  <c r="GD36" i="4"/>
  <c r="GE36" i="4" s="1"/>
  <c r="AX43" i="4"/>
  <c r="AY43" i="4" s="1"/>
  <c r="DJ43" i="4"/>
  <c r="DK43" i="4" s="1"/>
  <c r="CL48" i="4"/>
  <c r="CM48" i="4" s="1"/>
  <c r="CN43" i="4"/>
  <c r="CO43" i="4" s="1"/>
  <c r="DP48" i="4"/>
  <c r="DQ48" i="4" s="1"/>
  <c r="CJ48" i="4"/>
  <c r="CK48" i="4" s="1"/>
  <c r="CT43" i="4"/>
  <c r="CU43" i="4" s="1"/>
  <c r="DD48" i="4"/>
  <c r="DE48" i="4" s="1"/>
  <c r="DF43" i="4"/>
  <c r="DG43" i="4" s="1"/>
  <c r="CA43" i="4"/>
  <c r="FX41" i="4"/>
  <c r="FY41" i="4" s="1"/>
  <c r="FB41" i="4"/>
  <c r="FC41" i="4" s="1"/>
  <c r="FR41" i="4"/>
  <c r="FS41" i="4" s="1"/>
  <c r="EV36" i="4"/>
  <c r="EW36" i="4" s="1"/>
  <c r="FL36" i="4"/>
  <c r="FM36" i="4" s="1"/>
  <c r="GB36" i="4"/>
  <c r="GC36" i="4" s="1"/>
  <c r="FB36" i="4"/>
  <c r="FC36" i="4" s="1"/>
  <c r="FR36" i="4"/>
  <c r="FS36" i="4" s="1"/>
  <c r="DH43" i="4"/>
  <c r="DI43" i="4" s="1"/>
  <c r="AL43" i="4"/>
  <c r="AM43" i="4" s="1"/>
  <c r="AH43" i="4"/>
  <c r="AI43" i="4" s="1"/>
  <c r="CD48" i="4"/>
  <c r="CE48" i="4" s="1"/>
  <c r="CF43" i="4"/>
  <c r="CG43" i="4" s="1"/>
  <c r="DH48" i="4"/>
  <c r="DI48" i="4" s="1"/>
  <c r="CB48" i="4"/>
  <c r="CC48" i="4" s="1"/>
  <c r="CL43" i="4"/>
  <c r="CM43" i="4" s="1"/>
  <c r="DN49" i="4"/>
  <c r="DO49" i="4" s="1"/>
  <c r="DF49" i="4"/>
  <c r="DG49" i="4" s="1"/>
  <c r="CX49" i="4"/>
  <c r="CY49" i="4" s="1"/>
  <c r="CP49" i="4"/>
  <c r="CQ49" i="4" s="1"/>
  <c r="CH49" i="4"/>
  <c r="CI49" i="4" s="1"/>
  <c r="CA49" i="4"/>
  <c r="CT49" i="4"/>
  <c r="CU49" i="4" s="1"/>
  <c r="DL49" i="4"/>
  <c r="DM49" i="4" s="1"/>
  <c r="DD49" i="4"/>
  <c r="DE49" i="4" s="1"/>
  <c r="CV49" i="4"/>
  <c r="CW49" i="4" s="1"/>
  <c r="CN49" i="4"/>
  <c r="CO49" i="4" s="1"/>
  <c r="CF49" i="4"/>
  <c r="CG49" i="4" s="1"/>
  <c r="DB49" i="4"/>
  <c r="DC49" i="4" s="1"/>
  <c r="CD49" i="4"/>
  <c r="CE49" i="4" s="1"/>
  <c r="DP49" i="4"/>
  <c r="DQ49" i="4" s="1"/>
  <c r="DH49" i="4"/>
  <c r="DI49" i="4" s="1"/>
  <c r="CZ49" i="4"/>
  <c r="DA49" i="4" s="1"/>
  <c r="CR49" i="4"/>
  <c r="CS49" i="4" s="1"/>
  <c r="CJ49" i="4"/>
  <c r="CK49" i="4" s="1"/>
  <c r="CB49" i="4"/>
  <c r="CC49" i="4" s="1"/>
  <c r="DJ49" i="4"/>
  <c r="DK49" i="4" s="1"/>
  <c r="CL49" i="4"/>
  <c r="CM49" i="4" s="1"/>
  <c r="DP43" i="4"/>
  <c r="DQ43" i="4" s="1"/>
  <c r="CZ43" i="4"/>
  <c r="DA43" i="4" s="1"/>
  <c r="CR43" i="4"/>
  <c r="CS43" i="4" s="1"/>
  <c r="CJ43" i="4"/>
  <c r="CK43" i="4" s="1"/>
  <c r="DL43" i="4"/>
  <c r="DM43" i="4" s="1"/>
  <c r="CB43" i="4"/>
  <c r="CC43" i="4" s="1"/>
  <c r="AX49" i="4"/>
  <c r="AY49" i="4" s="1"/>
  <c r="AR49" i="4"/>
  <c r="AS49" i="4" s="1"/>
  <c r="AP49" i="4"/>
  <c r="AQ49" i="4" s="1"/>
  <c r="AJ49" i="4"/>
  <c r="AK49" i="4" s="1"/>
  <c r="AD49" i="4"/>
  <c r="AE49" i="4" s="1"/>
  <c r="AB49" i="4"/>
  <c r="AC49" i="4" s="1"/>
  <c r="AH49" i="4"/>
  <c r="AI49" i="4" s="1"/>
  <c r="AN49" i="4"/>
  <c r="AO49" i="4" s="1"/>
  <c r="Z49" i="4"/>
  <c r="AA49" i="4" s="1"/>
  <c r="N49" i="4"/>
  <c r="O49" i="4" s="1"/>
  <c r="AV49" i="4"/>
  <c r="AW49" i="4" s="1"/>
  <c r="AL49" i="4"/>
  <c r="AM49" i="4" s="1"/>
  <c r="X49" i="4"/>
  <c r="Y49" i="4" s="1"/>
  <c r="P49" i="4"/>
  <c r="Q49" i="4" s="1"/>
  <c r="L49" i="4"/>
  <c r="M49" i="4" s="1"/>
  <c r="AT49" i="4"/>
  <c r="AU49" i="4" s="1"/>
  <c r="AF49" i="4"/>
  <c r="AG49" i="4" s="1"/>
  <c r="V49" i="4"/>
  <c r="W49" i="4" s="1"/>
  <c r="R49" i="4"/>
  <c r="S49" i="4" s="1"/>
  <c r="J49" i="4"/>
  <c r="K49" i="4" s="1"/>
  <c r="I49" i="4"/>
  <c r="T49" i="4"/>
  <c r="U49" i="4" s="1"/>
  <c r="DJ48" i="4"/>
  <c r="DK48" i="4" s="1"/>
  <c r="DN48" i="4"/>
  <c r="DO48" i="4" s="1"/>
  <c r="CH48" i="4"/>
  <c r="CI48" i="4" s="1"/>
  <c r="DF48" i="4"/>
  <c r="DG48" i="4" s="1"/>
  <c r="CA48" i="4"/>
  <c r="CX48" i="4"/>
  <c r="CY48" i="4" s="1"/>
  <c r="CP48" i="4"/>
  <c r="CQ48" i="4" s="1"/>
  <c r="EZ40" i="4"/>
  <c r="FA40" i="4" s="1"/>
  <c r="FP40" i="4"/>
  <c r="FQ40" i="4" s="1"/>
  <c r="GF40" i="4"/>
  <c r="GG40" i="4" s="1"/>
  <c r="FF40" i="4"/>
  <c r="FG40" i="4" s="1"/>
  <c r="FV40" i="4"/>
  <c r="FW40" i="4" s="1"/>
  <c r="DF53" i="4"/>
  <c r="DG53" i="4" s="1"/>
  <c r="CP53" i="4"/>
  <c r="CQ53" i="4" s="1"/>
  <c r="CA53" i="4"/>
  <c r="DD53" i="4"/>
  <c r="DE53" i="4" s="1"/>
  <c r="CN53" i="4"/>
  <c r="CO53" i="4" s="1"/>
  <c r="J43" i="4"/>
  <c r="K43" i="4" s="1"/>
  <c r="AF43" i="4"/>
  <c r="AG43" i="4" s="1"/>
  <c r="I43" i="4"/>
  <c r="Z43" i="4"/>
  <c r="AA43" i="4" s="1"/>
  <c r="EQ46" i="4"/>
  <c r="ER46" i="4" s="1"/>
  <c r="BZ46" i="4"/>
  <c r="AP39" i="4"/>
  <c r="AQ39" i="4" s="1"/>
  <c r="AN39" i="4"/>
  <c r="AO39" i="4" s="1"/>
  <c r="AF39" i="4"/>
  <c r="AG39" i="4" s="1"/>
  <c r="AD39" i="4"/>
  <c r="AE39" i="4" s="1"/>
  <c r="Z39" i="4"/>
  <c r="AA39" i="4" s="1"/>
  <c r="N39" i="4"/>
  <c r="O39" i="4" s="1"/>
  <c r="J39" i="4"/>
  <c r="K39" i="4" s="1"/>
  <c r="AX39" i="4"/>
  <c r="AY39" i="4" s="1"/>
  <c r="AH39" i="4"/>
  <c r="AI39" i="4" s="1"/>
  <c r="AB39" i="4"/>
  <c r="AC39" i="4" s="1"/>
  <c r="AV39" i="4"/>
  <c r="AW39" i="4" s="1"/>
  <c r="AT39" i="4"/>
  <c r="AU39" i="4" s="1"/>
  <c r="AR39" i="4"/>
  <c r="AS39" i="4" s="1"/>
  <c r="AL39" i="4"/>
  <c r="AM39" i="4" s="1"/>
  <c r="AJ39" i="4"/>
  <c r="AK39" i="4" s="1"/>
  <c r="X39" i="4"/>
  <c r="Y39" i="4" s="1"/>
  <c r="V39" i="4"/>
  <c r="W39" i="4" s="1"/>
  <c r="T39" i="4"/>
  <c r="U39" i="4" s="1"/>
  <c r="P39" i="4"/>
  <c r="Q39" i="4" s="1"/>
  <c r="I39" i="4"/>
  <c r="R39" i="4"/>
  <c r="S39" i="4" s="1"/>
  <c r="L39" i="4"/>
  <c r="M39" i="4" s="1"/>
  <c r="FD40" i="4"/>
  <c r="FE40" i="4" s="1"/>
  <c r="FT40" i="4"/>
  <c r="FU40" i="4" s="1"/>
  <c r="ET40" i="4"/>
  <c r="EU40" i="4" s="1"/>
  <c r="FJ40" i="4"/>
  <c r="FK40" i="4" s="1"/>
  <c r="FZ40" i="4"/>
  <c r="GA40" i="4" s="1"/>
  <c r="DB53" i="4"/>
  <c r="DC53" i="4" s="1"/>
  <c r="CL53" i="4"/>
  <c r="CM53" i="4" s="1"/>
  <c r="DP53" i="4"/>
  <c r="DQ53" i="4" s="1"/>
  <c r="CZ53" i="4"/>
  <c r="DA53" i="4" s="1"/>
  <c r="CJ53" i="4"/>
  <c r="CK53" i="4" s="1"/>
  <c r="AV43" i="4"/>
  <c r="AW43" i="4" s="1"/>
  <c r="AT43" i="4"/>
  <c r="AU43" i="4" s="1"/>
  <c r="X43" i="4"/>
  <c r="Y43" i="4" s="1"/>
  <c r="EQ45" i="4"/>
  <c r="ER45" i="4" s="1"/>
  <c r="BZ45" i="4"/>
  <c r="ES40" i="4"/>
  <c r="FH40" i="4"/>
  <c r="FI40" i="4" s="1"/>
  <c r="FX40" i="4"/>
  <c r="FY40" i="4" s="1"/>
  <c r="EX40" i="4"/>
  <c r="EY40" i="4" s="1"/>
  <c r="FN40" i="4"/>
  <c r="FO40" i="4" s="1"/>
  <c r="CX53" i="4"/>
  <c r="CY53" i="4" s="1"/>
  <c r="CH53" i="4"/>
  <c r="CI53" i="4" s="1"/>
  <c r="DL53" i="4"/>
  <c r="DM53" i="4" s="1"/>
  <c r="CV53" i="4"/>
  <c r="CW53" i="4" s="1"/>
  <c r="CF53" i="4"/>
  <c r="CG53" i="4" s="1"/>
  <c r="AJ43" i="4"/>
  <c r="AK43" i="4" s="1"/>
  <c r="AP43" i="4"/>
  <c r="AQ43" i="4" s="1"/>
  <c r="V43" i="4"/>
  <c r="W43" i="4" s="1"/>
  <c r="AN43" i="4"/>
  <c r="AO43" i="4" s="1"/>
  <c r="P43" i="4"/>
  <c r="Q43" i="4" s="1"/>
  <c r="DP47" i="4"/>
  <c r="DQ47" i="4" s="1"/>
  <c r="DH47" i="4"/>
  <c r="DI47" i="4" s="1"/>
  <c r="CZ47" i="4"/>
  <c r="DA47" i="4" s="1"/>
  <c r="CR47" i="4"/>
  <c r="CS47" i="4" s="1"/>
  <c r="CJ47" i="4"/>
  <c r="CK47" i="4" s="1"/>
  <c r="CB47" i="4"/>
  <c r="CC47" i="4" s="1"/>
  <c r="DL47" i="4"/>
  <c r="DM47" i="4" s="1"/>
  <c r="CN47" i="4"/>
  <c r="CO47" i="4" s="1"/>
  <c r="DN47" i="4"/>
  <c r="DO47" i="4" s="1"/>
  <c r="DF47" i="4"/>
  <c r="DG47" i="4" s="1"/>
  <c r="CX47" i="4"/>
  <c r="CY47" i="4" s="1"/>
  <c r="CP47" i="4"/>
  <c r="CQ47" i="4" s="1"/>
  <c r="CH47" i="4"/>
  <c r="CI47" i="4" s="1"/>
  <c r="CA47" i="4"/>
  <c r="CV47" i="4"/>
  <c r="CW47" i="4" s="1"/>
  <c r="DJ47" i="4"/>
  <c r="DK47" i="4" s="1"/>
  <c r="DB47" i="4"/>
  <c r="DC47" i="4" s="1"/>
  <c r="CT47" i="4"/>
  <c r="CU47" i="4" s="1"/>
  <c r="CL47" i="4"/>
  <c r="CM47" i="4" s="1"/>
  <c r="CD47" i="4"/>
  <c r="CE47" i="4" s="1"/>
  <c r="DD47" i="4"/>
  <c r="DE47" i="4" s="1"/>
  <c r="CF47" i="4"/>
  <c r="CG47" i="4" s="1"/>
  <c r="AX47" i="4"/>
  <c r="AY47" i="4" s="1"/>
  <c r="AF47" i="4"/>
  <c r="AG47" i="4" s="1"/>
  <c r="V47" i="4"/>
  <c r="W47" i="4" s="1"/>
  <c r="R47" i="4"/>
  <c r="S47" i="4" s="1"/>
  <c r="L47" i="4"/>
  <c r="M47" i="4" s="1"/>
  <c r="AD47" i="4"/>
  <c r="AE47" i="4" s="1"/>
  <c r="J47" i="4"/>
  <c r="K47" i="4" s="1"/>
  <c r="AR47" i="4"/>
  <c r="AS47" i="4" s="1"/>
  <c r="AP47" i="4"/>
  <c r="AQ47" i="4" s="1"/>
  <c r="AJ47" i="4"/>
  <c r="AK47" i="4" s="1"/>
  <c r="X47" i="4"/>
  <c r="Y47" i="4" s="1"/>
  <c r="I47" i="4"/>
  <c r="AN47" i="4"/>
  <c r="AO47" i="4" s="1"/>
  <c r="AB47" i="4"/>
  <c r="AC47" i="4" s="1"/>
  <c r="N47" i="4"/>
  <c r="O47" i="4" s="1"/>
  <c r="AT47" i="4"/>
  <c r="AU47" i="4" s="1"/>
  <c r="AL47" i="4"/>
  <c r="AM47" i="4" s="1"/>
  <c r="AH47" i="4"/>
  <c r="AI47" i="4" s="1"/>
  <c r="Z47" i="4"/>
  <c r="AA47" i="4" s="1"/>
  <c r="T47" i="4"/>
  <c r="U47" i="4" s="1"/>
  <c r="P47" i="4"/>
  <c r="Q47" i="4" s="1"/>
  <c r="AV47" i="4"/>
  <c r="AW47" i="4" s="1"/>
  <c r="AP41" i="4"/>
  <c r="AQ41" i="4" s="1"/>
  <c r="AN41" i="4"/>
  <c r="AO41" i="4" s="1"/>
  <c r="AL41" i="4"/>
  <c r="AM41" i="4" s="1"/>
  <c r="T41" i="4"/>
  <c r="U41" i="4" s="1"/>
  <c r="AX41" i="4"/>
  <c r="AY41" i="4" s="1"/>
  <c r="AD41" i="4"/>
  <c r="AE41" i="4" s="1"/>
  <c r="AT41" i="4"/>
  <c r="AU41" i="4" s="1"/>
  <c r="AR41" i="4"/>
  <c r="AS41" i="4" s="1"/>
  <c r="AJ41" i="4"/>
  <c r="AK41" i="4" s="1"/>
  <c r="AB41" i="4"/>
  <c r="AC41" i="4" s="1"/>
  <c r="Z41" i="4"/>
  <c r="AA41" i="4" s="1"/>
  <c r="X41" i="4"/>
  <c r="Y41" i="4" s="1"/>
  <c r="P41" i="4"/>
  <c r="Q41" i="4" s="1"/>
  <c r="I41" i="4"/>
  <c r="AV41" i="4"/>
  <c r="AW41" i="4" s="1"/>
  <c r="AH41" i="4"/>
  <c r="AI41" i="4" s="1"/>
  <c r="AF41" i="4"/>
  <c r="AG41" i="4" s="1"/>
  <c r="R41" i="4"/>
  <c r="S41" i="4" s="1"/>
  <c r="N41" i="4"/>
  <c r="O41" i="4" s="1"/>
  <c r="J41" i="4"/>
  <c r="K41" i="4" s="1"/>
  <c r="V41" i="4"/>
  <c r="W41" i="4" s="1"/>
  <c r="L41" i="4"/>
  <c r="M41" i="4" s="1"/>
  <c r="DP41" i="4"/>
  <c r="DQ41" i="4" s="1"/>
  <c r="DH41" i="4"/>
  <c r="DI41" i="4" s="1"/>
  <c r="CZ41" i="4"/>
  <c r="DA41" i="4" s="1"/>
  <c r="CR41" i="4"/>
  <c r="CS41" i="4" s="1"/>
  <c r="CJ41" i="4"/>
  <c r="CK41" i="4" s="1"/>
  <c r="CB41" i="4"/>
  <c r="CC41" i="4" s="1"/>
  <c r="DL41" i="4"/>
  <c r="DM41" i="4" s="1"/>
  <c r="CN41" i="4"/>
  <c r="CO41" i="4" s="1"/>
  <c r="DN41" i="4"/>
  <c r="DO41" i="4" s="1"/>
  <c r="DF41" i="4"/>
  <c r="DG41" i="4" s="1"/>
  <c r="CX41" i="4"/>
  <c r="CY41" i="4" s="1"/>
  <c r="CP41" i="4"/>
  <c r="CQ41" i="4" s="1"/>
  <c r="CH41" i="4"/>
  <c r="CI41" i="4" s="1"/>
  <c r="CA41" i="4"/>
  <c r="CV41" i="4"/>
  <c r="CW41" i="4" s="1"/>
  <c r="CF41" i="4"/>
  <c r="CG41" i="4" s="1"/>
  <c r="DJ41" i="4"/>
  <c r="DK41" i="4" s="1"/>
  <c r="DB41" i="4"/>
  <c r="DC41" i="4" s="1"/>
  <c r="CT41" i="4"/>
  <c r="CU41" i="4" s="1"/>
  <c r="CL41" i="4"/>
  <c r="CM41" i="4" s="1"/>
  <c r="CD41" i="4"/>
  <c r="CE41" i="4" s="1"/>
  <c r="DD41" i="4"/>
  <c r="DE41" i="4" s="1"/>
  <c r="FT41" i="4"/>
  <c r="FU41" i="4" s="1"/>
  <c r="EV41" i="4"/>
  <c r="EW41" i="4" s="1"/>
  <c r="FL41" i="4"/>
  <c r="FM41" i="4" s="1"/>
  <c r="GB41" i="4"/>
  <c r="GC41" i="4" s="1"/>
  <c r="FD41" i="4"/>
  <c r="FE41" i="4" s="1"/>
  <c r="DL40" i="4"/>
  <c r="DM40" i="4" s="1"/>
  <c r="DD40" i="4"/>
  <c r="DE40" i="4" s="1"/>
  <c r="CV40" i="4"/>
  <c r="CW40" i="4" s="1"/>
  <c r="CN40" i="4"/>
  <c r="CO40" i="4" s="1"/>
  <c r="CF40" i="4"/>
  <c r="CG40" i="4" s="1"/>
  <c r="DF40" i="4"/>
  <c r="DG40" i="4" s="1"/>
  <c r="CH40" i="4"/>
  <c r="CI40" i="4" s="1"/>
  <c r="DJ40" i="4"/>
  <c r="DK40" i="4" s="1"/>
  <c r="DB40" i="4"/>
  <c r="DC40" i="4" s="1"/>
  <c r="CT40" i="4"/>
  <c r="CU40" i="4" s="1"/>
  <c r="CL40" i="4"/>
  <c r="CM40" i="4" s="1"/>
  <c r="CD40" i="4"/>
  <c r="CE40" i="4" s="1"/>
  <c r="DN40" i="4"/>
  <c r="DO40" i="4" s="1"/>
  <c r="CP40" i="4"/>
  <c r="CQ40" i="4" s="1"/>
  <c r="DP40" i="4"/>
  <c r="DQ40" i="4" s="1"/>
  <c r="DH40" i="4"/>
  <c r="DI40" i="4" s="1"/>
  <c r="CZ40" i="4"/>
  <c r="DA40" i="4" s="1"/>
  <c r="CR40" i="4"/>
  <c r="CS40" i="4" s="1"/>
  <c r="CJ40" i="4"/>
  <c r="CK40" i="4" s="1"/>
  <c r="CB40" i="4"/>
  <c r="CC40" i="4" s="1"/>
  <c r="CX40" i="4"/>
  <c r="CY40" i="4" s="1"/>
  <c r="CA40" i="4"/>
  <c r="EQ38" i="4"/>
  <c r="ER38" i="4" s="1"/>
  <c r="BZ38" i="4"/>
  <c r="DL36" i="4"/>
  <c r="DM36" i="4" s="1"/>
  <c r="DD36" i="4"/>
  <c r="DE36" i="4" s="1"/>
  <c r="CV36" i="4"/>
  <c r="CW36" i="4" s="1"/>
  <c r="CN36" i="4"/>
  <c r="CO36" i="4" s="1"/>
  <c r="CF36" i="4"/>
  <c r="CG36" i="4" s="1"/>
  <c r="DP36" i="4"/>
  <c r="DQ36" i="4" s="1"/>
  <c r="CJ36" i="4"/>
  <c r="CK36" i="4" s="1"/>
  <c r="DJ36" i="4"/>
  <c r="DK36" i="4" s="1"/>
  <c r="DB36" i="4"/>
  <c r="DC36" i="4" s="1"/>
  <c r="CT36" i="4"/>
  <c r="CU36" i="4" s="1"/>
  <c r="CL36" i="4"/>
  <c r="CM36" i="4" s="1"/>
  <c r="CD36" i="4"/>
  <c r="CE36" i="4" s="1"/>
  <c r="DH36" i="4"/>
  <c r="DI36" i="4" s="1"/>
  <c r="CR36" i="4"/>
  <c r="CS36" i="4" s="1"/>
  <c r="DN36" i="4"/>
  <c r="DO36" i="4" s="1"/>
  <c r="DF36" i="4"/>
  <c r="DG36" i="4" s="1"/>
  <c r="CX36" i="4"/>
  <c r="CY36" i="4" s="1"/>
  <c r="CP36" i="4"/>
  <c r="CQ36" i="4" s="1"/>
  <c r="CH36" i="4"/>
  <c r="CI36" i="4" s="1"/>
  <c r="CA36" i="4"/>
  <c r="CZ36" i="4"/>
  <c r="DA36" i="4" s="1"/>
  <c r="CB36" i="4"/>
  <c r="CC36" i="4" s="1"/>
  <c r="CX66" i="4"/>
  <c r="CY66" i="4" s="1"/>
  <c r="CP66" i="4"/>
  <c r="CQ66" i="4" s="1"/>
  <c r="CA66" i="4"/>
  <c r="DF66" i="4"/>
  <c r="DG66" i="4" s="1"/>
  <c r="CB131" i="4"/>
  <c r="CC131" i="4" s="1"/>
  <c r="CR131" i="4"/>
  <c r="CS131" i="4" s="1"/>
  <c r="DH131" i="4"/>
  <c r="DI131" i="4" s="1"/>
  <c r="DJ131" i="4"/>
  <c r="DK131" i="4" s="1"/>
  <c r="CF131" i="4"/>
  <c r="CG131" i="4" s="1"/>
  <c r="CV131" i="4"/>
  <c r="CW131" i="4" s="1"/>
  <c r="DL131" i="4"/>
  <c r="DM131" i="4" s="1"/>
  <c r="CT131" i="4"/>
  <c r="CU131" i="4" s="1"/>
  <c r="CJ131" i="4"/>
  <c r="CK131" i="4" s="1"/>
  <c r="CZ131" i="4"/>
  <c r="DA131" i="4" s="1"/>
  <c r="DP131" i="4"/>
  <c r="DQ131" i="4" s="1"/>
  <c r="CL131" i="4"/>
  <c r="CM131" i="4" s="1"/>
  <c r="FP127" i="4"/>
  <c r="FQ127" i="4" s="1"/>
  <c r="FB127" i="4"/>
  <c r="FC127" i="4" s="1"/>
  <c r="GF127" i="4"/>
  <c r="GG127" i="4" s="1"/>
  <c r="EZ127" i="4"/>
  <c r="FA127" i="4" s="1"/>
  <c r="BZ127" i="4"/>
  <c r="DL127" i="4" s="1"/>
  <c r="DM127" i="4" s="1"/>
  <c r="EV127" i="4"/>
  <c r="EW127" i="4" s="1"/>
  <c r="FL127" i="4"/>
  <c r="FM127" i="4" s="1"/>
  <c r="GB127" i="4"/>
  <c r="GC127" i="4" s="1"/>
  <c r="FR127" i="4"/>
  <c r="FS127" i="4" s="1"/>
  <c r="EX127" i="4"/>
  <c r="EY127" i="4" s="1"/>
  <c r="CA117" i="4"/>
  <c r="CP117" i="4"/>
  <c r="CQ117" i="4" s="1"/>
  <c r="DF117" i="4"/>
  <c r="DG117" i="4" s="1"/>
  <c r="CF117" i="4"/>
  <c r="CG117" i="4" s="1"/>
  <c r="CV117" i="4"/>
  <c r="CW117" i="4" s="1"/>
  <c r="DL117" i="4"/>
  <c r="DM117" i="4" s="1"/>
  <c r="FV127" i="4"/>
  <c r="FW127" i="4" s="1"/>
  <c r="ET127" i="4"/>
  <c r="EU127" i="4" s="1"/>
  <c r="FD127" i="4"/>
  <c r="FE127" i="4" s="1"/>
  <c r="FT127" i="4"/>
  <c r="FU127" i="4" s="1"/>
  <c r="GD127" i="4"/>
  <c r="GE127" i="4" s="1"/>
  <c r="CH117" i="4"/>
  <c r="CI117" i="4" s="1"/>
  <c r="CX117" i="4"/>
  <c r="CY117" i="4" s="1"/>
  <c r="DN117" i="4"/>
  <c r="DO117" i="4" s="1"/>
  <c r="CN117" i="4"/>
  <c r="CO117" i="4" s="1"/>
  <c r="DD117" i="4"/>
  <c r="DE117" i="4" s="1"/>
  <c r="FF127" i="4"/>
  <c r="FG127" i="4" s="1"/>
  <c r="H127" i="4"/>
  <c r="AD127" i="4" s="1"/>
  <c r="AE127" i="4" s="1"/>
  <c r="FJ127" i="4"/>
  <c r="FK127" i="4" s="1"/>
  <c r="ES127" i="4"/>
  <c r="FH127" i="4"/>
  <c r="FI127" i="4" s="1"/>
  <c r="FX127" i="4"/>
  <c r="FY127" i="4" s="1"/>
  <c r="FN127" i="4"/>
  <c r="FO127" i="4" s="1"/>
  <c r="CL117" i="4"/>
  <c r="CM117" i="4" s="1"/>
  <c r="DB117" i="4"/>
  <c r="DC117" i="4" s="1"/>
  <c r="CB117" i="4"/>
  <c r="CC117" i="4" s="1"/>
  <c r="CR117" i="4"/>
  <c r="CS117" i="4" s="1"/>
  <c r="FZ127" i="4"/>
  <c r="GA127" i="4" s="1"/>
  <c r="AR117" i="4"/>
  <c r="AS117" i="4" s="1"/>
  <c r="L117" i="4"/>
  <c r="M117" i="4" s="1"/>
  <c r="AR155" i="4"/>
  <c r="AS155" i="4" s="1"/>
  <c r="AT155" i="4"/>
  <c r="AU155" i="4" s="1"/>
  <c r="GH154" i="4"/>
  <c r="GI154" i="4" s="1"/>
  <c r="FZ154" i="4"/>
  <c r="GA154" i="4" s="1"/>
  <c r="FR154" i="4"/>
  <c r="FS154" i="4" s="1"/>
  <c r="FJ154" i="4"/>
  <c r="FK154" i="4" s="1"/>
  <c r="FB154" i="4"/>
  <c r="FC154" i="4" s="1"/>
  <c r="ET154" i="4"/>
  <c r="EU154" i="4" s="1"/>
  <c r="GF154" i="4"/>
  <c r="GG154" i="4" s="1"/>
  <c r="GB154" i="4"/>
  <c r="GC154" i="4" s="1"/>
  <c r="FX154" i="4"/>
  <c r="FY154" i="4" s="1"/>
  <c r="FT154" i="4"/>
  <c r="FU154" i="4" s="1"/>
  <c r="FP154" i="4"/>
  <c r="FQ154" i="4" s="1"/>
  <c r="FL154" i="4"/>
  <c r="FM154" i="4" s="1"/>
  <c r="FH154" i="4"/>
  <c r="FI154" i="4" s="1"/>
  <c r="FD154" i="4"/>
  <c r="FE154" i="4" s="1"/>
  <c r="EZ154" i="4"/>
  <c r="FA154" i="4" s="1"/>
  <c r="EV154" i="4"/>
  <c r="EW154" i="4" s="1"/>
  <c r="ES154" i="4"/>
  <c r="GD154" i="4"/>
  <c r="GE154" i="4" s="1"/>
  <c r="FV154" i="4"/>
  <c r="FW154" i="4" s="1"/>
  <c r="FN154" i="4"/>
  <c r="FO154" i="4" s="1"/>
  <c r="FF154" i="4"/>
  <c r="FG154" i="4" s="1"/>
  <c r="EX154" i="4"/>
  <c r="EY154" i="4" s="1"/>
  <c r="DN154" i="4"/>
  <c r="DO154" i="4" s="1"/>
  <c r="DJ154" i="4"/>
  <c r="DK154" i="4" s="1"/>
  <c r="DF154" i="4"/>
  <c r="DG154" i="4" s="1"/>
  <c r="DB154" i="4"/>
  <c r="DC154" i="4" s="1"/>
  <c r="CX154" i="4"/>
  <c r="CY154" i="4" s="1"/>
  <c r="CT154" i="4"/>
  <c r="CU154" i="4" s="1"/>
  <c r="CP154" i="4"/>
  <c r="CQ154" i="4" s="1"/>
  <c r="CL154" i="4"/>
  <c r="CM154" i="4" s="1"/>
  <c r="CH154" i="4"/>
  <c r="CI154" i="4" s="1"/>
  <c r="CD154" i="4"/>
  <c r="CE154" i="4" s="1"/>
  <c r="CA154" i="4"/>
  <c r="DP154" i="4"/>
  <c r="DQ154" i="4" s="1"/>
  <c r="DH154" i="4"/>
  <c r="DI154" i="4" s="1"/>
  <c r="CZ154" i="4"/>
  <c r="DA154" i="4" s="1"/>
  <c r="CR154" i="4"/>
  <c r="CS154" i="4" s="1"/>
  <c r="CJ154" i="4"/>
  <c r="CK154" i="4" s="1"/>
  <c r="CB154" i="4"/>
  <c r="CC154" i="4" s="1"/>
  <c r="DL154" i="4"/>
  <c r="DM154" i="4" s="1"/>
  <c r="DD154" i="4"/>
  <c r="DE154" i="4" s="1"/>
  <c r="CV154" i="4"/>
  <c r="CW154" i="4" s="1"/>
  <c r="CN154" i="4"/>
  <c r="CO154" i="4" s="1"/>
  <c r="CF154" i="4"/>
  <c r="CG154" i="4" s="1"/>
  <c r="BY26" i="4"/>
  <c r="H26" i="4"/>
  <c r="GH152" i="4"/>
  <c r="GI152" i="4" s="1"/>
  <c r="GD152" i="4"/>
  <c r="GE152" i="4" s="1"/>
  <c r="FZ152" i="4"/>
  <c r="GA152" i="4" s="1"/>
  <c r="FV152" i="4"/>
  <c r="FW152" i="4" s="1"/>
  <c r="FR152" i="4"/>
  <c r="FS152" i="4" s="1"/>
  <c r="FN152" i="4"/>
  <c r="FO152" i="4" s="1"/>
  <c r="FJ152" i="4"/>
  <c r="FK152" i="4" s="1"/>
  <c r="FF152" i="4"/>
  <c r="FG152" i="4" s="1"/>
  <c r="FB152" i="4"/>
  <c r="FC152" i="4" s="1"/>
  <c r="EX152" i="4"/>
  <c r="EY152" i="4" s="1"/>
  <c r="ET152" i="4"/>
  <c r="EU152" i="4" s="1"/>
  <c r="GF152" i="4"/>
  <c r="GG152" i="4" s="1"/>
  <c r="GB152" i="4"/>
  <c r="GC152" i="4" s="1"/>
  <c r="FX152" i="4"/>
  <c r="FY152" i="4" s="1"/>
  <c r="FT152" i="4"/>
  <c r="FU152" i="4" s="1"/>
  <c r="FP152" i="4"/>
  <c r="FQ152" i="4" s="1"/>
  <c r="FL152" i="4"/>
  <c r="FM152" i="4" s="1"/>
  <c r="FH152" i="4"/>
  <c r="FI152" i="4" s="1"/>
  <c r="FD152" i="4"/>
  <c r="FE152" i="4" s="1"/>
  <c r="EZ152" i="4"/>
  <c r="FA152" i="4" s="1"/>
  <c r="EV152" i="4"/>
  <c r="EW152" i="4" s="1"/>
  <c r="ES152" i="4"/>
  <c r="GH151" i="4"/>
  <c r="GI151" i="4" s="1"/>
  <c r="GD151" i="4"/>
  <c r="GE151" i="4" s="1"/>
  <c r="FZ151" i="4"/>
  <c r="GA151" i="4" s="1"/>
  <c r="FV151" i="4"/>
  <c r="FW151" i="4" s="1"/>
  <c r="FR151" i="4"/>
  <c r="FS151" i="4" s="1"/>
  <c r="FN151" i="4"/>
  <c r="FO151" i="4" s="1"/>
  <c r="FJ151" i="4"/>
  <c r="FK151" i="4" s="1"/>
  <c r="FF151" i="4"/>
  <c r="FG151" i="4" s="1"/>
  <c r="FB151" i="4"/>
  <c r="FC151" i="4" s="1"/>
  <c r="EX151" i="4"/>
  <c r="EY151" i="4" s="1"/>
  <c r="ET151" i="4"/>
  <c r="EU151" i="4" s="1"/>
  <c r="GF151" i="4"/>
  <c r="GG151" i="4" s="1"/>
  <c r="GB151" i="4"/>
  <c r="GC151" i="4" s="1"/>
  <c r="FX151" i="4"/>
  <c r="FY151" i="4" s="1"/>
  <c r="FT151" i="4"/>
  <c r="FU151" i="4" s="1"/>
  <c r="FP151" i="4"/>
  <c r="FQ151" i="4" s="1"/>
  <c r="FL151" i="4"/>
  <c r="FM151" i="4" s="1"/>
  <c r="FH151" i="4"/>
  <c r="FI151" i="4" s="1"/>
  <c r="FD151" i="4"/>
  <c r="FE151" i="4" s="1"/>
  <c r="EZ151" i="4"/>
  <c r="FA151" i="4" s="1"/>
  <c r="EV151" i="4"/>
  <c r="EW151" i="4" s="1"/>
  <c r="ES151" i="4"/>
  <c r="GH155" i="4"/>
  <c r="GI155" i="4" s="1"/>
  <c r="GD155" i="4"/>
  <c r="GE155" i="4" s="1"/>
  <c r="FZ155" i="4"/>
  <c r="GA155" i="4" s="1"/>
  <c r="FV155" i="4"/>
  <c r="FW155" i="4" s="1"/>
  <c r="FR155" i="4"/>
  <c r="FS155" i="4" s="1"/>
  <c r="FN155" i="4"/>
  <c r="FO155" i="4" s="1"/>
  <c r="FJ155" i="4"/>
  <c r="FK155" i="4" s="1"/>
  <c r="FF155" i="4"/>
  <c r="FG155" i="4" s="1"/>
  <c r="FB155" i="4"/>
  <c r="FC155" i="4" s="1"/>
  <c r="EX155" i="4"/>
  <c r="EY155" i="4" s="1"/>
  <c r="ET155" i="4"/>
  <c r="EU155" i="4" s="1"/>
  <c r="GF155" i="4"/>
  <c r="GG155" i="4" s="1"/>
  <c r="GB155" i="4"/>
  <c r="GC155" i="4" s="1"/>
  <c r="FX155" i="4"/>
  <c r="FY155" i="4" s="1"/>
  <c r="FT155" i="4"/>
  <c r="FU155" i="4" s="1"/>
  <c r="FP155" i="4"/>
  <c r="FQ155" i="4" s="1"/>
  <c r="FL155" i="4"/>
  <c r="FM155" i="4" s="1"/>
  <c r="FH155" i="4"/>
  <c r="FI155" i="4" s="1"/>
  <c r="FD155" i="4"/>
  <c r="FE155" i="4" s="1"/>
  <c r="EZ155" i="4"/>
  <c r="FA155" i="4" s="1"/>
  <c r="EV155" i="4"/>
  <c r="EW155" i="4" s="1"/>
  <c r="ES155" i="4"/>
  <c r="DN151" i="4"/>
  <c r="DO151" i="4" s="1"/>
  <c r="DJ151" i="4"/>
  <c r="DK151" i="4" s="1"/>
  <c r="DF151" i="4"/>
  <c r="DG151" i="4" s="1"/>
  <c r="DB151" i="4"/>
  <c r="DC151" i="4" s="1"/>
  <c r="CX151" i="4"/>
  <c r="CY151" i="4" s="1"/>
  <c r="CT151" i="4"/>
  <c r="CU151" i="4" s="1"/>
  <c r="CP151" i="4"/>
  <c r="CQ151" i="4" s="1"/>
  <c r="CL151" i="4"/>
  <c r="CM151" i="4" s="1"/>
  <c r="CH151" i="4"/>
  <c r="CI151" i="4" s="1"/>
  <c r="CD151" i="4"/>
  <c r="CE151" i="4" s="1"/>
  <c r="CA151" i="4"/>
  <c r="DP151" i="4"/>
  <c r="DQ151" i="4" s="1"/>
  <c r="DL151" i="4"/>
  <c r="DM151" i="4" s="1"/>
  <c r="DH151" i="4"/>
  <c r="DI151" i="4" s="1"/>
  <c r="DD151" i="4"/>
  <c r="DE151" i="4" s="1"/>
  <c r="CZ151" i="4"/>
  <c r="DA151" i="4" s="1"/>
  <c r="CV151" i="4"/>
  <c r="CW151" i="4" s="1"/>
  <c r="CR151" i="4"/>
  <c r="CS151" i="4" s="1"/>
  <c r="CN151" i="4"/>
  <c r="CO151" i="4" s="1"/>
  <c r="CJ151" i="4"/>
  <c r="CK151" i="4" s="1"/>
  <c r="CF151" i="4"/>
  <c r="CG151" i="4" s="1"/>
  <c r="CB151" i="4"/>
  <c r="CC151" i="4" s="1"/>
  <c r="DN155" i="4"/>
  <c r="DO155" i="4" s="1"/>
  <c r="DJ155" i="4"/>
  <c r="DK155" i="4" s="1"/>
  <c r="DF155" i="4"/>
  <c r="DG155" i="4" s="1"/>
  <c r="DB155" i="4"/>
  <c r="DC155" i="4" s="1"/>
  <c r="CX155" i="4"/>
  <c r="CY155" i="4" s="1"/>
  <c r="CT155" i="4"/>
  <c r="CU155" i="4" s="1"/>
  <c r="CP155" i="4"/>
  <c r="CQ155" i="4" s="1"/>
  <c r="CL155" i="4"/>
  <c r="CM155" i="4" s="1"/>
  <c r="CH155" i="4"/>
  <c r="CI155" i="4" s="1"/>
  <c r="CD155" i="4"/>
  <c r="CE155" i="4" s="1"/>
  <c r="CA155" i="4"/>
  <c r="DP155" i="4"/>
  <c r="DQ155" i="4" s="1"/>
  <c r="DL155" i="4"/>
  <c r="DM155" i="4" s="1"/>
  <c r="DH155" i="4"/>
  <c r="DI155" i="4" s="1"/>
  <c r="DD155" i="4"/>
  <c r="DE155" i="4" s="1"/>
  <c r="CZ155" i="4"/>
  <c r="DA155" i="4" s="1"/>
  <c r="CV155" i="4"/>
  <c r="CW155" i="4" s="1"/>
  <c r="CR155" i="4"/>
  <c r="CS155" i="4" s="1"/>
  <c r="CN155" i="4"/>
  <c r="CO155" i="4" s="1"/>
  <c r="CJ155" i="4"/>
  <c r="CK155" i="4" s="1"/>
  <c r="CF155" i="4"/>
  <c r="CG155" i="4" s="1"/>
  <c r="CB155" i="4"/>
  <c r="CC155" i="4" s="1"/>
  <c r="EQ144" i="4"/>
  <c r="ER144" i="4" s="1"/>
  <c r="BZ144" i="4"/>
  <c r="G145" i="4"/>
  <c r="DP139" i="4"/>
  <c r="DQ139" i="4" s="1"/>
  <c r="DL139" i="4"/>
  <c r="DM139" i="4" s="1"/>
  <c r="DH139" i="4"/>
  <c r="DI139" i="4" s="1"/>
  <c r="DD139" i="4"/>
  <c r="DE139" i="4" s="1"/>
  <c r="CZ139" i="4"/>
  <c r="DA139" i="4" s="1"/>
  <c r="CV139" i="4"/>
  <c r="CW139" i="4" s="1"/>
  <c r="CR139" i="4"/>
  <c r="CS139" i="4" s="1"/>
  <c r="CN139" i="4"/>
  <c r="CO139" i="4" s="1"/>
  <c r="CJ139" i="4"/>
  <c r="CK139" i="4" s="1"/>
  <c r="CF139" i="4"/>
  <c r="CG139" i="4" s="1"/>
  <c r="CB139" i="4"/>
  <c r="CC139" i="4" s="1"/>
  <c r="DN139" i="4"/>
  <c r="DO139" i="4" s="1"/>
  <c r="DJ139" i="4"/>
  <c r="DK139" i="4" s="1"/>
  <c r="DF139" i="4"/>
  <c r="DG139" i="4" s="1"/>
  <c r="DB139" i="4"/>
  <c r="DC139" i="4" s="1"/>
  <c r="CX139" i="4"/>
  <c r="CY139" i="4" s="1"/>
  <c r="CT139" i="4"/>
  <c r="CU139" i="4" s="1"/>
  <c r="CP139" i="4"/>
  <c r="CQ139" i="4" s="1"/>
  <c r="CL139" i="4"/>
  <c r="CM139" i="4" s="1"/>
  <c r="CH139" i="4"/>
  <c r="CI139" i="4" s="1"/>
  <c r="CD139" i="4"/>
  <c r="CE139" i="4" s="1"/>
  <c r="CA139" i="4"/>
  <c r="CL132" i="4"/>
  <c r="CM132" i="4" s="1"/>
  <c r="DL132" i="4"/>
  <c r="DM132" i="4" s="1"/>
  <c r="DP132" i="4"/>
  <c r="DQ132" i="4" s="1"/>
  <c r="DH132" i="4"/>
  <c r="DI132" i="4" s="1"/>
  <c r="CR132" i="4"/>
  <c r="CS132" i="4" s="1"/>
  <c r="CB132" i="4"/>
  <c r="CC132" i="4" s="1"/>
  <c r="CJ132" i="4"/>
  <c r="CK132" i="4" s="1"/>
  <c r="DD132" i="4"/>
  <c r="DE132" i="4" s="1"/>
  <c r="CN132" i="4"/>
  <c r="CO132" i="4" s="1"/>
  <c r="CZ132" i="4"/>
  <c r="DA132" i="4" s="1"/>
  <c r="CD132" i="4"/>
  <c r="CE132" i="4" s="1"/>
  <c r="CT132" i="4"/>
  <c r="CU132" i="4" s="1"/>
  <c r="DJ132" i="4"/>
  <c r="DK132" i="4" s="1"/>
  <c r="CF132" i="4"/>
  <c r="CG132" i="4" s="1"/>
  <c r="DB131" i="4"/>
  <c r="DC131" i="4" s="1"/>
  <c r="CA131" i="4"/>
  <c r="DN131" i="4"/>
  <c r="DO131" i="4" s="1"/>
  <c r="CP131" i="4"/>
  <c r="CQ131" i="4" s="1"/>
  <c r="CX131" i="4"/>
  <c r="CY131" i="4" s="1"/>
  <c r="DF131" i="4"/>
  <c r="DG131" i="4" s="1"/>
  <c r="CH131" i="4"/>
  <c r="CI131" i="4" s="1"/>
  <c r="CH132" i="4"/>
  <c r="CI132" i="4" s="1"/>
  <c r="CX132" i="4"/>
  <c r="CY132" i="4" s="1"/>
  <c r="DN132" i="4"/>
  <c r="DO132" i="4" s="1"/>
  <c r="FT131" i="4"/>
  <c r="FU131" i="4" s="1"/>
  <c r="FD131" i="4"/>
  <c r="FE131" i="4" s="1"/>
  <c r="G133" i="4"/>
  <c r="AL126" i="4"/>
  <c r="AM126" i="4" s="1"/>
  <c r="N126" i="4"/>
  <c r="O126" i="4" s="1"/>
  <c r="L126" i="4"/>
  <c r="M126" i="4" s="1"/>
  <c r="I126" i="4"/>
  <c r="AD126" i="4"/>
  <c r="AE126" i="4" s="1"/>
  <c r="V126" i="4"/>
  <c r="W126" i="4" s="1"/>
  <c r="AT126" i="4"/>
  <c r="AU126" i="4" s="1"/>
  <c r="DP122" i="4"/>
  <c r="DQ122" i="4" s="1"/>
  <c r="DN122" i="4"/>
  <c r="DO122" i="4" s="1"/>
  <c r="DJ122" i="4"/>
  <c r="DK122" i="4" s="1"/>
  <c r="DF122" i="4"/>
  <c r="DG122" i="4" s="1"/>
  <c r="DB122" i="4"/>
  <c r="DC122" i="4" s="1"/>
  <c r="CX122" i="4"/>
  <c r="CY122" i="4" s="1"/>
  <c r="CT122" i="4"/>
  <c r="CU122" i="4" s="1"/>
  <c r="CP122" i="4"/>
  <c r="CQ122" i="4" s="1"/>
  <c r="CL122" i="4"/>
  <c r="CM122" i="4" s="1"/>
  <c r="CH122" i="4"/>
  <c r="CI122" i="4" s="1"/>
  <c r="CD122" i="4"/>
  <c r="CE122" i="4" s="1"/>
  <c r="CA122" i="4"/>
  <c r="DL122" i="4"/>
  <c r="DM122" i="4" s="1"/>
  <c r="DH122" i="4"/>
  <c r="DI122" i="4" s="1"/>
  <c r="DD122" i="4"/>
  <c r="DE122" i="4" s="1"/>
  <c r="CZ122" i="4"/>
  <c r="DA122" i="4" s="1"/>
  <c r="CV122" i="4"/>
  <c r="CW122" i="4" s="1"/>
  <c r="CR122" i="4"/>
  <c r="CS122" i="4" s="1"/>
  <c r="CN122" i="4"/>
  <c r="CO122" i="4" s="1"/>
  <c r="CJ122" i="4"/>
  <c r="CK122" i="4" s="1"/>
  <c r="CF122" i="4"/>
  <c r="CG122" i="4" s="1"/>
  <c r="CB122" i="4"/>
  <c r="CC122" i="4" s="1"/>
  <c r="L23" i="4"/>
  <c r="M23" i="4" s="1"/>
  <c r="AH23" i="4"/>
  <c r="AI23" i="4" s="1"/>
  <c r="DJ127" i="4"/>
  <c r="DK127" i="4" s="1"/>
  <c r="DN93" i="4"/>
  <c r="DO93" i="4" s="1"/>
  <c r="DF93" i="4"/>
  <c r="DG93" i="4" s="1"/>
  <c r="CX93" i="4"/>
  <c r="CY93" i="4" s="1"/>
  <c r="CP93" i="4"/>
  <c r="CQ93" i="4" s="1"/>
  <c r="CH93" i="4"/>
  <c r="CI93" i="4" s="1"/>
  <c r="CA93" i="4"/>
  <c r="DJ93" i="4"/>
  <c r="DK93" i="4" s="1"/>
  <c r="CL93" i="4"/>
  <c r="CM93" i="4" s="1"/>
  <c r="DL93" i="4"/>
  <c r="DM93" i="4" s="1"/>
  <c r="DD93" i="4"/>
  <c r="DE93" i="4" s="1"/>
  <c r="CV93" i="4"/>
  <c r="CW93" i="4" s="1"/>
  <c r="CN93" i="4"/>
  <c r="CO93" i="4" s="1"/>
  <c r="CF93" i="4"/>
  <c r="CG93" i="4" s="1"/>
  <c r="CT93" i="4"/>
  <c r="CU93" i="4" s="1"/>
  <c r="DP93" i="4"/>
  <c r="DQ93" i="4" s="1"/>
  <c r="DH93" i="4"/>
  <c r="DI93" i="4" s="1"/>
  <c r="CZ93" i="4"/>
  <c r="DA93" i="4" s="1"/>
  <c r="CR93" i="4"/>
  <c r="CS93" i="4" s="1"/>
  <c r="CJ93" i="4"/>
  <c r="CK93" i="4" s="1"/>
  <c r="CB93" i="4"/>
  <c r="CC93" i="4" s="1"/>
  <c r="DB93" i="4"/>
  <c r="DC93" i="4" s="1"/>
  <c r="CD93" i="4"/>
  <c r="CE93" i="4" s="1"/>
  <c r="G94" i="4"/>
  <c r="BY54" i="4"/>
  <c r="H54" i="4"/>
  <c r="DN52" i="4"/>
  <c r="DO52" i="4" s="1"/>
  <c r="DJ52" i="4"/>
  <c r="DK52" i="4" s="1"/>
  <c r="DF52" i="4"/>
  <c r="DG52" i="4" s="1"/>
  <c r="DB52" i="4"/>
  <c r="DC52" i="4" s="1"/>
  <c r="CX52" i="4"/>
  <c r="CY52" i="4" s="1"/>
  <c r="CT52" i="4"/>
  <c r="CU52" i="4" s="1"/>
  <c r="CP52" i="4"/>
  <c r="CQ52" i="4" s="1"/>
  <c r="CL52" i="4"/>
  <c r="CM52" i="4" s="1"/>
  <c r="CH52" i="4"/>
  <c r="CI52" i="4" s="1"/>
  <c r="CD52" i="4"/>
  <c r="CE52" i="4" s="1"/>
  <c r="CA52" i="4"/>
  <c r="DP52" i="4"/>
  <c r="DQ52" i="4" s="1"/>
  <c r="DL52" i="4"/>
  <c r="DM52" i="4" s="1"/>
  <c r="DH52" i="4"/>
  <c r="DI52" i="4" s="1"/>
  <c r="DD52" i="4"/>
  <c r="DE52" i="4" s="1"/>
  <c r="CZ52" i="4"/>
  <c r="DA52" i="4" s="1"/>
  <c r="CV52" i="4"/>
  <c r="CW52" i="4" s="1"/>
  <c r="CR52" i="4"/>
  <c r="CS52" i="4" s="1"/>
  <c r="CN52" i="4"/>
  <c r="CO52" i="4" s="1"/>
  <c r="CJ52" i="4"/>
  <c r="CK52" i="4" s="1"/>
  <c r="CF52" i="4"/>
  <c r="CG52" i="4" s="1"/>
  <c r="CB52" i="4"/>
  <c r="CC52" i="4" s="1"/>
  <c r="DN39" i="4"/>
  <c r="DO39" i="4" s="1"/>
  <c r="DF39" i="4"/>
  <c r="DG39" i="4" s="1"/>
  <c r="CX39" i="4"/>
  <c r="CY39" i="4" s="1"/>
  <c r="CP39" i="4"/>
  <c r="CQ39" i="4" s="1"/>
  <c r="CH39" i="4"/>
  <c r="CI39" i="4" s="1"/>
  <c r="CA39" i="4"/>
  <c r="DP39" i="4"/>
  <c r="DQ39" i="4" s="1"/>
  <c r="CR39" i="4"/>
  <c r="CS39" i="4" s="1"/>
  <c r="CB39" i="4"/>
  <c r="CC39" i="4" s="1"/>
  <c r="DL39" i="4"/>
  <c r="DM39" i="4" s="1"/>
  <c r="DD39" i="4"/>
  <c r="DE39" i="4" s="1"/>
  <c r="CV39" i="4"/>
  <c r="CW39" i="4" s="1"/>
  <c r="CN39" i="4"/>
  <c r="CO39" i="4" s="1"/>
  <c r="CF39" i="4"/>
  <c r="CG39" i="4" s="1"/>
  <c r="CZ39" i="4"/>
  <c r="DA39" i="4" s="1"/>
  <c r="DJ39" i="4"/>
  <c r="DK39" i="4" s="1"/>
  <c r="DB39" i="4"/>
  <c r="DC39" i="4" s="1"/>
  <c r="CT39" i="4"/>
  <c r="CU39" i="4" s="1"/>
  <c r="CL39" i="4"/>
  <c r="CM39" i="4" s="1"/>
  <c r="CD39" i="4"/>
  <c r="CE39" i="4" s="1"/>
  <c r="DH39" i="4"/>
  <c r="DI39" i="4" s="1"/>
  <c r="CJ39" i="4"/>
  <c r="CK39" i="4" s="1"/>
  <c r="GF44" i="4"/>
  <c r="GG44" i="4" s="1"/>
  <c r="GB44" i="4"/>
  <c r="GC44" i="4" s="1"/>
  <c r="FX44" i="4"/>
  <c r="FY44" i="4" s="1"/>
  <c r="FT44" i="4"/>
  <c r="FU44" i="4" s="1"/>
  <c r="FP44" i="4"/>
  <c r="FQ44" i="4" s="1"/>
  <c r="FL44" i="4"/>
  <c r="FM44" i="4" s="1"/>
  <c r="FH44" i="4"/>
  <c r="FI44" i="4" s="1"/>
  <c r="FD44" i="4"/>
  <c r="FE44" i="4" s="1"/>
  <c r="EZ44" i="4"/>
  <c r="FA44" i="4" s="1"/>
  <c r="EV44" i="4"/>
  <c r="EW44" i="4" s="1"/>
  <c r="ES44" i="4"/>
  <c r="GH44" i="4"/>
  <c r="GI44" i="4" s="1"/>
  <c r="GD44" i="4"/>
  <c r="GE44" i="4" s="1"/>
  <c r="FZ44" i="4"/>
  <c r="GA44" i="4" s="1"/>
  <c r="FV44" i="4"/>
  <c r="FW44" i="4" s="1"/>
  <c r="FR44" i="4"/>
  <c r="FS44" i="4" s="1"/>
  <c r="FN44" i="4"/>
  <c r="FO44" i="4" s="1"/>
  <c r="FJ44" i="4"/>
  <c r="FK44" i="4" s="1"/>
  <c r="FF44" i="4"/>
  <c r="FG44" i="4" s="1"/>
  <c r="FB44" i="4"/>
  <c r="FC44" i="4" s="1"/>
  <c r="EX44" i="4"/>
  <c r="EY44" i="4" s="1"/>
  <c r="ET44" i="4"/>
  <c r="EU44" i="4" s="1"/>
  <c r="GB39" i="4"/>
  <c r="GC39" i="4" s="1"/>
  <c r="FT39" i="4"/>
  <c r="FU39" i="4" s="1"/>
  <c r="FL39" i="4"/>
  <c r="FM39" i="4" s="1"/>
  <c r="FD39" i="4"/>
  <c r="FE39" i="4" s="1"/>
  <c r="EV39" i="4"/>
  <c r="EW39" i="4" s="1"/>
  <c r="GH39" i="4"/>
  <c r="GI39" i="4" s="1"/>
  <c r="FZ39" i="4"/>
  <c r="GA39" i="4" s="1"/>
  <c r="FR39" i="4"/>
  <c r="FS39" i="4" s="1"/>
  <c r="FJ39" i="4"/>
  <c r="FK39" i="4" s="1"/>
  <c r="FB39" i="4"/>
  <c r="FC39" i="4" s="1"/>
  <c r="ET39" i="4"/>
  <c r="EU39" i="4" s="1"/>
  <c r="GF39" i="4"/>
  <c r="GG39" i="4" s="1"/>
  <c r="FX39" i="4"/>
  <c r="FY39" i="4" s="1"/>
  <c r="FP39" i="4"/>
  <c r="FQ39" i="4" s="1"/>
  <c r="FH39" i="4"/>
  <c r="FI39" i="4" s="1"/>
  <c r="EZ39" i="4"/>
  <c r="FA39" i="4" s="1"/>
  <c r="ES39" i="4"/>
  <c r="FF39" i="4"/>
  <c r="FG39" i="4" s="1"/>
  <c r="FN39" i="4"/>
  <c r="FO39" i="4" s="1"/>
  <c r="GD39" i="4"/>
  <c r="GE39" i="4" s="1"/>
  <c r="EX39" i="4"/>
  <c r="EY39" i="4" s="1"/>
  <c r="FV39" i="4"/>
  <c r="FW39" i="4" s="1"/>
  <c r="DP44" i="4"/>
  <c r="DQ44" i="4" s="1"/>
  <c r="DL44" i="4"/>
  <c r="DM44" i="4" s="1"/>
  <c r="DH44" i="4"/>
  <c r="DI44" i="4" s="1"/>
  <c r="DD44" i="4"/>
  <c r="DE44" i="4" s="1"/>
  <c r="CZ44" i="4"/>
  <c r="DA44" i="4" s="1"/>
  <c r="CV44" i="4"/>
  <c r="CW44" i="4" s="1"/>
  <c r="CR44" i="4"/>
  <c r="CS44" i="4" s="1"/>
  <c r="CN44" i="4"/>
  <c r="CO44" i="4" s="1"/>
  <c r="CJ44" i="4"/>
  <c r="CK44" i="4" s="1"/>
  <c r="CF44" i="4"/>
  <c r="CG44" i="4" s="1"/>
  <c r="CB44" i="4"/>
  <c r="CC44" i="4" s="1"/>
  <c r="DN44" i="4"/>
  <c r="DO44" i="4" s="1"/>
  <c r="DJ44" i="4"/>
  <c r="DK44" i="4" s="1"/>
  <c r="DF44" i="4"/>
  <c r="DG44" i="4" s="1"/>
  <c r="DB44" i="4"/>
  <c r="DC44" i="4" s="1"/>
  <c r="CX44" i="4"/>
  <c r="CY44" i="4" s="1"/>
  <c r="CT44" i="4"/>
  <c r="CU44" i="4" s="1"/>
  <c r="CP44" i="4"/>
  <c r="CQ44" i="4" s="1"/>
  <c r="CL44" i="4"/>
  <c r="CM44" i="4" s="1"/>
  <c r="CH44" i="4"/>
  <c r="CI44" i="4" s="1"/>
  <c r="CD44" i="4"/>
  <c r="CE44" i="4" s="1"/>
  <c r="CA44" i="4"/>
  <c r="BY19" i="4"/>
  <c r="H19" i="4"/>
  <c r="DN35" i="4"/>
  <c r="DO35" i="4" s="1"/>
  <c r="DJ35" i="4"/>
  <c r="DK35" i="4" s="1"/>
  <c r="DF35" i="4"/>
  <c r="DG35" i="4" s="1"/>
  <c r="DB35" i="4"/>
  <c r="DC35" i="4" s="1"/>
  <c r="CX35" i="4"/>
  <c r="CY35" i="4" s="1"/>
  <c r="CT35" i="4"/>
  <c r="CU35" i="4" s="1"/>
  <c r="CP35" i="4"/>
  <c r="CQ35" i="4" s="1"/>
  <c r="CL35" i="4"/>
  <c r="CM35" i="4" s="1"/>
  <c r="CH35" i="4"/>
  <c r="CI35" i="4" s="1"/>
  <c r="CD35" i="4"/>
  <c r="CE35" i="4" s="1"/>
  <c r="CA35" i="4"/>
  <c r="DP35" i="4"/>
  <c r="DQ35" i="4" s="1"/>
  <c r="DL35" i="4"/>
  <c r="DM35" i="4" s="1"/>
  <c r="DH35" i="4"/>
  <c r="DI35" i="4" s="1"/>
  <c r="DD35" i="4"/>
  <c r="DE35" i="4" s="1"/>
  <c r="CZ35" i="4"/>
  <c r="DA35" i="4" s="1"/>
  <c r="CV35" i="4"/>
  <c r="CW35" i="4" s="1"/>
  <c r="CR35" i="4"/>
  <c r="CS35" i="4" s="1"/>
  <c r="CN35" i="4"/>
  <c r="CO35" i="4" s="1"/>
  <c r="CJ35" i="4"/>
  <c r="CK35" i="4" s="1"/>
  <c r="CF35" i="4"/>
  <c r="CG35" i="4" s="1"/>
  <c r="CB35" i="4"/>
  <c r="CC35" i="4" s="1"/>
  <c r="GF18" i="4"/>
  <c r="GG18" i="4" s="1"/>
  <c r="GB18" i="4"/>
  <c r="GC18" i="4" s="1"/>
  <c r="FX18" i="4"/>
  <c r="FY18" i="4" s="1"/>
  <c r="FT18" i="4"/>
  <c r="FU18" i="4" s="1"/>
  <c r="FP18" i="4"/>
  <c r="FQ18" i="4" s="1"/>
  <c r="FL18" i="4"/>
  <c r="FM18" i="4" s="1"/>
  <c r="FH18" i="4"/>
  <c r="FI18" i="4" s="1"/>
  <c r="FD18" i="4"/>
  <c r="FE18" i="4" s="1"/>
  <c r="EZ18" i="4"/>
  <c r="FA18" i="4" s="1"/>
  <c r="EV18" i="4"/>
  <c r="EW18" i="4" s="1"/>
  <c r="ES18" i="4"/>
  <c r="GH18" i="4"/>
  <c r="GI18" i="4" s="1"/>
  <c r="GD18" i="4"/>
  <c r="GE18" i="4" s="1"/>
  <c r="FZ18" i="4"/>
  <c r="GA18" i="4" s="1"/>
  <c r="FV18" i="4"/>
  <c r="FW18" i="4" s="1"/>
  <c r="FR18" i="4"/>
  <c r="FS18" i="4" s="1"/>
  <c r="FN18" i="4"/>
  <c r="FO18" i="4" s="1"/>
  <c r="FJ18" i="4"/>
  <c r="FK18" i="4" s="1"/>
  <c r="FF18" i="4"/>
  <c r="FG18" i="4" s="1"/>
  <c r="FB18" i="4"/>
  <c r="FC18" i="4" s="1"/>
  <c r="EX18" i="4"/>
  <c r="EY18" i="4" s="1"/>
  <c r="ET18" i="4"/>
  <c r="EU18" i="4" s="1"/>
  <c r="DN31" i="4"/>
  <c r="DO31" i="4" s="1"/>
  <c r="DJ31" i="4"/>
  <c r="DK31" i="4" s="1"/>
  <c r="DF31" i="4"/>
  <c r="DG31" i="4" s="1"/>
  <c r="DB31" i="4"/>
  <c r="DC31" i="4" s="1"/>
  <c r="CX31" i="4"/>
  <c r="CY31" i="4" s="1"/>
  <c r="CT31" i="4"/>
  <c r="CU31" i="4" s="1"/>
  <c r="CP31" i="4"/>
  <c r="CQ31" i="4" s="1"/>
  <c r="CL31" i="4"/>
  <c r="CM31" i="4" s="1"/>
  <c r="CH31" i="4"/>
  <c r="CI31" i="4" s="1"/>
  <c r="CD31" i="4"/>
  <c r="CE31" i="4" s="1"/>
  <c r="CA31" i="4"/>
  <c r="DL31" i="4"/>
  <c r="DM31" i="4" s="1"/>
  <c r="CZ31" i="4"/>
  <c r="DA31" i="4" s="1"/>
  <c r="CR31" i="4"/>
  <c r="CS31" i="4" s="1"/>
  <c r="CJ31" i="4"/>
  <c r="CK31" i="4" s="1"/>
  <c r="CB31" i="4"/>
  <c r="CC31" i="4" s="1"/>
  <c r="DP31" i="4"/>
  <c r="DQ31" i="4" s="1"/>
  <c r="DD31" i="4"/>
  <c r="DE31" i="4" s="1"/>
  <c r="CV31" i="4"/>
  <c r="CW31" i="4" s="1"/>
  <c r="CN31" i="4"/>
  <c r="CO31" i="4" s="1"/>
  <c r="CF31" i="4"/>
  <c r="CG31" i="4" s="1"/>
  <c r="DH31" i="4"/>
  <c r="DI31" i="4" s="1"/>
  <c r="GH31" i="4"/>
  <c r="GI31" i="4" s="1"/>
  <c r="GD31" i="4"/>
  <c r="GE31" i="4" s="1"/>
  <c r="FZ31" i="4"/>
  <c r="GA31" i="4" s="1"/>
  <c r="FV31" i="4"/>
  <c r="FW31" i="4" s="1"/>
  <c r="FR31" i="4"/>
  <c r="FS31" i="4" s="1"/>
  <c r="FN31" i="4"/>
  <c r="FO31" i="4" s="1"/>
  <c r="FJ31" i="4"/>
  <c r="FK31" i="4" s="1"/>
  <c r="FF31" i="4"/>
  <c r="FG31" i="4" s="1"/>
  <c r="FB31" i="4"/>
  <c r="FC31" i="4" s="1"/>
  <c r="EX31" i="4"/>
  <c r="EY31" i="4" s="1"/>
  <c r="ET31" i="4"/>
  <c r="EU31" i="4" s="1"/>
  <c r="FP31" i="4"/>
  <c r="FQ31" i="4" s="1"/>
  <c r="EV31" i="4"/>
  <c r="EW31" i="4" s="1"/>
  <c r="GB31" i="4"/>
  <c r="GC31" i="4" s="1"/>
  <c r="FX31" i="4"/>
  <c r="FY31" i="4" s="1"/>
  <c r="FL31" i="4"/>
  <c r="FM31" i="4" s="1"/>
  <c r="FD31" i="4"/>
  <c r="FE31" i="4" s="1"/>
  <c r="ES31" i="4"/>
  <c r="GF31" i="4"/>
  <c r="GG31" i="4" s="1"/>
  <c r="FT31" i="4"/>
  <c r="FU31" i="4" s="1"/>
  <c r="FH31" i="4"/>
  <c r="FI31" i="4" s="1"/>
  <c r="EZ31" i="4"/>
  <c r="FA31" i="4" s="1"/>
  <c r="ET78" i="4"/>
  <c r="EU78" i="4" s="1"/>
  <c r="FJ78" i="4"/>
  <c r="FK78" i="4" s="1"/>
  <c r="FZ78" i="4"/>
  <c r="GA78" i="4" s="1"/>
  <c r="EV78" i="4"/>
  <c r="EW78" i="4" s="1"/>
  <c r="FL78" i="4"/>
  <c r="FM78" i="4" s="1"/>
  <c r="GB78" i="4"/>
  <c r="GC78" i="4" s="1"/>
  <c r="ET74" i="4"/>
  <c r="EU74" i="4" s="1"/>
  <c r="FJ74" i="4"/>
  <c r="FK74" i="4" s="1"/>
  <c r="FZ74" i="4"/>
  <c r="GA74" i="4" s="1"/>
  <c r="EV74" i="4"/>
  <c r="EW74" i="4" s="1"/>
  <c r="FL74" i="4"/>
  <c r="FM74" i="4" s="1"/>
  <c r="GB74" i="4"/>
  <c r="GC74" i="4" s="1"/>
  <c r="DB78" i="4"/>
  <c r="DC78" i="4" s="1"/>
  <c r="CP78" i="4"/>
  <c r="CQ78" i="4" s="1"/>
  <c r="DF78" i="4"/>
  <c r="DG78" i="4" s="1"/>
  <c r="CL78" i="4"/>
  <c r="CM78" i="4" s="1"/>
  <c r="CA78" i="4"/>
  <c r="DN78" i="4"/>
  <c r="DO78" i="4" s="1"/>
  <c r="CT78" i="4"/>
  <c r="CU78" i="4" s="1"/>
  <c r="CH78" i="4"/>
  <c r="CI78" i="4" s="1"/>
  <c r="CD78" i="4"/>
  <c r="CE78" i="4" s="1"/>
  <c r="DJ78" i="4"/>
  <c r="DK78" i="4" s="1"/>
  <c r="CX78" i="4"/>
  <c r="CY78" i="4" s="1"/>
  <c r="DJ74" i="4"/>
  <c r="DK74" i="4" s="1"/>
  <c r="CX74" i="4"/>
  <c r="CY74" i="4" s="1"/>
  <c r="CD74" i="4"/>
  <c r="CE74" i="4" s="1"/>
  <c r="DN74" i="4"/>
  <c r="DO74" i="4" s="1"/>
  <c r="CT74" i="4"/>
  <c r="CU74" i="4" s="1"/>
  <c r="CH74" i="4"/>
  <c r="CI74" i="4" s="1"/>
  <c r="DB74" i="4"/>
  <c r="DC74" i="4" s="1"/>
  <c r="CP74" i="4"/>
  <c r="CQ74" i="4" s="1"/>
  <c r="CL74" i="4"/>
  <c r="CM74" i="4" s="1"/>
  <c r="CA74" i="4"/>
  <c r="DF74" i="4"/>
  <c r="DG74" i="4" s="1"/>
  <c r="T76" i="4"/>
  <c r="U76" i="4" s="1"/>
  <c r="AV76" i="4"/>
  <c r="AW76" i="4" s="1"/>
  <c r="J76" i="4"/>
  <c r="K76" i="4" s="1"/>
  <c r="AT76" i="4"/>
  <c r="AU76" i="4" s="1"/>
  <c r="L76" i="4"/>
  <c r="M76" i="4" s="1"/>
  <c r="EQ76" i="4"/>
  <c r="ER76" i="4" s="1"/>
  <c r="BZ76" i="4"/>
  <c r="FB78" i="4"/>
  <c r="FC78" i="4" s="1"/>
  <c r="FR78" i="4"/>
  <c r="FS78" i="4" s="1"/>
  <c r="GH78" i="4"/>
  <c r="GI78" i="4" s="1"/>
  <c r="FD78" i="4"/>
  <c r="FE78" i="4" s="1"/>
  <c r="FT78" i="4"/>
  <c r="FU78" i="4" s="1"/>
  <c r="FB74" i="4"/>
  <c r="FC74" i="4" s="1"/>
  <c r="FR74" i="4"/>
  <c r="FS74" i="4" s="1"/>
  <c r="GH74" i="4"/>
  <c r="GI74" i="4" s="1"/>
  <c r="FD74" i="4"/>
  <c r="FE74" i="4" s="1"/>
  <c r="FT74" i="4"/>
  <c r="FU74" i="4" s="1"/>
  <c r="CB78" i="4"/>
  <c r="CC78" i="4" s="1"/>
  <c r="CR78" i="4"/>
  <c r="CS78" i="4" s="1"/>
  <c r="DH78" i="4"/>
  <c r="DI78" i="4" s="1"/>
  <c r="CN74" i="4"/>
  <c r="CO74" i="4" s="1"/>
  <c r="DD74" i="4"/>
  <c r="DE74" i="4" s="1"/>
  <c r="Z76" i="4"/>
  <c r="AA76" i="4" s="1"/>
  <c r="AH76" i="4"/>
  <c r="AI76" i="4" s="1"/>
  <c r="AN76" i="4"/>
  <c r="AO76" i="4" s="1"/>
  <c r="AV82" i="4"/>
  <c r="AW82" i="4" s="1"/>
  <c r="J82" i="4"/>
  <c r="K82" i="4" s="1"/>
  <c r="L82" i="4"/>
  <c r="M82" i="4" s="1"/>
  <c r="FF78" i="4"/>
  <c r="FG78" i="4" s="1"/>
  <c r="FV78" i="4"/>
  <c r="FW78" i="4" s="1"/>
  <c r="ES78" i="4"/>
  <c r="FH78" i="4"/>
  <c r="FI78" i="4" s="1"/>
  <c r="FF74" i="4"/>
  <c r="FG74" i="4" s="1"/>
  <c r="FV74" i="4"/>
  <c r="FW74" i="4" s="1"/>
  <c r="ES74" i="4"/>
  <c r="FH74" i="4"/>
  <c r="FI74" i="4" s="1"/>
  <c r="CL85" i="4"/>
  <c r="CM85" i="4" s="1"/>
  <c r="DB85" i="4"/>
  <c r="DC85" i="4" s="1"/>
  <c r="CB85" i="4"/>
  <c r="CC85" i="4" s="1"/>
  <c r="CR85" i="4"/>
  <c r="CS85" i="4" s="1"/>
  <c r="CF78" i="4"/>
  <c r="CG78" i="4" s="1"/>
  <c r="CV78" i="4"/>
  <c r="CW78" i="4" s="1"/>
  <c r="DL78" i="4"/>
  <c r="DM78" i="4" s="1"/>
  <c r="CB74" i="4"/>
  <c r="CC74" i="4" s="1"/>
  <c r="CR74" i="4"/>
  <c r="CS74" i="4" s="1"/>
  <c r="DH74" i="4"/>
  <c r="DI74" i="4" s="1"/>
  <c r="T82" i="4"/>
  <c r="U82" i="4" s="1"/>
  <c r="P82" i="4"/>
  <c r="Q82" i="4" s="1"/>
  <c r="I82" i="4"/>
  <c r="AB76" i="4"/>
  <c r="AC76" i="4" s="1"/>
  <c r="AJ76" i="4"/>
  <c r="AK76" i="4" s="1"/>
  <c r="AP76" i="4"/>
  <c r="AQ76" i="4" s="1"/>
  <c r="R76" i="4"/>
  <c r="S76" i="4" s="1"/>
  <c r="P76" i="4"/>
  <c r="Q76" i="4" s="1"/>
  <c r="N76" i="4"/>
  <c r="O76" i="4" s="1"/>
  <c r="I76" i="4"/>
  <c r="AN82" i="4"/>
  <c r="AO82" i="4" s="1"/>
  <c r="AD82" i="4"/>
  <c r="AE82" i="4" s="1"/>
  <c r="BZ82" i="4"/>
  <c r="EQ82" i="4"/>
  <c r="ER82" i="4" s="1"/>
  <c r="FB64" i="4"/>
  <c r="FC64" i="4" s="1"/>
  <c r="GH64" i="4"/>
  <c r="GI64" i="4" s="1"/>
  <c r="FV64" i="4"/>
  <c r="FW64" i="4" s="1"/>
  <c r="AV64" i="4"/>
  <c r="AW64" i="4" s="1"/>
  <c r="L64" i="4"/>
  <c r="M64" i="4" s="1"/>
  <c r="J64" i="4"/>
  <c r="K64" i="4" s="1"/>
  <c r="AT64" i="4"/>
  <c r="AU64" i="4" s="1"/>
  <c r="FJ64" i="4"/>
  <c r="FK64" i="4" s="1"/>
  <c r="EX64" i="4"/>
  <c r="EY64" i="4" s="1"/>
  <c r="GD64" i="4"/>
  <c r="GE64" i="4" s="1"/>
  <c r="GB64" i="4"/>
  <c r="GC64" i="4" s="1"/>
  <c r="GF64" i="4"/>
  <c r="GG64" i="4" s="1"/>
  <c r="FH64" i="4"/>
  <c r="FI64" i="4" s="1"/>
  <c r="FX64" i="4"/>
  <c r="FY64" i="4" s="1"/>
  <c r="FD64" i="4"/>
  <c r="FE64" i="4" s="1"/>
  <c r="EZ64" i="4"/>
  <c r="FA64" i="4" s="1"/>
  <c r="FP64" i="4"/>
  <c r="FQ64" i="4" s="1"/>
  <c r="ES64" i="4"/>
  <c r="FT64" i="4"/>
  <c r="FU64" i="4" s="1"/>
  <c r="FR64" i="4"/>
  <c r="FS64" i="4" s="1"/>
  <c r="FF64" i="4"/>
  <c r="FG64" i="4" s="1"/>
  <c r="EV64" i="4"/>
  <c r="EW64" i="4" s="1"/>
  <c r="EQ89" i="4"/>
  <c r="ER89" i="4" s="1"/>
  <c r="BZ89" i="4"/>
  <c r="DN58" i="4"/>
  <c r="DO58" i="4" s="1"/>
  <c r="DJ58" i="4"/>
  <c r="DK58" i="4" s="1"/>
  <c r="DF58" i="4"/>
  <c r="DG58" i="4" s="1"/>
  <c r="DB58" i="4"/>
  <c r="DC58" i="4" s="1"/>
  <c r="CX58" i="4"/>
  <c r="CY58" i="4" s="1"/>
  <c r="CT58" i="4"/>
  <c r="CU58" i="4" s="1"/>
  <c r="CP58" i="4"/>
  <c r="CQ58" i="4" s="1"/>
  <c r="CL58" i="4"/>
  <c r="CM58" i="4" s="1"/>
  <c r="CH58" i="4"/>
  <c r="CI58" i="4" s="1"/>
  <c r="CD58" i="4"/>
  <c r="CE58" i="4" s="1"/>
  <c r="CA58" i="4"/>
  <c r="DL58" i="4"/>
  <c r="DM58" i="4" s="1"/>
  <c r="CZ58" i="4"/>
  <c r="DA58" i="4" s="1"/>
  <c r="CN58" i="4"/>
  <c r="CO58" i="4" s="1"/>
  <c r="CB58" i="4"/>
  <c r="CC58" i="4" s="1"/>
  <c r="DH58" i="4"/>
  <c r="DI58" i="4" s="1"/>
  <c r="DD58" i="4"/>
  <c r="DE58" i="4" s="1"/>
  <c r="CR58" i="4"/>
  <c r="CS58" i="4" s="1"/>
  <c r="CF58" i="4"/>
  <c r="CG58" i="4" s="1"/>
  <c r="DP58" i="4"/>
  <c r="DQ58" i="4" s="1"/>
  <c r="CV58" i="4"/>
  <c r="CW58" i="4" s="1"/>
  <c r="CJ58" i="4"/>
  <c r="CK58" i="4" s="1"/>
  <c r="EQ57" i="4"/>
  <c r="ER57" i="4" s="1"/>
  <c r="BZ57" i="4"/>
  <c r="BY60" i="4"/>
  <c r="H60" i="4"/>
  <c r="G20" i="4"/>
  <c r="GH69" i="4"/>
  <c r="GI69" i="4" s="1"/>
  <c r="GD69" i="4"/>
  <c r="GE69" i="4" s="1"/>
  <c r="FZ69" i="4"/>
  <c r="GA69" i="4" s="1"/>
  <c r="FV69" i="4"/>
  <c r="FW69" i="4" s="1"/>
  <c r="FR69" i="4"/>
  <c r="FS69" i="4" s="1"/>
  <c r="FN69" i="4"/>
  <c r="FO69" i="4" s="1"/>
  <c r="FJ69" i="4"/>
  <c r="FK69" i="4" s="1"/>
  <c r="FF69" i="4"/>
  <c r="FG69" i="4" s="1"/>
  <c r="FB69" i="4"/>
  <c r="FC69" i="4" s="1"/>
  <c r="EX69" i="4"/>
  <c r="EY69" i="4" s="1"/>
  <c r="ET69" i="4"/>
  <c r="EU69" i="4" s="1"/>
  <c r="GF69" i="4"/>
  <c r="GG69" i="4" s="1"/>
  <c r="GB69" i="4"/>
  <c r="GC69" i="4" s="1"/>
  <c r="FX69" i="4"/>
  <c r="FY69" i="4" s="1"/>
  <c r="FT69" i="4"/>
  <c r="FU69" i="4" s="1"/>
  <c r="FP69" i="4"/>
  <c r="FQ69" i="4" s="1"/>
  <c r="FL69" i="4"/>
  <c r="FM69" i="4" s="1"/>
  <c r="FH69" i="4"/>
  <c r="FI69" i="4" s="1"/>
  <c r="FD69" i="4"/>
  <c r="FE69" i="4" s="1"/>
  <c r="EZ69" i="4"/>
  <c r="FA69" i="4" s="1"/>
  <c r="EV69" i="4"/>
  <c r="EW69" i="4" s="1"/>
  <c r="ES69" i="4"/>
  <c r="GF67" i="4"/>
  <c r="GG67" i="4" s="1"/>
  <c r="GB67" i="4"/>
  <c r="GC67" i="4" s="1"/>
  <c r="FX67" i="4"/>
  <c r="FY67" i="4" s="1"/>
  <c r="FT67" i="4"/>
  <c r="FU67" i="4" s="1"/>
  <c r="FP67" i="4"/>
  <c r="FQ67" i="4" s="1"/>
  <c r="FL67" i="4"/>
  <c r="FM67" i="4" s="1"/>
  <c r="FH67" i="4"/>
  <c r="FI67" i="4" s="1"/>
  <c r="FD67" i="4"/>
  <c r="FE67" i="4" s="1"/>
  <c r="EZ67" i="4"/>
  <c r="FA67" i="4" s="1"/>
  <c r="EV67" i="4"/>
  <c r="EW67" i="4" s="1"/>
  <c r="ES67" i="4"/>
  <c r="GH67" i="4"/>
  <c r="GI67" i="4" s="1"/>
  <c r="GD67" i="4"/>
  <c r="GE67" i="4" s="1"/>
  <c r="FZ67" i="4"/>
  <c r="GA67" i="4" s="1"/>
  <c r="FV67" i="4"/>
  <c r="FW67" i="4" s="1"/>
  <c r="FR67" i="4"/>
  <c r="FS67" i="4" s="1"/>
  <c r="FN67" i="4"/>
  <c r="FO67" i="4" s="1"/>
  <c r="FJ67" i="4"/>
  <c r="FK67" i="4" s="1"/>
  <c r="FF67" i="4"/>
  <c r="FG67" i="4" s="1"/>
  <c r="FB67" i="4"/>
  <c r="FC67" i="4" s="1"/>
  <c r="EX67" i="4"/>
  <c r="EY67" i="4" s="1"/>
  <c r="ET67" i="4"/>
  <c r="EU67" i="4" s="1"/>
  <c r="DN71" i="4"/>
  <c r="DO71" i="4" s="1"/>
  <c r="DF71" i="4"/>
  <c r="DG71" i="4" s="1"/>
  <c r="CX71" i="4"/>
  <c r="CY71" i="4" s="1"/>
  <c r="CP71" i="4"/>
  <c r="CQ71" i="4" s="1"/>
  <c r="CH71" i="4"/>
  <c r="CI71" i="4" s="1"/>
  <c r="CA71" i="4"/>
  <c r="DL71" i="4"/>
  <c r="DM71" i="4" s="1"/>
  <c r="DD71" i="4"/>
  <c r="DE71" i="4" s="1"/>
  <c r="CV71" i="4"/>
  <c r="CW71" i="4" s="1"/>
  <c r="CN71" i="4"/>
  <c r="CO71" i="4" s="1"/>
  <c r="CF71" i="4"/>
  <c r="CG71" i="4" s="1"/>
  <c r="DB71" i="4"/>
  <c r="DC71" i="4" s="1"/>
  <c r="CL71" i="4"/>
  <c r="CM71" i="4" s="1"/>
  <c r="DP71" i="4"/>
  <c r="DQ71" i="4" s="1"/>
  <c r="CZ71" i="4"/>
  <c r="DA71" i="4" s="1"/>
  <c r="CJ71" i="4"/>
  <c r="CK71" i="4" s="1"/>
  <c r="DJ71" i="4"/>
  <c r="DK71" i="4" s="1"/>
  <c r="CT71" i="4"/>
  <c r="CU71" i="4" s="1"/>
  <c r="CD71" i="4"/>
  <c r="CE71" i="4" s="1"/>
  <c r="DH71" i="4"/>
  <c r="DI71" i="4" s="1"/>
  <c r="CR71" i="4"/>
  <c r="CS71" i="4" s="1"/>
  <c r="CB71" i="4"/>
  <c r="CC71" i="4" s="1"/>
  <c r="DL65" i="4"/>
  <c r="DM65" i="4" s="1"/>
  <c r="DD65" i="4"/>
  <c r="DE65" i="4" s="1"/>
  <c r="CV65" i="4"/>
  <c r="CW65" i="4" s="1"/>
  <c r="CN65" i="4"/>
  <c r="CO65" i="4" s="1"/>
  <c r="CF65" i="4"/>
  <c r="CG65" i="4" s="1"/>
  <c r="DJ65" i="4"/>
  <c r="DK65" i="4" s="1"/>
  <c r="DB65" i="4"/>
  <c r="DC65" i="4" s="1"/>
  <c r="CT65" i="4"/>
  <c r="CU65" i="4" s="1"/>
  <c r="CL65" i="4"/>
  <c r="CM65" i="4" s="1"/>
  <c r="CD65" i="4"/>
  <c r="CE65" i="4" s="1"/>
  <c r="DH65" i="4"/>
  <c r="DI65" i="4" s="1"/>
  <c r="CR65" i="4"/>
  <c r="CS65" i="4" s="1"/>
  <c r="CB65" i="4"/>
  <c r="CC65" i="4" s="1"/>
  <c r="DF65" i="4"/>
  <c r="DG65" i="4" s="1"/>
  <c r="CP65" i="4"/>
  <c r="CQ65" i="4" s="1"/>
  <c r="CA65" i="4"/>
  <c r="DP65" i="4"/>
  <c r="DQ65" i="4" s="1"/>
  <c r="CZ65" i="4"/>
  <c r="DA65" i="4" s="1"/>
  <c r="CJ65" i="4"/>
  <c r="CK65" i="4" s="1"/>
  <c r="DN65" i="4"/>
  <c r="DO65" i="4" s="1"/>
  <c r="CX65" i="4"/>
  <c r="CY65" i="4" s="1"/>
  <c r="CH65" i="4"/>
  <c r="CI65" i="4" s="1"/>
  <c r="GF63" i="4"/>
  <c r="GG63" i="4" s="1"/>
  <c r="GB63" i="4"/>
  <c r="GC63" i="4" s="1"/>
  <c r="FX63" i="4"/>
  <c r="FY63" i="4" s="1"/>
  <c r="FT63" i="4"/>
  <c r="FU63" i="4" s="1"/>
  <c r="FP63" i="4"/>
  <c r="FQ63" i="4" s="1"/>
  <c r="FL63" i="4"/>
  <c r="FM63" i="4" s="1"/>
  <c r="FH63" i="4"/>
  <c r="FI63" i="4" s="1"/>
  <c r="FD63" i="4"/>
  <c r="FE63" i="4" s="1"/>
  <c r="EZ63" i="4"/>
  <c r="FA63" i="4" s="1"/>
  <c r="EV63" i="4"/>
  <c r="EW63" i="4" s="1"/>
  <c r="ES63" i="4"/>
  <c r="GH63" i="4"/>
  <c r="GI63" i="4" s="1"/>
  <c r="GD63" i="4"/>
  <c r="GE63" i="4" s="1"/>
  <c r="FZ63" i="4"/>
  <c r="GA63" i="4" s="1"/>
  <c r="FV63" i="4"/>
  <c r="FW63" i="4" s="1"/>
  <c r="FR63" i="4"/>
  <c r="FS63" i="4" s="1"/>
  <c r="FN63" i="4"/>
  <c r="FO63" i="4" s="1"/>
  <c r="FJ63" i="4"/>
  <c r="FK63" i="4" s="1"/>
  <c r="FF63" i="4"/>
  <c r="FG63" i="4" s="1"/>
  <c r="FB63" i="4"/>
  <c r="FC63" i="4" s="1"/>
  <c r="EX63" i="4"/>
  <c r="EY63" i="4" s="1"/>
  <c r="ET63" i="4"/>
  <c r="EU63" i="4" s="1"/>
  <c r="DN63" i="4"/>
  <c r="DO63" i="4" s="1"/>
  <c r="DF63" i="4"/>
  <c r="DG63" i="4" s="1"/>
  <c r="CX63" i="4"/>
  <c r="CY63" i="4" s="1"/>
  <c r="CP63" i="4"/>
  <c r="CQ63" i="4" s="1"/>
  <c r="CH63" i="4"/>
  <c r="CI63" i="4" s="1"/>
  <c r="CA63" i="4"/>
  <c r="DL63" i="4"/>
  <c r="DM63" i="4" s="1"/>
  <c r="DD63" i="4"/>
  <c r="DE63" i="4" s="1"/>
  <c r="CV63" i="4"/>
  <c r="CW63" i="4" s="1"/>
  <c r="CN63" i="4"/>
  <c r="CO63" i="4" s="1"/>
  <c r="CF63" i="4"/>
  <c r="CG63" i="4" s="1"/>
  <c r="DB63" i="4"/>
  <c r="DC63" i="4" s="1"/>
  <c r="CL63" i="4"/>
  <c r="CM63" i="4" s="1"/>
  <c r="DP63" i="4"/>
  <c r="DQ63" i="4" s="1"/>
  <c r="CZ63" i="4"/>
  <c r="DA63" i="4" s="1"/>
  <c r="CJ63" i="4"/>
  <c r="CK63" i="4" s="1"/>
  <c r="DJ63" i="4"/>
  <c r="DK63" i="4" s="1"/>
  <c r="CT63" i="4"/>
  <c r="CU63" i="4" s="1"/>
  <c r="CD63" i="4"/>
  <c r="CE63" i="4" s="1"/>
  <c r="DH63" i="4"/>
  <c r="DI63" i="4" s="1"/>
  <c r="CR63" i="4"/>
  <c r="CS63" i="4" s="1"/>
  <c r="CB63" i="4"/>
  <c r="CC63" i="4" s="1"/>
  <c r="GF71" i="4"/>
  <c r="GG71" i="4" s="1"/>
  <c r="GB71" i="4"/>
  <c r="GC71" i="4" s="1"/>
  <c r="FX71" i="4"/>
  <c r="FY71" i="4" s="1"/>
  <c r="FT71" i="4"/>
  <c r="FU71" i="4" s="1"/>
  <c r="FP71" i="4"/>
  <c r="FQ71" i="4" s="1"/>
  <c r="FL71" i="4"/>
  <c r="FM71" i="4" s="1"/>
  <c r="FH71" i="4"/>
  <c r="FI71" i="4" s="1"/>
  <c r="FD71" i="4"/>
  <c r="FE71" i="4" s="1"/>
  <c r="EZ71" i="4"/>
  <c r="FA71" i="4" s="1"/>
  <c r="EV71" i="4"/>
  <c r="EW71" i="4" s="1"/>
  <c r="ES71" i="4"/>
  <c r="GH71" i="4"/>
  <c r="GI71" i="4" s="1"/>
  <c r="GD71" i="4"/>
  <c r="GE71" i="4" s="1"/>
  <c r="FZ71" i="4"/>
  <c r="GA71" i="4" s="1"/>
  <c r="FV71" i="4"/>
  <c r="FW71" i="4" s="1"/>
  <c r="FR71" i="4"/>
  <c r="FS71" i="4" s="1"/>
  <c r="FN71" i="4"/>
  <c r="FO71" i="4" s="1"/>
  <c r="FJ71" i="4"/>
  <c r="FK71" i="4" s="1"/>
  <c r="FF71" i="4"/>
  <c r="FG71" i="4" s="1"/>
  <c r="FB71" i="4"/>
  <c r="FC71" i="4" s="1"/>
  <c r="EX71" i="4"/>
  <c r="EY71" i="4" s="1"/>
  <c r="ET71" i="4"/>
  <c r="EU71" i="4" s="1"/>
  <c r="GH65" i="4"/>
  <c r="GI65" i="4" s="1"/>
  <c r="GD65" i="4"/>
  <c r="GE65" i="4" s="1"/>
  <c r="FZ65" i="4"/>
  <c r="GA65" i="4" s="1"/>
  <c r="FV65" i="4"/>
  <c r="FW65" i="4" s="1"/>
  <c r="FR65" i="4"/>
  <c r="FS65" i="4" s="1"/>
  <c r="FN65" i="4"/>
  <c r="FO65" i="4" s="1"/>
  <c r="FJ65" i="4"/>
  <c r="FK65" i="4" s="1"/>
  <c r="FF65" i="4"/>
  <c r="FG65" i="4" s="1"/>
  <c r="FB65" i="4"/>
  <c r="FC65" i="4" s="1"/>
  <c r="EX65" i="4"/>
  <c r="EY65" i="4" s="1"/>
  <c r="ET65" i="4"/>
  <c r="EU65" i="4" s="1"/>
  <c r="GF65" i="4"/>
  <c r="GG65" i="4" s="1"/>
  <c r="GB65" i="4"/>
  <c r="GC65" i="4" s="1"/>
  <c r="FX65" i="4"/>
  <c r="FY65" i="4" s="1"/>
  <c r="FT65" i="4"/>
  <c r="FU65" i="4" s="1"/>
  <c r="FP65" i="4"/>
  <c r="FQ65" i="4" s="1"/>
  <c r="FL65" i="4"/>
  <c r="FM65" i="4" s="1"/>
  <c r="FH65" i="4"/>
  <c r="FI65" i="4" s="1"/>
  <c r="FD65" i="4"/>
  <c r="FE65" i="4" s="1"/>
  <c r="EZ65" i="4"/>
  <c r="FA65" i="4" s="1"/>
  <c r="EV65" i="4"/>
  <c r="EW65" i="4" s="1"/>
  <c r="ES65" i="4"/>
  <c r="DP69" i="4"/>
  <c r="DQ69" i="4" s="1"/>
  <c r="DH69" i="4"/>
  <c r="DI69" i="4" s="1"/>
  <c r="CZ69" i="4"/>
  <c r="DA69" i="4" s="1"/>
  <c r="CR69" i="4"/>
  <c r="CS69" i="4" s="1"/>
  <c r="CJ69" i="4"/>
  <c r="CK69" i="4" s="1"/>
  <c r="CB69" i="4"/>
  <c r="CC69" i="4" s="1"/>
  <c r="DN69" i="4"/>
  <c r="DO69" i="4" s="1"/>
  <c r="DF69" i="4"/>
  <c r="DG69" i="4" s="1"/>
  <c r="CX69" i="4"/>
  <c r="CY69" i="4" s="1"/>
  <c r="CP69" i="4"/>
  <c r="CQ69" i="4" s="1"/>
  <c r="CH69" i="4"/>
  <c r="CI69" i="4" s="1"/>
  <c r="CA69" i="4"/>
  <c r="DJ69" i="4"/>
  <c r="DK69" i="4" s="1"/>
  <c r="CT69" i="4"/>
  <c r="CU69" i="4" s="1"/>
  <c r="CD69" i="4"/>
  <c r="CE69" i="4" s="1"/>
  <c r="DD69" i="4"/>
  <c r="DE69" i="4" s="1"/>
  <c r="CN69" i="4"/>
  <c r="CO69" i="4" s="1"/>
  <c r="DB69" i="4"/>
  <c r="DC69" i="4" s="1"/>
  <c r="CL69" i="4"/>
  <c r="CM69" i="4" s="1"/>
  <c r="DL69" i="4"/>
  <c r="DM69" i="4" s="1"/>
  <c r="CV69" i="4"/>
  <c r="CW69" i="4" s="1"/>
  <c r="CF69" i="4"/>
  <c r="CG69" i="4" s="1"/>
  <c r="DJ67" i="4"/>
  <c r="DK67" i="4" s="1"/>
  <c r="DB67" i="4"/>
  <c r="DC67" i="4" s="1"/>
  <c r="CT67" i="4"/>
  <c r="CU67" i="4" s="1"/>
  <c r="CL67" i="4"/>
  <c r="CM67" i="4" s="1"/>
  <c r="CD67" i="4"/>
  <c r="CE67" i="4" s="1"/>
  <c r="DP67" i="4"/>
  <c r="DQ67" i="4" s="1"/>
  <c r="DH67" i="4"/>
  <c r="DI67" i="4" s="1"/>
  <c r="CZ67" i="4"/>
  <c r="DA67" i="4" s="1"/>
  <c r="CR67" i="4"/>
  <c r="CS67" i="4" s="1"/>
  <c r="CJ67" i="4"/>
  <c r="CK67" i="4" s="1"/>
  <c r="CB67" i="4"/>
  <c r="CC67" i="4" s="1"/>
  <c r="DN67" i="4"/>
  <c r="DO67" i="4" s="1"/>
  <c r="CX67" i="4"/>
  <c r="CY67" i="4" s="1"/>
  <c r="CH67" i="4"/>
  <c r="CI67" i="4" s="1"/>
  <c r="DL67" i="4"/>
  <c r="DM67" i="4" s="1"/>
  <c r="CV67" i="4"/>
  <c r="CW67" i="4" s="1"/>
  <c r="CF67" i="4"/>
  <c r="CG67" i="4" s="1"/>
  <c r="DF67" i="4"/>
  <c r="DG67" i="4" s="1"/>
  <c r="CP67" i="4"/>
  <c r="CQ67" i="4" s="1"/>
  <c r="CA67" i="4"/>
  <c r="DD67" i="4"/>
  <c r="DE67" i="4" s="1"/>
  <c r="CN67" i="4"/>
  <c r="CO67" i="4" s="1"/>
  <c r="BY21" i="4" l="1"/>
  <c r="H21" i="4"/>
  <c r="I155" i="4"/>
  <c r="L155" i="4"/>
  <c r="M155" i="4" s="1"/>
  <c r="AD155" i="4"/>
  <c r="AE155" i="4" s="1"/>
  <c r="AB155" i="4"/>
  <c r="AC155" i="4" s="1"/>
  <c r="Z155" i="4"/>
  <c r="AA155" i="4" s="1"/>
  <c r="J155" i="4"/>
  <c r="K155" i="4" s="1"/>
  <c r="P155" i="4"/>
  <c r="Q155" i="4" s="1"/>
  <c r="N155" i="4"/>
  <c r="O155" i="4" s="1"/>
  <c r="AL155" i="4"/>
  <c r="AM155" i="4" s="1"/>
  <c r="AF155" i="4"/>
  <c r="AG155" i="4" s="1"/>
  <c r="AP155" i="4"/>
  <c r="AQ155" i="4" s="1"/>
  <c r="DP153" i="4"/>
  <c r="DQ153" i="4" s="1"/>
  <c r="CA153" i="4"/>
  <c r="CP153" i="4"/>
  <c r="CQ153" i="4" s="1"/>
  <c r="DF153" i="4"/>
  <c r="DG153" i="4" s="1"/>
  <c r="CF153" i="4"/>
  <c r="CG153" i="4" s="1"/>
  <c r="CV153" i="4"/>
  <c r="CW153" i="4" s="1"/>
  <c r="DL153" i="4"/>
  <c r="DM153" i="4" s="1"/>
  <c r="CX153" i="4"/>
  <c r="CY153" i="4" s="1"/>
  <c r="CN153" i="4"/>
  <c r="CO153" i="4" s="1"/>
  <c r="CD153" i="4"/>
  <c r="CE153" i="4" s="1"/>
  <c r="CT153" i="4"/>
  <c r="CU153" i="4" s="1"/>
  <c r="DJ153" i="4"/>
  <c r="DK153" i="4" s="1"/>
  <c r="CJ153" i="4"/>
  <c r="CK153" i="4" s="1"/>
  <c r="CZ153" i="4"/>
  <c r="DA153" i="4" s="1"/>
  <c r="DN153" i="4"/>
  <c r="DO153" i="4" s="1"/>
  <c r="CL153" i="4"/>
  <c r="CM153" i="4" s="1"/>
  <c r="DB153" i="4"/>
  <c r="DC153" i="4" s="1"/>
  <c r="CB153" i="4"/>
  <c r="CC153" i="4" s="1"/>
  <c r="CR153" i="4"/>
  <c r="CS153" i="4" s="1"/>
  <c r="DH153" i="4"/>
  <c r="DI153" i="4" s="1"/>
  <c r="CH153" i="4"/>
  <c r="CI153" i="4" s="1"/>
  <c r="DD153" i="4"/>
  <c r="DE153" i="4" s="1"/>
  <c r="AJ155" i="4"/>
  <c r="AK155" i="4" s="1"/>
  <c r="AX155" i="4"/>
  <c r="AY155" i="4" s="1"/>
  <c r="AV155" i="4"/>
  <c r="AW155" i="4" s="1"/>
  <c r="R155" i="4"/>
  <c r="S155" i="4" s="1"/>
  <c r="FZ153" i="4"/>
  <c r="GA153" i="4" s="1"/>
  <c r="FJ153" i="4"/>
  <c r="FK153" i="4" s="1"/>
  <c r="ET153" i="4"/>
  <c r="EU153" i="4" s="1"/>
  <c r="EZ153" i="4"/>
  <c r="FA153" i="4" s="1"/>
  <c r="EV153" i="4"/>
  <c r="EW153" i="4" s="1"/>
  <c r="FB153" i="4"/>
  <c r="FC153" i="4" s="1"/>
  <c r="FT153" i="4"/>
  <c r="FU153" i="4" s="1"/>
  <c r="FV153" i="4"/>
  <c r="FW153" i="4" s="1"/>
  <c r="FF153" i="4"/>
  <c r="FG153" i="4" s="1"/>
  <c r="GB153" i="4"/>
  <c r="GC153" i="4" s="1"/>
  <c r="GF153" i="4"/>
  <c r="GG153" i="4" s="1"/>
  <c r="FP153" i="4"/>
  <c r="FQ153" i="4" s="1"/>
  <c r="FR153" i="4"/>
  <c r="FS153" i="4" s="1"/>
  <c r="FD153" i="4"/>
  <c r="FE153" i="4" s="1"/>
  <c r="GD153" i="4"/>
  <c r="GE153" i="4" s="1"/>
  <c r="FN153" i="4"/>
  <c r="FO153" i="4" s="1"/>
  <c r="EX153" i="4"/>
  <c r="EY153" i="4" s="1"/>
  <c r="FL153" i="4"/>
  <c r="FM153" i="4" s="1"/>
  <c r="FH153" i="4"/>
  <c r="FI153" i="4" s="1"/>
  <c r="ES153" i="4"/>
  <c r="GH153" i="4"/>
  <c r="GI153" i="4" s="1"/>
  <c r="FX153" i="4"/>
  <c r="FY153" i="4" s="1"/>
  <c r="R23" i="4"/>
  <c r="S23" i="4" s="1"/>
  <c r="T23" i="4"/>
  <c r="U23" i="4" s="1"/>
  <c r="AJ23" i="4"/>
  <c r="AK23" i="4" s="1"/>
  <c r="AV23" i="4"/>
  <c r="AW23" i="4" s="1"/>
  <c r="AL23" i="4"/>
  <c r="AM23" i="4" s="1"/>
  <c r="AF23" i="4"/>
  <c r="AG23" i="4" s="1"/>
  <c r="AB23" i="4"/>
  <c r="AC23" i="4" s="1"/>
  <c r="P23" i="4"/>
  <c r="Q23" i="4" s="1"/>
  <c r="AT23" i="4"/>
  <c r="AU23" i="4" s="1"/>
  <c r="J23" i="4"/>
  <c r="K23" i="4" s="1"/>
  <c r="AR23" i="4"/>
  <c r="AS23" i="4" s="1"/>
  <c r="Z23" i="4"/>
  <c r="AA23" i="4" s="1"/>
  <c r="DF23" i="4"/>
  <c r="DG23" i="4" s="1"/>
  <c r="AP23" i="4"/>
  <c r="AQ23" i="4" s="1"/>
  <c r="V23" i="4"/>
  <c r="W23" i="4" s="1"/>
  <c r="AN23" i="4"/>
  <c r="AO23" i="4" s="1"/>
  <c r="AD23" i="4"/>
  <c r="AE23" i="4" s="1"/>
  <c r="N23" i="4"/>
  <c r="O23" i="4" s="1"/>
  <c r="AX23" i="4"/>
  <c r="AY23" i="4" s="1"/>
  <c r="I23" i="4"/>
  <c r="CH23" i="4"/>
  <c r="CI23" i="4" s="1"/>
  <c r="CN23" i="4"/>
  <c r="CO23" i="4" s="1"/>
  <c r="CT23" i="4"/>
  <c r="CU23" i="4" s="1"/>
  <c r="DL23" i="4"/>
  <c r="DM23" i="4" s="1"/>
  <c r="CP23" i="4"/>
  <c r="CQ23" i="4" s="1"/>
  <c r="CZ23" i="4"/>
  <c r="DA23" i="4" s="1"/>
  <c r="DH23" i="4"/>
  <c r="DI23" i="4" s="1"/>
  <c r="CV23" i="4"/>
  <c r="CW23" i="4" s="1"/>
  <c r="CA23" i="4"/>
  <c r="DJ23" i="4"/>
  <c r="DK23" i="4" s="1"/>
  <c r="CB23" i="4"/>
  <c r="CC23" i="4" s="1"/>
  <c r="CX23" i="4"/>
  <c r="CY23" i="4" s="1"/>
  <c r="CF23" i="4"/>
  <c r="CG23" i="4" s="1"/>
  <c r="DD23" i="4"/>
  <c r="DE23" i="4" s="1"/>
  <c r="CD23" i="4"/>
  <c r="CE23" i="4" s="1"/>
  <c r="CJ23" i="4"/>
  <c r="CK23" i="4" s="1"/>
  <c r="CL23" i="4"/>
  <c r="CM23" i="4" s="1"/>
  <c r="CR23" i="4"/>
  <c r="CS23" i="4" s="1"/>
  <c r="DN23" i="4"/>
  <c r="DO23" i="4" s="1"/>
  <c r="DP23" i="4"/>
  <c r="DQ23" i="4" s="1"/>
  <c r="DL124" i="4"/>
  <c r="DM124" i="4" s="1"/>
  <c r="DP124" i="4"/>
  <c r="DQ124" i="4" s="1"/>
  <c r="DF124" i="4"/>
  <c r="DG124" i="4" s="1"/>
  <c r="CX124" i="4"/>
  <c r="CY124" i="4" s="1"/>
  <c r="CP124" i="4"/>
  <c r="CQ124" i="4" s="1"/>
  <c r="CH124" i="4"/>
  <c r="CI124" i="4" s="1"/>
  <c r="CA124" i="4"/>
  <c r="DB124" i="4"/>
  <c r="DC124" i="4" s="1"/>
  <c r="CL124" i="4"/>
  <c r="CM124" i="4" s="1"/>
  <c r="DN124" i="4"/>
  <c r="DO124" i="4" s="1"/>
  <c r="DD124" i="4"/>
  <c r="DE124" i="4" s="1"/>
  <c r="CV124" i="4"/>
  <c r="CW124" i="4" s="1"/>
  <c r="CN124" i="4"/>
  <c r="CO124" i="4" s="1"/>
  <c r="CF124" i="4"/>
  <c r="CG124" i="4" s="1"/>
  <c r="DH124" i="4"/>
  <c r="DI124" i="4" s="1"/>
  <c r="CZ124" i="4"/>
  <c r="DA124" i="4" s="1"/>
  <c r="CR124" i="4"/>
  <c r="CS124" i="4" s="1"/>
  <c r="CJ124" i="4"/>
  <c r="CK124" i="4" s="1"/>
  <c r="CB124" i="4"/>
  <c r="CC124" i="4" s="1"/>
  <c r="DJ124" i="4"/>
  <c r="DK124" i="4" s="1"/>
  <c r="CT124" i="4"/>
  <c r="CU124" i="4" s="1"/>
  <c r="CD124" i="4"/>
  <c r="CE124" i="4" s="1"/>
  <c r="FD124" i="4"/>
  <c r="FE124" i="4" s="1"/>
  <c r="GB124" i="4"/>
  <c r="GC124" i="4" s="1"/>
  <c r="EV124" i="4"/>
  <c r="EW124" i="4" s="1"/>
  <c r="FJ124" i="4"/>
  <c r="FK124" i="4" s="1"/>
  <c r="ET124" i="4"/>
  <c r="EU124" i="4" s="1"/>
  <c r="GF124" i="4"/>
  <c r="GG124" i="4" s="1"/>
  <c r="FP124" i="4"/>
  <c r="FQ124" i="4" s="1"/>
  <c r="EZ124" i="4"/>
  <c r="FA124" i="4" s="1"/>
  <c r="GD124" i="4"/>
  <c r="GE124" i="4" s="1"/>
  <c r="FN124" i="4"/>
  <c r="FO124" i="4" s="1"/>
  <c r="EX124" i="4"/>
  <c r="EY124" i="4" s="1"/>
  <c r="FZ124" i="4"/>
  <c r="GA124" i="4" s="1"/>
  <c r="FX124" i="4"/>
  <c r="FY124" i="4" s="1"/>
  <c r="FH124" i="4"/>
  <c r="FI124" i="4" s="1"/>
  <c r="ES124" i="4"/>
  <c r="FV124" i="4"/>
  <c r="FW124" i="4" s="1"/>
  <c r="FF124" i="4"/>
  <c r="FG124" i="4" s="1"/>
  <c r="FT124" i="4"/>
  <c r="FU124" i="4" s="1"/>
  <c r="GH124" i="4"/>
  <c r="GI124" i="4" s="1"/>
  <c r="FR124" i="4"/>
  <c r="FS124" i="4" s="1"/>
  <c r="FB124" i="4"/>
  <c r="FC124" i="4" s="1"/>
  <c r="FL124" i="4"/>
  <c r="FM124" i="4" s="1"/>
  <c r="CH127" i="4"/>
  <c r="CI127" i="4" s="1"/>
  <c r="Z127" i="4"/>
  <c r="AA127" i="4" s="1"/>
  <c r="AV127" i="4"/>
  <c r="AW127" i="4" s="1"/>
  <c r="AJ127" i="4"/>
  <c r="AK127" i="4" s="1"/>
  <c r="I127" i="4"/>
  <c r="GH45" i="4"/>
  <c r="GI45" i="4" s="1"/>
  <c r="FJ45" i="4"/>
  <c r="FK45" i="4" s="1"/>
  <c r="FT45" i="4"/>
  <c r="FU45" i="4" s="1"/>
  <c r="FD45" i="4"/>
  <c r="FE45" i="4" s="1"/>
  <c r="FN45" i="4"/>
  <c r="FO45" i="4" s="1"/>
  <c r="FB45" i="4"/>
  <c r="FC45" i="4" s="1"/>
  <c r="FH45" i="4"/>
  <c r="FI45" i="4" s="1"/>
  <c r="FR45" i="4"/>
  <c r="FS45" i="4" s="1"/>
  <c r="GF45" i="4"/>
  <c r="GG45" i="4" s="1"/>
  <c r="FP45" i="4"/>
  <c r="FQ45" i="4" s="1"/>
  <c r="EZ45" i="4"/>
  <c r="FA45" i="4" s="1"/>
  <c r="FV45" i="4"/>
  <c r="FW45" i="4" s="1"/>
  <c r="ET45" i="4"/>
  <c r="EU45" i="4" s="1"/>
  <c r="FZ45" i="4"/>
  <c r="GA45" i="4" s="1"/>
  <c r="GB45" i="4"/>
  <c r="GC45" i="4" s="1"/>
  <c r="FL45" i="4"/>
  <c r="FM45" i="4" s="1"/>
  <c r="EV45" i="4"/>
  <c r="EW45" i="4" s="1"/>
  <c r="EX45" i="4"/>
  <c r="EY45" i="4" s="1"/>
  <c r="GD45" i="4"/>
  <c r="GE45" i="4" s="1"/>
  <c r="FX45" i="4"/>
  <c r="FY45" i="4" s="1"/>
  <c r="ES45" i="4"/>
  <c r="FF45" i="4"/>
  <c r="FG45" i="4" s="1"/>
  <c r="DP46" i="4"/>
  <c r="DQ46" i="4" s="1"/>
  <c r="DH46" i="4"/>
  <c r="DI46" i="4" s="1"/>
  <c r="CZ46" i="4"/>
  <c r="DA46" i="4" s="1"/>
  <c r="CR46" i="4"/>
  <c r="CS46" i="4" s="1"/>
  <c r="CJ46" i="4"/>
  <c r="CK46" i="4" s="1"/>
  <c r="CB46" i="4"/>
  <c r="CC46" i="4" s="1"/>
  <c r="DL46" i="4"/>
  <c r="DM46" i="4" s="1"/>
  <c r="DD46" i="4"/>
  <c r="DE46" i="4" s="1"/>
  <c r="CV46" i="4"/>
  <c r="CW46" i="4" s="1"/>
  <c r="CN46" i="4"/>
  <c r="CO46" i="4" s="1"/>
  <c r="CF46" i="4"/>
  <c r="CG46" i="4" s="1"/>
  <c r="DN46" i="4"/>
  <c r="DO46" i="4" s="1"/>
  <c r="DF46" i="4"/>
  <c r="DG46" i="4" s="1"/>
  <c r="CX46" i="4"/>
  <c r="CY46" i="4" s="1"/>
  <c r="CP46" i="4"/>
  <c r="CQ46" i="4" s="1"/>
  <c r="CH46" i="4"/>
  <c r="CI46" i="4" s="1"/>
  <c r="CA46" i="4"/>
  <c r="DJ46" i="4"/>
  <c r="DK46" i="4" s="1"/>
  <c r="DB46" i="4"/>
  <c r="DC46" i="4" s="1"/>
  <c r="CT46" i="4"/>
  <c r="CU46" i="4" s="1"/>
  <c r="CL46" i="4"/>
  <c r="CM46" i="4" s="1"/>
  <c r="CD46" i="4"/>
  <c r="CE46" i="4" s="1"/>
  <c r="FD46" i="4"/>
  <c r="FE46" i="4" s="1"/>
  <c r="FV46" i="4"/>
  <c r="FW46" i="4" s="1"/>
  <c r="FF46" i="4"/>
  <c r="FG46" i="4" s="1"/>
  <c r="GF46" i="4"/>
  <c r="GG46" i="4" s="1"/>
  <c r="EZ46" i="4"/>
  <c r="FA46" i="4" s="1"/>
  <c r="FZ46" i="4"/>
  <c r="GA46" i="4" s="1"/>
  <c r="FL46" i="4"/>
  <c r="FM46" i="4" s="1"/>
  <c r="GH46" i="4"/>
  <c r="GI46" i="4" s="1"/>
  <c r="FR46" i="4"/>
  <c r="FS46" i="4" s="1"/>
  <c r="FB46" i="4"/>
  <c r="FC46" i="4" s="1"/>
  <c r="FP46" i="4"/>
  <c r="FQ46" i="4" s="1"/>
  <c r="ES46" i="4"/>
  <c r="EV46" i="4"/>
  <c r="EW46" i="4" s="1"/>
  <c r="FT46" i="4"/>
  <c r="FU46" i="4" s="1"/>
  <c r="FJ46" i="4"/>
  <c r="FK46" i="4" s="1"/>
  <c r="ET46" i="4"/>
  <c r="EU46" i="4" s="1"/>
  <c r="GD46" i="4"/>
  <c r="GE46" i="4" s="1"/>
  <c r="FN46" i="4"/>
  <c r="FO46" i="4" s="1"/>
  <c r="EX46" i="4"/>
  <c r="EY46" i="4" s="1"/>
  <c r="GB46" i="4"/>
  <c r="GC46" i="4" s="1"/>
  <c r="FX46" i="4"/>
  <c r="FY46" i="4" s="1"/>
  <c r="FH46" i="4"/>
  <c r="FI46" i="4" s="1"/>
  <c r="DJ45" i="4"/>
  <c r="DK45" i="4" s="1"/>
  <c r="CH45" i="4"/>
  <c r="CI45" i="4" s="1"/>
  <c r="CX45" i="4"/>
  <c r="CY45" i="4" s="1"/>
  <c r="DF45" i="4"/>
  <c r="DG45" i="4" s="1"/>
  <c r="CA45" i="4"/>
  <c r="CP45" i="4"/>
  <c r="CQ45" i="4" s="1"/>
  <c r="CV45" i="4"/>
  <c r="CW45" i="4" s="1"/>
  <c r="CJ45" i="4"/>
  <c r="CK45" i="4" s="1"/>
  <c r="DP45" i="4"/>
  <c r="DQ45" i="4" s="1"/>
  <c r="DB45" i="4"/>
  <c r="DC45" i="4" s="1"/>
  <c r="CN45" i="4"/>
  <c r="CO45" i="4" s="1"/>
  <c r="DN45" i="4"/>
  <c r="DO45" i="4" s="1"/>
  <c r="DD45" i="4"/>
  <c r="DE45" i="4" s="1"/>
  <c r="CR45" i="4"/>
  <c r="CS45" i="4" s="1"/>
  <c r="CD45" i="4"/>
  <c r="CE45" i="4" s="1"/>
  <c r="DH45" i="4"/>
  <c r="DI45" i="4" s="1"/>
  <c r="CF45" i="4"/>
  <c r="CG45" i="4" s="1"/>
  <c r="DL45" i="4"/>
  <c r="DM45" i="4" s="1"/>
  <c r="CZ45" i="4"/>
  <c r="DA45" i="4" s="1"/>
  <c r="CL45" i="4"/>
  <c r="CM45" i="4" s="1"/>
  <c r="CB45" i="4"/>
  <c r="CC45" i="4" s="1"/>
  <c r="CT45" i="4"/>
  <c r="CU45" i="4" s="1"/>
  <c r="FT38" i="4"/>
  <c r="FU38" i="4" s="1"/>
  <c r="FD38" i="4"/>
  <c r="FE38" i="4" s="1"/>
  <c r="GH38" i="4"/>
  <c r="GI38" i="4" s="1"/>
  <c r="FR38" i="4"/>
  <c r="FS38" i="4" s="1"/>
  <c r="FB38" i="4"/>
  <c r="FC38" i="4" s="1"/>
  <c r="GF38" i="4"/>
  <c r="GG38" i="4" s="1"/>
  <c r="FP38" i="4"/>
  <c r="FQ38" i="4" s="1"/>
  <c r="EZ38" i="4"/>
  <c r="FA38" i="4" s="1"/>
  <c r="GD38" i="4"/>
  <c r="GE38" i="4" s="1"/>
  <c r="FN38" i="4"/>
  <c r="FO38" i="4" s="1"/>
  <c r="EX38" i="4"/>
  <c r="EY38" i="4" s="1"/>
  <c r="GB38" i="4"/>
  <c r="GC38" i="4" s="1"/>
  <c r="FL38" i="4"/>
  <c r="FM38" i="4" s="1"/>
  <c r="EV38" i="4"/>
  <c r="EW38" i="4" s="1"/>
  <c r="FZ38" i="4"/>
  <c r="GA38" i="4" s="1"/>
  <c r="FJ38" i="4"/>
  <c r="FK38" i="4" s="1"/>
  <c r="ET38" i="4"/>
  <c r="EU38" i="4" s="1"/>
  <c r="FX38" i="4"/>
  <c r="FY38" i="4" s="1"/>
  <c r="FH38" i="4"/>
  <c r="FI38" i="4" s="1"/>
  <c r="ES38" i="4"/>
  <c r="FV38" i="4"/>
  <c r="FW38" i="4" s="1"/>
  <c r="FF38" i="4"/>
  <c r="FG38" i="4" s="1"/>
  <c r="DN38" i="4"/>
  <c r="DO38" i="4" s="1"/>
  <c r="DF38" i="4"/>
  <c r="DG38" i="4" s="1"/>
  <c r="CX38" i="4"/>
  <c r="CY38" i="4" s="1"/>
  <c r="CP38" i="4"/>
  <c r="CQ38" i="4" s="1"/>
  <c r="CH38" i="4"/>
  <c r="CI38" i="4" s="1"/>
  <c r="CA38" i="4"/>
  <c r="DB38" i="4"/>
  <c r="DC38" i="4" s="1"/>
  <c r="CD38" i="4"/>
  <c r="CE38" i="4" s="1"/>
  <c r="DL38" i="4"/>
  <c r="DM38" i="4" s="1"/>
  <c r="DD38" i="4"/>
  <c r="DE38" i="4" s="1"/>
  <c r="CV38" i="4"/>
  <c r="CW38" i="4" s="1"/>
  <c r="CN38" i="4"/>
  <c r="CO38" i="4" s="1"/>
  <c r="CF38" i="4"/>
  <c r="CG38" i="4" s="1"/>
  <c r="CT38" i="4"/>
  <c r="CU38" i="4" s="1"/>
  <c r="DP38" i="4"/>
  <c r="DQ38" i="4" s="1"/>
  <c r="DH38" i="4"/>
  <c r="DI38" i="4" s="1"/>
  <c r="CZ38" i="4"/>
  <c r="DA38" i="4" s="1"/>
  <c r="CR38" i="4"/>
  <c r="CS38" i="4" s="1"/>
  <c r="CJ38" i="4"/>
  <c r="CK38" i="4" s="1"/>
  <c r="CB38" i="4"/>
  <c r="CC38" i="4" s="1"/>
  <c r="DJ38" i="4"/>
  <c r="DK38" i="4" s="1"/>
  <c r="CL38" i="4"/>
  <c r="CM38" i="4" s="1"/>
  <c r="CP127" i="4"/>
  <c r="CQ127" i="4" s="1"/>
  <c r="CR127" i="4"/>
  <c r="CS127" i="4" s="1"/>
  <c r="X127" i="4"/>
  <c r="Y127" i="4" s="1"/>
  <c r="CB127" i="4"/>
  <c r="CC127" i="4" s="1"/>
  <c r="CV127" i="4"/>
  <c r="CW127" i="4" s="1"/>
  <c r="AP127" i="4"/>
  <c r="AQ127" i="4" s="1"/>
  <c r="AN127" i="4"/>
  <c r="AO127" i="4" s="1"/>
  <c r="CD127" i="4"/>
  <c r="CE127" i="4" s="1"/>
  <c r="DD127" i="4"/>
  <c r="DE127" i="4" s="1"/>
  <c r="AR127" i="4"/>
  <c r="AS127" i="4" s="1"/>
  <c r="L127" i="4"/>
  <c r="M127" i="4" s="1"/>
  <c r="P127" i="4"/>
  <c r="Q127" i="4" s="1"/>
  <c r="CJ127" i="4"/>
  <c r="CK127" i="4" s="1"/>
  <c r="DF127" i="4"/>
  <c r="DG127" i="4" s="1"/>
  <c r="CL127" i="4"/>
  <c r="CM127" i="4" s="1"/>
  <c r="DP127" i="4"/>
  <c r="DQ127" i="4" s="1"/>
  <c r="AX127" i="4"/>
  <c r="AY127" i="4" s="1"/>
  <c r="AT127" i="4"/>
  <c r="AU127" i="4" s="1"/>
  <c r="T127" i="4"/>
  <c r="U127" i="4" s="1"/>
  <c r="AF127" i="4"/>
  <c r="AG127" i="4" s="1"/>
  <c r="CA127" i="4"/>
  <c r="DN127" i="4"/>
  <c r="DO127" i="4" s="1"/>
  <c r="CT127" i="4"/>
  <c r="CU127" i="4" s="1"/>
  <c r="CN127" i="4"/>
  <c r="CO127" i="4" s="1"/>
  <c r="V127" i="4"/>
  <c r="W127" i="4" s="1"/>
  <c r="N127" i="4"/>
  <c r="O127" i="4" s="1"/>
  <c r="CZ127" i="4"/>
  <c r="DA127" i="4" s="1"/>
  <c r="CX127" i="4"/>
  <c r="CY127" i="4" s="1"/>
  <c r="DH127" i="4"/>
  <c r="DI127" i="4" s="1"/>
  <c r="DB127" i="4"/>
  <c r="DC127" i="4" s="1"/>
  <c r="CF127" i="4"/>
  <c r="CG127" i="4" s="1"/>
  <c r="AH127" i="4"/>
  <c r="AI127" i="4" s="1"/>
  <c r="AL127" i="4"/>
  <c r="AM127" i="4" s="1"/>
  <c r="J127" i="4"/>
  <c r="K127" i="4" s="1"/>
  <c r="R127" i="4"/>
  <c r="S127" i="4" s="1"/>
  <c r="AB127" i="4"/>
  <c r="AC127" i="4" s="1"/>
  <c r="BZ26" i="4"/>
  <c r="EQ26" i="4"/>
  <c r="ER26" i="4" s="1"/>
  <c r="AH26" i="4"/>
  <c r="AI26" i="4" s="1"/>
  <c r="AD26" i="4"/>
  <c r="AE26" i="4" s="1"/>
  <c r="X26" i="4"/>
  <c r="Y26" i="4" s="1"/>
  <c r="V26" i="4"/>
  <c r="W26" i="4" s="1"/>
  <c r="J26" i="4"/>
  <c r="K26" i="4" s="1"/>
  <c r="AX26" i="4"/>
  <c r="AY26" i="4" s="1"/>
  <c r="AL26" i="4"/>
  <c r="AM26" i="4" s="1"/>
  <c r="AF26" i="4"/>
  <c r="AG26" i="4" s="1"/>
  <c r="AT26" i="4"/>
  <c r="AU26" i="4" s="1"/>
  <c r="AP26" i="4"/>
  <c r="AQ26" i="4" s="1"/>
  <c r="N26" i="4"/>
  <c r="O26" i="4" s="1"/>
  <c r="I26" i="4"/>
  <c r="AV26" i="4"/>
  <c r="AW26" i="4" s="1"/>
  <c r="AN26" i="4"/>
  <c r="AO26" i="4" s="1"/>
  <c r="AB26" i="4"/>
  <c r="AC26" i="4" s="1"/>
  <c r="Z26" i="4"/>
  <c r="AA26" i="4" s="1"/>
  <c r="T26" i="4"/>
  <c r="U26" i="4" s="1"/>
  <c r="AR26" i="4"/>
  <c r="AS26" i="4" s="1"/>
  <c r="AJ26" i="4"/>
  <c r="AK26" i="4" s="1"/>
  <c r="L26" i="4"/>
  <c r="M26" i="4" s="1"/>
  <c r="P26" i="4"/>
  <c r="Q26" i="4" s="1"/>
  <c r="R26" i="4"/>
  <c r="S26" i="4" s="1"/>
  <c r="DL144" i="4"/>
  <c r="DM144" i="4" s="1"/>
  <c r="CV144" i="4"/>
  <c r="CW144" i="4" s="1"/>
  <c r="CF144" i="4"/>
  <c r="CG144" i="4" s="1"/>
  <c r="DF144" i="4"/>
  <c r="DG144" i="4" s="1"/>
  <c r="CP144" i="4"/>
  <c r="CQ144" i="4" s="1"/>
  <c r="CA144" i="4"/>
  <c r="DH144" i="4"/>
  <c r="DI144" i="4" s="1"/>
  <c r="CR144" i="4"/>
  <c r="CS144" i="4" s="1"/>
  <c r="CB144" i="4"/>
  <c r="CC144" i="4" s="1"/>
  <c r="DB144" i="4"/>
  <c r="DC144" i="4" s="1"/>
  <c r="CL144" i="4"/>
  <c r="CM144" i="4" s="1"/>
  <c r="DD144" i="4"/>
  <c r="DE144" i="4" s="1"/>
  <c r="CN144" i="4"/>
  <c r="CO144" i="4" s="1"/>
  <c r="DN144" i="4"/>
  <c r="DO144" i="4" s="1"/>
  <c r="CX144" i="4"/>
  <c r="CY144" i="4" s="1"/>
  <c r="CH144" i="4"/>
  <c r="CI144" i="4" s="1"/>
  <c r="DP144" i="4"/>
  <c r="DQ144" i="4" s="1"/>
  <c r="CZ144" i="4"/>
  <c r="DA144" i="4" s="1"/>
  <c r="CJ144" i="4"/>
  <c r="CK144" i="4" s="1"/>
  <c r="DJ144" i="4"/>
  <c r="DK144" i="4" s="1"/>
  <c r="CT144" i="4"/>
  <c r="CU144" i="4" s="1"/>
  <c r="CD144" i="4"/>
  <c r="CE144" i="4" s="1"/>
  <c r="GB144" i="4"/>
  <c r="GC144" i="4" s="1"/>
  <c r="FL144" i="4"/>
  <c r="FM144" i="4" s="1"/>
  <c r="EV144" i="4"/>
  <c r="EW144" i="4" s="1"/>
  <c r="FZ144" i="4"/>
  <c r="GA144" i="4" s="1"/>
  <c r="FJ144" i="4"/>
  <c r="FK144" i="4" s="1"/>
  <c r="ET144" i="4"/>
  <c r="EU144" i="4" s="1"/>
  <c r="FX144" i="4"/>
  <c r="FY144" i="4" s="1"/>
  <c r="FH144" i="4"/>
  <c r="FI144" i="4" s="1"/>
  <c r="ES144" i="4"/>
  <c r="FV144" i="4"/>
  <c r="FW144" i="4" s="1"/>
  <c r="FF144" i="4"/>
  <c r="FG144" i="4" s="1"/>
  <c r="FT144" i="4"/>
  <c r="FU144" i="4" s="1"/>
  <c r="FD144" i="4"/>
  <c r="FE144" i="4" s="1"/>
  <c r="GH144" i="4"/>
  <c r="GI144" i="4" s="1"/>
  <c r="FR144" i="4"/>
  <c r="FS144" i="4" s="1"/>
  <c r="FB144" i="4"/>
  <c r="FC144" i="4" s="1"/>
  <c r="GF144" i="4"/>
  <c r="GG144" i="4" s="1"/>
  <c r="FP144" i="4"/>
  <c r="FQ144" i="4" s="1"/>
  <c r="EZ144" i="4"/>
  <c r="FA144" i="4" s="1"/>
  <c r="GD144" i="4"/>
  <c r="GE144" i="4" s="1"/>
  <c r="FN144" i="4"/>
  <c r="FO144" i="4" s="1"/>
  <c r="EX144" i="4"/>
  <c r="EY144" i="4" s="1"/>
  <c r="G146" i="4"/>
  <c r="D148" i="4"/>
  <c r="BY145" i="4"/>
  <c r="H145" i="4"/>
  <c r="BY133" i="4"/>
  <c r="H133" i="4"/>
  <c r="G134" i="4"/>
  <c r="BY94" i="4"/>
  <c r="H94" i="4"/>
  <c r="G95" i="4"/>
  <c r="AT54" i="4"/>
  <c r="AU54" i="4" s="1"/>
  <c r="AD54" i="4"/>
  <c r="AE54" i="4" s="1"/>
  <c r="Z54" i="4"/>
  <c r="AA54" i="4" s="1"/>
  <c r="V54" i="4"/>
  <c r="W54" i="4" s="1"/>
  <c r="L54" i="4"/>
  <c r="M54" i="4" s="1"/>
  <c r="AN54" i="4"/>
  <c r="AO54" i="4" s="1"/>
  <c r="J54" i="4"/>
  <c r="K54" i="4" s="1"/>
  <c r="AX54" i="4"/>
  <c r="AY54" i="4" s="1"/>
  <c r="AV54" i="4"/>
  <c r="AW54" i="4" s="1"/>
  <c r="AP54" i="4"/>
  <c r="AQ54" i="4" s="1"/>
  <c r="AJ54" i="4"/>
  <c r="AK54" i="4" s="1"/>
  <c r="AH54" i="4"/>
  <c r="AI54" i="4" s="1"/>
  <c r="P54" i="4"/>
  <c r="Q54" i="4" s="1"/>
  <c r="N54" i="4"/>
  <c r="O54" i="4" s="1"/>
  <c r="AL54" i="4"/>
  <c r="AM54" i="4" s="1"/>
  <c r="R54" i="4"/>
  <c r="S54" i="4" s="1"/>
  <c r="AB54" i="4"/>
  <c r="AC54" i="4" s="1"/>
  <c r="X54" i="4"/>
  <c r="Y54" i="4" s="1"/>
  <c r="T54" i="4"/>
  <c r="U54" i="4" s="1"/>
  <c r="I54" i="4"/>
  <c r="AR54" i="4"/>
  <c r="AS54" i="4" s="1"/>
  <c r="AF54" i="4"/>
  <c r="AG54" i="4" s="1"/>
  <c r="EQ54" i="4"/>
  <c r="ER54" i="4" s="1"/>
  <c r="BZ54" i="4"/>
  <c r="AR19" i="4"/>
  <c r="AS19" i="4" s="1"/>
  <c r="AJ19" i="4"/>
  <c r="AK19" i="4" s="1"/>
  <c r="R19" i="4"/>
  <c r="S19" i="4" s="1"/>
  <c r="J19" i="4"/>
  <c r="K19" i="4" s="1"/>
  <c r="I19" i="4"/>
  <c r="AT19" i="4"/>
  <c r="AU19" i="4" s="1"/>
  <c r="AN19" i="4"/>
  <c r="AO19" i="4" s="1"/>
  <c r="AH19" i="4"/>
  <c r="AI19" i="4" s="1"/>
  <c r="V19" i="4"/>
  <c r="W19" i="4" s="1"/>
  <c r="AF19" i="4"/>
  <c r="AG19" i="4" s="1"/>
  <c r="P19" i="4"/>
  <c r="Q19" i="4" s="1"/>
  <c r="AX19" i="4"/>
  <c r="AY19" i="4" s="1"/>
  <c r="AD19" i="4"/>
  <c r="AE19" i="4" s="1"/>
  <c r="AV19" i="4"/>
  <c r="AW19" i="4" s="1"/>
  <c r="AL19" i="4"/>
  <c r="AM19" i="4" s="1"/>
  <c r="Z19" i="4"/>
  <c r="AA19" i="4" s="1"/>
  <c r="X19" i="4"/>
  <c r="Y19" i="4" s="1"/>
  <c r="N19" i="4"/>
  <c r="O19" i="4" s="1"/>
  <c r="L19" i="4"/>
  <c r="M19" i="4" s="1"/>
  <c r="AP19" i="4"/>
  <c r="AQ19" i="4" s="1"/>
  <c r="AB19" i="4"/>
  <c r="AC19" i="4" s="1"/>
  <c r="T19" i="4"/>
  <c r="U19" i="4" s="1"/>
  <c r="BZ19" i="4"/>
  <c r="EQ19" i="4"/>
  <c r="ER19" i="4" s="1"/>
  <c r="DN82" i="4"/>
  <c r="DO82" i="4" s="1"/>
  <c r="CX82" i="4"/>
  <c r="CY82" i="4" s="1"/>
  <c r="CH82" i="4"/>
  <c r="CI82" i="4" s="1"/>
  <c r="DL82" i="4"/>
  <c r="DM82" i="4" s="1"/>
  <c r="CV82" i="4"/>
  <c r="CW82" i="4" s="1"/>
  <c r="CF82" i="4"/>
  <c r="CG82" i="4" s="1"/>
  <c r="DD82" i="4"/>
  <c r="DE82" i="4" s="1"/>
  <c r="DJ82" i="4"/>
  <c r="DK82" i="4" s="1"/>
  <c r="CT82" i="4"/>
  <c r="CU82" i="4" s="1"/>
  <c r="CD82" i="4"/>
  <c r="CE82" i="4" s="1"/>
  <c r="DH82" i="4"/>
  <c r="DI82" i="4" s="1"/>
  <c r="CR82" i="4"/>
  <c r="CS82" i="4" s="1"/>
  <c r="CB82" i="4"/>
  <c r="CC82" i="4" s="1"/>
  <c r="DF82" i="4"/>
  <c r="DG82" i="4" s="1"/>
  <c r="CP82" i="4"/>
  <c r="CQ82" i="4" s="1"/>
  <c r="CA82" i="4"/>
  <c r="CN82" i="4"/>
  <c r="CO82" i="4" s="1"/>
  <c r="DB82" i="4"/>
  <c r="DC82" i="4" s="1"/>
  <c r="CL82" i="4"/>
  <c r="CM82" i="4" s="1"/>
  <c r="DP82" i="4"/>
  <c r="DQ82" i="4" s="1"/>
  <c r="CZ82" i="4"/>
  <c r="DA82" i="4" s="1"/>
  <c r="CJ82" i="4"/>
  <c r="CK82" i="4" s="1"/>
  <c r="FX82" i="4"/>
  <c r="FY82" i="4" s="1"/>
  <c r="FH82" i="4"/>
  <c r="FI82" i="4" s="1"/>
  <c r="ES82" i="4"/>
  <c r="FP82" i="4"/>
  <c r="FQ82" i="4" s="1"/>
  <c r="EZ82" i="4"/>
  <c r="FA82" i="4" s="1"/>
  <c r="GF82" i="4"/>
  <c r="GG82" i="4" s="1"/>
  <c r="FL82" i="4"/>
  <c r="FM82" i="4" s="1"/>
  <c r="EV82" i="4"/>
  <c r="EW82" i="4" s="1"/>
  <c r="FD82" i="4"/>
  <c r="FE82" i="4" s="1"/>
  <c r="FT82" i="4"/>
  <c r="FU82" i="4" s="1"/>
  <c r="GB82" i="4"/>
  <c r="GC82" i="4" s="1"/>
  <c r="FJ82" i="4"/>
  <c r="FK82" i="4" s="1"/>
  <c r="ET82" i="4"/>
  <c r="EU82" i="4" s="1"/>
  <c r="GD82" i="4"/>
  <c r="GE82" i="4" s="1"/>
  <c r="FB82" i="4"/>
  <c r="FC82" i="4" s="1"/>
  <c r="GH82" i="4"/>
  <c r="GI82" i="4" s="1"/>
  <c r="FV82" i="4"/>
  <c r="FW82" i="4" s="1"/>
  <c r="FF82" i="4"/>
  <c r="FG82" i="4" s="1"/>
  <c r="FR82" i="4"/>
  <c r="FS82" i="4" s="1"/>
  <c r="FZ82" i="4"/>
  <c r="GA82" i="4" s="1"/>
  <c r="FN82" i="4"/>
  <c r="FO82" i="4" s="1"/>
  <c r="EX82" i="4"/>
  <c r="EY82" i="4" s="1"/>
  <c r="FV76" i="4"/>
  <c r="FW76" i="4" s="1"/>
  <c r="FF76" i="4"/>
  <c r="FG76" i="4" s="1"/>
  <c r="GF76" i="4"/>
  <c r="GG76" i="4" s="1"/>
  <c r="FP76" i="4"/>
  <c r="FQ76" i="4" s="1"/>
  <c r="EZ76" i="4"/>
  <c r="FA76" i="4" s="1"/>
  <c r="FX76" i="4"/>
  <c r="FY76" i="4" s="1"/>
  <c r="ES76" i="4"/>
  <c r="GH76" i="4"/>
  <c r="GI76" i="4" s="1"/>
  <c r="FR76" i="4"/>
  <c r="FS76" i="4" s="1"/>
  <c r="FB76" i="4"/>
  <c r="FC76" i="4" s="1"/>
  <c r="GB76" i="4"/>
  <c r="GC76" i="4" s="1"/>
  <c r="FL76" i="4"/>
  <c r="FM76" i="4" s="1"/>
  <c r="EV76" i="4"/>
  <c r="EW76" i="4" s="1"/>
  <c r="GD76" i="4"/>
  <c r="GE76" i="4" s="1"/>
  <c r="FN76" i="4"/>
  <c r="FO76" i="4" s="1"/>
  <c r="EX76" i="4"/>
  <c r="EY76" i="4" s="1"/>
  <c r="FH76" i="4"/>
  <c r="FI76" i="4" s="1"/>
  <c r="FZ76" i="4"/>
  <c r="GA76" i="4" s="1"/>
  <c r="FJ76" i="4"/>
  <c r="FK76" i="4" s="1"/>
  <c r="ET76" i="4"/>
  <c r="EU76" i="4" s="1"/>
  <c r="FT76" i="4"/>
  <c r="FU76" i="4" s="1"/>
  <c r="FD76" i="4"/>
  <c r="FE76" i="4" s="1"/>
  <c r="DF76" i="4"/>
  <c r="DG76" i="4" s="1"/>
  <c r="CT76" i="4"/>
  <c r="CU76" i="4" s="1"/>
  <c r="CD76" i="4"/>
  <c r="CE76" i="4" s="1"/>
  <c r="CX76" i="4"/>
  <c r="CY76" i="4" s="1"/>
  <c r="CH76" i="4"/>
  <c r="CI76" i="4" s="1"/>
  <c r="DJ76" i="4"/>
  <c r="DK76" i="4" s="1"/>
  <c r="CL76" i="4"/>
  <c r="CM76" i="4" s="1"/>
  <c r="DN76" i="4"/>
  <c r="DO76" i="4" s="1"/>
  <c r="DB76" i="4"/>
  <c r="DC76" i="4" s="1"/>
  <c r="DD76" i="4"/>
  <c r="DE76" i="4" s="1"/>
  <c r="CN76" i="4"/>
  <c r="CO76" i="4" s="1"/>
  <c r="CP76" i="4"/>
  <c r="CQ76" i="4" s="1"/>
  <c r="DL76" i="4"/>
  <c r="DM76" i="4" s="1"/>
  <c r="CV76" i="4"/>
  <c r="CW76" i="4" s="1"/>
  <c r="CA76" i="4"/>
  <c r="DP76" i="4"/>
  <c r="DQ76" i="4" s="1"/>
  <c r="CZ76" i="4"/>
  <c r="DA76" i="4" s="1"/>
  <c r="CJ76" i="4"/>
  <c r="CK76" i="4" s="1"/>
  <c r="CF76" i="4"/>
  <c r="CG76" i="4" s="1"/>
  <c r="DH76" i="4"/>
  <c r="DI76" i="4" s="1"/>
  <c r="CR76" i="4"/>
  <c r="CS76" i="4" s="1"/>
  <c r="CB76" i="4"/>
  <c r="CC76" i="4" s="1"/>
  <c r="DL89" i="4"/>
  <c r="DM89" i="4" s="1"/>
  <c r="CV89" i="4"/>
  <c r="CW89" i="4" s="1"/>
  <c r="CF89" i="4"/>
  <c r="CG89" i="4" s="1"/>
  <c r="DF89" i="4"/>
  <c r="DG89" i="4" s="1"/>
  <c r="CP89" i="4"/>
  <c r="CQ89" i="4" s="1"/>
  <c r="CA89" i="4"/>
  <c r="DD89" i="4"/>
  <c r="DE89" i="4" s="1"/>
  <c r="DH89" i="4"/>
  <c r="DI89" i="4" s="1"/>
  <c r="CR89" i="4"/>
  <c r="CS89" i="4" s="1"/>
  <c r="CB89" i="4"/>
  <c r="CC89" i="4" s="1"/>
  <c r="DB89" i="4"/>
  <c r="DC89" i="4" s="1"/>
  <c r="CL89" i="4"/>
  <c r="CM89" i="4" s="1"/>
  <c r="CN89" i="4"/>
  <c r="CO89" i="4" s="1"/>
  <c r="CX89" i="4"/>
  <c r="CY89" i="4" s="1"/>
  <c r="DP89" i="4"/>
  <c r="DQ89" i="4" s="1"/>
  <c r="CZ89" i="4"/>
  <c r="DA89" i="4" s="1"/>
  <c r="CJ89" i="4"/>
  <c r="CK89" i="4" s="1"/>
  <c r="DJ89" i="4"/>
  <c r="DK89" i="4" s="1"/>
  <c r="CT89" i="4"/>
  <c r="CU89" i="4" s="1"/>
  <c r="CD89" i="4"/>
  <c r="CE89" i="4" s="1"/>
  <c r="DN89" i="4"/>
  <c r="DO89" i="4" s="1"/>
  <c r="CH89" i="4"/>
  <c r="CI89" i="4" s="1"/>
  <c r="GH89" i="4"/>
  <c r="GI89" i="4" s="1"/>
  <c r="FR89" i="4"/>
  <c r="FS89" i="4" s="1"/>
  <c r="FB89" i="4"/>
  <c r="FC89" i="4" s="1"/>
  <c r="FX89" i="4"/>
  <c r="FY89" i="4" s="1"/>
  <c r="ES89" i="4"/>
  <c r="FD89" i="4"/>
  <c r="FE89" i="4" s="1"/>
  <c r="ET89" i="4"/>
  <c r="EU89" i="4" s="1"/>
  <c r="FT89" i="4"/>
  <c r="FU89" i="4" s="1"/>
  <c r="GD89" i="4"/>
  <c r="GE89" i="4" s="1"/>
  <c r="FN89" i="4"/>
  <c r="FO89" i="4" s="1"/>
  <c r="EX89" i="4"/>
  <c r="EY89" i="4" s="1"/>
  <c r="FP89" i="4"/>
  <c r="FQ89" i="4" s="1"/>
  <c r="GB89" i="4"/>
  <c r="GC89" i="4" s="1"/>
  <c r="EV89" i="4"/>
  <c r="EW89" i="4" s="1"/>
  <c r="FZ89" i="4"/>
  <c r="GA89" i="4" s="1"/>
  <c r="FH89" i="4"/>
  <c r="FI89" i="4" s="1"/>
  <c r="FV89" i="4"/>
  <c r="FW89" i="4" s="1"/>
  <c r="FF89" i="4"/>
  <c r="FG89" i="4" s="1"/>
  <c r="GF89" i="4"/>
  <c r="GG89" i="4" s="1"/>
  <c r="EZ89" i="4"/>
  <c r="FA89" i="4" s="1"/>
  <c r="FL89" i="4"/>
  <c r="FM89" i="4" s="1"/>
  <c r="FJ89" i="4"/>
  <c r="FK89" i="4" s="1"/>
  <c r="GF57" i="4"/>
  <c r="GG57" i="4" s="1"/>
  <c r="GB57" i="4"/>
  <c r="GC57" i="4" s="1"/>
  <c r="FX57" i="4"/>
  <c r="FY57" i="4" s="1"/>
  <c r="FT57" i="4"/>
  <c r="FU57" i="4" s="1"/>
  <c r="FP57" i="4"/>
  <c r="FQ57" i="4" s="1"/>
  <c r="FL57" i="4"/>
  <c r="FM57" i="4" s="1"/>
  <c r="FH57" i="4"/>
  <c r="FI57" i="4" s="1"/>
  <c r="FD57" i="4"/>
  <c r="FE57" i="4" s="1"/>
  <c r="EZ57" i="4"/>
  <c r="FA57" i="4" s="1"/>
  <c r="EV57" i="4"/>
  <c r="EW57" i="4" s="1"/>
  <c r="ES57" i="4"/>
  <c r="GH57" i="4"/>
  <c r="GI57" i="4" s="1"/>
  <c r="FZ57" i="4"/>
  <c r="GA57" i="4" s="1"/>
  <c r="FV57" i="4"/>
  <c r="FW57" i="4" s="1"/>
  <c r="FN57" i="4"/>
  <c r="FO57" i="4" s="1"/>
  <c r="FF57" i="4"/>
  <c r="FG57" i="4" s="1"/>
  <c r="FB57" i="4"/>
  <c r="FC57" i="4" s="1"/>
  <c r="ET57" i="4"/>
  <c r="EU57" i="4" s="1"/>
  <c r="GD57" i="4"/>
  <c r="GE57" i="4" s="1"/>
  <c r="FR57" i="4"/>
  <c r="FS57" i="4" s="1"/>
  <c r="FJ57" i="4"/>
  <c r="FK57" i="4" s="1"/>
  <c r="EX57" i="4"/>
  <c r="EY57" i="4" s="1"/>
  <c r="DN57" i="4"/>
  <c r="DO57" i="4" s="1"/>
  <c r="DJ57" i="4"/>
  <c r="DK57" i="4" s="1"/>
  <c r="DF57" i="4"/>
  <c r="DG57" i="4" s="1"/>
  <c r="DB57" i="4"/>
  <c r="DC57" i="4" s="1"/>
  <c r="CX57" i="4"/>
  <c r="CY57" i="4" s="1"/>
  <c r="CT57" i="4"/>
  <c r="CU57" i="4" s="1"/>
  <c r="CP57" i="4"/>
  <c r="CQ57" i="4" s="1"/>
  <c r="CL57" i="4"/>
  <c r="CM57" i="4" s="1"/>
  <c r="CH57" i="4"/>
  <c r="CI57" i="4" s="1"/>
  <c r="CD57" i="4"/>
  <c r="CE57" i="4" s="1"/>
  <c r="CA57" i="4"/>
  <c r="DH57" i="4"/>
  <c r="DI57" i="4" s="1"/>
  <c r="CV57" i="4"/>
  <c r="CW57" i="4" s="1"/>
  <c r="CJ57" i="4"/>
  <c r="CK57" i="4" s="1"/>
  <c r="DL57" i="4"/>
  <c r="DM57" i="4" s="1"/>
  <c r="DD57" i="4"/>
  <c r="DE57" i="4" s="1"/>
  <c r="CR57" i="4"/>
  <c r="CS57" i="4" s="1"/>
  <c r="CF57" i="4"/>
  <c r="CG57" i="4" s="1"/>
  <c r="DP57" i="4"/>
  <c r="DQ57" i="4" s="1"/>
  <c r="CZ57" i="4"/>
  <c r="DA57" i="4" s="1"/>
  <c r="CN57" i="4"/>
  <c r="CO57" i="4" s="1"/>
  <c r="CB57" i="4"/>
  <c r="CC57" i="4" s="1"/>
  <c r="AT60" i="4"/>
  <c r="AU60" i="4" s="1"/>
  <c r="AP60" i="4"/>
  <c r="AQ60" i="4" s="1"/>
  <c r="AL60" i="4"/>
  <c r="AM60" i="4" s="1"/>
  <c r="AJ60" i="4"/>
  <c r="AK60" i="4" s="1"/>
  <c r="AF60" i="4"/>
  <c r="AG60" i="4" s="1"/>
  <c r="AB60" i="4"/>
  <c r="AC60" i="4" s="1"/>
  <c r="V60" i="4"/>
  <c r="W60" i="4" s="1"/>
  <c r="T60" i="4"/>
  <c r="U60" i="4" s="1"/>
  <c r="AX60" i="4"/>
  <c r="AY60" i="4" s="1"/>
  <c r="AV60" i="4"/>
  <c r="AW60" i="4" s="1"/>
  <c r="AR60" i="4"/>
  <c r="AS60" i="4" s="1"/>
  <c r="AN60" i="4"/>
  <c r="AO60" i="4" s="1"/>
  <c r="AH60" i="4"/>
  <c r="AI60" i="4" s="1"/>
  <c r="AD60" i="4"/>
  <c r="AE60" i="4" s="1"/>
  <c r="X60" i="4"/>
  <c r="Y60" i="4" s="1"/>
  <c r="L60" i="4"/>
  <c r="M60" i="4" s="1"/>
  <c r="Z60" i="4"/>
  <c r="AA60" i="4" s="1"/>
  <c r="P60" i="4"/>
  <c r="Q60" i="4" s="1"/>
  <c r="J60" i="4"/>
  <c r="K60" i="4" s="1"/>
  <c r="I60" i="4"/>
  <c r="R60" i="4"/>
  <c r="S60" i="4" s="1"/>
  <c r="N60" i="4"/>
  <c r="O60" i="4" s="1"/>
  <c r="BY20" i="4"/>
  <c r="H20" i="4"/>
  <c r="EQ60" i="4"/>
  <c r="ER60" i="4" s="1"/>
  <c r="BZ60" i="4"/>
  <c r="AN21" i="4" l="1"/>
  <c r="AO21" i="4" s="1"/>
  <c r="AR21" i="4"/>
  <c r="AS21" i="4" s="1"/>
  <c r="V21" i="4"/>
  <c r="W21" i="4" s="1"/>
  <c r="AP21" i="4"/>
  <c r="AQ21" i="4" s="1"/>
  <c r="AB21" i="4"/>
  <c r="AC21" i="4" s="1"/>
  <c r="N21" i="4"/>
  <c r="O21" i="4" s="1"/>
  <c r="AH21" i="4"/>
  <c r="AI21" i="4" s="1"/>
  <c r="J21" i="4"/>
  <c r="K21" i="4" s="1"/>
  <c r="AX21" i="4"/>
  <c r="AY21" i="4" s="1"/>
  <c r="AD21" i="4"/>
  <c r="AE21" i="4" s="1"/>
  <c r="X21" i="4"/>
  <c r="Y21" i="4" s="1"/>
  <c r="Z21" i="4"/>
  <c r="AA21" i="4" s="1"/>
  <c r="AL21" i="4"/>
  <c r="AM21" i="4" s="1"/>
  <c r="T21" i="4"/>
  <c r="U21" i="4" s="1"/>
  <c r="P21" i="4"/>
  <c r="Q21" i="4" s="1"/>
  <c r="I21" i="4"/>
  <c r="AF21" i="4"/>
  <c r="AG21" i="4" s="1"/>
  <c r="L21" i="4"/>
  <c r="M21" i="4" s="1"/>
  <c r="AJ21" i="4"/>
  <c r="AK21" i="4" s="1"/>
  <c r="R21" i="4"/>
  <c r="S21" i="4" s="1"/>
  <c r="AT21" i="4"/>
  <c r="AU21" i="4" s="1"/>
  <c r="AV21" i="4"/>
  <c r="AW21" i="4" s="1"/>
  <c r="EQ21" i="4"/>
  <c r="ER21" i="4" s="1"/>
  <c r="BZ21" i="4"/>
  <c r="FV26" i="4"/>
  <c r="FW26" i="4" s="1"/>
  <c r="FF26" i="4"/>
  <c r="FG26" i="4" s="1"/>
  <c r="GF26" i="4"/>
  <c r="GG26" i="4" s="1"/>
  <c r="FP26" i="4"/>
  <c r="FQ26" i="4" s="1"/>
  <c r="EZ26" i="4"/>
  <c r="FA26" i="4" s="1"/>
  <c r="GD26" i="4"/>
  <c r="GE26" i="4" s="1"/>
  <c r="EX26" i="4"/>
  <c r="EY26" i="4" s="1"/>
  <c r="FX26" i="4"/>
  <c r="FY26" i="4" s="1"/>
  <c r="ES26" i="4"/>
  <c r="GH26" i="4"/>
  <c r="GI26" i="4" s="1"/>
  <c r="FR26" i="4"/>
  <c r="FS26" i="4" s="1"/>
  <c r="FB26" i="4"/>
  <c r="FC26" i="4" s="1"/>
  <c r="GB26" i="4"/>
  <c r="GC26" i="4" s="1"/>
  <c r="FL26" i="4"/>
  <c r="FM26" i="4" s="1"/>
  <c r="EV26" i="4"/>
  <c r="EW26" i="4" s="1"/>
  <c r="FN26" i="4"/>
  <c r="FO26" i="4" s="1"/>
  <c r="FH26" i="4"/>
  <c r="FI26" i="4" s="1"/>
  <c r="FZ26" i="4"/>
  <c r="GA26" i="4" s="1"/>
  <c r="FJ26" i="4"/>
  <c r="FK26" i="4" s="1"/>
  <c r="ET26" i="4"/>
  <c r="EU26" i="4" s="1"/>
  <c r="FT26" i="4"/>
  <c r="FU26" i="4" s="1"/>
  <c r="FD26" i="4"/>
  <c r="FE26" i="4" s="1"/>
  <c r="DJ26" i="4"/>
  <c r="DK26" i="4" s="1"/>
  <c r="CT26" i="4"/>
  <c r="CU26" i="4" s="1"/>
  <c r="CD26" i="4"/>
  <c r="CE26" i="4" s="1"/>
  <c r="DH26" i="4"/>
  <c r="DI26" i="4" s="1"/>
  <c r="CR26" i="4"/>
  <c r="CS26" i="4" s="1"/>
  <c r="CB26" i="4"/>
  <c r="CC26" i="4" s="1"/>
  <c r="CL26" i="4"/>
  <c r="CM26" i="4" s="1"/>
  <c r="CJ26" i="4"/>
  <c r="CK26" i="4" s="1"/>
  <c r="DF26" i="4"/>
  <c r="DG26" i="4" s="1"/>
  <c r="CP26" i="4"/>
  <c r="CQ26" i="4" s="1"/>
  <c r="CA26" i="4"/>
  <c r="DD26" i="4"/>
  <c r="DE26" i="4" s="1"/>
  <c r="CN26" i="4"/>
  <c r="CO26" i="4" s="1"/>
  <c r="DB26" i="4"/>
  <c r="DC26" i="4" s="1"/>
  <c r="DP26" i="4"/>
  <c r="DQ26" i="4" s="1"/>
  <c r="CZ26" i="4"/>
  <c r="DA26" i="4" s="1"/>
  <c r="DN26" i="4"/>
  <c r="DO26" i="4" s="1"/>
  <c r="CX26" i="4"/>
  <c r="CY26" i="4" s="1"/>
  <c r="CH26" i="4"/>
  <c r="CI26" i="4" s="1"/>
  <c r="DL26" i="4"/>
  <c r="DM26" i="4" s="1"/>
  <c r="CV26" i="4"/>
  <c r="CW26" i="4" s="1"/>
  <c r="CF26" i="4"/>
  <c r="CG26" i="4" s="1"/>
  <c r="BY146" i="4"/>
  <c r="H146" i="4"/>
  <c r="BZ145" i="4"/>
  <c r="EQ145" i="4"/>
  <c r="ER145" i="4" s="1"/>
  <c r="D25" i="4"/>
  <c r="G148" i="4"/>
  <c r="AT145" i="4"/>
  <c r="AU145" i="4" s="1"/>
  <c r="T145" i="4"/>
  <c r="U145" i="4" s="1"/>
  <c r="J145" i="4"/>
  <c r="K145" i="4" s="1"/>
  <c r="AX145" i="4"/>
  <c r="AY145" i="4" s="1"/>
  <c r="AV145" i="4"/>
  <c r="AW145" i="4" s="1"/>
  <c r="AN145" i="4"/>
  <c r="AO145" i="4" s="1"/>
  <c r="AD145" i="4"/>
  <c r="AE145" i="4" s="1"/>
  <c r="Z145" i="4"/>
  <c r="AA145" i="4" s="1"/>
  <c r="X145" i="4"/>
  <c r="Y145" i="4" s="1"/>
  <c r="R145" i="4"/>
  <c r="S145" i="4" s="1"/>
  <c r="N145" i="4"/>
  <c r="O145" i="4" s="1"/>
  <c r="AR145" i="4"/>
  <c r="AS145" i="4" s="1"/>
  <c r="AL145" i="4"/>
  <c r="AM145" i="4" s="1"/>
  <c r="AJ145" i="4"/>
  <c r="AK145" i="4" s="1"/>
  <c r="AH145" i="4"/>
  <c r="AI145" i="4" s="1"/>
  <c r="P145" i="4"/>
  <c r="Q145" i="4" s="1"/>
  <c r="L145" i="4"/>
  <c r="M145" i="4" s="1"/>
  <c r="AP145" i="4"/>
  <c r="AQ145" i="4" s="1"/>
  <c r="AF145" i="4"/>
  <c r="AG145" i="4" s="1"/>
  <c r="AB145" i="4"/>
  <c r="AC145" i="4" s="1"/>
  <c r="V145" i="4"/>
  <c r="W145" i="4" s="1"/>
  <c r="I145" i="4"/>
  <c r="G147" i="4"/>
  <c r="BY134" i="4"/>
  <c r="H134" i="4"/>
  <c r="AL133" i="4"/>
  <c r="AM133" i="4" s="1"/>
  <c r="AJ133" i="4"/>
  <c r="AK133" i="4" s="1"/>
  <c r="AH133" i="4"/>
  <c r="AI133" i="4" s="1"/>
  <c r="AD133" i="4"/>
  <c r="AE133" i="4" s="1"/>
  <c r="AR133" i="4"/>
  <c r="AS133" i="4" s="1"/>
  <c r="AF133" i="4"/>
  <c r="AG133" i="4" s="1"/>
  <c r="Z133" i="4"/>
  <c r="AA133" i="4" s="1"/>
  <c r="V133" i="4"/>
  <c r="W133" i="4" s="1"/>
  <c r="AP133" i="4"/>
  <c r="AQ133" i="4" s="1"/>
  <c r="AV133" i="4"/>
  <c r="AW133" i="4" s="1"/>
  <c r="I133" i="4"/>
  <c r="AX133" i="4"/>
  <c r="AY133" i="4" s="1"/>
  <c r="AB133" i="4"/>
  <c r="AC133" i="4" s="1"/>
  <c r="AN133" i="4"/>
  <c r="AO133" i="4" s="1"/>
  <c r="R133" i="4"/>
  <c r="S133" i="4" s="1"/>
  <c r="L133" i="4"/>
  <c r="M133" i="4" s="1"/>
  <c r="X133" i="4"/>
  <c r="Y133" i="4" s="1"/>
  <c r="T133" i="4"/>
  <c r="U133" i="4" s="1"/>
  <c r="P133" i="4"/>
  <c r="Q133" i="4" s="1"/>
  <c r="N133" i="4"/>
  <c r="O133" i="4" s="1"/>
  <c r="J133" i="4"/>
  <c r="K133" i="4" s="1"/>
  <c r="AT133" i="4"/>
  <c r="AU133" i="4" s="1"/>
  <c r="G135" i="4"/>
  <c r="EQ133" i="4"/>
  <c r="ER133" i="4" s="1"/>
  <c r="BZ133" i="4"/>
  <c r="BY95" i="4"/>
  <c r="H95" i="4"/>
  <c r="AT94" i="4"/>
  <c r="AU94" i="4" s="1"/>
  <c r="AL94" i="4"/>
  <c r="AM94" i="4" s="1"/>
  <c r="AF94" i="4"/>
  <c r="AG94" i="4" s="1"/>
  <c r="AB94" i="4"/>
  <c r="AC94" i="4" s="1"/>
  <c r="Z94" i="4"/>
  <c r="AA94" i="4" s="1"/>
  <c r="T94" i="4"/>
  <c r="U94" i="4" s="1"/>
  <c r="AX94" i="4"/>
  <c r="AY94" i="4" s="1"/>
  <c r="AV94" i="4"/>
  <c r="AW94" i="4" s="1"/>
  <c r="AJ94" i="4"/>
  <c r="AK94" i="4" s="1"/>
  <c r="AH94" i="4"/>
  <c r="AI94" i="4" s="1"/>
  <c r="V94" i="4"/>
  <c r="W94" i="4" s="1"/>
  <c r="N94" i="4"/>
  <c r="O94" i="4" s="1"/>
  <c r="AP94" i="4"/>
  <c r="AQ94" i="4" s="1"/>
  <c r="AD94" i="4"/>
  <c r="AE94" i="4" s="1"/>
  <c r="R94" i="4"/>
  <c r="S94" i="4" s="1"/>
  <c r="P94" i="4"/>
  <c r="Q94" i="4" s="1"/>
  <c r="AR94" i="4"/>
  <c r="AS94" i="4" s="1"/>
  <c r="AN94" i="4"/>
  <c r="AO94" i="4" s="1"/>
  <c r="X94" i="4"/>
  <c r="Y94" i="4" s="1"/>
  <c r="L94" i="4"/>
  <c r="M94" i="4" s="1"/>
  <c r="J94" i="4"/>
  <c r="K94" i="4" s="1"/>
  <c r="I94" i="4"/>
  <c r="G96" i="4"/>
  <c r="EQ94" i="4"/>
  <c r="ER94" i="4" s="1"/>
  <c r="BZ94" i="4"/>
  <c r="DF54" i="4"/>
  <c r="DG54" i="4" s="1"/>
  <c r="CP54" i="4"/>
  <c r="CQ54" i="4" s="1"/>
  <c r="CA54" i="4"/>
  <c r="DD54" i="4"/>
  <c r="DE54" i="4" s="1"/>
  <c r="CN54" i="4"/>
  <c r="CO54" i="4" s="1"/>
  <c r="CH54" i="4"/>
  <c r="CI54" i="4" s="1"/>
  <c r="CF54" i="4"/>
  <c r="CG54" i="4" s="1"/>
  <c r="DB54" i="4"/>
  <c r="DC54" i="4" s="1"/>
  <c r="CL54" i="4"/>
  <c r="CM54" i="4" s="1"/>
  <c r="DP54" i="4"/>
  <c r="DQ54" i="4" s="1"/>
  <c r="CZ54" i="4"/>
  <c r="DA54" i="4" s="1"/>
  <c r="CJ54" i="4"/>
  <c r="CK54" i="4" s="1"/>
  <c r="DN54" i="4"/>
  <c r="DO54" i="4" s="1"/>
  <c r="CV54" i="4"/>
  <c r="CW54" i="4" s="1"/>
  <c r="DJ54" i="4"/>
  <c r="DK54" i="4" s="1"/>
  <c r="CT54" i="4"/>
  <c r="CU54" i="4" s="1"/>
  <c r="CD54" i="4"/>
  <c r="CE54" i="4" s="1"/>
  <c r="DH54" i="4"/>
  <c r="DI54" i="4" s="1"/>
  <c r="CR54" i="4"/>
  <c r="CS54" i="4" s="1"/>
  <c r="CB54" i="4"/>
  <c r="CC54" i="4" s="1"/>
  <c r="CX54" i="4"/>
  <c r="CY54" i="4" s="1"/>
  <c r="DL54" i="4"/>
  <c r="DM54" i="4" s="1"/>
  <c r="GH54" i="4"/>
  <c r="GI54" i="4" s="1"/>
  <c r="FR54" i="4"/>
  <c r="FS54" i="4" s="1"/>
  <c r="FB54" i="4"/>
  <c r="FC54" i="4" s="1"/>
  <c r="GB54" i="4"/>
  <c r="GC54" i="4" s="1"/>
  <c r="FL54" i="4"/>
  <c r="FM54" i="4" s="1"/>
  <c r="EV54" i="4"/>
  <c r="EW54" i="4" s="1"/>
  <c r="GD54" i="4"/>
  <c r="GE54" i="4" s="1"/>
  <c r="FN54" i="4"/>
  <c r="FO54" i="4" s="1"/>
  <c r="FX54" i="4"/>
  <c r="FY54" i="4" s="1"/>
  <c r="FH54" i="4"/>
  <c r="FI54" i="4" s="1"/>
  <c r="ES54" i="4"/>
  <c r="FZ54" i="4"/>
  <c r="GA54" i="4" s="1"/>
  <c r="FJ54" i="4"/>
  <c r="FK54" i="4" s="1"/>
  <c r="ET54" i="4"/>
  <c r="EU54" i="4" s="1"/>
  <c r="FT54" i="4"/>
  <c r="FU54" i="4" s="1"/>
  <c r="FD54" i="4"/>
  <c r="FE54" i="4" s="1"/>
  <c r="FV54" i="4"/>
  <c r="FW54" i="4" s="1"/>
  <c r="FF54" i="4"/>
  <c r="FG54" i="4" s="1"/>
  <c r="GF54" i="4"/>
  <c r="GG54" i="4" s="1"/>
  <c r="FP54" i="4"/>
  <c r="FQ54" i="4" s="1"/>
  <c r="EZ54" i="4"/>
  <c r="FA54" i="4" s="1"/>
  <c r="EX54" i="4"/>
  <c r="EY54" i="4" s="1"/>
  <c r="DJ19" i="4"/>
  <c r="DK19" i="4" s="1"/>
  <c r="CT19" i="4"/>
  <c r="CU19" i="4" s="1"/>
  <c r="CD19" i="4"/>
  <c r="CE19" i="4" s="1"/>
  <c r="DF19" i="4"/>
  <c r="DG19" i="4" s="1"/>
  <c r="DB19" i="4"/>
  <c r="DC19" i="4" s="1"/>
  <c r="CL19" i="4"/>
  <c r="CM19" i="4" s="1"/>
  <c r="CA19" i="4"/>
  <c r="DN19" i="4"/>
  <c r="DO19" i="4" s="1"/>
  <c r="CX19" i="4"/>
  <c r="CY19" i="4" s="1"/>
  <c r="CH19" i="4"/>
  <c r="CI19" i="4" s="1"/>
  <c r="CP19" i="4"/>
  <c r="CQ19" i="4" s="1"/>
  <c r="DL19" i="4"/>
  <c r="DM19" i="4" s="1"/>
  <c r="CV19" i="4"/>
  <c r="CW19" i="4" s="1"/>
  <c r="CF19" i="4"/>
  <c r="CG19" i="4" s="1"/>
  <c r="DH19" i="4"/>
  <c r="DI19" i="4" s="1"/>
  <c r="CR19" i="4"/>
  <c r="CS19" i="4" s="1"/>
  <c r="CB19" i="4"/>
  <c r="CC19" i="4" s="1"/>
  <c r="DP19" i="4"/>
  <c r="DQ19" i="4" s="1"/>
  <c r="CZ19" i="4"/>
  <c r="DA19" i="4" s="1"/>
  <c r="DD19" i="4"/>
  <c r="DE19" i="4" s="1"/>
  <c r="CN19" i="4"/>
  <c r="CO19" i="4" s="1"/>
  <c r="CJ19" i="4"/>
  <c r="CK19" i="4" s="1"/>
  <c r="FX19" i="4"/>
  <c r="FY19" i="4" s="1"/>
  <c r="FH19" i="4"/>
  <c r="FI19" i="4" s="1"/>
  <c r="ES19" i="4"/>
  <c r="FV19" i="4"/>
  <c r="FW19" i="4" s="1"/>
  <c r="FF19" i="4"/>
  <c r="FG19" i="4" s="1"/>
  <c r="FP19" i="4"/>
  <c r="FQ19" i="4" s="1"/>
  <c r="FN19" i="4"/>
  <c r="FO19" i="4" s="1"/>
  <c r="FT19" i="4"/>
  <c r="FU19" i="4" s="1"/>
  <c r="FD19" i="4"/>
  <c r="FE19" i="4" s="1"/>
  <c r="GH19" i="4"/>
  <c r="GI19" i="4" s="1"/>
  <c r="FR19" i="4"/>
  <c r="FS19" i="4" s="1"/>
  <c r="FB19" i="4"/>
  <c r="FC19" i="4" s="1"/>
  <c r="EZ19" i="4"/>
  <c r="FA19" i="4" s="1"/>
  <c r="GB19" i="4"/>
  <c r="GC19" i="4" s="1"/>
  <c r="FL19" i="4"/>
  <c r="FM19" i="4" s="1"/>
  <c r="EV19" i="4"/>
  <c r="EW19" i="4" s="1"/>
  <c r="FZ19" i="4"/>
  <c r="GA19" i="4" s="1"/>
  <c r="FJ19" i="4"/>
  <c r="FK19" i="4" s="1"/>
  <c r="ET19" i="4"/>
  <c r="EU19" i="4" s="1"/>
  <c r="GF19" i="4"/>
  <c r="GG19" i="4" s="1"/>
  <c r="GD19" i="4"/>
  <c r="GE19" i="4" s="1"/>
  <c r="EX19" i="4"/>
  <c r="EY19" i="4" s="1"/>
  <c r="DP60" i="4"/>
  <c r="DQ60" i="4" s="1"/>
  <c r="DL60" i="4"/>
  <c r="DM60" i="4" s="1"/>
  <c r="DH60" i="4"/>
  <c r="DI60" i="4" s="1"/>
  <c r="DD60" i="4"/>
  <c r="DE60" i="4" s="1"/>
  <c r="CZ60" i="4"/>
  <c r="DA60" i="4" s="1"/>
  <c r="CV60" i="4"/>
  <c r="CW60" i="4" s="1"/>
  <c r="CR60" i="4"/>
  <c r="CS60" i="4" s="1"/>
  <c r="CN60" i="4"/>
  <c r="CO60" i="4" s="1"/>
  <c r="CJ60" i="4"/>
  <c r="CK60" i="4" s="1"/>
  <c r="CF60" i="4"/>
  <c r="CG60" i="4" s="1"/>
  <c r="CB60" i="4"/>
  <c r="CC60" i="4" s="1"/>
  <c r="DF60" i="4"/>
  <c r="DG60" i="4" s="1"/>
  <c r="CP60" i="4"/>
  <c r="CQ60" i="4" s="1"/>
  <c r="CA60" i="4"/>
  <c r="DJ60" i="4"/>
  <c r="DK60" i="4" s="1"/>
  <c r="CT60" i="4"/>
  <c r="CU60" i="4" s="1"/>
  <c r="CD60" i="4"/>
  <c r="CE60" i="4" s="1"/>
  <c r="DB60" i="4"/>
  <c r="DC60" i="4" s="1"/>
  <c r="CL60" i="4"/>
  <c r="CM60" i="4" s="1"/>
  <c r="DN60" i="4"/>
  <c r="DO60" i="4" s="1"/>
  <c r="CX60" i="4"/>
  <c r="CY60" i="4" s="1"/>
  <c r="CH60" i="4"/>
  <c r="CI60" i="4" s="1"/>
  <c r="BZ20" i="4"/>
  <c r="EQ20" i="4"/>
  <c r="ER20" i="4" s="1"/>
  <c r="AR20" i="4"/>
  <c r="AS20" i="4" s="1"/>
  <c r="AN20" i="4"/>
  <c r="AO20" i="4" s="1"/>
  <c r="AH20" i="4"/>
  <c r="AI20" i="4" s="1"/>
  <c r="AD20" i="4"/>
  <c r="AE20" i="4" s="1"/>
  <c r="X20" i="4"/>
  <c r="Y20" i="4" s="1"/>
  <c r="AT20" i="4"/>
  <c r="AU20" i="4" s="1"/>
  <c r="AP20" i="4"/>
  <c r="AQ20" i="4" s="1"/>
  <c r="AL20" i="4"/>
  <c r="AM20" i="4" s="1"/>
  <c r="AJ20" i="4"/>
  <c r="AK20" i="4" s="1"/>
  <c r="AF20" i="4"/>
  <c r="AG20" i="4" s="1"/>
  <c r="AB20" i="4"/>
  <c r="AC20" i="4" s="1"/>
  <c r="V20" i="4"/>
  <c r="W20" i="4" s="1"/>
  <c r="T20" i="4"/>
  <c r="U20" i="4" s="1"/>
  <c r="Z20" i="4"/>
  <c r="AA20" i="4" s="1"/>
  <c r="I20" i="4"/>
  <c r="AV20" i="4"/>
  <c r="AW20" i="4" s="1"/>
  <c r="R20" i="4"/>
  <c r="S20" i="4" s="1"/>
  <c r="N20" i="4"/>
  <c r="O20" i="4" s="1"/>
  <c r="L20" i="4"/>
  <c r="M20" i="4" s="1"/>
  <c r="AX20" i="4"/>
  <c r="AY20" i="4" s="1"/>
  <c r="P20" i="4"/>
  <c r="Q20" i="4" s="1"/>
  <c r="J20" i="4"/>
  <c r="K20" i="4" s="1"/>
  <c r="GF60" i="4"/>
  <c r="GG60" i="4" s="1"/>
  <c r="GB60" i="4"/>
  <c r="GC60" i="4" s="1"/>
  <c r="FX60" i="4"/>
  <c r="FY60" i="4" s="1"/>
  <c r="FT60" i="4"/>
  <c r="FU60" i="4" s="1"/>
  <c r="FP60" i="4"/>
  <c r="FQ60" i="4" s="1"/>
  <c r="FL60" i="4"/>
  <c r="FM60" i="4" s="1"/>
  <c r="FH60" i="4"/>
  <c r="FI60" i="4" s="1"/>
  <c r="FD60" i="4"/>
  <c r="FE60" i="4" s="1"/>
  <c r="EZ60" i="4"/>
  <c r="FA60" i="4" s="1"/>
  <c r="EV60" i="4"/>
  <c r="EW60" i="4" s="1"/>
  <c r="ES60" i="4"/>
  <c r="GH60" i="4"/>
  <c r="GI60" i="4" s="1"/>
  <c r="GD60" i="4"/>
  <c r="GE60" i="4" s="1"/>
  <c r="FZ60" i="4"/>
  <c r="GA60" i="4" s="1"/>
  <c r="FV60" i="4"/>
  <c r="FW60" i="4" s="1"/>
  <c r="FR60" i="4"/>
  <c r="FS60" i="4" s="1"/>
  <c r="FN60" i="4"/>
  <c r="FO60" i="4" s="1"/>
  <c r="FJ60" i="4"/>
  <c r="FK60" i="4" s="1"/>
  <c r="FF60" i="4"/>
  <c r="FG60" i="4" s="1"/>
  <c r="FB60" i="4"/>
  <c r="FC60" i="4" s="1"/>
  <c r="EX60" i="4"/>
  <c r="EY60" i="4" s="1"/>
  <c r="ET60" i="4"/>
  <c r="EU60" i="4" s="1"/>
  <c r="GB21" i="4" l="1"/>
  <c r="GC21" i="4" s="1"/>
  <c r="FL21" i="4"/>
  <c r="FM21" i="4" s="1"/>
  <c r="EV21" i="4"/>
  <c r="EW21" i="4" s="1"/>
  <c r="FZ21" i="4"/>
  <c r="GA21" i="4" s="1"/>
  <c r="FJ21" i="4"/>
  <c r="FK21" i="4" s="1"/>
  <c r="ET21" i="4"/>
  <c r="EU21" i="4" s="1"/>
  <c r="FT21" i="4"/>
  <c r="FU21" i="4" s="1"/>
  <c r="GH21" i="4"/>
  <c r="GI21" i="4" s="1"/>
  <c r="FB21" i="4"/>
  <c r="FC21" i="4" s="1"/>
  <c r="GF21" i="4"/>
  <c r="GG21" i="4" s="1"/>
  <c r="EZ21" i="4"/>
  <c r="FA21" i="4" s="1"/>
  <c r="FN21" i="4"/>
  <c r="FO21" i="4" s="1"/>
  <c r="FX21" i="4"/>
  <c r="FY21" i="4" s="1"/>
  <c r="FH21" i="4"/>
  <c r="FI21" i="4" s="1"/>
  <c r="ES21" i="4"/>
  <c r="FV21" i="4"/>
  <c r="FW21" i="4" s="1"/>
  <c r="FF21" i="4"/>
  <c r="FG21" i="4" s="1"/>
  <c r="FD21" i="4"/>
  <c r="FE21" i="4" s="1"/>
  <c r="FR21" i="4"/>
  <c r="FS21" i="4" s="1"/>
  <c r="FP21" i="4"/>
  <c r="FQ21" i="4" s="1"/>
  <c r="GD21" i="4"/>
  <c r="GE21" i="4" s="1"/>
  <c r="EX21" i="4"/>
  <c r="EY21" i="4" s="1"/>
  <c r="DB21" i="4"/>
  <c r="DC21" i="4" s="1"/>
  <c r="DD21" i="4"/>
  <c r="DE21" i="4" s="1"/>
  <c r="DF21" i="4"/>
  <c r="DG21" i="4" s="1"/>
  <c r="DH21" i="4"/>
  <c r="DI21" i="4" s="1"/>
  <c r="CL21" i="4"/>
  <c r="CM21" i="4" s="1"/>
  <c r="DL21" i="4"/>
  <c r="DM21" i="4" s="1"/>
  <c r="CP21" i="4"/>
  <c r="CQ21" i="4" s="1"/>
  <c r="CV21" i="4"/>
  <c r="CW21" i="4" s="1"/>
  <c r="CH21" i="4"/>
  <c r="CI21" i="4" s="1"/>
  <c r="CZ21" i="4"/>
  <c r="DA21" i="4" s="1"/>
  <c r="CF21" i="4"/>
  <c r="CG21" i="4" s="1"/>
  <c r="CA21" i="4"/>
  <c r="DN21" i="4"/>
  <c r="DO21" i="4" s="1"/>
  <c r="CR21" i="4"/>
  <c r="CS21" i="4" s="1"/>
  <c r="DJ21" i="4"/>
  <c r="DK21" i="4" s="1"/>
  <c r="DP21" i="4"/>
  <c r="DQ21" i="4" s="1"/>
  <c r="CD21" i="4"/>
  <c r="CE21" i="4" s="1"/>
  <c r="CJ21" i="4"/>
  <c r="CK21" i="4" s="1"/>
  <c r="CX21" i="4"/>
  <c r="CY21" i="4" s="1"/>
  <c r="CN21" i="4"/>
  <c r="CO21" i="4" s="1"/>
  <c r="CB21" i="4"/>
  <c r="CC21" i="4" s="1"/>
  <c r="CT21" i="4"/>
  <c r="CU21" i="4" s="1"/>
  <c r="G25" i="4"/>
  <c r="DN145" i="4"/>
  <c r="DO145" i="4" s="1"/>
  <c r="DJ145" i="4"/>
  <c r="DK145" i="4" s="1"/>
  <c r="DF145" i="4"/>
  <c r="DG145" i="4" s="1"/>
  <c r="DB145" i="4"/>
  <c r="DC145" i="4" s="1"/>
  <c r="CX145" i="4"/>
  <c r="CY145" i="4" s="1"/>
  <c r="CT145" i="4"/>
  <c r="CU145" i="4" s="1"/>
  <c r="CP145" i="4"/>
  <c r="CQ145" i="4" s="1"/>
  <c r="CL145" i="4"/>
  <c r="CM145" i="4" s="1"/>
  <c r="CH145" i="4"/>
  <c r="CI145" i="4" s="1"/>
  <c r="CD145" i="4"/>
  <c r="CE145" i="4" s="1"/>
  <c r="CA145" i="4"/>
  <c r="DP145" i="4"/>
  <c r="DQ145" i="4" s="1"/>
  <c r="DL145" i="4"/>
  <c r="DM145" i="4" s="1"/>
  <c r="DH145" i="4"/>
  <c r="DI145" i="4" s="1"/>
  <c r="DD145" i="4"/>
  <c r="DE145" i="4" s="1"/>
  <c r="CZ145" i="4"/>
  <c r="DA145" i="4" s="1"/>
  <c r="CV145" i="4"/>
  <c r="CW145" i="4" s="1"/>
  <c r="CR145" i="4"/>
  <c r="CS145" i="4" s="1"/>
  <c r="CN145" i="4"/>
  <c r="CO145" i="4" s="1"/>
  <c r="CJ145" i="4"/>
  <c r="CK145" i="4" s="1"/>
  <c r="CF145" i="4"/>
  <c r="CG145" i="4" s="1"/>
  <c r="CB145" i="4"/>
  <c r="CC145" i="4" s="1"/>
  <c r="BY147" i="4"/>
  <c r="H147" i="4"/>
  <c r="EQ146" i="4"/>
  <c r="ER146" i="4" s="1"/>
  <c r="BZ146" i="4"/>
  <c r="GH145" i="4"/>
  <c r="GI145" i="4" s="1"/>
  <c r="GD145" i="4"/>
  <c r="GE145" i="4" s="1"/>
  <c r="FZ145" i="4"/>
  <c r="GA145" i="4" s="1"/>
  <c r="FV145" i="4"/>
  <c r="FW145" i="4" s="1"/>
  <c r="FR145" i="4"/>
  <c r="FS145" i="4" s="1"/>
  <c r="FN145" i="4"/>
  <c r="FO145" i="4" s="1"/>
  <c r="FJ145" i="4"/>
  <c r="FK145" i="4" s="1"/>
  <c r="FF145" i="4"/>
  <c r="FG145" i="4" s="1"/>
  <c r="FB145" i="4"/>
  <c r="FC145" i="4" s="1"/>
  <c r="EX145" i="4"/>
  <c r="EY145" i="4" s="1"/>
  <c r="ET145" i="4"/>
  <c r="EU145" i="4" s="1"/>
  <c r="GB145" i="4"/>
  <c r="GC145" i="4" s="1"/>
  <c r="FL145" i="4"/>
  <c r="FM145" i="4" s="1"/>
  <c r="EV145" i="4"/>
  <c r="EW145" i="4" s="1"/>
  <c r="FX145" i="4"/>
  <c r="FY145" i="4" s="1"/>
  <c r="FH145" i="4"/>
  <c r="FI145" i="4" s="1"/>
  <c r="ES145" i="4"/>
  <c r="GF145" i="4"/>
  <c r="GG145" i="4" s="1"/>
  <c r="FP145" i="4"/>
  <c r="FQ145" i="4" s="1"/>
  <c r="EZ145" i="4"/>
  <c r="FA145" i="4" s="1"/>
  <c r="FT145" i="4"/>
  <c r="FU145" i="4" s="1"/>
  <c r="FD145" i="4"/>
  <c r="FE145" i="4" s="1"/>
  <c r="BY148" i="4"/>
  <c r="H148" i="4"/>
  <c r="AV146" i="4"/>
  <c r="AW146" i="4" s="1"/>
  <c r="AN146" i="4"/>
  <c r="AO146" i="4" s="1"/>
  <c r="AD146" i="4"/>
  <c r="AE146" i="4" s="1"/>
  <c r="Z146" i="4"/>
  <c r="AA146" i="4" s="1"/>
  <c r="X146" i="4"/>
  <c r="Y146" i="4" s="1"/>
  <c r="R146" i="4"/>
  <c r="S146" i="4" s="1"/>
  <c r="N146" i="4"/>
  <c r="O146" i="4" s="1"/>
  <c r="AX146" i="4"/>
  <c r="AY146" i="4" s="1"/>
  <c r="AR146" i="4"/>
  <c r="AS146" i="4" s="1"/>
  <c r="AL146" i="4"/>
  <c r="AM146" i="4" s="1"/>
  <c r="AJ146" i="4"/>
  <c r="AK146" i="4" s="1"/>
  <c r="AH146" i="4"/>
  <c r="AI146" i="4" s="1"/>
  <c r="P146" i="4"/>
  <c r="Q146" i="4" s="1"/>
  <c r="J146" i="4"/>
  <c r="K146" i="4" s="1"/>
  <c r="AP146" i="4"/>
  <c r="AQ146" i="4" s="1"/>
  <c r="AF146" i="4"/>
  <c r="AG146" i="4" s="1"/>
  <c r="AB146" i="4"/>
  <c r="AC146" i="4" s="1"/>
  <c r="V146" i="4"/>
  <c r="W146" i="4" s="1"/>
  <c r="AT146" i="4"/>
  <c r="AU146" i="4" s="1"/>
  <c r="T146" i="4"/>
  <c r="U146" i="4" s="1"/>
  <c r="L146" i="4"/>
  <c r="M146" i="4" s="1"/>
  <c r="I146" i="4"/>
  <c r="G136" i="4"/>
  <c r="AR134" i="4"/>
  <c r="AS134" i="4" s="1"/>
  <c r="AF134" i="4"/>
  <c r="AG134" i="4" s="1"/>
  <c r="Z134" i="4"/>
  <c r="AA134" i="4" s="1"/>
  <c r="V134" i="4"/>
  <c r="W134" i="4" s="1"/>
  <c r="AV134" i="4"/>
  <c r="AW134" i="4" s="1"/>
  <c r="AT134" i="4"/>
  <c r="AU134" i="4" s="1"/>
  <c r="AN134" i="4"/>
  <c r="AO134" i="4" s="1"/>
  <c r="AB134" i="4"/>
  <c r="AC134" i="4" s="1"/>
  <c r="X134" i="4"/>
  <c r="Y134" i="4" s="1"/>
  <c r="AL134" i="4"/>
  <c r="AM134" i="4" s="1"/>
  <c r="AJ134" i="4"/>
  <c r="AK134" i="4" s="1"/>
  <c r="AH134" i="4"/>
  <c r="AI134" i="4" s="1"/>
  <c r="AD134" i="4"/>
  <c r="AE134" i="4" s="1"/>
  <c r="AP134" i="4"/>
  <c r="AQ134" i="4" s="1"/>
  <c r="R134" i="4"/>
  <c r="S134" i="4" s="1"/>
  <c r="J134" i="4"/>
  <c r="K134" i="4" s="1"/>
  <c r="N134" i="4"/>
  <c r="O134" i="4" s="1"/>
  <c r="L134" i="4"/>
  <c r="M134" i="4" s="1"/>
  <c r="AX134" i="4"/>
  <c r="AY134" i="4" s="1"/>
  <c r="I134" i="4"/>
  <c r="T134" i="4"/>
  <c r="U134" i="4" s="1"/>
  <c r="P134" i="4"/>
  <c r="Q134" i="4" s="1"/>
  <c r="DP133" i="4"/>
  <c r="DQ133" i="4" s="1"/>
  <c r="DL133" i="4"/>
  <c r="DM133" i="4" s="1"/>
  <c r="DH133" i="4"/>
  <c r="DI133" i="4" s="1"/>
  <c r="DD133" i="4"/>
  <c r="DE133" i="4" s="1"/>
  <c r="CZ133" i="4"/>
  <c r="DA133" i="4" s="1"/>
  <c r="CV133" i="4"/>
  <c r="CW133" i="4" s="1"/>
  <c r="CR133" i="4"/>
  <c r="CS133" i="4" s="1"/>
  <c r="CN133" i="4"/>
  <c r="CO133" i="4" s="1"/>
  <c r="CJ133" i="4"/>
  <c r="CK133" i="4" s="1"/>
  <c r="CF133" i="4"/>
  <c r="CG133" i="4" s="1"/>
  <c r="CB133" i="4"/>
  <c r="CC133" i="4" s="1"/>
  <c r="DN133" i="4"/>
  <c r="DO133" i="4" s="1"/>
  <c r="DF133" i="4"/>
  <c r="DG133" i="4" s="1"/>
  <c r="CX133" i="4"/>
  <c r="CY133" i="4" s="1"/>
  <c r="CP133" i="4"/>
  <c r="CQ133" i="4" s="1"/>
  <c r="CH133" i="4"/>
  <c r="CI133" i="4" s="1"/>
  <c r="CA133" i="4"/>
  <c r="CT133" i="4"/>
  <c r="CU133" i="4" s="1"/>
  <c r="DJ133" i="4"/>
  <c r="DK133" i="4" s="1"/>
  <c r="CL133" i="4"/>
  <c r="CM133" i="4" s="1"/>
  <c r="CD133" i="4"/>
  <c r="CE133" i="4" s="1"/>
  <c r="DB133" i="4"/>
  <c r="DC133" i="4" s="1"/>
  <c r="BY135" i="4"/>
  <c r="H135" i="4"/>
  <c r="EQ134" i="4"/>
  <c r="ER134" i="4" s="1"/>
  <c r="BZ134" i="4"/>
  <c r="GF133" i="4"/>
  <c r="GG133" i="4" s="1"/>
  <c r="GB133" i="4"/>
  <c r="GC133" i="4" s="1"/>
  <c r="FX133" i="4"/>
  <c r="FY133" i="4" s="1"/>
  <c r="FT133" i="4"/>
  <c r="FU133" i="4" s="1"/>
  <c r="FP133" i="4"/>
  <c r="FQ133" i="4" s="1"/>
  <c r="FL133" i="4"/>
  <c r="FM133" i="4" s="1"/>
  <c r="FH133" i="4"/>
  <c r="FI133" i="4" s="1"/>
  <c r="GH133" i="4"/>
  <c r="GI133" i="4" s="1"/>
  <c r="GD133" i="4"/>
  <c r="GE133" i="4" s="1"/>
  <c r="FZ133" i="4"/>
  <c r="GA133" i="4" s="1"/>
  <c r="FV133" i="4"/>
  <c r="FW133" i="4" s="1"/>
  <c r="FR133" i="4"/>
  <c r="FS133" i="4" s="1"/>
  <c r="FN133" i="4"/>
  <c r="FO133" i="4" s="1"/>
  <c r="FJ133" i="4"/>
  <c r="FK133" i="4" s="1"/>
  <c r="FF133" i="4"/>
  <c r="FG133" i="4" s="1"/>
  <c r="FD133" i="4"/>
  <c r="FE133" i="4" s="1"/>
  <c r="EZ133" i="4"/>
  <c r="FA133" i="4" s="1"/>
  <c r="EV133" i="4"/>
  <c r="EW133" i="4" s="1"/>
  <c r="ES133" i="4"/>
  <c r="FB133" i="4"/>
  <c r="FC133" i="4" s="1"/>
  <c r="EX133" i="4"/>
  <c r="EY133" i="4" s="1"/>
  <c r="ET133" i="4"/>
  <c r="EU133" i="4" s="1"/>
  <c r="BY96" i="4"/>
  <c r="H96" i="4"/>
  <c r="DN94" i="4"/>
  <c r="DO94" i="4" s="1"/>
  <c r="DJ94" i="4"/>
  <c r="DK94" i="4" s="1"/>
  <c r="DF94" i="4"/>
  <c r="DG94" i="4" s="1"/>
  <c r="DB94" i="4"/>
  <c r="DC94" i="4" s="1"/>
  <c r="CX94" i="4"/>
  <c r="CY94" i="4" s="1"/>
  <c r="CT94" i="4"/>
  <c r="CU94" i="4" s="1"/>
  <c r="DL94" i="4"/>
  <c r="DM94" i="4" s="1"/>
  <c r="CV94" i="4"/>
  <c r="CW94" i="4" s="1"/>
  <c r="CN94" i="4"/>
  <c r="CO94" i="4" s="1"/>
  <c r="CJ94" i="4"/>
  <c r="CK94" i="4" s="1"/>
  <c r="CF94" i="4"/>
  <c r="CG94" i="4" s="1"/>
  <c r="CB94" i="4"/>
  <c r="CC94" i="4" s="1"/>
  <c r="DH94" i="4"/>
  <c r="DI94" i="4" s="1"/>
  <c r="CR94" i="4"/>
  <c r="CS94" i="4" s="1"/>
  <c r="DD94" i="4"/>
  <c r="DE94" i="4" s="1"/>
  <c r="CP94" i="4"/>
  <c r="CQ94" i="4" s="1"/>
  <c r="CL94" i="4"/>
  <c r="CM94" i="4" s="1"/>
  <c r="CH94" i="4"/>
  <c r="CI94" i="4" s="1"/>
  <c r="CD94" i="4"/>
  <c r="CE94" i="4" s="1"/>
  <c r="CA94" i="4"/>
  <c r="DP94" i="4"/>
  <c r="DQ94" i="4" s="1"/>
  <c r="CZ94" i="4"/>
  <c r="DA94" i="4" s="1"/>
  <c r="G97" i="4"/>
  <c r="AV95" i="4"/>
  <c r="AW95" i="4" s="1"/>
  <c r="AJ95" i="4"/>
  <c r="AK95" i="4" s="1"/>
  <c r="AH95" i="4"/>
  <c r="AI95" i="4" s="1"/>
  <c r="V95" i="4"/>
  <c r="W95" i="4" s="1"/>
  <c r="N95" i="4"/>
  <c r="O95" i="4" s="1"/>
  <c r="AX95" i="4"/>
  <c r="AY95" i="4" s="1"/>
  <c r="AP95" i="4"/>
  <c r="AQ95" i="4" s="1"/>
  <c r="AD95" i="4"/>
  <c r="AE95" i="4" s="1"/>
  <c r="R95" i="4"/>
  <c r="S95" i="4" s="1"/>
  <c r="P95" i="4"/>
  <c r="Q95" i="4" s="1"/>
  <c r="AR95" i="4"/>
  <c r="AS95" i="4" s="1"/>
  <c r="AN95" i="4"/>
  <c r="AO95" i="4" s="1"/>
  <c r="X95" i="4"/>
  <c r="Y95" i="4" s="1"/>
  <c r="AT95" i="4"/>
  <c r="AU95" i="4" s="1"/>
  <c r="AL95" i="4"/>
  <c r="AM95" i="4" s="1"/>
  <c r="AF95" i="4"/>
  <c r="AG95" i="4" s="1"/>
  <c r="AB95" i="4"/>
  <c r="AC95" i="4" s="1"/>
  <c r="Z95" i="4"/>
  <c r="AA95" i="4" s="1"/>
  <c r="T95" i="4"/>
  <c r="U95" i="4" s="1"/>
  <c r="J95" i="4"/>
  <c r="K95" i="4" s="1"/>
  <c r="L95" i="4"/>
  <c r="M95" i="4" s="1"/>
  <c r="I95" i="4"/>
  <c r="GF94" i="4"/>
  <c r="GG94" i="4" s="1"/>
  <c r="FZ94" i="4"/>
  <c r="GA94" i="4" s="1"/>
  <c r="FP94" i="4"/>
  <c r="FQ94" i="4" s="1"/>
  <c r="FJ94" i="4"/>
  <c r="FK94" i="4" s="1"/>
  <c r="EZ94" i="4"/>
  <c r="FA94" i="4" s="1"/>
  <c r="ET94" i="4"/>
  <c r="EU94" i="4" s="1"/>
  <c r="GD94" i="4"/>
  <c r="GE94" i="4" s="1"/>
  <c r="FT94" i="4"/>
  <c r="FU94" i="4" s="1"/>
  <c r="FN94" i="4"/>
  <c r="FO94" i="4" s="1"/>
  <c r="FD94" i="4"/>
  <c r="FE94" i="4" s="1"/>
  <c r="EX94" i="4"/>
  <c r="EY94" i="4" s="1"/>
  <c r="GB94" i="4"/>
  <c r="GC94" i="4" s="1"/>
  <c r="FV94" i="4"/>
  <c r="FW94" i="4" s="1"/>
  <c r="FL94" i="4"/>
  <c r="FM94" i="4" s="1"/>
  <c r="FF94" i="4"/>
  <c r="FG94" i="4" s="1"/>
  <c r="EV94" i="4"/>
  <c r="EW94" i="4" s="1"/>
  <c r="FX94" i="4"/>
  <c r="FY94" i="4" s="1"/>
  <c r="FB94" i="4"/>
  <c r="FC94" i="4" s="1"/>
  <c r="FR94" i="4"/>
  <c r="FS94" i="4" s="1"/>
  <c r="GH94" i="4"/>
  <c r="GI94" i="4" s="1"/>
  <c r="ES94" i="4"/>
  <c r="FH94" i="4"/>
  <c r="FI94" i="4" s="1"/>
  <c r="EQ95" i="4"/>
  <c r="ER95" i="4" s="1"/>
  <c r="BZ95" i="4"/>
  <c r="GF20" i="4"/>
  <c r="GG20" i="4" s="1"/>
  <c r="GB20" i="4"/>
  <c r="GC20" i="4" s="1"/>
  <c r="FX20" i="4"/>
  <c r="FY20" i="4" s="1"/>
  <c r="FT20" i="4"/>
  <c r="FU20" i="4" s="1"/>
  <c r="FP20" i="4"/>
  <c r="FQ20" i="4" s="1"/>
  <c r="FL20" i="4"/>
  <c r="FM20" i="4" s="1"/>
  <c r="FH20" i="4"/>
  <c r="FI20" i="4" s="1"/>
  <c r="FD20" i="4"/>
  <c r="FE20" i="4" s="1"/>
  <c r="EZ20" i="4"/>
  <c r="FA20" i="4" s="1"/>
  <c r="EV20" i="4"/>
  <c r="EW20" i="4" s="1"/>
  <c r="ES20" i="4"/>
  <c r="GH20" i="4"/>
  <c r="GI20" i="4" s="1"/>
  <c r="GD20" i="4"/>
  <c r="GE20" i="4" s="1"/>
  <c r="FZ20" i="4"/>
  <c r="GA20" i="4" s="1"/>
  <c r="FV20" i="4"/>
  <c r="FW20" i="4" s="1"/>
  <c r="FR20" i="4"/>
  <c r="FS20" i="4" s="1"/>
  <c r="FN20" i="4"/>
  <c r="FO20" i="4" s="1"/>
  <c r="FJ20" i="4"/>
  <c r="FK20" i="4" s="1"/>
  <c r="FF20" i="4"/>
  <c r="FG20" i="4" s="1"/>
  <c r="FB20" i="4"/>
  <c r="FC20" i="4" s="1"/>
  <c r="EX20" i="4"/>
  <c r="EY20" i="4" s="1"/>
  <c r="ET20" i="4"/>
  <c r="EU20" i="4" s="1"/>
  <c r="DP20" i="4"/>
  <c r="DQ20" i="4" s="1"/>
  <c r="DL20" i="4"/>
  <c r="DM20" i="4" s="1"/>
  <c r="DH20" i="4"/>
  <c r="DI20" i="4" s="1"/>
  <c r="DD20" i="4"/>
  <c r="DE20" i="4" s="1"/>
  <c r="CZ20" i="4"/>
  <c r="DA20" i="4" s="1"/>
  <c r="CV20" i="4"/>
  <c r="CW20" i="4" s="1"/>
  <c r="CR20" i="4"/>
  <c r="CS20" i="4" s="1"/>
  <c r="CN20" i="4"/>
  <c r="CO20" i="4" s="1"/>
  <c r="CJ20" i="4"/>
  <c r="CK20" i="4" s="1"/>
  <c r="CF20" i="4"/>
  <c r="CG20" i="4" s="1"/>
  <c r="CB20" i="4"/>
  <c r="CC20" i="4" s="1"/>
  <c r="DN20" i="4"/>
  <c r="DO20" i="4" s="1"/>
  <c r="CX20" i="4"/>
  <c r="CY20" i="4" s="1"/>
  <c r="CH20" i="4"/>
  <c r="CI20" i="4" s="1"/>
  <c r="DB20" i="4"/>
  <c r="DC20" i="4" s="1"/>
  <c r="CL20" i="4"/>
  <c r="CM20" i="4" s="1"/>
  <c r="DJ20" i="4"/>
  <c r="DK20" i="4" s="1"/>
  <c r="CT20" i="4"/>
  <c r="CU20" i="4" s="1"/>
  <c r="CD20" i="4"/>
  <c r="CE20" i="4" s="1"/>
  <c r="DF20" i="4"/>
  <c r="DG20" i="4" s="1"/>
  <c r="CP20" i="4"/>
  <c r="CQ20" i="4" s="1"/>
  <c r="CA20" i="4"/>
  <c r="BY25" i="4" l="1"/>
  <c r="H25" i="4"/>
  <c r="EQ147" i="4"/>
  <c r="ER147" i="4" s="1"/>
  <c r="BZ147" i="4"/>
  <c r="AP148" i="4"/>
  <c r="AQ148" i="4" s="1"/>
  <c r="AF148" i="4"/>
  <c r="AG148" i="4" s="1"/>
  <c r="AB148" i="4"/>
  <c r="AC148" i="4" s="1"/>
  <c r="V148" i="4"/>
  <c r="W148" i="4" s="1"/>
  <c r="AX148" i="4"/>
  <c r="AY148" i="4" s="1"/>
  <c r="AT148" i="4"/>
  <c r="AU148" i="4" s="1"/>
  <c r="T148" i="4"/>
  <c r="U148" i="4" s="1"/>
  <c r="L148" i="4"/>
  <c r="M148" i="4" s="1"/>
  <c r="AV148" i="4"/>
  <c r="AW148" i="4" s="1"/>
  <c r="AN148" i="4"/>
  <c r="AO148" i="4" s="1"/>
  <c r="AD148" i="4"/>
  <c r="AE148" i="4" s="1"/>
  <c r="Z148" i="4"/>
  <c r="AA148" i="4" s="1"/>
  <c r="X148" i="4"/>
  <c r="Y148" i="4" s="1"/>
  <c r="R148" i="4"/>
  <c r="S148" i="4" s="1"/>
  <c r="N148" i="4"/>
  <c r="O148" i="4" s="1"/>
  <c r="I148" i="4"/>
  <c r="AR148" i="4"/>
  <c r="AS148" i="4" s="1"/>
  <c r="AL148" i="4"/>
  <c r="AM148" i="4" s="1"/>
  <c r="AJ148" i="4"/>
  <c r="AK148" i="4" s="1"/>
  <c r="AH148" i="4"/>
  <c r="AI148" i="4" s="1"/>
  <c r="P148" i="4"/>
  <c r="Q148" i="4" s="1"/>
  <c r="J148" i="4"/>
  <c r="K148" i="4" s="1"/>
  <c r="DP146" i="4"/>
  <c r="DQ146" i="4" s="1"/>
  <c r="DL146" i="4"/>
  <c r="DM146" i="4" s="1"/>
  <c r="DH146" i="4"/>
  <c r="DI146" i="4" s="1"/>
  <c r="DD146" i="4"/>
  <c r="DE146" i="4" s="1"/>
  <c r="CZ146" i="4"/>
  <c r="DA146" i="4" s="1"/>
  <c r="CV146" i="4"/>
  <c r="CW146" i="4" s="1"/>
  <c r="CR146" i="4"/>
  <c r="CS146" i="4" s="1"/>
  <c r="CN146" i="4"/>
  <c r="CO146" i="4" s="1"/>
  <c r="CJ146" i="4"/>
  <c r="CK146" i="4" s="1"/>
  <c r="CF146" i="4"/>
  <c r="CG146" i="4" s="1"/>
  <c r="CB146" i="4"/>
  <c r="CC146" i="4" s="1"/>
  <c r="DN146" i="4"/>
  <c r="DO146" i="4" s="1"/>
  <c r="DJ146" i="4"/>
  <c r="DK146" i="4" s="1"/>
  <c r="DF146" i="4"/>
  <c r="DG146" i="4" s="1"/>
  <c r="DB146" i="4"/>
  <c r="DC146" i="4" s="1"/>
  <c r="CX146" i="4"/>
  <c r="CY146" i="4" s="1"/>
  <c r="CT146" i="4"/>
  <c r="CU146" i="4" s="1"/>
  <c r="CP146" i="4"/>
  <c r="CQ146" i="4" s="1"/>
  <c r="CL146" i="4"/>
  <c r="CM146" i="4" s="1"/>
  <c r="CH146" i="4"/>
  <c r="CI146" i="4" s="1"/>
  <c r="CD146" i="4"/>
  <c r="CE146" i="4" s="1"/>
  <c r="CA146" i="4"/>
  <c r="EQ148" i="4"/>
  <c r="ER148" i="4" s="1"/>
  <c r="BZ148" i="4"/>
  <c r="GH146" i="4"/>
  <c r="GI146" i="4" s="1"/>
  <c r="GD146" i="4"/>
  <c r="GE146" i="4" s="1"/>
  <c r="FZ146" i="4"/>
  <c r="GA146" i="4" s="1"/>
  <c r="FV146" i="4"/>
  <c r="FW146" i="4" s="1"/>
  <c r="FR146" i="4"/>
  <c r="FS146" i="4" s="1"/>
  <c r="FN146" i="4"/>
  <c r="FO146" i="4" s="1"/>
  <c r="FJ146" i="4"/>
  <c r="FK146" i="4" s="1"/>
  <c r="FF146" i="4"/>
  <c r="FG146" i="4" s="1"/>
  <c r="FB146" i="4"/>
  <c r="FC146" i="4" s="1"/>
  <c r="EX146" i="4"/>
  <c r="EY146" i="4" s="1"/>
  <c r="ET146" i="4"/>
  <c r="EU146" i="4" s="1"/>
  <c r="GF146" i="4"/>
  <c r="GG146" i="4" s="1"/>
  <c r="GB146" i="4"/>
  <c r="GC146" i="4" s="1"/>
  <c r="FX146" i="4"/>
  <c r="FY146" i="4" s="1"/>
  <c r="FT146" i="4"/>
  <c r="FU146" i="4" s="1"/>
  <c r="FP146" i="4"/>
  <c r="FQ146" i="4" s="1"/>
  <c r="FL146" i="4"/>
  <c r="FM146" i="4" s="1"/>
  <c r="FH146" i="4"/>
  <c r="FI146" i="4" s="1"/>
  <c r="FD146" i="4"/>
  <c r="FE146" i="4" s="1"/>
  <c r="EZ146" i="4"/>
  <c r="FA146" i="4" s="1"/>
  <c r="EV146" i="4"/>
  <c r="EW146" i="4" s="1"/>
  <c r="ES146" i="4"/>
  <c r="AR147" i="4"/>
  <c r="AS147" i="4" s="1"/>
  <c r="AL147" i="4"/>
  <c r="AM147" i="4" s="1"/>
  <c r="AJ147" i="4"/>
  <c r="AK147" i="4" s="1"/>
  <c r="AH147" i="4"/>
  <c r="AI147" i="4" s="1"/>
  <c r="P147" i="4"/>
  <c r="Q147" i="4" s="1"/>
  <c r="L147" i="4"/>
  <c r="M147" i="4" s="1"/>
  <c r="AX147" i="4"/>
  <c r="AY147" i="4" s="1"/>
  <c r="AP147" i="4"/>
  <c r="AQ147" i="4" s="1"/>
  <c r="AF147" i="4"/>
  <c r="AG147" i="4" s="1"/>
  <c r="AB147" i="4"/>
  <c r="AC147" i="4" s="1"/>
  <c r="V147" i="4"/>
  <c r="W147" i="4" s="1"/>
  <c r="AT147" i="4"/>
  <c r="AU147" i="4" s="1"/>
  <c r="T147" i="4"/>
  <c r="U147" i="4" s="1"/>
  <c r="J147" i="4"/>
  <c r="K147" i="4" s="1"/>
  <c r="AV147" i="4"/>
  <c r="AW147" i="4" s="1"/>
  <c r="AN147" i="4"/>
  <c r="AO147" i="4" s="1"/>
  <c r="AD147" i="4"/>
  <c r="AE147" i="4" s="1"/>
  <c r="Z147" i="4"/>
  <c r="AA147" i="4" s="1"/>
  <c r="X147" i="4"/>
  <c r="Y147" i="4" s="1"/>
  <c r="R147" i="4"/>
  <c r="S147" i="4" s="1"/>
  <c r="N147" i="4"/>
  <c r="O147" i="4" s="1"/>
  <c r="I147" i="4"/>
  <c r="DN134" i="4"/>
  <c r="DO134" i="4" s="1"/>
  <c r="DJ134" i="4"/>
  <c r="DK134" i="4" s="1"/>
  <c r="DF134" i="4"/>
  <c r="DG134" i="4" s="1"/>
  <c r="DB134" i="4"/>
  <c r="DC134" i="4" s="1"/>
  <c r="CX134" i="4"/>
  <c r="CY134" i="4" s="1"/>
  <c r="CT134" i="4"/>
  <c r="CU134" i="4" s="1"/>
  <c r="CP134" i="4"/>
  <c r="CQ134" i="4" s="1"/>
  <c r="CL134" i="4"/>
  <c r="CM134" i="4" s="1"/>
  <c r="CH134" i="4"/>
  <c r="CI134" i="4" s="1"/>
  <c r="CD134" i="4"/>
  <c r="CE134" i="4" s="1"/>
  <c r="CA134" i="4"/>
  <c r="DL134" i="4"/>
  <c r="DM134" i="4" s="1"/>
  <c r="DD134" i="4"/>
  <c r="DE134" i="4" s="1"/>
  <c r="CV134" i="4"/>
  <c r="CW134" i="4" s="1"/>
  <c r="CN134" i="4"/>
  <c r="CO134" i="4" s="1"/>
  <c r="CF134" i="4"/>
  <c r="CG134" i="4" s="1"/>
  <c r="DP134" i="4"/>
  <c r="DQ134" i="4" s="1"/>
  <c r="DH134" i="4"/>
  <c r="DI134" i="4" s="1"/>
  <c r="CZ134" i="4"/>
  <c r="DA134" i="4" s="1"/>
  <c r="CR134" i="4"/>
  <c r="CS134" i="4" s="1"/>
  <c r="CJ134" i="4"/>
  <c r="CK134" i="4" s="1"/>
  <c r="CB134" i="4"/>
  <c r="CC134" i="4" s="1"/>
  <c r="GH134" i="4"/>
  <c r="GI134" i="4" s="1"/>
  <c r="GD134" i="4"/>
  <c r="GE134" i="4" s="1"/>
  <c r="FZ134" i="4"/>
  <c r="GA134" i="4" s="1"/>
  <c r="FV134" i="4"/>
  <c r="FW134" i="4" s="1"/>
  <c r="FR134" i="4"/>
  <c r="FS134" i="4" s="1"/>
  <c r="FN134" i="4"/>
  <c r="FO134" i="4" s="1"/>
  <c r="FJ134" i="4"/>
  <c r="FK134" i="4" s="1"/>
  <c r="FF134" i="4"/>
  <c r="FG134" i="4" s="1"/>
  <c r="FB134" i="4"/>
  <c r="FC134" i="4" s="1"/>
  <c r="EX134" i="4"/>
  <c r="EY134" i="4" s="1"/>
  <c r="ET134" i="4"/>
  <c r="EU134" i="4" s="1"/>
  <c r="GF134" i="4"/>
  <c r="GG134" i="4" s="1"/>
  <c r="FP134" i="4"/>
  <c r="FQ134" i="4" s="1"/>
  <c r="EZ134" i="4"/>
  <c r="FA134" i="4" s="1"/>
  <c r="GB134" i="4"/>
  <c r="GC134" i="4" s="1"/>
  <c r="FL134" i="4"/>
  <c r="FM134" i="4" s="1"/>
  <c r="EV134" i="4"/>
  <c r="EW134" i="4" s="1"/>
  <c r="FT134" i="4"/>
  <c r="FU134" i="4" s="1"/>
  <c r="FD134" i="4"/>
  <c r="FE134" i="4" s="1"/>
  <c r="FX134" i="4"/>
  <c r="FY134" i="4" s="1"/>
  <c r="FH134" i="4"/>
  <c r="FI134" i="4" s="1"/>
  <c r="ES134" i="4"/>
  <c r="BY136" i="4"/>
  <c r="H136" i="4"/>
  <c r="AV135" i="4"/>
  <c r="AW135" i="4" s="1"/>
  <c r="AT135" i="4"/>
  <c r="AU135" i="4" s="1"/>
  <c r="AN135" i="4"/>
  <c r="AO135" i="4" s="1"/>
  <c r="AB135" i="4"/>
  <c r="AC135" i="4" s="1"/>
  <c r="X135" i="4"/>
  <c r="Y135" i="4" s="1"/>
  <c r="AP135" i="4"/>
  <c r="AQ135" i="4" s="1"/>
  <c r="T135" i="4"/>
  <c r="U135" i="4" s="1"/>
  <c r="AR135" i="4"/>
  <c r="AS135" i="4" s="1"/>
  <c r="AF135" i="4"/>
  <c r="AG135" i="4" s="1"/>
  <c r="Z135" i="4"/>
  <c r="AA135" i="4" s="1"/>
  <c r="V135" i="4"/>
  <c r="W135" i="4" s="1"/>
  <c r="AX135" i="4"/>
  <c r="AY135" i="4" s="1"/>
  <c r="AL135" i="4"/>
  <c r="AM135" i="4" s="1"/>
  <c r="AH135" i="4"/>
  <c r="AI135" i="4" s="1"/>
  <c r="AJ135" i="4"/>
  <c r="AK135" i="4" s="1"/>
  <c r="P135" i="4"/>
  <c r="Q135" i="4" s="1"/>
  <c r="N135" i="4"/>
  <c r="O135" i="4" s="1"/>
  <c r="J135" i="4"/>
  <c r="K135" i="4" s="1"/>
  <c r="R135" i="4"/>
  <c r="S135" i="4" s="1"/>
  <c r="L135" i="4"/>
  <c r="M135" i="4" s="1"/>
  <c r="I135" i="4"/>
  <c r="AD135" i="4"/>
  <c r="AE135" i="4" s="1"/>
  <c r="D140" i="4"/>
  <c r="G137" i="4"/>
  <c r="EQ135" i="4"/>
  <c r="ER135" i="4" s="1"/>
  <c r="BZ135" i="4"/>
  <c r="G98" i="4"/>
  <c r="BY97" i="4"/>
  <c r="H97" i="4"/>
  <c r="DP95" i="4"/>
  <c r="DQ95" i="4" s="1"/>
  <c r="DL95" i="4"/>
  <c r="DM95" i="4" s="1"/>
  <c r="DH95" i="4"/>
  <c r="DI95" i="4" s="1"/>
  <c r="DD95" i="4"/>
  <c r="DE95" i="4" s="1"/>
  <c r="CZ95" i="4"/>
  <c r="DA95" i="4" s="1"/>
  <c r="CV95" i="4"/>
  <c r="CW95" i="4" s="1"/>
  <c r="CR95" i="4"/>
  <c r="CS95" i="4" s="1"/>
  <c r="CN95" i="4"/>
  <c r="CO95" i="4" s="1"/>
  <c r="CJ95" i="4"/>
  <c r="CK95" i="4" s="1"/>
  <c r="CF95" i="4"/>
  <c r="CG95" i="4" s="1"/>
  <c r="CB95" i="4"/>
  <c r="CC95" i="4" s="1"/>
  <c r="DF95" i="4"/>
  <c r="DG95" i="4" s="1"/>
  <c r="CP95" i="4"/>
  <c r="CQ95" i="4" s="1"/>
  <c r="CA95" i="4"/>
  <c r="DB95" i="4"/>
  <c r="DC95" i="4" s="1"/>
  <c r="CL95" i="4"/>
  <c r="CM95" i="4" s="1"/>
  <c r="DN95" i="4"/>
  <c r="DO95" i="4" s="1"/>
  <c r="CX95" i="4"/>
  <c r="CY95" i="4" s="1"/>
  <c r="CH95" i="4"/>
  <c r="CI95" i="4" s="1"/>
  <c r="DJ95" i="4"/>
  <c r="DK95" i="4" s="1"/>
  <c r="CT95" i="4"/>
  <c r="CU95" i="4" s="1"/>
  <c r="CD95" i="4"/>
  <c r="CE95" i="4" s="1"/>
  <c r="AP96" i="4"/>
  <c r="AQ96" i="4" s="1"/>
  <c r="AD96" i="4"/>
  <c r="AE96" i="4" s="1"/>
  <c r="R96" i="4"/>
  <c r="S96" i="4" s="1"/>
  <c r="P96" i="4"/>
  <c r="Q96" i="4" s="1"/>
  <c r="AX96" i="4"/>
  <c r="AY96" i="4" s="1"/>
  <c r="AR96" i="4"/>
  <c r="AS96" i="4" s="1"/>
  <c r="AN96" i="4"/>
  <c r="AO96" i="4" s="1"/>
  <c r="X96" i="4"/>
  <c r="Y96" i="4" s="1"/>
  <c r="AT96" i="4"/>
  <c r="AU96" i="4" s="1"/>
  <c r="AL96" i="4"/>
  <c r="AM96" i="4" s="1"/>
  <c r="AF96" i="4"/>
  <c r="AG96" i="4" s="1"/>
  <c r="AB96" i="4"/>
  <c r="AC96" i="4" s="1"/>
  <c r="Z96" i="4"/>
  <c r="AA96" i="4" s="1"/>
  <c r="T96" i="4"/>
  <c r="U96" i="4" s="1"/>
  <c r="AV96" i="4"/>
  <c r="AW96" i="4" s="1"/>
  <c r="AJ96" i="4"/>
  <c r="AK96" i="4" s="1"/>
  <c r="AH96" i="4"/>
  <c r="AI96" i="4" s="1"/>
  <c r="V96" i="4"/>
  <c r="W96" i="4" s="1"/>
  <c r="N96" i="4"/>
  <c r="O96" i="4" s="1"/>
  <c r="J96" i="4"/>
  <c r="K96" i="4" s="1"/>
  <c r="I96" i="4"/>
  <c r="L96" i="4"/>
  <c r="M96" i="4" s="1"/>
  <c r="GH95" i="4"/>
  <c r="GI95" i="4" s="1"/>
  <c r="GD95" i="4"/>
  <c r="GE95" i="4" s="1"/>
  <c r="FZ95" i="4"/>
  <c r="GA95" i="4" s="1"/>
  <c r="FV95" i="4"/>
  <c r="FW95" i="4" s="1"/>
  <c r="FR95" i="4"/>
  <c r="FS95" i="4" s="1"/>
  <c r="FN95" i="4"/>
  <c r="FO95" i="4" s="1"/>
  <c r="FJ95" i="4"/>
  <c r="FK95" i="4" s="1"/>
  <c r="FF95" i="4"/>
  <c r="FG95" i="4" s="1"/>
  <c r="FB95" i="4"/>
  <c r="FC95" i="4" s="1"/>
  <c r="EX95" i="4"/>
  <c r="EY95" i="4" s="1"/>
  <c r="ET95" i="4"/>
  <c r="EU95" i="4" s="1"/>
  <c r="FX95" i="4"/>
  <c r="FY95" i="4" s="1"/>
  <c r="FH95" i="4"/>
  <c r="FI95" i="4" s="1"/>
  <c r="ES95" i="4"/>
  <c r="GB95" i="4"/>
  <c r="GC95" i="4" s="1"/>
  <c r="FL95" i="4"/>
  <c r="FM95" i="4" s="1"/>
  <c r="EV95" i="4"/>
  <c r="EW95" i="4" s="1"/>
  <c r="FT95" i="4"/>
  <c r="FU95" i="4" s="1"/>
  <c r="FD95" i="4"/>
  <c r="FE95" i="4" s="1"/>
  <c r="GF95" i="4"/>
  <c r="GG95" i="4" s="1"/>
  <c r="EZ95" i="4"/>
  <c r="FA95" i="4" s="1"/>
  <c r="FP95" i="4"/>
  <c r="FQ95" i="4" s="1"/>
  <c r="EQ96" i="4"/>
  <c r="ER96" i="4" s="1"/>
  <c r="BZ96" i="4"/>
  <c r="GF148" i="4" l="1"/>
  <c r="GG148" i="4" s="1"/>
  <c r="GB148" i="4"/>
  <c r="GC148" i="4" s="1"/>
  <c r="FX148" i="4"/>
  <c r="FY148" i="4" s="1"/>
  <c r="FT148" i="4"/>
  <c r="FU148" i="4" s="1"/>
  <c r="FP148" i="4"/>
  <c r="FQ148" i="4" s="1"/>
  <c r="FL148" i="4"/>
  <c r="FM148" i="4" s="1"/>
  <c r="FH148" i="4"/>
  <c r="FI148" i="4" s="1"/>
  <c r="FD148" i="4"/>
  <c r="FE148" i="4" s="1"/>
  <c r="EZ148" i="4"/>
  <c r="FA148" i="4" s="1"/>
  <c r="EV148" i="4"/>
  <c r="EW148" i="4" s="1"/>
  <c r="ES148" i="4"/>
  <c r="GH148" i="4"/>
  <c r="GI148" i="4" s="1"/>
  <c r="GD148" i="4"/>
  <c r="GE148" i="4" s="1"/>
  <c r="FZ148" i="4"/>
  <c r="GA148" i="4" s="1"/>
  <c r="FV148" i="4"/>
  <c r="FW148" i="4" s="1"/>
  <c r="FR148" i="4"/>
  <c r="FS148" i="4" s="1"/>
  <c r="FN148" i="4"/>
  <c r="FO148" i="4" s="1"/>
  <c r="FJ148" i="4"/>
  <c r="FK148" i="4" s="1"/>
  <c r="FF148" i="4"/>
  <c r="FG148" i="4" s="1"/>
  <c r="FB148" i="4"/>
  <c r="FC148" i="4" s="1"/>
  <c r="EX148" i="4"/>
  <c r="EY148" i="4" s="1"/>
  <c r="ET148" i="4"/>
  <c r="EU148" i="4" s="1"/>
  <c r="EQ25" i="4"/>
  <c r="ER25" i="4" s="1"/>
  <c r="BZ25" i="4"/>
  <c r="DN147" i="4"/>
  <c r="DO147" i="4" s="1"/>
  <c r="DJ147" i="4"/>
  <c r="DK147" i="4" s="1"/>
  <c r="DF147" i="4"/>
  <c r="DG147" i="4" s="1"/>
  <c r="DB147" i="4"/>
  <c r="DC147" i="4" s="1"/>
  <c r="CX147" i="4"/>
  <c r="CY147" i="4" s="1"/>
  <c r="CT147" i="4"/>
  <c r="CU147" i="4" s="1"/>
  <c r="CP147" i="4"/>
  <c r="CQ147" i="4" s="1"/>
  <c r="CL147" i="4"/>
  <c r="CM147" i="4" s="1"/>
  <c r="CH147" i="4"/>
  <c r="CI147" i="4" s="1"/>
  <c r="CD147" i="4"/>
  <c r="CE147" i="4" s="1"/>
  <c r="CA147" i="4"/>
  <c r="DP147" i="4"/>
  <c r="DQ147" i="4" s="1"/>
  <c r="DL147" i="4"/>
  <c r="DM147" i="4" s="1"/>
  <c r="DH147" i="4"/>
  <c r="DI147" i="4" s="1"/>
  <c r="DD147" i="4"/>
  <c r="DE147" i="4" s="1"/>
  <c r="CZ147" i="4"/>
  <c r="DA147" i="4" s="1"/>
  <c r="CV147" i="4"/>
  <c r="CW147" i="4" s="1"/>
  <c r="CR147" i="4"/>
  <c r="CS147" i="4" s="1"/>
  <c r="CN147" i="4"/>
  <c r="CO147" i="4" s="1"/>
  <c r="CJ147" i="4"/>
  <c r="CK147" i="4" s="1"/>
  <c r="CF147" i="4"/>
  <c r="CG147" i="4" s="1"/>
  <c r="CB147" i="4"/>
  <c r="CC147" i="4" s="1"/>
  <c r="GF147" i="4"/>
  <c r="GG147" i="4" s="1"/>
  <c r="GB147" i="4"/>
  <c r="GC147" i="4" s="1"/>
  <c r="FX147" i="4"/>
  <c r="FY147" i="4" s="1"/>
  <c r="FT147" i="4"/>
  <c r="FU147" i="4" s="1"/>
  <c r="FP147" i="4"/>
  <c r="FQ147" i="4" s="1"/>
  <c r="FL147" i="4"/>
  <c r="FM147" i="4" s="1"/>
  <c r="FH147" i="4"/>
  <c r="FI147" i="4" s="1"/>
  <c r="FD147" i="4"/>
  <c r="FE147" i="4" s="1"/>
  <c r="EZ147" i="4"/>
  <c r="FA147" i="4" s="1"/>
  <c r="EV147" i="4"/>
  <c r="EW147" i="4" s="1"/>
  <c r="ES147" i="4"/>
  <c r="GH147" i="4"/>
  <c r="GI147" i="4" s="1"/>
  <c r="FR147" i="4"/>
  <c r="FS147" i="4" s="1"/>
  <c r="FB147" i="4"/>
  <c r="FC147" i="4" s="1"/>
  <c r="GD147" i="4"/>
  <c r="GE147" i="4" s="1"/>
  <c r="FN147" i="4"/>
  <c r="FO147" i="4" s="1"/>
  <c r="EX147" i="4"/>
  <c r="EY147" i="4" s="1"/>
  <c r="FV147" i="4"/>
  <c r="FW147" i="4" s="1"/>
  <c r="FF147" i="4"/>
  <c r="FG147" i="4" s="1"/>
  <c r="FZ147" i="4"/>
  <c r="GA147" i="4" s="1"/>
  <c r="FJ147" i="4"/>
  <c r="FK147" i="4" s="1"/>
  <c r="ET147" i="4"/>
  <c r="EU147" i="4" s="1"/>
  <c r="DP148" i="4"/>
  <c r="DQ148" i="4" s="1"/>
  <c r="DL148" i="4"/>
  <c r="DM148" i="4" s="1"/>
  <c r="DH148" i="4"/>
  <c r="DI148" i="4" s="1"/>
  <c r="DD148" i="4"/>
  <c r="DE148" i="4" s="1"/>
  <c r="CZ148" i="4"/>
  <c r="DA148" i="4" s="1"/>
  <c r="CV148" i="4"/>
  <c r="CW148" i="4" s="1"/>
  <c r="CR148" i="4"/>
  <c r="CS148" i="4" s="1"/>
  <c r="CN148" i="4"/>
  <c r="CO148" i="4" s="1"/>
  <c r="CJ148" i="4"/>
  <c r="CK148" i="4" s="1"/>
  <c r="CF148" i="4"/>
  <c r="CG148" i="4" s="1"/>
  <c r="CB148" i="4"/>
  <c r="CC148" i="4" s="1"/>
  <c r="DN148" i="4"/>
  <c r="DO148" i="4" s="1"/>
  <c r="DJ148" i="4"/>
  <c r="DK148" i="4" s="1"/>
  <c r="DF148" i="4"/>
  <c r="DG148" i="4" s="1"/>
  <c r="DB148" i="4"/>
  <c r="DC148" i="4" s="1"/>
  <c r="CX148" i="4"/>
  <c r="CY148" i="4" s="1"/>
  <c r="CT148" i="4"/>
  <c r="CU148" i="4" s="1"/>
  <c r="CP148" i="4"/>
  <c r="CQ148" i="4" s="1"/>
  <c r="CL148" i="4"/>
  <c r="CM148" i="4" s="1"/>
  <c r="CH148" i="4"/>
  <c r="CI148" i="4" s="1"/>
  <c r="CD148" i="4"/>
  <c r="CE148" i="4" s="1"/>
  <c r="CA148" i="4"/>
  <c r="AP25" i="4"/>
  <c r="AQ25" i="4" s="1"/>
  <c r="AF25" i="4"/>
  <c r="AG25" i="4" s="1"/>
  <c r="AB25" i="4"/>
  <c r="AC25" i="4" s="1"/>
  <c r="Z25" i="4"/>
  <c r="AA25" i="4" s="1"/>
  <c r="T25" i="4"/>
  <c r="U25" i="4" s="1"/>
  <c r="P25" i="4"/>
  <c r="Q25" i="4" s="1"/>
  <c r="AX25" i="4"/>
  <c r="AY25" i="4" s="1"/>
  <c r="AT25" i="4"/>
  <c r="AU25" i="4" s="1"/>
  <c r="AN25" i="4"/>
  <c r="AO25" i="4" s="1"/>
  <c r="AL25" i="4"/>
  <c r="AM25" i="4" s="1"/>
  <c r="AJ25" i="4"/>
  <c r="AK25" i="4" s="1"/>
  <c r="R25" i="4"/>
  <c r="S25" i="4" s="1"/>
  <c r="AR25" i="4"/>
  <c r="AS25" i="4" s="1"/>
  <c r="AH25" i="4"/>
  <c r="AI25" i="4" s="1"/>
  <c r="AD25" i="4"/>
  <c r="AE25" i="4" s="1"/>
  <c r="X25" i="4"/>
  <c r="Y25" i="4" s="1"/>
  <c r="V25" i="4"/>
  <c r="W25" i="4" s="1"/>
  <c r="N25" i="4"/>
  <c r="O25" i="4" s="1"/>
  <c r="L25" i="4"/>
  <c r="M25" i="4" s="1"/>
  <c r="J25" i="4"/>
  <c r="K25" i="4" s="1"/>
  <c r="AV25" i="4"/>
  <c r="AW25" i="4" s="1"/>
  <c r="I25" i="4"/>
  <c r="D24" i="4"/>
  <c r="G140" i="4"/>
  <c r="BY137" i="4"/>
  <c r="H137" i="4"/>
  <c r="G138" i="4"/>
  <c r="AP136" i="4"/>
  <c r="AQ136" i="4" s="1"/>
  <c r="AL136" i="4"/>
  <c r="AM136" i="4" s="1"/>
  <c r="AJ136" i="4"/>
  <c r="AK136" i="4" s="1"/>
  <c r="AH136" i="4"/>
  <c r="AI136" i="4" s="1"/>
  <c r="AD136" i="4"/>
  <c r="AE136" i="4" s="1"/>
  <c r="AV136" i="4"/>
  <c r="AW136" i="4" s="1"/>
  <c r="AT136" i="4"/>
  <c r="AU136" i="4" s="1"/>
  <c r="AN136" i="4"/>
  <c r="AO136" i="4" s="1"/>
  <c r="AB136" i="4"/>
  <c r="AC136" i="4" s="1"/>
  <c r="X136" i="4"/>
  <c r="Y136" i="4" s="1"/>
  <c r="AR136" i="4"/>
  <c r="AS136" i="4" s="1"/>
  <c r="Z136" i="4"/>
  <c r="AA136" i="4" s="1"/>
  <c r="P136" i="4"/>
  <c r="Q136" i="4" s="1"/>
  <c r="N136" i="4"/>
  <c r="O136" i="4" s="1"/>
  <c r="L136" i="4"/>
  <c r="M136" i="4" s="1"/>
  <c r="AF136" i="4"/>
  <c r="AG136" i="4" s="1"/>
  <c r="R136" i="4"/>
  <c r="S136" i="4" s="1"/>
  <c r="AX136" i="4"/>
  <c r="AY136" i="4" s="1"/>
  <c r="V136" i="4"/>
  <c r="W136" i="4" s="1"/>
  <c r="T136" i="4"/>
  <c r="U136" i="4" s="1"/>
  <c r="J136" i="4"/>
  <c r="K136" i="4" s="1"/>
  <c r="I136" i="4"/>
  <c r="DP135" i="4"/>
  <c r="DQ135" i="4" s="1"/>
  <c r="DL135" i="4"/>
  <c r="DM135" i="4" s="1"/>
  <c r="DH135" i="4"/>
  <c r="DI135" i="4" s="1"/>
  <c r="DD135" i="4"/>
  <c r="DE135" i="4" s="1"/>
  <c r="CZ135" i="4"/>
  <c r="DA135" i="4" s="1"/>
  <c r="CV135" i="4"/>
  <c r="CW135" i="4" s="1"/>
  <c r="CR135" i="4"/>
  <c r="CS135" i="4" s="1"/>
  <c r="CN135" i="4"/>
  <c r="CO135" i="4" s="1"/>
  <c r="CJ135" i="4"/>
  <c r="CK135" i="4" s="1"/>
  <c r="CF135" i="4"/>
  <c r="CG135" i="4" s="1"/>
  <c r="CB135" i="4"/>
  <c r="CC135" i="4" s="1"/>
  <c r="DN135" i="4"/>
  <c r="DO135" i="4" s="1"/>
  <c r="DF135" i="4"/>
  <c r="DG135" i="4" s="1"/>
  <c r="CX135" i="4"/>
  <c r="CY135" i="4" s="1"/>
  <c r="CP135" i="4"/>
  <c r="CQ135" i="4" s="1"/>
  <c r="CH135" i="4"/>
  <c r="CI135" i="4" s="1"/>
  <c r="CA135" i="4"/>
  <c r="DJ135" i="4"/>
  <c r="DK135" i="4" s="1"/>
  <c r="CD135" i="4"/>
  <c r="CE135" i="4" s="1"/>
  <c r="CT135" i="4"/>
  <c r="CU135" i="4" s="1"/>
  <c r="DB135" i="4"/>
  <c r="DC135" i="4" s="1"/>
  <c r="CL135" i="4"/>
  <c r="CM135" i="4" s="1"/>
  <c r="EQ136" i="4"/>
  <c r="ER136" i="4" s="1"/>
  <c r="BZ136" i="4"/>
  <c r="GH135" i="4"/>
  <c r="GI135" i="4" s="1"/>
  <c r="GD135" i="4"/>
  <c r="GE135" i="4" s="1"/>
  <c r="FZ135" i="4"/>
  <c r="GA135" i="4" s="1"/>
  <c r="FV135" i="4"/>
  <c r="FW135" i="4" s="1"/>
  <c r="FR135" i="4"/>
  <c r="FS135" i="4" s="1"/>
  <c r="FN135" i="4"/>
  <c r="FO135" i="4" s="1"/>
  <c r="FJ135" i="4"/>
  <c r="FK135" i="4" s="1"/>
  <c r="FF135" i="4"/>
  <c r="FG135" i="4" s="1"/>
  <c r="FB135" i="4"/>
  <c r="FC135" i="4" s="1"/>
  <c r="EX135" i="4"/>
  <c r="EY135" i="4" s="1"/>
  <c r="ET135" i="4"/>
  <c r="EU135" i="4" s="1"/>
  <c r="GF135" i="4"/>
  <c r="GG135" i="4" s="1"/>
  <c r="GB135" i="4"/>
  <c r="GC135" i="4" s="1"/>
  <c r="FX135" i="4"/>
  <c r="FY135" i="4" s="1"/>
  <c r="FT135" i="4"/>
  <c r="FU135" i="4" s="1"/>
  <c r="FP135" i="4"/>
  <c r="FQ135" i="4" s="1"/>
  <c r="FL135" i="4"/>
  <c r="FM135" i="4" s="1"/>
  <c r="FH135" i="4"/>
  <c r="FI135" i="4" s="1"/>
  <c r="FD135" i="4"/>
  <c r="FE135" i="4" s="1"/>
  <c r="EZ135" i="4"/>
  <c r="FA135" i="4" s="1"/>
  <c r="EV135" i="4"/>
  <c r="EW135" i="4" s="1"/>
  <c r="ES135" i="4"/>
  <c r="AR97" i="4"/>
  <c r="AS97" i="4" s="1"/>
  <c r="AN97" i="4"/>
  <c r="AO97" i="4" s="1"/>
  <c r="X97" i="4"/>
  <c r="Y97" i="4" s="1"/>
  <c r="AX97" i="4"/>
  <c r="AY97" i="4" s="1"/>
  <c r="AT97" i="4"/>
  <c r="AU97" i="4" s="1"/>
  <c r="AL97" i="4"/>
  <c r="AM97" i="4" s="1"/>
  <c r="AF97" i="4"/>
  <c r="AG97" i="4" s="1"/>
  <c r="AB97" i="4"/>
  <c r="AC97" i="4" s="1"/>
  <c r="Z97" i="4"/>
  <c r="AA97" i="4" s="1"/>
  <c r="T97" i="4"/>
  <c r="U97" i="4" s="1"/>
  <c r="AV97" i="4"/>
  <c r="AW97" i="4" s="1"/>
  <c r="AJ97" i="4"/>
  <c r="AK97" i="4" s="1"/>
  <c r="AH97" i="4"/>
  <c r="AI97" i="4" s="1"/>
  <c r="V97" i="4"/>
  <c r="W97" i="4" s="1"/>
  <c r="N97" i="4"/>
  <c r="O97" i="4" s="1"/>
  <c r="AP97" i="4"/>
  <c r="AQ97" i="4" s="1"/>
  <c r="AD97" i="4"/>
  <c r="AE97" i="4" s="1"/>
  <c r="R97" i="4"/>
  <c r="S97" i="4" s="1"/>
  <c r="P97" i="4"/>
  <c r="Q97" i="4" s="1"/>
  <c r="L97" i="4"/>
  <c r="M97" i="4" s="1"/>
  <c r="I97" i="4"/>
  <c r="J97" i="4"/>
  <c r="K97" i="4" s="1"/>
  <c r="G99" i="4"/>
  <c r="GH96" i="4"/>
  <c r="GI96" i="4" s="1"/>
  <c r="GD96" i="4"/>
  <c r="GE96" i="4" s="1"/>
  <c r="FZ96" i="4"/>
  <c r="GA96" i="4" s="1"/>
  <c r="FV96" i="4"/>
  <c r="FW96" i="4" s="1"/>
  <c r="GF96" i="4"/>
  <c r="GG96" i="4" s="1"/>
  <c r="FX96" i="4"/>
  <c r="FY96" i="4" s="1"/>
  <c r="FR96" i="4"/>
  <c r="FS96" i="4" s="1"/>
  <c r="FL96" i="4"/>
  <c r="FM96" i="4" s="1"/>
  <c r="FB96" i="4"/>
  <c r="FC96" i="4" s="1"/>
  <c r="EV96" i="4"/>
  <c r="EW96" i="4" s="1"/>
  <c r="FP96" i="4"/>
  <c r="FQ96" i="4" s="1"/>
  <c r="FF96" i="4"/>
  <c r="FG96" i="4" s="1"/>
  <c r="EZ96" i="4"/>
  <c r="FA96" i="4" s="1"/>
  <c r="FN96" i="4"/>
  <c r="FO96" i="4" s="1"/>
  <c r="FH96" i="4"/>
  <c r="FI96" i="4" s="1"/>
  <c r="EX96" i="4"/>
  <c r="EY96" i="4" s="1"/>
  <c r="ES96" i="4"/>
  <c r="ET96" i="4"/>
  <c r="EU96" i="4" s="1"/>
  <c r="FJ96" i="4"/>
  <c r="FK96" i="4" s="1"/>
  <c r="GB96" i="4"/>
  <c r="GC96" i="4" s="1"/>
  <c r="FD96" i="4"/>
  <c r="FE96" i="4" s="1"/>
  <c r="FT96" i="4"/>
  <c r="FU96" i="4" s="1"/>
  <c r="EQ97" i="4"/>
  <c r="ER97" i="4" s="1"/>
  <c r="BZ97" i="4"/>
  <c r="BY98" i="4"/>
  <c r="H98" i="4"/>
  <c r="DP96" i="4"/>
  <c r="DQ96" i="4" s="1"/>
  <c r="DL96" i="4"/>
  <c r="DM96" i="4" s="1"/>
  <c r="DH96" i="4"/>
  <c r="DI96" i="4" s="1"/>
  <c r="DD96" i="4"/>
  <c r="DE96" i="4" s="1"/>
  <c r="CZ96" i="4"/>
  <c r="DA96" i="4" s="1"/>
  <c r="CV96" i="4"/>
  <c r="CW96" i="4" s="1"/>
  <c r="CR96" i="4"/>
  <c r="CS96" i="4" s="1"/>
  <c r="CN96" i="4"/>
  <c r="CO96" i="4" s="1"/>
  <c r="DN96" i="4"/>
  <c r="DO96" i="4" s="1"/>
  <c r="DJ96" i="4"/>
  <c r="DK96" i="4" s="1"/>
  <c r="DF96" i="4"/>
  <c r="DG96" i="4" s="1"/>
  <c r="DB96" i="4"/>
  <c r="DC96" i="4" s="1"/>
  <c r="CX96" i="4"/>
  <c r="CY96" i="4" s="1"/>
  <c r="CT96" i="4"/>
  <c r="CU96" i="4" s="1"/>
  <c r="CP96" i="4"/>
  <c r="CQ96" i="4" s="1"/>
  <c r="CL96" i="4"/>
  <c r="CM96" i="4" s="1"/>
  <c r="CH96" i="4"/>
  <c r="CI96" i="4" s="1"/>
  <c r="CD96" i="4"/>
  <c r="CE96" i="4" s="1"/>
  <c r="CA96" i="4"/>
  <c r="CJ96" i="4"/>
  <c r="CK96" i="4" s="1"/>
  <c r="CF96" i="4"/>
  <c r="CG96" i="4" s="1"/>
  <c r="CB96" i="4"/>
  <c r="CC96" i="4" s="1"/>
  <c r="DP25" i="4" l="1"/>
  <c r="DQ25" i="4" s="1"/>
  <c r="DL25" i="4"/>
  <c r="DM25" i="4" s="1"/>
  <c r="DH25" i="4"/>
  <c r="DI25" i="4" s="1"/>
  <c r="DD25" i="4"/>
  <c r="DE25" i="4" s="1"/>
  <c r="CZ25" i="4"/>
  <c r="DA25" i="4" s="1"/>
  <c r="CV25" i="4"/>
  <c r="CW25" i="4" s="1"/>
  <c r="DN25" i="4"/>
  <c r="DO25" i="4" s="1"/>
  <c r="DJ25" i="4"/>
  <c r="DK25" i="4" s="1"/>
  <c r="DF25" i="4"/>
  <c r="DG25" i="4" s="1"/>
  <c r="DB25" i="4"/>
  <c r="DC25" i="4" s="1"/>
  <c r="CX25" i="4"/>
  <c r="CY25" i="4" s="1"/>
  <c r="CT25" i="4"/>
  <c r="CU25" i="4" s="1"/>
  <c r="CR25" i="4"/>
  <c r="CS25" i="4" s="1"/>
  <c r="CN25" i="4"/>
  <c r="CO25" i="4" s="1"/>
  <c r="CJ25" i="4"/>
  <c r="CK25" i="4" s="1"/>
  <c r="CF25" i="4"/>
  <c r="CG25" i="4" s="1"/>
  <c r="CB25" i="4"/>
  <c r="CC25" i="4" s="1"/>
  <c r="CP25" i="4"/>
  <c r="CQ25" i="4" s="1"/>
  <c r="CA25" i="4"/>
  <c r="CL25" i="4"/>
  <c r="CM25" i="4" s="1"/>
  <c r="CH25" i="4"/>
  <c r="CI25" i="4" s="1"/>
  <c r="CD25" i="4"/>
  <c r="CE25" i="4" s="1"/>
  <c r="GF25" i="4"/>
  <c r="GG25" i="4" s="1"/>
  <c r="GB25" i="4"/>
  <c r="GC25" i="4" s="1"/>
  <c r="FX25" i="4"/>
  <c r="FY25" i="4" s="1"/>
  <c r="FT25" i="4"/>
  <c r="FU25" i="4" s="1"/>
  <c r="FP25" i="4"/>
  <c r="FQ25" i="4" s="1"/>
  <c r="FL25" i="4"/>
  <c r="FM25" i="4" s="1"/>
  <c r="FH25" i="4"/>
  <c r="FI25" i="4" s="1"/>
  <c r="FD25" i="4"/>
  <c r="FE25" i="4" s="1"/>
  <c r="EZ25" i="4"/>
  <c r="FA25" i="4" s="1"/>
  <c r="FV25" i="4"/>
  <c r="FW25" i="4" s="1"/>
  <c r="FF25" i="4"/>
  <c r="FG25" i="4" s="1"/>
  <c r="ET25" i="4"/>
  <c r="EU25" i="4" s="1"/>
  <c r="GH25" i="4"/>
  <c r="GI25" i="4" s="1"/>
  <c r="FR25" i="4"/>
  <c r="FS25" i="4" s="1"/>
  <c r="FB25" i="4"/>
  <c r="FC25" i="4" s="1"/>
  <c r="ES25" i="4"/>
  <c r="FZ25" i="4"/>
  <c r="GA25" i="4" s="1"/>
  <c r="FJ25" i="4"/>
  <c r="FK25" i="4" s="1"/>
  <c r="EV25" i="4"/>
  <c r="EW25" i="4" s="1"/>
  <c r="GD25" i="4"/>
  <c r="GE25" i="4" s="1"/>
  <c r="FN25" i="4"/>
  <c r="FO25" i="4" s="1"/>
  <c r="EX25" i="4"/>
  <c r="EY25" i="4" s="1"/>
  <c r="GF136" i="4"/>
  <c r="GG136" i="4" s="1"/>
  <c r="GB136" i="4"/>
  <c r="GC136" i="4" s="1"/>
  <c r="FX136" i="4"/>
  <c r="FY136" i="4" s="1"/>
  <c r="FT136" i="4"/>
  <c r="FU136" i="4" s="1"/>
  <c r="FP136" i="4"/>
  <c r="FQ136" i="4" s="1"/>
  <c r="FL136" i="4"/>
  <c r="FM136" i="4" s="1"/>
  <c r="FH136" i="4"/>
  <c r="FI136" i="4" s="1"/>
  <c r="FD136" i="4"/>
  <c r="FE136" i="4" s="1"/>
  <c r="EZ136" i="4"/>
  <c r="FA136" i="4" s="1"/>
  <c r="EV136" i="4"/>
  <c r="EW136" i="4" s="1"/>
  <c r="ES136" i="4"/>
  <c r="FV136" i="4"/>
  <c r="FW136" i="4" s="1"/>
  <c r="FF136" i="4"/>
  <c r="FG136" i="4" s="1"/>
  <c r="GH136" i="4"/>
  <c r="GI136" i="4" s="1"/>
  <c r="FR136" i="4"/>
  <c r="FS136" i="4" s="1"/>
  <c r="FB136" i="4"/>
  <c r="FC136" i="4" s="1"/>
  <c r="FZ136" i="4"/>
  <c r="GA136" i="4" s="1"/>
  <c r="FJ136" i="4"/>
  <c r="FK136" i="4" s="1"/>
  <c r="ET136" i="4"/>
  <c r="EU136" i="4" s="1"/>
  <c r="EX136" i="4"/>
  <c r="EY136" i="4" s="1"/>
  <c r="GD136" i="4"/>
  <c r="GE136" i="4" s="1"/>
  <c r="FN136" i="4"/>
  <c r="FO136" i="4" s="1"/>
  <c r="EQ137" i="4"/>
  <c r="ER137" i="4" s="1"/>
  <c r="BZ137" i="4"/>
  <c r="BY140" i="4"/>
  <c r="H140" i="4"/>
  <c r="BY138" i="4"/>
  <c r="H138" i="4"/>
  <c r="G24" i="4"/>
  <c r="DN136" i="4"/>
  <c r="DO136" i="4" s="1"/>
  <c r="DJ136" i="4"/>
  <c r="DK136" i="4" s="1"/>
  <c r="DF136" i="4"/>
  <c r="DG136" i="4" s="1"/>
  <c r="DB136" i="4"/>
  <c r="DC136" i="4" s="1"/>
  <c r="CX136" i="4"/>
  <c r="CY136" i="4" s="1"/>
  <c r="CT136" i="4"/>
  <c r="CU136" i="4" s="1"/>
  <c r="CP136" i="4"/>
  <c r="CQ136" i="4" s="1"/>
  <c r="CL136" i="4"/>
  <c r="CM136" i="4" s="1"/>
  <c r="CH136" i="4"/>
  <c r="CI136" i="4" s="1"/>
  <c r="CD136" i="4"/>
  <c r="CE136" i="4" s="1"/>
  <c r="CA136" i="4"/>
  <c r="DL136" i="4"/>
  <c r="DM136" i="4" s="1"/>
  <c r="DD136" i="4"/>
  <c r="DE136" i="4" s="1"/>
  <c r="CV136" i="4"/>
  <c r="CW136" i="4" s="1"/>
  <c r="CN136" i="4"/>
  <c r="CO136" i="4" s="1"/>
  <c r="CF136" i="4"/>
  <c r="CG136" i="4" s="1"/>
  <c r="DP136" i="4"/>
  <c r="DQ136" i="4" s="1"/>
  <c r="DH136" i="4"/>
  <c r="DI136" i="4" s="1"/>
  <c r="CZ136" i="4"/>
  <c r="DA136" i="4" s="1"/>
  <c r="CR136" i="4"/>
  <c r="CS136" i="4" s="1"/>
  <c r="CJ136" i="4"/>
  <c r="CK136" i="4" s="1"/>
  <c r="CB136" i="4"/>
  <c r="CC136" i="4" s="1"/>
  <c r="AL137" i="4"/>
  <c r="AM137" i="4" s="1"/>
  <c r="AJ137" i="4"/>
  <c r="AK137" i="4" s="1"/>
  <c r="AH137" i="4"/>
  <c r="AI137" i="4" s="1"/>
  <c r="AD137" i="4"/>
  <c r="AE137" i="4" s="1"/>
  <c r="AR137" i="4"/>
  <c r="AS137" i="4" s="1"/>
  <c r="AF137" i="4"/>
  <c r="AG137" i="4" s="1"/>
  <c r="Z137" i="4"/>
  <c r="AA137" i="4" s="1"/>
  <c r="V137" i="4"/>
  <c r="W137" i="4" s="1"/>
  <c r="AP137" i="4"/>
  <c r="AQ137" i="4" s="1"/>
  <c r="T137" i="4"/>
  <c r="U137" i="4" s="1"/>
  <c r="AN137" i="4"/>
  <c r="AO137" i="4" s="1"/>
  <c r="AX137" i="4"/>
  <c r="AY137" i="4" s="1"/>
  <c r="X137" i="4"/>
  <c r="Y137" i="4" s="1"/>
  <c r="AT137" i="4"/>
  <c r="AU137" i="4" s="1"/>
  <c r="AB137" i="4"/>
  <c r="AC137" i="4" s="1"/>
  <c r="R137" i="4"/>
  <c r="S137" i="4" s="1"/>
  <c r="L137" i="4"/>
  <c r="M137" i="4" s="1"/>
  <c r="I137" i="4"/>
  <c r="AV137" i="4"/>
  <c r="AW137" i="4" s="1"/>
  <c r="P137" i="4"/>
  <c r="Q137" i="4" s="1"/>
  <c r="N137" i="4"/>
  <c r="O137" i="4" s="1"/>
  <c r="J137" i="4"/>
  <c r="K137" i="4" s="1"/>
  <c r="GH97" i="4"/>
  <c r="GI97" i="4" s="1"/>
  <c r="GD97" i="4"/>
  <c r="GE97" i="4" s="1"/>
  <c r="FZ97" i="4"/>
  <c r="GA97" i="4" s="1"/>
  <c r="FV97" i="4"/>
  <c r="FW97" i="4" s="1"/>
  <c r="FR97" i="4"/>
  <c r="FS97" i="4" s="1"/>
  <c r="FN97" i="4"/>
  <c r="FO97" i="4" s="1"/>
  <c r="FJ97" i="4"/>
  <c r="FK97" i="4" s="1"/>
  <c r="FF97" i="4"/>
  <c r="FG97" i="4" s="1"/>
  <c r="FB97" i="4"/>
  <c r="FC97" i="4" s="1"/>
  <c r="EX97" i="4"/>
  <c r="EY97" i="4" s="1"/>
  <c r="ET97" i="4"/>
  <c r="EU97" i="4" s="1"/>
  <c r="GF97" i="4"/>
  <c r="GG97" i="4" s="1"/>
  <c r="GB97" i="4"/>
  <c r="GC97" i="4" s="1"/>
  <c r="FX97" i="4"/>
  <c r="FY97" i="4" s="1"/>
  <c r="FT97" i="4"/>
  <c r="FU97" i="4" s="1"/>
  <c r="FP97" i="4"/>
  <c r="FQ97" i="4" s="1"/>
  <c r="FL97" i="4"/>
  <c r="FM97" i="4" s="1"/>
  <c r="FH97" i="4"/>
  <c r="FI97" i="4" s="1"/>
  <c r="FD97" i="4"/>
  <c r="FE97" i="4" s="1"/>
  <c r="EZ97" i="4"/>
  <c r="FA97" i="4" s="1"/>
  <c r="EV97" i="4"/>
  <c r="EW97" i="4" s="1"/>
  <c r="ES97" i="4"/>
  <c r="G100" i="4"/>
  <c r="AT98" i="4"/>
  <c r="AU98" i="4" s="1"/>
  <c r="AL98" i="4"/>
  <c r="AM98" i="4" s="1"/>
  <c r="AF98" i="4"/>
  <c r="AG98" i="4" s="1"/>
  <c r="AB98" i="4"/>
  <c r="AC98" i="4" s="1"/>
  <c r="Z98" i="4"/>
  <c r="AA98" i="4" s="1"/>
  <c r="T98" i="4"/>
  <c r="U98" i="4" s="1"/>
  <c r="AX98" i="4"/>
  <c r="AY98" i="4" s="1"/>
  <c r="AV98" i="4"/>
  <c r="AW98" i="4" s="1"/>
  <c r="AJ98" i="4"/>
  <c r="AK98" i="4" s="1"/>
  <c r="AH98" i="4"/>
  <c r="AI98" i="4" s="1"/>
  <c r="V98" i="4"/>
  <c r="W98" i="4" s="1"/>
  <c r="N98" i="4"/>
  <c r="O98" i="4" s="1"/>
  <c r="AP98" i="4"/>
  <c r="AQ98" i="4" s="1"/>
  <c r="AD98" i="4"/>
  <c r="AE98" i="4" s="1"/>
  <c r="R98" i="4"/>
  <c r="S98" i="4" s="1"/>
  <c r="P98" i="4"/>
  <c r="Q98" i="4" s="1"/>
  <c r="AR98" i="4"/>
  <c r="AS98" i="4" s="1"/>
  <c r="AN98" i="4"/>
  <c r="AO98" i="4" s="1"/>
  <c r="X98" i="4"/>
  <c r="Y98" i="4" s="1"/>
  <c r="I98" i="4"/>
  <c r="L98" i="4"/>
  <c r="M98" i="4" s="1"/>
  <c r="J98" i="4"/>
  <c r="K98" i="4" s="1"/>
  <c r="EQ98" i="4"/>
  <c r="ER98" i="4" s="1"/>
  <c r="BZ98" i="4"/>
  <c r="DN97" i="4"/>
  <c r="DO97" i="4" s="1"/>
  <c r="DJ97" i="4"/>
  <c r="DK97" i="4" s="1"/>
  <c r="DF97" i="4"/>
  <c r="DG97" i="4" s="1"/>
  <c r="DB97" i="4"/>
  <c r="DC97" i="4" s="1"/>
  <c r="CX97" i="4"/>
  <c r="CY97" i="4" s="1"/>
  <c r="CT97" i="4"/>
  <c r="CU97" i="4" s="1"/>
  <c r="CP97" i="4"/>
  <c r="CQ97" i="4" s="1"/>
  <c r="CL97" i="4"/>
  <c r="CM97" i="4" s="1"/>
  <c r="CH97" i="4"/>
  <c r="CI97" i="4" s="1"/>
  <c r="CD97" i="4"/>
  <c r="CE97" i="4" s="1"/>
  <c r="CA97" i="4"/>
  <c r="DP97" i="4"/>
  <c r="DQ97" i="4" s="1"/>
  <c r="DL97" i="4"/>
  <c r="DM97" i="4" s="1"/>
  <c r="DH97" i="4"/>
  <c r="DI97" i="4" s="1"/>
  <c r="DD97" i="4"/>
  <c r="DE97" i="4" s="1"/>
  <c r="CZ97" i="4"/>
  <c r="DA97" i="4" s="1"/>
  <c r="CV97" i="4"/>
  <c r="CW97" i="4" s="1"/>
  <c r="CR97" i="4"/>
  <c r="CS97" i="4" s="1"/>
  <c r="CN97" i="4"/>
  <c r="CO97" i="4" s="1"/>
  <c r="CJ97" i="4"/>
  <c r="CK97" i="4" s="1"/>
  <c r="CF97" i="4"/>
  <c r="CG97" i="4" s="1"/>
  <c r="CB97" i="4"/>
  <c r="CC97" i="4" s="1"/>
  <c r="BY99" i="4"/>
  <c r="H99" i="4"/>
  <c r="AR138" i="4" l="1"/>
  <c r="AS138" i="4" s="1"/>
  <c r="AF138" i="4"/>
  <c r="AG138" i="4" s="1"/>
  <c r="Z138" i="4"/>
  <c r="AA138" i="4" s="1"/>
  <c r="V138" i="4"/>
  <c r="W138" i="4" s="1"/>
  <c r="AV138" i="4"/>
  <c r="AW138" i="4" s="1"/>
  <c r="AT138" i="4"/>
  <c r="AU138" i="4" s="1"/>
  <c r="AN138" i="4"/>
  <c r="AO138" i="4" s="1"/>
  <c r="AB138" i="4"/>
  <c r="AC138" i="4" s="1"/>
  <c r="X138" i="4"/>
  <c r="Y138" i="4" s="1"/>
  <c r="AL138" i="4"/>
  <c r="AM138" i="4" s="1"/>
  <c r="AJ138" i="4"/>
  <c r="AK138" i="4" s="1"/>
  <c r="AH138" i="4"/>
  <c r="AI138" i="4" s="1"/>
  <c r="AD138" i="4"/>
  <c r="AE138" i="4" s="1"/>
  <c r="T138" i="4"/>
  <c r="U138" i="4" s="1"/>
  <c r="R138" i="4"/>
  <c r="S138" i="4" s="1"/>
  <c r="J138" i="4"/>
  <c r="K138" i="4" s="1"/>
  <c r="P138" i="4"/>
  <c r="Q138" i="4" s="1"/>
  <c r="N138" i="4"/>
  <c r="O138" i="4" s="1"/>
  <c r="L138" i="4"/>
  <c r="M138" i="4" s="1"/>
  <c r="AX138" i="4"/>
  <c r="AY138" i="4" s="1"/>
  <c r="AP138" i="4"/>
  <c r="AQ138" i="4" s="1"/>
  <c r="I138" i="4"/>
  <c r="DN137" i="4"/>
  <c r="DO137" i="4" s="1"/>
  <c r="DJ137" i="4"/>
  <c r="DK137" i="4" s="1"/>
  <c r="DF137" i="4"/>
  <c r="DG137" i="4" s="1"/>
  <c r="DP137" i="4"/>
  <c r="DQ137" i="4" s="1"/>
  <c r="DL137" i="4"/>
  <c r="DM137" i="4" s="1"/>
  <c r="DH137" i="4"/>
  <c r="DI137" i="4" s="1"/>
  <c r="DD137" i="4"/>
  <c r="DE137" i="4" s="1"/>
  <c r="CZ137" i="4"/>
  <c r="DA137" i="4" s="1"/>
  <c r="CV137" i="4"/>
  <c r="CW137" i="4" s="1"/>
  <c r="CR137" i="4"/>
  <c r="CS137" i="4" s="1"/>
  <c r="CN137" i="4"/>
  <c r="CO137" i="4" s="1"/>
  <c r="CJ137" i="4"/>
  <c r="CK137" i="4" s="1"/>
  <c r="CF137" i="4"/>
  <c r="CG137" i="4" s="1"/>
  <c r="CB137" i="4"/>
  <c r="CC137" i="4" s="1"/>
  <c r="CX137" i="4"/>
  <c r="CY137" i="4" s="1"/>
  <c r="CP137" i="4"/>
  <c r="CQ137" i="4" s="1"/>
  <c r="CH137" i="4"/>
  <c r="CI137" i="4" s="1"/>
  <c r="CA137" i="4"/>
  <c r="CT137" i="4"/>
  <c r="CU137" i="4" s="1"/>
  <c r="CL137" i="4"/>
  <c r="CM137" i="4" s="1"/>
  <c r="DB137" i="4"/>
  <c r="DC137" i="4" s="1"/>
  <c r="CD137" i="4"/>
  <c r="CE137" i="4" s="1"/>
  <c r="EQ138" i="4"/>
  <c r="ER138" i="4" s="1"/>
  <c r="BZ138" i="4"/>
  <c r="GF137" i="4"/>
  <c r="GG137" i="4" s="1"/>
  <c r="GB137" i="4"/>
  <c r="GC137" i="4" s="1"/>
  <c r="FX137" i="4"/>
  <c r="FY137" i="4" s="1"/>
  <c r="FT137" i="4"/>
  <c r="FU137" i="4" s="1"/>
  <c r="FP137" i="4"/>
  <c r="FQ137" i="4" s="1"/>
  <c r="FL137" i="4"/>
  <c r="FM137" i="4" s="1"/>
  <c r="FH137" i="4"/>
  <c r="FI137" i="4" s="1"/>
  <c r="FD137" i="4"/>
  <c r="FE137" i="4" s="1"/>
  <c r="EZ137" i="4"/>
  <c r="FA137" i="4" s="1"/>
  <c r="EV137" i="4"/>
  <c r="EW137" i="4" s="1"/>
  <c r="ES137" i="4"/>
  <c r="GH137" i="4"/>
  <c r="GI137" i="4" s="1"/>
  <c r="GD137" i="4"/>
  <c r="GE137" i="4" s="1"/>
  <c r="FZ137" i="4"/>
  <c r="GA137" i="4" s="1"/>
  <c r="FV137" i="4"/>
  <c r="FW137" i="4" s="1"/>
  <c r="FR137" i="4"/>
  <c r="FS137" i="4" s="1"/>
  <c r="FN137" i="4"/>
  <c r="FO137" i="4" s="1"/>
  <c r="FJ137" i="4"/>
  <c r="FK137" i="4" s="1"/>
  <c r="FF137" i="4"/>
  <c r="FG137" i="4" s="1"/>
  <c r="FB137" i="4"/>
  <c r="FC137" i="4" s="1"/>
  <c r="EX137" i="4"/>
  <c r="EY137" i="4" s="1"/>
  <c r="ET137" i="4"/>
  <c r="EU137" i="4" s="1"/>
  <c r="BY24" i="4"/>
  <c r="H24" i="4"/>
  <c r="AP140" i="4"/>
  <c r="AQ140" i="4" s="1"/>
  <c r="T140" i="4"/>
  <c r="U140" i="4" s="1"/>
  <c r="AL140" i="4"/>
  <c r="AM140" i="4" s="1"/>
  <c r="AJ140" i="4"/>
  <c r="AK140" i="4" s="1"/>
  <c r="AH140" i="4"/>
  <c r="AI140" i="4" s="1"/>
  <c r="AD140" i="4"/>
  <c r="AE140" i="4" s="1"/>
  <c r="AV140" i="4"/>
  <c r="AW140" i="4" s="1"/>
  <c r="AT140" i="4"/>
  <c r="AU140" i="4" s="1"/>
  <c r="AN140" i="4"/>
  <c r="AO140" i="4" s="1"/>
  <c r="AB140" i="4"/>
  <c r="AC140" i="4" s="1"/>
  <c r="X140" i="4"/>
  <c r="Y140" i="4" s="1"/>
  <c r="AX140" i="4"/>
  <c r="AY140" i="4" s="1"/>
  <c r="AF140" i="4"/>
  <c r="AG140" i="4" s="1"/>
  <c r="P140" i="4"/>
  <c r="Q140" i="4" s="1"/>
  <c r="N140" i="4"/>
  <c r="O140" i="4" s="1"/>
  <c r="L140" i="4"/>
  <c r="M140" i="4" s="1"/>
  <c r="J140" i="4"/>
  <c r="K140" i="4" s="1"/>
  <c r="I140" i="4"/>
  <c r="AR140" i="4"/>
  <c r="AS140" i="4" s="1"/>
  <c r="Z140" i="4"/>
  <c r="AA140" i="4" s="1"/>
  <c r="R140" i="4"/>
  <c r="S140" i="4" s="1"/>
  <c r="V140" i="4"/>
  <c r="W140" i="4" s="1"/>
  <c r="EQ140" i="4"/>
  <c r="ER140" i="4" s="1"/>
  <c r="BZ140" i="4"/>
  <c r="FZ98" i="4"/>
  <c r="GA98" i="4" s="1"/>
  <c r="FT98" i="4"/>
  <c r="FU98" i="4" s="1"/>
  <c r="FJ98" i="4"/>
  <c r="FK98" i="4" s="1"/>
  <c r="GD98" i="4"/>
  <c r="GE98" i="4" s="1"/>
  <c r="FX98" i="4"/>
  <c r="FY98" i="4" s="1"/>
  <c r="FN98" i="4"/>
  <c r="FO98" i="4" s="1"/>
  <c r="FH98" i="4"/>
  <c r="FI98" i="4" s="1"/>
  <c r="FD98" i="4"/>
  <c r="FE98" i="4" s="1"/>
  <c r="EZ98" i="4"/>
  <c r="FA98" i="4" s="1"/>
  <c r="EV98" i="4"/>
  <c r="EW98" i="4" s="1"/>
  <c r="ES98" i="4"/>
  <c r="GH98" i="4"/>
  <c r="GI98" i="4" s="1"/>
  <c r="GB98" i="4"/>
  <c r="GC98" i="4" s="1"/>
  <c r="FR98" i="4"/>
  <c r="FS98" i="4" s="1"/>
  <c r="FL98" i="4"/>
  <c r="FM98" i="4" s="1"/>
  <c r="FV98" i="4"/>
  <c r="FW98" i="4" s="1"/>
  <c r="FB98" i="4"/>
  <c r="FC98" i="4" s="1"/>
  <c r="FP98" i="4"/>
  <c r="FQ98" i="4" s="1"/>
  <c r="EX98" i="4"/>
  <c r="EY98" i="4" s="1"/>
  <c r="FF98" i="4"/>
  <c r="FG98" i="4" s="1"/>
  <c r="ET98" i="4"/>
  <c r="EU98" i="4" s="1"/>
  <c r="GF98" i="4"/>
  <c r="GG98" i="4" s="1"/>
  <c r="G101" i="4"/>
  <c r="EQ99" i="4"/>
  <c r="ER99" i="4" s="1"/>
  <c r="BZ99" i="4"/>
  <c r="AV99" i="4"/>
  <c r="AW99" i="4" s="1"/>
  <c r="AJ99" i="4"/>
  <c r="AK99" i="4" s="1"/>
  <c r="AH99" i="4"/>
  <c r="AI99" i="4" s="1"/>
  <c r="V99" i="4"/>
  <c r="W99" i="4" s="1"/>
  <c r="N99" i="4"/>
  <c r="O99" i="4" s="1"/>
  <c r="AX99" i="4"/>
  <c r="AY99" i="4" s="1"/>
  <c r="AP99" i="4"/>
  <c r="AQ99" i="4" s="1"/>
  <c r="AD99" i="4"/>
  <c r="AE99" i="4" s="1"/>
  <c r="R99" i="4"/>
  <c r="S99" i="4" s="1"/>
  <c r="P99" i="4"/>
  <c r="Q99" i="4" s="1"/>
  <c r="AR99" i="4"/>
  <c r="AS99" i="4" s="1"/>
  <c r="AN99" i="4"/>
  <c r="AO99" i="4" s="1"/>
  <c r="X99" i="4"/>
  <c r="Y99" i="4" s="1"/>
  <c r="AT99" i="4"/>
  <c r="AU99" i="4" s="1"/>
  <c r="AL99" i="4"/>
  <c r="AM99" i="4" s="1"/>
  <c r="AF99" i="4"/>
  <c r="AG99" i="4" s="1"/>
  <c r="AB99" i="4"/>
  <c r="AC99" i="4" s="1"/>
  <c r="Z99" i="4"/>
  <c r="AA99" i="4" s="1"/>
  <c r="T99" i="4"/>
  <c r="U99" i="4" s="1"/>
  <c r="L99" i="4"/>
  <c r="M99" i="4" s="1"/>
  <c r="I99" i="4"/>
  <c r="J99" i="4"/>
  <c r="K99" i="4" s="1"/>
  <c r="DP98" i="4"/>
  <c r="DQ98" i="4" s="1"/>
  <c r="DL98" i="4"/>
  <c r="DM98" i="4" s="1"/>
  <c r="DH98" i="4"/>
  <c r="DI98" i="4" s="1"/>
  <c r="DD98" i="4"/>
  <c r="DE98" i="4" s="1"/>
  <c r="CZ98" i="4"/>
  <c r="DA98" i="4" s="1"/>
  <c r="CV98" i="4"/>
  <c r="CW98" i="4" s="1"/>
  <c r="CR98" i="4"/>
  <c r="CS98" i="4" s="1"/>
  <c r="CN98" i="4"/>
  <c r="CO98" i="4" s="1"/>
  <c r="CJ98" i="4"/>
  <c r="CK98" i="4" s="1"/>
  <c r="CF98" i="4"/>
  <c r="CG98" i="4" s="1"/>
  <c r="CB98" i="4"/>
  <c r="CC98" i="4" s="1"/>
  <c r="DN98" i="4"/>
  <c r="DO98" i="4" s="1"/>
  <c r="DJ98" i="4"/>
  <c r="DK98" i="4" s="1"/>
  <c r="DF98" i="4"/>
  <c r="DG98" i="4" s="1"/>
  <c r="DB98" i="4"/>
  <c r="DC98" i="4" s="1"/>
  <c r="CX98" i="4"/>
  <c r="CY98" i="4" s="1"/>
  <c r="CT98" i="4"/>
  <c r="CU98" i="4" s="1"/>
  <c r="CP98" i="4"/>
  <c r="CQ98" i="4" s="1"/>
  <c r="CL98" i="4"/>
  <c r="CM98" i="4" s="1"/>
  <c r="CH98" i="4"/>
  <c r="CI98" i="4" s="1"/>
  <c r="CD98" i="4"/>
  <c r="CE98" i="4" s="1"/>
  <c r="CA98" i="4"/>
  <c r="BY100" i="4"/>
  <c r="H100" i="4"/>
  <c r="EQ24" i="4" l="1"/>
  <c r="ER24" i="4" s="1"/>
  <c r="BZ24" i="4"/>
  <c r="DN140" i="4"/>
  <c r="DO140" i="4" s="1"/>
  <c r="DJ140" i="4"/>
  <c r="DK140" i="4" s="1"/>
  <c r="DF140" i="4"/>
  <c r="DG140" i="4" s="1"/>
  <c r="DB140" i="4"/>
  <c r="DC140" i="4" s="1"/>
  <c r="CX140" i="4"/>
  <c r="CY140" i="4" s="1"/>
  <c r="CT140" i="4"/>
  <c r="CU140" i="4" s="1"/>
  <c r="CP140" i="4"/>
  <c r="CQ140" i="4" s="1"/>
  <c r="CL140" i="4"/>
  <c r="CM140" i="4" s="1"/>
  <c r="CH140" i="4"/>
  <c r="CI140" i="4" s="1"/>
  <c r="CD140" i="4"/>
  <c r="CE140" i="4" s="1"/>
  <c r="CA140" i="4"/>
  <c r="DP140" i="4"/>
  <c r="DQ140" i="4" s="1"/>
  <c r="CZ140" i="4"/>
  <c r="DA140" i="4" s="1"/>
  <c r="CJ140" i="4"/>
  <c r="CK140" i="4" s="1"/>
  <c r="DL140" i="4"/>
  <c r="DM140" i="4" s="1"/>
  <c r="CV140" i="4"/>
  <c r="CW140" i="4" s="1"/>
  <c r="CF140" i="4"/>
  <c r="CG140" i="4" s="1"/>
  <c r="DH140" i="4"/>
  <c r="DI140" i="4" s="1"/>
  <c r="CR140" i="4"/>
  <c r="CS140" i="4" s="1"/>
  <c r="CB140" i="4"/>
  <c r="CC140" i="4" s="1"/>
  <c r="CN140" i="4"/>
  <c r="CO140" i="4" s="1"/>
  <c r="DD140" i="4"/>
  <c r="DE140" i="4" s="1"/>
  <c r="AR24" i="4"/>
  <c r="AS24" i="4" s="1"/>
  <c r="AN24" i="4"/>
  <c r="AO24" i="4" s="1"/>
  <c r="AL24" i="4"/>
  <c r="AM24" i="4" s="1"/>
  <c r="AJ24" i="4"/>
  <c r="AK24" i="4" s="1"/>
  <c r="AF24" i="4"/>
  <c r="AG24" i="4" s="1"/>
  <c r="AV24" i="4"/>
  <c r="AW24" i="4" s="1"/>
  <c r="AP24" i="4"/>
  <c r="AQ24" i="4" s="1"/>
  <c r="AD24" i="4"/>
  <c r="AE24" i="4" s="1"/>
  <c r="Z24" i="4"/>
  <c r="AA24" i="4" s="1"/>
  <c r="V24" i="4"/>
  <c r="W24" i="4" s="1"/>
  <c r="AH24" i="4"/>
  <c r="AI24" i="4" s="1"/>
  <c r="R24" i="4"/>
  <c r="S24" i="4" s="1"/>
  <c r="P24" i="4"/>
  <c r="Q24" i="4" s="1"/>
  <c r="AX24" i="4"/>
  <c r="AY24" i="4" s="1"/>
  <c r="J24" i="4"/>
  <c r="K24" i="4" s="1"/>
  <c r="AB24" i="4"/>
  <c r="AC24" i="4" s="1"/>
  <c r="T24" i="4"/>
  <c r="U24" i="4" s="1"/>
  <c r="X24" i="4"/>
  <c r="Y24" i="4" s="1"/>
  <c r="N24" i="4"/>
  <c r="O24" i="4" s="1"/>
  <c r="L24" i="4"/>
  <c r="M24" i="4" s="1"/>
  <c r="I24" i="4"/>
  <c r="AT24" i="4"/>
  <c r="AU24" i="4" s="1"/>
  <c r="DN138" i="4"/>
  <c r="DO138" i="4" s="1"/>
  <c r="DL138" i="4"/>
  <c r="DM138" i="4" s="1"/>
  <c r="DH138" i="4"/>
  <c r="DI138" i="4" s="1"/>
  <c r="DD138" i="4"/>
  <c r="DE138" i="4" s="1"/>
  <c r="CZ138" i="4"/>
  <c r="DA138" i="4" s="1"/>
  <c r="CV138" i="4"/>
  <c r="CW138" i="4" s="1"/>
  <c r="CR138" i="4"/>
  <c r="CS138" i="4" s="1"/>
  <c r="CN138" i="4"/>
  <c r="CO138" i="4" s="1"/>
  <c r="CJ138" i="4"/>
  <c r="CK138" i="4" s="1"/>
  <c r="CF138" i="4"/>
  <c r="CG138" i="4" s="1"/>
  <c r="CB138" i="4"/>
  <c r="CC138" i="4" s="1"/>
  <c r="DJ138" i="4"/>
  <c r="DK138" i="4" s="1"/>
  <c r="DF138" i="4"/>
  <c r="DG138" i="4" s="1"/>
  <c r="DB138" i="4"/>
  <c r="DC138" i="4" s="1"/>
  <c r="CX138" i="4"/>
  <c r="CY138" i="4" s="1"/>
  <c r="CT138" i="4"/>
  <c r="CU138" i="4" s="1"/>
  <c r="CP138" i="4"/>
  <c r="CQ138" i="4" s="1"/>
  <c r="CL138" i="4"/>
  <c r="CM138" i="4" s="1"/>
  <c r="CH138" i="4"/>
  <c r="CI138" i="4" s="1"/>
  <c r="CD138" i="4"/>
  <c r="CE138" i="4" s="1"/>
  <c r="CA138" i="4"/>
  <c r="DP138" i="4"/>
  <c r="DQ138" i="4" s="1"/>
  <c r="GF140" i="4"/>
  <c r="GG140" i="4" s="1"/>
  <c r="GB140" i="4"/>
  <c r="GC140" i="4" s="1"/>
  <c r="FX140" i="4"/>
  <c r="FY140" i="4" s="1"/>
  <c r="FT140" i="4"/>
  <c r="FU140" i="4" s="1"/>
  <c r="FP140" i="4"/>
  <c r="FQ140" i="4" s="1"/>
  <c r="FL140" i="4"/>
  <c r="FM140" i="4" s="1"/>
  <c r="FH140" i="4"/>
  <c r="FI140" i="4" s="1"/>
  <c r="FD140" i="4"/>
  <c r="FE140" i="4" s="1"/>
  <c r="EZ140" i="4"/>
  <c r="FA140" i="4" s="1"/>
  <c r="EV140" i="4"/>
  <c r="EW140" i="4" s="1"/>
  <c r="ES140" i="4"/>
  <c r="FZ140" i="4"/>
  <c r="GA140" i="4" s="1"/>
  <c r="FJ140" i="4"/>
  <c r="FK140" i="4" s="1"/>
  <c r="ET140" i="4"/>
  <c r="EU140" i="4" s="1"/>
  <c r="FV140" i="4"/>
  <c r="FW140" i="4" s="1"/>
  <c r="FF140" i="4"/>
  <c r="FG140" i="4" s="1"/>
  <c r="GD140" i="4"/>
  <c r="GE140" i="4" s="1"/>
  <c r="FN140" i="4"/>
  <c r="FO140" i="4" s="1"/>
  <c r="EX140" i="4"/>
  <c r="EY140" i="4" s="1"/>
  <c r="FB140" i="4"/>
  <c r="FC140" i="4" s="1"/>
  <c r="GH140" i="4"/>
  <c r="GI140" i="4" s="1"/>
  <c r="FR140" i="4"/>
  <c r="FS140" i="4" s="1"/>
  <c r="GH138" i="4"/>
  <c r="GI138" i="4" s="1"/>
  <c r="GD138" i="4"/>
  <c r="GE138" i="4" s="1"/>
  <c r="FZ138" i="4"/>
  <c r="GA138" i="4" s="1"/>
  <c r="FV138" i="4"/>
  <c r="FW138" i="4" s="1"/>
  <c r="FR138" i="4"/>
  <c r="FS138" i="4" s="1"/>
  <c r="FN138" i="4"/>
  <c r="FO138" i="4" s="1"/>
  <c r="FJ138" i="4"/>
  <c r="FK138" i="4" s="1"/>
  <c r="FF138" i="4"/>
  <c r="FG138" i="4" s="1"/>
  <c r="FB138" i="4"/>
  <c r="FC138" i="4" s="1"/>
  <c r="EX138" i="4"/>
  <c r="EY138" i="4" s="1"/>
  <c r="ET138" i="4"/>
  <c r="EU138" i="4" s="1"/>
  <c r="FT138" i="4"/>
  <c r="FU138" i="4" s="1"/>
  <c r="FD138" i="4"/>
  <c r="FE138" i="4" s="1"/>
  <c r="GF138" i="4"/>
  <c r="GG138" i="4" s="1"/>
  <c r="FP138" i="4"/>
  <c r="FQ138" i="4" s="1"/>
  <c r="EZ138" i="4"/>
  <c r="FA138" i="4" s="1"/>
  <c r="FX138" i="4"/>
  <c r="FY138" i="4" s="1"/>
  <c r="FH138" i="4"/>
  <c r="FI138" i="4" s="1"/>
  <c r="ES138" i="4"/>
  <c r="GB138" i="4"/>
  <c r="GC138" i="4" s="1"/>
  <c r="FL138" i="4"/>
  <c r="FM138" i="4" s="1"/>
  <c r="EV138" i="4"/>
  <c r="EW138" i="4" s="1"/>
  <c r="EQ100" i="4"/>
  <c r="ER100" i="4" s="1"/>
  <c r="BZ100" i="4"/>
  <c r="BY101" i="4"/>
  <c r="H101" i="4"/>
  <c r="DN99" i="4"/>
  <c r="DO99" i="4" s="1"/>
  <c r="DJ99" i="4"/>
  <c r="DK99" i="4" s="1"/>
  <c r="DF99" i="4"/>
  <c r="DG99" i="4" s="1"/>
  <c r="DB99" i="4"/>
  <c r="DC99" i="4" s="1"/>
  <c r="CX99" i="4"/>
  <c r="CY99" i="4" s="1"/>
  <c r="CT99" i="4"/>
  <c r="CU99" i="4" s="1"/>
  <c r="CP99" i="4"/>
  <c r="CQ99" i="4" s="1"/>
  <c r="CL99" i="4"/>
  <c r="CM99" i="4" s="1"/>
  <c r="CH99" i="4"/>
  <c r="CI99" i="4" s="1"/>
  <c r="CD99" i="4"/>
  <c r="CE99" i="4" s="1"/>
  <c r="CA99" i="4"/>
  <c r="DP99" i="4"/>
  <c r="DQ99" i="4" s="1"/>
  <c r="DL99" i="4"/>
  <c r="DM99" i="4" s="1"/>
  <c r="DH99" i="4"/>
  <c r="DI99" i="4" s="1"/>
  <c r="DD99" i="4"/>
  <c r="DE99" i="4" s="1"/>
  <c r="CZ99" i="4"/>
  <c r="DA99" i="4" s="1"/>
  <c r="CV99" i="4"/>
  <c r="CW99" i="4" s="1"/>
  <c r="CR99" i="4"/>
  <c r="CS99" i="4" s="1"/>
  <c r="CN99" i="4"/>
  <c r="CO99" i="4" s="1"/>
  <c r="CJ99" i="4"/>
  <c r="CK99" i="4" s="1"/>
  <c r="CF99" i="4"/>
  <c r="CG99" i="4" s="1"/>
  <c r="CB99" i="4"/>
  <c r="CC99" i="4" s="1"/>
  <c r="G102" i="4"/>
  <c r="GF99" i="4"/>
  <c r="GG99" i="4" s="1"/>
  <c r="GB99" i="4"/>
  <c r="GC99" i="4" s="1"/>
  <c r="FX99" i="4"/>
  <c r="FY99" i="4" s="1"/>
  <c r="FT99" i="4"/>
  <c r="FU99" i="4" s="1"/>
  <c r="FP99" i="4"/>
  <c r="FQ99" i="4" s="1"/>
  <c r="FL99" i="4"/>
  <c r="FM99" i="4" s="1"/>
  <c r="FH99" i="4"/>
  <c r="FI99" i="4" s="1"/>
  <c r="FD99" i="4"/>
  <c r="FE99" i="4" s="1"/>
  <c r="EZ99" i="4"/>
  <c r="FA99" i="4" s="1"/>
  <c r="EV99" i="4"/>
  <c r="EW99" i="4" s="1"/>
  <c r="ES99" i="4"/>
  <c r="GD99" i="4"/>
  <c r="GE99" i="4" s="1"/>
  <c r="FN99" i="4"/>
  <c r="FO99" i="4" s="1"/>
  <c r="EX99" i="4"/>
  <c r="EY99" i="4" s="1"/>
  <c r="GH99" i="4"/>
  <c r="GI99" i="4" s="1"/>
  <c r="FR99" i="4"/>
  <c r="FS99" i="4" s="1"/>
  <c r="FB99" i="4"/>
  <c r="FC99" i="4" s="1"/>
  <c r="FV99" i="4"/>
  <c r="FW99" i="4" s="1"/>
  <c r="FF99" i="4"/>
  <c r="FG99" i="4" s="1"/>
  <c r="FZ99" i="4"/>
  <c r="GA99" i="4" s="1"/>
  <c r="FJ99" i="4"/>
  <c r="FK99" i="4" s="1"/>
  <c r="ET99" i="4"/>
  <c r="EU99" i="4" s="1"/>
  <c r="AP100" i="4"/>
  <c r="AQ100" i="4" s="1"/>
  <c r="AD100" i="4"/>
  <c r="AE100" i="4" s="1"/>
  <c r="R100" i="4"/>
  <c r="S100" i="4" s="1"/>
  <c r="P100" i="4"/>
  <c r="Q100" i="4" s="1"/>
  <c r="AX100" i="4"/>
  <c r="AY100" i="4" s="1"/>
  <c r="AR100" i="4"/>
  <c r="AS100" i="4" s="1"/>
  <c r="AN100" i="4"/>
  <c r="AO100" i="4" s="1"/>
  <c r="X100" i="4"/>
  <c r="Y100" i="4" s="1"/>
  <c r="AT100" i="4"/>
  <c r="AU100" i="4" s="1"/>
  <c r="AL100" i="4"/>
  <c r="AM100" i="4" s="1"/>
  <c r="AF100" i="4"/>
  <c r="AG100" i="4" s="1"/>
  <c r="AB100" i="4"/>
  <c r="AC100" i="4" s="1"/>
  <c r="Z100" i="4"/>
  <c r="AA100" i="4" s="1"/>
  <c r="T100" i="4"/>
  <c r="U100" i="4" s="1"/>
  <c r="AV100" i="4"/>
  <c r="AW100" i="4" s="1"/>
  <c r="AJ100" i="4"/>
  <c r="AK100" i="4" s="1"/>
  <c r="AH100" i="4"/>
  <c r="AI100" i="4" s="1"/>
  <c r="V100" i="4"/>
  <c r="W100" i="4" s="1"/>
  <c r="N100" i="4"/>
  <c r="O100" i="4" s="1"/>
  <c r="J100" i="4"/>
  <c r="K100" i="4" s="1"/>
  <c r="I100" i="4"/>
  <c r="L100" i="4"/>
  <c r="M100" i="4" s="1"/>
  <c r="DP24" i="4" l="1"/>
  <c r="DQ24" i="4" s="1"/>
  <c r="DL24" i="4"/>
  <c r="DM24" i="4" s="1"/>
  <c r="DH24" i="4"/>
  <c r="DI24" i="4" s="1"/>
  <c r="DD24" i="4"/>
  <c r="DE24" i="4" s="1"/>
  <c r="CZ24" i="4"/>
  <c r="DA24" i="4" s="1"/>
  <c r="CV24" i="4"/>
  <c r="CW24" i="4" s="1"/>
  <c r="CR24" i="4"/>
  <c r="CS24" i="4" s="1"/>
  <c r="CN24" i="4"/>
  <c r="CO24" i="4" s="1"/>
  <c r="CJ24" i="4"/>
  <c r="CK24" i="4" s="1"/>
  <c r="CF24" i="4"/>
  <c r="CG24" i="4" s="1"/>
  <c r="CB24" i="4"/>
  <c r="CC24" i="4" s="1"/>
  <c r="DJ24" i="4"/>
  <c r="DK24" i="4" s="1"/>
  <c r="CT24" i="4"/>
  <c r="CU24" i="4" s="1"/>
  <c r="CD24" i="4"/>
  <c r="CE24" i="4" s="1"/>
  <c r="DB24" i="4"/>
  <c r="DC24" i="4" s="1"/>
  <c r="DF24" i="4"/>
  <c r="DG24" i="4" s="1"/>
  <c r="CP24" i="4"/>
  <c r="CQ24" i="4" s="1"/>
  <c r="CA24" i="4"/>
  <c r="CL24" i="4"/>
  <c r="CM24" i="4" s="1"/>
  <c r="DN24" i="4"/>
  <c r="DO24" i="4" s="1"/>
  <c r="CX24" i="4"/>
  <c r="CY24" i="4" s="1"/>
  <c r="CH24" i="4"/>
  <c r="CI24" i="4" s="1"/>
  <c r="GF24" i="4"/>
  <c r="GG24" i="4" s="1"/>
  <c r="GB24" i="4"/>
  <c r="GC24" i="4" s="1"/>
  <c r="FX24" i="4"/>
  <c r="FY24" i="4" s="1"/>
  <c r="FT24" i="4"/>
  <c r="FU24" i="4" s="1"/>
  <c r="FP24" i="4"/>
  <c r="FQ24" i="4" s="1"/>
  <c r="FL24" i="4"/>
  <c r="FM24" i="4" s="1"/>
  <c r="FH24" i="4"/>
  <c r="FI24" i="4" s="1"/>
  <c r="FD24" i="4"/>
  <c r="FE24" i="4" s="1"/>
  <c r="EZ24" i="4"/>
  <c r="FA24" i="4" s="1"/>
  <c r="EV24" i="4"/>
  <c r="EW24" i="4" s="1"/>
  <c r="ES24" i="4"/>
  <c r="FV24" i="4"/>
  <c r="FW24" i="4" s="1"/>
  <c r="FF24" i="4"/>
  <c r="FG24" i="4" s="1"/>
  <c r="GH24" i="4"/>
  <c r="GI24" i="4" s="1"/>
  <c r="FR24" i="4"/>
  <c r="FS24" i="4" s="1"/>
  <c r="FB24" i="4"/>
  <c r="FC24" i="4" s="1"/>
  <c r="GD24" i="4"/>
  <c r="GE24" i="4" s="1"/>
  <c r="FN24" i="4"/>
  <c r="FO24" i="4" s="1"/>
  <c r="EX24" i="4"/>
  <c r="EY24" i="4" s="1"/>
  <c r="FZ24" i="4"/>
  <c r="GA24" i="4" s="1"/>
  <c r="FJ24" i="4"/>
  <c r="FK24" i="4" s="1"/>
  <c r="ET24" i="4"/>
  <c r="EU24" i="4" s="1"/>
  <c r="GB100" i="4"/>
  <c r="GC100" i="4" s="1"/>
  <c r="FV100" i="4"/>
  <c r="FW100" i="4" s="1"/>
  <c r="FL100" i="4"/>
  <c r="FM100" i="4" s="1"/>
  <c r="FF100" i="4"/>
  <c r="FG100" i="4" s="1"/>
  <c r="EV100" i="4"/>
  <c r="EW100" i="4" s="1"/>
  <c r="GF100" i="4"/>
  <c r="GG100" i="4" s="1"/>
  <c r="FZ100" i="4"/>
  <c r="GA100" i="4" s="1"/>
  <c r="FP100" i="4"/>
  <c r="FQ100" i="4" s="1"/>
  <c r="FJ100" i="4"/>
  <c r="FK100" i="4" s="1"/>
  <c r="EZ100" i="4"/>
  <c r="FA100" i="4" s="1"/>
  <c r="ET100" i="4"/>
  <c r="EU100" i="4" s="1"/>
  <c r="GD100" i="4"/>
  <c r="GE100" i="4" s="1"/>
  <c r="FT100" i="4"/>
  <c r="FU100" i="4" s="1"/>
  <c r="FN100" i="4"/>
  <c r="FO100" i="4" s="1"/>
  <c r="FD100" i="4"/>
  <c r="FE100" i="4" s="1"/>
  <c r="EX100" i="4"/>
  <c r="EY100" i="4" s="1"/>
  <c r="FH100" i="4"/>
  <c r="FI100" i="4" s="1"/>
  <c r="FX100" i="4"/>
  <c r="FY100" i="4" s="1"/>
  <c r="FB100" i="4"/>
  <c r="FC100" i="4" s="1"/>
  <c r="GH100" i="4"/>
  <c r="GI100" i="4" s="1"/>
  <c r="ES100" i="4"/>
  <c r="FR100" i="4"/>
  <c r="FS100" i="4" s="1"/>
  <c r="AR101" i="4"/>
  <c r="AS101" i="4" s="1"/>
  <c r="AN101" i="4"/>
  <c r="AO101" i="4" s="1"/>
  <c r="X101" i="4"/>
  <c r="Y101" i="4" s="1"/>
  <c r="AX101" i="4"/>
  <c r="AY101" i="4" s="1"/>
  <c r="AT101" i="4"/>
  <c r="AU101" i="4" s="1"/>
  <c r="AL101" i="4"/>
  <c r="AM101" i="4" s="1"/>
  <c r="AF101" i="4"/>
  <c r="AG101" i="4" s="1"/>
  <c r="AB101" i="4"/>
  <c r="AC101" i="4" s="1"/>
  <c r="Z101" i="4"/>
  <c r="AA101" i="4" s="1"/>
  <c r="T101" i="4"/>
  <c r="U101" i="4" s="1"/>
  <c r="AV101" i="4"/>
  <c r="AW101" i="4" s="1"/>
  <c r="AJ101" i="4"/>
  <c r="AK101" i="4" s="1"/>
  <c r="AH101" i="4"/>
  <c r="AI101" i="4" s="1"/>
  <c r="V101" i="4"/>
  <c r="W101" i="4" s="1"/>
  <c r="N101" i="4"/>
  <c r="O101" i="4" s="1"/>
  <c r="AP101" i="4"/>
  <c r="AQ101" i="4" s="1"/>
  <c r="AD101" i="4"/>
  <c r="AE101" i="4" s="1"/>
  <c r="R101" i="4"/>
  <c r="S101" i="4" s="1"/>
  <c r="P101" i="4"/>
  <c r="Q101" i="4" s="1"/>
  <c r="L101" i="4"/>
  <c r="M101" i="4" s="1"/>
  <c r="J101" i="4"/>
  <c r="K101" i="4" s="1"/>
  <c r="I101" i="4"/>
  <c r="G103" i="4"/>
  <c r="EQ101" i="4"/>
  <c r="ER101" i="4" s="1"/>
  <c r="BZ101" i="4"/>
  <c r="DP100" i="4"/>
  <c r="DQ100" i="4" s="1"/>
  <c r="DL100" i="4"/>
  <c r="DM100" i="4" s="1"/>
  <c r="DH100" i="4"/>
  <c r="DI100" i="4" s="1"/>
  <c r="DD100" i="4"/>
  <c r="DE100" i="4" s="1"/>
  <c r="CZ100" i="4"/>
  <c r="DA100" i="4" s="1"/>
  <c r="CV100" i="4"/>
  <c r="CW100" i="4" s="1"/>
  <c r="CR100" i="4"/>
  <c r="CS100" i="4" s="1"/>
  <c r="CN100" i="4"/>
  <c r="CO100" i="4" s="1"/>
  <c r="CJ100" i="4"/>
  <c r="CK100" i="4" s="1"/>
  <c r="CF100" i="4"/>
  <c r="CG100" i="4" s="1"/>
  <c r="CB100" i="4"/>
  <c r="CC100" i="4" s="1"/>
  <c r="DN100" i="4"/>
  <c r="DO100" i="4" s="1"/>
  <c r="DJ100" i="4"/>
  <c r="DK100" i="4" s="1"/>
  <c r="DF100" i="4"/>
  <c r="DG100" i="4" s="1"/>
  <c r="DB100" i="4"/>
  <c r="DC100" i="4" s="1"/>
  <c r="CX100" i="4"/>
  <c r="CY100" i="4" s="1"/>
  <c r="CT100" i="4"/>
  <c r="CU100" i="4" s="1"/>
  <c r="CP100" i="4"/>
  <c r="CQ100" i="4" s="1"/>
  <c r="CL100" i="4"/>
  <c r="CM100" i="4" s="1"/>
  <c r="CH100" i="4"/>
  <c r="CI100" i="4" s="1"/>
  <c r="CD100" i="4"/>
  <c r="CE100" i="4" s="1"/>
  <c r="CA100" i="4"/>
  <c r="BY102" i="4"/>
  <c r="H102" i="4"/>
  <c r="AT102" i="4" l="1"/>
  <c r="AU102" i="4" s="1"/>
  <c r="AL102" i="4"/>
  <c r="AM102" i="4" s="1"/>
  <c r="AF102" i="4"/>
  <c r="AG102" i="4" s="1"/>
  <c r="AB102" i="4"/>
  <c r="AC102" i="4" s="1"/>
  <c r="Z102" i="4"/>
  <c r="AA102" i="4" s="1"/>
  <c r="T102" i="4"/>
  <c r="U102" i="4" s="1"/>
  <c r="AX102" i="4"/>
  <c r="AY102" i="4" s="1"/>
  <c r="AV102" i="4"/>
  <c r="AW102" i="4" s="1"/>
  <c r="AJ102" i="4"/>
  <c r="AK102" i="4" s="1"/>
  <c r="AH102" i="4"/>
  <c r="AI102" i="4" s="1"/>
  <c r="V102" i="4"/>
  <c r="W102" i="4" s="1"/>
  <c r="N102" i="4"/>
  <c r="O102" i="4" s="1"/>
  <c r="AP102" i="4"/>
  <c r="AQ102" i="4" s="1"/>
  <c r="AD102" i="4"/>
  <c r="AE102" i="4" s="1"/>
  <c r="R102" i="4"/>
  <c r="S102" i="4" s="1"/>
  <c r="P102" i="4"/>
  <c r="Q102" i="4" s="1"/>
  <c r="AR102" i="4"/>
  <c r="AS102" i="4" s="1"/>
  <c r="AN102" i="4"/>
  <c r="AO102" i="4" s="1"/>
  <c r="X102" i="4"/>
  <c r="Y102" i="4" s="1"/>
  <c r="L102" i="4"/>
  <c r="M102" i="4" s="1"/>
  <c r="J102" i="4"/>
  <c r="K102" i="4" s="1"/>
  <c r="I102" i="4"/>
  <c r="DN101" i="4"/>
  <c r="DO101" i="4" s="1"/>
  <c r="DJ101" i="4"/>
  <c r="DK101" i="4" s="1"/>
  <c r="DF101" i="4"/>
  <c r="DG101" i="4" s="1"/>
  <c r="DB101" i="4"/>
  <c r="DC101" i="4" s="1"/>
  <c r="CX101" i="4"/>
  <c r="CY101" i="4" s="1"/>
  <c r="CT101" i="4"/>
  <c r="CU101" i="4" s="1"/>
  <c r="CP101" i="4"/>
  <c r="CQ101" i="4" s="1"/>
  <c r="CL101" i="4"/>
  <c r="CM101" i="4" s="1"/>
  <c r="CH101" i="4"/>
  <c r="CI101" i="4" s="1"/>
  <c r="CD101" i="4"/>
  <c r="CE101" i="4" s="1"/>
  <c r="CA101" i="4"/>
  <c r="DP101" i="4"/>
  <c r="DQ101" i="4" s="1"/>
  <c r="DL101" i="4"/>
  <c r="DM101" i="4" s="1"/>
  <c r="DH101" i="4"/>
  <c r="DI101" i="4" s="1"/>
  <c r="DD101" i="4"/>
  <c r="DE101" i="4" s="1"/>
  <c r="CZ101" i="4"/>
  <c r="DA101" i="4" s="1"/>
  <c r="CV101" i="4"/>
  <c r="CW101" i="4" s="1"/>
  <c r="CR101" i="4"/>
  <c r="CS101" i="4" s="1"/>
  <c r="CN101" i="4"/>
  <c r="CO101" i="4" s="1"/>
  <c r="CJ101" i="4"/>
  <c r="CK101" i="4" s="1"/>
  <c r="CF101" i="4"/>
  <c r="CG101" i="4" s="1"/>
  <c r="CB101" i="4"/>
  <c r="CC101" i="4" s="1"/>
  <c r="BZ102" i="4"/>
  <c r="EQ102" i="4"/>
  <c r="ER102" i="4" s="1"/>
  <c r="GH101" i="4"/>
  <c r="GI101" i="4" s="1"/>
  <c r="GD101" i="4"/>
  <c r="GE101" i="4" s="1"/>
  <c r="FZ101" i="4"/>
  <c r="GA101" i="4" s="1"/>
  <c r="FV101" i="4"/>
  <c r="FW101" i="4" s="1"/>
  <c r="FR101" i="4"/>
  <c r="FS101" i="4" s="1"/>
  <c r="FN101" i="4"/>
  <c r="FO101" i="4" s="1"/>
  <c r="FJ101" i="4"/>
  <c r="FK101" i="4" s="1"/>
  <c r="FF101" i="4"/>
  <c r="FG101" i="4" s="1"/>
  <c r="FB101" i="4"/>
  <c r="FC101" i="4" s="1"/>
  <c r="EX101" i="4"/>
  <c r="EY101" i="4" s="1"/>
  <c r="ET101" i="4"/>
  <c r="EU101" i="4" s="1"/>
  <c r="FT101" i="4"/>
  <c r="FU101" i="4" s="1"/>
  <c r="FD101" i="4"/>
  <c r="FE101" i="4" s="1"/>
  <c r="FX101" i="4"/>
  <c r="FY101" i="4" s="1"/>
  <c r="FH101" i="4"/>
  <c r="FI101" i="4" s="1"/>
  <c r="ES101" i="4"/>
  <c r="GB101" i="4"/>
  <c r="GC101" i="4" s="1"/>
  <c r="FL101" i="4"/>
  <c r="FM101" i="4" s="1"/>
  <c r="EV101" i="4"/>
  <c r="EW101" i="4" s="1"/>
  <c r="FP101" i="4"/>
  <c r="FQ101" i="4" s="1"/>
  <c r="GF101" i="4"/>
  <c r="GG101" i="4" s="1"/>
  <c r="EZ101" i="4"/>
  <c r="FA101" i="4" s="1"/>
  <c r="G104" i="4"/>
  <c r="BY103" i="4"/>
  <c r="H103" i="4"/>
  <c r="AV103" i="4" l="1"/>
  <c r="AW103" i="4" s="1"/>
  <c r="AJ103" i="4"/>
  <c r="AK103" i="4" s="1"/>
  <c r="AH103" i="4"/>
  <c r="AI103" i="4" s="1"/>
  <c r="V103" i="4"/>
  <c r="W103" i="4" s="1"/>
  <c r="N103" i="4"/>
  <c r="O103" i="4" s="1"/>
  <c r="AX103" i="4"/>
  <c r="AY103" i="4" s="1"/>
  <c r="AP103" i="4"/>
  <c r="AQ103" i="4" s="1"/>
  <c r="AD103" i="4"/>
  <c r="AE103" i="4" s="1"/>
  <c r="R103" i="4"/>
  <c r="S103" i="4" s="1"/>
  <c r="P103" i="4"/>
  <c r="Q103" i="4" s="1"/>
  <c r="AR103" i="4"/>
  <c r="AS103" i="4" s="1"/>
  <c r="AN103" i="4"/>
  <c r="AO103" i="4" s="1"/>
  <c r="X103" i="4"/>
  <c r="Y103" i="4" s="1"/>
  <c r="AT103" i="4"/>
  <c r="AU103" i="4" s="1"/>
  <c r="AL103" i="4"/>
  <c r="AM103" i="4" s="1"/>
  <c r="AF103" i="4"/>
  <c r="AG103" i="4" s="1"/>
  <c r="AB103" i="4"/>
  <c r="AC103" i="4" s="1"/>
  <c r="Z103" i="4"/>
  <c r="AA103" i="4" s="1"/>
  <c r="T103" i="4"/>
  <c r="U103" i="4" s="1"/>
  <c r="J103" i="4"/>
  <c r="K103" i="4" s="1"/>
  <c r="L103" i="4"/>
  <c r="M103" i="4" s="1"/>
  <c r="I103" i="4"/>
  <c r="EQ103" i="4"/>
  <c r="ER103" i="4" s="1"/>
  <c r="BZ103" i="4"/>
  <c r="GH102" i="4"/>
  <c r="GI102" i="4" s="1"/>
  <c r="GB102" i="4"/>
  <c r="GC102" i="4" s="1"/>
  <c r="FR102" i="4"/>
  <c r="FS102" i="4" s="1"/>
  <c r="FT102" i="4"/>
  <c r="FU102" i="4" s="1"/>
  <c r="FN102" i="4"/>
  <c r="FO102" i="4" s="1"/>
  <c r="FH102" i="4"/>
  <c r="FI102" i="4" s="1"/>
  <c r="EX102" i="4"/>
  <c r="EY102" i="4" s="1"/>
  <c r="ES102" i="4"/>
  <c r="GF102" i="4"/>
  <c r="GG102" i="4" s="1"/>
  <c r="FZ102" i="4"/>
  <c r="GA102" i="4" s="1"/>
  <c r="FL102" i="4"/>
  <c r="FM102" i="4" s="1"/>
  <c r="FB102" i="4"/>
  <c r="FC102" i="4" s="1"/>
  <c r="EV102" i="4"/>
  <c r="EW102" i="4" s="1"/>
  <c r="FX102" i="4"/>
  <c r="FY102" i="4" s="1"/>
  <c r="FP102" i="4"/>
  <c r="FQ102" i="4" s="1"/>
  <c r="FF102" i="4"/>
  <c r="FG102" i="4" s="1"/>
  <c r="EZ102" i="4"/>
  <c r="FA102" i="4" s="1"/>
  <c r="FV102" i="4"/>
  <c r="FW102" i="4" s="1"/>
  <c r="ET102" i="4"/>
  <c r="EU102" i="4" s="1"/>
  <c r="GD102" i="4"/>
  <c r="GE102" i="4" s="1"/>
  <c r="FD102" i="4"/>
  <c r="FE102" i="4" s="1"/>
  <c r="FJ102" i="4"/>
  <c r="FK102" i="4" s="1"/>
  <c r="BY104" i="4"/>
  <c r="H104" i="4"/>
  <c r="G105" i="4"/>
  <c r="DP102" i="4"/>
  <c r="DQ102" i="4" s="1"/>
  <c r="DL102" i="4"/>
  <c r="DM102" i="4" s="1"/>
  <c r="DH102" i="4"/>
  <c r="DI102" i="4" s="1"/>
  <c r="DD102" i="4"/>
  <c r="DE102" i="4" s="1"/>
  <c r="CZ102" i="4"/>
  <c r="DA102" i="4" s="1"/>
  <c r="CV102" i="4"/>
  <c r="CW102" i="4" s="1"/>
  <c r="CR102" i="4"/>
  <c r="CS102" i="4" s="1"/>
  <c r="CN102" i="4"/>
  <c r="CO102" i="4" s="1"/>
  <c r="CJ102" i="4"/>
  <c r="CK102" i="4" s="1"/>
  <c r="CF102" i="4"/>
  <c r="CG102" i="4" s="1"/>
  <c r="CB102" i="4"/>
  <c r="CC102" i="4" s="1"/>
  <c r="DN102" i="4"/>
  <c r="DO102" i="4" s="1"/>
  <c r="DJ102" i="4"/>
  <c r="DK102" i="4" s="1"/>
  <c r="DF102" i="4"/>
  <c r="DG102" i="4" s="1"/>
  <c r="DB102" i="4"/>
  <c r="DC102" i="4" s="1"/>
  <c r="CX102" i="4"/>
  <c r="CY102" i="4" s="1"/>
  <c r="CT102" i="4"/>
  <c r="CU102" i="4" s="1"/>
  <c r="CP102" i="4"/>
  <c r="CQ102" i="4" s="1"/>
  <c r="CL102" i="4"/>
  <c r="CM102" i="4" s="1"/>
  <c r="CH102" i="4"/>
  <c r="CI102" i="4" s="1"/>
  <c r="CD102" i="4"/>
  <c r="CE102" i="4" s="1"/>
  <c r="CA102" i="4"/>
  <c r="G106" i="4" l="1"/>
  <c r="AP104" i="4"/>
  <c r="AQ104" i="4" s="1"/>
  <c r="AD104" i="4"/>
  <c r="AE104" i="4" s="1"/>
  <c r="R104" i="4"/>
  <c r="S104" i="4" s="1"/>
  <c r="P104" i="4"/>
  <c r="Q104" i="4" s="1"/>
  <c r="AX104" i="4"/>
  <c r="AY104" i="4" s="1"/>
  <c r="AR104" i="4"/>
  <c r="AS104" i="4" s="1"/>
  <c r="AN104" i="4"/>
  <c r="AO104" i="4" s="1"/>
  <c r="X104" i="4"/>
  <c r="Y104" i="4" s="1"/>
  <c r="AT104" i="4"/>
  <c r="AU104" i="4" s="1"/>
  <c r="AL104" i="4"/>
  <c r="AM104" i="4" s="1"/>
  <c r="AF104" i="4"/>
  <c r="AG104" i="4" s="1"/>
  <c r="AB104" i="4"/>
  <c r="AC104" i="4" s="1"/>
  <c r="Z104" i="4"/>
  <c r="AA104" i="4" s="1"/>
  <c r="T104" i="4"/>
  <c r="U104" i="4" s="1"/>
  <c r="AV104" i="4"/>
  <c r="AW104" i="4" s="1"/>
  <c r="AJ104" i="4"/>
  <c r="AK104" i="4" s="1"/>
  <c r="AH104" i="4"/>
  <c r="AI104" i="4" s="1"/>
  <c r="V104" i="4"/>
  <c r="W104" i="4" s="1"/>
  <c r="N104" i="4"/>
  <c r="O104" i="4" s="1"/>
  <c r="J104" i="4"/>
  <c r="K104" i="4" s="1"/>
  <c r="I104" i="4"/>
  <c r="L104" i="4"/>
  <c r="M104" i="4" s="1"/>
  <c r="DN103" i="4"/>
  <c r="DO103" i="4" s="1"/>
  <c r="DJ103" i="4"/>
  <c r="DK103" i="4" s="1"/>
  <c r="DF103" i="4"/>
  <c r="DG103" i="4" s="1"/>
  <c r="DB103" i="4"/>
  <c r="DC103" i="4" s="1"/>
  <c r="CX103" i="4"/>
  <c r="CY103" i="4" s="1"/>
  <c r="CT103" i="4"/>
  <c r="CU103" i="4" s="1"/>
  <c r="CP103" i="4"/>
  <c r="CQ103" i="4" s="1"/>
  <c r="CL103" i="4"/>
  <c r="CM103" i="4" s="1"/>
  <c r="CH103" i="4"/>
  <c r="CI103" i="4" s="1"/>
  <c r="CD103" i="4"/>
  <c r="CE103" i="4" s="1"/>
  <c r="CA103" i="4"/>
  <c r="DP103" i="4"/>
  <c r="DQ103" i="4" s="1"/>
  <c r="DL103" i="4"/>
  <c r="DM103" i="4" s="1"/>
  <c r="DH103" i="4"/>
  <c r="DI103" i="4" s="1"/>
  <c r="DD103" i="4"/>
  <c r="DE103" i="4" s="1"/>
  <c r="CZ103" i="4"/>
  <c r="DA103" i="4" s="1"/>
  <c r="CV103" i="4"/>
  <c r="CW103" i="4" s="1"/>
  <c r="CR103" i="4"/>
  <c r="CS103" i="4" s="1"/>
  <c r="CN103" i="4"/>
  <c r="CO103" i="4" s="1"/>
  <c r="CJ103" i="4"/>
  <c r="CK103" i="4" s="1"/>
  <c r="CF103" i="4"/>
  <c r="CG103" i="4" s="1"/>
  <c r="CB103" i="4"/>
  <c r="CC103" i="4" s="1"/>
  <c r="BY105" i="4"/>
  <c r="H105" i="4"/>
  <c r="EQ104" i="4"/>
  <c r="ER104" i="4" s="1"/>
  <c r="BZ104" i="4"/>
  <c r="GH103" i="4"/>
  <c r="GI103" i="4" s="1"/>
  <c r="GD103" i="4"/>
  <c r="GE103" i="4" s="1"/>
  <c r="FZ103" i="4"/>
  <c r="GA103" i="4" s="1"/>
  <c r="FV103" i="4"/>
  <c r="FW103" i="4" s="1"/>
  <c r="FR103" i="4"/>
  <c r="FS103" i="4" s="1"/>
  <c r="FN103" i="4"/>
  <c r="FO103" i="4" s="1"/>
  <c r="FJ103" i="4"/>
  <c r="FK103" i="4" s="1"/>
  <c r="FF103" i="4"/>
  <c r="FG103" i="4" s="1"/>
  <c r="GF103" i="4"/>
  <c r="GG103" i="4" s="1"/>
  <c r="GB103" i="4"/>
  <c r="GC103" i="4" s="1"/>
  <c r="FX103" i="4"/>
  <c r="FY103" i="4" s="1"/>
  <c r="FT103" i="4"/>
  <c r="FU103" i="4" s="1"/>
  <c r="FP103" i="4"/>
  <c r="FQ103" i="4" s="1"/>
  <c r="FL103" i="4"/>
  <c r="FM103" i="4" s="1"/>
  <c r="FH103" i="4"/>
  <c r="FI103" i="4" s="1"/>
  <c r="FD103" i="4"/>
  <c r="FE103" i="4" s="1"/>
  <c r="EZ103" i="4"/>
  <c r="FA103" i="4" s="1"/>
  <c r="EV103" i="4"/>
  <c r="EW103" i="4" s="1"/>
  <c r="ES103" i="4"/>
  <c r="EX103" i="4"/>
  <c r="EY103" i="4" s="1"/>
  <c r="FB103" i="4"/>
  <c r="FC103" i="4" s="1"/>
  <c r="ET103" i="4"/>
  <c r="EU103" i="4" s="1"/>
  <c r="AR105" i="4" l="1"/>
  <c r="AS105" i="4" s="1"/>
  <c r="AN105" i="4"/>
  <c r="AO105" i="4" s="1"/>
  <c r="X105" i="4"/>
  <c r="Y105" i="4" s="1"/>
  <c r="AX105" i="4"/>
  <c r="AY105" i="4" s="1"/>
  <c r="AT105" i="4"/>
  <c r="AU105" i="4" s="1"/>
  <c r="AL105" i="4"/>
  <c r="AM105" i="4" s="1"/>
  <c r="AF105" i="4"/>
  <c r="AG105" i="4" s="1"/>
  <c r="AB105" i="4"/>
  <c r="AC105" i="4" s="1"/>
  <c r="Z105" i="4"/>
  <c r="AA105" i="4" s="1"/>
  <c r="T105" i="4"/>
  <c r="U105" i="4" s="1"/>
  <c r="AV105" i="4"/>
  <c r="AW105" i="4" s="1"/>
  <c r="AJ105" i="4"/>
  <c r="AK105" i="4" s="1"/>
  <c r="AH105" i="4"/>
  <c r="AI105" i="4" s="1"/>
  <c r="V105" i="4"/>
  <c r="W105" i="4" s="1"/>
  <c r="N105" i="4"/>
  <c r="O105" i="4" s="1"/>
  <c r="AP105" i="4"/>
  <c r="AQ105" i="4" s="1"/>
  <c r="AD105" i="4"/>
  <c r="AE105" i="4" s="1"/>
  <c r="R105" i="4"/>
  <c r="S105" i="4" s="1"/>
  <c r="P105" i="4"/>
  <c r="Q105" i="4" s="1"/>
  <c r="L105" i="4"/>
  <c r="M105" i="4" s="1"/>
  <c r="I105" i="4"/>
  <c r="J105" i="4"/>
  <c r="K105" i="4" s="1"/>
  <c r="EQ105" i="4"/>
  <c r="ER105" i="4" s="1"/>
  <c r="BZ105" i="4"/>
  <c r="DP104" i="4"/>
  <c r="DQ104" i="4" s="1"/>
  <c r="DL104" i="4"/>
  <c r="DM104" i="4" s="1"/>
  <c r="DH104" i="4"/>
  <c r="DI104" i="4" s="1"/>
  <c r="DD104" i="4"/>
  <c r="DE104" i="4" s="1"/>
  <c r="CZ104" i="4"/>
  <c r="DA104" i="4" s="1"/>
  <c r="CV104" i="4"/>
  <c r="CW104" i="4" s="1"/>
  <c r="CR104" i="4"/>
  <c r="CS104" i="4" s="1"/>
  <c r="CN104" i="4"/>
  <c r="CO104" i="4" s="1"/>
  <c r="CJ104" i="4"/>
  <c r="CK104" i="4" s="1"/>
  <c r="CF104" i="4"/>
  <c r="CG104" i="4" s="1"/>
  <c r="CB104" i="4"/>
  <c r="CC104" i="4" s="1"/>
  <c r="DN104" i="4"/>
  <c r="DO104" i="4" s="1"/>
  <c r="DJ104" i="4"/>
  <c r="DK104" i="4" s="1"/>
  <c r="DF104" i="4"/>
  <c r="DG104" i="4" s="1"/>
  <c r="DB104" i="4"/>
  <c r="DC104" i="4" s="1"/>
  <c r="CX104" i="4"/>
  <c r="CY104" i="4" s="1"/>
  <c r="CT104" i="4"/>
  <c r="CU104" i="4" s="1"/>
  <c r="CP104" i="4"/>
  <c r="CQ104" i="4" s="1"/>
  <c r="CL104" i="4"/>
  <c r="CM104" i="4" s="1"/>
  <c r="CH104" i="4"/>
  <c r="CI104" i="4" s="1"/>
  <c r="CD104" i="4"/>
  <c r="CE104" i="4" s="1"/>
  <c r="CA104" i="4"/>
  <c r="BY106" i="4"/>
  <c r="H106" i="4"/>
  <c r="GB104" i="4"/>
  <c r="GC104" i="4" s="1"/>
  <c r="FT104" i="4"/>
  <c r="FU104" i="4" s="1"/>
  <c r="FL104" i="4"/>
  <c r="FM104" i="4" s="1"/>
  <c r="FD104" i="4"/>
  <c r="FE104" i="4" s="1"/>
  <c r="EV104" i="4"/>
  <c r="EW104" i="4" s="1"/>
  <c r="FZ104" i="4"/>
  <c r="GA104" i="4" s="1"/>
  <c r="FP104" i="4"/>
  <c r="FQ104" i="4" s="1"/>
  <c r="FF104" i="4"/>
  <c r="FG104" i="4" s="1"/>
  <c r="ET104" i="4"/>
  <c r="EU104" i="4" s="1"/>
  <c r="GH104" i="4"/>
  <c r="GI104" i="4" s="1"/>
  <c r="FX104" i="4"/>
  <c r="FY104" i="4" s="1"/>
  <c r="FN104" i="4"/>
  <c r="FO104" i="4" s="1"/>
  <c r="FB104" i="4"/>
  <c r="FC104" i="4" s="1"/>
  <c r="ES104" i="4"/>
  <c r="GF104" i="4"/>
  <c r="GG104" i="4" s="1"/>
  <c r="FV104" i="4"/>
  <c r="FW104" i="4" s="1"/>
  <c r="FJ104" i="4"/>
  <c r="FK104" i="4" s="1"/>
  <c r="EZ104" i="4"/>
  <c r="FA104" i="4" s="1"/>
  <c r="EX104" i="4"/>
  <c r="EY104" i="4" s="1"/>
  <c r="GD104" i="4"/>
  <c r="GE104" i="4" s="1"/>
  <c r="FH104" i="4"/>
  <c r="FI104" i="4" s="1"/>
  <c r="FR104" i="4"/>
  <c r="FS104" i="4" s="1"/>
  <c r="G107" i="4"/>
  <c r="BY107" i="4" l="1"/>
  <c r="H107" i="4"/>
  <c r="G108" i="4"/>
  <c r="AT106" i="4"/>
  <c r="AU106" i="4" s="1"/>
  <c r="AL106" i="4"/>
  <c r="AM106" i="4" s="1"/>
  <c r="AF106" i="4"/>
  <c r="AG106" i="4" s="1"/>
  <c r="AB106" i="4"/>
  <c r="AC106" i="4" s="1"/>
  <c r="Z106" i="4"/>
  <c r="AA106" i="4" s="1"/>
  <c r="T106" i="4"/>
  <c r="U106" i="4" s="1"/>
  <c r="AX106" i="4"/>
  <c r="AY106" i="4" s="1"/>
  <c r="AV106" i="4"/>
  <c r="AW106" i="4" s="1"/>
  <c r="AJ106" i="4"/>
  <c r="AK106" i="4" s="1"/>
  <c r="AH106" i="4"/>
  <c r="AI106" i="4" s="1"/>
  <c r="V106" i="4"/>
  <c r="W106" i="4" s="1"/>
  <c r="N106" i="4"/>
  <c r="O106" i="4" s="1"/>
  <c r="AP106" i="4"/>
  <c r="AQ106" i="4" s="1"/>
  <c r="AD106" i="4"/>
  <c r="AE106" i="4" s="1"/>
  <c r="R106" i="4"/>
  <c r="S106" i="4" s="1"/>
  <c r="P106" i="4"/>
  <c r="Q106" i="4" s="1"/>
  <c r="AR106" i="4"/>
  <c r="AS106" i="4" s="1"/>
  <c r="AN106" i="4"/>
  <c r="AO106" i="4" s="1"/>
  <c r="X106" i="4"/>
  <c r="Y106" i="4" s="1"/>
  <c r="L106" i="4"/>
  <c r="M106" i="4" s="1"/>
  <c r="J106" i="4"/>
  <c r="K106" i="4" s="1"/>
  <c r="I106" i="4"/>
  <c r="DN105" i="4"/>
  <c r="DO105" i="4" s="1"/>
  <c r="DD105" i="4"/>
  <c r="DE105" i="4" s="1"/>
  <c r="CX105" i="4"/>
  <c r="CY105" i="4" s="1"/>
  <c r="CT105" i="4"/>
  <c r="CU105" i="4" s="1"/>
  <c r="CP105" i="4"/>
  <c r="CQ105" i="4" s="1"/>
  <c r="CL105" i="4"/>
  <c r="CM105" i="4" s="1"/>
  <c r="CH105" i="4"/>
  <c r="CI105" i="4" s="1"/>
  <c r="CD105" i="4"/>
  <c r="CE105" i="4" s="1"/>
  <c r="CA105" i="4"/>
  <c r="DH105" i="4"/>
  <c r="DI105" i="4" s="1"/>
  <c r="DB105" i="4"/>
  <c r="DC105" i="4" s="1"/>
  <c r="DL105" i="4"/>
  <c r="DM105" i="4" s="1"/>
  <c r="DF105" i="4"/>
  <c r="DG105" i="4" s="1"/>
  <c r="CV105" i="4"/>
  <c r="CW105" i="4" s="1"/>
  <c r="CR105" i="4"/>
  <c r="CS105" i="4" s="1"/>
  <c r="CN105" i="4"/>
  <c r="CO105" i="4" s="1"/>
  <c r="CJ105" i="4"/>
  <c r="CK105" i="4" s="1"/>
  <c r="CF105" i="4"/>
  <c r="CG105" i="4" s="1"/>
  <c r="CB105" i="4"/>
  <c r="CC105" i="4" s="1"/>
  <c r="DP105" i="4"/>
  <c r="DQ105" i="4" s="1"/>
  <c r="DJ105" i="4"/>
  <c r="DK105" i="4" s="1"/>
  <c r="CZ105" i="4"/>
  <c r="DA105" i="4" s="1"/>
  <c r="EQ106" i="4"/>
  <c r="ER106" i="4" s="1"/>
  <c r="BZ106" i="4"/>
  <c r="GF105" i="4"/>
  <c r="GG105" i="4" s="1"/>
  <c r="GB105" i="4"/>
  <c r="GC105" i="4" s="1"/>
  <c r="FX105" i="4"/>
  <c r="FY105" i="4" s="1"/>
  <c r="FT105" i="4"/>
  <c r="FU105" i="4" s="1"/>
  <c r="FP105" i="4"/>
  <c r="FQ105" i="4" s="1"/>
  <c r="FL105" i="4"/>
  <c r="FM105" i="4" s="1"/>
  <c r="FH105" i="4"/>
  <c r="FI105" i="4" s="1"/>
  <c r="FD105" i="4"/>
  <c r="FE105" i="4" s="1"/>
  <c r="EZ105" i="4"/>
  <c r="FA105" i="4" s="1"/>
  <c r="EV105" i="4"/>
  <c r="EW105" i="4" s="1"/>
  <c r="ES105" i="4"/>
  <c r="GH105" i="4"/>
  <c r="GI105" i="4" s="1"/>
  <c r="GD105" i="4"/>
  <c r="GE105" i="4" s="1"/>
  <c r="FZ105" i="4"/>
  <c r="GA105" i="4" s="1"/>
  <c r="FV105" i="4"/>
  <c r="FW105" i="4" s="1"/>
  <c r="FR105" i="4"/>
  <c r="FS105" i="4" s="1"/>
  <c r="FN105" i="4"/>
  <c r="FO105" i="4" s="1"/>
  <c r="FJ105" i="4"/>
  <c r="FK105" i="4" s="1"/>
  <c r="FF105" i="4"/>
  <c r="FG105" i="4" s="1"/>
  <c r="FB105" i="4"/>
  <c r="FC105" i="4" s="1"/>
  <c r="EX105" i="4"/>
  <c r="EY105" i="4" s="1"/>
  <c r="ET105" i="4"/>
  <c r="EU105" i="4" s="1"/>
  <c r="G109" i="4" l="1"/>
  <c r="BY108" i="4"/>
  <c r="H108" i="4"/>
  <c r="DP106" i="4"/>
  <c r="DQ106" i="4" s="1"/>
  <c r="DL106" i="4"/>
  <c r="DM106" i="4" s="1"/>
  <c r="DH106" i="4"/>
  <c r="DI106" i="4" s="1"/>
  <c r="DD106" i="4"/>
  <c r="DE106" i="4" s="1"/>
  <c r="CZ106" i="4"/>
  <c r="DA106" i="4" s="1"/>
  <c r="DF106" i="4"/>
  <c r="DG106" i="4" s="1"/>
  <c r="CP106" i="4"/>
  <c r="CQ106" i="4" s="1"/>
  <c r="CJ106" i="4"/>
  <c r="CK106" i="4" s="1"/>
  <c r="CA106" i="4"/>
  <c r="DB106" i="4"/>
  <c r="DC106" i="4" s="1"/>
  <c r="CT106" i="4"/>
  <c r="CU106" i="4" s="1"/>
  <c r="CN106" i="4"/>
  <c r="CO106" i="4" s="1"/>
  <c r="CD106" i="4"/>
  <c r="CE106" i="4" s="1"/>
  <c r="DN106" i="4"/>
  <c r="DO106" i="4" s="1"/>
  <c r="CX106" i="4"/>
  <c r="CY106" i="4" s="1"/>
  <c r="CR106" i="4"/>
  <c r="CS106" i="4" s="1"/>
  <c r="CH106" i="4"/>
  <c r="CI106" i="4" s="1"/>
  <c r="CB106" i="4"/>
  <c r="CC106" i="4" s="1"/>
  <c r="DJ106" i="4"/>
  <c r="DK106" i="4" s="1"/>
  <c r="CV106" i="4"/>
  <c r="CW106" i="4" s="1"/>
  <c r="CL106" i="4"/>
  <c r="CM106" i="4" s="1"/>
  <c r="CF106" i="4"/>
  <c r="CG106" i="4" s="1"/>
  <c r="GD106" i="4"/>
  <c r="GE106" i="4" s="1"/>
  <c r="FV106" i="4"/>
  <c r="FW106" i="4" s="1"/>
  <c r="FN106" i="4"/>
  <c r="FO106" i="4" s="1"/>
  <c r="FF106" i="4"/>
  <c r="FG106" i="4" s="1"/>
  <c r="EX106" i="4"/>
  <c r="EY106" i="4" s="1"/>
  <c r="GB106" i="4"/>
  <c r="GC106" i="4" s="1"/>
  <c r="FR106" i="4"/>
  <c r="FS106" i="4" s="1"/>
  <c r="FH106" i="4"/>
  <c r="FI106" i="4" s="1"/>
  <c r="EV106" i="4"/>
  <c r="EW106" i="4" s="1"/>
  <c r="FZ106" i="4"/>
  <c r="GA106" i="4" s="1"/>
  <c r="FP106" i="4"/>
  <c r="FQ106" i="4" s="1"/>
  <c r="FD106" i="4"/>
  <c r="FE106" i="4" s="1"/>
  <c r="ET106" i="4"/>
  <c r="EU106" i="4" s="1"/>
  <c r="GH106" i="4"/>
  <c r="GI106" i="4" s="1"/>
  <c r="FX106" i="4"/>
  <c r="FY106" i="4" s="1"/>
  <c r="FL106" i="4"/>
  <c r="FM106" i="4" s="1"/>
  <c r="FB106" i="4"/>
  <c r="FC106" i="4" s="1"/>
  <c r="ES106" i="4"/>
  <c r="EZ106" i="4"/>
  <c r="FA106" i="4" s="1"/>
  <c r="GF106" i="4"/>
  <c r="GG106" i="4" s="1"/>
  <c r="FJ106" i="4"/>
  <c r="FK106" i="4" s="1"/>
  <c r="FT106" i="4"/>
  <c r="FU106" i="4" s="1"/>
  <c r="AV107" i="4"/>
  <c r="AW107" i="4" s="1"/>
  <c r="AJ107" i="4"/>
  <c r="AK107" i="4" s="1"/>
  <c r="AH107" i="4"/>
  <c r="AI107" i="4" s="1"/>
  <c r="V107" i="4"/>
  <c r="W107" i="4" s="1"/>
  <c r="N107" i="4"/>
  <c r="O107" i="4" s="1"/>
  <c r="AX107" i="4"/>
  <c r="AY107" i="4" s="1"/>
  <c r="AP107" i="4"/>
  <c r="AQ107" i="4" s="1"/>
  <c r="AD107" i="4"/>
  <c r="AE107" i="4" s="1"/>
  <c r="R107" i="4"/>
  <c r="S107" i="4" s="1"/>
  <c r="P107" i="4"/>
  <c r="Q107" i="4" s="1"/>
  <c r="AR107" i="4"/>
  <c r="AS107" i="4" s="1"/>
  <c r="AN107" i="4"/>
  <c r="AO107" i="4" s="1"/>
  <c r="X107" i="4"/>
  <c r="Y107" i="4" s="1"/>
  <c r="AT107" i="4"/>
  <c r="AU107" i="4" s="1"/>
  <c r="AL107" i="4"/>
  <c r="AM107" i="4" s="1"/>
  <c r="AF107" i="4"/>
  <c r="AG107" i="4" s="1"/>
  <c r="AB107" i="4"/>
  <c r="AC107" i="4" s="1"/>
  <c r="Z107" i="4"/>
  <c r="AA107" i="4" s="1"/>
  <c r="T107" i="4"/>
  <c r="U107" i="4" s="1"/>
  <c r="J107" i="4"/>
  <c r="K107" i="4" s="1"/>
  <c r="L107" i="4"/>
  <c r="M107" i="4" s="1"/>
  <c r="I107" i="4"/>
  <c r="EQ107" i="4"/>
  <c r="ER107" i="4" s="1"/>
  <c r="BZ107" i="4"/>
  <c r="AP108" i="4" l="1"/>
  <c r="AQ108" i="4" s="1"/>
  <c r="AD108" i="4"/>
  <c r="AE108" i="4" s="1"/>
  <c r="R108" i="4"/>
  <c r="S108" i="4" s="1"/>
  <c r="P108" i="4"/>
  <c r="Q108" i="4" s="1"/>
  <c r="AX108" i="4"/>
  <c r="AY108" i="4" s="1"/>
  <c r="AR108" i="4"/>
  <c r="AS108" i="4" s="1"/>
  <c r="AN108" i="4"/>
  <c r="AO108" i="4" s="1"/>
  <c r="X108" i="4"/>
  <c r="Y108" i="4" s="1"/>
  <c r="AT108" i="4"/>
  <c r="AU108" i="4" s="1"/>
  <c r="AL108" i="4"/>
  <c r="AM108" i="4" s="1"/>
  <c r="AF108" i="4"/>
  <c r="AG108" i="4" s="1"/>
  <c r="AB108" i="4"/>
  <c r="AC108" i="4" s="1"/>
  <c r="Z108" i="4"/>
  <c r="AA108" i="4" s="1"/>
  <c r="T108" i="4"/>
  <c r="U108" i="4" s="1"/>
  <c r="AV108" i="4"/>
  <c r="AW108" i="4" s="1"/>
  <c r="AJ108" i="4"/>
  <c r="AK108" i="4" s="1"/>
  <c r="AH108" i="4"/>
  <c r="AI108" i="4" s="1"/>
  <c r="V108" i="4"/>
  <c r="W108" i="4" s="1"/>
  <c r="N108" i="4"/>
  <c r="O108" i="4" s="1"/>
  <c r="J108" i="4"/>
  <c r="K108" i="4" s="1"/>
  <c r="I108" i="4"/>
  <c r="L108" i="4"/>
  <c r="M108" i="4" s="1"/>
  <c r="GF107" i="4"/>
  <c r="GG107" i="4" s="1"/>
  <c r="GB107" i="4"/>
  <c r="GC107" i="4" s="1"/>
  <c r="GD107" i="4"/>
  <c r="GE107" i="4" s="1"/>
  <c r="FV107" i="4"/>
  <c r="FW107" i="4" s="1"/>
  <c r="FR107" i="4"/>
  <c r="FS107" i="4" s="1"/>
  <c r="FN107" i="4"/>
  <c r="FO107" i="4" s="1"/>
  <c r="FJ107" i="4"/>
  <c r="FK107" i="4" s="1"/>
  <c r="FF107" i="4"/>
  <c r="FG107" i="4" s="1"/>
  <c r="FB107" i="4"/>
  <c r="FC107" i="4" s="1"/>
  <c r="EX107" i="4"/>
  <c r="EY107" i="4" s="1"/>
  <c r="ET107" i="4"/>
  <c r="EU107" i="4" s="1"/>
  <c r="FZ107" i="4"/>
  <c r="GA107" i="4" s="1"/>
  <c r="FX107" i="4"/>
  <c r="FY107" i="4" s="1"/>
  <c r="FT107" i="4"/>
  <c r="FU107" i="4" s="1"/>
  <c r="FP107" i="4"/>
  <c r="FQ107" i="4" s="1"/>
  <c r="FL107" i="4"/>
  <c r="FM107" i="4" s="1"/>
  <c r="FH107" i="4"/>
  <c r="FI107" i="4" s="1"/>
  <c r="FD107" i="4"/>
  <c r="FE107" i="4" s="1"/>
  <c r="EZ107" i="4"/>
  <c r="FA107" i="4" s="1"/>
  <c r="EV107" i="4"/>
  <c r="EW107" i="4" s="1"/>
  <c r="ES107" i="4"/>
  <c r="GH107" i="4"/>
  <c r="GI107" i="4" s="1"/>
  <c r="EQ108" i="4"/>
  <c r="ER108" i="4" s="1"/>
  <c r="BZ108" i="4"/>
  <c r="BY109" i="4"/>
  <c r="H109" i="4"/>
  <c r="DN107" i="4"/>
  <c r="DO107" i="4" s="1"/>
  <c r="DJ107" i="4"/>
  <c r="DK107" i="4" s="1"/>
  <c r="DF107" i="4"/>
  <c r="DG107" i="4" s="1"/>
  <c r="DB107" i="4"/>
  <c r="DC107" i="4" s="1"/>
  <c r="CX107" i="4"/>
  <c r="CY107" i="4" s="1"/>
  <c r="CT107" i="4"/>
  <c r="CU107" i="4" s="1"/>
  <c r="CP107" i="4"/>
  <c r="CQ107" i="4" s="1"/>
  <c r="CL107" i="4"/>
  <c r="CM107" i="4" s="1"/>
  <c r="CH107" i="4"/>
  <c r="CI107" i="4" s="1"/>
  <c r="CD107" i="4"/>
  <c r="CE107" i="4" s="1"/>
  <c r="CA107" i="4"/>
  <c r="DD107" i="4"/>
  <c r="DE107" i="4" s="1"/>
  <c r="CN107" i="4"/>
  <c r="CO107" i="4" s="1"/>
  <c r="DP107" i="4"/>
  <c r="DQ107" i="4" s="1"/>
  <c r="CZ107" i="4"/>
  <c r="DA107" i="4" s="1"/>
  <c r="CJ107" i="4"/>
  <c r="CK107" i="4" s="1"/>
  <c r="DL107" i="4"/>
  <c r="DM107" i="4" s="1"/>
  <c r="CV107" i="4"/>
  <c r="CW107" i="4" s="1"/>
  <c r="CF107" i="4"/>
  <c r="CG107" i="4" s="1"/>
  <c r="DH107" i="4"/>
  <c r="DI107" i="4" s="1"/>
  <c r="CR107" i="4"/>
  <c r="CS107" i="4" s="1"/>
  <c r="CB107" i="4"/>
  <c r="CC107" i="4" s="1"/>
  <c r="G110" i="4"/>
  <c r="G111" i="4" l="1"/>
  <c r="DP108" i="4"/>
  <c r="DQ108" i="4" s="1"/>
  <c r="DL108" i="4"/>
  <c r="DM108" i="4" s="1"/>
  <c r="DH108" i="4"/>
  <c r="DI108" i="4" s="1"/>
  <c r="DD108" i="4"/>
  <c r="DE108" i="4" s="1"/>
  <c r="CZ108" i="4"/>
  <c r="DA108" i="4" s="1"/>
  <c r="CV108" i="4"/>
  <c r="CW108" i="4" s="1"/>
  <c r="CR108" i="4"/>
  <c r="CS108" i="4" s="1"/>
  <c r="CN108" i="4"/>
  <c r="CO108" i="4" s="1"/>
  <c r="CJ108" i="4"/>
  <c r="CK108" i="4" s="1"/>
  <c r="CF108" i="4"/>
  <c r="CG108" i="4" s="1"/>
  <c r="CB108" i="4"/>
  <c r="CC108" i="4" s="1"/>
  <c r="DN108" i="4"/>
  <c r="DO108" i="4" s="1"/>
  <c r="CX108" i="4"/>
  <c r="CY108" i="4" s="1"/>
  <c r="CH108" i="4"/>
  <c r="CI108" i="4" s="1"/>
  <c r="DJ108" i="4"/>
  <c r="DK108" i="4" s="1"/>
  <c r="CT108" i="4"/>
  <c r="CU108" i="4" s="1"/>
  <c r="CD108" i="4"/>
  <c r="CE108" i="4" s="1"/>
  <c r="DF108" i="4"/>
  <c r="DG108" i="4" s="1"/>
  <c r="CP108" i="4"/>
  <c r="CQ108" i="4" s="1"/>
  <c r="CA108" i="4"/>
  <c r="DB108" i="4"/>
  <c r="DC108" i="4" s="1"/>
  <c r="CL108" i="4"/>
  <c r="CM108" i="4" s="1"/>
  <c r="AR109" i="4"/>
  <c r="AS109" i="4" s="1"/>
  <c r="AN109" i="4"/>
  <c r="AO109" i="4" s="1"/>
  <c r="X109" i="4"/>
  <c r="Y109" i="4" s="1"/>
  <c r="AX109" i="4"/>
  <c r="AY109" i="4" s="1"/>
  <c r="AT109" i="4"/>
  <c r="AU109" i="4" s="1"/>
  <c r="AL109" i="4"/>
  <c r="AM109" i="4" s="1"/>
  <c r="AF109" i="4"/>
  <c r="AG109" i="4" s="1"/>
  <c r="AB109" i="4"/>
  <c r="AC109" i="4" s="1"/>
  <c r="Z109" i="4"/>
  <c r="AA109" i="4" s="1"/>
  <c r="T109" i="4"/>
  <c r="U109" i="4" s="1"/>
  <c r="AV109" i="4"/>
  <c r="AW109" i="4" s="1"/>
  <c r="AJ109" i="4"/>
  <c r="AK109" i="4" s="1"/>
  <c r="AH109" i="4"/>
  <c r="AI109" i="4" s="1"/>
  <c r="V109" i="4"/>
  <c r="W109" i="4" s="1"/>
  <c r="N109" i="4"/>
  <c r="O109" i="4" s="1"/>
  <c r="AP109" i="4"/>
  <c r="AQ109" i="4" s="1"/>
  <c r="AD109" i="4"/>
  <c r="AE109" i="4" s="1"/>
  <c r="R109" i="4"/>
  <c r="S109" i="4" s="1"/>
  <c r="P109" i="4"/>
  <c r="Q109" i="4" s="1"/>
  <c r="L109" i="4"/>
  <c r="M109" i="4" s="1"/>
  <c r="I109" i="4"/>
  <c r="J109" i="4"/>
  <c r="K109" i="4" s="1"/>
  <c r="EQ109" i="4"/>
  <c r="ER109" i="4" s="1"/>
  <c r="BZ109" i="4"/>
  <c r="BY110" i="4"/>
  <c r="H110" i="4"/>
  <c r="GH108" i="4"/>
  <c r="GI108" i="4" s="1"/>
  <c r="GD108" i="4"/>
  <c r="GE108" i="4" s="1"/>
  <c r="FZ108" i="4"/>
  <c r="GA108" i="4" s="1"/>
  <c r="FV108" i="4"/>
  <c r="FW108" i="4" s="1"/>
  <c r="FR108" i="4"/>
  <c r="FS108" i="4" s="1"/>
  <c r="FN108" i="4"/>
  <c r="FO108" i="4" s="1"/>
  <c r="FJ108" i="4"/>
  <c r="FK108" i="4" s="1"/>
  <c r="FF108" i="4"/>
  <c r="FG108" i="4" s="1"/>
  <c r="FB108" i="4"/>
  <c r="FC108" i="4" s="1"/>
  <c r="EX108" i="4"/>
  <c r="EY108" i="4" s="1"/>
  <c r="ET108" i="4"/>
  <c r="EU108" i="4" s="1"/>
  <c r="GF108" i="4"/>
  <c r="GG108" i="4" s="1"/>
  <c r="GB108" i="4"/>
  <c r="GC108" i="4" s="1"/>
  <c r="FX108" i="4"/>
  <c r="FY108" i="4" s="1"/>
  <c r="FT108" i="4"/>
  <c r="FU108" i="4" s="1"/>
  <c r="FP108" i="4"/>
  <c r="FQ108" i="4" s="1"/>
  <c r="FL108" i="4"/>
  <c r="FM108" i="4" s="1"/>
  <c r="FH108" i="4"/>
  <c r="FI108" i="4" s="1"/>
  <c r="FD108" i="4"/>
  <c r="FE108" i="4" s="1"/>
  <c r="EZ108" i="4"/>
  <c r="FA108" i="4" s="1"/>
  <c r="EV108" i="4"/>
  <c r="EW108" i="4" s="1"/>
  <c r="ES108" i="4"/>
  <c r="EQ110" i="4" l="1"/>
  <c r="ER110" i="4" s="1"/>
  <c r="BZ110" i="4"/>
  <c r="GH109" i="4"/>
  <c r="GI109" i="4" s="1"/>
  <c r="GD109" i="4"/>
  <c r="GE109" i="4" s="1"/>
  <c r="FZ109" i="4"/>
  <c r="GA109" i="4" s="1"/>
  <c r="FV109" i="4"/>
  <c r="FW109" i="4" s="1"/>
  <c r="FR109" i="4"/>
  <c r="FS109" i="4" s="1"/>
  <c r="FN109" i="4"/>
  <c r="FO109" i="4" s="1"/>
  <c r="FJ109" i="4"/>
  <c r="FK109" i="4" s="1"/>
  <c r="FF109" i="4"/>
  <c r="FG109" i="4" s="1"/>
  <c r="FB109" i="4"/>
  <c r="FC109" i="4" s="1"/>
  <c r="EX109" i="4"/>
  <c r="EY109" i="4" s="1"/>
  <c r="ET109" i="4"/>
  <c r="EU109" i="4" s="1"/>
  <c r="GB109" i="4"/>
  <c r="GC109" i="4" s="1"/>
  <c r="FL109" i="4"/>
  <c r="FM109" i="4" s="1"/>
  <c r="EV109" i="4"/>
  <c r="EW109" i="4" s="1"/>
  <c r="FX109" i="4"/>
  <c r="FY109" i="4" s="1"/>
  <c r="FH109" i="4"/>
  <c r="FI109" i="4" s="1"/>
  <c r="ES109" i="4"/>
  <c r="FT109" i="4"/>
  <c r="FU109" i="4" s="1"/>
  <c r="FD109" i="4"/>
  <c r="FE109" i="4" s="1"/>
  <c r="EZ109" i="4"/>
  <c r="FA109" i="4" s="1"/>
  <c r="GF109" i="4"/>
  <c r="GG109" i="4" s="1"/>
  <c r="FP109" i="4"/>
  <c r="FQ109" i="4" s="1"/>
  <c r="BY111" i="4"/>
  <c r="H111" i="4"/>
  <c r="G112" i="4"/>
  <c r="D113" i="4"/>
  <c r="AT110" i="4"/>
  <c r="AU110" i="4" s="1"/>
  <c r="AL110" i="4"/>
  <c r="AM110" i="4" s="1"/>
  <c r="AF110" i="4"/>
  <c r="AG110" i="4" s="1"/>
  <c r="AB110" i="4"/>
  <c r="AC110" i="4" s="1"/>
  <c r="Z110" i="4"/>
  <c r="AA110" i="4" s="1"/>
  <c r="T110" i="4"/>
  <c r="U110" i="4" s="1"/>
  <c r="AX110" i="4"/>
  <c r="AY110" i="4" s="1"/>
  <c r="AV110" i="4"/>
  <c r="AW110" i="4" s="1"/>
  <c r="AJ110" i="4"/>
  <c r="AK110" i="4" s="1"/>
  <c r="AH110" i="4"/>
  <c r="AI110" i="4" s="1"/>
  <c r="V110" i="4"/>
  <c r="W110" i="4" s="1"/>
  <c r="N110" i="4"/>
  <c r="O110" i="4" s="1"/>
  <c r="AP110" i="4"/>
  <c r="AQ110" i="4" s="1"/>
  <c r="AD110" i="4"/>
  <c r="AE110" i="4" s="1"/>
  <c r="R110" i="4"/>
  <c r="S110" i="4" s="1"/>
  <c r="P110" i="4"/>
  <c r="Q110" i="4" s="1"/>
  <c r="AR110" i="4"/>
  <c r="AS110" i="4" s="1"/>
  <c r="AN110" i="4"/>
  <c r="AO110" i="4" s="1"/>
  <c r="X110" i="4"/>
  <c r="Y110" i="4" s="1"/>
  <c r="L110" i="4"/>
  <c r="M110" i="4" s="1"/>
  <c r="J110" i="4"/>
  <c r="K110" i="4" s="1"/>
  <c r="I110" i="4"/>
  <c r="DN109" i="4"/>
  <c r="DO109" i="4" s="1"/>
  <c r="DJ109" i="4"/>
  <c r="DK109" i="4" s="1"/>
  <c r="DF109" i="4"/>
  <c r="DG109" i="4" s="1"/>
  <c r="DB109" i="4"/>
  <c r="DC109" i="4" s="1"/>
  <c r="CX109" i="4"/>
  <c r="CY109" i="4" s="1"/>
  <c r="CT109" i="4"/>
  <c r="CU109" i="4" s="1"/>
  <c r="CP109" i="4"/>
  <c r="CQ109" i="4" s="1"/>
  <c r="CL109" i="4"/>
  <c r="CM109" i="4" s="1"/>
  <c r="CH109" i="4"/>
  <c r="CI109" i="4" s="1"/>
  <c r="CD109" i="4"/>
  <c r="CE109" i="4" s="1"/>
  <c r="CA109" i="4"/>
  <c r="DL109" i="4"/>
  <c r="DM109" i="4" s="1"/>
  <c r="CV109" i="4"/>
  <c r="CW109" i="4" s="1"/>
  <c r="CF109" i="4"/>
  <c r="CG109" i="4" s="1"/>
  <c r="DH109" i="4"/>
  <c r="DI109" i="4" s="1"/>
  <c r="CR109" i="4"/>
  <c r="CS109" i="4" s="1"/>
  <c r="CB109" i="4"/>
  <c r="CC109" i="4" s="1"/>
  <c r="DD109" i="4"/>
  <c r="DE109" i="4" s="1"/>
  <c r="CN109" i="4"/>
  <c r="CO109" i="4" s="1"/>
  <c r="DP109" i="4"/>
  <c r="DQ109" i="4" s="1"/>
  <c r="CZ109" i="4"/>
  <c r="DA109" i="4" s="1"/>
  <c r="CJ109" i="4"/>
  <c r="CK109" i="4" s="1"/>
  <c r="G113" i="4" l="1"/>
  <c r="D22" i="4"/>
  <c r="E22" i="4" s="1"/>
  <c r="EQ111" i="4"/>
  <c r="ER111" i="4" s="1"/>
  <c r="BZ111" i="4"/>
  <c r="GF110" i="4"/>
  <c r="GG110" i="4" s="1"/>
  <c r="GB110" i="4"/>
  <c r="GC110" i="4" s="1"/>
  <c r="FX110" i="4"/>
  <c r="FY110" i="4" s="1"/>
  <c r="FT110" i="4"/>
  <c r="FU110" i="4" s="1"/>
  <c r="FP110" i="4"/>
  <c r="FQ110" i="4" s="1"/>
  <c r="FL110" i="4"/>
  <c r="FM110" i="4" s="1"/>
  <c r="FH110" i="4"/>
  <c r="FI110" i="4" s="1"/>
  <c r="FD110" i="4"/>
  <c r="FE110" i="4" s="1"/>
  <c r="EZ110" i="4"/>
  <c r="FA110" i="4" s="1"/>
  <c r="EV110" i="4"/>
  <c r="EW110" i="4" s="1"/>
  <c r="ES110" i="4"/>
  <c r="GH110" i="4"/>
  <c r="GI110" i="4" s="1"/>
  <c r="GD110" i="4"/>
  <c r="GE110" i="4" s="1"/>
  <c r="FZ110" i="4"/>
  <c r="GA110" i="4" s="1"/>
  <c r="FV110" i="4"/>
  <c r="FW110" i="4" s="1"/>
  <c r="FR110" i="4"/>
  <c r="FS110" i="4" s="1"/>
  <c r="FN110" i="4"/>
  <c r="FO110" i="4" s="1"/>
  <c r="FJ110" i="4"/>
  <c r="FK110" i="4" s="1"/>
  <c r="FF110" i="4"/>
  <c r="FG110" i="4" s="1"/>
  <c r="FB110" i="4"/>
  <c r="FC110" i="4" s="1"/>
  <c r="EX110" i="4"/>
  <c r="EY110" i="4" s="1"/>
  <c r="ET110" i="4"/>
  <c r="EU110" i="4" s="1"/>
  <c r="BY112" i="4"/>
  <c r="H112" i="4"/>
  <c r="AV111" i="4"/>
  <c r="AW111" i="4" s="1"/>
  <c r="AJ111" i="4"/>
  <c r="AK111" i="4" s="1"/>
  <c r="AH111" i="4"/>
  <c r="AI111" i="4" s="1"/>
  <c r="V111" i="4"/>
  <c r="W111" i="4" s="1"/>
  <c r="N111" i="4"/>
  <c r="O111" i="4" s="1"/>
  <c r="AX111" i="4"/>
  <c r="AY111" i="4" s="1"/>
  <c r="AP111" i="4"/>
  <c r="AQ111" i="4" s="1"/>
  <c r="AD111" i="4"/>
  <c r="AE111" i="4" s="1"/>
  <c r="R111" i="4"/>
  <c r="S111" i="4" s="1"/>
  <c r="P111" i="4"/>
  <c r="Q111" i="4" s="1"/>
  <c r="AR111" i="4"/>
  <c r="AS111" i="4" s="1"/>
  <c r="AN111" i="4"/>
  <c r="AO111" i="4" s="1"/>
  <c r="X111" i="4"/>
  <c r="Y111" i="4" s="1"/>
  <c r="AT111" i="4"/>
  <c r="AU111" i="4" s="1"/>
  <c r="AL111" i="4"/>
  <c r="AM111" i="4" s="1"/>
  <c r="AF111" i="4"/>
  <c r="AG111" i="4" s="1"/>
  <c r="AB111" i="4"/>
  <c r="AC111" i="4" s="1"/>
  <c r="Z111" i="4"/>
  <c r="AA111" i="4" s="1"/>
  <c r="T111" i="4"/>
  <c r="U111" i="4" s="1"/>
  <c r="J111" i="4"/>
  <c r="K111" i="4" s="1"/>
  <c r="L111" i="4"/>
  <c r="M111" i="4" s="1"/>
  <c r="I111" i="4"/>
  <c r="DP110" i="4"/>
  <c r="DQ110" i="4" s="1"/>
  <c r="DL110" i="4"/>
  <c r="DM110" i="4" s="1"/>
  <c r="DH110" i="4"/>
  <c r="DI110" i="4" s="1"/>
  <c r="DD110" i="4"/>
  <c r="DE110" i="4" s="1"/>
  <c r="CZ110" i="4"/>
  <c r="DA110" i="4" s="1"/>
  <c r="CV110" i="4"/>
  <c r="CW110" i="4" s="1"/>
  <c r="CR110" i="4"/>
  <c r="CS110" i="4" s="1"/>
  <c r="CN110" i="4"/>
  <c r="CO110" i="4" s="1"/>
  <c r="CJ110" i="4"/>
  <c r="CK110" i="4" s="1"/>
  <c r="CF110" i="4"/>
  <c r="CG110" i="4" s="1"/>
  <c r="CB110" i="4"/>
  <c r="CC110" i="4" s="1"/>
  <c r="DF110" i="4"/>
  <c r="DG110" i="4" s="1"/>
  <c r="CP110" i="4"/>
  <c r="CQ110" i="4" s="1"/>
  <c r="CA110" i="4"/>
  <c r="DB110" i="4"/>
  <c r="DC110" i="4" s="1"/>
  <c r="CL110" i="4"/>
  <c r="CM110" i="4" s="1"/>
  <c r="DN110" i="4"/>
  <c r="DO110" i="4" s="1"/>
  <c r="CX110" i="4"/>
  <c r="CY110" i="4" s="1"/>
  <c r="CH110" i="4"/>
  <c r="CI110" i="4" s="1"/>
  <c r="DJ110" i="4"/>
  <c r="DK110" i="4" s="1"/>
  <c r="CT110" i="4"/>
  <c r="CU110" i="4" s="1"/>
  <c r="CD110" i="4"/>
  <c r="CE110" i="4" s="1"/>
  <c r="AP112" i="4" l="1"/>
  <c r="AQ112" i="4" s="1"/>
  <c r="AD112" i="4"/>
  <c r="AE112" i="4" s="1"/>
  <c r="R112" i="4"/>
  <c r="S112" i="4" s="1"/>
  <c r="P112" i="4"/>
  <c r="Q112" i="4" s="1"/>
  <c r="J112" i="4"/>
  <c r="K112" i="4" s="1"/>
  <c r="AX112" i="4"/>
  <c r="AY112" i="4" s="1"/>
  <c r="AR112" i="4"/>
  <c r="AS112" i="4" s="1"/>
  <c r="AN112" i="4"/>
  <c r="AO112" i="4" s="1"/>
  <c r="X112" i="4"/>
  <c r="Y112" i="4" s="1"/>
  <c r="AT112" i="4"/>
  <c r="AU112" i="4" s="1"/>
  <c r="AL112" i="4"/>
  <c r="AM112" i="4" s="1"/>
  <c r="AF112" i="4"/>
  <c r="AG112" i="4" s="1"/>
  <c r="AB112" i="4"/>
  <c r="AC112" i="4" s="1"/>
  <c r="Z112" i="4"/>
  <c r="AA112" i="4" s="1"/>
  <c r="T112" i="4"/>
  <c r="U112" i="4" s="1"/>
  <c r="L112" i="4"/>
  <c r="M112" i="4" s="1"/>
  <c r="AV112" i="4"/>
  <c r="AW112" i="4" s="1"/>
  <c r="AJ112" i="4"/>
  <c r="AK112" i="4" s="1"/>
  <c r="AH112" i="4"/>
  <c r="AI112" i="4" s="1"/>
  <c r="V112" i="4"/>
  <c r="W112" i="4" s="1"/>
  <c r="N112" i="4"/>
  <c r="O112" i="4" s="1"/>
  <c r="I112" i="4"/>
  <c r="DN111" i="4"/>
  <c r="DO111" i="4" s="1"/>
  <c r="DJ111" i="4"/>
  <c r="DK111" i="4" s="1"/>
  <c r="DF111" i="4"/>
  <c r="DG111" i="4" s="1"/>
  <c r="DB111" i="4"/>
  <c r="DC111" i="4" s="1"/>
  <c r="CX111" i="4"/>
  <c r="CY111" i="4" s="1"/>
  <c r="CT111" i="4"/>
  <c r="CU111" i="4" s="1"/>
  <c r="CP111" i="4"/>
  <c r="CQ111" i="4" s="1"/>
  <c r="CL111" i="4"/>
  <c r="CM111" i="4" s="1"/>
  <c r="CH111" i="4"/>
  <c r="CI111" i="4" s="1"/>
  <c r="CD111" i="4"/>
  <c r="CE111" i="4" s="1"/>
  <c r="CA111" i="4"/>
  <c r="DD111" i="4"/>
  <c r="DE111" i="4" s="1"/>
  <c r="CN111" i="4"/>
  <c r="CO111" i="4" s="1"/>
  <c r="DP111" i="4"/>
  <c r="DQ111" i="4" s="1"/>
  <c r="CZ111" i="4"/>
  <c r="DA111" i="4" s="1"/>
  <c r="CJ111" i="4"/>
  <c r="CK111" i="4" s="1"/>
  <c r="DL111" i="4"/>
  <c r="DM111" i="4" s="1"/>
  <c r="CV111" i="4"/>
  <c r="CW111" i="4" s="1"/>
  <c r="CF111" i="4"/>
  <c r="CG111" i="4" s="1"/>
  <c r="DH111" i="4"/>
  <c r="DI111" i="4" s="1"/>
  <c r="CR111" i="4"/>
  <c r="CS111" i="4" s="1"/>
  <c r="CB111" i="4"/>
  <c r="CC111" i="4" s="1"/>
  <c r="EQ112" i="4"/>
  <c r="ER112" i="4" s="1"/>
  <c r="BZ112" i="4"/>
  <c r="GF111" i="4"/>
  <c r="GG111" i="4" s="1"/>
  <c r="GB111" i="4"/>
  <c r="GC111" i="4" s="1"/>
  <c r="FX111" i="4"/>
  <c r="FY111" i="4" s="1"/>
  <c r="FT111" i="4"/>
  <c r="FU111" i="4" s="1"/>
  <c r="FP111" i="4"/>
  <c r="FQ111" i="4" s="1"/>
  <c r="FL111" i="4"/>
  <c r="FM111" i="4" s="1"/>
  <c r="FH111" i="4"/>
  <c r="FI111" i="4" s="1"/>
  <c r="FD111" i="4"/>
  <c r="FE111" i="4" s="1"/>
  <c r="EZ111" i="4"/>
  <c r="FA111" i="4" s="1"/>
  <c r="EV111" i="4"/>
  <c r="EW111" i="4" s="1"/>
  <c r="ES111" i="4"/>
  <c r="GH111" i="4"/>
  <c r="GI111" i="4" s="1"/>
  <c r="FR111" i="4"/>
  <c r="FS111" i="4" s="1"/>
  <c r="FB111" i="4"/>
  <c r="FC111" i="4" s="1"/>
  <c r="GD111" i="4"/>
  <c r="GE111" i="4" s="1"/>
  <c r="FN111" i="4"/>
  <c r="FO111" i="4" s="1"/>
  <c r="EX111" i="4"/>
  <c r="EY111" i="4" s="1"/>
  <c r="FZ111" i="4"/>
  <c r="GA111" i="4" s="1"/>
  <c r="FJ111" i="4"/>
  <c r="FK111" i="4" s="1"/>
  <c r="ET111" i="4"/>
  <c r="EU111" i="4" s="1"/>
  <c r="FF111" i="4"/>
  <c r="FG111" i="4" s="1"/>
  <c r="FV111" i="4"/>
  <c r="FW111" i="4" s="1"/>
  <c r="G22" i="4"/>
  <c r="D27" i="4"/>
  <c r="BY113" i="4"/>
  <c r="H113" i="4"/>
  <c r="D28" i="4" l="1"/>
  <c r="G28" i="4" s="1"/>
  <c r="H28" i="4" s="1"/>
  <c r="AX28" i="4" s="1"/>
  <c r="AY28" i="4" s="1"/>
  <c r="E27" i="4"/>
  <c r="E28" i="4" s="1"/>
  <c r="AD28" i="4"/>
  <c r="AE28" i="4" s="1"/>
  <c r="AF28" i="4"/>
  <c r="AG28" i="4" s="1"/>
  <c r="AH28" i="4"/>
  <c r="AI28" i="4" s="1"/>
  <c r="N28" i="4"/>
  <c r="O28" i="4" s="1"/>
  <c r="I28" i="4"/>
  <c r="AV28" i="4"/>
  <c r="AW28" i="4" s="1"/>
  <c r="P28" i="4"/>
  <c r="Q28" i="4" s="1"/>
  <c r="AN28" i="4"/>
  <c r="AO28" i="4" s="1"/>
  <c r="AP28" i="4"/>
  <c r="AQ28" i="4" s="1"/>
  <c r="AR28" i="4"/>
  <c r="AS28" i="4" s="1"/>
  <c r="AT28" i="4"/>
  <c r="AU28" i="4" s="1"/>
  <c r="X28" i="4"/>
  <c r="Y28" i="4" s="1"/>
  <c r="BY22" i="4"/>
  <c r="H22" i="4"/>
  <c r="DP112" i="4"/>
  <c r="DQ112" i="4" s="1"/>
  <c r="DL112" i="4"/>
  <c r="DM112" i="4" s="1"/>
  <c r="DH112" i="4"/>
  <c r="DI112" i="4" s="1"/>
  <c r="DD112" i="4"/>
  <c r="DE112" i="4" s="1"/>
  <c r="CZ112" i="4"/>
  <c r="DA112" i="4" s="1"/>
  <c r="CV112" i="4"/>
  <c r="CW112" i="4" s="1"/>
  <c r="CR112" i="4"/>
  <c r="CS112" i="4" s="1"/>
  <c r="CN112" i="4"/>
  <c r="CO112" i="4" s="1"/>
  <c r="CJ112" i="4"/>
  <c r="CK112" i="4" s="1"/>
  <c r="CF112" i="4"/>
  <c r="CG112" i="4" s="1"/>
  <c r="CB112" i="4"/>
  <c r="CC112" i="4" s="1"/>
  <c r="DN112" i="4"/>
  <c r="DO112" i="4" s="1"/>
  <c r="CX112" i="4"/>
  <c r="CY112" i="4" s="1"/>
  <c r="CH112" i="4"/>
  <c r="CI112" i="4" s="1"/>
  <c r="DJ112" i="4"/>
  <c r="DK112" i="4" s="1"/>
  <c r="CT112" i="4"/>
  <c r="CU112" i="4" s="1"/>
  <c r="CD112" i="4"/>
  <c r="CE112" i="4" s="1"/>
  <c r="DF112" i="4"/>
  <c r="DG112" i="4" s="1"/>
  <c r="CP112" i="4"/>
  <c r="CQ112" i="4" s="1"/>
  <c r="CA112" i="4"/>
  <c r="DB112" i="4"/>
  <c r="DC112" i="4" s="1"/>
  <c r="CL112" i="4"/>
  <c r="CM112" i="4" s="1"/>
  <c r="G27" i="4"/>
  <c r="AR113" i="4"/>
  <c r="AS113" i="4" s="1"/>
  <c r="AN113" i="4"/>
  <c r="AO113" i="4" s="1"/>
  <c r="X113" i="4"/>
  <c r="Y113" i="4" s="1"/>
  <c r="AX113" i="4"/>
  <c r="AY113" i="4" s="1"/>
  <c r="AT113" i="4"/>
  <c r="AU113" i="4" s="1"/>
  <c r="AL113" i="4"/>
  <c r="AM113" i="4" s="1"/>
  <c r="AF113" i="4"/>
  <c r="AG113" i="4" s="1"/>
  <c r="AB113" i="4"/>
  <c r="AC113" i="4" s="1"/>
  <c r="Z113" i="4"/>
  <c r="AA113" i="4" s="1"/>
  <c r="T113" i="4"/>
  <c r="U113" i="4" s="1"/>
  <c r="J113" i="4"/>
  <c r="K113" i="4" s="1"/>
  <c r="AV113" i="4"/>
  <c r="AW113" i="4" s="1"/>
  <c r="AJ113" i="4"/>
  <c r="AK113" i="4" s="1"/>
  <c r="AH113" i="4"/>
  <c r="AI113" i="4" s="1"/>
  <c r="V113" i="4"/>
  <c r="W113" i="4" s="1"/>
  <c r="N113" i="4"/>
  <c r="O113" i="4" s="1"/>
  <c r="AP113" i="4"/>
  <c r="AQ113" i="4" s="1"/>
  <c r="AD113" i="4"/>
  <c r="AE113" i="4" s="1"/>
  <c r="R113" i="4"/>
  <c r="S113" i="4" s="1"/>
  <c r="P113" i="4"/>
  <c r="Q113" i="4" s="1"/>
  <c r="L113" i="4"/>
  <c r="M113" i="4" s="1"/>
  <c r="I113" i="4"/>
  <c r="BZ113" i="4"/>
  <c r="EQ113" i="4"/>
  <c r="ER113" i="4" s="1"/>
  <c r="GH112" i="4"/>
  <c r="GI112" i="4" s="1"/>
  <c r="GD112" i="4"/>
  <c r="GE112" i="4" s="1"/>
  <c r="FZ112" i="4"/>
  <c r="GA112" i="4" s="1"/>
  <c r="FV112" i="4"/>
  <c r="FW112" i="4" s="1"/>
  <c r="FR112" i="4"/>
  <c r="FS112" i="4" s="1"/>
  <c r="FN112" i="4"/>
  <c r="FO112" i="4" s="1"/>
  <c r="FJ112" i="4"/>
  <c r="FK112" i="4" s="1"/>
  <c r="FF112" i="4"/>
  <c r="FG112" i="4" s="1"/>
  <c r="FB112" i="4"/>
  <c r="FC112" i="4" s="1"/>
  <c r="EX112" i="4"/>
  <c r="EY112" i="4" s="1"/>
  <c r="ET112" i="4"/>
  <c r="EU112" i="4" s="1"/>
  <c r="GF112" i="4"/>
  <c r="GG112" i="4" s="1"/>
  <c r="GB112" i="4"/>
  <c r="GC112" i="4" s="1"/>
  <c r="FX112" i="4"/>
  <c r="FY112" i="4" s="1"/>
  <c r="FT112" i="4"/>
  <c r="FU112" i="4" s="1"/>
  <c r="FP112" i="4"/>
  <c r="FQ112" i="4" s="1"/>
  <c r="FL112" i="4"/>
  <c r="FM112" i="4" s="1"/>
  <c r="FH112" i="4"/>
  <c r="FI112" i="4" s="1"/>
  <c r="FD112" i="4"/>
  <c r="FE112" i="4" s="1"/>
  <c r="EZ112" i="4"/>
  <c r="FA112" i="4" s="1"/>
  <c r="EV112" i="4"/>
  <c r="EW112" i="4" s="1"/>
  <c r="ES112" i="4"/>
  <c r="AJ28" i="4" l="1"/>
  <c r="AK28" i="4" s="1"/>
  <c r="R28" i="4"/>
  <c r="S28" i="4" s="1"/>
  <c r="Z28" i="4"/>
  <c r="AA28" i="4" s="1"/>
  <c r="V28" i="4"/>
  <c r="W28" i="4" s="1"/>
  <c r="J28" i="4"/>
  <c r="K28" i="4" s="1"/>
  <c r="L28" i="4"/>
  <c r="M28" i="4" s="1"/>
  <c r="T28" i="4"/>
  <c r="U28" i="4" s="1"/>
  <c r="AL28" i="4"/>
  <c r="AM28" i="4" s="1"/>
  <c r="AB28" i="4"/>
  <c r="AC28" i="4" s="1"/>
  <c r="GH113" i="4"/>
  <c r="GI113" i="4" s="1"/>
  <c r="GD113" i="4"/>
  <c r="GE113" i="4" s="1"/>
  <c r="FZ113" i="4"/>
  <c r="GA113" i="4" s="1"/>
  <c r="FV113" i="4"/>
  <c r="FW113" i="4" s="1"/>
  <c r="FR113" i="4"/>
  <c r="FS113" i="4" s="1"/>
  <c r="FN113" i="4"/>
  <c r="FO113" i="4" s="1"/>
  <c r="FJ113" i="4"/>
  <c r="FK113" i="4" s="1"/>
  <c r="FF113" i="4"/>
  <c r="FG113" i="4" s="1"/>
  <c r="FB113" i="4"/>
  <c r="FC113" i="4" s="1"/>
  <c r="EX113" i="4"/>
  <c r="EY113" i="4" s="1"/>
  <c r="ET113" i="4"/>
  <c r="EU113" i="4" s="1"/>
  <c r="GF113" i="4"/>
  <c r="GG113" i="4" s="1"/>
  <c r="FP113" i="4"/>
  <c r="FQ113" i="4" s="1"/>
  <c r="EZ113" i="4"/>
  <c r="FA113" i="4" s="1"/>
  <c r="GB113" i="4"/>
  <c r="GC113" i="4" s="1"/>
  <c r="FL113" i="4"/>
  <c r="FM113" i="4" s="1"/>
  <c r="EV113" i="4"/>
  <c r="EW113" i="4" s="1"/>
  <c r="FX113" i="4"/>
  <c r="FY113" i="4" s="1"/>
  <c r="FH113" i="4"/>
  <c r="FI113" i="4" s="1"/>
  <c r="ES113" i="4"/>
  <c r="FD113" i="4"/>
  <c r="FE113" i="4" s="1"/>
  <c r="FT113" i="4"/>
  <c r="FU113" i="4" s="1"/>
  <c r="BY27" i="4"/>
  <c r="H27" i="4"/>
  <c r="AJ22" i="4"/>
  <c r="AK22" i="4" s="1"/>
  <c r="X22" i="4"/>
  <c r="Y22" i="4" s="1"/>
  <c r="V22" i="4"/>
  <c r="W22" i="4" s="1"/>
  <c r="P22" i="4"/>
  <c r="Q22" i="4" s="1"/>
  <c r="AT22" i="4"/>
  <c r="AU22" i="4" s="1"/>
  <c r="AR22" i="4"/>
  <c r="AS22" i="4" s="1"/>
  <c r="AF22" i="4"/>
  <c r="AG22" i="4" s="1"/>
  <c r="T22" i="4"/>
  <c r="U22" i="4" s="1"/>
  <c r="R22" i="4"/>
  <c r="S22" i="4" s="1"/>
  <c r="AP22" i="4"/>
  <c r="AQ22" i="4" s="1"/>
  <c r="AL22" i="4"/>
  <c r="AM22" i="4" s="1"/>
  <c r="AD22" i="4"/>
  <c r="AE22" i="4" s="1"/>
  <c r="Z22" i="4"/>
  <c r="AA22" i="4" s="1"/>
  <c r="N22" i="4"/>
  <c r="O22" i="4" s="1"/>
  <c r="AX22" i="4"/>
  <c r="AY22" i="4" s="1"/>
  <c r="AV22" i="4"/>
  <c r="AW22" i="4" s="1"/>
  <c r="AN22" i="4"/>
  <c r="AO22" i="4" s="1"/>
  <c r="AH22" i="4"/>
  <c r="AI22" i="4" s="1"/>
  <c r="AB22" i="4"/>
  <c r="AC22" i="4" s="1"/>
  <c r="L22" i="4"/>
  <c r="M22" i="4" s="1"/>
  <c r="I22" i="4"/>
  <c r="J22" i="4"/>
  <c r="K22" i="4" s="1"/>
  <c r="DN113" i="4"/>
  <c r="DO113" i="4" s="1"/>
  <c r="DJ113" i="4"/>
  <c r="DK113" i="4" s="1"/>
  <c r="DF113" i="4"/>
  <c r="DG113" i="4" s="1"/>
  <c r="DB113" i="4"/>
  <c r="DC113" i="4" s="1"/>
  <c r="CX113" i="4"/>
  <c r="CY113" i="4" s="1"/>
  <c r="CT113" i="4"/>
  <c r="CU113" i="4" s="1"/>
  <c r="CP113" i="4"/>
  <c r="CQ113" i="4" s="1"/>
  <c r="CL113" i="4"/>
  <c r="CM113" i="4" s="1"/>
  <c r="CH113" i="4"/>
  <c r="CI113" i="4" s="1"/>
  <c r="CD113" i="4"/>
  <c r="CE113" i="4" s="1"/>
  <c r="CA113" i="4"/>
  <c r="DL113" i="4"/>
  <c r="DM113" i="4" s="1"/>
  <c r="CV113" i="4"/>
  <c r="CW113" i="4" s="1"/>
  <c r="CF113" i="4"/>
  <c r="CG113" i="4" s="1"/>
  <c r="DH113" i="4"/>
  <c r="DI113" i="4" s="1"/>
  <c r="CR113" i="4"/>
  <c r="CS113" i="4" s="1"/>
  <c r="CB113" i="4"/>
  <c r="CC113" i="4" s="1"/>
  <c r="DD113" i="4"/>
  <c r="DE113" i="4" s="1"/>
  <c r="CN113" i="4"/>
  <c r="CO113" i="4" s="1"/>
  <c r="DP113" i="4"/>
  <c r="DQ113" i="4" s="1"/>
  <c r="CZ113" i="4"/>
  <c r="DA113" i="4" s="1"/>
  <c r="CJ113" i="4"/>
  <c r="CK113" i="4" s="1"/>
  <c r="EQ22" i="4"/>
  <c r="BZ22" i="4"/>
  <c r="BY28" i="4"/>
  <c r="BZ28" i="4" s="1"/>
  <c r="CV28" i="4" l="1"/>
  <c r="CW28" i="4" s="1"/>
  <c r="DH28" i="4"/>
  <c r="DI28" i="4" s="1"/>
  <c r="CJ28" i="4"/>
  <c r="CK28" i="4" s="1"/>
  <c r="DN28" i="4"/>
  <c r="DO28" i="4" s="1"/>
  <c r="DJ28" i="4"/>
  <c r="DK28" i="4" s="1"/>
  <c r="CF28" i="4"/>
  <c r="CG28" i="4" s="1"/>
  <c r="DP28" i="4"/>
  <c r="DQ28" i="4" s="1"/>
  <c r="CZ28" i="4"/>
  <c r="DA28" i="4" s="1"/>
  <c r="DF28" i="4"/>
  <c r="DG28" i="4" s="1"/>
  <c r="CP28" i="4"/>
  <c r="CQ28" i="4" s="1"/>
  <c r="CB28" i="4"/>
  <c r="CC28" i="4" s="1"/>
  <c r="CD28" i="4"/>
  <c r="CE28" i="4" s="1"/>
  <c r="DL28" i="4"/>
  <c r="DM28" i="4" s="1"/>
  <c r="DB28" i="4"/>
  <c r="DC28" i="4" s="1"/>
  <c r="CN28" i="4"/>
  <c r="CO28" i="4" s="1"/>
  <c r="CR28" i="4"/>
  <c r="CS28" i="4" s="1"/>
  <c r="CA28" i="4"/>
  <c r="CX28" i="4"/>
  <c r="CY28" i="4" s="1"/>
  <c r="CL28" i="4"/>
  <c r="CM28" i="4" s="1"/>
  <c r="DD28" i="4"/>
  <c r="DE28" i="4" s="1"/>
  <c r="CT28" i="4"/>
  <c r="CU28" i="4" s="1"/>
  <c r="CH28" i="4"/>
  <c r="CI28" i="4" s="1"/>
  <c r="DN22" i="4"/>
  <c r="DO22" i="4" s="1"/>
  <c r="DJ22" i="4"/>
  <c r="DK22" i="4" s="1"/>
  <c r="DF22" i="4"/>
  <c r="DG22" i="4" s="1"/>
  <c r="DB22" i="4"/>
  <c r="DC22" i="4" s="1"/>
  <c r="CX22" i="4"/>
  <c r="CY22" i="4" s="1"/>
  <c r="CT22" i="4"/>
  <c r="CU22" i="4" s="1"/>
  <c r="CP22" i="4"/>
  <c r="CQ22" i="4" s="1"/>
  <c r="CL22" i="4"/>
  <c r="CM22" i="4" s="1"/>
  <c r="CH22" i="4"/>
  <c r="CI22" i="4" s="1"/>
  <c r="CD22" i="4"/>
  <c r="CE22" i="4" s="1"/>
  <c r="CA22" i="4"/>
  <c r="DP22" i="4"/>
  <c r="DQ22" i="4" s="1"/>
  <c r="DL22" i="4"/>
  <c r="DM22" i="4" s="1"/>
  <c r="DH22" i="4"/>
  <c r="DI22" i="4" s="1"/>
  <c r="DD22" i="4"/>
  <c r="DE22" i="4" s="1"/>
  <c r="CZ22" i="4"/>
  <c r="DA22" i="4" s="1"/>
  <c r="CV22" i="4"/>
  <c r="CW22" i="4" s="1"/>
  <c r="CR22" i="4"/>
  <c r="CS22" i="4" s="1"/>
  <c r="CN22" i="4"/>
  <c r="CO22" i="4" s="1"/>
  <c r="CJ22" i="4"/>
  <c r="CK22" i="4" s="1"/>
  <c r="CF22" i="4"/>
  <c r="CG22" i="4" s="1"/>
  <c r="CB22" i="4"/>
  <c r="CC22" i="4" s="1"/>
  <c r="ER22" i="4"/>
  <c r="AR27" i="4"/>
  <c r="AS27" i="4" s="1"/>
  <c r="AJ27" i="4"/>
  <c r="AK27" i="4" s="1"/>
  <c r="AL27" i="4"/>
  <c r="AM27" i="4" s="1"/>
  <c r="AV27" i="4"/>
  <c r="AW27" i="4" s="1"/>
  <c r="P27" i="4"/>
  <c r="Q27" i="4" s="1"/>
  <c r="AH27" i="4"/>
  <c r="AI27" i="4" s="1"/>
  <c r="AB27" i="4"/>
  <c r="AC27" i="4" s="1"/>
  <c r="AD27" i="4"/>
  <c r="AE27" i="4" s="1"/>
  <c r="AN27" i="4"/>
  <c r="AO27" i="4" s="1"/>
  <c r="AP27" i="4"/>
  <c r="AQ27" i="4" s="1"/>
  <c r="R27" i="4"/>
  <c r="S27" i="4" s="1"/>
  <c r="AX27" i="4"/>
  <c r="AY27" i="4" s="1"/>
  <c r="T27" i="4"/>
  <c r="U27" i="4" s="1"/>
  <c r="V27" i="4"/>
  <c r="W27" i="4" s="1"/>
  <c r="AF27" i="4"/>
  <c r="AG27" i="4" s="1"/>
  <c r="Z27" i="4"/>
  <c r="AA27" i="4" s="1"/>
  <c r="J27" i="4"/>
  <c r="K27" i="4" s="1"/>
  <c r="AT27" i="4"/>
  <c r="AU27" i="4" s="1"/>
  <c r="N27" i="4"/>
  <c r="O27" i="4" s="1"/>
  <c r="X27" i="4"/>
  <c r="Y27" i="4" s="1"/>
  <c r="L27" i="4"/>
  <c r="M27" i="4" s="1"/>
  <c r="I27" i="4"/>
  <c r="BZ27" i="4"/>
  <c r="EQ27" i="4"/>
  <c r="ER27" i="4" s="1"/>
  <c r="CD27" i="4" l="1"/>
  <c r="CE27" i="4" s="1"/>
  <c r="CA27" i="4"/>
  <c r="CN27" i="4"/>
  <c r="CO27" i="4" s="1"/>
  <c r="DP27" i="4"/>
  <c r="DQ27" i="4" s="1"/>
  <c r="DF27" i="4"/>
  <c r="DG27" i="4" s="1"/>
  <c r="DB27" i="4"/>
  <c r="DC27" i="4" s="1"/>
  <c r="CZ27" i="4"/>
  <c r="DA27" i="4" s="1"/>
  <c r="DN27" i="4"/>
  <c r="DO27" i="4" s="1"/>
  <c r="CX27" i="4"/>
  <c r="CY27" i="4" s="1"/>
  <c r="CH27" i="4"/>
  <c r="CI27" i="4" s="1"/>
  <c r="DL27" i="4"/>
  <c r="DM27" i="4" s="1"/>
  <c r="CV27" i="4"/>
  <c r="CW27" i="4" s="1"/>
  <c r="CF27" i="4"/>
  <c r="CG27" i="4" s="1"/>
  <c r="DJ27" i="4"/>
  <c r="DK27" i="4" s="1"/>
  <c r="CT27" i="4"/>
  <c r="CU27" i="4" s="1"/>
  <c r="DH27" i="4"/>
  <c r="DI27" i="4" s="1"/>
  <c r="CR27" i="4"/>
  <c r="CS27" i="4" s="1"/>
  <c r="CB27" i="4"/>
  <c r="CC27" i="4" s="1"/>
  <c r="CP27" i="4"/>
  <c r="CQ27" i="4" s="1"/>
  <c r="DD27" i="4"/>
  <c r="DE27" i="4" s="1"/>
  <c r="CL27" i="4"/>
  <c r="CM27" i="4" s="1"/>
  <c r="CJ27" i="4"/>
  <c r="CK27" i="4" s="1"/>
  <c r="GF22" i="4"/>
  <c r="GG22" i="4" s="1"/>
  <c r="GB22" i="4"/>
  <c r="GC22" i="4" s="1"/>
  <c r="FX22" i="4"/>
  <c r="FY22" i="4" s="1"/>
  <c r="FT22" i="4"/>
  <c r="FU22" i="4" s="1"/>
  <c r="FP22" i="4"/>
  <c r="FQ22" i="4" s="1"/>
  <c r="FL22" i="4"/>
  <c r="FM22" i="4" s="1"/>
  <c r="FH22" i="4"/>
  <c r="FI22" i="4" s="1"/>
  <c r="FD22" i="4"/>
  <c r="FE22" i="4" s="1"/>
  <c r="EZ22" i="4"/>
  <c r="FA22" i="4" s="1"/>
  <c r="EV22" i="4"/>
  <c r="EW22" i="4" s="1"/>
  <c r="ES22" i="4"/>
  <c r="GH22" i="4"/>
  <c r="GI22" i="4" s="1"/>
  <c r="FR22" i="4"/>
  <c r="FS22" i="4" s="1"/>
  <c r="FB22" i="4"/>
  <c r="FC22" i="4" s="1"/>
  <c r="GD22" i="4"/>
  <c r="GE22" i="4" s="1"/>
  <c r="FN22" i="4"/>
  <c r="FO22" i="4" s="1"/>
  <c r="EX22" i="4"/>
  <c r="EY22" i="4" s="1"/>
  <c r="FZ22" i="4"/>
  <c r="GA22" i="4" s="1"/>
  <c r="FJ22" i="4"/>
  <c r="FK22" i="4" s="1"/>
  <c r="ET22" i="4"/>
  <c r="EU22" i="4" s="1"/>
  <c r="FV22" i="4"/>
  <c r="FW22" i="4" s="1"/>
  <c r="FF22" i="4"/>
  <c r="FG22" i="4" s="1"/>
  <c r="EQ28" i="4"/>
  <c r="ER28" i="4" s="1"/>
  <c r="EV27" i="4"/>
  <c r="EW27" i="4" s="1"/>
  <c r="FH27" i="4"/>
  <c r="FI27" i="4" s="1"/>
  <c r="FV27" i="4"/>
  <c r="FW27" i="4" s="1"/>
  <c r="FT27" i="4"/>
  <c r="FU27" i="4" s="1"/>
  <c r="FF27" i="4"/>
  <c r="FG27" i="4" s="1"/>
  <c r="FD27" i="4"/>
  <c r="FE27" i="4" s="1"/>
  <c r="FB27" i="4"/>
  <c r="FC27" i="4" s="1"/>
  <c r="GH27" i="4"/>
  <c r="GI27" i="4" s="1"/>
  <c r="GF27" i="4"/>
  <c r="GG27" i="4" s="1"/>
  <c r="FP27" i="4"/>
  <c r="FQ27" i="4" s="1"/>
  <c r="EZ27" i="4"/>
  <c r="FA27" i="4" s="1"/>
  <c r="GD27" i="4"/>
  <c r="GE27" i="4" s="1"/>
  <c r="FN27" i="4"/>
  <c r="FO27" i="4" s="1"/>
  <c r="EX27" i="4"/>
  <c r="EY27" i="4" s="1"/>
  <c r="GB27" i="4"/>
  <c r="GC27" i="4" s="1"/>
  <c r="FL27" i="4"/>
  <c r="FM27" i="4" s="1"/>
  <c r="FZ27" i="4"/>
  <c r="GA27" i="4" s="1"/>
  <c r="FJ27" i="4"/>
  <c r="FK27" i="4" s="1"/>
  <c r="ET27" i="4"/>
  <c r="EU27" i="4" s="1"/>
  <c r="FX27" i="4"/>
  <c r="FY27" i="4" s="1"/>
  <c r="ES27" i="4"/>
  <c r="FR27" i="4"/>
  <c r="FS27" i="4" s="1"/>
  <c r="FT28" i="4" l="1"/>
  <c r="FU28" i="4" s="1"/>
  <c r="ET28" i="4"/>
  <c r="EU28" i="4" s="1"/>
  <c r="EX28" i="4"/>
  <c r="EY28" i="4" s="1"/>
  <c r="EZ28" i="4"/>
  <c r="FA28" i="4" s="1"/>
  <c r="FN28" i="4"/>
  <c r="FO28" i="4" s="1"/>
  <c r="FJ28" i="4"/>
  <c r="FK28" i="4" s="1"/>
  <c r="FL28" i="4"/>
  <c r="FM28" i="4" s="1"/>
  <c r="FX28" i="4"/>
  <c r="FY28" i="4" s="1"/>
  <c r="FH28" i="4"/>
  <c r="FI28" i="4" s="1"/>
  <c r="FV28" i="4"/>
  <c r="FW28" i="4" s="1"/>
  <c r="FF28" i="4"/>
  <c r="FG28" i="4" s="1"/>
  <c r="FD28" i="4"/>
  <c r="FE28" i="4" s="1"/>
  <c r="GH28" i="4"/>
  <c r="GI28" i="4" s="1"/>
  <c r="FR28" i="4"/>
  <c r="FS28" i="4" s="1"/>
  <c r="FB28" i="4"/>
  <c r="FC28" i="4" s="1"/>
  <c r="GF28" i="4"/>
  <c r="GG28" i="4" s="1"/>
  <c r="FP28" i="4"/>
  <c r="FQ28" i="4" s="1"/>
  <c r="GD28" i="4"/>
  <c r="GE28" i="4" s="1"/>
  <c r="EV28" i="4"/>
  <c r="EW28" i="4" s="1"/>
  <c r="GB28" i="4"/>
  <c r="GC28" i="4" s="1"/>
  <c r="FZ28" i="4"/>
  <c r="GA28" i="4" s="1"/>
  <c r="ES28" i="4"/>
</calcChain>
</file>

<file path=xl/sharedStrings.xml><?xml version="1.0" encoding="utf-8"?>
<sst xmlns="http://schemas.openxmlformats.org/spreadsheetml/2006/main" count="719" uniqueCount="379">
  <si>
    <t>건물종류</t>
  </si>
  <si>
    <t>면적(평)</t>
  </si>
  <si>
    <t>지역</t>
  </si>
  <si>
    <t>착공년도</t>
  </si>
  <si>
    <t>설계가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</si>
  <si>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</si>
  <si>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</si>
  <si>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</si>
  <si>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</si>
  <si>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</si>
  <si>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</si>
  <si>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</si>
  <si>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</si>
  <si>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</si>
  <si>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</si>
  <si>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</si>
  <si>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</si>
  <si>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</si>
  <si>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</si>
  <si>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</si>
  <si>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</si>
  <si>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</si>
  <si>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</si>
  <si>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</si>
  <si>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</si>
  <si>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</si>
  <si>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</si>
  <si>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</si>
  <si>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</si>
  <si>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</si>
  <si>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</si>
  <si>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</si>
  <si>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</si>
  <si>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</si>
  <si>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</si>
  <si>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</si>
  <si>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</si>
  <si>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</si>
  <si>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</si>
  <si>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</si>
  <si>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</si>
  <si>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</si>
  <si>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</si>
  <si>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</si>
  <si>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</si>
  <si>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</si>
  <si>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</si>
  <si>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</si>
  <si>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</si>
  <si>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</si>
  <si>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</si>
  <si>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</si>
  <si>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</si>
  <si>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</si>
  <si>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</si>
  <si>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</si>
  <si>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</si>
  <si>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</si>
  <si>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</si>
  <si>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</si>
  <si>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</si>
  <si>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</si>
  <si>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</si>
  <si>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2020 년</t>
    <phoneticPr fontId="2" type="noConversion"/>
  </si>
  <si>
    <t>2019년</t>
    <phoneticPr fontId="2" type="noConversion"/>
  </si>
  <si>
    <t>2018년</t>
  </si>
  <si>
    <t>2018년</t>
    <phoneticPr fontId="2" type="noConversion"/>
  </si>
  <si>
    <t>2017년</t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</si>
  <si>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</si>
  <si>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</si>
  <si>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</si>
  <si>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</si>
  <si>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</si>
  <si>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</si>
  <si>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</si>
  <si>
    <t>2011년</t>
    <phoneticPr fontId="2" type="noConversion"/>
  </si>
  <si>
    <t>2010년</t>
  </si>
  <si>
    <t>2010년</t>
    <phoneticPr fontId="2" type="noConversion"/>
  </si>
  <si>
    <t>2009년</t>
  </si>
  <si>
    <t>2009년</t>
    <phoneticPr fontId="2" type="noConversion"/>
  </si>
  <si>
    <t>2007년</t>
  </si>
  <si>
    <t>2007년</t>
    <phoneticPr fontId="2" type="noConversion"/>
  </si>
  <si>
    <t>2008년</t>
  </si>
  <si>
    <t>2008년</t>
    <phoneticPr fontId="2" type="noConversion"/>
  </si>
  <si>
    <t>2006년</t>
  </si>
  <si>
    <t>2006년</t>
    <phoneticPr fontId="2" type="noConversion"/>
  </si>
  <si>
    <t>2005년</t>
  </si>
  <si>
    <t>2005년</t>
    <phoneticPr fontId="2" type="noConversion"/>
  </si>
  <si>
    <t>2004년</t>
  </si>
  <si>
    <t>2004년</t>
    <phoneticPr fontId="2" type="noConversion"/>
  </si>
  <si>
    <t>2003년</t>
  </si>
  <si>
    <t>2003년</t>
    <phoneticPr fontId="2" type="noConversion"/>
  </si>
  <si>
    <t>2002년</t>
  </si>
  <si>
    <t>2002년</t>
    <phoneticPr fontId="2" type="noConversion"/>
  </si>
  <si>
    <t>2001년</t>
  </si>
  <si>
    <t>2001년</t>
    <phoneticPr fontId="2" type="noConversion"/>
  </si>
  <si>
    <t>2000년</t>
  </si>
  <si>
    <t>2000년</t>
    <phoneticPr fontId="2" type="noConversion"/>
  </si>
  <si>
    <t>1999년</t>
  </si>
  <si>
    <t>1999년</t>
    <phoneticPr fontId="2" type="noConversion"/>
  </si>
  <si>
    <t>설계가</t>
    <phoneticPr fontId="2" type="noConversion"/>
  </si>
  <si>
    <t>2020년</t>
    <phoneticPr fontId="2" type="noConversion"/>
  </si>
  <si>
    <t>2016년</t>
  </si>
  <si>
    <t>2015년</t>
  </si>
  <si>
    <t>2014년</t>
  </si>
  <si>
    <t>2013년</t>
  </si>
  <si>
    <t>2012년</t>
  </si>
  <si>
    <t>물가인상율</t>
    <phoneticPr fontId="2" type="noConversion"/>
  </si>
  <si>
    <t>2020 추정</t>
    <phoneticPr fontId="2" type="noConversion"/>
  </si>
  <si>
    <t>도 급 가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</si>
  <si>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</si>
  <si>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</si>
  <si>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</si>
  <si>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</si>
  <si>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</si>
  <si>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</si>
  <si>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</si>
  <si>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</si>
  <si>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</si>
  <si>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</si>
  <si>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</si>
  <si>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</si>
  <si>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</si>
  <si>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</si>
  <si>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</si>
  <si>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</si>
  <si>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</si>
  <si>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</si>
  <si>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TLF GOD RK</t>
    <phoneticPr fontId="2" type="noConversion"/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</si>
  <si>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</si>
  <si>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</si>
  <si>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</si>
  <si>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</si>
  <si>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</si>
  <si>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</si>
  <si>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</si>
  <si>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</si>
  <si>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</si>
  <si>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</si>
  <si>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</si>
  <si>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</si>
  <si>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</si>
  <si>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</si>
  <si>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</si>
  <si>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</si>
  <si>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</si>
  <si>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</si>
  <si>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</si>
  <si>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</si>
  <si>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</si>
  <si>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</si>
  <si>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</si>
  <si>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</si>
  <si>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</si>
  <si>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</si>
  <si>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</si>
  <si>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</si>
  <si>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</si>
  <si>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</si>
  <si>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</si>
  <si>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</si>
  <si>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</si>
  <si>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</si>
  <si>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</si>
  <si>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</si>
  <si>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</si>
  <si>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</si>
  <si>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</si>
  <si>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</si>
  <si>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</si>
  <si>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</si>
  <si>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</si>
  <si>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</si>
  <si>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</si>
  <si>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</si>
  <si>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</si>
  <si>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</si>
  <si>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</si>
  <si>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</si>
  <si>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</si>
  <si>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</si>
  <si>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</si>
  <si>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</si>
  <si>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</si>
  <si>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</si>
  <si>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</si>
  <si>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</si>
  <si>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</si>
  <si>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</si>
  <si>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</si>
  <si>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</si>
  <si>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</si>
  <si>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</si>
  <si>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</si>
  <si>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</si>
  <si>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</si>
  <si>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</si>
  <si>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</si>
  <si>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</si>
  <si>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</si>
  <si>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</si>
  <si>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</si>
  <si>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</si>
  <si>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</si>
  <si>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</si>
  <si>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</si>
  <si>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</si>
  <si>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</si>
  <si>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</si>
  <si>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</si>
  <si>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</si>
  <si>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</si>
  <si>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</si>
  <si>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</si>
  <si>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</si>
  <si>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</si>
  <si>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</si>
  <si>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1000 M2 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</si>
  <si>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</si>
  <si>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</si>
  <si>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</si>
  <si>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</si>
  <si>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</si>
  <si>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</si>
  <si>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</si>
  <si>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</si>
  <si>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</si>
  <si>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</si>
  <si>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</si>
  <si>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</si>
  <si>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</si>
  <si>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</si>
  <si>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</si>
  <si>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</si>
  <si>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</si>
  <si>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</si>
  <si>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</si>
  <si>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</si>
  <si>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</si>
  <si>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</si>
  <si>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</si>
  <si>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</si>
  <si>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</si>
  <si>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</si>
  <si>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</si>
  <si>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</si>
  <si>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</si>
  <si>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</si>
  <si>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</si>
  <si>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</si>
  <si>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</si>
  <si>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</si>
  <si>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</si>
  <si>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</si>
  <si>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</si>
  <si>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</si>
  <si>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</si>
  <si>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</si>
  <si>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</si>
  <si>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</si>
  <si>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</si>
  <si>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</si>
  <si>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</si>
  <si>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</si>
  <si>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</si>
  <si>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</si>
  <si>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</si>
  <si>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</si>
  <si>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</si>
  <si>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</si>
  <si>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</si>
  <si>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</si>
  <si>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</si>
  <si>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</si>
  <si>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</si>
  <si>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</si>
  <si>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</si>
  <si>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</si>
  <si>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</si>
  <si>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</si>
  <si>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</si>
  <si>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</si>
  <si>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</si>
  <si>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</si>
  <si>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</si>
  <si>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</si>
  <si>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</si>
  <si>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</si>
  <si>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</si>
  <si>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</si>
  <si>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</si>
  <si>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</si>
  <si>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</si>
  <si>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</si>
  <si>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</si>
  <si>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</si>
  <si>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</si>
  <si>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</si>
  <si>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</si>
  <si>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</si>
  <si>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</si>
  <si>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</si>
  <si>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</si>
  <si>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</si>
  <si>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</si>
  <si>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</si>
  <si>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</si>
  <si>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</si>
  <si>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</si>
  <si>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</si>
  <si>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</si>
  <si>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</si>
  <si>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</si>
  <si>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</si>
  <si>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</si>
  <si>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</si>
  <si>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</si>
  <si>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</si>
  <si>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</si>
  <si>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</si>
  <si>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</si>
  <si>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</si>
  <si>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</si>
  <si>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</si>
  <si>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</si>
  <si>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</si>
  <si>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</si>
  <si>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</si>
  <si>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</si>
  <si>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</si>
  <si>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</si>
  <si>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</si>
  <si>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</si>
  <si>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</si>
  <si>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</si>
  <si>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</si>
  <si>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</si>
  <si>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</si>
  <si>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</si>
  <si>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</si>
  <si>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</si>
  <si>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</si>
  <si>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</si>
  <si>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</si>
  <si>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</si>
  <si>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</si>
  <si>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</si>
  <si>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</si>
  <si>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</si>
  <si>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</si>
  <si>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</si>
  <si>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</si>
  <si>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</si>
  <si>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</si>
  <si>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</si>
  <si>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</si>
  <si>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</si>
  <si>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</si>
  <si>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</si>
  <si>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</si>
  <si>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</si>
  <si>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</si>
  <si>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</si>
  <si>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통신인입설비공사,옥외방송설비공사,CCTV설비공사,수술실영상설비공사,표시설비공사,대기환자호출설비공사,너스콜설비공사,주차관제설비공사</t>
    <phoneticPr fontId="2" type="noConversion"/>
  </si>
  <si>
    <t>00중앙병원 건립공사</t>
  </si>
  <si>
    <t>의료</t>
  </si>
  <si>
    <t>서울</t>
  </si>
  <si>
    <t>옥외보안등 설비공사</t>
    <phoneticPr fontId="2" type="noConversion"/>
  </si>
  <si>
    <t>전기 자탐설비공사</t>
    <phoneticPr fontId="2" type="noConversion"/>
  </si>
  <si>
    <t>전기 무선통신설비공사</t>
    <phoneticPr fontId="2" type="noConversion"/>
  </si>
  <si>
    <t>조경시설물공사</t>
    <phoneticPr fontId="2" type="noConversion"/>
  </si>
  <si>
    <t>포장공사,분수설비공사</t>
    <phoneticPr fontId="2" type="noConversion"/>
  </si>
  <si>
    <t>본공사,병원동(부대토목),보도확폭공사,보도확폭공사철거</t>
    <phoneticPr fontId="2" type="noConversion"/>
  </si>
  <si>
    <t>홈통공사</t>
    <phoneticPr fontId="2" type="noConversion"/>
  </si>
  <si>
    <t>PC공사,기타공사,수술실판넬공사,승강기공사,액산탱크설치공사,외벽판넬공사,작업부산물,전동롤스크린공사,정화조공사,지정공사,차폐시설공사,철거공사,미확정설계공종</t>
    <phoneticPr fontId="2" type="noConversion"/>
  </si>
  <si>
    <t>공조배관공사,위생배관공사,경유배관공사,흄후드설비공사,주방기구설치공사,크린룸설비공사,무균실설비공사,진공청소설비공사,폐수처리공사,우수처리공사,단독정화조처리공사,기송관시스템공사</t>
    <phoneticPr fontId="2" type="noConversion"/>
  </si>
  <si>
    <t>의료가스설비공사</t>
    <phoneticPr fontId="2" type="noConversion"/>
  </si>
  <si>
    <t>IPS설비공사.DC등설비공사,경관조명설비공사,항공장애등설비공사,스노우멜팅설비공사,무대장치설비공사,전기시계,보도확폭공사</t>
    <phoneticPr fontId="2" type="noConversion"/>
  </si>
  <si>
    <t>전열설비공사, 의료전열설비공사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</si>
</sst>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4" fillId="0" borderId="0" xfId="1" applyNumberFormat="1" applyFont="1" applyFill="1" applyAlignment="1">
      <alignment vertical="center" shrinkToFit="1"/>
    </xf>
    <xf numFmtId="0" fontId="0" fillId="4" borderId="0" xfId="0" applyFill="1">
      <alignment vertical="center"/>
    </xf>
    <xf numFmtId="41" fontId="0" fillId="4" borderId="0" xfId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178" fontId="5" fillId="4" borderId="0" xfId="1" applyNumberFormat="1" applyFont="1" applyFill="1" applyAlignment="1">
      <alignment vertical="center" shrinkToFit="1"/>
    </xf>
    <xf numFmtId="178" fontId="4" fillId="4" borderId="0" xfId="1" applyNumberFormat="1" applyFont="1" applyFill="1" applyAlignment="1">
      <alignment vertical="center" shrinkToFit="1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5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E8" sqref="E8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9" t="s">
        <v>208</v>
      </c>
      <c r="B2" s="82" t="s">
        <v>0</v>
      </c>
      <c r="C2" s="83"/>
      <c r="D2" s="82" t="s">
        <v>1</v>
      </c>
      <c r="E2" s="83"/>
      <c r="F2" s="82" t="s">
        <v>209</v>
      </c>
      <c r="G2" s="83"/>
      <c r="H2" s="82" t="s">
        <v>2</v>
      </c>
      <c r="I2" s="83"/>
      <c r="J2" s="82" t="s">
        <v>3</v>
      </c>
      <c r="K2" s="83"/>
      <c r="L2" s="82" t="s">
        <v>210</v>
      </c>
      <c r="M2" s="83"/>
      <c r="N2" s="82" t="s">
        <v>211</v>
      </c>
      <c r="O2" s="83"/>
      <c r="P2" s="82" t="s">
        <v>212</v>
      </c>
      <c r="Q2" s="83"/>
      <c r="R2" s="76" t="s">
        <v>213</v>
      </c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8"/>
    </row>
    <row r="3" spans="1:33" x14ac:dyDescent="0.3">
      <c r="A3" s="80"/>
      <c r="B3" s="84"/>
      <c r="C3" s="85"/>
      <c r="D3" s="84"/>
      <c r="E3" s="85"/>
      <c r="F3" s="84"/>
      <c r="G3" s="85"/>
      <c r="H3" s="84"/>
      <c r="I3" s="85"/>
      <c r="J3" s="84"/>
      <c r="K3" s="85"/>
      <c r="L3" s="84"/>
      <c r="M3" s="85"/>
      <c r="N3" s="84"/>
      <c r="O3" s="85"/>
      <c r="P3" s="84"/>
      <c r="Q3" s="85"/>
      <c r="R3" s="59" t="s">
        <v>214</v>
      </c>
      <c r="S3" s="60"/>
      <c r="T3" s="59" t="s">
        <v>30</v>
      </c>
      <c r="U3" s="60"/>
      <c r="V3" s="59" t="s">
        <v>31</v>
      </c>
      <c r="W3" s="60"/>
      <c r="X3" s="59" t="s">
        <v>32</v>
      </c>
      <c r="Y3" s="60"/>
      <c r="Z3" s="59" t="s">
        <v>33</v>
      </c>
      <c r="AA3" s="60"/>
      <c r="AB3" s="59" t="s">
        <v>34</v>
      </c>
      <c r="AC3" s="60"/>
      <c r="AD3" s="59" t="s">
        <v>35</v>
      </c>
      <c r="AE3" s="60"/>
      <c r="AF3" s="59" t="s">
        <v>36</v>
      </c>
      <c r="AG3" s="60"/>
    </row>
    <row r="4" spans="1:33" x14ac:dyDescent="0.3">
      <c r="A4" s="81"/>
      <c r="B4" s="86"/>
      <c r="C4" s="87"/>
      <c r="D4" s="86"/>
      <c r="E4" s="87"/>
      <c r="F4" s="86"/>
      <c r="G4" s="87"/>
      <c r="H4" s="86"/>
      <c r="I4" s="87"/>
      <c r="J4" s="86"/>
      <c r="K4" s="87"/>
      <c r="L4" s="86"/>
      <c r="M4" s="87"/>
      <c r="N4" s="86"/>
      <c r="O4" s="87"/>
      <c r="P4" s="86"/>
      <c r="Q4" s="87"/>
      <c r="R4" s="61"/>
      <c r="S4" s="62"/>
      <c r="T4" s="61"/>
      <c r="U4" s="62"/>
      <c r="V4" s="61"/>
      <c r="W4" s="62"/>
      <c r="X4" s="61"/>
      <c r="Y4" s="62"/>
      <c r="Z4" s="61"/>
      <c r="AA4" s="62"/>
      <c r="AB4" s="61"/>
      <c r="AC4" s="62"/>
      <c r="AD4" s="61"/>
      <c r="AE4" s="62"/>
      <c r="AF4" s="61"/>
      <c r="AG4" s="62"/>
    </row>
    <row r="5" spans="1:33" x14ac:dyDescent="0.3">
      <c r="A5" s="4">
        <v>1</v>
      </c>
      <c r="B5" s="5">
        <v>1</v>
      </c>
      <c r="C5" s="17" t="s">
        <v>215</v>
      </c>
      <c r="D5" s="5">
        <v>1</v>
      </c>
      <c r="E5" s="1" t="s">
        <v>216</v>
      </c>
      <c r="F5" s="5">
        <v>1</v>
      </c>
      <c r="G5" s="17" t="s">
        <v>217</v>
      </c>
      <c r="H5" s="5">
        <v>1</v>
      </c>
      <c r="I5" s="1" t="s">
        <v>29</v>
      </c>
      <c r="J5" s="19">
        <v>1</v>
      </c>
      <c r="K5" s="1" t="s">
        <v>218</v>
      </c>
      <c r="L5" s="5">
        <v>1</v>
      </c>
      <c r="M5" s="6" t="s">
        <v>4</v>
      </c>
      <c r="N5" s="5">
        <v>1</v>
      </c>
      <c r="O5" s="6" t="s">
        <v>28</v>
      </c>
      <c r="P5" s="5">
        <v>1</v>
      </c>
      <c r="Q5" s="1" t="s">
        <v>6</v>
      </c>
      <c r="R5" s="28">
        <v>1</v>
      </c>
      <c r="S5" s="29" t="s">
        <v>129</v>
      </c>
      <c r="T5" s="28">
        <v>1</v>
      </c>
      <c r="U5" s="29" t="s">
        <v>21</v>
      </c>
      <c r="V5" s="28">
        <v>1</v>
      </c>
      <c r="W5" s="29" t="s">
        <v>24</v>
      </c>
      <c r="X5" s="28">
        <v>1</v>
      </c>
      <c r="Y5" s="29" t="s">
        <v>25</v>
      </c>
      <c r="Z5" s="28">
        <v>1</v>
      </c>
      <c r="AA5" s="29" t="s">
        <v>27</v>
      </c>
      <c r="AB5" s="28">
        <v>1</v>
      </c>
      <c r="AC5" s="29" t="s">
        <v>219</v>
      </c>
      <c r="AD5" s="28">
        <v>1</v>
      </c>
      <c r="AE5" s="29" t="s">
        <v>26</v>
      </c>
      <c r="AF5" s="28">
        <v>1</v>
      </c>
      <c r="AG5" s="39" t="s">
        <v>220</v>
      </c>
    </row>
    <row r="6" spans="1:33" x14ac:dyDescent="0.3">
      <c r="A6" s="4">
        <f>+A5+1</f>
        <v>2</v>
      </c>
      <c r="B6" s="5">
        <f>+B5+1</f>
        <v>2</v>
      </c>
      <c r="C6" s="17" t="s">
        <v>221</v>
      </c>
      <c r="D6" s="5">
        <v>2</v>
      </c>
      <c r="E6" s="1" t="s">
        <v>222</v>
      </c>
      <c r="F6" s="5">
        <v>2</v>
      </c>
      <c r="G6" s="17" t="s">
        <v>223</v>
      </c>
      <c r="H6" s="5">
        <v>2</v>
      </c>
      <c r="I6" s="1" t="s">
        <v>224</v>
      </c>
      <c r="J6" s="19">
        <v>2</v>
      </c>
      <c r="K6" s="1" t="s">
        <v>225</v>
      </c>
      <c r="L6" s="5">
        <v>2</v>
      </c>
      <c r="M6" s="6" t="s">
        <v>226</v>
      </c>
      <c r="N6" s="5">
        <v>2</v>
      </c>
      <c r="O6" s="6" t="s">
        <v>227</v>
      </c>
      <c r="P6" s="5">
        <v>2</v>
      </c>
      <c r="Q6" s="1" t="s">
        <v>214</v>
      </c>
      <c r="R6" s="28">
        <v>2</v>
      </c>
      <c r="S6" s="29" t="s">
        <v>228</v>
      </c>
      <c r="T6" s="28">
        <v>2</v>
      </c>
      <c r="U6" s="29" t="s">
        <v>229</v>
      </c>
      <c r="V6" s="28">
        <v>2</v>
      </c>
      <c r="W6" s="29" t="s">
        <v>230</v>
      </c>
      <c r="X6" s="28">
        <v>2</v>
      </c>
      <c r="Y6" s="29" t="s">
        <v>231</v>
      </c>
      <c r="Z6" s="28">
        <v>2</v>
      </c>
      <c r="AA6" s="29" t="s">
        <v>232</v>
      </c>
      <c r="AB6" s="28">
        <v>2</v>
      </c>
      <c r="AC6" s="29" t="s">
        <v>233</v>
      </c>
      <c r="AD6" s="28">
        <v>2</v>
      </c>
      <c r="AE6" s="29" t="s">
        <v>234</v>
      </c>
      <c r="AF6" s="28">
        <v>2</v>
      </c>
      <c r="AG6" s="39" t="s">
        <v>235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236</v>
      </c>
      <c r="D7" s="5">
        <v>3</v>
      </c>
      <c r="E7" s="1" t="s">
        <v>237</v>
      </c>
      <c r="F7" s="5">
        <v>3</v>
      </c>
      <c r="G7" s="17" t="s">
        <v>238</v>
      </c>
      <c r="H7" s="5">
        <v>3</v>
      </c>
      <c r="I7" s="1" t="s">
        <v>239</v>
      </c>
      <c r="J7" s="19">
        <v>3</v>
      </c>
      <c r="K7" s="1" t="s">
        <v>240</v>
      </c>
      <c r="L7" s="5">
        <v>3</v>
      </c>
      <c r="M7" s="6" t="s">
        <v>241</v>
      </c>
      <c r="N7" s="5">
        <v>3</v>
      </c>
      <c r="O7" s="6" t="s">
        <v>242</v>
      </c>
      <c r="P7" s="5">
        <v>3</v>
      </c>
      <c r="Q7" s="1" t="s">
        <v>243</v>
      </c>
      <c r="R7" s="28">
        <v>3</v>
      </c>
      <c r="S7" s="29" t="s">
        <v>244</v>
      </c>
      <c r="T7" s="28">
        <v>3</v>
      </c>
      <c r="U7" s="29" t="s">
        <v>245</v>
      </c>
      <c r="V7" s="28">
        <v>3</v>
      </c>
      <c r="W7" s="29" t="s">
        <v>246</v>
      </c>
      <c r="X7" s="28">
        <v>3</v>
      </c>
      <c r="Y7" s="29" t="s">
        <v>247</v>
      </c>
      <c r="Z7" s="28">
        <v>3</v>
      </c>
      <c r="AA7" s="29" t="s">
        <v>248</v>
      </c>
      <c r="AB7" s="28">
        <v>3</v>
      </c>
      <c r="AC7" s="29" t="s">
        <v>249</v>
      </c>
      <c r="AD7" s="28">
        <v>3</v>
      </c>
      <c r="AE7" s="29" t="s">
        <v>250</v>
      </c>
      <c r="AF7" s="28">
        <v>3</v>
      </c>
      <c r="AG7" s="39" t="s">
        <v>233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251</v>
      </c>
      <c r="D8" s="5">
        <v>4</v>
      </c>
      <c r="E8" s="1" t="s">
        <v>252</v>
      </c>
      <c r="F8" s="5">
        <v>4</v>
      </c>
      <c r="G8" s="17" t="s">
        <v>253</v>
      </c>
      <c r="H8" s="5">
        <v>4</v>
      </c>
      <c r="I8" s="1" t="s">
        <v>254</v>
      </c>
      <c r="J8" s="19">
        <v>4</v>
      </c>
      <c r="K8" s="1" t="s">
        <v>255</v>
      </c>
      <c r="L8" s="5"/>
      <c r="M8" s="6"/>
      <c r="N8" s="5"/>
      <c r="O8" s="6"/>
      <c r="P8" s="5">
        <v>4</v>
      </c>
      <c r="Q8" s="1" t="s">
        <v>256</v>
      </c>
      <c r="R8" s="28">
        <v>4</v>
      </c>
      <c r="S8" s="29" t="s">
        <v>257</v>
      </c>
      <c r="T8" s="28"/>
      <c r="U8" s="29"/>
      <c r="V8" s="28">
        <v>4</v>
      </c>
      <c r="W8" s="29" t="s">
        <v>258</v>
      </c>
      <c r="X8" s="28">
        <v>4</v>
      </c>
      <c r="Y8" s="29" t="s">
        <v>259</v>
      </c>
      <c r="Z8" s="28">
        <v>4</v>
      </c>
      <c r="AA8" s="29" t="s">
        <v>260</v>
      </c>
      <c r="AB8" s="28">
        <v>4</v>
      </c>
      <c r="AC8" s="29" t="s">
        <v>261</v>
      </c>
      <c r="AD8" s="28">
        <v>4</v>
      </c>
      <c r="AE8" s="29" t="s">
        <v>233</v>
      </c>
      <c r="AF8" s="28">
        <v>4</v>
      </c>
      <c r="AG8" s="39" t="s">
        <v>262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263</v>
      </c>
      <c r="D9" s="5">
        <v>5</v>
      </c>
      <c r="E9" s="1" t="s">
        <v>264</v>
      </c>
      <c r="F9" s="5">
        <v>5</v>
      </c>
      <c r="G9" s="17" t="s">
        <v>265</v>
      </c>
      <c r="H9" s="5">
        <v>5</v>
      </c>
      <c r="I9" s="1" t="s">
        <v>266</v>
      </c>
      <c r="J9" s="19">
        <v>5</v>
      </c>
      <c r="K9" s="1" t="s">
        <v>267</v>
      </c>
      <c r="L9" s="5"/>
      <c r="M9" s="6"/>
      <c r="N9" s="5"/>
      <c r="O9" s="6"/>
      <c r="P9" s="5">
        <v>5</v>
      </c>
      <c r="Q9" s="1" t="s">
        <v>268</v>
      </c>
      <c r="R9" s="28">
        <v>5</v>
      </c>
      <c r="S9" s="29" t="s">
        <v>269</v>
      </c>
      <c r="T9" s="28"/>
      <c r="U9" s="29"/>
      <c r="V9" s="28">
        <v>5</v>
      </c>
      <c r="W9" s="29" t="s">
        <v>270</v>
      </c>
      <c r="X9" s="28">
        <v>5</v>
      </c>
      <c r="Y9" s="29" t="s">
        <v>271</v>
      </c>
      <c r="Z9" s="28">
        <v>5</v>
      </c>
      <c r="AA9" s="29" t="s">
        <v>272</v>
      </c>
      <c r="AB9" s="28">
        <v>5</v>
      </c>
      <c r="AC9" s="29" t="s">
        <v>273</v>
      </c>
      <c r="AD9" s="28">
        <v>5</v>
      </c>
      <c r="AE9" s="29" t="s">
        <v>262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274</v>
      </c>
      <c r="D10" s="5">
        <v>6</v>
      </c>
      <c r="E10" s="1" t="s">
        <v>275</v>
      </c>
      <c r="F10" s="5">
        <v>6</v>
      </c>
      <c r="G10" s="17" t="s">
        <v>276</v>
      </c>
      <c r="H10" s="5">
        <v>6</v>
      </c>
      <c r="I10" s="1" t="s">
        <v>277</v>
      </c>
      <c r="J10" s="19">
        <v>6</v>
      </c>
      <c r="K10" s="1" t="s">
        <v>278</v>
      </c>
      <c r="L10" s="5"/>
      <c r="M10" s="6"/>
      <c r="N10" s="5"/>
      <c r="O10" s="6"/>
      <c r="P10" s="5">
        <v>6</v>
      </c>
      <c r="Q10" s="1" t="s">
        <v>279</v>
      </c>
      <c r="R10" s="28">
        <v>6</v>
      </c>
      <c r="S10" s="29" t="s">
        <v>280</v>
      </c>
      <c r="T10" s="28"/>
      <c r="U10" s="29"/>
      <c r="V10" s="28">
        <v>6</v>
      </c>
      <c r="W10" s="29" t="s">
        <v>281</v>
      </c>
      <c r="X10" s="28">
        <v>6</v>
      </c>
      <c r="Y10" s="29" t="s">
        <v>282</v>
      </c>
      <c r="Z10" s="28">
        <v>6</v>
      </c>
      <c r="AA10" s="29" t="s">
        <v>283</v>
      </c>
      <c r="AB10" s="28">
        <v>6</v>
      </c>
      <c r="AC10" s="29" t="s">
        <v>284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285</v>
      </c>
      <c r="D11" s="5">
        <v>7</v>
      </c>
      <c r="E11" s="1" t="s">
        <v>286</v>
      </c>
      <c r="F11" s="5">
        <v>7</v>
      </c>
      <c r="G11" s="17" t="s">
        <v>287</v>
      </c>
      <c r="H11" s="5">
        <v>7</v>
      </c>
      <c r="I11" s="1" t="s">
        <v>288</v>
      </c>
      <c r="J11" s="19">
        <v>7</v>
      </c>
      <c r="K11" s="1" t="s">
        <v>86</v>
      </c>
      <c r="L11" s="5"/>
      <c r="M11" s="6"/>
      <c r="N11" s="5"/>
      <c r="O11" s="6"/>
      <c r="P11" s="5">
        <v>7</v>
      </c>
      <c r="Q11" s="1" t="s">
        <v>289</v>
      </c>
      <c r="R11" s="28">
        <v>7</v>
      </c>
      <c r="S11" s="29" t="s">
        <v>290</v>
      </c>
      <c r="T11" s="28"/>
      <c r="U11" s="29"/>
      <c r="V11" s="28">
        <v>7</v>
      </c>
      <c r="W11" s="29" t="s">
        <v>291</v>
      </c>
      <c r="X11" s="28">
        <v>7</v>
      </c>
      <c r="Y11" s="29" t="s">
        <v>292</v>
      </c>
      <c r="Z11" s="28">
        <v>7</v>
      </c>
      <c r="AA11" s="29" t="s">
        <v>293</v>
      </c>
      <c r="AB11" s="28">
        <v>7</v>
      </c>
      <c r="AC11" s="29" t="s">
        <v>294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295</v>
      </c>
      <c r="D12" s="5">
        <v>8</v>
      </c>
      <c r="E12" s="1" t="s">
        <v>296</v>
      </c>
      <c r="F12" s="5">
        <v>8</v>
      </c>
      <c r="G12" s="17" t="s">
        <v>297</v>
      </c>
      <c r="H12" s="5">
        <v>8</v>
      </c>
      <c r="I12" s="1" t="s">
        <v>298</v>
      </c>
      <c r="J12" s="19">
        <v>8</v>
      </c>
      <c r="K12" s="1" t="s">
        <v>84</v>
      </c>
      <c r="L12" s="5"/>
      <c r="M12" s="6"/>
      <c r="N12" s="5"/>
      <c r="O12" s="6"/>
      <c r="P12" s="5">
        <v>8</v>
      </c>
      <c r="Q12" s="1" t="s">
        <v>299</v>
      </c>
      <c r="R12" s="28">
        <v>8</v>
      </c>
      <c r="S12" s="29" t="s">
        <v>300</v>
      </c>
      <c r="T12" s="28"/>
      <c r="U12" s="29"/>
      <c r="V12" s="28">
        <v>8</v>
      </c>
      <c r="W12" s="29" t="s">
        <v>301</v>
      </c>
      <c r="X12" s="28">
        <v>8</v>
      </c>
      <c r="Y12" s="29" t="s">
        <v>293</v>
      </c>
      <c r="Z12" s="28">
        <v>8</v>
      </c>
      <c r="AA12" s="29" t="s">
        <v>302</v>
      </c>
      <c r="AB12" s="28">
        <v>8</v>
      </c>
      <c r="AC12" s="29" t="s">
        <v>303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304</v>
      </c>
      <c r="D13" s="5">
        <v>9</v>
      </c>
      <c r="E13" s="1" t="s">
        <v>305</v>
      </c>
      <c r="F13" s="5"/>
      <c r="G13" s="17"/>
      <c r="H13" s="5">
        <v>9</v>
      </c>
      <c r="I13" s="1" t="s">
        <v>306</v>
      </c>
      <c r="J13" s="19">
        <v>9</v>
      </c>
      <c r="K13" s="1" t="s">
        <v>80</v>
      </c>
      <c r="L13" s="5"/>
      <c r="M13" s="6"/>
      <c r="N13" s="5"/>
      <c r="O13" s="6"/>
      <c r="P13" s="5">
        <v>9</v>
      </c>
      <c r="Q13" s="1" t="s">
        <v>307</v>
      </c>
      <c r="R13" s="28">
        <v>9</v>
      </c>
      <c r="S13" s="29" t="s">
        <v>308</v>
      </c>
      <c r="T13" s="28"/>
      <c r="U13" s="29"/>
      <c r="V13" s="28">
        <v>9</v>
      </c>
      <c r="W13" s="29" t="s">
        <v>309</v>
      </c>
      <c r="X13" s="28">
        <v>9</v>
      </c>
      <c r="Y13" s="29" t="s">
        <v>310</v>
      </c>
      <c r="Z13" s="28">
        <v>9</v>
      </c>
      <c r="AA13" s="29" t="s">
        <v>311</v>
      </c>
      <c r="AB13" s="28">
        <v>9</v>
      </c>
      <c r="AC13" s="29" t="s">
        <v>312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313</v>
      </c>
      <c r="D14" s="5">
        <v>10</v>
      </c>
      <c r="E14" s="1" t="s">
        <v>314</v>
      </c>
      <c r="F14" s="5"/>
      <c r="G14" s="17"/>
      <c r="H14" s="5">
        <v>10</v>
      </c>
      <c r="I14" s="1" t="s">
        <v>315</v>
      </c>
      <c r="J14" s="19">
        <v>10</v>
      </c>
      <c r="K14" s="1" t="s">
        <v>82</v>
      </c>
      <c r="L14" s="5"/>
      <c r="M14" s="6"/>
      <c r="N14" s="5"/>
      <c r="O14" s="6"/>
      <c r="P14" s="5"/>
      <c r="Q14" s="1"/>
      <c r="R14" s="28">
        <v>10</v>
      </c>
      <c r="S14" s="29" t="s">
        <v>316</v>
      </c>
      <c r="T14" s="28"/>
      <c r="U14" s="29"/>
      <c r="V14" s="28">
        <v>10</v>
      </c>
      <c r="W14" s="29" t="s">
        <v>317</v>
      </c>
      <c r="X14" s="28">
        <v>10</v>
      </c>
      <c r="Y14" s="29" t="s">
        <v>318</v>
      </c>
      <c r="Z14" s="28">
        <v>10</v>
      </c>
      <c r="AA14" s="29" t="s">
        <v>262</v>
      </c>
      <c r="AB14" s="28">
        <v>10</v>
      </c>
      <c r="AC14" s="29" t="s">
        <v>262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319</v>
      </c>
      <c r="D15" s="5"/>
      <c r="E15" s="1"/>
      <c r="F15" s="17"/>
      <c r="G15" s="17"/>
      <c r="H15" s="5">
        <v>11</v>
      </c>
      <c r="I15" s="1" t="s">
        <v>320</v>
      </c>
      <c r="J15" s="19">
        <v>11</v>
      </c>
      <c r="K15" s="1" t="s">
        <v>78</v>
      </c>
      <c r="L15" s="5"/>
      <c r="M15" s="6"/>
      <c r="N15" s="5"/>
      <c r="O15" s="6"/>
      <c r="P15" s="5"/>
      <c r="Q15" s="1"/>
      <c r="R15" s="28">
        <v>11</v>
      </c>
      <c r="S15" s="29" t="s">
        <v>321</v>
      </c>
      <c r="T15" s="28"/>
      <c r="U15" s="29"/>
      <c r="V15" s="28">
        <v>11</v>
      </c>
      <c r="W15" s="29" t="s">
        <v>322</v>
      </c>
      <c r="X15" s="28">
        <v>11</v>
      </c>
      <c r="Y15" s="29" t="s">
        <v>323</v>
      </c>
      <c r="Z15" s="28">
        <v>11</v>
      </c>
      <c r="AA15" s="29" t="s">
        <v>233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324</v>
      </c>
      <c r="D16" s="5"/>
      <c r="E16" s="1"/>
      <c r="F16" s="17"/>
      <c r="G16" s="22"/>
      <c r="H16" s="5">
        <v>12</v>
      </c>
      <c r="I16" s="1" t="s">
        <v>325</v>
      </c>
      <c r="J16" s="19">
        <v>12</v>
      </c>
      <c r="K16" s="1" t="s">
        <v>76</v>
      </c>
      <c r="L16" s="5"/>
      <c r="M16" s="6"/>
      <c r="N16" s="5"/>
      <c r="O16" s="6"/>
      <c r="P16" s="5"/>
      <c r="Q16" s="1"/>
      <c r="R16" s="28">
        <v>12</v>
      </c>
      <c r="S16" s="29" t="s">
        <v>326</v>
      </c>
      <c r="T16" s="28"/>
      <c r="U16" s="29"/>
      <c r="V16" s="28">
        <v>12</v>
      </c>
      <c r="W16" s="29" t="s">
        <v>327</v>
      </c>
      <c r="X16" s="28">
        <v>12</v>
      </c>
      <c r="Y16" s="29" t="s">
        <v>328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329</v>
      </c>
      <c r="D17" s="5"/>
      <c r="E17" s="1"/>
      <c r="F17" s="17"/>
      <c r="G17" s="17"/>
      <c r="H17" s="5">
        <v>13</v>
      </c>
      <c r="I17" s="1" t="s">
        <v>330</v>
      </c>
      <c r="J17" s="19">
        <v>13</v>
      </c>
      <c r="K17" s="1" t="s">
        <v>74</v>
      </c>
      <c r="L17" s="5"/>
      <c r="M17" s="6"/>
      <c r="N17" s="5"/>
      <c r="O17" s="6"/>
      <c r="P17" s="5"/>
      <c r="Q17" s="1"/>
      <c r="R17" s="28">
        <v>13</v>
      </c>
      <c r="S17" s="29" t="s">
        <v>331</v>
      </c>
      <c r="T17" s="28"/>
      <c r="U17" s="29"/>
      <c r="V17" s="28">
        <v>13</v>
      </c>
      <c r="W17" s="29" t="s">
        <v>332</v>
      </c>
      <c r="X17" s="28">
        <v>13</v>
      </c>
      <c r="Y17" s="29" t="s">
        <v>333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334</v>
      </c>
      <c r="D18" s="17"/>
      <c r="E18" s="1"/>
      <c r="F18" s="17"/>
      <c r="G18" s="23"/>
      <c r="H18" s="5">
        <v>14</v>
      </c>
      <c r="I18" s="1" t="s">
        <v>335</v>
      </c>
      <c r="J18" s="19">
        <v>14</v>
      </c>
      <c r="K18" s="1" t="s">
        <v>106</v>
      </c>
      <c r="L18" s="5"/>
      <c r="M18" s="6"/>
      <c r="N18" s="5"/>
      <c r="O18" s="6"/>
      <c r="P18" s="5"/>
      <c r="Q18" s="1"/>
      <c r="R18" s="28">
        <v>14</v>
      </c>
      <c r="S18" s="29" t="s">
        <v>336</v>
      </c>
      <c r="T18" s="28"/>
      <c r="U18" s="29"/>
      <c r="V18" s="28">
        <v>14</v>
      </c>
      <c r="W18" s="29" t="s">
        <v>337</v>
      </c>
      <c r="X18" s="28">
        <v>14</v>
      </c>
      <c r="Y18" s="29" t="s">
        <v>338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339</v>
      </c>
      <c r="D19" s="5"/>
      <c r="E19" s="1"/>
      <c r="F19" s="17"/>
      <c r="G19" s="17"/>
      <c r="H19" s="5"/>
      <c r="I19" s="1"/>
      <c r="J19" s="19">
        <v>15</v>
      </c>
      <c r="K19" s="1" t="s">
        <v>105</v>
      </c>
      <c r="L19" s="5"/>
      <c r="M19" s="6"/>
      <c r="N19" s="5"/>
      <c r="O19" s="6"/>
      <c r="P19" s="5"/>
      <c r="Q19" s="1"/>
      <c r="R19" s="28">
        <v>15</v>
      </c>
      <c r="S19" s="29" t="s">
        <v>340</v>
      </c>
      <c r="T19" s="28"/>
      <c r="U19" s="29"/>
      <c r="V19" s="28">
        <v>15</v>
      </c>
      <c r="W19" s="29" t="s">
        <v>341</v>
      </c>
      <c r="X19" s="28">
        <v>15</v>
      </c>
      <c r="Y19" s="29" t="s">
        <v>342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343</v>
      </c>
      <c r="D20" s="5"/>
      <c r="E20" s="1"/>
      <c r="F20" s="17"/>
      <c r="G20" s="17"/>
      <c r="H20" s="5"/>
      <c r="I20" s="1"/>
      <c r="J20" s="19">
        <v>16</v>
      </c>
      <c r="K20" s="1" t="s">
        <v>104</v>
      </c>
      <c r="L20" s="5"/>
      <c r="M20" s="6"/>
      <c r="N20" s="5"/>
      <c r="O20" s="6"/>
      <c r="P20" s="5"/>
      <c r="Q20" s="1"/>
      <c r="R20" s="28">
        <v>16</v>
      </c>
      <c r="S20" s="29" t="s">
        <v>344</v>
      </c>
      <c r="T20" s="28"/>
      <c r="U20" s="29"/>
      <c r="V20" s="28">
        <v>16</v>
      </c>
      <c r="W20" s="29" t="s">
        <v>345</v>
      </c>
      <c r="X20" s="28">
        <v>16</v>
      </c>
      <c r="Y20" s="29" t="s">
        <v>346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233</v>
      </c>
      <c r="D21" s="5"/>
      <c r="E21" s="1"/>
      <c r="F21" s="17"/>
      <c r="G21" s="17"/>
      <c r="H21" s="5"/>
      <c r="I21" s="1"/>
      <c r="J21" s="19">
        <v>17</v>
      </c>
      <c r="K21" s="1" t="s">
        <v>103</v>
      </c>
      <c r="L21" s="5"/>
      <c r="M21" s="6"/>
      <c r="N21" s="5"/>
      <c r="O21" s="6"/>
      <c r="P21" s="5"/>
      <c r="Q21" s="1"/>
      <c r="R21" s="28">
        <v>17</v>
      </c>
      <c r="S21" s="29" t="s">
        <v>347</v>
      </c>
      <c r="T21" s="28"/>
      <c r="U21" s="29"/>
      <c r="V21" s="28">
        <v>17</v>
      </c>
      <c r="W21" s="29" t="s">
        <v>348</v>
      </c>
      <c r="X21" s="28">
        <v>17</v>
      </c>
      <c r="Y21" s="29" t="s">
        <v>349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102</v>
      </c>
      <c r="L22" s="5"/>
      <c r="M22" s="6"/>
      <c r="N22" s="5"/>
      <c r="O22" s="6"/>
      <c r="P22" s="5"/>
      <c r="Q22" s="1"/>
      <c r="R22" s="28">
        <v>18</v>
      </c>
      <c r="S22" s="29" t="s">
        <v>350</v>
      </c>
      <c r="T22" s="28"/>
      <c r="U22" s="29"/>
      <c r="V22" s="28">
        <v>18</v>
      </c>
      <c r="W22" s="29" t="s">
        <v>351</v>
      </c>
      <c r="X22" s="28">
        <v>18</v>
      </c>
      <c r="Y22" s="29" t="s">
        <v>352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67</v>
      </c>
      <c r="L23" s="5"/>
      <c r="M23" s="6"/>
      <c r="N23" s="5"/>
      <c r="O23" s="6"/>
      <c r="P23" s="5"/>
      <c r="Q23" s="1"/>
      <c r="R23" s="28">
        <v>19</v>
      </c>
      <c r="S23" s="29" t="s">
        <v>353</v>
      </c>
      <c r="T23" s="28"/>
      <c r="U23" s="29"/>
      <c r="V23" s="28">
        <v>19</v>
      </c>
      <c r="W23" s="29" t="s">
        <v>354</v>
      </c>
      <c r="X23" s="28">
        <v>19</v>
      </c>
      <c r="Y23" s="29" t="s">
        <v>355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65</v>
      </c>
      <c r="L24" s="5"/>
      <c r="M24" s="6"/>
      <c r="N24" s="5"/>
      <c r="O24" s="6"/>
      <c r="P24" s="5"/>
      <c r="Q24" s="1"/>
      <c r="R24" s="28">
        <v>20</v>
      </c>
      <c r="S24" s="29" t="s">
        <v>262</v>
      </c>
      <c r="T24" s="28"/>
      <c r="U24" s="29"/>
      <c r="V24" s="28">
        <v>20</v>
      </c>
      <c r="W24" s="29" t="s">
        <v>356</v>
      </c>
      <c r="X24" s="28">
        <v>20</v>
      </c>
      <c r="Y24" s="29" t="s">
        <v>262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357</v>
      </c>
      <c r="L25" s="7"/>
      <c r="M25" s="6"/>
      <c r="N25" s="7"/>
      <c r="O25" s="6"/>
      <c r="P25" s="8"/>
      <c r="Q25" s="1"/>
      <c r="R25" s="30"/>
      <c r="S25" s="29"/>
      <c r="T25" s="66"/>
      <c r="U25" s="29"/>
      <c r="V25" s="28">
        <v>21</v>
      </c>
      <c r="W25" s="29" t="s">
        <v>358</v>
      </c>
      <c r="X25" s="28">
        <v>21</v>
      </c>
      <c r="Y25" s="29" t="s">
        <v>233</v>
      </c>
      <c r="Z25" s="66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359</v>
      </c>
      <c r="L26" s="7"/>
      <c r="M26" s="9"/>
      <c r="N26" s="7"/>
      <c r="O26" s="9"/>
      <c r="P26" s="10"/>
      <c r="Q26" s="1"/>
      <c r="R26" s="31"/>
      <c r="S26" s="29"/>
      <c r="T26" s="67"/>
      <c r="U26" s="29"/>
      <c r="V26" s="28">
        <v>22</v>
      </c>
      <c r="W26" s="29" t="s">
        <v>360</v>
      </c>
      <c r="X26" s="67"/>
      <c r="Y26" s="29"/>
      <c r="Z26" s="67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7"/>
      <c r="U27" s="29"/>
      <c r="V27" s="28">
        <v>23</v>
      </c>
      <c r="W27" s="29" t="s">
        <v>361</v>
      </c>
      <c r="X27" s="67"/>
      <c r="Y27" s="29"/>
      <c r="Z27" s="67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362</v>
      </c>
      <c r="X28" s="67"/>
      <c r="Y28" s="29"/>
      <c r="Z28" s="67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262</v>
      </c>
      <c r="X29" s="66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233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302"/>
  <sheetViews>
    <sheetView tabSelected="1" topLeftCell="A133" zoomScale="90" zoomScaleNormal="90" workbookViewId="0">
      <selection activeCell="F153" sqref="F15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48" customWidth="1"/>
    <col min="8" max="8" width="7.5" style="48" customWidth="1"/>
    <col min="9" max="9" width="7.5" style="49" customWidth="1"/>
    <col min="10" max="15" width="7.5" style="48" customWidth="1"/>
    <col min="16" max="16" width="7.5" style="52" customWidth="1"/>
    <col min="17" max="19" width="7.5" style="48" customWidth="1"/>
    <col min="20" max="20" width="7.5" style="52" customWidth="1"/>
    <col min="21" max="23" width="7.5" style="48" customWidth="1"/>
    <col min="24" max="24" width="7.5" style="52" customWidth="1"/>
    <col min="25" max="74" width="7.5" style="48" customWidth="1"/>
    <col min="75" max="75" width="9.25" style="48" bestFit="1" customWidth="1"/>
    <col min="76" max="76" width="9" style="48"/>
    <col min="77" max="83" width="12.375" style="48" bestFit="1" customWidth="1"/>
    <col min="84" max="84" width="9.75" style="48" bestFit="1" customWidth="1"/>
    <col min="85" max="85" width="10.875" style="48" bestFit="1" customWidth="1"/>
    <col min="86" max="86" width="9.75" style="48" bestFit="1" customWidth="1"/>
    <col min="87" max="87" width="10.875" style="48" bestFit="1" customWidth="1"/>
    <col min="88" max="88" width="9.75" style="48" bestFit="1" customWidth="1"/>
    <col min="89" max="89" width="10.875" style="48" bestFit="1" customWidth="1"/>
    <col min="90" max="90" width="9.75" style="48" bestFit="1" customWidth="1"/>
    <col min="91" max="91" width="10.875" style="48" bestFit="1" customWidth="1"/>
    <col min="92" max="92" width="9.75" style="48" bestFit="1" customWidth="1"/>
    <col min="93" max="93" width="10.875" style="48" bestFit="1" customWidth="1"/>
    <col min="94" max="121" width="9.75" style="48" bestFit="1" customWidth="1"/>
    <col min="122" max="123" width="9" style="48"/>
    <col min="124" max="145" width="9.25" style="48" bestFit="1" customWidth="1"/>
    <col min="146" max="16384" width="9" style="2"/>
  </cols>
  <sheetData>
    <row r="1" spans="1:215" ht="17.25" thickBot="1" x14ac:dyDescent="0.35"/>
    <row r="2" spans="1:215" ht="17.25" thickBot="1" x14ac:dyDescent="0.35">
      <c r="A2" s="2">
        <v>1</v>
      </c>
      <c r="B2" s="2" t="s">
        <v>37</v>
      </c>
      <c r="C2" s="36" t="s">
        <v>364</v>
      </c>
    </row>
    <row r="3" spans="1:215" ht="17.25" thickBot="1" x14ac:dyDescent="0.35"/>
    <row r="4" spans="1:215" ht="17.25" thickBot="1" x14ac:dyDescent="0.35">
      <c r="A4" s="2">
        <v>2</v>
      </c>
      <c r="B4" s="2" t="s">
        <v>38</v>
      </c>
      <c r="C4" s="36" t="s">
        <v>365</v>
      </c>
    </row>
    <row r="6" spans="1:215" ht="17.25" thickBot="1" x14ac:dyDescent="0.35">
      <c r="A6" s="2">
        <v>3</v>
      </c>
      <c r="B6" s="2" t="s">
        <v>59</v>
      </c>
      <c r="C6" s="2" t="s">
        <v>39</v>
      </c>
      <c r="D6" s="35" t="s">
        <v>204</v>
      </c>
    </row>
    <row r="7" spans="1:215" ht="17.25" thickBot="1" x14ac:dyDescent="0.35">
      <c r="C7" s="38">
        <v>86089</v>
      </c>
      <c r="D7" s="36">
        <f>+C7/3.3058</f>
        <v>26041.805311876094</v>
      </c>
    </row>
    <row r="8" spans="1:215" ht="17.25" thickBot="1" x14ac:dyDescent="0.35"/>
    <row r="9" spans="1:215" ht="17.25" thickBot="1" x14ac:dyDescent="0.35">
      <c r="A9" s="2">
        <v>4</v>
      </c>
      <c r="B9" s="2" t="s">
        <v>40</v>
      </c>
      <c r="C9" s="36" t="s">
        <v>366</v>
      </c>
    </row>
    <row r="10" spans="1:215" ht="17.25" thickBot="1" x14ac:dyDescent="0.35"/>
    <row r="11" spans="1:215" ht="17.25" thickBot="1" x14ac:dyDescent="0.35">
      <c r="A11" s="2">
        <v>5</v>
      </c>
      <c r="B11" s="2" t="s">
        <v>41</v>
      </c>
      <c r="C11" s="36" t="s">
        <v>80</v>
      </c>
    </row>
    <row r="12" spans="1:215" ht="17.25" thickBot="1" x14ac:dyDescent="0.35"/>
    <row r="13" spans="1:215" ht="17.25" thickBot="1" x14ac:dyDescent="0.35">
      <c r="A13" s="2">
        <v>6</v>
      </c>
      <c r="B13" s="2" t="s">
        <v>42</v>
      </c>
      <c r="C13" s="36" t="s">
        <v>51</v>
      </c>
    </row>
    <row r="14" spans="1:215" ht="17.25" thickBot="1" x14ac:dyDescent="0.35"/>
    <row r="15" spans="1:215" ht="17.25" thickBot="1" x14ac:dyDescent="0.35">
      <c r="A15" s="2">
        <v>7</v>
      </c>
      <c r="B15" s="2" t="s">
        <v>43</v>
      </c>
      <c r="C15" s="36" t="s">
        <v>58</v>
      </c>
      <c r="H15" s="89" t="s">
        <v>100</v>
      </c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BB15" s="89" t="s">
        <v>107</v>
      </c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Z15" s="90" t="s">
        <v>109</v>
      </c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  <c r="CT15" s="90"/>
      <c r="CU15" s="90"/>
      <c r="CV15" s="90"/>
      <c r="CW15" s="90"/>
      <c r="CX15" s="90"/>
      <c r="CY15" s="90"/>
      <c r="CZ15" s="90"/>
      <c r="DA15" s="90"/>
      <c r="DB15" s="90"/>
      <c r="DC15" s="90"/>
      <c r="DD15" s="90"/>
      <c r="DE15" s="90"/>
      <c r="DF15" s="90"/>
      <c r="DG15" s="90"/>
      <c r="DH15" s="90"/>
      <c r="DI15" s="90"/>
      <c r="DJ15" s="90"/>
      <c r="DK15" s="90"/>
      <c r="DL15" s="90"/>
      <c r="DM15" s="90"/>
      <c r="DN15" s="90"/>
      <c r="DO15" s="90"/>
      <c r="DP15" s="90"/>
      <c r="DQ15" s="90"/>
      <c r="DT15" s="90" t="s">
        <v>107</v>
      </c>
      <c r="DU15" s="90"/>
      <c r="DV15" s="90"/>
      <c r="DW15" s="90"/>
      <c r="DX15" s="90"/>
      <c r="DY15" s="90"/>
      <c r="DZ15" s="90"/>
      <c r="EA15" s="90"/>
      <c r="EB15" s="90"/>
      <c r="EC15" s="90"/>
      <c r="ED15" s="90"/>
      <c r="EE15" s="90"/>
      <c r="EF15" s="90"/>
      <c r="EG15" s="90"/>
      <c r="EH15" s="90"/>
      <c r="EI15" s="90"/>
      <c r="EJ15" s="90"/>
      <c r="EK15" s="90"/>
      <c r="EL15" s="90"/>
      <c r="EM15" s="90"/>
      <c r="EN15" s="90"/>
      <c r="EO15" s="90"/>
      <c r="EQ15" s="48"/>
      <c r="ER15" s="88" t="s">
        <v>128</v>
      </c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  <c r="FF15" s="88"/>
      <c r="FG15" s="88"/>
      <c r="FH15" s="88"/>
      <c r="FI15" s="88"/>
      <c r="FJ15" s="88"/>
      <c r="FK15" s="88"/>
      <c r="FL15" s="88"/>
      <c r="FM15" s="88"/>
      <c r="FN15" s="88"/>
      <c r="FO15" s="88"/>
      <c r="FP15" s="88"/>
      <c r="FQ15" s="88"/>
      <c r="FR15" s="88"/>
      <c r="FS15" s="88"/>
      <c r="FT15" s="88"/>
      <c r="FU15" s="88"/>
      <c r="FV15" s="88"/>
      <c r="FW15" s="88"/>
      <c r="FX15" s="88"/>
      <c r="FY15" s="88"/>
      <c r="FZ15" s="88"/>
      <c r="GA15" s="88"/>
      <c r="GB15" s="88"/>
      <c r="GC15" s="88"/>
      <c r="GD15" s="88"/>
      <c r="GE15" s="88"/>
      <c r="GF15" s="88"/>
      <c r="GG15" s="88"/>
      <c r="GH15" s="88"/>
      <c r="GI15" s="88"/>
      <c r="GJ15" s="48"/>
      <c r="GK15" s="48"/>
      <c r="GL15" s="88" t="s">
        <v>107</v>
      </c>
      <c r="GM15" s="88"/>
      <c r="GN15" s="88"/>
      <c r="GO15" s="88"/>
      <c r="GP15" s="88"/>
      <c r="GQ15" s="88"/>
      <c r="GR15" s="88"/>
      <c r="GS15" s="88"/>
      <c r="GT15" s="88"/>
      <c r="GU15" s="88"/>
      <c r="GV15" s="88"/>
      <c r="GW15" s="88"/>
      <c r="GX15" s="88"/>
      <c r="GY15" s="88"/>
      <c r="GZ15" s="88"/>
      <c r="HA15" s="88"/>
      <c r="HB15" s="88"/>
      <c r="HC15" s="88"/>
      <c r="HD15" s="88"/>
      <c r="HE15" s="88"/>
      <c r="HF15" s="88"/>
      <c r="HG15" s="88"/>
    </row>
    <row r="16" spans="1:215" x14ac:dyDescent="0.3">
      <c r="G16" s="48" t="s">
        <v>108</v>
      </c>
      <c r="H16" s="48" t="s">
        <v>63</v>
      </c>
      <c r="I16" s="48"/>
      <c r="J16" s="48" t="s">
        <v>64</v>
      </c>
      <c r="L16" s="48" t="s">
        <v>66</v>
      </c>
      <c r="N16" s="48" t="s">
        <v>68</v>
      </c>
      <c r="P16" s="52" t="s">
        <v>69</v>
      </c>
      <c r="Q16" s="49"/>
      <c r="R16" s="50" t="s">
        <v>70</v>
      </c>
      <c r="T16" s="52" t="s">
        <v>71</v>
      </c>
      <c r="V16" s="48" t="s">
        <v>72</v>
      </c>
      <c r="X16" s="52" t="s">
        <v>73</v>
      </c>
      <c r="Z16" s="48" t="s">
        <v>75</v>
      </c>
      <c r="AB16" s="48" t="s">
        <v>77</v>
      </c>
      <c r="AD16" s="48" t="s">
        <v>79</v>
      </c>
      <c r="AF16" s="48" t="s">
        <v>83</v>
      </c>
      <c r="AG16" s="49"/>
      <c r="AH16" s="50" t="s">
        <v>81</v>
      </c>
      <c r="AJ16" s="48" t="s">
        <v>85</v>
      </c>
      <c r="AL16" s="48" t="s">
        <v>87</v>
      </c>
      <c r="AN16" s="48" t="s">
        <v>89</v>
      </c>
      <c r="AP16" s="48" t="s">
        <v>91</v>
      </c>
      <c r="AQ16" s="49"/>
      <c r="AR16" s="50" t="s">
        <v>93</v>
      </c>
      <c r="AT16" s="48" t="s">
        <v>95</v>
      </c>
      <c r="AV16" s="48" t="s">
        <v>97</v>
      </c>
      <c r="AX16" s="48" t="s">
        <v>99</v>
      </c>
      <c r="BB16" s="48" t="s">
        <v>101</v>
      </c>
      <c r="BC16" s="48" t="s">
        <v>64</v>
      </c>
      <c r="BD16" s="48" t="s">
        <v>65</v>
      </c>
      <c r="BE16" s="48" t="s">
        <v>67</v>
      </c>
      <c r="BF16" s="48" t="s">
        <v>102</v>
      </c>
      <c r="BG16" s="48" t="s">
        <v>103</v>
      </c>
      <c r="BH16" s="48" t="s">
        <v>104</v>
      </c>
      <c r="BI16" s="48" t="s">
        <v>105</v>
      </c>
      <c r="BJ16" s="48" t="s">
        <v>106</v>
      </c>
      <c r="BK16" s="48" t="s">
        <v>74</v>
      </c>
      <c r="BL16" s="48" t="s">
        <v>76</v>
      </c>
      <c r="BM16" s="48" t="s">
        <v>78</v>
      </c>
      <c r="BN16" s="48" t="s">
        <v>82</v>
      </c>
      <c r="BO16" s="48" t="s">
        <v>80</v>
      </c>
      <c r="BP16" s="48" t="s">
        <v>84</v>
      </c>
      <c r="BQ16" s="48" t="s">
        <v>86</v>
      </c>
      <c r="BR16" s="48" t="s">
        <v>88</v>
      </c>
      <c r="BS16" s="48" t="s">
        <v>90</v>
      </c>
      <c r="BT16" s="48" t="s">
        <v>92</v>
      </c>
      <c r="BU16" s="48" t="s">
        <v>94</v>
      </c>
      <c r="BV16" s="48" t="s">
        <v>96</v>
      </c>
      <c r="BW16" s="48" t="s">
        <v>98</v>
      </c>
      <c r="BY16" s="48" t="s">
        <v>108</v>
      </c>
      <c r="BZ16" s="48" t="s">
        <v>63</v>
      </c>
      <c r="CB16" s="48" t="s">
        <v>64</v>
      </c>
      <c r="CD16" s="48" t="s">
        <v>66</v>
      </c>
      <c r="CF16" s="48" t="s">
        <v>68</v>
      </c>
      <c r="CH16" s="48" t="s">
        <v>69</v>
      </c>
      <c r="CI16" s="49"/>
      <c r="CJ16" s="50" t="s">
        <v>70</v>
      </c>
      <c r="CL16" s="48" t="s">
        <v>71</v>
      </c>
      <c r="CN16" s="48" t="s">
        <v>72</v>
      </c>
      <c r="CP16" s="48" t="s">
        <v>73</v>
      </c>
      <c r="CR16" s="48" t="s">
        <v>75</v>
      </c>
      <c r="CT16" s="48" t="s">
        <v>77</v>
      </c>
      <c r="CV16" s="48" t="s">
        <v>79</v>
      </c>
      <c r="CX16" s="48" t="s">
        <v>83</v>
      </c>
      <c r="CY16" s="49"/>
      <c r="CZ16" s="50" t="s">
        <v>81</v>
      </c>
      <c r="DB16" s="48" t="s">
        <v>85</v>
      </c>
      <c r="DD16" s="48" t="s">
        <v>87</v>
      </c>
      <c r="DF16" s="48" t="s">
        <v>89</v>
      </c>
      <c r="DH16" s="48" t="s">
        <v>91</v>
      </c>
      <c r="DI16" s="49"/>
      <c r="DJ16" s="50" t="s">
        <v>93</v>
      </c>
      <c r="DL16" s="48" t="s">
        <v>95</v>
      </c>
      <c r="DN16" s="48" t="s">
        <v>97</v>
      </c>
      <c r="DP16" s="48" t="s">
        <v>99</v>
      </c>
      <c r="DT16" s="48" t="s">
        <v>101</v>
      </c>
      <c r="DU16" s="48" t="s">
        <v>64</v>
      </c>
      <c r="DV16" s="48" t="s">
        <v>65</v>
      </c>
      <c r="DW16" s="48" t="s">
        <v>67</v>
      </c>
      <c r="DX16" s="48" t="s">
        <v>102</v>
      </c>
      <c r="DY16" s="48" t="s">
        <v>103</v>
      </c>
      <c r="DZ16" s="48" t="s">
        <v>104</v>
      </c>
      <c r="EA16" s="48" t="s">
        <v>105</v>
      </c>
      <c r="EB16" s="48" t="s">
        <v>106</v>
      </c>
      <c r="EC16" s="48" t="s">
        <v>74</v>
      </c>
      <c r="ED16" s="48" t="s">
        <v>76</v>
      </c>
      <c r="EE16" s="48" t="s">
        <v>78</v>
      </c>
      <c r="EF16" s="48" t="s">
        <v>82</v>
      </c>
      <c r="EG16" s="48" t="s">
        <v>80</v>
      </c>
      <c r="EH16" s="48" t="s">
        <v>84</v>
      </c>
      <c r="EI16" s="48" t="s">
        <v>86</v>
      </c>
      <c r="EJ16" s="48" t="s">
        <v>88</v>
      </c>
      <c r="EK16" s="48" t="s">
        <v>90</v>
      </c>
      <c r="EL16" s="48" t="s">
        <v>92</v>
      </c>
      <c r="EM16" s="48" t="s">
        <v>94</v>
      </c>
      <c r="EN16" s="48" t="s">
        <v>96</v>
      </c>
      <c r="EO16" s="48" t="s">
        <v>98</v>
      </c>
      <c r="EQ16" s="48" t="s">
        <v>108</v>
      </c>
      <c r="ER16" s="48" t="s">
        <v>63</v>
      </c>
      <c r="ES16" s="48"/>
      <c r="ET16" s="48" t="s">
        <v>64</v>
      </c>
      <c r="EU16" s="48"/>
      <c r="EV16" s="48" t="s">
        <v>66</v>
      </c>
      <c r="EW16" s="48"/>
      <c r="EX16" s="48" t="s">
        <v>68</v>
      </c>
      <c r="EY16" s="48"/>
      <c r="EZ16" s="48" t="s">
        <v>69</v>
      </c>
      <c r="FA16" s="49"/>
      <c r="FB16" s="50" t="s">
        <v>70</v>
      </c>
      <c r="FC16" s="48"/>
      <c r="FD16" s="48" t="s">
        <v>71</v>
      </c>
      <c r="FE16" s="48"/>
      <c r="FF16" s="48" t="s">
        <v>72</v>
      </c>
      <c r="FG16" s="48"/>
      <c r="FH16" s="48" t="s">
        <v>73</v>
      </c>
      <c r="FI16" s="48"/>
      <c r="FJ16" s="48" t="s">
        <v>75</v>
      </c>
      <c r="FK16" s="48"/>
      <c r="FL16" s="48" t="s">
        <v>77</v>
      </c>
      <c r="FM16" s="48"/>
      <c r="FN16" s="48" t="s">
        <v>79</v>
      </c>
      <c r="FO16" s="48"/>
      <c r="FP16" s="48" t="s">
        <v>83</v>
      </c>
      <c r="FQ16" s="49"/>
      <c r="FR16" s="50" t="s">
        <v>81</v>
      </c>
      <c r="FS16" s="48"/>
      <c r="FT16" s="48" t="s">
        <v>85</v>
      </c>
      <c r="FU16" s="48"/>
      <c r="FV16" s="48" t="s">
        <v>87</v>
      </c>
      <c r="FW16" s="48"/>
      <c r="FX16" s="48" t="s">
        <v>89</v>
      </c>
      <c r="FY16" s="48"/>
      <c r="FZ16" s="48" t="s">
        <v>91</v>
      </c>
      <c r="GA16" s="49"/>
      <c r="GB16" s="50" t="s">
        <v>93</v>
      </c>
      <c r="GC16" s="48"/>
      <c r="GD16" s="48" t="s">
        <v>95</v>
      </c>
      <c r="GE16" s="48"/>
      <c r="GF16" s="48" t="s">
        <v>97</v>
      </c>
      <c r="GG16" s="48"/>
      <c r="GH16" s="48" t="s">
        <v>99</v>
      </c>
      <c r="GI16" s="48"/>
      <c r="GJ16" s="48"/>
      <c r="GK16" s="48"/>
      <c r="GL16" s="48" t="s">
        <v>101</v>
      </c>
      <c r="GM16" s="48" t="s">
        <v>64</v>
      </c>
      <c r="GN16" s="48" t="s">
        <v>65</v>
      </c>
      <c r="GO16" s="48" t="s">
        <v>67</v>
      </c>
      <c r="GP16" s="48" t="s">
        <v>102</v>
      </c>
      <c r="GQ16" s="48" t="s">
        <v>103</v>
      </c>
      <c r="GR16" s="48" t="s">
        <v>104</v>
      </c>
      <c r="GS16" s="48" t="s">
        <v>105</v>
      </c>
      <c r="GT16" s="48" t="s">
        <v>106</v>
      </c>
      <c r="GU16" s="48" t="s">
        <v>74</v>
      </c>
      <c r="GV16" s="48" t="s">
        <v>76</v>
      </c>
      <c r="GW16" s="48" t="s">
        <v>78</v>
      </c>
      <c r="GX16" s="48" t="s">
        <v>82</v>
      </c>
      <c r="GY16" s="48" t="s">
        <v>80</v>
      </c>
      <c r="GZ16" s="48" t="s">
        <v>84</v>
      </c>
      <c r="HA16" s="48" t="s">
        <v>86</v>
      </c>
      <c r="HB16" s="48" t="s">
        <v>88</v>
      </c>
      <c r="HC16" s="48" t="s">
        <v>90</v>
      </c>
      <c r="HD16" s="48" t="s">
        <v>92</v>
      </c>
      <c r="HE16" s="48" t="s">
        <v>94</v>
      </c>
      <c r="HF16" s="48" t="s">
        <v>96</v>
      </c>
      <c r="HG16" s="48" t="s">
        <v>98</v>
      </c>
    </row>
    <row r="17" spans="1:215" x14ac:dyDescent="0.3">
      <c r="A17" s="2">
        <v>8</v>
      </c>
      <c r="B17" s="2" t="s">
        <v>44</v>
      </c>
      <c r="C17" s="2" t="s">
        <v>48</v>
      </c>
      <c r="D17" s="2" t="s">
        <v>205</v>
      </c>
      <c r="E17" s="35" t="s">
        <v>61</v>
      </c>
      <c r="H17" s="48" t="s">
        <v>49</v>
      </c>
      <c r="I17" s="48" t="s">
        <v>60</v>
      </c>
      <c r="J17" s="48" t="s">
        <v>49</v>
      </c>
      <c r="K17" s="48" t="s">
        <v>60</v>
      </c>
      <c r="L17" s="48" t="s">
        <v>49</v>
      </c>
      <c r="M17" s="48" t="s">
        <v>60</v>
      </c>
      <c r="N17" s="48" t="s">
        <v>49</v>
      </c>
      <c r="O17" s="48" t="s">
        <v>60</v>
      </c>
      <c r="P17" s="52" t="s">
        <v>49</v>
      </c>
      <c r="Q17" s="48" t="s">
        <v>60</v>
      </c>
      <c r="R17" s="48" t="s">
        <v>49</v>
      </c>
      <c r="S17" s="48" t="s">
        <v>60</v>
      </c>
      <c r="T17" s="52" t="s">
        <v>49</v>
      </c>
      <c r="U17" s="48" t="s">
        <v>60</v>
      </c>
      <c r="V17" s="48" t="s">
        <v>49</v>
      </c>
      <c r="W17" s="48" t="s">
        <v>60</v>
      </c>
      <c r="X17" s="52" t="s">
        <v>49</v>
      </c>
      <c r="Y17" s="48" t="s">
        <v>60</v>
      </c>
      <c r="Z17" s="48" t="s">
        <v>49</v>
      </c>
      <c r="AA17" s="48" t="s">
        <v>60</v>
      </c>
      <c r="AB17" s="48" t="s">
        <v>49</v>
      </c>
      <c r="AC17" s="48" t="s">
        <v>60</v>
      </c>
      <c r="AD17" s="48" t="s">
        <v>49</v>
      </c>
      <c r="AE17" s="48" t="s">
        <v>60</v>
      </c>
      <c r="AF17" s="48" t="s">
        <v>49</v>
      </c>
      <c r="AG17" s="48" t="s">
        <v>60</v>
      </c>
      <c r="AH17" s="48" t="s">
        <v>49</v>
      </c>
      <c r="AI17" s="48" t="s">
        <v>60</v>
      </c>
      <c r="AJ17" s="48" t="s">
        <v>49</v>
      </c>
      <c r="AK17" s="48" t="s">
        <v>60</v>
      </c>
      <c r="AL17" s="48" t="s">
        <v>49</v>
      </c>
      <c r="AM17" s="48" t="s">
        <v>60</v>
      </c>
      <c r="AN17" s="48" t="s">
        <v>49</v>
      </c>
      <c r="AO17" s="48" t="s">
        <v>60</v>
      </c>
      <c r="AP17" s="48" t="s">
        <v>49</v>
      </c>
      <c r="AQ17" s="48" t="s">
        <v>60</v>
      </c>
      <c r="AR17" s="48" t="s">
        <v>49</v>
      </c>
      <c r="AS17" s="48" t="s">
        <v>60</v>
      </c>
      <c r="AT17" s="48" t="s">
        <v>49</v>
      </c>
      <c r="AU17" s="48" t="s">
        <v>60</v>
      </c>
      <c r="AV17" s="48" t="s">
        <v>49</v>
      </c>
      <c r="AW17" s="48" t="s">
        <v>60</v>
      </c>
      <c r="AX17" s="48" t="s">
        <v>49</v>
      </c>
      <c r="AY17" s="48" t="s">
        <v>60</v>
      </c>
      <c r="BZ17" s="48" t="s">
        <v>49</v>
      </c>
      <c r="CA17" s="48" t="s">
        <v>60</v>
      </c>
      <c r="CB17" s="48" t="s">
        <v>49</v>
      </c>
      <c r="CC17" s="48" t="s">
        <v>60</v>
      </c>
      <c r="CD17" s="48" t="s">
        <v>49</v>
      </c>
      <c r="CE17" s="48" t="s">
        <v>60</v>
      </c>
      <c r="CF17" s="48" t="s">
        <v>49</v>
      </c>
      <c r="CG17" s="48" t="s">
        <v>60</v>
      </c>
      <c r="CH17" s="48" t="s">
        <v>49</v>
      </c>
      <c r="CI17" s="48" t="s">
        <v>60</v>
      </c>
      <c r="CJ17" s="48" t="s">
        <v>49</v>
      </c>
      <c r="CK17" s="48" t="s">
        <v>60</v>
      </c>
      <c r="CL17" s="48" t="s">
        <v>49</v>
      </c>
      <c r="CM17" s="48" t="s">
        <v>60</v>
      </c>
      <c r="CN17" s="48" t="s">
        <v>49</v>
      </c>
      <c r="CO17" s="48" t="s">
        <v>60</v>
      </c>
      <c r="CP17" s="48" t="s">
        <v>49</v>
      </c>
      <c r="CQ17" s="48" t="s">
        <v>60</v>
      </c>
      <c r="CR17" s="48" t="s">
        <v>49</v>
      </c>
      <c r="CS17" s="48" t="s">
        <v>60</v>
      </c>
      <c r="CT17" s="48" t="s">
        <v>49</v>
      </c>
      <c r="CU17" s="48" t="s">
        <v>60</v>
      </c>
      <c r="CV17" s="48" t="s">
        <v>49</v>
      </c>
      <c r="CW17" s="48" t="s">
        <v>60</v>
      </c>
      <c r="CX17" s="48" t="s">
        <v>49</v>
      </c>
      <c r="CY17" s="48" t="s">
        <v>60</v>
      </c>
      <c r="CZ17" s="48" t="s">
        <v>49</v>
      </c>
      <c r="DA17" s="48" t="s">
        <v>60</v>
      </c>
      <c r="DB17" s="48" t="s">
        <v>49</v>
      </c>
      <c r="DC17" s="48" t="s">
        <v>60</v>
      </c>
      <c r="DD17" s="48" t="s">
        <v>49</v>
      </c>
      <c r="DE17" s="48" t="s">
        <v>60</v>
      </c>
      <c r="DF17" s="48" t="s">
        <v>49</v>
      </c>
      <c r="DG17" s="48" t="s">
        <v>60</v>
      </c>
      <c r="DH17" s="48" t="s">
        <v>49</v>
      </c>
      <c r="DI17" s="48" t="s">
        <v>60</v>
      </c>
      <c r="DJ17" s="48" t="s">
        <v>49</v>
      </c>
      <c r="DK17" s="48" t="s">
        <v>60</v>
      </c>
      <c r="DL17" s="48" t="s">
        <v>49</v>
      </c>
      <c r="DM17" s="48" t="s">
        <v>60</v>
      </c>
      <c r="DN17" s="48" t="s">
        <v>49</v>
      </c>
      <c r="DO17" s="48" t="s">
        <v>60</v>
      </c>
      <c r="DP17" s="48" t="s">
        <v>49</v>
      </c>
      <c r="DQ17" s="48" t="s">
        <v>60</v>
      </c>
      <c r="EQ17" s="48"/>
      <c r="ER17" s="48" t="s">
        <v>49</v>
      </c>
      <c r="ES17" s="48" t="s">
        <v>60</v>
      </c>
      <c r="ET17" s="48" t="s">
        <v>49</v>
      </c>
      <c r="EU17" s="48" t="s">
        <v>60</v>
      </c>
      <c r="EV17" s="48" t="s">
        <v>49</v>
      </c>
      <c r="EW17" s="48" t="s">
        <v>60</v>
      </c>
      <c r="EX17" s="48" t="s">
        <v>49</v>
      </c>
      <c r="EY17" s="48" t="s">
        <v>60</v>
      </c>
      <c r="EZ17" s="48" t="s">
        <v>49</v>
      </c>
      <c r="FA17" s="48" t="s">
        <v>60</v>
      </c>
      <c r="FB17" s="48" t="s">
        <v>49</v>
      </c>
      <c r="FC17" s="48" t="s">
        <v>60</v>
      </c>
      <c r="FD17" s="48" t="s">
        <v>49</v>
      </c>
      <c r="FE17" s="48" t="s">
        <v>60</v>
      </c>
      <c r="FF17" s="48" t="s">
        <v>49</v>
      </c>
      <c r="FG17" s="48" t="s">
        <v>60</v>
      </c>
      <c r="FH17" s="48" t="s">
        <v>49</v>
      </c>
      <c r="FI17" s="48" t="s">
        <v>60</v>
      </c>
      <c r="FJ17" s="48" t="s">
        <v>49</v>
      </c>
      <c r="FK17" s="48" t="s">
        <v>60</v>
      </c>
      <c r="FL17" s="48" t="s">
        <v>49</v>
      </c>
      <c r="FM17" s="48" t="s">
        <v>60</v>
      </c>
      <c r="FN17" s="48" t="s">
        <v>49</v>
      </c>
      <c r="FO17" s="48" t="s">
        <v>60</v>
      </c>
      <c r="FP17" s="48" t="s">
        <v>49</v>
      </c>
      <c r="FQ17" s="48" t="s">
        <v>60</v>
      </c>
      <c r="FR17" s="48" t="s">
        <v>49</v>
      </c>
      <c r="FS17" s="48" t="s">
        <v>60</v>
      </c>
      <c r="FT17" s="48" t="s">
        <v>49</v>
      </c>
      <c r="FU17" s="48" t="s">
        <v>60</v>
      </c>
      <c r="FV17" s="48" t="s">
        <v>49</v>
      </c>
      <c r="FW17" s="48" t="s">
        <v>60</v>
      </c>
      <c r="FX17" s="48" t="s">
        <v>49</v>
      </c>
      <c r="FY17" s="48" t="s">
        <v>60</v>
      </c>
      <c r="FZ17" s="48" t="s">
        <v>49</v>
      </c>
      <c r="GA17" s="48" t="s">
        <v>60</v>
      </c>
      <c r="GB17" s="48" t="s">
        <v>49</v>
      </c>
      <c r="GC17" s="48" t="s">
        <v>60</v>
      </c>
      <c r="GD17" s="48" t="s">
        <v>49</v>
      </c>
      <c r="GE17" s="48" t="s">
        <v>60</v>
      </c>
      <c r="GF17" s="48" t="s">
        <v>49</v>
      </c>
      <c r="GG17" s="48" t="s">
        <v>60</v>
      </c>
      <c r="GH17" s="48" t="s">
        <v>49</v>
      </c>
      <c r="GI17" s="48" t="s">
        <v>60</v>
      </c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</row>
    <row r="18" spans="1:215" x14ac:dyDescent="0.3">
      <c r="B18" s="2">
        <v>1</v>
      </c>
      <c r="C18" s="35" t="s">
        <v>45</v>
      </c>
      <c r="D18" s="43">
        <f>+D31</f>
        <v>5670</v>
      </c>
      <c r="E18" s="68">
        <f t="shared" ref="E18:E27" si="0">TRUNC(+D18*3.3058,-1)</f>
        <v>18740</v>
      </c>
      <c r="G18" s="48">
        <f>+D18*1.1</f>
        <v>6237.0000000000009</v>
      </c>
      <c r="H18" s="48">
        <f>+G18</f>
        <v>6237.0000000000009</v>
      </c>
      <c r="I18" s="51">
        <f>+H18*3.3058</f>
        <v>20618.274600000004</v>
      </c>
      <c r="J18" s="48">
        <f>+H18*BC18</f>
        <v>6049.89</v>
      </c>
      <c r="K18" s="51">
        <f>+J18*3.3058</f>
        <v>19999.726362000001</v>
      </c>
      <c r="L18" s="48">
        <f>+H18*BD18</f>
        <v>5925.1500000000005</v>
      </c>
      <c r="M18" s="51">
        <f>+L18*3.3058</f>
        <v>19587.36087</v>
      </c>
      <c r="N18" s="48">
        <f t="shared" ref="N18:N28" si="1">+H18*BE18</f>
        <v>5800.4100000000008</v>
      </c>
      <c r="O18" s="51">
        <f>+N18*3.3058</f>
        <v>19174.995378000003</v>
      </c>
      <c r="P18" s="52">
        <f t="shared" ref="P18:P28" si="2">+H18*BF18</f>
        <v>5675.670000000001</v>
      </c>
      <c r="Q18" s="51">
        <f>+P18*3.3058</f>
        <v>18762.629886000002</v>
      </c>
      <c r="R18" s="48">
        <f t="shared" ref="R18:R28" si="3">+H18*BG18</f>
        <v>5550.9300000000012</v>
      </c>
      <c r="S18" s="51">
        <f>+R18*3.3058</f>
        <v>18350.264394000005</v>
      </c>
      <c r="T18" s="52">
        <f t="shared" ref="T18:T28" si="4">+H18*BH18</f>
        <v>5426.1900000000005</v>
      </c>
      <c r="U18" s="51">
        <f>+T18*3.3058</f>
        <v>17937.898902000001</v>
      </c>
      <c r="V18" s="53">
        <f t="shared" ref="V18:V28" si="5">+H18*BI18</f>
        <v>5301.4500000000007</v>
      </c>
      <c r="W18" s="51">
        <f>+V18*3.3058</f>
        <v>17525.533410000004</v>
      </c>
      <c r="X18" s="52">
        <f t="shared" ref="X18:X28" si="6">+H18*BJ18</f>
        <v>5176.7100000000009</v>
      </c>
      <c r="Y18" s="51">
        <f>+X18*3.3058</f>
        <v>17113.167918000003</v>
      </c>
      <c r="Z18" s="48">
        <f t="shared" ref="Z18:Z28" si="7">+H18*BK18</f>
        <v>5051.97</v>
      </c>
      <c r="AA18" s="51">
        <f>+Z18*3.3058</f>
        <v>16700.802426000002</v>
      </c>
      <c r="AB18" s="53">
        <f t="shared" ref="AB18:AB28" si="8">+H18*BL18</f>
        <v>4927.2300000000005</v>
      </c>
      <c r="AC18" s="51">
        <f>+AB18*3.3058</f>
        <v>16288.436934000001</v>
      </c>
      <c r="AD18" s="53">
        <f t="shared" ref="AD18:AD28" si="9">+H18*BM18</f>
        <v>4802.49</v>
      </c>
      <c r="AE18" s="51">
        <f>+AD18*3.3058</f>
        <v>15876.071442</v>
      </c>
      <c r="AF18" s="53">
        <f t="shared" ref="AF18:AF28" si="10">+H18*BN18</f>
        <v>4677.75</v>
      </c>
      <c r="AG18" s="51">
        <f>+AF18*3.3058</f>
        <v>15463.70595</v>
      </c>
      <c r="AH18" s="48">
        <f t="shared" ref="AH18:AH28" si="11">+H18*BO18</f>
        <v>4553.01</v>
      </c>
      <c r="AI18" s="51">
        <f>+AH18*3.3058</f>
        <v>15051.340458000001</v>
      </c>
      <c r="AJ18" s="53">
        <f t="shared" ref="AJ18:AJ28" si="12">+H18*BP18</f>
        <v>4428.2699999999995</v>
      </c>
      <c r="AK18" s="51">
        <f>+AJ18*3.3058</f>
        <v>14638.974965999998</v>
      </c>
      <c r="AL18" s="53">
        <f t="shared" ref="AL18:AL28" si="13">+H18*BQ18</f>
        <v>4303.53</v>
      </c>
      <c r="AM18" s="51">
        <f>+AL18*3.3058</f>
        <v>14226.609473999999</v>
      </c>
      <c r="AN18" s="53">
        <f t="shared" ref="AN18:AN28" si="14">+H18*BR18</f>
        <v>4178.7899999999991</v>
      </c>
      <c r="AO18" s="51">
        <f>+AN18*3.3058</f>
        <v>13814.243981999996</v>
      </c>
      <c r="AP18" s="53">
        <f t="shared" ref="AP18:AP28" si="15">+H18*BS18</f>
        <v>4054.0499999999993</v>
      </c>
      <c r="AQ18" s="51">
        <f>+AP18*3.3058</f>
        <v>13401.878489999997</v>
      </c>
      <c r="AR18" s="48">
        <f t="shared" ref="AR18:AR28" si="16">+H18*BT18</f>
        <v>3929.309999999999</v>
      </c>
      <c r="AS18" s="51">
        <f>+AR18*3.3058</f>
        <v>12989.512997999997</v>
      </c>
      <c r="AT18" s="53">
        <f t="shared" ref="AT18:AT28" si="17">+H18*BU18</f>
        <v>3804.5699999999993</v>
      </c>
      <c r="AU18" s="51">
        <f>+AT18*3.3058</f>
        <v>12577.147505999998</v>
      </c>
      <c r="AV18" s="53">
        <f t="shared" ref="AV18:AV28" si="18">+H18*BV18</f>
        <v>3679.829999999999</v>
      </c>
      <c r="AW18" s="51">
        <f>+AV18*3.3058</f>
        <v>12164.782013999997</v>
      </c>
      <c r="AX18" s="48">
        <f t="shared" ref="AX18:AX28" si="19">+H18*BW18</f>
        <v>3555.0899999999988</v>
      </c>
      <c r="AY18" s="51">
        <f>+AX18*3.3058</f>
        <v>11752.416521999996</v>
      </c>
      <c r="BB18" s="48">
        <v>1</v>
      </c>
      <c r="BC18" s="48">
        <v>0.97</v>
      </c>
      <c r="BD18" s="48">
        <v>0.95</v>
      </c>
      <c r="BE18" s="48">
        <v>0.93</v>
      </c>
      <c r="BF18" s="48">
        <f>+BE18-0.02</f>
        <v>0.91</v>
      </c>
      <c r="BG18" s="48">
        <f t="shared" ref="BG18:BW18" si="20">+BF18-0.02</f>
        <v>0.89</v>
      </c>
      <c r="BH18" s="48">
        <f t="shared" si="20"/>
        <v>0.87</v>
      </c>
      <c r="BI18" s="48">
        <f t="shared" si="20"/>
        <v>0.85</v>
      </c>
      <c r="BJ18" s="48">
        <f t="shared" si="20"/>
        <v>0.83</v>
      </c>
      <c r="BK18" s="48">
        <f t="shared" si="20"/>
        <v>0.80999999999999994</v>
      </c>
      <c r="BL18" s="48">
        <f t="shared" si="20"/>
        <v>0.78999999999999992</v>
      </c>
      <c r="BM18" s="48">
        <f t="shared" si="20"/>
        <v>0.76999999999999991</v>
      </c>
      <c r="BN18" s="48">
        <f t="shared" si="20"/>
        <v>0.74999999999999989</v>
      </c>
      <c r="BO18" s="48">
        <f t="shared" si="20"/>
        <v>0.72999999999999987</v>
      </c>
      <c r="BP18" s="48">
        <f t="shared" si="20"/>
        <v>0.70999999999999985</v>
      </c>
      <c r="BQ18" s="48">
        <f t="shared" si="20"/>
        <v>0.68999999999999984</v>
      </c>
      <c r="BR18" s="48">
        <f t="shared" si="20"/>
        <v>0.66999999999999982</v>
      </c>
      <c r="BS18" s="48">
        <f t="shared" si="20"/>
        <v>0.6499999999999998</v>
      </c>
      <c r="BT18" s="48">
        <f t="shared" si="20"/>
        <v>0.62999999999999978</v>
      </c>
      <c r="BU18" s="48">
        <f t="shared" si="20"/>
        <v>0.60999999999999976</v>
      </c>
      <c r="BV18" s="48">
        <f t="shared" si="20"/>
        <v>0.58999999999999975</v>
      </c>
      <c r="BW18" s="48">
        <f t="shared" si="20"/>
        <v>0.56999999999999973</v>
      </c>
      <c r="BY18" s="48">
        <f>+G18*0.91</f>
        <v>5675.670000000001</v>
      </c>
      <c r="BZ18" s="48">
        <f>+BY18</f>
        <v>5675.670000000001</v>
      </c>
      <c r="CA18" s="51">
        <f>+BZ18*3.3058</f>
        <v>18762.629886000002</v>
      </c>
      <c r="CB18" s="48">
        <f>+BZ18*DU18</f>
        <v>5505.3999000000013</v>
      </c>
      <c r="CC18" s="51">
        <f>+CB18*3.3058</f>
        <v>18199.750989420005</v>
      </c>
      <c r="CD18" s="48">
        <f>+BZ18*DV18</f>
        <v>5391.8865000000005</v>
      </c>
      <c r="CE18" s="51">
        <f>+CD18*3.3058</f>
        <v>17824.498391700003</v>
      </c>
      <c r="CF18" s="48">
        <f t="shared" ref="CF18:CF28" si="21">+BZ18*DW18</f>
        <v>5278.3731000000016</v>
      </c>
      <c r="CG18" s="51">
        <f>+CF18*3.3058</f>
        <v>17449.245793980004</v>
      </c>
      <c r="CH18" s="52">
        <f t="shared" ref="CH18:CH28" si="22">+BZ18*DX18</f>
        <v>5164.8597000000009</v>
      </c>
      <c r="CI18" s="51">
        <f>+CH18*3.3058</f>
        <v>17073.993196260002</v>
      </c>
      <c r="CJ18" s="48">
        <f t="shared" ref="CJ18:CJ28" si="23">+BZ18*DY18</f>
        <v>5051.3463000000011</v>
      </c>
      <c r="CK18" s="51">
        <f>+CJ18*3.3058</f>
        <v>16698.740598540004</v>
      </c>
      <c r="CL18" s="52">
        <f t="shared" ref="CL18:CL28" si="24">+BZ18*DZ18</f>
        <v>4937.8329000000012</v>
      </c>
      <c r="CM18" s="51">
        <f>+CL18*3.3058</f>
        <v>16323.488000820005</v>
      </c>
      <c r="CN18" s="53">
        <f t="shared" ref="CN18:CN28" si="25">+BZ18*EA18</f>
        <v>4824.3195000000005</v>
      </c>
      <c r="CO18" s="51">
        <f>+CN18*3.3058</f>
        <v>15948.235403100001</v>
      </c>
      <c r="CP18" s="52">
        <f t="shared" ref="CP18:CP28" si="26">+BZ18*EB18</f>
        <v>4710.8061000000007</v>
      </c>
      <c r="CQ18" s="51">
        <f>+CP18*3.3058</f>
        <v>15572.982805380003</v>
      </c>
      <c r="CR18" s="48">
        <f t="shared" ref="CR18:CR28" si="27">+BZ18*EC18</f>
        <v>4597.2927000000009</v>
      </c>
      <c r="CS18" s="51">
        <f>+CR18*3.3058</f>
        <v>15197.730207660003</v>
      </c>
      <c r="CT18" s="53">
        <f t="shared" ref="CT18:CT28" si="28">+BZ18*ED18</f>
        <v>4483.7793000000001</v>
      </c>
      <c r="CU18" s="51">
        <f>+CT18*3.3058</f>
        <v>14822.477609940001</v>
      </c>
      <c r="CV18" s="53">
        <f t="shared" ref="CV18:CV28" si="29">+BZ18*EE18</f>
        <v>4370.2659000000003</v>
      </c>
      <c r="CW18" s="51">
        <f>+CV18*3.3058</f>
        <v>14447.225012220002</v>
      </c>
      <c r="CX18" s="53">
        <f t="shared" ref="CX18:CX28" si="30">+BZ18*EF18</f>
        <v>4256.7525000000005</v>
      </c>
      <c r="CY18" s="51">
        <f>+CX18*3.3058</f>
        <v>14071.972414500002</v>
      </c>
      <c r="CZ18" s="48">
        <f t="shared" ref="CZ18:CZ28" si="31">+BZ18*EG18</f>
        <v>4143.2390999999998</v>
      </c>
      <c r="DA18" s="51">
        <f>+CZ18*3.3058</f>
        <v>13696.71981678</v>
      </c>
      <c r="DB18" s="53">
        <f t="shared" ref="DB18:DB28" si="32">+BZ18*EH18</f>
        <v>4029.7257</v>
      </c>
      <c r="DC18" s="51">
        <f>+DB18*3.3058</f>
        <v>13321.467219059999</v>
      </c>
      <c r="DD18" s="53">
        <f t="shared" ref="DD18:DD28" si="33">+BZ18*EI18</f>
        <v>3916.2122999999997</v>
      </c>
      <c r="DE18" s="51">
        <f>+DD18*3.3058</f>
        <v>12946.214621339999</v>
      </c>
      <c r="DF18" s="53">
        <f t="shared" ref="DF18:DF28" si="34">+BZ18*EJ18</f>
        <v>3802.6988999999994</v>
      </c>
      <c r="DG18" s="51">
        <f>+DF18*3.3058</f>
        <v>12570.962023619999</v>
      </c>
      <c r="DH18" s="53">
        <f t="shared" ref="DH18:DH28" si="35">+BZ18*EK18</f>
        <v>3689.1854999999996</v>
      </c>
      <c r="DI18" s="51">
        <f>+DH18*3.3058</f>
        <v>12195.709425899999</v>
      </c>
      <c r="DJ18" s="48">
        <f t="shared" ref="DJ18:DJ28" si="36">+BZ18*EL18</f>
        <v>3575.6720999999993</v>
      </c>
      <c r="DK18" s="51">
        <f>+DJ18*3.3058</f>
        <v>11820.456828179998</v>
      </c>
      <c r="DL18" s="53">
        <f t="shared" ref="DL18:DL28" si="37">+BZ18*EM18</f>
        <v>3462.158699999999</v>
      </c>
      <c r="DM18" s="51">
        <f>+DL18*3.3058</f>
        <v>11445.204230459996</v>
      </c>
      <c r="DN18" s="53">
        <f t="shared" ref="DN18:DN28" si="38">+BZ18*EN18</f>
        <v>3348.6452999999992</v>
      </c>
      <c r="DO18" s="51">
        <f>+DN18*3.3058</f>
        <v>11069.951632739998</v>
      </c>
      <c r="DP18" s="48">
        <f t="shared" ref="DP18:DP28" si="39">+BZ18*EO18</f>
        <v>3235.131899999999</v>
      </c>
      <c r="DQ18" s="51">
        <f>+DP18*3.3058</f>
        <v>10694.699035019998</v>
      </c>
      <c r="DT18" s="48">
        <v>1</v>
      </c>
      <c r="DU18" s="48">
        <v>0.97</v>
      </c>
      <c r="DV18" s="48">
        <v>0.95</v>
      </c>
      <c r="DW18" s="48">
        <v>0.93</v>
      </c>
      <c r="DX18" s="48">
        <f>+DW18-0.02</f>
        <v>0.91</v>
      </c>
      <c r="DY18" s="48">
        <f t="shared" ref="DY18:EO18" si="40">+DX18-0.02</f>
        <v>0.89</v>
      </c>
      <c r="DZ18" s="48">
        <f t="shared" si="40"/>
        <v>0.87</v>
      </c>
      <c r="EA18" s="48">
        <f t="shared" si="40"/>
        <v>0.85</v>
      </c>
      <c r="EB18" s="48">
        <f t="shared" si="40"/>
        <v>0.83</v>
      </c>
      <c r="EC18" s="48">
        <f t="shared" si="40"/>
        <v>0.80999999999999994</v>
      </c>
      <c r="ED18" s="48">
        <f t="shared" si="40"/>
        <v>0.78999999999999992</v>
      </c>
      <c r="EE18" s="48">
        <f t="shared" si="40"/>
        <v>0.76999999999999991</v>
      </c>
      <c r="EF18" s="48">
        <f t="shared" si="40"/>
        <v>0.74999999999999989</v>
      </c>
      <c r="EG18" s="48">
        <f t="shared" si="40"/>
        <v>0.72999999999999987</v>
      </c>
      <c r="EH18" s="48">
        <f t="shared" si="40"/>
        <v>0.70999999999999985</v>
      </c>
      <c r="EI18" s="48">
        <f t="shared" si="40"/>
        <v>0.68999999999999984</v>
      </c>
      <c r="EJ18" s="48">
        <f t="shared" si="40"/>
        <v>0.66999999999999982</v>
      </c>
      <c r="EK18" s="48">
        <f t="shared" si="40"/>
        <v>0.6499999999999998</v>
      </c>
      <c r="EL18" s="48">
        <f t="shared" si="40"/>
        <v>0.62999999999999978</v>
      </c>
      <c r="EM18" s="48">
        <f t="shared" si="40"/>
        <v>0.60999999999999976</v>
      </c>
      <c r="EN18" s="48">
        <f t="shared" si="40"/>
        <v>0.58999999999999975</v>
      </c>
      <c r="EO18" s="48">
        <f t="shared" si="40"/>
        <v>0.56999999999999973</v>
      </c>
      <c r="EQ18" s="48">
        <f>+BY18*0.91</f>
        <v>5164.8597000000009</v>
      </c>
      <c r="ER18" s="48">
        <f>+EQ18</f>
        <v>5164.8597000000009</v>
      </c>
      <c r="ES18" s="51">
        <f>+ER18*3.3058</f>
        <v>17073.993196260002</v>
      </c>
      <c r="ET18" s="48">
        <f>+ER18*GM18</f>
        <v>5009.9139090000008</v>
      </c>
      <c r="EU18" s="51">
        <f>+ET18*3.3058</f>
        <v>16561.773400372203</v>
      </c>
      <c r="EV18" s="48">
        <f>+ER18*GN18</f>
        <v>4906.616715000001</v>
      </c>
      <c r="EW18" s="51">
        <f>+EV18*3.3058</f>
        <v>16220.293536447003</v>
      </c>
      <c r="EX18" s="48">
        <f t="shared" ref="EX18:EX28" si="41">+ER18*GO18</f>
        <v>4803.3195210000013</v>
      </c>
      <c r="EY18" s="51">
        <f>+EX18*3.3058</f>
        <v>15878.813672521805</v>
      </c>
      <c r="EZ18" s="52">
        <f t="shared" ref="EZ18:EZ28" si="42">+ER18*GP18</f>
        <v>4700.0223270000006</v>
      </c>
      <c r="FA18" s="51">
        <f>+EZ18*3.3058</f>
        <v>15537.333808596602</v>
      </c>
      <c r="FB18" s="48">
        <f t="shared" ref="FB18:FB28" si="43">+ER18*GQ18</f>
        <v>4596.7251330000008</v>
      </c>
      <c r="FC18" s="51">
        <f>+FB18*3.3058</f>
        <v>15195.853944671404</v>
      </c>
      <c r="FD18" s="52">
        <f t="shared" ref="FD18:FD28" si="44">+ER18*GR18</f>
        <v>4493.4279390000011</v>
      </c>
      <c r="FE18" s="51">
        <f>+FD18*3.3058</f>
        <v>14854.374080746204</v>
      </c>
      <c r="FF18" s="53">
        <f t="shared" ref="FF18:FF28" si="45">+ER18*GS18</f>
        <v>4390.1307450000004</v>
      </c>
      <c r="FG18" s="51">
        <f>+FF18*3.3058</f>
        <v>14512.894216821001</v>
      </c>
      <c r="FH18" s="52">
        <f t="shared" ref="FH18:FH28" si="46">+ER18*GT18</f>
        <v>4286.8335510000006</v>
      </c>
      <c r="FI18" s="51">
        <f>+FH18*3.3058</f>
        <v>14171.414352895803</v>
      </c>
      <c r="FJ18" s="48">
        <f t="shared" ref="FJ18:FJ28" si="47">+ER18*GU18</f>
        <v>4183.5363570000009</v>
      </c>
      <c r="FK18" s="51">
        <f>+FJ18*3.3058</f>
        <v>13829.934488970603</v>
      </c>
      <c r="FL18" s="53">
        <f t="shared" ref="FL18:FL28" si="48">+ER18*GV18</f>
        <v>4080.2391630000002</v>
      </c>
      <c r="FM18" s="51">
        <f>+FL18*3.3058</f>
        <v>13488.4546250454</v>
      </c>
      <c r="FN18" s="53">
        <f t="shared" ref="FN18:FN28" si="49">+ER18*GW18</f>
        <v>3976.9419690000004</v>
      </c>
      <c r="FO18" s="51">
        <f>+FN18*3.3058</f>
        <v>13146.974761120202</v>
      </c>
      <c r="FP18" s="53">
        <f t="shared" ref="FP18:FP28" si="50">+ER18*GX18</f>
        <v>3873.6447750000002</v>
      </c>
      <c r="FQ18" s="51">
        <f>+FP18*3.3058</f>
        <v>12805.494897195002</v>
      </c>
      <c r="FR18" s="48">
        <f t="shared" ref="FR18:FR28" si="51">+ER18*GY18</f>
        <v>3770.347581</v>
      </c>
      <c r="FS18" s="51">
        <f>+FR18*3.3058</f>
        <v>12464.015033269799</v>
      </c>
      <c r="FT18" s="53">
        <f t="shared" ref="FT18:FT28" si="52">+ER18*GZ18</f>
        <v>3667.0503869999998</v>
      </c>
      <c r="FU18" s="51">
        <f>+FT18*3.3058</f>
        <v>12122.535169344599</v>
      </c>
      <c r="FV18" s="53">
        <f t="shared" ref="FV18:FV28" si="53">+ER18*HA18</f>
        <v>3563.7531929999996</v>
      </c>
      <c r="FW18" s="51">
        <f>+FV18*3.3058</f>
        <v>11781.055305419399</v>
      </c>
      <c r="FX18" s="53">
        <f t="shared" ref="FX18:FX28" si="54">+ER18*HB18</f>
        <v>3460.4559989999998</v>
      </c>
      <c r="FY18" s="51">
        <f>+FX18*3.3058</f>
        <v>11439.5754414942</v>
      </c>
      <c r="FZ18" s="53">
        <f t="shared" ref="FZ18:FZ28" si="55">+ER18*HC18</f>
        <v>3357.1588049999996</v>
      </c>
      <c r="GA18" s="51">
        <f>+FZ18*3.3058</f>
        <v>11098.095577568998</v>
      </c>
      <c r="GB18" s="48">
        <f t="shared" ref="GB18:GB28" si="56">+ER18*HD18</f>
        <v>3253.8616109999994</v>
      </c>
      <c r="GC18" s="51">
        <f>+GB18*3.3058</f>
        <v>10756.615713643798</v>
      </c>
      <c r="GD18" s="53">
        <f t="shared" ref="GD18:GD28" si="57">+ER18*HE18</f>
        <v>3150.5644169999991</v>
      </c>
      <c r="GE18" s="51">
        <f>+GD18*3.3058</f>
        <v>10415.135849718597</v>
      </c>
      <c r="GF18" s="53">
        <f t="shared" ref="GF18:GF28" si="58">+ER18*HF18</f>
        <v>3047.2672229999994</v>
      </c>
      <c r="GG18" s="51">
        <f>+GF18*3.3058</f>
        <v>10073.655985793399</v>
      </c>
      <c r="GH18" s="48">
        <f t="shared" ref="GH18:GH28" si="59">+ER18*HG18</f>
        <v>2943.9700289999992</v>
      </c>
      <c r="GI18" s="51">
        <f>+GH18*3.3058</f>
        <v>9732.1761218681968</v>
      </c>
      <c r="GJ18" s="48"/>
      <c r="GK18" s="48"/>
      <c r="GL18" s="48">
        <v>1</v>
      </c>
      <c r="GM18" s="48">
        <v>0.97</v>
      </c>
      <c r="GN18" s="48">
        <v>0.95</v>
      </c>
      <c r="GO18" s="48">
        <v>0.93</v>
      </c>
      <c r="GP18" s="48">
        <f>+GO18-0.02</f>
        <v>0.91</v>
      </c>
      <c r="GQ18" s="48">
        <f t="shared" ref="GQ18:HG18" si="60">+GP18-0.02</f>
        <v>0.89</v>
      </c>
      <c r="GR18" s="48">
        <f t="shared" si="60"/>
        <v>0.87</v>
      </c>
      <c r="GS18" s="48">
        <f t="shared" si="60"/>
        <v>0.85</v>
      </c>
      <c r="GT18" s="48">
        <f t="shared" si="60"/>
        <v>0.83</v>
      </c>
      <c r="GU18" s="48">
        <f t="shared" si="60"/>
        <v>0.80999999999999994</v>
      </c>
      <c r="GV18" s="48">
        <f t="shared" si="60"/>
        <v>0.78999999999999992</v>
      </c>
      <c r="GW18" s="48">
        <f t="shared" si="60"/>
        <v>0.76999999999999991</v>
      </c>
      <c r="GX18" s="48">
        <f t="shared" si="60"/>
        <v>0.74999999999999989</v>
      </c>
      <c r="GY18" s="48">
        <f t="shared" si="60"/>
        <v>0.72999999999999987</v>
      </c>
      <c r="GZ18" s="48">
        <f t="shared" si="60"/>
        <v>0.70999999999999985</v>
      </c>
      <c r="HA18" s="48">
        <f t="shared" si="60"/>
        <v>0.68999999999999984</v>
      </c>
      <c r="HB18" s="48">
        <f t="shared" si="60"/>
        <v>0.66999999999999982</v>
      </c>
      <c r="HC18" s="48">
        <f t="shared" si="60"/>
        <v>0.6499999999999998</v>
      </c>
      <c r="HD18" s="48">
        <f t="shared" si="60"/>
        <v>0.62999999999999978</v>
      </c>
      <c r="HE18" s="48">
        <f t="shared" si="60"/>
        <v>0.60999999999999976</v>
      </c>
      <c r="HF18" s="48">
        <f t="shared" si="60"/>
        <v>0.58999999999999975</v>
      </c>
      <c r="HG18" s="48">
        <f t="shared" si="60"/>
        <v>0.56999999999999973</v>
      </c>
    </row>
    <row r="19" spans="1:215" x14ac:dyDescent="0.3">
      <c r="B19" s="2">
        <v>2</v>
      </c>
      <c r="C19" s="35" t="s">
        <v>46</v>
      </c>
      <c r="D19" s="47">
        <f>+D54</f>
        <v>597570</v>
      </c>
      <c r="E19" s="69">
        <f t="shared" si="0"/>
        <v>1975440</v>
      </c>
      <c r="G19" s="48">
        <f t="shared" ref="G19:G83" si="61">+D19*1.1</f>
        <v>657327</v>
      </c>
      <c r="H19" s="48">
        <f t="shared" ref="H19:H83" si="62">+G19</f>
        <v>657327</v>
      </c>
      <c r="I19" s="51">
        <f t="shared" ref="I19:I83" si="63">+H19*3.3058</f>
        <v>2172991.5965999998</v>
      </c>
      <c r="J19" s="48">
        <f t="shared" ref="J19:J28" si="64">+H19*BC19</f>
        <v>637607.18999999994</v>
      </c>
      <c r="K19" s="51">
        <f t="shared" ref="K19:K28" si="65">+J19*3.3058</f>
        <v>2107801.848702</v>
      </c>
      <c r="L19" s="48">
        <f t="shared" ref="L19:L28" si="66">+H19*BD19</f>
        <v>624460.65</v>
      </c>
      <c r="M19" s="51">
        <f t="shared" ref="M19:M28" si="67">+L19*3.3058</f>
        <v>2064342.0167700001</v>
      </c>
      <c r="N19" s="48">
        <f t="shared" si="1"/>
        <v>611314.11</v>
      </c>
      <c r="O19" s="51">
        <f t="shared" ref="O19:O28" si="68">+N19*3.3058</f>
        <v>2020882.184838</v>
      </c>
      <c r="P19" s="52">
        <f t="shared" si="2"/>
        <v>598167.57000000007</v>
      </c>
      <c r="Q19" s="51">
        <f t="shared" ref="Q19:Q28" si="69">+P19*3.3058</f>
        <v>1977422.3529060003</v>
      </c>
      <c r="R19" s="48">
        <f t="shared" si="3"/>
        <v>585021.03</v>
      </c>
      <c r="S19" s="51">
        <f t="shared" ref="S19:S28" si="70">+R19*3.3058</f>
        <v>1933962.5209740002</v>
      </c>
      <c r="T19" s="52">
        <f t="shared" si="4"/>
        <v>571874.49</v>
      </c>
      <c r="U19" s="51">
        <f t="shared" ref="U19:U28" si="71">+T19*3.3058</f>
        <v>1890502.6890420001</v>
      </c>
      <c r="V19" s="53">
        <f t="shared" si="5"/>
        <v>558727.94999999995</v>
      </c>
      <c r="W19" s="51">
        <f t="shared" ref="W19:W28" si="72">+V19*3.3058</f>
        <v>1847042.85711</v>
      </c>
      <c r="X19" s="52">
        <f t="shared" si="6"/>
        <v>545581.40999999992</v>
      </c>
      <c r="Y19" s="51">
        <f t="shared" ref="Y19:Y28" si="73">+X19*3.3058</f>
        <v>1803583.0251779999</v>
      </c>
      <c r="Z19" s="48">
        <f t="shared" si="7"/>
        <v>532434.87</v>
      </c>
      <c r="AA19" s="51">
        <f t="shared" ref="AA19:AA28" si="74">+Z19*3.3058</f>
        <v>1760123.193246</v>
      </c>
      <c r="AB19" s="53">
        <f t="shared" si="8"/>
        <v>519288.32999999996</v>
      </c>
      <c r="AC19" s="51">
        <f t="shared" ref="AC19:AC28" si="75">+AB19*3.3058</f>
        <v>1716663.3613139999</v>
      </c>
      <c r="AD19" s="53">
        <f t="shared" si="9"/>
        <v>506141.78999999992</v>
      </c>
      <c r="AE19" s="51">
        <f t="shared" ref="AE19:AE28" si="76">+AD19*3.3058</f>
        <v>1673203.5293819997</v>
      </c>
      <c r="AF19" s="53">
        <f t="shared" si="10"/>
        <v>492995.24999999994</v>
      </c>
      <c r="AG19" s="51">
        <f t="shared" ref="AG19:AG28" si="77">+AF19*3.3058</f>
        <v>1629743.6974499999</v>
      </c>
      <c r="AH19" s="48">
        <f t="shared" si="11"/>
        <v>479848.7099999999</v>
      </c>
      <c r="AI19" s="51">
        <f t="shared" ref="AI19:AI28" si="78">+AH19*3.3058</f>
        <v>1586283.8655179997</v>
      </c>
      <c r="AJ19" s="53">
        <f t="shared" si="12"/>
        <v>466702.16999999993</v>
      </c>
      <c r="AK19" s="51">
        <f t="shared" ref="AK19:AK28" si="79">+AJ19*3.3058</f>
        <v>1542824.0335859999</v>
      </c>
      <c r="AL19" s="53">
        <f t="shared" si="13"/>
        <v>453555.62999999989</v>
      </c>
      <c r="AM19" s="51">
        <f t="shared" ref="AM19:AM28" si="80">+AL19*3.3058</f>
        <v>1499364.2016539997</v>
      </c>
      <c r="AN19" s="53">
        <f t="shared" si="14"/>
        <v>440409.08999999991</v>
      </c>
      <c r="AO19" s="51">
        <f t="shared" ref="AO19:AO28" si="81">+AN19*3.3058</f>
        <v>1455904.3697219996</v>
      </c>
      <c r="AP19" s="53">
        <f t="shared" si="15"/>
        <v>427262.54999999987</v>
      </c>
      <c r="AQ19" s="51">
        <f t="shared" ref="AQ19:AQ28" si="82">+AP19*3.3058</f>
        <v>1412444.5377899995</v>
      </c>
      <c r="AR19" s="48">
        <f t="shared" si="16"/>
        <v>414116.00999999983</v>
      </c>
      <c r="AS19" s="51">
        <f t="shared" ref="AS19:AS28" si="83">+AR19*3.3058</f>
        <v>1368984.7058579994</v>
      </c>
      <c r="AT19" s="53">
        <f t="shared" si="17"/>
        <v>400969.46999999986</v>
      </c>
      <c r="AU19" s="51">
        <f t="shared" ref="AU19:AU28" si="84">+AT19*3.3058</f>
        <v>1325524.8739259995</v>
      </c>
      <c r="AV19" s="53">
        <f t="shared" si="18"/>
        <v>387822.92999999982</v>
      </c>
      <c r="AW19" s="51">
        <f t="shared" ref="AW19:AW28" si="85">+AV19*3.3058</f>
        <v>1282065.0419939994</v>
      </c>
      <c r="AX19" s="48">
        <f t="shared" si="19"/>
        <v>374676.38999999984</v>
      </c>
      <c r="AY19" s="51">
        <f t="shared" ref="AY19:AY28" si="86">+AX19*3.3058</f>
        <v>1238605.2100619995</v>
      </c>
      <c r="BB19" s="48">
        <v>1</v>
      </c>
      <c r="BC19" s="48">
        <v>0.97</v>
      </c>
      <c r="BD19" s="48">
        <v>0.95</v>
      </c>
      <c r="BE19" s="48">
        <v>0.93</v>
      </c>
      <c r="BF19" s="48">
        <f t="shared" ref="BF19:BW19" si="87">+BE19-0.02</f>
        <v>0.91</v>
      </c>
      <c r="BG19" s="48">
        <f t="shared" si="87"/>
        <v>0.89</v>
      </c>
      <c r="BH19" s="48">
        <f t="shared" si="87"/>
        <v>0.87</v>
      </c>
      <c r="BI19" s="48">
        <f t="shared" si="87"/>
        <v>0.85</v>
      </c>
      <c r="BJ19" s="48">
        <f t="shared" si="87"/>
        <v>0.83</v>
      </c>
      <c r="BK19" s="48">
        <f t="shared" si="87"/>
        <v>0.80999999999999994</v>
      </c>
      <c r="BL19" s="48">
        <f t="shared" si="87"/>
        <v>0.78999999999999992</v>
      </c>
      <c r="BM19" s="48">
        <f t="shared" si="87"/>
        <v>0.76999999999999991</v>
      </c>
      <c r="BN19" s="48">
        <f t="shared" si="87"/>
        <v>0.74999999999999989</v>
      </c>
      <c r="BO19" s="48">
        <f t="shared" si="87"/>
        <v>0.72999999999999987</v>
      </c>
      <c r="BP19" s="48">
        <f t="shared" si="87"/>
        <v>0.70999999999999985</v>
      </c>
      <c r="BQ19" s="48">
        <f t="shared" si="87"/>
        <v>0.68999999999999984</v>
      </c>
      <c r="BR19" s="48">
        <f t="shared" si="87"/>
        <v>0.66999999999999982</v>
      </c>
      <c r="BS19" s="48">
        <f t="shared" si="87"/>
        <v>0.6499999999999998</v>
      </c>
      <c r="BT19" s="48">
        <f t="shared" si="87"/>
        <v>0.62999999999999978</v>
      </c>
      <c r="BU19" s="48">
        <f t="shared" si="87"/>
        <v>0.60999999999999976</v>
      </c>
      <c r="BV19" s="48">
        <f t="shared" si="87"/>
        <v>0.58999999999999975</v>
      </c>
      <c r="BW19" s="48">
        <f t="shared" si="87"/>
        <v>0.56999999999999973</v>
      </c>
      <c r="BY19" s="48">
        <f t="shared" ref="BY19:BY83" si="88">+G19*0.91</f>
        <v>598167.57000000007</v>
      </c>
      <c r="BZ19" s="48">
        <f t="shared" ref="BZ19:BZ83" si="89">+BY19</f>
        <v>598167.57000000007</v>
      </c>
      <c r="CA19" s="51">
        <f t="shared" ref="CA19" si="90">+BZ19*3.3058</f>
        <v>1977422.3529060003</v>
      </c>
      <c r="CB19" s="48">
        <f t="shared" ref="CB19:CB28" si="91">+BZ19*DU19</f>
        <v>580222.5429</v>
      </c>
      <c r="CC19" s="51">
        <f t="shared" ref="CC19:CC28" si="92">+CB19*3.3058</f>
        <v>1918099.6823188202</v>
      </c>
      <c r="CD19" s="48">
        <f t="shared" ref="CD19:CD28" si="93">+BZ19*DV19</f>
        <v>568259.19150000007</v>
      </c>
      <c r="CE19" s="51">
        <f t="shared" ref="CE19:CE28" si="94">+CD19*3.3058</f>
        <v>1878551.2352607003</v>
      </c>
      <c r="CF19" s="48">
        <f t="shared" si="21"/>
        <v>556295.84010000015</v>
      </c>
      <c r="CG19" s="51">
        <f t="shared" ref="CG19:CG28" si="95">+CF19*3.3058</f>
        <v>1839002.7882025805</v>
      </c>
      <c r="CH19" s="52">
        <f t="shared" si="22"/>
        <v>544332.4887000001</v>
      </c>
      <c r="CI19" s="51">
        <f t="shared" ref="CI19:CI28" si="96">+CH19*3.3058</f>
        <v>1799454.3411444605</v>
      </c>
      <c r="CJ19" s="48">
        <f t="shared" si="23"/>
        <v>532369.13730000006</v>
      </c>
      <c r="CK19" s="51">
        <f t="shared" ref="CK19:CK28" si="97">+CJ19*3.3058</f>
        <v>1759905.8940863402</v>
      </c>
      <c r="CL19" s="52">
        <f t="shared" si="24"/>
        <v>520405.78590000008</v>
      </c>
      <c r="CM19" s="51">
        <f t="shared" ref="CM19:CM28" si="98">+CL19*3.3058</f>
        <v>1720357.4470282204</v>
      </c>
      <c r="CN19" s="53">
        <f t="shared" si="25"/>
        <v>508442.43450000003</v>
      </c>
      <c r="CO19" s="51">
        <f t="shared" ref="CO19:CO28" si="99">+CN19*3.3058</f>
        <v>1680808.9999701001</v>
      </c>
      <c r="CP19" s="52">
        <f t="shared" si="26"/>
        <v>496479.08310000005</v>
      </c>
      <c r="CQ19" s="51">
        <f t="shared" ref="CQ19:CQ28" si="100">+CP19*3.3058</f>
        <v>1641260.5529119801</v>
      </c>
      <c r="CR19" s="48">
        <f t="shared" si="27"/>
        <v>484515.7317</v>
      </c>
      <c r="CS19" s="51">
        <f t="shared" ref="CS19:CS28" si="101">+CR19*3.3058</f>
        <v>1601712.10585386</v>
      </c>
      <c r="CT19" s="53">
        <f t="shared" si="28"/>
        <v>472552.38030000002</v>
      </c>
      <c r="CU19" s="51">
        <f t="shared" ref="CU19:CU28" si="102">+CT19*3.3058</f>
        <v>1562163.65879574</v>
      </c>
      <c r="CV19" s="53">
        <f t="shared" si="29"/>
        <v>460589.02889999998</v>
      </c>
      <c r="CW19" s="51">
        <f t="shared" ref="CW19:CW28" si="103">+CV19*3.3058</f>
        <v>1522615.2117376199</v>
      </c>
      <c r="CX19" s="53">
        <f t="shared" si="30"/>
        <v>448625.67749999999</v>
      </c>
      <c r="CY19" s="51">
        <f t="shared" ref="CY19:CY28" si="104">+CX19*3.3058</f>
        <v>1483066.7646794999</v>
      </c>
      <c r="CZ19" s="48">
        <f t="shared" si="31"/>
        <v>436662.32609999995</v>
      </c>
      <c r="DA19" s="51">
        <f t="shared" ref="DA19:DA28" si="105">+CZ19*3.3058</f>
        <v>1443518.3176213799</v>
      </c>
      <c r="DB19" s="53">
        <f t="shared" si="32"/>
        <v>424698.97469999996</v>
      </c>
      <c r="DC19" s="51">
        <f t="shared" ref="DC19:DC28" si="106">+DB19*3.3058</f>
        <v>1403969.8705632598</v>
      </c>
      <c r="DD19" s="53">
        <f t="shared" si="33"/>
        <v>412735.62329999992</v>
      </c>
      <c r="DE19" s="51">
        <f t="shared" ref="DE19:DE28" si="107">+DD19*3.3058</f>
        <v>1364421.4235051398</v>
      </c>
      <c r="DF19" s="53">
        <f t="shared" si="34"/>
        <v>400772.27189999993</v>
      </c>
      <c r="DG19" s="51">
        <f t="shared" ref="DG19:DG28" si="108">+DF19*3.3058</f>
        <v>1324872.9764470197</v>
      </c>
      <c r="DH19" s="53">
        <f t="shared" si="35"/>
        <v>388808.92049999995</v>
      </c>
      <c r="DI19" s="51">
        <f t="shared" ref="DI19:DI28" si="109">+DH19*3.3058</f>
        <v>1285324.5293888999</v>
      </c>
      <c r="DJ19" s="48">
        <f t="shared" si="36"/>
        <v>376845.56909999991</v>
      </c>
      <c r="DK19" s="51">
        <f t="shared" ref="DK19:DK28" si="110">+DJ19*3.3058</f>
        <v>1245776.0823307796</v>
      </c>
      <c r="DL19" s="53">
        <f t="shared" si="37"/>
        <v>364882.21769999992</v>
      </c>
      <c r="DM19" s="51">
        <f t="shared" ref="DM19:DM28" si="111">+DL19*3.3058</f>
        <v>1206227.6352726598</v>
      </c>
      <c r="DN19" s="53">
        <f t="shared" si="38"/>
        <v>352918.86629999988</v>
      </c>
      <c r="DO19" s="51">
        <f t="shared" ref="DO19:DO28" si="112">+DN19*3.3058</f>
        <v>1166679.1882145396</v>
      </c>
      <c r="DP19" s="48">
        <f t="shared" si="39"/>
        <v>340955.51489999989</v>
      </c>
      <c r="DQ19" s="51">
        <f t="shared" ref="DQ19:DQ28" si="113">+DP19*3.3058</f>
        <v>1127130.7411564197</v>
      </c>
      <c r="DT19" s="48">
        <v>1</v>
      </c>
      <c r="DU19" s="48">
        <v>0.97</v>
      </c>
      <c r="DV19" s="48">
        <v>0.95</v>
      </c>
      <c r="DW19" s="48">
        <v>0.93</v>
      </c>
      <c r="DX19" s="48">
        <f t="shared" ref="DX19:EO19" si="114">+DW19-0.02</f>
        <v>0.91</v>
      </c>
      <c r="DY19" s="48">
        <f t="shared" si="114"/>
        <v>0.89</v>
      </c>
      <c r="DZ19" s="48">
        <f t="shared" si="114"/>
        <v>0.87</v>
      </c>
      <c r="EA19" s="48">
        <f t="shared" si="114"/>
        <v>0.85</v>
      </c>
      <c r="EB19" s="48">
        <f t="shared" si="114"/>
        <v>0.83</v>
      </c>
      <c r="EC19" s="48">
        <f t="shared" si="114"/>
        <v>0.80999999999999994</v>
      </c>
      <c r="ED19" s="48">
        <f t="shared" si="114"/>
        <v>0.78999999999999992</v>
      </c>
      <c r="EE19" s="48">
        <f t="shared" si="114"/>
        <v>0.76999999999999991</v>
      </c>
      <c r="EF19" s="48">
        <f t="shared" si="114"/>
        <v>0.74999999999999989</v>
      </c>
      <c r="EG19" s="48">
        <f t="shared" si="114"/>
        <v>0.72999999999999987</v>
      </c>
      <c r="EH19" s="48">
        <f t="shared" si="114"/>
        <v>0.70999999999999985</v>
      </c>
      <c r="EI19" s="48">
        <f t="shared" si="114"/>
        <v>0.68999999999999984</v>
      </c>
      <c r="EJ19" s="48">
        <f t="shared" si="114"/>
        <v>0.66999999999999982</v>
      </c>
      <c r="EK19" s="48">
        <f t="shared" si="114"/>
        <v>0.6499999999999998</v>
      </c>
      <c r="EL19" s="48">
        <f t="shared" si="114"/>
        <v>0.62999999999999978</v>
      </c>
      <c r="EM19" s="48">
        <f t="shared" si="114"/>
        <v>0.60999999999999976</v>
      </c>
      <c r="EN19" s="48">
        <f t="shared" si="114"/>
        <v>0.58999999999999975</v>
      </c>
      <c r="EO19" s="48">
        <f t="shared" si="114"/>
        <v>0.56999999999999973</v>
      </c>
      <c r="EQ19" s="48">
        <f t="shared" ref="EQ19:EQ26" si="115">+BY19*0.91</f>
        <v>544332.4887000001</v>
      </c>
      <c r="ER19" s="48">
        <f t="shared" ref="ER19:ER83" si="116">+EQ19</f>
        <v>544332.4887000001</v>
      </c>
      <c r="ES19" s="51">
        <f t="shared" ref="ES19" si="117">+ER19*3.3058</f>
        <v>1799454.3411444605</v>
      </c>
      <c r="ET19" s="48">
        <f t="shared" ref="ET19:ET28" si="118">+ER19*GM19</f>
        <v>528002.51403900003</v>
      </c>
      <c r="EU19" s="51">
        <f t="shared" ref="EU19:EU28" si="119">+ET19*3.3058</f>
        <v>1745470.7109101263</v>
      </c>
      <c r="EV19" s="48">
        <f t="shared" ref="EV19:EV28" si="120">+ER19*GN19</f>
        <v>517115.8642650001</v>
      </c>
      <c r="EW19" s="51">
        <f t="shared" ref="EW19:EW28" si="121">+EV19*3.3058</f>
        <v>1709481.6240872373</v>
      </c>
      <c r="EX19" s="48">
        <f t="shared" si="41"/>
        <v>506229.21449100011</v>
      </c>
      <c r="EY19" s="51">
        <f t="shared" ref="EY19:EY28" si="122">+EX19*3.3058</f>
        <v>1673492.5372643482</v>
      </c>
      <c r="EZ19" s="52">
        <f t="shared" si="42"/>
        <v>495342.56471700012</v>
      </c>
      <c r="FA19" s="51">
        <f t="shared" ref="FA19:FA28" si="123">+EZ19*3.3058</f>
        <v>1637503.450441459</v>
      </c>
      <c r="FB19" s="48">
        <f t="shared" si="43"/>
        <v>484455.91494300013</v>
      </c>
      <c r="FC19" s="51">
        <f t="shared" ref="FC19:FC28" si="124">+FB19*3.3058</f>
        <v>1601514.3636185699</v>
      </c>
      <c r="FD19" s="52">
        <f t="shared" si="44"/>
        <v>473569.26516900008</v>
      </c>
      <c r="FE19" s="51">
        <f t="shared" ref="FE19:FE28" si="125">+FD19*3.3058</f>
        <v>1565525.2767956804</v>
      </c>
      <c r="FF19" s="53">
        <f t="shared" si="45"/>
        <v>462682.61539500009</v>
      </c>
      <c r="FG19" s="51">
        <f t="shared" ref="FG19:FG28" si="126">+FF19*3.3058</f>
        <v>1529536.1899727914</v>
      </c>
      <c r="FH19" s="52">
        <f t="shared" si="46"/>
        <v>451795.96562100004</v>
      </c>
      <c r="FI19" s="51">
        <f t="shared" ref="FI19:FI28" si="127">+FH19*3.3058</f>
        <v>1493547.1031499021</v>
      </c>
      <c r="FJ19" s="48">
        <f t="shared" si="47"/>
        <v>440909.31584700005</v>
      </c>
      <c r="FK19" s="51">
        <f t="shared" ref="FK19:FK28" si="128">+FJ19*3.3058</f>
        <v>1457558.0163270128</v>
      </c>
      <c r="FL19" s="53">
        <f t="shared" si="48"/>
        <v>430022.66607300006</v>
      </c>
      <c r="FM19" s="51">
        <f t="shared" ref="FM19:FM28" si="129">+FL19*3.3058</f>
        <v>1421568.9295041235</v>
      </c>
      <c r="FN19" s="53">
        <f t="shared" si="49"/>
        <v>419136.01629900001</v>
      </c>
      <c r="FO19" s="51">
        <f t="shared" ref="FO19:FO28" si="130">+FN19*3.3058</f>
        <v>1385579.8426812342</v>
      </c>
      <c r="FP19" s="53">
        <f t="shared" si="50"/>
        <v>408249.36652500002</v>
      </c>
      <c r="FQ19" s="51">
        <f t="shared" ref="FQ19:FQ28" si="131">+FP19*3.3058</f>
        <v>1349590.7558583452</v>
      </c>
      <c r="FR19" s="48">
        <f t="shared" si="51"/>
        <v>397362.71675100003</v>
      </c>
      <c r="FS19" s="51">
        <f t="shared" ref="FS19:FS28" si="132">+FR19*3.3058</f>
        <v>1313601.6690354559</v>
      </c>
      <c r="FT19" s="53">
        <f t="shared" si="52"/>
        <v>386476.06697699998</v>
      </c>
      <c r="FU19" s="51">
        <f t="shared" ref="FU19:FU28" si="133">+FT19*3.3058</f>
        <v>1277612.5822125666</v>
      </c>
      <c r="FV19" s="53">
        <f t="shared" si="53"/>
        <v>375589.41720299999</v>
      </c>
      <c r="FW19" s="51">
        <f t="shared" ref="FW19:FW28" si="134">+FV19*3.3058</f>
        <v>1241623.4953896774</v>
      </c>
      <c r="FX19" s="53">
        <f t="shared" si="54"/>
        <v>364702.76742899994</v>
      </c>
      <c r="FY19" s="51">
        <f t="shared" ref="FY19:FY28" si="135">+FX19*3.3058</f>
        <v>1205634.4085667881</v>
      </c>
      <c r="FZ19" s="53">
        <f t="shared" si="55"/>
        <v>353816.11765499995</v>
      </c>
      <c r="GA19" s="51">
        <f t="shared" ref="GA19:GA28" si="136">+FZ19*3.3058</f>
        <v>1169645.3217438988</v>
      </c>
      <c r="GB19" s="48">
        <f t="shared" si="56"/>
        <v>342929.46788099996</v>
      </c>
      <c r="GC19" s="51">
        <f t="shared" ref="GC19:GC28" si="137">+GB19*3.3058</f>
        <v>1133656.2349210097</v>
      </c>
      <c r="GD19" s="53">
        <f t="shared" si="57"/>
        <v>332042.81810699991</v>
      </c>
      <c r="GE19" s="51">
        <f t="shared" ref="GE19:GE28" si="138">+GD19*3.3058</f>
        <v>1097667.1480981202</v>
      </c>
      <c r="GF19" s="53">
        <f t="shared" si="58"/>
        <v>321156.16833299992</v>
      </c>
      <c r="GG19" s="51">
        <f t="shared" ref="GG19:GG28" si="139">+GF19*3.3058</f>
        <v>1061678.0612752312</v>
      </c>
      <c r="GH19" s="48">
        <f t="shared" si="59"/>
        <v>310269.51855899993</v>
      </c>
      <c r="GI19" s="51">
        <f t="shared" ref="GI19:GI28" si="140">+GH19*3.3058</f>
        <v>1025688.974452342</v>
      </c>
      <c r="GJ19" s="48"/>
      <c r="GK19" s="48"/>
      <c r="GL19" s="48">
        <v>1</v>
      </c>
      <c r="GM19" s="48">
        <v>0.97</v>
      </c>
      <c r="GN19" s="48">
        <v>0.95</v>
      </c>
      <c r="GO19" s="48">
        <v>0.93</v>
      </c>
      <c r="GP19" s="48">
        <f t="shared" ref="GP19:HG19" si="141">+GO19-0.02</f>
        <v>0.91</v>
      </c>
      <c r="GQ19" s="48">
        <f t="shared" si="141"/>
        <v>0.89</v>
      </c>
      <c r="GR19" s="48">
        <f t="shared" si="141"/>
        <v>0.87</v>
      </c>
      <c r="GS19" s="48">
        <f t="shared" si="141"/>
        <v>0.85</v>
      </c>
      <c r="GT19" s="48">
        <f t="shared" si="141"/>
        <v>0.83</v>
      </c>
      <c r="GU19" s="48">
        <f t="shared" si="141"/>
        <v>0.80999999999999994</v>
      </c>
      <c r="GV19" s="48">
        <f t="shared" si="141"/>
        <v>0.78999999999999992</v>
      </c>
      <c r="GW19" s="48">
        <f t="shared" si="141"/>
        <v>0.76999999999999991</v>
      </c>
      <c r="GX19" s="48">
        <f t="shared" si="141"/>
        <v>0.74999999999999989</v>
      </c>
      <c r="GY19" s="48">
        <f t="shared" si="141"/>
        <v>0.72999999999999987</v>
      </c>
      <c r="GZ19" s="48">
        <f t="shared" si="141"/>
        <v>0.70999999999999985</v>
      </c>
      <c r="HA19" s="48">
        <f t="shared" si="141"/>
        <v>0.68999999999999984</v>
      </c>
      <c r="HB19" s="48">
        <f t="shared" si="141"/>
        <v>0.66999999999999982</v>
      </c>
      <c r="HC19" s="48">
        <f t="shared" si="141"/>
        <v>0.6499999999999998</v>
      </c>
      <c r="HD19" s="48">
        <f t="shared" si="141"/>
        <v>0.62999999999999978</v>
      </c>
      <c r="HE19" s="48">
        <f t="shared" si="141"/>
        <v>0.60999999999999976</v>
      </c>
      <c r="HF19" s="48">
        <f t="shared" si="141"/>
        <v>0.58999999999999975</v>
      </c>
      <c r="HG19" s="48">
        <f t="shared" si="141"/>
        <v>0.56999999999999973</v>
      </c>
    </row>
    <row r="20" spans="1:215" x14ac:dyDescent="0.3">
      <c r="B20" s="2">
        <v>3</v>
      </c>
      <c r="C20" s="35" t="s">
        <v>30</v>
      </c>
      <c r="D20" s="47">
        <f>+D60</f>
        <v>64180</v>
      </c>
      <c r="E20" s="69">
        <f t="shared" si="0"/>
        <v>212160</v>
      </c>
      <c r="G20" s="48">
        <f t="shared" si="61"/>
        <v>70598</v>
      </c>
      <c r="H20" s="48">
        <f t="shared" si="62"/>
        <v>70598</v>
      </c>
      <c r="I20" s="51">
        <f t="shared" si="63"/>
        <v>233382.86840000001</v>
      </c>
      <c r="J20" s="48">
        <f t="shared" si="64"/>
        <v>68480.06</v>
      </c>
      <c r="K20" s="51">
        <f t="shared" si="65"/>
        <v>226381.38234799998</v>
      </c>
      <c r="L20" s="48">
        <f t="shared" si="66"/>
        <v>67068.099999999991</v>
      </c>
      <c r="M20" s="51">
        <f t="shared" si="67"/>
        <v>221713.72497999997</v>
      </c>
      <c r="N20" s="48">
        <f t="shared" si="1"/>
        <v>65656.14</v>
      </c>
      <c r="O20" s="51">
        <f t="shared" si="68"/>
        <v>217046.06761200001</v>
      </c>
      <c r="P20" s="52">
        <f t="shared" si="2"/>
        <v>64244.18</v>
      </c>
      <c r="Q20" s="51">
        <f t="shared" si="69"/>
        <v>212378.410244</v>
      </c>
      <c r="R20" s="48">
        <f t="shared" si="3"/>
        <v>62832.22</v>
      </c>
      <c r="S20" s="51">
        <f t="shared" si="70"/>
        <v>207710.75287600001</v>
      </c>
      <c r="T20" s="52">
        <f t="shared" si="4"/>
        <v>61420.26</v>
      </c>
      <c r="U20" s="51">
        <f t="shared" si="71"/>
        <v>203043.095508</v>
      </c>
      <c r="V20" s="53">
        <f t="shared" si="5"/>
        <v>60008.299999999996</v>
      </c>
      <c r="W20" s="51">
        <f t="shared" si="72"/>
        <v>198375.43813999998</v>
      </c>
      <c r="X20" s="52">
        <f t="shared" si="6"/>
        <v>58596.34</v>
      </c>
      <c r="Y20" s="51">
        <f t="shared" si="73"/>
        <v>193707.780772</v>
      </c>
      <c r="Z20" s="48">
        <f t="shared" si="7"/>
        <v>57184.38</v>
      </c>
      <c r="AA20" s="51">
        <f t="shared" si="74"/>
        <v>189040.12340399998</v>
      </c>
      <c r="AB20" s="53">
        <f t="shared" si="8"/>
        <v>55772.42</v>
      </c>
      <c r="AC20" s="51">
        <f t="shared" si="75"/>
        <v>184372.466036</v>
      </c>
      <c r="AD20" s="53">
        <f t="shared" si="9"/>
        <v>54360.459999999992</v>
      </c>
      <c r="AE20" s="51">
        <f t="shared" si="76"/>
        <v>179704.80866799998</v>
      </c>
      <c r="AF20" s="53">
        <f t="shared" si="10"/>
        <v>52948.499999999993</v>
      </c>
      <c r="AG20" s="51">
        <f t="shared" si="77"/>
        <v>175037.15129999997</v>
      </c>
      <c r="AH20" s="48">
        <f t="shared" si="11"/>
        <v>51536.539999999994</v>
      </c>
      <c r="AI20" s="51">
        <f t="shared" si="78"/>
        <v>170369.49393199998</v>
      </c>
      <c r="AJ20" s="53">
        <f t="shared" si="12"/>
        <v>50124.579999999987</v>
      </c>
      <c r="AK20" s="51">
        <f t="shared" si="79"/>
        <v>165701.83656399997</v>
      </c>
      <c r="AL20" s="53">
        <f t="shared" si="13"/>
        <v>48712.619999999988</v>
      </c>
      <c r="AM20" s="51">
        <f t="shared" si="80"/>
        <v>161034.17919599995</v>
      </c>
      <c r="AN20" s="53">
        <f t="shared" si="14"/>
        <v>47300.659999999989</v>
      </c>
      <c r="AO20" s="51">
        <f t="shared" si="81"/>
        <v>156366.52182799997</v>
      </c>
      <c r="AP20" s="53">
        <f t="shared" si="15"/>
        <v>45888.699999999983</v>
      </c>
      <c r="AQ20" s="51">
        <f t="shared" si="82"/>
        <v>151698.86445999995</v>
      </c>
      <c r="AR20" s="48">
        <f t="shared" si="16"/>
        <v>44476.739999999983</v>
      </c>
      <c r="AS20" s="51">
        <f t="shared" si="83"/>
        <v>147031.20709199994</v>
      </c>
      <c r="AT20" s="53">
        <f t="shared" si="17"/>
        <v>43064.779999999984</v>
      </c>
      <c r="AU20" s="51">
        <f t="shared" si="84"/>
        <v>142363.54972399995</v>
      </c>
      <c r="AV20" s="53">
        <f t="shared" si="18"/>
        <v>41652.819999999985</v>
      </c>
      <c r="AW20" s="51">
        <f t="shared" si="85"/>
        <v>137695.89235599997</v>
      </c>
      <c r="AX20" s="48">
        <f t="shared" si="19"/>
        <v>40240.859999999979</v>
      </c>
      <c r="AY20" s="51">
        <f t="shared" si="86"/>
        <v>133028.23498799992</v>
      </c>
      <c r="BB20" s="48">
        <v>1</v>
      </c>
      <c r="BC20" s="48">
        <v>0.97</v>
      </c>
      <c r="BD20" s="48">
        <v>0.95</v>
      </c>
      <c r="BE20" s="48">
        <v>0.93</v>
      </c>
      <c r="BF20" s="48">
        <f t="shared" ref="BF20:BW20" si="142">+BE20-0.02</f>
        <v>0.91</v>
      </c>
      <c r="BG20" s="48">
        <f t="shared" si="142"/>
        <v>0.89</v>
      </c>
      <c r="BH20" s="48">
        <f t="shared" si="142"/>
        <v>0.87</v>
      </c>
      <c r="BI20" s="48">
        <f t="shared" si="142"/>
        <v>0.85</v>
      </c>
      <c r="BJ20" s="48">
        <f t="shared" si="142"/>
        <v>0.83</v>
      </c>
      <c r="BK20" s="48">
        <f t="shared" si="142"/>
        <v>0.80999999999999994</v>
      </c>
      <c r="BL20" s="48">
        <f t="shared" si="142"/>
        <v>0.78999999999999992</v>
      </c>
      <c r="BM20" s="48">
        <f t="shared" si="142"/>
        <v>0.76999999999999991</v>
      </c>
      <c r="BN20" s="48">
        <f t="shared" si="142"/>
        <v>0.74999999999999989</v>
      </c>
      <c r="BO20" s="48">
        <f t="shared" si="142"/>
        <v>0.72999999999999987</v>
      </c>
      <c r="BP20" s="48">
        <f t="shared" si="142"/>
        <v>0.70999999999999985</v>
      </c>
      <c r="BQ20" s="48">
        <f t="shared" si="142"/>
        <v>0.68999999999999984</v>
      </c>
      <c r="BR20" s="48">
        <f t="shared" si="142"/>
        <v>0.66999999999999982</v>
      </c>
      <c r="BS20" s="48">
        <f t="shared" si="142"/>
        <v>0.6499999999999998</v>
      </c>
      <c r="BT20" s="48">
        <f t="shared" si="142"/>
        <v>0.62999999999999978</v>
      </c>
      <c r="BU20" s="48">
        <f t="shared" si="142"/>
        <v>0.60999999999999976</v>
      </c>
      <c r="BV20" s="48">
        <f t="shared" si="142"/>
        <v>0.58999999999999975</v>
      </c>
      <c r="BW20" s="48">
        <f t="shared" si="142"/>
        <v>0.56999999999999973</v>
      </c>
      <c r="BY20" s="48">
        <f t="shared" si="88"/>
        <v>64244.18</v>
      </c>
      <c r="BZ20" s="48">
        <f t="shared" si="89"/>
        <v>64244.18</v>
      </c>
      <c r="CA20" s="51">
        <f t="shared" ref="CA20" si="143">+BZ20*3.3058</f>
        <v>212378.410244</v>
      </c>
      <c r="CB20" s="48">
        <f t="shared" si="91"/>
        <v>62316.854599999999</v>
      </c>
      <c r="CC20" s="51">
        <f t="shared" si="92"/>
        <v>206007.05793668001</v>
      </c>
      <c r="CD20" s="48">
        <f t="shared" si="93"/>
        <v>61031.970999999998</v>
      </c>
      <c r="CE20" s="51">
        <f t="shared" si="94"/>
        <v>201759.48973179999</v>
      </c>
      <c r="CF20" s="48">
        <f t="shared" si="21"/>
        <v>59747.087400000004</v>
      </c>
      <c r="CG20" s="51">
        <f t="shared" si="95"/>
        <v>197511.92152692002</v>
      </c>
      <c r="CH20" s="52">
        <f t="shared" si="22"/>
        <v>58462.203800000003</v>
      </c>
      <c r="CI20" s="51">
        <f t="shared" si="96"/>
        <v>193264.35332204003</v>
      </c>
      <c r="CJ20" s="48">
        <f t="shared" si="23"/>
        <v>57177.320200000002</v>
      </c>
      <c r="CK20" s="51">
        <f t="shared" si="97"/>
        <v>189016.78511716001</v>
      </c>
      <c r="CL20" s="52">
        <f t="shared" si="24"/>
        <v>55892.436600000001</v>
      </c>
      <c r="CM20" s="51">
        <f t="shared" si="98"/>
        <v>184769.21691228001</v>
      </c>
      <c r="CN20" s="53">
        <f t="shared" si="25"/>
        <v>54607.553</v>
      </c>
      <c r="CO20" s="51">
        <f t="shared" si="99"/>
        <v>180521.64870740002</v>
      </c>
      <c r="CP20" s="52">
        <f t="shared" si="26"/>
        <v>53322.669399999999</v>
      </c>
      <c r="CQ20" s="51">
        <f t="shared" si="100"/>
        <v>176274.08050252</v>
      </c>
      <c r="CR20" s="48">
        <f t="shared" si="27"/>
        <v>52037.785799999998</v>
      </c>
      <c r="CS20" s="51">
        <f t="shared" si="101"/>
        <v>172026.51229764</v>
      </c>
      <c r="CT20" s="53">
        <f t="shared" si="28"/>
        <v>50752.902199999997</v>
      </c>
      <c r="CU20" s="51">
        <f t="shared" si="102"/>
        <v>167778.94409275998</v>
      </c>
      <c r="CV20" s="53">
        <f t="shared" si="29"/>
        <v>49468.018599999996</v>
      </c>
      <c r="CW20" s="51">
        <f t="shared" si="103"/>
        <v>163531.37588787999</v>
      </c>
      <c r="CX20" s="53">
        <f t="shared" si="30"/>
        <v>48183.134999999995</v>
      </c>
      <c r="CY20" s="51">
        <f t="shared" si="104"/>
        <v>159283.80768299999</v>
      </c>
      <c r="CZ20" s="48">
        <f t="shared" si="31"/>
        <v>46898.251399999994</v>
      </c>
      <c r="DA20" s="51">
        <f t="shared" si="105"/>
        <v>155036.23947811997</v>
      </c>
      <c r="DB20" s="53">
        <f t="shared" si="32"/>
        <v>45613.367799999993</v>
      </c>
      <c r="DC20" s="51">
        <f t="shared" si="106"/>
        <v>150788.67127323998</v>
      </c>
      <c r="DD20" s="53">
        <f t="shared" si="33"/>
        <v>44328.484199999992</v>
      </c>
      <c r="DE20" s="51">
        <f t="shared" si="107"/>
        <v>146541.10306835998</v>
      </c>
      <c r="DF20" s="53">
        <f t="shared" si="34"/>
        <v>43043.600599999991</v>
      </c>
      <c r="DG20" s="51">
        <f t="shared" si="108"/>
        <v>142293.53486347996</v>
      </c>
      <c r="DH20" s="53">
        <f t="shared" si="35"/>
        <v>41758.71699999999</v>
      </c>
      <c r="DI20" s="51">
        <f t="shared" si="109"/>
        <v>138045.96665859997</v>
      </c>
      <c r="DJ20" s="48">
        <f t="shared" si="36"/>
        <v>40473.833399999989</v>
      </c>
      <c r="DK20" s="51">
        <f t="shared" si="110"/>
        <v>133798.39845371997</v>
      </c>
      <c r="DL20" s="53">
        <f t="shared" si="37"/>
        <v>39188.949799999988</v>
      </c>
      <c r="DM20" s="51">
        <f t="shared" si="111"/>
        <v>129550.83024883996</v>
      </c>
      <c r="DN20" s="53">
        <f t="shared" si="38"/>
        <v>37904.066199999987</v>
      </c>
      <c r="DO20" s="51">
        <f t="shared" si="112"/>
        <v>125303.26204395996</v>
      </c>
      <c r="DP20" s="48">
        <f t="shared" si="39"/>
        <v>36619.182599999986</v>
      </c>
      <c r="DQ20" s="51">
        <f t="shared" si="113"/>
        <v>121055.69383907995</v>
      </c>
      <c r="DT20" s="48">
        <v>1</v>
      </c>
      <c r="DU20" s="48">
        <v>0.97</v>
      </c>
      <c r="DV20" s="48">
        <v>0.95</v>
      </c>
      <c r="DW20" s="48">
        <v>0.93</v>
      </c>
      <c r="DX20" s="48">
        <f t="shared" ref="DX20:EO20" si="144">+DW20-0.02</f>
        <v>0.91</v>
      </c>
      <c r="DY20" s="48">
        <f t="shared" si="144"/>
        <v>0.89</v>
      </c>
      <c r="DZ20" s="48">
        <f t="shared" si="144"/>
        <v>0.87</v>
      </c>
      <c r="EA20" s="48">
        <f t="shared" si="144"/>
        <v>0.85</v>
      </c>
      <c r="EB20" s="48">
        <f t="shared" si="144"/>
        <v>0.83</v>
      </c>
      <c r="EC20" s="48">
        <f t="shared" si="144"/>
        <v>0.80999999999999994</v>
      </c>
      <c r="ED20" s="48">
        <f t="shared" si="144"/>
        <v>0.78999999999999992</v>
      </c>
      <c r="EE20" s="48">
        <f t="shared" si="144"/>
        <v>0.76999999999999991</v>
      </c>
      <c r="EF20" s="48">
        <f t="shared" si="144"/>
        <v>0.74999999999999989</v>
      </c>
      <c r="EG20" s="48">
        <f t="shared" si="144"/>
        <v>0.72999999999999987</v>
      </c>
      <c r="EH20" s="48">
        <f t="shared" si="144"/>
        <v>0.70999999999999985</v>
      </c>
      <c r="EI20" s="48">
        <f t="shared" si="144"/>
        <v>0.68999999999999984</v>
      </c>
      <c r="EJ20" s="48">
        <f t="shared" si="144"/>
        <v>0.66999999999999982</v>
      </c>
      <c r="EK20" s="48">
        <f t="shared" si="144"/>
        <v>0.6499999999999998</v>
      </c>
      <c r="EL20" s="48">
        <f t="shared" si="144"/>
        <v>0.62999999999999978</v>
      </c>
      <c r="EM20" s="48">
        <f t="shared" si="144"/>
        <v>0.60999999999999976</v>
      </c>
      <c r="EN20" s="48">
        <f t="shared" si="144"/>
        <v>0.58999999999999975</v>
      </c>
      <c r="EO20" s="48">
        <f t="shared" si="144"/>
        <v>0.56999999999999973</v>
      </c>
      <c r="EQ20" s="48">
        <f t="shared" si="115"/>
        <v>58462.203800000003</v>
      </c>
      <c r="ER20" s="48">
        <f t="shared" si="116"/>
        <v>58462.203800000003</v>
      </c>
      <c r="ES20" s="51">
        <f t="shared" ref="ES20" si="145">+ER20*3.3058</f>
        <v>193264.35332204003</v>
      </c>
      <c r="ET20" s="48">
        <f t="shared" si="118"/>
        <v>56708.337685999999</v>
      </c>
      <c r="EU20" s="51">
        <f t="shared" si="119"/>
        <v>187466.4227223788</v>
      </c>
      <c r="EV20" s="48">
        <f t="shared" si="120"/>
        <v>55539.093610000004</v>
      </c>
      <c r="EW20" s="51">
        <f t="shared" si="121"/>
        <v>183601.13565593801</v>
      </c>
      <c r="EX20" s="48">
        <f t="shared" si="41"/>
        <v>54369.849534000008</v>
      </c>
      <c r="EY20" s="51">
        <f t="shared" si="122"/>
        <v>179735.84858949724</v>
      </c>
      <c r="EZ20" s="52">
        <f t="shared" si="42"/>
        <v>53200.605458000005</v>
      </c>
      <c r="FA20" s="51">
        <f t="shared" si="123"/>
        <v>175870.56152305641</v>
      </c>
      <c r="FB20" s="48">
        <f t="shared" si="43"/>
        <v>52031.361382000003</v>
      </c>
      <c r="FC20" s="51">
        <f t="shared" si="124"/>
        <v>172005.27445661562</v>
      </c>
      <c r="FD20" s="52">
        <f t="shared" si="44"/>
        <v>50862.117306</v>
      </c>
      <c r="FE20" s="51">
        <f t="shared" si="125"/>
        <v>168139.98739017479</v>
      </c>
      <c r="FF20" s="53">
        <f t="shared" si="45"/>
        <v>49692.873230000005</v>
      </c>
      <c r="FG20" s="51">
        <f t="shared" si="126"/>
        <v>164274.70032373403</v>
      </c>
      <c r="FH20" s="52">
        <f t="shared" si="46"/>
        <v>48523.629154000002</v>
      </c>
      <c r="FI20" s="51">
        <f t="shared" si="127"/>
        <v>160409.4132572932</v>
      </c>
      <c r="FJ20" s="48">
        <f t="shared" si="47"/>
        <v>47354.385077999999</v>
      </c>
      <c r="FK20" s="51">
        <f t="shared" si="128"/>
        <v>156544.1261908524</v>
      </c>
      <c r="FL20" s="53">
        <f t="shared" si="48"/>
        <v>46185.141001999997</v>
      </c>
      <c r="FM20" s="51">
        <f t="shared" si="129"/>
        <v>152678.83912441161</v>
      </c>
      <c r="FN20" s="53">
        <f t="shared" si="49"/>
        <v>45015.896925999994</v>
      </c>
      <c r="FO20" s="51">
        <f t="shared" si="130"/>
        <v>148813.55205797078</v>
      </c>
      <c r="FP20" s="53">
        <f t="shared" si="50"/>
        <v>43846.652849999999</v>
      </c>
      <c r="FQ20" s="51">
        <f t="shared" si="131"/>
        <v>144948.26499152998</v>
      </c>
      <c r="FR20" s="48">
        <f t="shared" si="51"/>
        <v>42677.408773999996</v>
      </c>
      <c r="FS20" s="51">
        <f t="shared" si="132"/>
        <v>141082.97792508919</v>
      </c>
      <c r="FT20" s="53">
        <f t="shared" si="52"/>
        <v>41508.164697999993</v>
      </c>
      <c r="FU20" s="51">
        <f t="shared" si="133"/>
        <v>137217.69085864839</v>
      </c>
      <c r="FV20" s="53">
        <f t="shared" si="53"/>
        <v>40338.920621999991</v>
      </c>
      <c r="FW20" s="51">
        <f t="shared" si="134"/>
        <v>133352.40379220757</v>
      </c>
      <c r="FX20" s="53">
        <f t="shared" si="54"/>
        <v>39169.676545999988</v>
      </c>
      <c r="FY20" s="51">
        <f t="shared" si="135"/>
        <v>129487.11672576677</v>
      </c>
      <c r="FZ20" s="53">
        <f t="shared" si="55"/>
        <v>38000.432469999992</v>
      </c>
      <c r="GA20" s="51">
        <f t="shared" si="136"/>
        <v>125621.82965932597</v>
      </c>
      <c r="GB20" s="48">
        <f t="shared" si="56"/>
        <v>36831.18839399999</v>
      </c>
      <c r="GC20" s="51">
        <f t="shared" si="137"/>
        <v>121756.54259288516</v>
      </c>
      <c r="GD20" s="53">
        <f t="shared" si="57"/>
        <v>35661.944317999987</v>
      </c>
      <c r="GE20" s="51">
        <f t="shared" si="138"/>
        <v>117891.25552644437</v>
      </c>
      <c r="GF20" s="53">
        <f t="shared" si="58"/>
        <v>34492.700241999984</v>
      </c>
      <c r="GG20" s="51">
        <f t="shared" si="139"/>
        <v>114025.96846000355</v>
      </c>
      <c r="GH20" s="48">
        <f t="shared" si="59"/>
        <v>33323.456165999989</v>
      </c>
      <c r="GI20" s="51">
        <f t="shared" si="140"/>
        <v>110160.68139356277</v>
      </c>
      <c r="GJ20" s="48"/>
      <c r="GK20" s="48"/>
      <c r="GL20" s="48">
        <v>1</v>
      </c>
      <c r="GM20" s="48">
        <v>0.97</v>
      </c>
      <c r="GN20" s="48">
        <v>0.95</v>
      </c>
      <c r="GO20" s="48">
        <v>0.93</v>
      </c>
      <c r="GP20" s="48">
        <f t="shared" ref="GP20:HG20" si="146">+GO20-0.02</f>
        <v>0.91</v>
      </c>
      <c r="GQ20" s="48">
        <f t="shared" si="146"/>
        <v>0.89</v>
      </c>
      <c r="GR20" s="48">
        <f t="shared" si="146"/>
        <v>0.87</v>
      </c>
      <c r="GS20" s="48">
        <f t="shared" si="146"/>
        <v>0.85</v>
      </c>
      <c r="GT20" s="48">
        <f t="shared" si="146"/>
        <v>0.83</v>
      </c>
      <c r="GU20" s="48">
        <f t="shared" si="146"/>
        <v>0.80999999999999994</v>
      </c>
      <c r="GV20" s="48">
        <f t="shared" si="146"/>
        <v>0.78999999999999992</v>
      </c>
      <c r="GW20" s="48">
        <f t="shared" si="146"/>
        <v>0.76999999999999991</v>
      </c>
      <c r="GX20" s="48">
        <f t="shared" si="146"/>
        <v>0.74999999999999989</v>
      </c>
      <c r="GY20" s="48">
        <f t="shared" si="146"/>
        <v>0.72999999999999987</v>
      </c>
      <c r="GZ20" s="48">
        <f t="shared" si="146"/>
        <v>0.70999999999999985</v>
      </c>
      <c r="HA20" s="48">
        <f t="shared" si="146"/>
        <v>0.68999999999999984</v>
      </c>
      <c r="HB20" s="48">
        <f t="shared" si="146"/>
        <v>0.66999999999999982</v>
      </c>
      <c r="HC20" s="48">
        <f t="shared" si="146"/>
        <v>0.6499999999999998</v>
      </c>
      <c r="HD20" s="48">
        <f t="shared" si="146"/>
        <v>0.62999999999999978</v>
      </c>
      <c r="HE20" s="48">
        <f t="shared" si="146"/>
        <v>0.60999999999999976</v>
      </c>
      <c r="HF20" s="48">
        <f t="shared" si="146"/>
        <v>0.58999999999999975</v>
      </c>
      <c r="HG20" s="48">
        <f t="shared" si="146"/>
        <v>0.56999999999999973</v>
      </c>
    </row>
    <row r="21" spans="1:215" x14ac:dyDescent="0.3">
      <c r="B21" s="2">
        <v>4</v>
      </c>
      <c r="C21" s="35" t="s">
        <v>31</v>
      </c>
      <c r="D21" s="47">
        <f>+D89</f>
        <v>261870</v>
      </c>
      <c r="E21" s="69">
        <f t="shared" si="0"/>
        <v>865680</v>
      </c>
      <c r="G21" s="48">
        <f t="shared" si="61"/>
        <v>288057</v>
      </c>
      <c r="H21" s="48">
        <f t="shared" si="62"/>
        <v>288057</v>
      </c>
      <c r="I21" s="51">
        <f t="shared" si="63"/>
        <v>952258.83059999999</v>
      </c>
      <c r="J21" s="48">
        <f t="shared" si="64"/>
        <v>279415.28999999998</v>
      </c>
      <c r="K21" s="51">
        <f t="shared" si="65"/>
        <v>923691.0656819999</v>
      </c>
      <c r="L21" s="48">
        <f t="shared" si="66"/>
        <v>273654.14999999997</v>
      </c>
      <c r="M21" s="51">
        <f t="shared" si="67"/>
        <v>904645.88906999992</v>
      </c>
      <c r="N21" s="48">
        <f t="shared" si="1"/>
        <v>267893.01</v>
      </c>
      <c r="O21" s="51">
        <f t="shared" si="68"/>
        <v>885600.71245800005</v>
      </c>
      <c r="P21" s="52">
        <f t="shared" si="2"/>
        <v>262131.87</v>
      </c>
      <c r="Q21" s="51">
        <f t="shared" si="69"/>
        <v>866555.53584599996</v>
      </c>
      <c r="R21" s="48">
        <f t="shared" si="3"/>
        <v>256370.73</v>
      </c>
      <c r="S21" s="51">
        <f t="shared" si="70"/>
        <v>847510.35923400009</v>
      </c>
      <c r="T21" s="52">
        <f t="shared" si="4"/>
        <v>250609.59</v>
      </c>
      <c r="U21" s="51">
        <f t="shared" si="71"/>
        <v>828465.18262199999</v>
      </c>
      <c r="V21" s="53">
        <f t="shared" si="5"/>
        <v>244848.44999999998</v>
      </c>
      <c r="W21" s="51">
        <f t="shared" si="72"/>
        <v>809420.00601000001</v>
      </c>
      <c r="X21" s="52">
        <f t="shared" si="6"/>
        <v>239087.31</v>
      </c>
      <c r="Y21" s="51">
        <f t="shared" si="73"/>
        <v>790374.82939800003</v>
      </c>
      <c r="Z21" s="48">
        <f t="shared" si="7"/>
        <v>233326.16999999998</v>
      </c>
      <c r="AA21" s="51">
        <f t="shared" si="74"/>
        <v>771329.65278599993</v>
      </c>
      <c r="AB21" s="53">
        <f t="shared" si="8"/>
        <v>227565.02999999997</v>
      </c>
      <c r="AC21" s="51">
        <f t="shared" si="75"/>
        <v>752284.47617399995</v>
      </c>
      <c r="AD21" s="53">
        <f t="shared" si="9"/>
        <v>221803.88999999998</v>
      </c>
      <c r="AE21" s="51">
        <f t="shared" si="76"/>
        <v>733239.29956199997</v>
      </c>
      <c r="AF21" s="53">
        <f t="shared" si="10"/>
        <v>216042.74999999997</v>
      </c>
      <c r="AG21" s="51">
        <f t="shared" si="77"/>
        <v>714194.12294999987</v>
      </c>
      <c r="AH21" s="48">
        <f t="shared" si="11"/>
        <v>210281.60999999996</v>
      </c>
      <c r="AI21" s="51">
        <f t="shared" si="78"/>
        <v>695148.94633799989</v>
      </c>
      <c r="AJ21" s="53">
        <f t="shared" si="12"/>
        <v>204520.46999999997</v>
      </c>
      <c r="AK21" s="51">
        <f t="shared" si="79"/>
        <v>676103.76972599991</v>
      </c>
      <c r="AL21" s="53">
        <f t="shared" si="13"/>
        <v>198759.32999999996</v>
      </c>
      <c r="AM21" s="51">
        <f t="shared" si="80"/>
        <v>657058.59311399993</v>
      </c>
      <c r="AN21" s="53">
        <f t="shared" si="14"/>
        <v>192998.18999999994</v>
      </c>
      <c r="AO21" s="51">
        <f t="shared" si="81"/>
        <v>638013.41650199983</v>
      </c>
      <c r="AP21" s="53">
        <f t="shared" si="15"/>
        <v>187237.04999999993</v>
      </c>
      <c r="AQ21" s="51">
        <f t="shared" si="82"/>
        <v>618968.23988999974</v>
      </c>
      <c r="AR21" s="48">
        <f t="shared" si="16"/>
        <v>181475.90999999995</v>
      </c>
      <c r="AS21" s="51">
        <f t="shared" si="83"/>
        <v>599923.06327799987</v>
      </c>
      <c r="AT21" s="53">
        <f t="shared" si="17"/>
        <v>175714.76999999993</v>
      </c>
      <c r="AU21" s="51">
        <f t="shared" si="84"/>
        <v>580877.88666599977</v>
      </c>
      <c r="AV21" s="53">
        <f t="shared" si="18"/>
        <v>169953.62999999992</v>
      </c>
      <c r="AW21" s="51">
        <f t="shared" si="85"/>
        <v>561832.71005399979</v>
      </c>
      <c r="AX21" s="48">
        <f t="shared" si="19"/>
        <v>164192.48999999993</v>
      </c>
      <c r="AY21" s="51">
        <f t="shared" si="86"/>
        <v>542787.53344199981</v>
      </c>
      <c r="BB21" s="48">
        <v>1</v>
      </c>
      <c r="BC21" s="48">
        <v>0.97</v>
      </c>
      <c r="BD21" s="48">
        <v>0.95</v>
      </c>
      <c r="BE21" s="48">
        <v>0.93</v>
      </c>
      <c r="BF21" s="48">
        <f t="shared" ref="BF21:BW21" si="147">+BE21-0.02</f>
        <v>0.91</v>
      </c>
      <c r="BG21" s="48">
        <f t="shared" si="147"/>
        <v>0.89</v>
      </c>
      <c r="BH21" s="48">
        <f t="shared" si="147"/>
        <v>0.87</v>
      </c>
      <c r="BI21" s="48">
        <f t="shared" si="147"/>
        <v>0.85</v>
      </c>
      <c r="BJ21" s="48">
        <f t="shared" si="147"/>
        <v>0.83</v>
      </c>
      <c r="BK21" s="48">
        <f t="shared" si="147"/>
        <v>0.80999999999999994</v>
      </c>
      <c r="BL21" s="48">
        <f t="shared" si="147"/>
        <v>0.78999999999999992</v>
      </c>
      <c r="BM21" s="48">
        <f t="shared" si="147"/>
        <v>0.76999999999999991</v>
      </c>
      <c r="BN21" s="48">
        <f t="shared" si="147"/>
        <v>0.74999999999999989</v>
      </c>
      <c r="BO21" s="48">
        <f t="shared" si="147"/>
        <v>0.72999999999999987</v>
      </c>
      <c r="BP21" s="48">
        <f t="shared" si="147"/>
        <v>0.70999999999999985</v>
      </c>
      <c r="BQ21" s="48">
        <f t="shared" si="147"/>
        <v>0.68999999999999984</v>
      </c>
      <c r="BR21" s="48">
        <f t="shared" si="147"/>
        <v>0.66999999999999982</v>
      </c>
      <c r="BS21" s="48">
        <f t="shared" si="147"/>
        <v>0.6499999999999998</v>
      </c>
      <c r="BT21" s="48">
        <f t="shared" si="147"/>
        <v>0.62999999999999978</v>
      </c>
      <c r="BU21" s="48">
        <f t="shared" si="147"/>
        <v>0.60999999999999976</v>
      </c>
      <c r="BV21" s="48">
        <f t="shared" si="147"/>
        <v>0.58999999999999975</v>
      </c>
      <c r="BW21" s="48">
        <f t="shared" si="147"/>
        <v>0.56999999999999973</v>
      </c>
      <c r="BY21" s="48">
        <f t="shared" si="88"/>
        <v>262131.87</v>
      </c>
      <c r="BZ21" s="48">
        <f t="shared" si="89"/>
        <v>262131.87</v>
      </c>
      <c r="CA21" s="51">
        <f t="shared" ref="CA21" si="148">+BZ21*3.3058</f>
        <v>866555.53584599996</v>
      </c>
      <c r="CB21" s="48">
        <f t="shared" si="91"/>
        <v>254267.91389999999</v>
      </c>
      <c r="CC21" s="51">
        <f t="shared" si="92"/>
        <v>840558.86977062002</v>
      </c>
      <c r="CD21" s="48">
        <f t="shared" si="93"/>
        <v>249025.27649999998</v>
      </c>
      <c r="CE21" s="51">
        <f t="shared" si="94"/>
        <v>823227.75905369991</v>
      </c>
      <c r="CF21" s="48">
        <f t="shared" si="21"/>
        <v>243782.6391</v>
      </c>
      <c r="CG21" s="51">
        <f t="shared" si="95"/>
        <v>805896.64833678002</v>
      </c>
      <c r="CH21" s="52">
        <f t="shared" si="22"/>
        <v>238540.00169999999</v>
      </c>
      <c r="CI21" s="51">
        <f t="shared" si="96"/>
        <v>788565.53761986003</v>
      </c>
      <c r="CJ21" s="48">
        <f t="shared" si="23"/>
        <v>233297.36429999999</v>
      </c>
      <c r="CK21" s="51">
        <f t="shared" si="97"/>
        <v>771234.42690293991</v>
      </c>
      <c r="CL21" s="52">
        <f t="shared" si="24"/>
        <v>228054.72690000001</v>
      </c>
      <c r="CM21" s="51">
        <f t="shared" si="98"/>
        <v>753903.31618602003</v>
      </c>
      <c r="CN21" s="53">
        <f t="shared" si="25"/>
        <v>222812.0895</v>
      </c>
      <c r="CO21" s="51">
        <f t="shared" si="99"/>
        <v>736572.20546910004</v>
      </c>
      <c r="CP21" s="52">
        <f t="shared" si="26"/>
        <v>217569.45209999999</v>
      </c>
      <c r="CQ21" s="51">
        <f t="shared" si="100"/>
        <v>719241.09475218004</v>
      </c>
      <c r="CR21" s="48">
        <f t="shared" si="27"/>
        <v>212326.81469999999</v>
      </c>
      <c r="CS21" s="51">
        <f t="shared" si="101"/>
        <v>701909.98403525993</v>
      </c>
      <c r="CT21" s="53">
        <f t="shared" si="28"/>
        <v>207084.17729999998</v>
      </c>
      <c r="CU21" s="51">
        <f t="shared" si="102"/>
        <v>684578.87331833993</v>
      </c>
      <c r="CV21" s="53">
        <f t="shared" si="29"/>
        <v>201841.53989999997</v>
      </c>
      <c r="CW21" s="51">
        <f t="shared" si="103"/>
        <v>667247.76260141993</v>
      </c>
      <c r="CX21" s="53">
        <f t="shared" si="30"/>
        <v>196598.90249999997</v>
      </c>
      <c r="CY21" s="51">
        <f t="shared" si="104"/>
        <v>649916.65188449994</v>
      </c>
      <c r="CZ21" s="48">
        <f t="shared" si="31"/>
        <v>191356.26509999996</v>
      </c>
      <c r="DA21" s="51">
        <f t="shared" si="105"/>
        <v>632585.54116757994</v>
      </c>
      <c r="DB21" s="53">
        <f t="shared" si="32"/>
        <v>186113.62769999995</v>
      </c>
      <c r="DC21" s="51">
        <f t="shared" si="106"/>
        <v>615254.43045065983</v>
      </c>
      <c r="DD21" s="53">
        <f t="shared" si="33"/>
        <v>180870.99029999995</v>
      </c>
      <c r="DE21" s="51">
        <f t="shared" si="107"/>
        <v>597923.31973373983</v>
      </c>
      <c r="DF21" s="53">
        <f t="shared" si="34"/>
        <v>175628.35289999994</v>
      </c>
      <c r="DG21" s="51">
        <f t="shared" si="108"/>
        <v>580592.20901681983</v>
      </c>
      <c r="DH21" s="53">
        <f t="shared" si="35"/>
        <v>170385.71549999993</v>
      </c>
      <c r="DI21" s="51">
        <f t="shared" si="109"/>
        <v>563261.09829989984</v>
      </c>
      <c r="DJ21" s="48">
        <f t="shared" si="36"/>
        <v>165143.07809999993</v>
      </c>
      <c r="DK21" s="51">
        <f t="shared" si="110"/>
        <v>545929.98758297972</v>
      </c>
      <c r="DL21" s="53">
        <f t="shared" si="37"/>
        <v>159900.44069999995</v>
      </c>
      <c r="DM21" s="51">
        <f t="shared" si="111"/>
        <v>528598.87686605984</v>
      </c>
      <c r="DN21" s="53">
        <f t="shared" si="38"/>
        <v>154657.80329999994</v>
      </c>
      <c r="DO21" s="51">
        <f t="shared" si="112"/>
        <v>511267.76614913979</v>
      </c>
      <c r="DP21" s="48">
        <f t="shared" si="39"/>
        <v>149415.16589999993</v>
      </c>
      <c r="DQ21" s="51">
        <f t="shared" si="113"/>
        <v>493936.65543221979</v>
      </c>
      <c r="DT21" s="48">
        <v>1</v>
      </c>
      <c r="DU21" s="48">
        <v>0.97</v>
      </c>
      <c r="DV21" s="48">
        <v>0.95</v>
      </c>
      <c r="DW21" s="48">
        <v>0.93</v>
      </c>
      <c r="DX21" s="48">
        <f t="shared" ref="DX21:EO21" si="149">+DW21-0.02</f>
        <v>0.91</v>
      </c>
      <c r="DY21" s="48">
        <f t="shared" si="149"/>
        <v>0.89</v>
      </c>
      <c r="DZ21" s="48">
        <f t="shared" si="149"/>
        <v>0.87</v>
      </c>
      <c r="EA21" s="48">
        <f t="shared" si="149"/>
        <v>0.85</v>
      </c>
      <c r="EB21" s="48">
        <f t="shared" si="149"/>
        <v>0.83</v>
      </c>
      <c r="EC21" s="48">
        <f t="shared" si="149"/>
        <v>0.80999999999999994</v>
      </c>
      <c r="ED21" s="48">
        <f t="shared" si="149"/>
        <v>0.78999999999999992</v>
      </c>
      <c r="EE21" s="48">
        <f t="shared" si="149"/>
        <v>0.76999999999999991</v>
      </c>
      <c r="EF21" s="48">
        <f t="shared" si="149"/>
        <v>0.74999999999999989</v>
      </c>
      <c r="EG21" s="48">
        <f t="shared" si="149"/>
        <v>0.72999999999999987</v>
      </c>
      <c r="EH21" s="48">
        <f t="shared" si="149"/>
        <v>0.70999999999999985</v>
      </c>
      <c r="EI21" s="48">
        <f t="shared" si="149"/>
        <v>0.68999999999999984</v>
      </c>
      <c r="EJ21" s="48">
        <f t="shared" si="149"/>
        <v>0.66999999999999982</v>
      </c>
      <c r="EK21" s="48">
        <f t="shared" si="149"/>
        <v>0.6499999999999998</v>
      </c>
      <c r="EL21" s="48">
        <f t="shared" si="149"/>
        <v>0.62999999999999978</v>
      </c>
      <c r="EM21" s="48">
        <f t="shared" si="149"/>
        <v>0.60999999999999976</v>
      </c>
      <c r="EN21" s="48">
        <f t="shared" si="149"/>
        <v>0.58999999999999975</v>
      </c>
      <c r="EO21" s="48">
        <f t="shared" si="149"/>
        <v>0.56999999999999973</v>
      </c>
      <c r="EQ21" s="48">
        <f t="shared" si="115"/>
        <v>238540.00169999999</v>
      </c>
      <c r="ER21" s="48">
        <f t="shared" si="116"/>
        <v>238540.00169999999</v>
      </c>
      <c r="ES21" s="51">
        <f t="shared" ref="ES21" si="150">+ER21*3.3058</f>
        <v>788565.53761986003</v>
      </c>
      <c r="ET21" s="48">
        <f t="shared" si="118"/>
        <v>231383.801649</v>
      </c>
      <c r="EU21" s="51">
        <f t="shared" si="119"/>
        <v>764908.57149126427</v>
      </c>
      <c r="EV21" s="48">
        <f t="shared" si="120"/>
        <v>226613.00161499999</v>
      </c>
      <c r="EW21" s="51">
        <f t="shared" si="121"/>
        <v>749137.26073886699</v>
      </c>
      <c r="EX21" s="48">
        <f t="shared" si="41"/>
        <v>221842.201581</v>
      </c>
      <c r="EY21" s="51">
        <f t="shared" si="122"/>
        <v>733365.94998646982</v>
      </c>
      <c r="EZ21" s="52">
        <f t="shared" si="42"/>
        <v>217071.40154700002</v>
      </c>
      <c r="FA21" s="51">
        <f t="shared" si="123"/>
        <v>717594.63923407265</v>
      </c>
      <c r="FB21" s="48">
        <f t="shared" si="43"/>
        <v>212300.601513</v>
      </c>
      <c r="FC21" s="51">
        <f t="shared" si="124"/>
        <v>701823.32848167547</v>
      </c>
      <c r="FD21" s="52">
        <f t="shared" si="44"/>
        <v>207529.80147899999</v>
      </c>
      <c r="FE21" s="51">
        <f t="shared" si="125"/>
        <v>686052.01772927819</v>
      </c>
      <c r="FF21" s="53">
        <f t="shared" si="45"/>
        <v>202759.001445</v>
      </c>
      <c r="FG21" s="51">
        <f t="shared" si="126"/>
        <v>670280.70697688102</v>
      </c>
      <c r="FH21" s="52">
        <f t="shared" si="46"/>
        <v>197988.20141099999</v>
      </c>
      <c r="FI21" s="51">
        <f t="shared" si="127"/>
        <v>654509.39622448373</v>
      </c>
      <c r="FJ21" s="48">
        <f t="shared" si="47"/>
        <v>193217.40137699997</v>
      </c>
      <c r="FK21" s="51">
        <f t="shared" si="128"/>
        <v>638738.08547208656</v>
      </c>
      <c r="FL21" s="53">
        <f t="shared" si="48"/>
        <v>188446.60134299999</v>
      </c>
      <c r="FM21" s="51">
        <f t="shared" si="129"/>
        <v>622966.77471968939</v>
      </c>
      <c r="FN21" s="53">
        <f t="shared" si="49"/>
        <v>183675.80130899997</v>
      </c>
      <c r="FO21" s="51">
        <f t="shared" si="130"/>
        <v>607195.4639672921</v>
      </c>
      <c r="FP21" s="53">
        <f t="shared" si="50"/>
        <v>178905.00127499996</v>
      </c>
      <c r="FQ21" s="51">
        <f t="shared" si="131"/>
        <v>591424.15321489493</v>
      </c>
      <c r="FR21" s="48">
        <f t="shared" si="51"/>
        <v>174134.20124099997</v>
      </c>
      <c r="FS21" s="51">
        <f t="shared" si="132"/>
        <v>575652.84246249776</v>
      </c>
      <c r="FT21" s="53">
        <f t="shared" si="52"/>
        <v>169363.40120699996</v>
      </c>
      <c r="FU21" s="51">
        <f t="shared" si="133"/>
        <v>559881.53171010048</v>
      </c>
      <c r="FV21" s="53">
        <f t="shared" si="53"/>
        <v>164592.60117299994</v>
      </c>
      <c r="FW21" s="51">
        <f t="shared" si="134"/>
        <v>544110.22095770319</v>
      </c>
      <c r="FX21" s="53">
        <f t="shared" si="54"/>
        <v>159821.80113899996</v>
      </c>
      <c r="FY21" s="51">
        <f t="shared" si="135"/>
        <v>528338.91020530602</v>
      </c>
      <c r="FZ21" s="53">
        <f t="shared" si="55"/>
        <v>155051.00110499994</v>
      </c>
      <c r="GA21" s="51">
        <f t="shared" si="136"/>
        <v>512567.59945290885</v>
      </c>
      <c r="GB21" s="48">
        <f t="shared" si="56"/>
        <v>150280.20107099993</v>
      </c>
      <c r="GC21" s="51">
        <f t="shared" si="137"/>
        <v>496796.28870051156</v>
      </c>
      <c r="GD21" s="53">
        <f t="shared" si="57"/>
        <v>145509.40103699995</v>
      </c>
      <c r="GE21" s="51">
        <f t="shared" si="138"/>
        <v>481024.97794811445</v>
      </c>
      <c r="GF21" s="53">
        <f t="shared" si="58"/>
        <v>140738.60100299993</v>
      </c>
      <c r="GG21" s="51">
        <f t="shared" si="139"/>
        <v>465253.66719571716</v>
      </c>
      <c r="GH21" s="48">
        <f t="shared" si="59"/>
        <v>135967.80096899995</v>
      </c>
      <c r="GI21" s="51">
        <f t="shared" si="140"/>
        <v>449482.35644332005</v>
      </c>
      <c r="GJ21" s="48"/>
      <c r="GK21" s="48"/>
      <c r="GL21" s="48">
        <v>1</v>
      </c>
      <c r="GM21" s="48">
        <v>0.97</v>
      </c>
      <c r="GN21" s="48">
        <v>0.95</v>
      </c>
      <c r="GO21" s="48">
        <v>0.93</v>
      </c>
      <c r="GP21" s="48">
        <f t="shared" ref="GP21:HG21" si="151">+GO21-0.02</f>
        <v>0.91</v>
      </c>
      <c r="GQ21" s="48">
        <f t="shared" si="151"/>
        <v>0.89</v>
      </c>
      <c r="GR21" s="48">
        <f t="shared" si="151"/>
        <v>0.87</v>
      </c>
      <c r="GS21" s="48">
        <f t="shared" si="151"/>
        <v>0.85</v>
      </c>
      <c r="GT21" s="48">
        <f t="shared" si="151"/>
        <v>0.83</v>
      </c>
      <c r="GU21" s="48">
        <f t="shared" si="151"/>
        <v>0.80999999999999994</v>
      </c>
      <c r="GV21" s="48">
        <f t="shared" si="151"/>
        <v>0.78999999999999992</v>
      </c>
      <c r="GW21" s="48">
        <f t="shared" si="151"/>
        <v>0.76999999999999991</v>
      </c>
      <c r="GX21" s="48">
        <f t="shared" si="151"/>
        <v>0.74999999999999989</v>
      </c>
      <c r="GY21" s="48">
        <f t="shared" si="151"/>
        <v>0.72999999999999987</v>
      </c>
      <c r="GZ21" s="48">
        <f t="shared" si="151"/>
        <v>0.70999999999999985</v>
      </c>
      <c r="HA21" s="48">
        <f t="shared" si="151"/>
        <v>0.68999999999999984</v>
      </c>
      <c r="HB21" s="48">
        <f t="shared" si="151"/>
        <v>0.66999999999999982</v>
      </c>
      <c r="HC21" s="48">
        <f t="shared" si="151"/>
        <v>0.6499999999999998</v>
      </c>
      <c r="HD21" s="48">
        <f t="shared" si="151"/>
        <v>0.62999999999999978</v>
      </c>
      <c r="HE21" s="48">
        <f t="shared" si="151"/>
        <v>0.60999999999999976</v>
      </c>
      <c r="HF21" s="48">
        <f t="shared" si="151"/>
        <v>0.58999999999999975</v>
      </c>
      <c r="HG21" s="48">
        <f t="shared" si="151"/>
        <v>0.56999999999999973</v>
      </c>
    </row>
    <row r="22" spans="1:215" x14ac:dyDescent="0.3">
      <c r="B22" s="2">
        <v>5</v>
      </c>
      <c r="C22" s="35" t="s">
        <v>32</v>
      </c>
      <c r="D22" s="47">
        <f>+D113</f>
        <v>155000</v>
      </c>
      <c r="E22" s="69">
        <f t="shared" si="0"/>
        <v>512390</v>
      </c>
      <c r="G22" s="48">
        <f t="shared" si="61"/>
        <v>170500</v>
      </c>
      <c r="H22" s="48">
        <f t="shared" si="62"/>
        <v>170500</v>
      </c>
      <c r="I22" s="51">
        <f t="shared" si="63"/>
        <v>563638.9</v>
      </c>
      <c r="J22" s="48">
        <f t="shared" si="64"/>
        <v>165385</v>
      </c>
      <c r="K22" s="51">
        <f t="shared" si="65"/>
        <v>546729.73300000001</v>
      </c>
      <c r="L22" s="48">
        <f t="shared" si="66"/>
        <v>161975</v>
      </c>
      <c r="M22" s="51">
        <f t="shared" si="67"/>
        <v>535456.95499999996</v>
      </c>
      <c r="N22" s="48">
        <f t="shared" si="1"/>
        <v>158565</v>
      </c>
      <c r="O22" s="51">
        <f t="shared" si="68"/>
        <v>524184.17700000003</v>
      </c>
      <c r="P22" s="52">
        <f t="shared" si="2"/>
        <v>155155</v>
      </c>
      <c r="Q22" s="51">
        <f t="shared" si="69"/>
        <v>512911.39900000003</v>
      </c>
      <c r="R22" s="48">
        <f t="shared" si="3"/>
        <v>151745</v>
      </c>
      <c r="S22" s="51">
        <f t="shared" si="70"/>
        <v>501638.62099999998</v>
      </c>
      <c r="T22" s="52">
        <f t="shared" si="4"/>
        <v>148335</v>
      </c>
      <c r="U22" s="51">
        <f t="shared" si="71"/>
        <v>490365.84299999999</v>
      </c>
      <c r="V22" s="53">
        <f t="shared" si="5"/>
        <v>144925</v>
      </c>
      <c r="W22" s="51">
        <f t="shared" si="72"/>
        <v>479093.065</v>
      </c>
      <c r="X22" s="52">
        <f t="shared" si="6"/>
        <v>141515</v>
      </c>
      <c r="Y22" s="51">
        <f t="shared" si="73"/>
        <v>467820.28700000001</v>
      </c>
      <c r="Z22" s="48">
        <f t="shared" si="7"/>
        <v>138105</v>
      </c>
      <c r="AA22" s="51">
        <f t="shared" si="74"/>
        <v>456547.50900000002</v>
      </c>
      <c r="AB22" s="53">
        <f t="shared" si="8"/>
        <v>134695</v>
      </c>
      <c r="AC22" s="51">
        <f t="shared" si="75"/>
        <v>445274.73100000003</v>
      </c>
      <c r="AD22" s="53">
        <f t="shared" si="9"/>
        <v>131284.99999999997</v>
      </c>
      <c r="AE22" s="51">
        <f t="shared" si="76"/>
        <v>434001.95299999992</v>
      </c>
      <c r="AF22" s="53">
        <f t="shared" si="10"/>
        <v>127874.99999999999</v>
      </c>
      <c r="AG22" s="51">
        <f t="shared" si="77"/>
        <v>422729.17499999999</v>
      </c>
      <c r="AH22" s="48">
        <f t="shared" si="11"/>
        <v>124464.99999999997</v>
      </c>
      <c r="AI22" s="51">
        <f t="shared" si="78"/>
        <v>411456.39699999994</v>
      </c>
      <c r="AJ22" s="53">
        <f t="shared" si="12"/>
        <v>121054.99999999997</v>
      </c>
      <c r="AK22" s="51">
        <f t="shared" si="79"/>
        <v>400183.61899999989</v>
      </c>
      <c r="AL22" s="53">
        <f t="shared" si="13"/>
        <v>117644.99999999997</v>
      </c>
      <c r="AM22" s="51">
        <f t="shared" si="80"/>
        <v>388910.8409999999</v>
      </c>
      <c r="AN22" s="53">
        <f t="shared" si="14"/>
        <v>114234.99999999997</v>
      </c>
      <c r="AO22" s="51">
        <f t="shared" si="81"/>
        <v>377638.06299999991</v>
      </c>
      <c r="AP22" s="53">
        <f t="shared" si="15"/>
        <v>110824.99999999997</v>
      </c>
      <c r="AQ22" s="51">
        <f t="shared" si="82"/>
        <v>366365.28499999992</v>
      </c>
      <c r="AR22" s="48">
        <f t="shared" si="16"/>
        <v>107414.99999999996</v>
      </c>
      <c r="AS22" s="51">
        <f t="shared" si="83"/>
        <v>355092.50699999987</v>
      </c>
      <c r="AT22" s="53">
        <f t="shared" si="17"/>
        <v>104004.99999999996</v>
      </c>
      <c r="AU22" s="51">
        <f t="shared" si="84"/>
        <v>343819.72899999988</v>
      </c>
      <c r="AV22" s="53">
        <f t="shared" si="18"/>
        <v>100594.99999999996</v>
      </c>
      <c r="AW22" s="51">
        <f t="shared" si="85"/>
        <v>332546.95099999988</v>
      </c>
      <c r="AX22" s="48">
        <f t="shared" si="19"/>
        <v>97184.999999999956</v>
      </c>
      <c r="AY22" s="51">
        <f t="shared" si="86"/>
        <v>321274.17299999984</v>
      </c>
      <c r="BB22" s="48">
        <v>1</v>
      </c>
      <c r="BC22" s="48">
        <v>0.97</v>
      </c>
      <c r="BD22" s="48">
        <v>0.95</v>
      </c>
      <c r="BE22" s="48">
        <v>0.93</v>
      </c>
      <c r="BF22" s="48">
        <f t="shared" ref="BF22:BW22" si="152">+BE22-0.02</f>
        <v>0.91</v>
      </c>
      <c r="BG22" s="48">
        <f t="shared" si="152"/>
        <v>0.89</v>
      </c>
      <c r="BH22" s="48">
        <f t="shared" si="152"/>
        <v>0.87</v>
      </c>
      <c r="BI22" s="48">
        <f t="shared" si="152"/>
        <v>0.85</v>
      </c>
      <c r="BJ22" s="48">
        <f t="shared" si="152"/>
        <v>0.83</v>
      </c>
      <c r="BK22" s="48">
        <f t="shared" si="152"/>
        <v>0.80999999999999994</v>
      </c>
      <c r="BL22" s="48">
        <f t="shared" si="152"/>
        <v>0.78999999999999992</v>
      </c>
      <c r="BM22" s="48">
        <f t="shared" si="152"/>
        <v>0.76999999999999991</v>
      </c>
      <c r="BN22" s="48">
        <f t="shared" si="152"/>
        <v>0.74999999999999989</v>
      </c>
      <c r="BO22" s="48">
        <f t="shared" si="152"/>
        <v>0.72999999999999987</v>
      </c>
      <c r="BP22" s="48">
        <f t="shared" si="152"/>
        <v>0.70999999999999985</v>
      </c>
      <c r="BQ22" s="48">
        <f t="shared" si="152"/>
        <v>0.68999999999999984</v>
      </c>
      <c r="BR22" s="48">
        <f t="shared" si="152"/>
        <v>0.66999999999999982</v>
      </c>
      <c r="BS22" s="48">
        <f t="shared" si="152"/>
        <v>0.6499999999999998</v>
      </c>
      <c r="BT22" s="48">
        <f t="shared" si="152"/>
        <v>0.62999999999999978</v>
      </c>
      <c r="BU22" s="48">
        <f t="shared" si="152"/>
        <v>0.60999999999999976</v>
      </c>
      <c r="BV22" s="48">
        <f t="shared" si="152"/>
        <v>0.58999999999999975</v>
      </c>
      <c r="BW22" s="48">
        <f t="shared" si="152"/>
        <v>0.56999999999999973</v>
      </c>
      <c r="BY22" s="48">
        <f t="shared" si="88"/>
        <v>155155</v>
      </c>
      <c r="BZ22" s="48">
        <f t="shared" si="89"/>
        <v>155155</v>
      </c>
      <c r="CA22" s="51">
        <f t="shared" ref="CA22" si="153">+BZ22*3.3058</f>
        <v>512911.39900000003</v>
      </c>
      <c r="CB22" s="48">
        <f t="shared" si="91"/>
        <v>150500.35</v>
      </c>
      <c r="CC22" s="51">
        <f t="shared" si="92"/>
        <v>497524.05703000003</v>
      </c>
      <c r="CD22" s="48">
        <f t="shared" si="93"/>
        <v>147397.25</v>
      </c>
      <c r="CE22" s="51">
        <f t="shared" si="94"/>
        <v>487265.82905</v>
      </c>
      <c r="CF22" s="48">
        <f t="shared" si="21"/>
        <v>144294.15</v>
      </c>
      <c r="CG22" s="51">
        <f t="shared" si="95"/>
        <v>477007.60106999998</v>
      </c>
      <c r="CH22" s="52">
        <f t="shared" si="22"/>
        <v>141191.05000000002</v>
      </c>
      <c r="CI22" s="51">
        <f t="shared" si="96"/>
        <v>466749.37309000007</v>
      </c>
      <c r="CJ22" s="48">
        <f t="shared" si="23"/>
        <v>138087.95000000001</v>
      </c>
      <c r="CK22" s="51">
        <f t="shared" si="97"/>
        <v>456491.14511000004</v>
      </c>
      <c r="CL22" s="52">
        <f t="shared" si="24"/>
        <v>134984.85</v>
      </c>
      <c r="CM22" s="51">
        <f t="shared" si="98"/>
        <v>446232.91713000002</v>
      </c>
      <c r="CN22" s="53">
        <f t="shared" si="25"/>
        <v>131881.75</v>
      </c>
      <c r="CO22" s="51">
        <f t="shared" si="99"/>
        <v>435974.68914999999</v>
      </c>
      <c r="CP22" s="52">
        <f t="shared" si="26"/>
        <v>128778.65</v>
      </c>
      <c r="CQ22" s="51">
        <f t="shared" si="100"/>
        <v>425716.46116999997</v>
      </c>
      <c r="CR22" s="48">
        <f t="shared" si="27"/>
        <v>125675.54999999999</v>
      </c>
      <c r="CS22" s="51">
        <f t="shared" si="101"/>
        <v>415458.23319</v>
      </c>
      <c r="CT22" s="53">
        <f t="shared" si="28"/>
        <v>122572.44999999998</v>
      </c>
      <c r="CU22" s="51">
        <f t="shared" si="102"/>
        <v>405200.00520999997</v>
      </c>
      <c r="CV22" s="53">
        <f t="shared" si="29"/>
        <v>119469.34999999999</v>
      </c>
      <c r="CW22" s="51">
        <f t="shared" si="103"/>
        <v>394941.77723000001</v>
      </c>
      <c r="CX22" s="53">
        <f t="shared" si="30"/>
        <v>116366.24999999999</v>
      </c>
      <c r="CY22" s="51">
        <f t="shared" si="104"/>
        <v>384683.54924999998</v>
      </c>
      <c r="CZ22" s="48">
        <f t="shared" si="31"/>
        <v>113263.14999999998</v>
      </c>
      <c r="DA22" s="51">
        <f t="shared" si="105"/>
        <v>374425.32126999996</v>
      </c>
      <c r="DB22" s="53">
        <f t="shared" si="32"/>
        <v>110160.04999999997</v>
      </c>
      <c r="DC22" s="51">
        <f t="shared" si="106"/>
        <v>364167.09328999993</v>
      </c>
      <c r="DD22" s="53">
        <f t="shared" si="33"/>
        <v>107056.94999999997</v>
      </c>
      <c r="DE22" s="51">
        <f t="shared" si="107"/>
        <v>353908.86530999991</v>
      </c>
      <c r="DF22" s="53">
        <f t="shared" si="34"/>
        <v>103953.84999999998</v>
      </c>
      <c r="DG22" s="51">
        <f t="shared" si="108"/>
        <v>343650.63732999994</v>
      </c>
      <c r="DH22" s="53">
        <f t="shared" si="35"/>
        <v>100850.74999999997</v>
      </c>
      <c r="DI22" s="51">
        <f t="shared" si="109"/>
        <v>333392.40934999991</v>
      </c>
      <c r="DJ22" s="48">
        <f t="shared" si="36"/>
        <v>97747.649999999965</v>
      </c>
      <c r="DK22" s="51">
        <f t="shared" si="110"/>
        <v>323134.18136999989</v>
      </c>
      <c r="DL22" s="53">
        <f t="shared" si="37"/>
        <v>94644.549999999959</v>
      </c>
      <c r="DM22" s="51">
        <f t="shared" si="111"/>
        <v>312875.95338999986</v>
      </c>
      <c r="DN22" s="53">
        <f t="shared" si="38"/>
        <v>91541.449999999968</v>
      </c>
      <c r="DO22" s="51">
        <f t="shared" si="112"/>
        <v>302617.7254099999</v>
      </c>
      <c r="DP22" s="48">
        <f t="shared" si="39"/>
        <v>88438.349999999962</v>
      </c>
      <c r="DQ22" s="51">
        <f t="shared" si="113"/>
        <v>292359.49742999987</v>
      </c>
      <c r="DT22" s="48">
        <v>1</v>
      </c>
      <c r="DU22" s="48">
        <v>0.97</v>
      </c>
      <c r="DV22" s="48">
        <v>0.95</v>
      </c>
      <c r="DW22" s="48">
        <v>0.93</v>
      </c>
      <c r="DX22" s="48">
        <f t="shared" ref="DX22:EO22" si="154">+DW22-0.02</f>
        <v>0.91</v>
      </c>
      <c r="DY22" s="48">
        <f t="shared" si="154"/>
        <v>0.89</v>
      </c>
      <c r="DZ22" s="48">
        <f t="shared" si="154"/>
        <v>0.87</v>
      </c>
      <c r="EA22" s="48">
        <f t="shared" si="154"/>
        <v>0.85</v>
      </c>
      <c r="EB22" s="48">
        <f t="shared" si="154"/>
        <v>0.83</v>
      </c>
      <c r="EC22" s="48">
        <f t="shared" si="154"/>
        <v>0.80999999999999994</v>
      </c>
      <c r="ED22" s="48">
        <f t="shared" si="154"/>
        <v>0.78999999999999992</v>
      </c>
      <c r="EE22" s="48">
        <f t="shared" si="154"/>
        <v>0.76999999999999991</v>
      </c>
      <c r="EF22" s="48">
        <f t="shared" si="154"/>
        <v>0.74999999999999989</v>
      </c>
      <c r="EG22" s="48">
        <f t="shared" si="154"/>
        <v>0.72999999999999987</v>
      </c>
      <c r="EH22" s="48">
        <f t="shared" si="154"/>
        <v>0.70999999999999985</v>
      </c>
      <c r="EI22" s="48">
        <f t="shared" si="154"/>
        <v>0.68999999999999984</v>
      </c>
      <c r="EJ22" s="48">
        <f t="shared" si="154"/>
        <v>0.66999999999999982</v>
      </c>
      <c r="EK22" s="48">
        <f t="shared" si="154"/>
        <v>0.6499999999999998</v>
      </c>
      <c r="EL22" s="48">
        <f t="shared" si="154"/>
        <v>0.62999999999999978</v>
      </c>
      <c r="EM22" s="48">
        <f t="shared" si="154"/>
        <v>0.60999999999999976</v>
      </c>
      <c r="EN22" s="48">
        <f t="shared" si="154"/>
        <v>0.58999999999999975</v>
      </c>
      <c r="EO22" s="48">
        <f t="shared" si="154"/>
        <v>0.56999999999999973</v>
      </c>
      <c r="EQ22" s="48">
        <f t="shared" si="115"/>
        <v>141191.05000000002</v>
      </c>
      <c r="ER22" s="48">
        <f t="shared" si="116"/>
        <v>141191.05000000002</v>
      </c>
      <c r="ES22" s="51">
        <f t="shared" ref="ES22" si="155">+ER22*3.3058</f>
        <v>466749.37309000007</v>
      </c>
      <c r="ET22" s="48">
        <f t="shared" si="118"/>
        <v>136955.31850000002</v>
      </c>
      <c r="EU22" s="51">
        <f t="shared" si="119"/>
        <v>452746.89189730008</v>
      </c>
      <c r="EV22" s="48">
        <f t="shared" si="120"/>
        <v>134131.4975</v>
      </c>
      <c r="EW22" s="51">
        <f t="shared" si="121"/>
        <v>443411.90443549998</v>
      </c>
      <c r="EX22" s="48">
        <f t="shared" si="41"/>
        <v>131307.67650000003</v>
      </c>
      <c r="EY22" s="51">
        <f t="shared" si="122"/>
        <v>434076.91697370011</v>
      </c>
      <c r="EZ22" s="52">
        <f t="shared" si="42"/>
        <v>128483.85550000002</v>
      </c>
      <c r="FA22" s="51">
        <f t="shared" si="123"/>
        <v>424741.92951190006</v>
      </c>
      <c r="FB22" s="48">
        <f t="shared" si="43"/>
        <v>125660.03450000002</v>
      </c>
      <c r="FC22" s="51">
        <f t="shared" si="124"/>
        <v>415406.94205010007</v>
      </c>
      <c r="FD22" s="52">
        <f t="shared" si="44"/>
        <v>122836.21350000001</v>
      </c>
      <c r="FE22" s="51">
        <f t="shared" si="125"/>
        <v>406071.95458830002</v>
      </c>
      <c r="FF22" s="53">
        <f t="shared" si="45"/>
        <v>120012.39250000002</v>
      </c>
      <c r="FG22" s="51">
        <f t="shared" si="126"/>
        <v>396736.96712650004</v>
      </c>
      <c r="FH22" s="52">
        <f t="shared" si="46"/>
        <v>117188.57150000001</v>
      </c>
      <c r="FI22" s="51">
        <f t="shared" si="127"/>
        <v>387401.97966470005</v>
      </c>
      <c r="FJ22" s="48">
        <f t="shared" si="47"/>
        <v>114364.75050000001</v>
      </c>
      <c r="FK22" s="51">
        <f t="shared" si="128"/>
        <v>378066.99220290006</v>
      </c>
      <c r="FL22" s="53">
        <f t="shared" si="48"/>
        <v>111540.9295</v>
      </c>
      <c r="FM22" s="51">
        <f t="shared" si="129"/>
        <v>368732.00474110001</v>
      </c>
      <c r="FN22" s="53">
        <f t="shared" si="49"/>
        <v>108717.1085</v>
      </c>
      <c r="FO22" s="51">
        <f t="shared" si="130"/>
        <v>359397.01727930002</v>
      </c>
      <c r="FP22" s="53">
        <f t="shared" si="50"/>
        <v>105893.28749999999</v>
      </c>
      <c r="FQ22" s="51">
        <f t="shared" si="131"/>
        <v>350062.02981749998</v>
      </c>
      <c r="FR22" s="48">
        <f t="shared" si="51"/>
        <v>103069.46649999999</v>
      </c>
      <c r="FS22" s="51">
        <f t="shared" si="132"/>
        <v>340727.04235569999</v>
      </c>
      <c r="FT22" s="53">
        <f t="shared" si="52"/>
        <v>100245.6455</v>
      </c>
      <c r="FU22" s="51">
        <f t="shared" si="133"/>
        <v>331392.0548939</v>
      </c>
      <c r="FV22" s="53">
        <f t="shared" si="53"/>
        <v>97421.824499999988</v>
      </c>
      <c r="FW22" s="51">
        <f t="shared" si="134"/>
        <v>322057.06743209995</v>
      </c>
      <c r="FX22" s="53">
        <f t="shared" si="54"/>
        <v>94598.003499999992</v>
      </c>
      <c r="FY22" s="51">
        <f t="shared" si="135"/>
        <v>312722.07997029996</v>
      </c>
      <c r="FZ22" s="53">
        <f t="shared" si="55"/>
        <v>91774.182499999981</v>
      </c>
      <c r="GA22" s="51">
        <f t="shared" si="136"/>
        <v>303387.09250849992</v>
      </c>
      <c r="GB22" s="48">
        <f t="shared" si="56"/>
        <v>88950.361499999985</v>
      </c>
      <c r="GC22" s="51">
        <f t="shared" si="137"/>
        <v>294052.10504669993</v>
      </c>
      <c r="GD22" s="53">
        <f t="shared" si="57"/>
        <v>86126.540499999974</v>
      </c>
      <c r="GE22" s="51">
        <f t="shared" si="138"/>
        <v>284717.11758489994</v>
      </c>
      <c r="GF22" s="53">
        <f t="shared" si="58"/>
        <v>83302.719499999977</v>
      </c>
      <c r="GG22" s="51">
        <f t="shared" si="139"/>
        <v>275382.13012309995</v>
      </c>
      <c r="GH22" s="48">
        <f t="shared" si="59"/>
        <v>80478.898499999967</v>
      </c>
      <c r="GI22" s="51">
        <f t="shared" si="140"/>
        <v>266047.14266129991</v>
      </c>
      <c r="GJ22" s="48"/>
      <c r="GK22" s="48"/>
      <c r="GL22" s="48">
        <v>1</v>
      </c>
      <c r="GM22" s="48">
        <v>0.97</v>
      </c>
      <c r="GN22" s="48">
        <v>0.95</v>
      </c>
      <c r="GO22" s="48">
        <v>0.93</v>
      </c>
      <c r="GP22" s="48">
        <f t="shared" ref="GP22:HG22" si="156">+GO22-0.02</f>
        <v>0.91</v>
      </c>
      <c r="GQ22" s="48">
        <f t="shared" si="156"/>
        <v>0.89</v>
      </c>
      <c r="GR22" s="48">
        <f t="shared" si="156"/>
        <v>0.87</v>
      </c>
      <c r="GS22" s="48">
        <f t="shared" si="156"/>
        <v>0.85</v>
      </c>
      <c r="GT22" s="48">
        <f t="shared" si="156"/>
        <v>0.83</v>
      </c>
      <c r="GU22" s="48">
        <f t="shared" si="156"/>
        <v>0.80999999999999994</v>
      </c>
      <c r="GV22" s="48">
        <f t="shared" si="156"/>
        <v>0.78999999999999992</v>
      </c>
      <c r="GW22" s="48">
        <f t="shared" si="156"/>
        <v>0.76999999999999991</v>
      </c>
      <c r="GX22" s="48">
        <f t="shared" si="156"/>
        <v>0.74999999999999989</v>
      </c>
      <c r="GY22" s="48">
        <f t="shared" si="156"/>
        <v>0.72999999999999987</v>
      </c>
      <c r="GZ22" s="48">
        <f t="shared" si="156"/>
        <v>0.70999999999999985</v>
      </c>
      <c r="HA22" s="48">
        <f t="shared" si="156"/>
        <v>0.68999999999999984</v>
      </c>
      <c r="HB22" s="48">
        <f t="shared" si="156"/>
        <v>0.66999999999999982</v>
      </c>
      <c r="HC22" s="48">
        <f t="shared" si="156"/>
        <v>0.6499999999999998</v>
      </c>
      <c r="HD22" s="48">
        <f t="shared" si="156"/>
        <v>0.62999999999999978</v>
      </c>
      <c r="HE22" s="48">
        <f t="shared" si="156"/>
        <v>0.60999999999999976</v>
      </c>
      <c r="HF22" s="48">
        <f t="shared" si="156"/>
        <v>0.58999999999999975</v>
      </c>
      <c r="HG22" s="48">
        <f t="shared" si="156"/>
        <v>0.56999999999999973</v>
      </c>
    </row>
    <row r="23" spans="1:215" x14ac:dyDescent="0.3">
      <c r="B23" s="2">
        <v>6</v>
      </c>
      <c r="C23" s="35" t="s">
        <v>33</v>
      </c>
      <c r="D23" s="47">
        <f>+D127</f>
        <v>66550</v>
      </c>
      <c r="E23" s="69">
        <f t="shared" si="0"/>
        <v>220000</v>
      </c>
      <c r="G23" s="48">
        <f t="shared" si="61"/>
        <v>73205</v>
      </c>
      <c r="H23" s="48">
        <f t="shared" si="62"/>
        <v>73205</v>
      </c>
      <c r="I23" s="51">
        <f t="shared" si="63"/>
        <v>242001.08900000001</v>
      </c>
      <c r="J23" s="48">
        <f t="shared" si="64"/>
        <v>71008.849999999991</v>
      </c>
      <c r="K23" s="51">
        <f t="shared" si="65"/>
        <v>234741.05632999996</v>
      </c>
      <c r="L23" s="48">
        <f t="shared" si="66"/>
        <v>69544.75</v>
      </c>
      <c r="M23" s="51">
        <f t="shared" si="67"/>
        <v>229901.03455000001</v>
      </c>
      <c r="N23" s="48">
        <f t="shared" si="1"/>
        <v>68080.650000000009</v>
      </c>
      <c r="O23" s="51">
        <f t="shared" si="68"/>
        <v>225061.01277000003</v>
      </c>
      <c r="P23" s="52">
        <f t="shared" si="2"/>
        <v>66616.55</v>
      </c>
      <c r="Q23" s="51">
        <f t="shared" si="69"/>
        <v>220220.99099000002</v>
      </c>
      <c r="R23" s="48">
        <f t="shared" si="3"/>
        <v>65152.450000000004</v>
      </c>
      <c r="S23" s="51">
        <f t="shared" si="70"/>
        <v>215380.96921000001</v>
      </c>
      <c r="T23" s="52">
        <f t="shared" si="4"/>
        <v>63688.35</v>
      </c>
      <c r="U23" s="51">
        <f t="shared" si="71"/>
        <v>210540.94743</v>
      </c>
      <c r="V23" s="53">
        <f t="shared" si="5"/>
        <v>62224.25</v>
      </c>
      <c r="W23" s="51">
        <f t="shared" si="72"/>
        <v>205700.92564999999</v>
      </c>
      <c r="X23" s="52">
        <f t="shared" si="6"/>
        <v>60760.149999999994</v>
      </c>
      <c r="Y23" s="51">
        <f t="shared" si="73"/>
        <v>200860.90386999998</v>
      </c>
      <c r="Z23" s="48">
        <f t="shared" si="7"/>
        <v>59296.049999999996</v>
      </c>
      <c r="AA23" s="51">
        <f t="shared" si="74"/>
        <v>196020.88209</v>
      </c>
      <c r="AB23" s="53">
        <f t="shared" si="8"/>
        <v>57831.95</v>
      </c>
      <c r="AC23" s="51">
        <f t="shared" si="75"/>
        <v>191180.86030999999</v>
      </c>
      <c r="AD23" s="53">
        <f t="shared" si="9"/>
        <v>56367.849999999991</v>
      </c>
      <c r="AE23" s="51">
        <f t="shared" si="76"/>
        <v>186340.83852999998</v>
      </c>
      <c r="AF23" s="53">
        <f t="shared" si="10"/>
        <v>54903.749999999993</v>
      </c>
      <c r="AG23" s="51">
        <f t="shared" si="77"/>
        <v>181500.81674999997</v>
      </c>
      <c r="AH23" s="48">
        <f t="shared" si="11"/>
        <v>53439.649999999994</v>
      </c>
      <c r="AI23" s="51">
        <f t="shared" si="78"/>
        <v>176660.79496999999</v>
      </c>
      <c r="AJ23" s="53">
        <f t="shared" si="12"/>
        <v>51975.549999999988</v>
      </c>
      <c r="AK23" s="51">
        <f t="shared" si="79"/>
        <v>171820.77318999998</v>
      </c>
      <c r="AL23" s="53">
        <f t="shared" si="13"/>
        <v>50511.44999999999</v>
      </c>
      <c r="AM23" s="51">
        <f t="shared" si="80"/>
        <v>166980.75140999997</v>
      </c>
      <c r="AN23" s="53">
        <f t="shared" si="14"/>
        <v>49047.349999999984</v>
      </c>
      <c r="AO23" s="51">
        <f t="shared" si="81"/>
        <v>162140.72962999996</v>
      </c>
      <c r="AP23" s="53">
        <f t="shared" si="15"/>
        <v>47583.249999999985</v>
      </c>
      <c r="AQ23" s="51">
        <f t="shared" si="82"/>
        <v>157300.70784999995</v>
      </c>
      <c r="AR23" s="48">
        <f t="shared" si="16"/>
        <v>46119.149999999987</v>
      </c>
      <c r="AS23" s="51">
        <f t="shared" si="83"/>
        <v>152460.68606999997</v>
      </c>
      <c r="AT23" s="53">
        <f t="shared" si="17"/>
        <v>44655.049999999981</v>
      </c>
      <c r="AU23" s="51">
        <f t="shared" si="84"/>
        <v>147620.66428999993</v>
      </c>
      <c r="AV23" s="53">
        <f t="shared" si="18"/>
        <v>43190.949999999983</v>
      </c>
      <c r="AW23" s="51">
        <f t="shared" si="85"/>
        <v>142780.64250999995</v>
      </c>
      <c r="AX23" s="48">
        <f t="shared" si="19"/>
        <v>41726.849999999977</v>
      </c>
      <c r="AY23" s="51">
        <f t="shared" si="86"/>
        <v>137940.62072999994</v>
      </c>
      <c r="BB23" s="48">
        <v>1</v>
      </c>
      <c r="BC23" s="48">
        <v>0.97</v>
      </c>
      <c r="BD23" s="48">
        <v>0.95</v>
      </c>
      <c r="BE23" s="48">
        <v>0.93</v>
      </c>
      <c r="BF23" s="48">
        <f t="shared" ref="BF23:BW23" si="157">+BE23-0.02</f>
        <v>0.91</v>
      </c>
      <c r="BG23" s="48">
        <f t="shared" si="157"/>
        <v>0.89</v>
      </c>
      <c r="BH23" s="48">
        <f t="shared" si="157"/>
        <v>0.87</v>
      </c>
      <c r="BI23" s="48">
        <f t="shared" si="157"/>
        <v>0.85</v>
      </c>
      <c r="BJ23" s="48">
        <f t="shared" si="157"/>
        <v>0.83</v>
      </c>
      <c r="BK23" s="48">
        <f t="shared" si="157"/>
        <v>0.80999999999999994</v>
      </c>
      <c r="BL23" s="48">
        <f t="shared" si="157"/>
        <v>0.78999999999999992</v>
      </c>
      <c r="BM23" s="48">
        <f t="shared" si="157"/>
        <v>0.76999999999999991</v>
      </c>
      <c r="BN23" s="48">
        <f t="shared" si="157"/>
        <v>0.74999999999999989</v>
      </c>
      <c r="BO23" s="48">
        <f t="shared" si="157"/>
        <v>0.72999999999999987</v>
      </c>
      <c r="BP23" s="48">
        <f t="shared" si="157"/>
        <v>0.70999999999999985</v>
      </c>
      <c r="BQ23" s="48">
        <f t="shared" si="157"/>
        <v>0.68999999999999984</v>
      </c>
      <c r="BR23" s="48">
        <f t="shared" si="157"/>
        <v>0.66999999999999982</v>
      </c>
      <c r="BS23" s="48">
        <f t="shared" si="157"/>
        <v>0.6499999999999998</v>
      </c>
      <c r="BT23" s="48">
        <f t="shared" si="157"/>
        <v>0.62999999999999978</v>
      </c>
      <c r="BU23" s="48">
        <f t="shared" si="157"/>
        <v>0.60999999999999976</v>
      </c>
      <c r="BV23" s="48">
        <f t="shared" si="157"/>
        <v>0.58999999999999975</v>
      </c>
      <c r="BW23" s="48">
        <f t="shared" si="157"/>
        <v>0.56999999999999973</v>
      </c>
      <c r="BY23" s="48">
        <f t="shared" si="88"/>
        <v>66616.55</v>
      </c>
      <c r="BZ23" s="48">
        <f t="shared" si="89"/>
        <v>66616.55</v>
      </c>
      <c r="CA23" s="51">
        <f t="shared" ref="CA23" si="158">+BZ23*3.3058</f>
        <v>220220.99099000002</v>
      </c>
      <c r="CB23" s="48">
        <f t="shared" si="91"/>
        <v>64618.053500000002</v>
      </c>
      <c r="CC23" s="51">
        <f t="shared" si="92"/>
        <v>213614.36126030001</v>
      </c>
      <c r="CD23" s="48">
        <f t="shared" si="93"/>
        <v>63285.722499999996</v>
      </c>
      <c r="CE23" s="51">
        <f t="shared" si="94"/>
        <v>209209.9414405</v>
      </c>
      <c r="CF23" s="48">
        <f t="shared" si="21"/>
        <v>61953.391500000005</v>
      </c>
      <c r="CG23" s="51">
        <f t="shared" si="95"/>
        <v>204805.52162070002</v>
      </c>
      <c r="CH23" s="52">
        <f t="shared" si="22"/>
        <v>60621.060500000007</v>
      </c>
      <c r="CI23" s="51">
        <f t="shared" si="96"/>
        <v>200401.10180090004</v>
      </c>
      <c r="CJ23" s="48">
        <f t="shared" si="23"/>
        <v>59288.729500000001</v>
      </c>
      <c r="CK23" s="51">
        <f t="shared" si="97"/>
        <v>195996.6819811</v>
      </c>
      <c r="CL23" s="52">
        <f t="shared" si="24"/>
        <v>57956.398500000003</v>
      </c>
      <c r="CM23" s="51">
        <f t="shared" si="98"/>
        <v>191592.26216130002</v>
      </c>
      <c r="CN23" s="53">
        <f t="shared" si="25"/>
        <v>56624.067499999997</v>
      </c>
      <c r="CO23" s="51">
        <f t="shared" si="99"/>
        <v>187187.84234149999</v>
      </c>
      <c r="CP23" s="52">
        <f t="shared" si="26"/>
        <v>55291.736499999999</v>
      </c>
      <c r="CQ23" s="51">
        <f t="shared" si="100"/>
        <v>182783.42252170001</v>
      </c>
      <c r="CR23" s="48">
        <f t="shared" si="27"/>
        <v>53959.405500000001</v>
      </c>
      <c r="CS23" s="51">
        <f t="shared" si="101"/>
        <v>178379.0027019</v>
      </c>
      <c r="CT23" s="53">
        <f t="shared" si="28"/>
        <v>52627.074499999995</v>
      </c>
      <c r="CU23" s="51">
        <f t="shared" si="102"/>
        <v>173974.58288209999</v>
      </c>
      <c r="CV23" s="53">
        <f t="shared" si="29"/>
        <v>51294.743499999997</v>
      </c>
      <c r="CW23" s="51">
        <f t="shared" si="103"/>
        <v>169570.16306229998</v>
      </c>
      <c r="CX23" s="53">
        <f t="shared" si="30"/>
        <v>49962.412499999991</v>
      </c>
      <c r="CY23" s="51">
        <f t="shared" si="104"/>
        <v>165165.74324249997</v>
      </c>
      <c r="CZ23" s="48">
        <f t="shared" si="31"/>
        <v>48630.081499999993</v>
      </c>
      <c r="DA23" s="51">
        <f t="shared" si="105"/>
        <v>160761.32342269999</v>
      </c>
      <c r="DB23" s="53">
        <f t="shared" si="32"/>
        <v>47297.750499999995</v>
      </c>
      <c r="DC23" s="51">
        <f t="shared" si="106"/>
        <v>156356.90360289998</v>
      </c>
      <c r="DD23" s="53">
        <f t="shared" si="33"/>
        <v>45965.419499999989</v>
      </c>
      <c r="DE23" s="51">
        <f t="shared" si="107"/>
        <v>151952.48378309997</v>
      </c>
      <c r="DF23" s="53">
        <f t="shared" si="34"/>
        <v>44633.088499999991</v>
      </c>
      <c r="DG23" s="51">
        <f t="shared" si="108"/>
        <v>147548.06396329997</v>
      </c>
      <c r="DH23" s="53">
        <f t="shared" si="35"/>
        <v>43300.757499999985</v>
      </c>
      <c r="DI23" s="51">
        <f t="shared" si="109"/>
        <v>143143.64414349996</v>
      </c>
      <c r="DJ23" s="48">
        <f t="shared" si="36"/>
        <v>41968.426499999987</v>
      </c>
      <c r="DK23" s="51">
        <f t="shared" si="110"/>
        <v>138739.22432369995</v>
      </c>
      <c r="DL23" s="53">
        <f t="shared" si="37"/>
        <v>40636.095499999989</v>
      </c>
      <c r="DM23" s="51">
        <f t="shared" si="111"/>
        <v>134334.80450389997</v>
      </c>
      <c r="DN23" s="53">
        <f t="shared" si="38"/>
        <v>39303.764499999983</v>
      </c>
      <c r="DO23" s="51">
        <f t="shared" si="112"/>
        <v>129930.38468409995</v>
      </c>
      <c r="DP23" s="48">
        <f t="shared" si="39"/>
        <v>37971.433499999985</v>
      </c>
      <c r="DQ23" s="51">
        <f t="shared" si="113"/>
        <v>125525.96486429995</v>
      </c>
      <c r="DT23" s="48">
        <v>1</v>
      </c>
      <c r="DU23" s="48">
        <v>0.97</v>
      </c>
      <c r="DV23" s="48">
        <v>0.95</v>
      </c>
      <c r="DW23" s="48">
        <v>0.93</v>
      </c>
      <c r="DX23" s="48">
        <f t="shared" ref="DX23:EO23" si="159">+DW23-0.02</f>
        <v>0.91</v>
      </c>
      <c r="DY23" s="48">
        <f t="shared" si="159"/>
        <v>0.89</v>
      </c>
      <c r="DZ23" s="48">
        <f t="shared" si="159"/>
        <v>0.87</v>
      </c>
      <c r="EA23" s="48">
        <f t="shared" si="159"/>
        <v>0.85</v>
      </c>
      <c r="EB23" s="48">
        <f t="shared" si="159"/>
        <v>0.83</v>
      </c>
      <c r="EC23" s="48">
        <f t="shared" si="159"/>
        <v>0.80999999999999994</v>
      </c>
      <c r="ED23" s="48">
        <f t="shared" si="159"/>
        <v>0.78999999999999992</v>
      </c>
      <c r="EE23" s="48">
        <f t="shared" si="159"/>
        <v>0.76999999999999991</v>
      </c>
      <c r="EF23" s="48">
        <f t="shared" si="159"/>
        <v>0.74999999999999989</v>
      </c>
      <c r="EG23" s="48">
        <f t="shared" si="159"/>
        <v>0.72999999999999987</v>
      </c>
      <c r="EH23" s="48">
        <f t="shared" si="159"/>
        <v>0.70999999999999985</v>
      </c>
      <c r="EI23" s="48">
        <f t="shared" si="159"/>
        <v>0.68999999999999984</v>
      </c>
      <c r="EJ23" s="48">
        <f t="shared" si="159"/>
        <v>0.66999999999999982</v>
      </c>
      <c r="EK23" s="48">
        <f t="shared" si="159"/>
        <v>0.6499999999999998</v>
      </c>
      <c r="EL23" s="48">
        <f t="shared" si="159"/>
        <v>0.62999999999999978</v>
      </c>
      <c r="EM23" s="48">
        <f t="shared" si="159"/>
        <v>0.60999999999999976</v>
      </c>
      <c r="EN23" s="48">
        <f t="shared" si="159"/>
        <v>0.58999999999999975</v>
      </c>
      <c r="EO23" s="48">
        <f t="shared" si="159"/>
        <v>0.56999999999999973</v>
      </c>
      <c r="EQ23" s="48">
        <f t="shared" si="115"/>
        <v>60621.060500000007</v>
      </c>
      <c r="ER23" s="48">
        <f t="shared" si="116"/>
        <v>60621.060500000007</v>
      </c>
      <c r="ES23" s="51">
        <f t="shared" ref="ES23" si="160">+ER23*3.3058</f>
        <v>200401.10180090004</v>
      </c>
      <c r="ET23" s="48">
        <f t="shared" si="118"/>
        <v>58802.428685000006</v>
      </c>
      <c r="EU23" s="51">
        <f t="shared" si="119"/>
        <v>194389.06874687303</v>
      </c>
      <c r="EV23" s="48">
        <f t="shared" si="120"/>
        <v>57590.007475000006</v>
      </c>
      <c r="EW23" s="51">
        <f t="shared" si="121"/>
        <v>190381.04671085504</v>
      </c>
      <c r="EX23" s="48">
        <f t="shared" si="41"/>
        <v>56377.586265000013</v>
      </c>
      <c r="EY23" s="51">
        <f t="shared" si="122"/>
        <v>186373.02467483704</v>
      </c>
      <c r="EZ23" s="52">
        <f t="shared" si="42"/>
        <v>55165.165055000005</v>
      </c>
      <c r="FA23" s="51">
        <f t="shared" si="123"/>
        <v>182365.00263881902</v>
      </c>
      <c r="FB23" s="48">
        <f t="shared" si="43"/>
        <v>53952.743845000005</v>
      </c>
      <c r="FC23" s="51">
        <f t="shared" si="124"/>
        <v>178356.98060280102</v>
      </c>
      <c r="FD23" s="52">
        <f t="shared" si="44"/>
        <v>52740.322635000004</v>
      </c>
      <c r="FE23" s="51">
        <f t="shared" si="125"/>
        <v>174348.95856678303</v>
      </c>
      <c r="FF23" s="53">
        <f t="shared" si="45"/>
        <v>51527.901425000004</v>
      </c>
      <c r="FG23" s="51">
        <f t="shared" si="126"/>
        <v>170340.93653076503</v>
      </c>
      <c r="FH23" s="52">
        <f t="shared" si="46"/>
        <v>50315.480215000003</v>
      </c>
      <c r="FI23" s="51">
        <f t="shared" si="127"/>
        <v>166332.914494747</v>
      </c>
      <c r="FJ23" s="48">
        <f t="shared" si="47"/>
        <v>49103.059005000003</v>
      </c>
      <c r="FK23" s="51">
        <f t="shared" si="128"/>
        <v>162324.89245872901</v>
      </c>
      <c r="FL23" s="53">
        <f t="shared" si="48"/>
        <v>47890.637795000002</v>
      </c>
      <c r="FM23" s="51">
        <f t="shared" si="129"/>
        <v>158316.87042271101</v>
      </c>
      <c r="FN23" s="53">
        <f t="shared" si="49"/>
        <v>46678.216585000002</v>
      </c>
      <c r="FO23" s="51">
        <f t="shared" si="130"/>
        <v>154308.84838669302</v>
      </c>
      <c r="FP23" s="53">
        <f t="shared" si="50"/>
        <v>45465.795375000002</v>
      </c>
      <c r="FQ23" s="51">
        <f t="shared" si="131"/>
        <v>150300.82635067502</v>
      </c>
      <c r="FR23" s="48">
        <f t="shared" si="51"/>
        <v>44253.374164999994</v>
      </c>
      <c r="FS23" s="51">
        <f t="shared" si="132"/>
        <v>146292.80431465697</v>
      </c>
      <c r="FT23" s="53">
        <f t="shared" si="52"/>
        <v>43040.952954999993</v>
      </c>
      <c r="FU23" s="51">
        <f t="shared" si="133"/>
        <v>142284.78227863897</v>
      </c>
      <c r="FV23" s="53">
        <f t="shared" si="53"/>
        <v>41828.531744999993</v>
      </c>
      <c r="FW23" s="51">
        <f t="shared" si="134"/>
        <v>138276.76024262098</v>
      </c>
      <c r="FX23" s="53">
        <f t="shared" si="54"/>
        <v>40616.110534999993</v>
      </c>
      <c r="FY23" s="51">
        <f t="shared" si="135"/>
        <v>134268.73820660298</v>
      </c>
      <c r="FZ23" s="53">
        <f t="shared" si="55"/>
        <v>39403.689324999992</v>
      </c>
      <c r="GA23" s="51">
        <f t="shared" si="136"/>
        <v>130260.71617058497</v>
      </c>
      <c r="GB23" s="48">
        <f t="shared" si="56"/>
        <v>38191.268114999992</v>
      </c>
      <c r="GC23" s="51">
        <f t="shared" si="137"/>
        <v>126252.69413456698</v>
      </c>
      <c r="GD23" s="53">
        <f t="shared" si="57"/>
        <v>36978.846904999991</v>
      </c>
      <c r="GE23" s="51">
        <f t="shared" si="138"/>
        <v>122244.67209854897</v>
      </c>
      <c r="GF23" s="53">
        <f t="shared" si="58"/>
        <v>35766.425694999991</v>
      </c>
      <c r="GG23" s="51">
        <f t="shared" si="139"/>
        <v>118236.65006253097</v>
      </c>
      <c r="GH23" s="48">
        <f t="shared" si="59"/>
        <v>34554.00448499999</v>
      </c>
      <c r="GI23" s="51">
        <f t="shared" si="140"/>
        <v>114228.62802651298</v>
      </c>
      <c r="GJ23" s="48"/>
      <c r="GK23" s="48"/>
      <c r="GL23" s="48">
        <v>1</v>
      </c>
      <c r="GM23" s="48">
        <v>0.97</v>
      </c>
      <c r="GN23" s="48">
        <v>0.95</v>
      </c>
      <c r="GO23" s="48">
        <v>0.93</v>
      </c>
      <c r="GP23" s="48">
        <f t="shared" ref="GP23:HG23" si="161">+GO23-0.02</f>
        <v>0.91</v>
      </c>
      <c r="GQ23" s="48">
        <f t="shared" si="161"/>
        <v>0.89</v>
      </c>
      <c r="GR23" s="48">
        <f t="shared" si="161"/>
        <v>0.87</v>
      </c>
      <c r="GS23" s="48">
        <f t="shared" si="161"/>
        <v>0.85</v>
      </c>
      <c r="GT23" s="48">
        <f t="shared" si="161"/>
        <v>0.83</v>
      </c>
      <c r="GU23" s="48">
        <f t="shared" si="161"/>
        <v>0.80999999999999994</v>
      </c>
      <c r="GV23" s="48">
        <f t="shared" si="161"/>
        <v>0.78999999999999992</v>
      </c>
      <c r="GW23" s="48">
        <f t="shared" si="161"/>
        <v>0.76999999999999991</v>
      </c>
      <c r="GX23" s="48">
        <f t="shared" si="161"/>
        <v>0.74999999999999989</v>
      </c>
      <c r="GY23" s="48">
        <f t="shared" si="161"/>
        <v>0.72999999999999987</v>
      </c>
      <c r="GZ23" s="48">
        <f t="shared" si="161"/>
        <v>0.70999999999999985</v>
      </c>
      <c r="HA23" s="48">
        <f t="shared" si="161"/>
        <v>0.68999999999999984</v>
      </c>
      <c r="HB23" s="48">
        <f t="shared" si="161"/>
        <v>0.66999999999999982</v>
      </c>
      <c r="HC23" s="48">
        <f t="shared" si="161"/>
        <v>0.6499999999999998</v>
      </c>
      <c r="HD23" s="48">
        <f t="shared" si="161"/>
        <v>0.62999999999999978</v>
      </c>
      <c r="HE23" s="48">
        <f t="shared" si="161"/>
        <v>0.60999999999999976</v>
      </c>
      <c r="HF23" s="48">
        <f t="shared" si="161"/>
        <v>0.58999999999999975</v>
      </c>
      <c r="HG23" s="48">
        <f t="shared" si="161"/>
        <v>0.56999999999999973</v>
      </c>
    </row>
    <row r="24" spans="1:215" x14ac:dyDescent="0.3">
      <c r="B24" s="2">
        <v>7</v>
      </c>
      <c r="C24" s="35" t="s">
        <v>34</v>
      </c>
      <c r="D24" s="47">
        <f>+D140</f>
        <v>38690</v>
      </c>
      <c r="E24" s="69">
        <f t="shared" si="0"/>
        <v>127900</v>
      </c>
      <c r="G24" s="48">
        <f t="shared" si="61"/>
        <v>42559</v>
      </c>
      <c r="H24" s="48">
        <f t="shared" si="62"/>
        <v>42559</v>
      </c>
      <c r="I24" s="51">
        <f t="shared" si="63"/>
        <v>140691.5422</v>
      </c>
      <c r="J24" s="48">
        <f t="shared" si="64"/>
        <v>41282.229999999996</v>
      </c>
      <c r="K24" s="51">
        <f t="shared" si="65"/>
        <v>136470.79593399999</v>
      </c>
      <c r="L24" s="48">
        <f t="shared" si="66"/>
        <v>40431.049999999996</v>
      </c>
      <c r="M24" s="51">
        <f t="shared" si="67"/>
        <v>133656.96508999998</v>
      </c>
      <c r="N24" s="48">
        <f t="shared" si="1"/>
        <v>39579.870000000003</v>
      </c>
      <c r="O24" s="51">
        <f t="shared" si="68"/>
        <v>130843.13424600002</v>
      </c>
      <c r="P24" s="52">
        <f t="shared" si="2"/>
        <v>38728.69</v>
      </c>
      <c r="Q24" s="51">
        <f t="shared" si="69"/>
        <v>128029.30340200001</v>
      </c>
      <c r="R24" s="48">
        <f t="shared" si="3"/>
        <v>37877.51</v>
      </c>
      <c r="S24" s="51">
        <f t="shared" si="70"/>
        <v>125215.47255800001</v>
      </c>
      <c r="T24" s="52">
        <f t="shared" si="4"/>
        <v>37026.33</v>
      </c>
      <c r="U24" s="51">
        <f t="shared" si="71"/>
        <v>122401.64171400001</v>
      </c>
      <c r="V24" s="53">
        <f t="shared" si="5"/>
        <v>36175.15</v>
      </c>
      <c r="W24" s="51">
        <f t="shared" si="72"/>
        <v>119587.81087</v>
      </c>
      <c r="X24" s="52">
        <f t="shared" si="6"/>
        <v>35323.97</v>
      </c>
      <c r="Y24" s="51">
        <f t="shared" si="73"/>
        <v>116773.980026</v>
      </c>
      <c r="Z24" s="48">
        <f t="shared" si="7"/>
        <v>34472.79</v>
      </c>
      <c r="AA24" s="51">
        <f t="shared" si="74"/>
        <v>113960.14918200001</v>
      </c>
      <c r="AB24" s="53">
        <f t="shared" si="8"/>
        <v>33621.609999999993</v>
      </c>
      <c r="AC24" s="51">
        <f t="shared" si="75"/>
        <v>111146.31833799998</v>
      </c>
      <c r="AD24" s="53">
        <f t="shared" si="9"/>
        <v>32770.429999999993</v>
      </c>
      <c r="AE24" s="51">
        <f t="shared" si="76"/>
        <v>108332.48749399999</v>
      </c>
      <c r="AF24" s="53">
        <f t="shared" si="10"/>
        <v>31919.249999999996</v>
      </c>
      <c r="AG24" s="51">
        <f t="shared" si="77"/>
        <v>105518.65664999999</v>
      </c>
      <c r="AH24" s="48">
        <f t="shared" si="11"/>
        <v>31068.069999999996</v>
      </c>
      <c r="AI24" s="51">
        <f t="shared" si="78"/>
        <v>102704.82580599999</v>
      </c>
      <c r="AJ24" s="53">
        <f t="shared" si="12"/>
        <v>30216.889999999992</v>
      </c>
      <c r="AK24" s="51">
        <f t="shared" si="79"/>
        <v>99890.994961999982</v>
      </c>
      <c r="AL24" s="53">
        <f t="shared" si="13"/>
        <v>29365.709999999992</v>
      </c>
      <c r="AM24" s="51">
        <f t="shared" si="80"/>
        <v>97077.164117999971</v>
      </c>
      <c r="AN24" s="53">
        <f t="shared" si="14"/>
        <v>28514.529999999992</v>
      </c>
      <c r="AO24" s="51">
        <f t="shared" si="81"/>
        <v>94263.333273999975</v>
      </c>
      <c r="AP24" s="53">
        <f t="shared" si="15"/>
        <v>27663.349999999991</v>
      </c>
      <c r="AQ24" s="51">
        <f t="shared" si="82"/>
        <v>91449.502429999979</v>
      </c>
      <c r="AR24" s="48">
        <f t="shared" si="16"/>
        <v>26812.169999999991</v>
      </c>
      <c r="AS24" s="51">
        <f t="shared" si="83"/>
        <v>88635.671585999968</v>
      </c>
      <c r="AT24" s="53">
        <f t="shared" si="17"/>
        <v>25960.989999999991</v>
      </c>
      <c r="AU24" s="51">
        <f t="shared" si="84"/>
        <v>85821.840741999971</v>
      </c>
      <c r="AV24" s="53">
        <f t="shared" si="18"/>
        <v>25109.80999999999</v>
      </c>
      <c r="AW24" s="51">
        <f t="shared" si="85"/>
        <v>83008.009897999975</v>
      </c>
      <c r="AX24" s="48">
        <f t="shared" si="19"/>
        <v>24258.62999999999</v>
      </c>
      <c r="AY24" s="51">
        <f t="shared" si="86"/>
        <v>80194.179053999964</v>
      </c>
      <c r="BB24" s="48">
        <v>1</v>
      </c>
      <c r="BC24" s="48">
        <v>0.97</v>
      </c>
      <c r="BD24" s="48">
        <v>0.95</v>
      </c>
      <c r="BE24" s="48">
        <v>0.93</v>
      </c>
      <c r="BF24" s="48">
        <f t="shared" ref="BF24:BW24" si="162">+BE24-0.02</f>
        <v>0.91</v>
      </c>
      <c r="BG24" s="48">
        <f t="shared" si="162"/>
        <v>0.89</v>
      </c>
      <c r="BH24" s="48">
        <f t="shared" si="162"/>
        <v>0.87</v>
      </c>
      <c r="BI24" s="48">
        <f t="shared" si="162"/>
        <v>0.85</v>
      </c>
      <c r="BJ24" s="48">
        <f t="shared" si="162"/>
        <v>0.83</v>
      </c>
      <c r="BK24" s="48">
        <f t="shared" si="162"/>
        <v>0.80999999999999994</v>
      </c>
      <c r="BL24" s="48">
        <f t="shared" si="162"/>
        <v>0.78999999999999992</v>
      </c>
      <c r="BM24" s="48">
        <f t="shared" si="162"/>
        <v>0.76999999999999991</v>
      </c>
      <c r="BN24" s="48">
        <f t="shared" si="162"/>
        <v>0.74999999999999989</v>
      </c>
      <c r="BO24" s="48">
        <f t="shared" si="162"/>
        <v>0.72999999999999987</v>
      </c>
      <c r="BP24" s="48">
        <f t="shared" si="162"/>
        <v>0.70999999999999985</v>
      </c>
      <c r="BQ24" s="48">
        <f t="shared" si="162"/>
        <v>0.68999999999999984</v>
      </c>
      <c r="BR24" s="48">
        <f t="shared" si="162"/>
        <v>0.66999999999999982</v>
      </c>
      <c r="BS24" s="48">
        <f t="shared" si="162"/>
        <v>0.6499999999999998</v>
      </c>
      <c r="BT24" s="48">
        <f t="shared" si="162"/>
        <v>0.62999999999999978</v>
      </c>
      <c r="BU24" s="48">
        <f t="shared" si="162"/>
        <v>0.60999999999999976</v>
      </c>
      <c r="BV24" s="48">
        <f t="shared" si="162"/>
        <v>0.58999999999999975</v>
      </c>
      <c r="BW24" s="48">
        <f t="shared" si="162"/>
        <v>0.56999999999999973</v>
      </c>
      <c r="BY24" s="48">
        <f t="shared" si="88"/>
        <v>38728.69</v>
      </c>
      <c r="BZ24" s="48">
        <f t="shared" si="89"/>
        <v>38728.69</v>
      </c>
      <c r="CA24" s="51">
        <f t="shared" ref="CA24" si="163">+BZ24*3.3058</f>
        <v>128029.30340200001</v>
      </c>
      <c r="CB24" s="48">
        <f t="shared" si="91"/>
        <v>37566.829299999998</v>
      </c>
      <c r="CC24" s="51">
        <f t="shared" si="92"/>
        <v>124188.42429994</v>
      </c>
      <c r="CD24" s="48">
        <f t="shared" si="93"/>
        <v>36792.255499999999</v>
      </c>
      <c r="CE24" s="51">
        <f t="shared" si="94"/>
        <v>121627.83823189999</v>
      </c>
      <c r="CF24" s="48">
        <f t="shared" si="21"/>
        <v>36017.681700000001</v>
      </c>
      <c r="CG24" s="51">
        <f t="shared" si="95"/>
        <v>119067.25216386</v>
      </c>
      <c r="CH24" s="52">
        <f t="shared" si="22"/>
        <v>35243.107900000003</v>
      </c>
      <c r="CI24" s="51">
        <f t="shared" si="96"/>
        <v>116506.66609582001</v>
      </c>
      <c r="CJ24" s="48">
        <f t="shared" si="23"/>
        <v>34468.534100000004</v>
      </c>
      <c r="CK24" s="51">
        <f t="shared" si="97"/>
        <v>113946.08002778002</v>
      </c>
      <c r="CL24" s="52">
        <f t="shared" si="24"/>
        <v>33693.960299999999</v>
      </c>
      <c r="CM24" s="51">
        <f t="shared" si="98"/>
        <v>111385.49395973999</v>
      </c>
      <c r="CN24" s="53">
        <f t="shared" si="25"/>
        <v>32919.386500000001</v>
      </c>
      <c r="CO24" s="51">
        <f t="shared" si="99"/>
        <v>108824.9078917</v>
      </c>
      <c r="CP24" s="52">
        <f t="shared" si="26"/>
        <v>32144.812699999999</v>
      </c>
      <c r="CQ24" s="51">
        <f t="shared" si="100"/>
        <v>106264.32182365999</v>
      </c>
      <c r="CR24" s="48">
        <f t="shared" si="27"/>
        <v>31370.2389</v>
      </c>
      <c r="CS24" s="51">
        <f t="shared" si="101"/>
        <v>103703.73575562</v>
      </c>
      <c r="CT24" s="53">
        <f t="shared" si="28"/>
        <v>30595.665099999998</v>
      </c>
      <c r="CU24" s="51">
        <f t="shared" si="102"/>
        <v>101143.14968757999</v>
      </c>
      <c r="CV24" s="53">
        <f t="shared" si="29"/>
        <v>29821.091299999996</v>
      </c>
      <c r="CW24" s="51">
        <f t="shared" si="103"/>
        <v>98582.563619539986</v>
      </c>
      <c r="CX24" s="53">
        <f t="shared" si="30"/>
        <v>29046.517499999998</v>
      </c>
      <c r="CY24" s="51">
        <f t="shared" si="104"/>
        <v>96021.977551499993</v>
      </c>
      <c r="CZ24" s="48">
        <f t="shared" si="31"/>
        <v>28271.943699999996</v>
      </c>
      <c r="DA24" s="51">
        <f t="shared" si="105"/>
        <v>93461.391483459985</v>
      </c>
      <c r="DB24" s="53">
        <f t="shared" si="32"/>
        <v>27497.369899999994</v>
      </c>
      <c r="DC24" s="51">
        <f t="shared" si="106"/>
        <v>90900.805415419978</v>
      </c>
      <c r="DD24" s="53">
        <f t="shared" si="33"/>
        <v>26722.796099999996</v>
      </c>
      <c r="DE24" s="51">
        <f t="shared" si="107"/>
        <v>88340.219347379985</v>
      </c>
      <c r="DF24" s="53">
        <f t="shared" si="34"/>
        <v>25948.222299999994</v>
      </c>
      <c r="DG24" s="51">
        <f t="shared" si="108"/>
        <v>85779.633279339978</v>
      </c>
      <c r="DH24" s="53">
        <f t="shared" si="35"/>
        <v>25173.648499999992</v>
      </c>
      <c r="DI24" s="51">
        <f t="shared" si="109"/>
        <v>83219.047211299971</v>
      </c>
      <c r="DJ24" s="48">
        <f t="shared" si="36"/>
        <v>24399.074699999994</v>
      </c>
      <c r="DK24" s="51">
        <f t="shared" si="110"/>
        <v>80658.461143259978</v>
      </c>
      <c r="DL24" s="53">
        <f t="shared" si="37"/>
        <v>23624.500899999992</v>
      </c>
      <c r="DM24" s="51">
        <f t="shared" si="111"/>
        <v>78097.87507521997</v>
      </c>
      <c r="DN24" s="53">
        <f t="shared" si="38"/>
        <v>22849.92709999999</v>
      </c>
      <c r="DO24" s="51">
        <f t="shared" si="112"/>
        <v>75537.289007179963</v>
      </c>
      <c r="DP24" s="48">
        <f t="shared" si="39"/>
        <v>22075.353299999992</v>
      </c>
      <c r="DQ24" s="51">
        <f t="shared" si="113"/>
        <v>72976.70293913997</v>
      </c>
      <c r="DT24" s="48">
        <v>1</v>
      </c>
      <c r="DU24" s="48">
        <v>0.97</v>
      </c>
      <c r="DV24" s="48">
        <v>0.95</v>
      </c>
      <c r="DW24" s="48">
        <v>0.93</v>
      </c>
      <c r="DX24" s="48">
        <f t="shared" ref="DX24:EO24" si="164">+DW24-0.02</f>
        <v>0.91</v>
      </c>
      <c r="DY24" s="48">
        <f t="shared" si="164"/>
        <v>0.89</v>
      </c>
      <c r="DZ24" s="48">
        <f t="shared" si="164"/>
        <v>0.87</v>
      </c>
      <c r="EA24" s="48">
        <f t="shared" si="164"/>
        <v>0.85</v>
      </c>
      <c r="EB24" s="48">
        <f t="shared" si="164"/>
        <v>0.83</v>
      </c>
      <c r="EC24" s="48">
        <f t="shared" si="164"/>
        <v>0.80999999999999994</v>
      </c>
      <c r="ED24" s="48">
        <f t="shared" si="164"/>
        <v>0.78999999999999992</v>
      </c>
      <c r="EE24" s="48">
        <f t="shared" si="164"/>
        <v>0.76999999999999991</v>
      </c>
      <c r="EF24" s="48">
        <f t="shared" si="164"/>
        <v>0.74999999999999989</v>
      </c>
      <c r="EG24" s="48">
        <f t="shared" si="164"/>
        <v>0.72999999999999987</v>
      </c>
      <c r="EH24" s="48">
        <f t="shared" si="164"/>
        <v>0.70999999999999985</v>
      </c>
      <c r="EI24" s="48">
        <f t="shared" si="164"/>
        <v>0.68999999999999984</v>
      </c>
      <c r="EJ24" s="48">
        <f t="shared" si="164"/>
        <v>0.66999999999999982</v>
      </c>
      <c r="EK24" s="48">
        <f t="shared" si="164"/>
        <v>0.6499999999999998</v>
      </c>
      <c r="EL24" s="48">
        <f t="shared" si="164"/>
        <v>0.62999999999999978</v>
      </c>
      <c r="EM24" s="48">
        <f t="shared" si="164"/>
        <v>0.60999999999999976</v>
      </c>
      <c r="EN24" s="48">
        <f t="shared" si="164"/>
        <v>0.58999999999999975</v>
      </c>
      <c r="EO24" s="48">
        <f t="shared" si="164"/>
        <v>0.56999999999999973</v>
      </c>
      <c r="EQ24" s="48">
        <f t="shared" si="115"/>
        <v>35243.107900000003</v>
      </c>
      <c r="ER24" s="48">
        <f t="shared" si="116"/>
        <v>35243.107900000003</v>
      </c>
      <c r="ES24" s="51">
        <f t="shared" ref="ES24" si="165">+ER24*3.3058</f>
        <v>116506.66609582001</v>
      </c>
      <c r="ET24" s="48">
        <f t="shared" si="118"/>
        <v>34185.814663000005</v>
      </c>
      <c r="EU24" s="51">
        <f t="shared" si="119"/>
        <v>113011.46611294542</v>
      </c>
      <c r="EV24" s="48">
        <f t="shared" si="120"/>
        <v>33480.952505000001</v>
      </c>
      <c r="EW24" s="51">
        <f t="shared" si="121"/>
        <v>110681.33279102901</v>
      </c>
      <c r="EX24" s="48">
        <f t="shared" si="41"/>
        <v>32776.090347000005</v>
      </c>
      <c r="EY24" s="51">
        <f t="shared" si="122"/>
        <v>108351.19946911262</v>
      </c>
      <c r="EZ24" s="52">
        <f t="shared" si="42"/>
        <v>32071.228189000005</v>
      </c>
      <c r="FA24" s="51">
        <f t="shared" si="123"/>
        <v>106021.06614719622</v>
      </c>
      <c r="FB24" s="48">
        <f t="shared" si="43"/>
        <v>31366.366031000001</v>
      </c>
      <c r="FC24" s="51">
        <f t="shared" si="124"/>
        <v>103690.9328252798</v>
      </c>
      <c r="FD24" s="52">
        <f t="shared" si="44"/>
        <v>30661.503873000001</v>
      </c>
      <c r="FE24" s="51">
        <f t="shared" si="125"/>
        <v>101360.79950336341</v>
      </c>
      <c r="FF24" s="53">
        <f t="shared" si="45"/>
        <v>29956.641715000002</v>
      </c>
      <c r="FG24" s="51">
        <f t="shared" si="126"/>
        <v>99030.666181447014</v>
      </c>
      <c r="FH24" s="52">
        <f t="shared" si="46"/>
        <v>29251.779557000002</v>
      </c>
      <c r="FI24" s="51">
        <f t="shared" si="127"/>
        <v>96700.532859530605</v>
      </c>
      <c r="FJ24" s="48">
        <f t="shared" si="47"/>
        <v>28546.917399000002</v>
      </c>
      <c r="FK24" s="51">
        <f t="shared" si="128"/>
        <v>94370.399537614212</v>
      </c>
      <c r="FL24" s="53">
        <f t="shared" si="48"/>
        <v>27842.055240999998</v>
      </c>
      <c r="FM24" s="51">
        <f t="shared" si="129"/>
        <v>92040.266215697789</v>
      </c>
      <c r="FN24" s="53">
        <f t="shared" si="49"/>
        <v>27137.193082999998</v>
      </c>
      <c r="FO24" s="51">
        <f t="shared" si="130"/>
        <v>89710.132893781396</v>
      </c>
      <c r="FP24" s="53">
        <f t="shared" si="50"/>
        <v>26432.330924999998</v>
      </c>
      <c r="FQ24" s="51">
        <f t="shared" si="131"/>
        <v>87379.999571865003</v>
      </c>
      <c r="FR24" s="48">
        <f t="shared" si="51"/>
        <v>25727.468766999998</v>
      </c>
      <c r="FS24" s="51">
        <f t="shared" si="132"/>
        <v>85049.866249948594</v>
      </c>
      <c r="FT24" s="53">
        <f t="shared" si="52"/>
        <v>25022.606608999999</v>
      </c>
      <c r="FU24" s="51">
        <f t="shared" si="133"/>
        <v>82719.732928032201</v>
      </c>
      <c r="FV24" s="53">
        <f t="shared" si="53"/>
        <v>24317.744450999995</v>
      </c>
      <c r="FW24" s="51">
        <f t="shared" si="134"/>
        <v>80389.599606115778</v>
      </c>
      <c r="FX24" s="53">
        <f t="shared" si="54"/>
        <v>23612.882292999995</v>
      </c>
      <c r="FY24" s="51">
        <f t="shared" si="135"/>
        <v>78059.466284199385</v>
      </c>
      <c r="FZ24" s="53">
        <f t="shared" si="55"/>
        <v>22908.020134999995</v>
      </c>
      <c r="GA24" s="51">
        <f t="shared" si="136"/>
        <v>75729.332962282992</v>
      </c>
      <c r="GB24" s="48">
        <f t="shared" si="56"/>
        <v>22203.157976999995</v>
      </c>
      <c r="GC24" s="51">
        <f t="shared" si="137"/>
        <v>73399.199640366583</v>
      </c>
      <c r="GD24" s="53">
        <f t="shared" si="57"/>
        <v>21498.295818999992</v>
      </c>
      <c r="GE24" s="51">
        <f t="shared" si="138"/>
        <v>71069.066318450175</v>
      </c>
      <c r="GF24" s="53">
        <f t="shared" si="58"/>
        <v>20793.433660999992</v>
      </c>
      <c r="GG24" s="51">
        <f t="shared" si="139"/>
        <v>68738.932996533767</v>
      </c>
      <c r="GH24" s="48">
        <f t="shared" si="59"/>
        <v>20088.571502999992</v>
      </c>
      <c r="GI24" s="51">
        <f t="shared" si="140"/>
        <v>66408.799674617374</v>
      </c>
      <c r="GJ24" s="48"/>
      <c r="GK24" s="48"/>
      <c r="GL24" s="48">
        <v>1</v>
      </c>
      <c r="GM24" s="48">
        <v>0.97</v>
      </c>
      <c r="GN24" s="48">
        <v>0.95</v>
      </c>
      <c r="GO24" s="48">
        <v>0.93</v>
      </c>
      <c r="GP24" s="48">
        <f t="shared" ref="GP24:HG24" si="166">+GO24-0.02</f>
        <v>0.91</v>
      </c>
      <c r="GQ24" s="48">
        <f t="shared" si="166"/>
        <v>0.89</v>
      </c>
      <c r="GR24" s="48">
        <f t="shared" si="166"/>
        <v>0.87</v>
      </c>
      <c r="GS24" s="48">
        <f t="shared" si="166"/>
        <v>0.85</v>
      </c>
      <c r="GT24" s="48">
        <f t="shared" si="166"/>
        <v>0.83</v>
      </c>
      <c r="GU24" s="48">
        <f t="shared" si="166"/>
        <v>0.80999999999999994</v>
      </c>
      <c r="GV24" s="48">
        <f t="shared" si="166"/>
        <v>0.78999999999999992</v>
      </c>
      <c r="GW24" s="48">
        <f t="shared" si="166"/>
        <v>0.76999999999999991</v>
      </c>
      <c r="GX24" s="48">
        <f t="shared" si="166"/>
        <v>0.74999999999999989</v>
      </c>
      <c r="GY24" s="48">
        <f t="shared" si="166"/>
        <v>0.72999999999999987</v>
      </c>
      <c r="GZ24" s="48">
        <f t="shared" si="166"/>
        <v>0.70999999999999985</v>
      </c>
      <c r="HA24" s="48">
        <f t="shared" si="166"/>
        <v>0.68999999999999984</v>
      </c>
      <c r="HB24" s="48">
        <f t="shared" si="166"/>
        <v>0.66999999999999982</v>
      </c>
      <c r="HC24" s="48">
        <f t="shared" si="166"/>
        <v>0.6499999999999998</v>
      </c>
      <c r="HD24" s="48">
        <f t="shared" si="166"/>
        <v>0.62999999999999978</v>
      </c>
      <c r="HE24" s="48">
        <f t="shared" si="166"/>
        <v>0.60999999999999976</v>
      </c>
      <c r="HF24" s="48">
        <f t="shared" si="166"/>
        <v>0.58999999999999975</v>
      </c>
      <c r="HG24" s="48">
        <f t="shared" si="166"/>
        <v>0.56999999999999973</v>
      </c>
    </row>
    <row r="25" spans="1:215" x14ac:dyDescent="0.3">
      <c r="B25" s="2">
        <v>8</v>
      </c>
      <c r="C25" s="35" t="s">
        <v>35</v>
      </c>
      <c r="D25" s="47">
        <f>+D148</f>
        <v>95120</v>
      </c>
      <c r="E25" s="69">
        <f t="shared" si="0"/>
        <v>314440</v>
      </c>
      <c r="G25" s="48">
        <f t="shared" si="61"/>
        <v>104632.00000000001</v>
      </c>
      <c r="H25" s="48">
        <f t="shared" si="62"/>
        <v>104632.00000000001</v>
      </c>
      <c r="I25" s="51">
        <f t="shared" si="63"/>
        <v>345892.46560000005</v>
      </c>
      <c r="J25" s="48">
        <f t="shared" si="64"/>
        <v>101493.04000000001</v>
      </c>
      <c r="K25" s="51">
        <f t="shared" si="65"/>
        <v>335515.69163200003</v>
      </c>
      <c r="L25" s="48">
        <f t="shared" si="66"/>
        <v>99400.400000000009</v>
      </c>
      <c r="M25" s="51">
        <f t="shared" si="67"/>
        <v>328597.84232000005</v>
      </c>
      <c r="N25" s="48">
        <f t="shared" si="1"/>
        <v>97307.760000000024</v>
      </c>
      <c r="O25" s="51">
        <f t="shared" si="68"/>
        <v>321679.99300800008</v>
      </c>
      <c r="P25" s="52">
        <f t="shared" si="2"/>
        <v>95215.12000000001</v>
      </c>
      <c r="Q25" s="51">
        <f t="shared" si="69"/>
        <v>314762.14369600004</v>
      </c>
      <c r="R25" s="48">
        <f t="shared" si="3"/>
        <v>93122.48000000001</v>
      </c>
      <c r="S25" s="51">
        <f t="shared" si="70"/>
        <v>307844.29438400007</v>
      </c>
      <c r="T25" s="52">
        <f t="shared" si="4"/>
        <v>91029.840000000011</v>
      </c>
      <c r="U25" s="51">
        <f t="shared" si="71"/>
        <v>300926.44507200003</v>
      </c>
      <c r="V25" s="53">
        <f t="shared" si="5"/>
        <v>88937.200000000012</v>
      </c>
      <c r="W25" s="51">
        <f t="shared" si="72"/>
        <v>294008.59576000005</v>
      </c>
      <c r="X25" s="52">
        <f t="shared" si="6"/>
        <v>86844.560000000012</v>
      </c>
      <c r="Y25" s="51">
        <f t="shared" si="73"/>
        <v>287090.74644800002</v>
      </c>
      <c r="Z25" s="48">
        <f t="shared" si="7"/>
        <v>84751.920000000013</v>
      </c>
      <c r="AA25" s="51">
        <f t="shared" si="74"/>
        <v>280172.89713600004</v>
      </c>
      <c r="AB25" s="53">
        <f t="shared" si="8"/>
        <v>82659.28</v>
      </c>
      <c r="AC25" s="51">
        <f t="shared" si="75"/>
        <v>273255.04782400001</v>
      </c>
      <c r="AD25" s="53">
        <f t="shared" si="9"/>
        <v>80566.64</v>
      </c>
      <c r="AE25" s="51">
        <f t="shared" si="76"/>
        <v>266337.19851200003</v>
      </c>
      <c r="AF25" s="53">
        <f t="shared" si="10"/>
        <v>78474</v>
      </c>
      <c r="AG25" s="51">
        <f t="shared" si="77"/>
        <v>259419.3492</v>
      </c>
      <c r="AH25" s="48">
        <f t="shared" si="11"/>
        <v>76381.36</v>
      </c>
      <c r="AI25" s="51">
        <f t="shared" si="78"/>
        <v>252501.49988800002</v>
      </c>
      <c r="AJ25" s="53">
        <f t="shared" si="12"/>
        <v>74288.72</v>
      </c>
      <c r="AK25" s="51">
        <f t="shared" si="79"/>
        <v>245583.65057600001</v>
      </c>
      <c r="AL25" s="53">
        <f t="shared" si="13"/>
        <v>72196.079999999987</v>
      </c>
      <c r="AM25" s="51">
        <f t="shared" si="80"/>
        <v>238665.80126399995</v>
      </c>
      <c r="AN25" s="53">
        <f t="shared" si="14"/>
        <v>70103.439999999988</v>
      </c>
      <c r="AO25" s="51">
        <f t="shared" si="81"/>
        <v>231747.95195199997</v>
      </c>
      <c r="AP25" s="53">
        <f t="shared" si="15"/>
        <v>68010.799999999988</v>
      </c>
      <c r="AQ25" s="51">
        <f t="shared" si="82"/>
        <v>224830.10263999997</v>
      </c>
      <c r="AR25" s="48">
        <f t="shared" si="16"/>
        <v>65918.159999999989</v>
      </c>
      <c r="AS25" s="51">
        <f t="shared" si="83"/>
        <v>217912.25332799996</v>
      </c>
      <c r="AT25" s="53">
        <f t="shared" si="17"/>
        <v>63825.519999999982</v>
      </c>
      <c r="AU25" s="51">
        <f t="shared" si="84"/>
        <v>210994.40401599996</v>
      </c>
      <c r="AV25" s="53">
        <f t="shared" si="18"/>
        <v>61732.879999999983</v>
      </c>
      <c r="AW25" s="51">
        <f t="shared" si="85"/>
        <v>204076.55470399995</v>
      </c>
      <c r="AX25" s="48">
        <f t="shared" si="19"/>
        <v>59640.239999999983</v>
      </c>
      <c r="AY25" s="51">
        <f t="shared" si="86"/>
        <v>197158.70539199995</v>
      </c>
      <c r="BB25" s="48">
        <v>1</v>
      </c>
      <c r="BC25" s="48">
        <v>0.97</v>
      </c>
      <c r="BD25" s="48">
        <v>0.95</v>
      </c>
      <c r="BE25" s="48">
        <v>0.93</v>
      </c>
      <c r="BF25" s="48">
        <f t="shared" ref="BF25:BW25" si="167">+BE25-0.02</f>
        <v>0.91</v>
      </c>
      <c r="BG25" s="48">
        <f t="shared" si="167"/>
        <v>0.89</v>
      </c>
      <c r="BH25" s="48">
        <f t="shared" si="167"/>
        <v>0.87</v>
      </c>
      <c r="BI25" s="48">
        <f t="shared" si="167"/>
        <v>0.85</v>
      </c>
      <c r="BJ25" s="48">
        <f t="shared" si="167"/>
        <v>0.83</v>
      </c>
      <c r="BK25" s="48">
        <f t="shared" si="167"/>
        <v>0.80999999999999994</v>
      </c>
      <c r="BL25" s="48">
        <f t="shared" si="167"/>
        <v>0.78999999999999992</v>
      </c>
      <c r="BM25" s="48">
        <f t="shared" si="167"/>
        <v>0.76999999999999991</v>
      </c>
      <c r="BN25" s="48">
        <f t="shared" si="167"/>
        <v>0.74999999999999989</v>
      </c>
      <c r="BO25" s="48">
        <f t="shared" si="167"/>
        <v>0.72999999999999987</v>
      </c>
      <c r="BP25" s="48">
        <f t="shared" si="167"/>
        <v>0.70999999999999985</v>
      </c>
      <c r="BQ25" s="48">
        <f t="shared" si="167"/>
        <v>0.68999999999999984</v>
      </c>
      <c r="BR25" s="48">
        <f t="shared" si="167"/>
        <v>0.66999999999999982</v>
      </c>
      <c r="BS25" s="48">
        <f t="shared" si="167"/>
        <v>0.6499999999999998</v>
      </c>
      <c r="BT25" s="48">
        <f t="shared" si="167"/>
        <v>0.62999999999999978</v>
      </c>
      <c r="BU25" s="48">
        <f t="shared" si="167"/>
        <v>0.60999999999999976</v>
      </c>
      <c r="BV25" s="48">
        <f t="shared" si="167"/>
        <v>0.58999999999999975</v>
      </c>
      <c r="BW25" s="48">
        <f t="shared" si="167"/>
        <v>0.56999999999999973</v>
      </c>
      <c r="BY25" s="48">
        <f t="shared" si="88"/>
        <v>95215.12000000001</v>
      </c>
      <c r="BZ25" s="48">
        <f t="shared" si="89"/>
        <v>95215.12000000001</v>
      </c>
      <c r="CA25" s="51">
        <f t="shared" ref="CA25" si="168">+BZ25*3.3058</f>
        <v>314762.14369600004</v>
      </c>
      <c r="CB25" s="48">
        <f t="shared" si="91"/>
        <v>92358.666400000002</v>
      </c>
      <c r="CC25" s="51">
        <f t="shared" si="92"/>
        <v>305319.27938512003</v>
      </c>
      <c r="CD25" s="48">
        <f t="shared" si="93"/>
        <v>90454.364000000001</v>
      </c>
      <c r="CE25" s="51">
        <f t="shared" si="94"/>
        <v>299024.03651120001</v>
      </c>
      <c r="CF25" s="48">
        <f t="shared" si="21"/>
        <v>88550.061600000015</v>
      </c>
      <c r="CG25" s="51">
        <f t="shared" si="95"/>
        <v>292728.79363728006</v>
      </c>
      <c r="CH25" s="52">
        <f t="shared" si="22"/>
        <v>86645.759200000015</v>
      </c>
      <c r="CI25" s="51">
        <f t="shared" si="96"/>
        <v>286433.55076336005</v>
      </c>
      <c r="CJ25" s="48">
        <f t="shared" si="23"/>
        <v>84741.456800000014</v>
      </c>
      <c r="CK25" s="51">
        <f t="shared" si="97"/>
        <v>280138.30788944004</v>
      </c>
      <c r="CL25" s="52">
        <f t="shared" si="24"/>
        <v>82837.154400000014</v>
      </c>
      <c r="CM25" s="51">
        <f t="shared" si="98"/>
        <v>273843.06501552003</v>
      </c>
      <c r="CN25" s="53">
        <f t="shared" si="25"/>
        <v>80932.852000000014</v>
      </c>
      <c r="CO25" s="51">
        <f t="shared" si="99"/>
        <v>267547.82214160007</v>
      </c>
      <c r="CP25" s="52">
        <f t="shared" si="26"/>
        <v>79028.549599999998</v>
      </c>
      <c r="CQ25" s="51">
        <f t="shared" si="100"/>
        <v>261252.57926768</v>
      </c>
      <c r="CR25" s="48">
        <f t="shared" si="27"/>
        <v>77124.247199999998</v>
      </c>
      <c r="CS25" s="51">
        <f t="shared" si="101"/>
        <v>254957.33639375999</v>
      </c>
      <c r="CT25" s="53">
        <f t="shared" si="28"/>
        <v>75219.944799999997</v>
      </c>
      <c r="CU25" s="51">
        <f t="shared" si="102"/>
        <v>248662.09351984001</v>
      </c>
      <c r="CV25" s="53">
        <f t="shared" si="29"/>
        <v>73315.642399999997</v>
      </c>
      <c r="CW25" s="51">
        <f t="shared" si="103"/>
        <v>242366.85064592</v>
      </c>
      <c r="CX25" s="53">
        <f t="shared" si="30"/>
        <v>71411.34</v>
      </c>
      <c r="CY25" s="51">
        <f t="shared" si="104"/>
        <v>236071.60777199999</v>
      </c>
      <c r="CZ25" s="48">
        <f t="shared" si="31"/>
        <v>69507.037599999996</v>
      </c>
      <c r="DA25" s="51">
        <f t="shared" si="105"/>
        <v>229776.36489808001</v>
      </c>
      <c r="DB25" s="53">
        <f t="shared" si="32"/>
        <v>67602.735199999996</v>
      </c>
      <c r="DC25" s="51">
        <f t="shared" si="106"/>
        <v>223481.12202415999</v>
      </c>
      <c r="DD25" s="53">
        <f t="shared" si="33"/>
        <v>65698.432799999995</v>
      </c>
      <c r="DE25" s="51">
        <f t="shared" si="107"/>
        <v>217185.87915023998</v>
      </c>
      <c r="DF25" s="53">
        <f t="shared" si="34"/>
        <v>63794.130399999987</v>
      </c>
      <c r="DG25" s="51">
        <f t="shared" si="108"/>
        <v>210890.63627631997</v>
      </c>
      <c r="DH25" s="53">
        <f t="shared" si="35"/>
        <v>61889.827999999987</v>
      </c>
      <c r="DI25" s="51">
        <f t="shared" si="109"/>
        <v>204595.39340239996</v>
      </c>
      <c r="DJ25" s="48">
        <f t="shared" si="36"/>
        <v>59985.525599999986</v>
      </c>
      <c r="DK25" s="51">
        <f t="shared" si="110"/>
        <v>198300.15052847995</v>
      </c>
      <c r="DL25" s="53">
        <f t="shared" si="37"/>
        <v>58081.223199999986</v>
      </c>
      <c r="DM25" s="51">
        <f t="shared" si="111"/>
        <v>192004.90765455997</v>
      </c>
      <c r="DN25" s="53">
        <f t="shared" si="38"/>
        <v>56176.920799999985</v>
      </c>
      <c r="DO25" s="51">
        <f t="shared" si="112"/>
        <v>185709.66478063996</v>
      </c>
      <c r="DP25" s="48">
        <f t="shared" si="39"/>
        <v>54272.618399999978</v>
      </c>
      <c r="DQ25" s="51">
        <f t="shared" si="113"/>
        <v>179414.42190671992</v>
      </c>
      <c r="DT25" s="48">
        <v>1</v>
      </c>
      <c r="DU25" s="48">
        <v>0.97</v>
      </c>
      <c r="DV25" s="48">
        <v>0.95</v>
      </c>
      <c r="DW25" s="48">
        <v>0.93</v>
      </c>
      <c r="DX25" s="48">
        <f t="shared" ref="DX25:EO25" si="169">+DW25-0.02</f>
        <v>0.91</v>
      </c>
      <c r="DY25" s="48">
        <f t="shared" si="169"/>
        <v>0.89</v>
      </c>
      <c r="DZ25" s="48">
        <f t="shared" si="169"/>
        <v>0.87</v>
      </c>
      <c r="EA25" s="48">
        <f t="shared" si="169"/>
        <v>0.85</v>
      </c>
      <c r="EB25" s="48">
        <f t="shared" si="169"/>
        <v>0.83</v>
      </c>
      <c r="EC25" s="48">
        <f t="shared" si="169"/>
        <v>0.80999999999999994</v>
      </c>
      <c r="ED25" s="48">
        <f t="shared" si="169"/>
        <v>0.78999999999999992</v>
      </c>
      <c r="EE25" s="48">
        <f t="shared" si="169"/>
        <v>0.76999999999999991</v>
      </c>
      <c r="EF25" s="48">
        <f t="shared" si="169"/>
        <v>0.74999999999999989</v>
      </c>
      <c r="EG25" s="48">
        <f t="shared" si="169"/>
        <v>0.72999999999999987</v>
      </c>
      <c r="EH25" s="48">
        <f t="shared" si="169"/>
        <v>0.70999999999999985</v>
      </c>
      <c r="EI25" s="48">
        <f t="shared" si="169"/>
        <v>0.68999999999999984</v>
      </c>
      <c r="EJ25" s="48">
        <f t="shared" si="169"/>
        <v>0.66999999999999982</v>
      </c>
      <c r="EK25" s="48">
        <f t="shared" si="169"/>
        <v>0.6499999999999998</v>
      </c>
      <c r="EL25" s="48">
        <f t="shared" si="169"/>
        <v>0.62999999999999978</v>
      </c>
      <c r="EM25" s="48">
        <f t="shared" si="169"/>
        <v>0.60999999999999976</v>
      </c>
      <c r="EN25" s="48">
        <f t="shared" si="169"/>
        <v>0.58999999999999975</v>
      </c>
      <c r="EO25" s="48">
        <f t="shared" si="169"/>
        <v>0.56999999999999973</v>
      </c>
      <c r="EQ25" s="48">
        <f t="shared" si="115"/>
        <v>86645.759200000015</v>
      </c>
      <c r="ER25" s="48">
        <f t="shared" si="116"/>
        <v>86645.759200000015</v>
      </c>
      <c r="ES25" s="51">
        <f t="shared" ref="ES25" si="170">+ER25*3.3058</f>
        <v>286433.55076336005</v>
      </c>
      <c r="ET25" s="48">
        <f t="shared" si="118"/>
        <v>84046.386424000011</v>
      </c>
      <c r="EU25" s="51">
        <f t="shared" si="119"/>
        <v>277840.54424045922</v>
      </c>
      <c r="EV25" s="48">
        <f t="shared" si="120"/>
        <v>82313.471240000013</v>
      </c>
      <c r="EW25" s="51">
        <f t="shared" si="121"/>
        <v>272111.87322519207</v>
      </c>
      <c r="EX25" s="48">
        <f t="shared" si="41"/>
        <v>80580.556056000016</v>
      </c>
      <c r="EY25" s="51">
        <f t="shared" si="122"/>
        <v>266383.20220992487</v>
      </c>
      <c r="EZ25" s="52">
        <f t="shared" si="42"/>
        <v>78847.640872000018</v>
      </c>
      <c r="FA25" s="51">
        <f t="shared" si="123"/>
        <v>260654.53119465767</v>
      </c>
      <c r="FB25" s="48">
        <f t="shared" si="43"/>
        <v>77114.72568800002</v>
      </c>
      <c r="FC25" s="51">
        <f t="shared" si="124"/>
        <v>254925.86017939047</v>
      </c>
      <c r="FD25" s="52">
        <f t="shared" si="44"/>
        <v>75381.810504000008</v>
      </c>
      <c r="FE25" s="51">
        <f t="shared" si="125"/>
        <v>249197.18916412324</v>
      </c>
      <c r="FF25" s="53">
        <f t="shared" si="45"/>
        <v>73648.895320000011</v>
      </c>
      <c r="FG25" s="51">
        <f t="shared" si="126"/>
        <v>243468.51814885603</v>
      </c>
      <c r="FH25" s="52">
        <f t="shared" si="46"/>
        <v>71915.980136000013</v>
      </c>
      <c r="FI25" s="51">
        <f t="shared" si="127"/>
        <v>237739.84713358886</v>
      </c>
      <c r="FJ25" s="48">
        <f t="shared" si="47"/>
        <v>70183.064952000001</v>
      </c>
      <c r="FK25" s="51">
        <f t="shared" si="128"/>
        <v>232011.1761183216</v>
      </c>
      <c r="FL25" s="53">
        <f t="shared" si="48"/>
        <v>68450.149768000003</v>
      </c>
      <c r="FM25" s="51">
        <f t="shared" si="129"/>
        <v>226282.50510305443</v>
      </c>
      <c r="FN25" s="53">
        <f t="shared" si="49"/>
        <v>66717.234584000005</v>
      </c>
      <c r="FO25" s="51">
        <f t="shared" si="130"/>
        <v>220553.83408778723</v>
      </c>
      <c r="FP25" s="53">
        <f t="shared" si="50"/>
        <v>64984.3194</v>
      </c>
      <c r="FQ25" s="51">
        <f t="shared" si="131"/>
        <v>214825.16307251999</v>
      </c>
      <c r="FR25" s="48">
        <f t="shared" si="51"/>
        <v>63251.404216000003</v>
      </c>
      <c r="FS25" s="51">
        <f t="shared" si="132"/>
        <v>209096.49205725282</v>
      </c>
      <c r="FT25" s="53">
        <f t="shared" si="52"/>
        <v>61518.489031999998</v>
      </c>
      <c r="FU25" s="51">
        <f t="shared" si="133"/>
        <v>203367.82104198559</v>
      </c>
      <c r="FV25" s="53">
        <f t="shared" si="53"/>
        <v>59785.573847999993</v>
      </c>
      <c r="FW25" s="51">
        <f t="shared" si="134"/>
        <v>197639.15002671839</v>
      </c>
      <c r="FX25" s="53">
        <f t="shared" si="54"/>
        <v>58052.658663999995</v>
      </c>
      <c r="FY25" s="51">
        <f t="shared" si="135"/>
        <v>191910.47901145119</v>
      </c>
      <c r="FZ25" s="53">
        <f t="shared" si="55"/>
        <v>56319.74347999999</v>
      </c>
      <c r="GA25" s="51">
        <f t="shared" si="136"/>
        <v>186181.80799618398</v>
      </c>
      <c r="GB25" s="48">
        <f t="shared" si="56"/>
        <v>54586.828295999992</v>
      </c>
      <c r="GC25" s="51">
        <f t="shared" si="137"/>
        <v>180453.13698091678</v>
      </c>
      <c r="GD25" s="53">
        <f t="shared" si="57"/>
        <v>52853.913111999987</v>
      </c>
      <c r="GE25" s="51">
        <f t="shared" si="138"/>
        <v>174724.46596564955</v>
      </c>
      <c r="GF25" s="53">
        <f t="shared" si="58"/>
        <v>51120.99792799999</v>
      </c>
      <c r="GG25" s="51">
        <f t="shared" si="139"/>
        <v>168995.79495038238</v>
      </c>
      <c r="GH25" s="48">
        <f t="shared" si="59"/>
        <v>49388.082743999985</v>
      </c>
      <c r="GI25" s="51">
        <f t="shared" si="140"/>
        <v>163267.12393511515</v>
      </c>
      <c r="GJ25" s="48"/>
      <c r="GK25" s="48"/>
      <c r="GL25" s="48">
        <v>1</v>
      </c>
      <c r="GM25" s="48">
        <v>0.97</v>
      </c>
      <c r="GN25" s="48">
        <v>0.95</v>
      </c>
      <c r="GO25" s="48">
        <v>0.93</v>
      </c>
      <c r="GP25" s="48">
        <f t="shared" ref="GP25:HG25" si="171">+GO25-0.02</f>
        <v>0.91</v>
      </c>
      <c r="GQ25" s="48">
        <f t="shared" si="171"/>
        <v>0.89</v>
      </c>
      <c r="GR25" s="48">
        <f t="shared" si="171"/>
        <v>0.87</v>
      </c>
      <c r="GS25" s="48">
        <f t="shared" si="171"/>
        <v>0.85</v>
      </c>
      <c r="GT25" s="48">
        <f t="shared" si="171"/>
        <v>0.83</v>
      </c>
      <c r="GU25" s="48">
        <f t="shared" si="171"/>
        <v>0.80999999999999994</v>
      </c>
      <c r="GV25" s="48">
        <f t="shared" si="171"/>
        <v>0.78999999999999992</v>
      </c>
      <c r="GW25" s="48">
        <f t="shared" si="171"/>
        <v>0.76999999999999991</v>
      </c>
      <c r="GX25" s="48">
        <f t="shared" si="171"/>
        <v>0.74999999999999989</v>
      </c>
      <c r="GY25" s="48">
        <f t="shared" si="171"/>
        <v>0.72999999999999987</v>
      </c>
      <c r="GZ25" s="48">
        <f t="shared" si="171"/>
        <v>0.70999999999999985</v>
      </c>
      <c r="HA25" s="48">
        <f t="shared" si="171"/>
        <v>0.68999999999999984</v>
      </c>
      <c r="HB25" s="48">
        <f t="shared" si="171"/>
        <v>0.66999999999999982</v>
      </c>
      <c r="HC25" s="48">
        <f t="shared" si="171"/>
        <v>0.6499999999999998</v>
      </c>
      <c r="HD25" s="48">
        <f t="shared" si="171"/>
        <v>0.62999999999999978</v>
      </c>
      <c r="HE25" s="48">
        <f t="shared" si="171"/>
        <v>0.60999999999999976</v>
      </c>
      <c r="HF25" s="48">
        <f t="shared" si="171"/>
        <v>0.58999999999999975</v>
      </c>
      <c r="HG25" s="48">
        <f t="shared" si="171"/>
        <v>0.56999999999999973</v>
      </c>
    </row>
    <row r="26" spans="1:215" x14ac:dyDescent="0.3">
      <c r="B26" s="2">
        <v>9</v>
      </c>
      <c r="C26" s="35" t="s">
        <v>36</v>
      </c>
      <c r="D26" s="47">
        <f>+D155</f>
        <v>22620</v>
      </c>
      <c r="E26" s="69">
        <f t="shared" si="0"/>
        <v>74770</v>
      </c>
      <c r="G26" s="48">
        <f t="shared" si="61"/>
        <v>24882.000000000004</v>
      </c>
      <c r="H26" s="48">
        <f t="shared" si="62"/>
        <v>24882.000000000004</v>
      </c>
      <c r="I26" s="51">
        <f t="shared" si="63"/>
        <v>82254.915600000008</v>
      </c>
      <c r="J26" s="48">
        <f t="shared" si="64"/>
        <v>24135.540000000005</v>
      </c>
      <c r="K26" s="51">
        <f t="shared" si="65"/>
        <v>79787.268132000012</v>
      </c>
      <c r="L26" s="48">
        <f t="shared" si="66"/>
        <v>23637.9</v>
      </c>
      <c r="M26" s="51">
        <f t="shared" si="67"/>
        <v>78142.16982000001</v>
      </c>
      <c r="N26" s="48">
        <f t="shared" si="1"/>
        <v>23140.260000000006</v>
      </c>
      <c r="O26" s="51">
        <f t="shared" si="68"/>
        <v>76497.071508000023</v>
      </c>
      <c r="P26" s="52">
        <f t="shared" si="2"/>
        <v>22642.620000000003</v>
      </c>
      <c r="Q26" s="51">
        <f t="shared" si="69"/>
        <v>74851.973196000006</v>
      </c>
      <c r="R26" s="48">
        <f t="shared" si="3"/>
        <v>22144.980000000003</v>
      </c>
      <c r="S26" s="51">
        <f t="shared" si="70"/>
        <v>73206.874884000019</v>
      </c>
      <c r="T26" s="52">
        <f t="shared" si="4"/>
        <v>21647.340000000004</v>
      </c>
      <c r="U26" s="51">
        <f t="shared" si="71"/>
        <v>71561.776572000017</v>
      </c>
      <c r="V26" s="53">
        <f t="shared" si="5"/>
        <v>21149.7</v>
      </c>
      <c r="W26" s="51">
        <f t="shared" si="72"/>
        <v>69916.678260000001</v>
      </c>
      <c r="X26" s="52">
        <f t="shared" si="6"/>
        <v>20652.060000000001</v>
      </c>
      <c r="Y26" s="51">
        <f t="shared" si="73"/>
        <v>68271.579947999999</v>
      </c>
      <c r="Z26" s="48">
        <f t="shared" si="7"/>
        <v>20154.420000000002</v>
      </c>
      <c r="AA26" s="51">
        <f t="shared" si="74"/>
        <v>66626.481636000011</v>
      </c>
      <c r="AB26" s="53">
        <f t="shared" si="8"/>
        <v>19656.780000000002</v>
      </c>
      <c r="AC26" s="51">
        <f t="shared" si="75"/>
        <v>64981.383324000009</v>
      </c>
      <c r="AD26" s="53">
        <f t="shared" si="9"/>
        <v>19159.14</v>
      </c>
      <c r="AE26" s="51">
        <f t="shared" si="76"/>
        <v>63336.285012</v>
      </c>
      <c r="AF26" s="53">
        <f t="shared" si="10"/>
        <v>18661.5</v>
      </c>
      <c r="AG26" s="51">
        <f t="shared" si="77"/>
        <v>61691.186699999998</v>
      </c>
      <c r="AH26" s="48">
        <f t="shared" si="11"/>
        <v>18163.86</v>
      </c>
      <c r="AI26" s="51">
        <f t="shared" si="78"/>
        <v>60046.088388000004</v>
      </c>
      <c r="AJ26" s="53">
        <f t="shared" si="12"/>
        <v>17666.219999999998</v>
      </c>
      <c r="AK26" s="51">
        <f t="shared" si="79"/>
        <v>58400.990075999995</v>
      </c>
      <c r="AL26" s="53">
        <f t="shared" si="13"/>
        <v>17168.579999999998</v>
      </c>
      <c r="AM26" s="51">
        <f t="shared" si="80"/>
        <v>56755.891763999993</v>
      </c>
      <c r="AN26" s="53">
        <f t="shared" si="14"/>
        <v>16670.939999999999</v>
      </c>
      <c r="AO26" s="51">
        <f t="shared" si="81"/>
        <v>55110.793451999998</v>
      </c>
      <c r="AP26" s="53">
        <f t="shared" si="15"/>
        <v>16173.299999999997</v>
      </c>
      <c r="AQ26" s="51">
        <f t="shared" si="82"/>
        <v>53465.695139999996</v>
      </c>
      <c r="AR26" s="48">
        <f t="shared" si="16"/>
        <v>15675.659999999996</v>
      </c>
      <c r="AS26" s="51">
        <f t="shared" si="83"/>
        <v>51820.596827999987</v>
      </c>
      <c r="AT26" s="53">
        <f t="shared" si="17"/>
        <v>15178.019999999997</v>
      </c>
      <c r="AU26" s="51">
        <f t="shared" si="84"/>
        <v>50175.498515999992</v>
      </c>
      <c r="AV26" s="53">
        <f t="shared" si="18"/>
        <v>14680.379999999996</v>
      </c>
      <c r="AW26" s="51">
        <f t="shared" si="85"/>
        <v>48530.400203999983</v>
      </c>
      <c r="AX26" s="48">
        <f t="shared" si="19"/>
        <v>14182.739999999996</v>
      </c>
      <c r="AY26" s="51">
        <f t="shared" si="86"/>
        <v>46885.301891999989</v>
      </c>
      <c r="BB26" s="48">
        <v>1</v>
      </c>
      <c r="BC26" s="48">
        <v>0.97</v>
      </c>
      <c r="BD26" s="48">
        <v>0.95</v>
      </c>
      <c r="BE26" s="48">
        <v>0.93</v>
      </c>
      <c r="BF26" s="48">
        <f t="shared" ref="BF26:BW26" si="172">+BE26-0.02</f>
        <v>0.91</v>
      </c>
      <c r="BG26" s="48">
        <f t="shared" si="172"/>
        <v>0.89</v>
      </c>
      <c r="BH26" s="48">
        <f t="shared" si="172"/>
        <v>0.87</v>
      </c>
      <c r="BI26" s="48">
        <f t="shared" si="172"/>
        <v>0.85</v>
      </c>
      <c r="BJ26" s="48">
        <f t="shared" si="172"/>
        <v>0.83</v>
      </c>
      <c r="BK26" s="48">
        <f t="shared" si="172"/>
        <v>0.80999999999999994</v>
      </c>
      <c r="BL26" s="48">
        <f t="shared" si="172"/>
        <v>0.78999999999999992</v>
      </c>
      <c r="BM26" s="48">
        <f t="shared" si="172"/>
        <v>0.76999999999999991</v>
      </c>
      <c r="BN26" s="48">
        <f t="shared" si="172"/>
        <v>0.74999999999999989</v>
      </c>
      <c r="BO26" s="48">
        <f t="shared" si="172"/>
        <v>0.72999999999999987</v>
      </c>
      <c r="BP26" s="48">
        <f t="shared" si="172"/>
        <v>0.70999999999999985</v>
      </c>
      <c r="BQ26" s="48">
        <f t="shared" si="172"/>
        <v>0.68999999999999984</v>
      </c>
      <c r="BR26" s="48">
        <f t="shared" si="172"/>
        <v>0.66999999999999982</v>
      </c>
      <c r="BS26" s="48">
        <f t="shared" si="172"/>
        <v>0.6499999999999998</v>
      </c>
      <c r="BT26" s="48">
        <f t="shared" si="172"/>
        <v>0.62999999999999978</v>
      </c>
      <c r="BU26" s="48">
        <f t="shared" si="172"/>
        <v>0.60999999999999976</v>
      </c>
      <c r="BV26" s="48">
        <f t="shared" si="172"/>
        <v>0.58999999999999975</v>
      </c>
      <c r="BW26" s="48">
        <f t="shared" si="172"/>
        <v>0.56999999999999973</v>
      </c>
      <c r="BY26" s="48">
        <f t="shared" si="88"/>
        <v>22642.620000000003</v>
      </c>
      <c r="BZ26" s="48">
        <f t="shared" si="89"/>
        <v>22642.620000000003</v>
      </c>
      <c r="CA26" s="51">
        <f t="shared" ref="CA26" si="173">+BZ26*3.3058</f>
        <v>74851.973196000006</v>
      </c>
      <c r="CB26" s="48">
        <f t="shared" si="91"/>
        <v>21963.341400000001</v>
      </c>
      <c r="CC26" s="51">
        <f t="shared" si="92"/>
        <v>72606.414000119999</v>
      </c>
      <c r="CD26" s="48">
        <f t="shared" si="93"/>
        <v>21510.489000000001</v>
      </c>
      <c r="CE26" s="51">
        <f t="shared" si="94"/>
        <v>71109.374536200005</v>
      </c>
      <c r="CF26" s="48">
        <f t="shared" si="21"/>
        <v>21057.636600000005</v>
      </c>
      <c r="CG26" s="51">
        <f t="shared" si="95"/>
        <v>69612.335072280024</v>
      </c>
      <c r="CH26" s="52">
        <f t="shared" si="22"/>
        <v>20604.784200000002</v>
      </c>
      <c r="CI26" s="51">
        <f t="shared" si="96"/>
        <v>68115.295608360015</v>
      </c>
      <c r="CJ26" s="48">
        <f t="shared" si="23"/>
        <v>20151.931800000002</v>
      </c>
      <c r="CK26" s="51">
        <f t="shared" si="97"/>
        <v>66618.256144440005</v>
      </c>
      <c r="CL26" s="52">
        <f t="shared" si="24"/>
        <v>19699.079400000002</v>
      </c>
      <c r="CM26" s="51">
        <f t="shared" si="98"/>
        <v>65121.21668052001</v>
      </c>
      <c r="CN26" s="53">
        <f t="shared" si="25"/>
        <v>19246.227000000003</v>
      </c>
      <c r="CO26" s="51">
        <f t="shared" si="99"/>
        <v>63624.177216600008</v>
      </c>
      <c r="CP26" s="52">
        <f t="shared" si="26"/>
        <v>18793.374600000003</v>
      </c>
      <c r="CQ26" s="51">
        <f t="shared" si="100"/>
        <v>62127.137752680013</v>
      </c>
      <c r="CR26" s="48">
        <f t="shared" si="27"/>
        <v>18340.522199999999</v>
      </c>
      <c r="CS26" s="51">
        <f t="shared" si="101"/>
        <v>60630.098288759997</v>
      </c>
      <c r="CT26" s="53">
        <f t="shared" si="28"/>
        <v>17887.6698</v>
      </c>
      <c r="CU26" s="51">
        <f t="shared" si="102"/>
        <v>59133.058824840002</v>
      </c>
      <c r="CV26" s="53">
        <f t="shared" si="29"/>
        <v>17434.8174</v>
      </c>
      <c r="CW26" s="51">
        <f t="shared" si="103"/>
        <v>57636.01936092</v>
      </c>
      <c r="CX26" s="53">
        <f t="shared" si="30"/>
        <v>16981.965</v>
      </c>
      <c r="CY26" s="51">
        <f t="shared" si="104"/>
        <v>56138.979897000005</v>
      </c>
      <c r="CZ26" s="48">
        <f t="shared" si="31"/>
        <v>16529.1126</v>
      </c>
      <c r="DA26" s="51">
        <f t="shared" si="105"/>
        <v>54641.940433080003</v>
      </c>
      <c r="DB26" s="53">
        <f t="shared" si="32"/>
        <v>16076.260199999999</v>
      </c>
      <c r="DC26" s="51">
        <f t="shared" si="106"/>
        <v>53144.90096916</v>
      </c>
      <c r="DD26" s="53">
        <f t="shared" si="33"/>
        <v>15623.407799999997</v>
      </c>
      <c r="DE26" s="51">
        <f t="shared" si="107"/>
        <v>51647.861505239991</v>
      </c>
      <c r="DF26" s="53">
        <f t="shared" si="34"/>
        <v>15170.555399999997</v>
      </c>
      <c r="DG26" s="51">
        <f t="shared" si="108"/>
        <v>50150.822041319996</v>
      </c>
      <c r="DH26" s="53">
        <f t="shared" si="35"/>
        <v>14717.702999999998</v>
      </c>
      <c r="DI26" s="51">
        <f t="shared" si="109"/>
        <v>48653.782577399994</v>
      </c>
      <c r="DJ26" s="48">
        <f t="shared" si="36"/>
        <v>14264.850599999996</v>
      </c>
      <c r="DK26" s="51">
        <f t="shared" si="110"/>
        <v>47156.743113479992</v>
      </c>
      <c r="DL26" s="53">
        <f t="shared" si="37"/>
        <v>13811.998199999996</v>
      </c>
      <c r="DM26" s="51">
        <f t="shared" si="111"/>
        <v>45659.70364955999</v>
      </c>
      <c r="DN26" s="53">
        <f t="shared" si="38"/>
        <v>13359.145799999997</v>
      </c>
      <c r="DO26" s="51">
        <f t="shared" si="112"/>
        <v>44162.664185639987</v>
      </c>
      <c r="DP26" s="48">
        <f t="shared" si="39"/>
        <v>12906.293399999995</v>
      </c>
      <c r="DQ26" s="51">
        <f t="shared" si="113"/>
        <v>42665.624721719985</v>
      </c>
      <c r="DT26" s="48">
        <v>1</v>
      </c>
      <c r="DU26" s="48">
        <v>0.97</v>
      </c>
      <c r="DV26" s="48">
        <v>0.95</v>
      </c>
      <c r="DW26" s="48">
        <v>0.93</v>
      </c>
      <c r="DX26" s="48">
        <f t="shared" ref="DX26:EO26" si="174">+DW26-0.02</f>
        <v>0.91</v>
      </c>
      <c r="DY26" s="48">
        <f t="shared" si="174"/>
        <v>0.89</v>
      </c>
      <c r="DZ26" s="48">
        <f t="shared" si="174"/>
        <v>0.87</v>
      </c>
      <c r="EA26" s="48">
        <f t="shared" si="174"/>
        <v>0.85</v>
      </c>
      <c r="EB26" s="48">
        <f t="shared" si="174"/>
        <v>0.83</v>
      </c>
      <c r="EC26" s="48">
        <f t="shared" si="174"/>
        <v>0.80999999999999994</v>
      </c>
      <c r="ED26" s="48">
        <f t="shared" si="174"/>
        <v>0.78999999999999992</v>
      </c>
      <c r="EE26" s="48">
        <f t="shared" si="174"/>
        <v>0.76999999999999991</v>
      </c>
      <c r="EF26" s="48">
        <f t="shared" si="174"/>
        <v>0.74999999999999989</v>
      </c>
      <c r="EG26" s="48">
        <f t="shared" si="174"/>
        <v>0.72999999999999987</v>
      </c>
      <c r="EH26" s="48">
        <f t="shared" si="174"/>
        <v>0.70999999999999985</v>
      </c>
      <c r="EI26" s="48">
        <f t="shared" si="174"/>
        <v>0.68999999999999984</v>
      </c>
      <c r="EJ26" s="48">
        <f t="shared" si="174"/>
        <v>0.66999999999999982</v>
      </c>
      <c r="EK26" s="48">
        <f t="shared" si="174"/>
        <v>0.6499999999999998</v>
      </c>
      <c r="EL26" s="48">
        <f t="shared" si="174"/>
        <v>0.62999999999999978</v>
      </c>
      <c r="EM26" s="48">
        <f t="shared" si="174"/>
        <v>0.60999999999999976</v>
      </c>
      <c r="EN26" s="48">
        <f t="shared" si="174"/>
        <v>0.58999999999999975</v>
      </c>
      <c r="EO26" s="48">
        <f t="shared" si="174"/>
        <v>0.56999999999999973</v>
      </c>
      <c r="EQ26" s="48">
        <f t="shared" si="115"/>
        <v>20604.784200000002</v>
      </c>
      <c r="ER26" s="48">
        <f t="shared" si="116"/>
        <v>20604.784200000002</v>
      </c>
      <c r="ES26" s="51">
        <f t="shared" ref="ES26" si="175">+ER26*3.3058</f>
        <v>68115.295608360015</v>
      </c>
      <c r="ET26" s="48">
        <f t="shared" si="118"/>
        <v>19986.640674000002</v>
      </c>
      <c r="EU26" s="51">
        <f t="shared" si="119"/>
        <v>66071.836740109211</v>
      </c>
      <c r="EV26" s="48">
        <f t="shared" si="120"/>
        <v>19574.544990000002</v>
      </c>
      <c r="EW26" s="51">
        <f t="shared" si="121"/>
        <v>64709.530827942006</v>
      </c>
      <c r="EX26" s="48">
        <f t="shared" si="41"/>
        <v>19162.449306000002</v>
      </c>
      <c r="EY26" s="51">
        <f t="shared" si="122"/>
        <v>63347.224915774808</v>
      </c>
      <c r="EZ26" s="52">
        <f t="shared" si="42"/>
        <v>18750.353622000002</v>
      </c>
      <c r="FA26" s="51">
        <f t="shared" si="123"/>
        <v>61984.919003607611</v>
      </c>
      <c r="FB26" s="48">
        <f t="shared" si="43"/>
        <v>18338.257938000002</v>
      </c>
      <c r="FC26" s="51">
        <f t="shared" si="124"/>
        <v>60622.613091440413</v>
      </c>
      <c r="FD26" s="52">
        <f t="shared" si="44"/>
        <v>17926.162254000003</v>
      </c>
      <c r="FE26" s="51">
        <f t="shared" si="125"/>
        <v>59260.307179273208</v>
      </c>
      <c r="FF26" s="53">
        <f t="shared" si="45"/>
        <v>17514.066570000003</v>
      </c>
      <c r="FG26" s="51">
        <f t="shared" si="126"/>
        <v>57898.00126710601</v>
      </c>
      <c r="FH26" s="52">
        <f t="shared" si="46"/>
        <v>17101.970885999999</v>
      </c>
      <c r="FI26" s="51">
        <f t="shared" si="127"/>
        <v>56535.695354938798</v>
      </c>
      <c r="FJ26" s="48">
        <f t="shared" si="47"/>
        <v>16689.875201999999</v>
      </c>
      <c r="FK26" s="51">
        <f t="shared" si="128"/>
        <v>55173.3894427716</v>
      </c>
      <c r="FL26" s="53">
        <f t="shared" si="48"/>
        <v>16277.779517999999</v>
      </c>
      <c r="FM26" s="51">
        <f t="shared" si="129"/>
        <v>53811.083530604395</v>
      </c>
      <c r="FN26" s="53">
        <f t="shared" si="49"/>
        <v>15865.683833999999</v>
      </c>
      <c r="FO26" s="51">
        <f t="shared" si="130"/>
        <v>52448.777618437198</v>
      </c>
      <c r="FP26" s="53">
        <f t="shared" si="50"/>
        <v>15453.58815</v>
      </c>
      <c r="FQ26" s="51">
        <f t="shared" si="131"/>
        <v>51086.47170627</v>
      </c>
      <c r="FR26" s="48">
        <f t="shared" si="51"/>
        <v>15041.492465999998</v>
      </c>
      <c r="FS26" s="51">
        <f t="shared" si="132"/>
        <v>49724.165794102795</v>
      </c>
      <c r="FT26" s="53">
        <f t="shared" si="52"/>
        <v>14629.396781999998</v>
      </c>
      <c r="FU26" s="51">
        <f t="shared" si="133"/>
        <v>48361.859881935598</v>
      </c>
      <c r="FV26" s="53">
        <f t="shared" si="53"/>
        <v>14217.301097999998</v>
      </c>
      <c r="FW26" s="51">
        <f t="shared" si="134"/>
        <v>46999.553969768393</v>
      </c>
      <c r="FX26" s="53">
        <f t="shared" si="54"/>
        <v>13805.205413999998</v>
      </c>
      <c r="FY26" s="51">
        <f t="shared" si="135"/>
        <v>45637.248057601195</v>
      </c>
      <c r="FZ26" s="53">
        <f t="shared" si="55"/>
        <v>13393.109729999996</v>
      </c>
      <c r="GA26" s="51">
        <f t="shared" si="136"/>
        <v>44274.94214543399</v>
      </c>
      <c r="GB26" s="48">
        <f t="shared" si="56"/>
        <v>12981.014045999997</v>
      </c>
      <c r="GC26" s="51">
        <f t="shared" si="137"/>
        <v>42912.636233266792</v>
      </c>
      <c r="GD26" s="53">
        <f t="shared" si="57"/>
        <v>12568.918361999997</v>
      </c>
      <c r="GE26" s="51">
        <f t="shared" si="138"/>
        <v>41550.330321099587</v>
      </c>
      <c r="GF26" s="53">
        <f t="shared" si="58"/>
        <v>12156.822677999995</v>
      </c>
      <c r="GG26" s="51">
        <f t="shared" si="139"/>
        <v>40188.024408932382</v>
      </c>
      <c r="GH26" s="48">
        <f t="shared" si="59"/>
        <v>11744.726993999995</v>
      </c>
      <c r="GI26" s="51">
        <f t="shared" si="140"/>
        <v>38825.718496765185</v>
      </c>
      <c r="GJ26" s="48"/>
      <c r="GK26" s="48"/>
      <c r="GL26" s="48">
        <v>1</v>
      </c>
      <c r="GM26" s="48">
        <v>0.97</v>
      </c>
      <c r="GN26" s="48">
        <v>0.95</v>
      </c>
      <c r="GO26" s="48">
        <v>0.93</v>
      </c>
      <c r="GP26" s="48">
        <f t="shared" ref="GP26:HG26" si="176">+GO26-0.02</f>
        <v>0.91</v>
      </c>
      <c r="GQ26" s="48">
        <f t="shared" si="176"/>
        <v>0.89</v>
      </c>
      <c r="GR26" s="48">
        <f t="shared" si="176"/>
        <v>0.87</v>
      </c>
      <c r="GS26" s="48">
        <f t="shared" si="176"/>
        <v>0.85</v>
      </c>
      <c r="GT26" s="48">
        <f t="shared" si="176"/>
        <v>0.83</v>
      </c>
      <c r="GU26" s="48">
        <f t="shared" si="176"/>
        <v>0.80999999999999994</v>
      </c>
      <c r="GV26" s="48">
        <f t="shared" si="176"/>
        <v>0.78999999999999992</v>
      </c>
      <c r="GW26" s="48">
        <f t="shared" si="176"/>
        <v>0.76999999999999991</v>
      </c>
      <c r="GX26" s="48">
        <f t="shared" si="176"/>
        <v>0.74999999999999989</v>
      </c>
      <c r="GY26" s="48">
        <f t="shared" si="176"/>
        <v>0.72999999999999987</v>
      </c>
      <c r="GZ26" s="48">
        <f t="shared" si="176"/>
        <v>0.70999999999999985</v>
      </c>
      <c r="HA26" s="48">
        <f t="shared" si="176"/>
        <v>0.68999999999999984</v>
      </c>
      <c r="HB26" s="48">
        <f t="shared" si="176"/>
        <v>0.66999999999999982</v>
      </c>
      <c r="HC26" s="48">
        <f t="shared" si="176"/>
        <v>0.6499999999999998</v>
      </c>
      <c r="HD26" s="48">
        <f t="shared" si="176"/>
        <v>0.62999999999999978</v>
      </c>
      <c r="HE26" s="48">
        <f t="shared" si="176"/>
        <v>0.60999999999999976</v>
      </c>
      <c r="HF26" s="48">
        <f t="shared" si="176"/>
        <v>0.58999999999999975</v>
      </c>
      <c r="HG26" s="48">
        <f t="shared" si="176"/>
        <v>0.56999999999999973</v>
      </c>
    </row>
    <row r="27" spans="1:215" x14ac:dyDescent="0.3">
      <c r="B27" s="2">
        <v>10</v>
      </c>
      <c r="C27" s="35" t="s">
        <v>62</v>
      </c>
      <c r="D27" s="64">
        <f>TRUNC(SUM(D18:D26)*0.275,-1)</f>
        <v>359490</v>
      </c>
      <c r="E27" s="70">
        <f t="shared" si="0"/>
        <v>1188400</v>
      </c>
      <c r="G27" s="48">
        <f t="shared" si="61"/>
        <v>395439.00000000006</v>
      </c>
      <c r="H27" s="48">
        <f t="shared" si="62"/>
        <v>395439.00000000006</v>
      </c>
      <c r="I27" s="51">
        <f t="shared" si="63"/>
        <v>1307242.2462000002</v>
      </c>
      <c r="J27" s="48">
        <f t="shared" si="64"/>
        <v>383575.83000000007</v>
      </c>
      <c r="K27" s="51">
        <f t="shared" si="65"/>
        <v>1268024.9788140003</v>
      </c>
      <c r="L27" s="48">
        <f t="shared" si="66"/>
        <v>375667.05000000005</v>
      </c>
      <c r="M27" s="51">
        <f t="shared" si="67"/>
        <v>1241880.1338900002</v>
      </c>
      <c r="N27" s="48">
        <f t="shared" si="1"/>
        <v>367758.27000000008</v>
      </c>
      <c r="O27" s="51">
        <f t="shared" si="68"/>
        <v>1215735.2889660003</v>
      </c>
      <c r="P27" s="52">
        <f t="shared" si="2"/>
        <v>359849.49000000005</v>
      </c>
      <c r="Q27" s="51">
        <f t="shared" si="69"/>
        <v>1189590.4440420002</v>
      </c>
      <c r="R27" s="48">
        <f t="shared" si="3"/>
        <v>351940.71000000008</v>
      </c>
      <c r="S27" s="51">
        <f t="shared" si="70"/>
        <v>1163445.5991180004</v>
      </c>
      <c r="T27" s="52">
        <f t="shared" si="4"/>
        <v>344031.93000000005</v>
      </c>
      <c r="U27" s="51">
        <f t="shared" si="71"/>
        <v>1137300.7541940003</v>
      </c>
      <c r="V27" s="53">
        <f t="shared" si="5"/>
        <v>336123.15</v>
      </c>
      <c r="W27" s="51">
        <f t="shared" si="72"/>
        <v>1111155.9092700002</v>
      </c>
      <c r="X27" s="52">
        <f t="shared" si="6"/>
        <v>328214.37000000005</v>
      </c>
      <c r="Y27" s="51">
        <f t="shared" si="73"/>
        <v>1085011.0643460001</v>
      </c>
      <c r="Z27" s="48">
        <f t="shared" si="7"/>
        <v>320305.59000000003</v>
      </c>
      <c r="AA27" s="51">
        <f t="shared" si="74"/>
        <v>1058866.219422</v>
      </c>
      <c r="AB27" s="53">
        <f t="shared" si="8"/>
        <v>312396.81</v>
      </c>
      <c r="AC27" s="51">
        <f t="shared" si="75"/>
        <v>1032721.374498</v>
      </c>
      <c r="AD27" s="53">
        <f t="shared" si="9"/>
        <v>304488.03000000003</v>
      </c>
      <c r="AE27" s="51">
        <f t="shared" si="76"/>
        <v>1006576.5295740002</v>
      </c>
      <c r="AF27" s="53">
        <f t="shared" si="10"/>
        <v>296579.25</v>
      </c>
      <c r="AG27" s="51">
        <f t="shared" si="77"/>
        <v>980431.68465000007</v>
      </c>
      <c r="AH27" s="48">
        <f t="shared" si="11"/>
        <v>288670.46999999997</v>
      </c>
      <c r="AI27" s="51">
        <f t="shared" si="78"/>
        <v>954286.83972599998</v>
      </c>
      <c r="AJ27" s="53">
        <f t="shared" si="12"/>
        <v>280761.69</v>
      </c>
      <c r="AK27" s="51">
        <f t="shared" si="79"/>
        <v>928141.994802</v>
      </c>
      <c r="AL27" s="53">
        <f t="shared" si="13"/>
        <v>272852.90999999997</v>
      </c>
      <c r="AM27" s="51">
        <f t="shared" si="80"/>
        <v>901997.14987799991</v>
      </c>
      <c r="AN27" s="53">
        <f t="shared" si="14"/>
        <v>264944.12999999995</v>
      </c>
      <c r="AO27" s="51">
        <f t="shared" si="81"/>
        <v>875852.30495399982</v>
      </c>
      <c r="AP27" s="53">
        <f t="shared" si="15"/>
        <v>257035.34999999995</v>
      </c>
      <c r="AQ27" s="51">
        <f t="shared" si="82"/>
        <v>849707.46002999984</v>
      </c>
      <c r="AR27" s="48">
        <f t="shared" si="16"/>
        <v>249126.56999999995</v>
      </c>
      <c r="AS27" s="51">
        <f t="shared" si="83"/>
        <v>823562.61510599987</v>
      </c>
      <c r="AT27" s="53">
        <f t="shared" si="17"/>
        <v>241217.78999999995</v>
      </c>
      <c r="AU27" s="51">
        <f t="shared" si="84"/>
        <v>797417.77018199989</v>
      </c>
      <c r="AV27" s="53">
        <f t="shared" si="18"/>
        <v>233309.00999999992</v>
      </c>
      <c r="AW27" s="51">
        <f t="shared" si="85"/>
        <v>771272.9252579998</v>
      </c>
      <c r="AX27" s="48">
        <f t="shared" si="19"/>
        <v>225400.22999999992</v>
      </c>
      <c r="AY27" s="51">
        <f t="shared" si="86"/>
        <v>745128.08033399971</v>
      </c>
      <c r="BB27" s="48">
        <v>1</v>
      </c>
      <c r="BC27" s="48">
        <v>0.97</v>
      </c>
      <c r="BD27" s="48">
        <v>0.95</v>
      </c>
      <c r="BE27" s="48">
        <v>0.93</v>
      </c>
      <c r="BF27" s="48">
        <f t="shared" ref="BF27:BW27" si="177">+BE27-0.02</f>
        <v>0.91</v>
      </c>
      <c r="BG27" s="48">
        <f t="shared" si="177"/>
        <v>0.89</v>
      </c>
      <c r="BH27" s="48">
        <f t="shared" si="177"/>
        <v>0.87</v>
      </c>
      <c r="BI27" s="48">
        <f t="shared" si="177"/>
        <v>0.85</v>
      </c>
      <c r="BJ27" s="48">
        <f t="shared" si="177"/>
        <v>0.83</v>
      </c>
      <c r="BK27" s="48">
        <f t="shared" si="177"/>
        <v>0.80999999999999994</v>
      </c>
      <c r="BL27" s="48">
        <f t="shared" si="177"/>
        <v>0.78999999999999992</v>
      </c>
      <c r="BM27" s="48">
        <f t="shared" si="177"/>
        <v>0.76999999999999991</v>
      </c>
      <c r="BN27" s="48">
        <f t="shared" si="177"/>
        <v>0.74999999999999989</v>
      </c>
      <c r="BO27" s="48">
        <f t="shared" si="177"/>
        <v>0.72999999999999987</v>
      </c>
      <c r="BP27" s="48">
        <f t="shared" si="177"/>
        <v>0.70999999999999985</v>
      </c>
      <c r="BQ27" s="48">
        <f t="shared" si="177"/>
        <v>0.68999999999999984</v>
      </c>
      <c r="BR27" s="48">
        <f t="shared" si="177"/>
        <v>0.66999999999999982</v>
      </c>
      <c r="BS27" s="48">
        <f t="shared" si="177"/>
        <v>0.6499999999999998</v>
      </c>
      <c r="BT27" s="48">
        <f t="shared" si="177"/>
        <v>0.62999999999999978</v>
      </c>
      <c r="BU27" s="48">
        <f t="shared" si="177"/>
        <v>0.60999999999999976</v>
      </c>
      <c r="BV27" s="48">
        <f t="shared" si="177"/>
        <v>0.58999999999999975</v>
      </c>
      <c r="BW27" s="48">
        <f t="shared" si="177"/>
        <v>0.56999999999999973</v>
      </c>
      <c r="BY27" s="48">
        <f>+G27*0.7</f>
        <v>276807.30000000005</v>
      </c>
      <c r="BZ27" s="48">
        <f t="shared" si="89"/>
        <v>276807.30000000005</v>
      </c>
      <c r="CA27" s="51">
        <f t="shared" ref="CA27" si="178">+BZ27*3.3058</f>
        <v>915069.57234000019</v>
      </c>
      <c r="CB27" s="48">
        <f t="shared" si="91"/>
        <v>268503.08100000006</v>
      </c>
      <c r="CC27" s="51">
        <f t="shared" si="92"/>
        <v>887617.48516980023</v>
      </c>
      <c r="CD27" s="48">
        <f t="shared" si="93"/>
        <v>262966.93500000006</v>
      </c>
      <c r="CE27" s="51">
        <f t="shared" si="94"/>
        <v>869316.09372300026</v>
      </c>
      <c r="CF27" s="48">
        <f t="shared" si="21"/>
        <v>257430.78900000005</v>
      </c>
      <c r="CG27" s="51">
        <f t="shared" si="95"/>
        <v>851014.70227620017</v>
      </c>
      <c r="CH27" s="52">
        <f t="shared" si="22"/>
        <v>251894.64300000004</v>
      </c>
      <c r="CI27" s="51">
        <f t="shared" si="96"/>
        <v>832713.3108294002</v>
      </c>
      <c r="CJ27" s="48">
        <f t="shared" si="23"/>
        <v>246358.49700000003</v>
      </c>
      <c r="CK27" s="51">
        <f t="shared" si="97"/>
        <v>814411.91938260011</v>
      </c>
      <c r="CL27" s="52">
        <f t="shared" si="24"/>
        <v>240822.35100000005</v>
      </c>
      <c r="CM27" s="51">
        <f t="shared" si="98"/>
        <v>796110.52793580014</v>
      </c>
      <c r="CN27" s="53">
        <f t="shared" si="25"/>
        <v>235286.20500000005</v>
      </c>
      <c r="CO27" s="51">
        <f t="shared" si="99"/>
        <v>777809.13648900017</v>
      </c>
      <c r="CP27" s="52">
        <f t="shared" si="26"/>
        <v>229750.05900000004</v>
      </c>
      <c r="CQ27" s="51">
        <f t="shared" si="100"/>
        <v>759507.74504220008</v>
      </c>
      <c r="CR27" s="48">
        <f t="shared" si="27"/>
        <v>224213.91300000003</v>
      </c>
      <c r="CS27" s="51">
        <f t="shared" si="101"/>
        <v>741206.35359540011</v>
      </c>
      <c r="CT27" s="53">
        <f t="shared" si="28"/>
        <v>218677.76700000002</v>
      </c>
      <c r="CU27" s="51">
        <f t="shared" si="102"/>
        <v>722904.96214860014</v>
      </c>
      <c r="CV27" s="53">
        <f t="shared" si="29"/>
        <v>213141.62100000001</v>
      </c>
      <c r="CW27" s="51">
        <f t="shared" si="103"/>
        <v>704603.57070180005</v>
      </c>
      <c r="CX27" s="53">
        <f t="shared" si="30"/>
        <v>207605.47500000001</v>
      </c>
      <c r="CY27" s="51">
        <f t="shared" si="104"/>
        <v>686302.17925500008</v>
      </c>
      <c r="CZ27" s="48">
        <f t="shared" si="31"/>
        <v>202069.329</v>
      </c>
      <c r="DA27" s="51">
        <f t="shared" si="105"/>
        <v>668000.7878082</v>
      </c>
      <c r="DB27" s="53">
        <f t="shared" si="32"/>
        <v>196533.18299999999</v>
      </c>
      <c r="DC27" s="51">
        <f t="shared" si="106"/>
        <v>649699.39636140002</v>
      </c>
      <c r="DD27" s="53">
        <f t="shared" si="33"/>
        <v>190997.03699999998</v>
      </c>
      <c r="DE27" s="51">
        <f t="shared" si="107"/>
        <v>631398.00491459994</v>
      </c>
      <c r="DF27" s="53">
        <f t="shared" si="34"/>
        <v>185460.89099999997</v>
      </c>
      <c r="DG27" s="51">
        <f t="shared" si="108"/>
        <v>613096.61346779997</v>
      </c>
      <c r="DH27" s="53">
        <f t="shared" si="35"/>
        <v>179924.74499999997</v>
      </c>
      <c r="DI27" s="51">
        <f t="shared" si="109"/>
        <v>594795.22202099988</v>
      </c>
      <c r="DJ27" s="48">
        <f t="shared" si="36"/>
        <v>174388.59899999996</v>
      </c>
      <c r="DK27" s="51">
        <f t="shared" si="110"/>
        <v>576493.83057419991</v>
      </c>
      <c r="DL27" s="53">
        <f t="shared" si="37"/>
        <v>168852.45299999995</v>
      </c>
      <c r="DM27" s="51">
        <f t="shared" si="111"/>
        <v>558192.43912739982</v>
      </c>
      <c r="DN27" s="53">
        <f t="shared" si="38"/>
        <v>163316.30699999997</v>
      </c>
      <c r="DO27" s="51">
        <f t="shared" si="112"/>
        <v>539891.04768059996</v>
      </c>
      <c r="DP27" s="48">
        <f t="shared" si="39"/>
        <v>157780.16099999996</v>
      </c>
      <c r="DQ27" s="51">
        <f t="shared" si="113"/>
        <v>521589.65623379988</v>
      </c>
      <c r="DT27" s="48">
        <v>1</v>
      </c>
      <c r="DU27" s="48">
        <v>0.97</v>
      </c>
      <c r="DV27" s="48">
        <v>0.95</v>
      </c>
      <c r="DW27" s="48">
        <v>0.93</v>
      </c>
      <c r="DX27" s="48">
        <f t="shared" ref="DX27:EO27" si="179">+DW27-0.02</f>
        <v>0.91</v>
      </c>
      <c r="DY27" s="48">
        <f t="shared" si="179"/>
        <v>0.89</v>
      </c>
      <c r="DZ27" s="48">
        <f t="shared" si="179"/>
        <v>0.87</v>
      </c>
      <c r="EA27" s="48">
        <f t="shared" si="179"/>
        <v>0.85</v>
      </c>
      <c r="EB27" s="48">
        <f t="shared" si="179"/>
        <v>0.83</v>
      </c>
      <c r="EC27" s="48">
        <f t="shared" si="179"/>
        <v>0.80999999999999994</v>
      </c>
      <c r="ED27" s="48">
        <f t="shared" si="179"/>
        <v>0.78999999999999992</v>
      </c>
      <c r="EE27" s="48">
        <f t="shared" si="179"/>
        <v>0.76999999999999991</v>
      </c>
      <c r="EF27" s="48">
        <f t="shared" si="179"/>
        <v>0.74999999999999989</v>
      </c>
      <c r="EG27" s="48">
        <f t="shared" si="179"/>
        <v>0.72999999999999987</v>
      </c>
      <c r="EH27" s="48">
        <f t="shared" si="179"/>
        <v>0.70999999999999985</v>
      </c>
      <c r="EI27" s="48">
        <f t="shared" si="179"/>
        <v>0.68999999999999984</v>
      </c>
      <c r="EJ27" s="48">
        <f t="shared" si="179"/>
        <v>0.66999999999999982</v>
      </c>
      <c r="EK27" s="48">
        <f t="shared" si="179"/>
        <v>0.6499999999999998</v>
      </c>
      <c r="EL27" s="48">
        <f t="shared" si="179"/>
        <v>0.62999999999999978</v>
      </c>
      <c r="EM27" s="48">
        <f t="shared" si="179"/>
        <v>0.60999999999999976</v>
      </c>
      <c r="EN27" s="48">
        <f t="shared" si="179"/>
        <v>0.58999999999999975</v>
      </c>
      <c r="EO27" s="48">
        <f t="shared" si="179"/>
        <v>0.56999999999999973</v>
      </c>
      <c r="EQ27" s="48">
        <f>+BY27*0.7</f>
        <v>193765.11000000002</v>
      </c>
      <c r="ER27" s="48">
        <f t="shared" si="116"/>
        <v>193765.11000000002</v>
      </c>
      <c r="ES27" s="51">
        <f t="shared" ref="ES27" si="180">+ER27*3.3058</f>
        <v>640548.70063800004</v>
      </c>
      <c r="ET27" s="48">
        <f t="shared" si="118"/>
        <v>187952.15670000002</v>
      </c>
      <c r="EU27" s="51">
        <f t="shared" si="119"/>
        <v>621332.23961886007</v>
      </c>
      <c r="EV27" s="48">
        <f t="shared" si="120"/>
        <v>184076.85450000002</v>
      </c>
      <c r="EW27" s="51">
        <f t="shared" si="121"/>
        <v>608521.26560610009</v>
      </c>
      <c r="EX27" s="48">
        <f t="shared" si="41"/>
        <v>180201.55230000001</v>
      </c>
      <c r="EY27" s="51">
        <f t="shared" si="122"/>
        <v>595710.29159333999</v>
      </c>
      <c r="EZ27" s="52">
        <f t="shared" si="42"/>
        <v>176326.25010000003</v>
      </c>
      <c r="FA27" s="51">
        <f t="shared" si="123"/>
        <v>582899.31758058013</v>
      </c>
      <c r="FB27" s="48">
        <f t="shared" si="43"/>
        <v>172450.94790000003</v>
      </c>
      <c r="FC27" s="51">
        <f t="shared" si="124"/>
        <v>570088.34356782015</v>
      </c>
      <c r="FD27" s="52">
        <f t="shared" si="44"/>
        <v>168575.64570000002</v>
      </c>
      <c r="FE27" s="51">
        <f t="shared" si="125"/>
        <v>557277.36955506005</v>
      </c>
      <c r="FF27" s="53">
        <f t="shared" si="45"/>
        <v>164700.34350000002</v>
      </c>
      <c r="FG27" s="51">
        <f t="shared" si="126"/>
        <v>544466.39554230007</v>
      </c>
      <c r="FH27" s="52">
        <f t="shared" si="46"/>
        <v>160825.04130000001</v>
      </c>
      <c r="FI27" s="51">
        <f t="shared" si="127"/>
        <v>531655.42152954009</v>
      </c>
      <c r="FJ27" s="48">
        <f t="shared" si="47"/>
        <v>156949.73910000001</v>
      </c>
      <c r="FK27" s="51">
        <f t="shared" si="128"/>
        <v>518844.44751678006</v>
      </c>
      <c r="FL27" s="53">
        <f t="shared" si="48"/>
        <v>153074.4369</v>
      </c>
      <c r="FM27" s="51">
        <f t="shared" si="129"/>
        <v>506033.47350402002</v>
      </c>
      <c r="FN27" s="53">
        <f t="shared" si="49"/>
        <v>149199.1347</v>
      </c>
      <c r="FO27" s="51">
        <f t="shared" si="130"/>
        <v>493222.49949125998</v>
      </c>
      <c r="FP27" s="53">
        <f t="shared" si="50"/>
        <v>145323.83249999999</v>
      </c>
      <c r="FQ27" s="51">
        <f t="shared" si="131"/>
        <v>480411.5254785</v>
      </c>
      <c r="FR27" s="48">
        <f t="shared" si="51"/>
        <v>141448.53029999998</v>
      </c>
      <c r="FS27" s="51">
        <f t="shared" si="132"/>
        <v>467600.55146573996</v>
      </c>
      <c r="FT27" s="53">
        <f t="shared" si="52"/>
        <v>137573.22809999998</v>
      </c>
      <c r="FU27" s="51">
        <f t="shared" si="133"/>
        <v>454789.57745297992</v>
      </c>
      <c r="FV27" s="53">
        <f t="shared" si="53"/>
        <v>133697.92589999997</v>
      </c>
      <c r="FW27" s="51">
        <f t="shared" si="134"/>
        <v>441978.60344021994</v>
      </c>
      <c r="FX27" s="53">
        <f t="shared" si="54"/>
        <v>129822.62369999998</v>
      </c>
      <c r="FY27" s="51">
        <f t="shared" si="135"/>
        <v>429167.62942745996</v>
      </c>
      <c r="FZ27" s="53">
        <f t="shared" si="55"/>
        <v>125947.32149999998</v>
      </c>
      <c r="GA27" s="51">
        <f t="shared" si="136"/>
        <v>416356.65541469993</v>
      </c>
      <c r="GB27" s="48">
        <f t="shared" si="56"/>
        <v>122072.01929999997</v>
      </c>
      <c r="GC27" s="51">
        <f t="shared" si="137"/>
        <v>403545.68140193989</v>
      </c>
      <c r="GD27" s="53">
        <f t="shared" si="57"/>
        <v>118196.71709999997</v>
      </c>
      <c r="GE27" s="51">
        <f t="shared" si="138"/>
        <v>390734.70738917991</v>
      </c>
      <c r="GF27" s="53">
        <f t="shared" si="58"/>
        <v>114321.41489999996</v>
      </c>
      <c r="GG27" s="51">
        <f t="shared" si="139"/>
        <v>377923.73337641987</v>
      </c>
      <c r="GH27" s="48">
        <f t="shared" si="59"/>
        <v>110446.11269999995</v>
      </c>
      <c r="GI27" s="51">
        <f t="shared" si="140"/>
        <v>365112.75936365983</v>
      </c>
      <c r="GJ27" s="48"/>
      <c r="GK27" s="48"/>
      <c r="GL27" s="48">
        <v>1</v>
      </c>
      <c r="GM27" s="48">
        <v>0.97</v>
      </c>
      <c r="GN27" s="48">
        <v>0.95</v>
      </c>
      <c r="GO27" s="48">
        <v>0.93</v>
      </c>
      <c r="GP27" s="48">
        <f t="shared" ref="GP27:HG27" si="181">+GO27-0.02</f>
        <v>0.91</v>
      </c>
      <c r="GQ27" s="48">
        <f t="shared" si="181"/>
        <v>0.89</v>
      </c>
      <c r="GR27" s="48">
        <f t="shared" si="181"/>
        <v>0.87</v>
      </c>
      <c r="GS27" s="48">
        <f t="shared" si="181"/>
        <v>0.85</v>
      </c>
      <c r="GT27" s="48">
        <f t="shared" si="181"/>
        <v>0.83</v>
      </c>
      <c r="GU27" s="48">
        <f t="shared" si="181"/>
        <v>0.80999999999999994</v>
      </c>
      <c r="GV27" s="48">
        <f t="shared" si="181"/>
        <v>0.78999999999999992</v>
      </c>
      <c r="GW27" s="48">
        <f t="shared" si="181"/>
        <v>0.76999999999999991</v>
      </c>
      <c r="GX27" s="48">
        <f t="shared" si="181"/>
        <v>0.74999999999999989</v>
      </c>
      <c r="GY27" s="48">
        <f t="shared" si="181"/>
        <v>0.72999999999999987</v>
      </c>
      <c r="GZ27" s="48">
        <f t="shared" si="181"/>
        <v>0.70999999999999985</v>
      </c>
      <c r="HA27" s="48">
        <f t="shared" si="181"/>
        <v>0.68999999999999984</v>
      </c>
      <c r="HB27" s="48">
        <f t="shared" si="181"/>
        <v>0.66999999999999982</v>
      </c>
      <c r="HC27" s="48">
        <f t="shared" si="181"/>
        <v>0.6499999999999998</v>
      </c>
      <c r="HD27" s="48">
        <f t="shared" si="181"/>
        <v>0.62999999999999978</v>
      </c>
      <c r="HE27" s="48">
        <f t="shared" si="181"/>
        <v>0.60999999999999976</v>
      </c>
      <c r="HF27" s="48">
        <f t="shared" si="181"/>
        <v>0.58999999999999975</v>
      </c>
      <c r="HG27" s="48">
        <f t="shared" si="181"/>
        <v>0.56999999999999973</v>
      </c>
    </row>
    <row r="28" spans="1:215" x14ac:dyDescent="0.3">
      <c r="C28" s="35" t="s">
        <v>47</v>
      </c>
      <c r="D28" s="46">
        <f>SUM(D18:D27)</f>
        <v>1666760</v>
      </c>
      <c r="E28" s="46">
        <f>SUM(E18:E27)</f>
        <v>5509920</v>
      </c>
      <c r="G28" s="48">
        <f t="shared" si="61"/>
        <v>1833436.0000000002</v>
      </c>
      <c r="H28" s="48">
        <f t="shared" si="62"/>
        <v>1833436.0000000002</v>
      </c>
      <c r="I28" s="51">
        <f t="shared" si="63"/>
        <v>6060972.7288000006</v>
      </c>
      <c r="J28" s="48">
        <f t="shared" si="64"/>
        <v>1778432.9200000002</v>
      </c>
      <c r="K28" s="51">
        <f t="shared" si="65"/>
        <v>5879143.5469360007</v>
      </c>
      <c r="L28" s="48">
        <f t="shared" si="66"/>
        <v>1741764.2000000002</v>
      </c>
      <c r="M28" s="51">
        <f t="shared" si="67"/>
        <v>5757924.0923600011</v>
      </c>
      <c r="N28" s="48">
        <f t="shared" si="1"/>
        <v>1705095.4800000002</v>
      </c>
      <c r="O28" s="51">
        <f t="shared" si="68"/>
        <v>5636704.6377840005</v>
      </c>
      <c r="P28" s="52">
        <f t="shared" si="2"/>
        <v>1668426.7600000002</v>
      </c>
      <c r="Q28" s="51">
        <f t="shared" si="69"/>
        <v>5515485.1832080008</v>
      </c>
      <c r="R28" s="48">
        <f t="shared" si="3"/>
        <v>1631758.0400000003</v>
      </c>
      <c r="S28" s="51">
        <f t="shared" si="70"/>
        <v>5394265.7286320012</v>
      </c>
      <c r="T28" s="52">
        <f t="shared" si="4"/>
        <v>1595089.3200000003</v>
      </c>
      <c r="U28" s="51">
        <f t="shared" si="71"/>
        <v>5273046.2740560006</v>
      </c>
      <c r="V28" s="53">
        <f t="shared" si="5"/>
        <v>1558420.6</v>
      </c>
      <c r="W28" s="51">
        <f t="shared" si="72"/>
        <v>5151826.8194800001</v>
      </c>
      <c r="X28" s="52">
        <f t="shared" si="6"/>
        <v>1521751.8800000001</v>
      </c>
      <c r="Y28" s="51">
        <f t="shared" si="73"/>
        <v>5030607.3649040004</v>
      </c>
      <c r="Z28" s="48">
        <f t="shared" si="7"/>
        <v>1485083.1600000001</v>
      </c>
      <c r="AA28" s="51">
        <f t="shared" si="74"/>
        <v>4909387.9103280008</v>
      </c>
      <c r="AB28" s="53">
        <f t="shared" si="8"/>
        <v>1448414.44</v>
      </c>
      <c r="AC28" s="51">
        <f t="shared" si="75"/>
        <v>4788168.4557520002</v>
      </c>
      <c r="AD28" s="53">
        <f t="shared" si="9"/>
        <v>1411745.72</v>
      </c>
      <c r="AE28" s="51">
        <f t="shared" si="76"/>
        <v>4666949.0011759996</v>
      </c>
      <c r="AF28" s="53">
        <f t="shared" si="10"/>
        <v>1375077</v>
      </c>
      <c r="AG28" s="51">
        <f t="shared" si="77"/>
        <v>4545729.5466</v>
      </c>
      <c r="AH28" s="48">
        <f t="shared" si="11"/>
        <v>1338408.28</v>
      </c>
      <c r="AI28" s="51">
        <f t="shared" si="78"/>
        <v>4424510.0920240004</v>
      </c>
      <c r="AJ28" s="53">
        <f t="shared" si="12"/>
        <v>1301739.5599999998</v>
      </c>
      <c r="AK28" s="51">
        <f t="shared" si="79"/>
        <v>4303290.6374479998</v>
      </c>
      <c r="AL28" s="53">
        <f t="shared" si="13"/>
        <v>1265070.8399999999</v>
      </c>
      <c r="AM28" s="51">
        <f t="shared" si="80"/>
        <v>4182071.1828719997</v>
      </c>
      <c r="AN28" s="53">
        <f t="shared" si="14"/>
        <v>1228402.1199999999</v>
      </c>
      <c r="AO28" s="51">
        <f t="shared" si="81"/>
        <v>4060851.7282959996</v>
      </c>
      <c r="AP28" s="53">
        <f t="shared" si="15"/>
        <v>1191733.3999999997</v>
      </c>
      <c r="AQ28" s="51">
        <f t="shared" si="82"/>
        <v>3939632.273719999</v>
      </c>
      <c r="AR28" s="48">
        <f t="shared" si="16"/>
        <v>1155064.6799999997</v>
      </c>
      <c r="AS28" s="51">
        <f t="shared" si="83"/>
        <v>3818412.8191439989</v>
      </c>
      <c r="AT28" s="53">
        <f t="shared" si="17"/>
        <v>1118395.9599999997</v>
      </c>
      <c r="AU28" s="51">
        <f t="shared" si="84"/>
        <v>3697193.3645679993</v>
      </c>
      <c r="AV28" s="53">
        <f t="shared" si="18"/>
        <v>1081727.2399999998</v>
      </c>
      <c r="AW28" s="51">
        <f t="shared" si="85"/>
        <v>3575973.9099919992</v>
      </c>
      <c r="AX28" s="48">
        <f t="shared" si="19"/>
        <v>1045058.5199999997</v>
      </c>
      <c r="AY28" s="51">
        <f t="shared" si="86"/>
        <v>3454754.4554159991</v>
      </c>
      <c r="BB28" s="48">
        <v>1</v>
      </c>
      <c r="BC28" s="48">
        <v>0.97</v>
      </c>
      <c r="BD28" s="48">
        <v>0.95</v>
      </c>
      <c r="BE28" s="48">
        <v>0.93</v>
      </c>
      <c r="BF28" s="48">
        <f t="shared" ref="BF28:BW28" si="182">+BE28-0.02</f>
        <v>0.91</v>
      </c>
      <c r="BG28" s="48">
        <f t="shared" si="182"/>
        <v>0.89</v>
      </c>
      <c r="BH28" s="48">
        <f t="shared" si="182"/>
        <v>0.87</v>
      </c>
      <c r="BI28" s="48">
        <f t="shared" si="182"/>
        <v>0.85</v>
      </c>
      <c r="BJ28" s="48">
        <f t="shared" si="182"/>
        <v>0.83</v>
      </c>
      <c r="BK28" s="48">
        <f t="shared" si="182"/>
        <v>0.80999999999999994</v>
      </c>
      <c r="BL28" s="48">
        <f t="shared" si="182"/>
        <v>0.78999999999999992</v>
      </c>
      <c r="BM28" s="48">
        <f t="shared" si="182"/>
        <v>0.76999999999999991</v>
      </c>
      <c r="BN28" s="48">
        <f t="shared" si="182"/>
        <v>0.74999999999999989</v>
      </c>
      <c r="BO28" s="48">
        <f t="shared" si="182"/>
        <v>0.72999999999999987</v>
      </c>
      <c r="BP28" s="48">
        <f t="shared" si="182"/>
        <v>0.70999999999999985</v>
      </c>
      <c r="BQ28" s="48">
        <f t="shared" si="182"/>
        <v>0.68999999999999984</v>
      </c>
      <c r="BR28" s="48">
        <f t="shared" si="182"/>
        <v>0.66999999999999982</v>
      </c>
      <c r="BS28" s="48">
        <f t="shared" si="182"/>
        <v>0.6499999999999998</v>
      </c>
      <c r="BT28" s="48">
        <f t="shared" si="182"/>
        <v>0.62999999999999978</v>
      </c>
      <c r="BU28" s="48">
        <f t="shared" si="182"/>
        <v>0.60999999999999976</v>
      </c>
      <c r="BV28" s="48">
        <f t="shared" si="182"/>
        <v>0.58999999999999975</v>
      </c>
      <c r="BW28" s="48">
        <f t="shared" si="182"/>
        <v>0.56999999999999973</v>
      </c>
      <c r="BY28" s="48">
        <f>SUM(BY18:BY27)</f>
        <v>1585384.5700000003</v>
      </c>
      <c r="BZ28" s="48">
        <f t="shared" si="89"/>
        <v>1585384.5700000003</v>
      </c>
      <c r="CA28" s="51">
        <f t="shared" ref="CA28" si="183">+BZ28*3.3058</f>
        <v>5240964.3115060013</v>
      </c>
      <c r="CB28" s="48">
        <f t="shared" si="91"/>
        <v>1537823.0329000002</v>
      </c>
      <c r="CC28" s="51">
        <f t="shared" si="92"/>
        <v>5083735.382160821</v>
      </c>
      <c r="CD28" s="48">
        <f t="shared" si="93"/>
        <v>1506115.3415000001</v>
      </c>
      <c r="CE28" s="51">
        <f t="shared" si="94"/>
        <v>4978916.0959307002</v>
      </c>
      <c r="CF28" s="48">
        <f t="shared" si="21"/>
        <v>1474407.6501000004</v>
      </c>
      <c r="CG28" s="51">
        <f t="shared" si="95"/>
        <v>4874096.8097005812</v>
      </c>
      <c r="CH28" s="52">
        <f t="shared" si="22"/>
        <v>1442699.9587000003</v>
      </c>
      <c r="CI28" s="51">
        <f t="shared" si="96"/>
        <v>4769277.5234704614</v>
      </c>
      <c r="CJ28" s="48">
        <f t="shared" si="23"/>
        <v>1410992.2673000002</v>
      </c>
      <c r="CK28" s="51">
        <f t="shared" si="97"/>
        <v>4664458.2372403406</v>
      </c>
      <c r="CL28" s="52">
        <f t="shared" si="24"/>
        <v>1379284.5759000003</v>
      </c>
      <c r="CM28" s="51">
        <f t="shared" si="98"/>
        <v>4559638.9510102207</v>
      </c>
      <c r="CN28" s="53">
        <f t="shared" si="25"/>
        <v>1347576.8845000002</v>
      </c>
      <c r="CO28" s="51">
        <f t="shared" si="99"/>
        <v>4454819.6647801008</v>
      </c>
      <c r="CP28" s="52">
        <f t="shared" si="26"/>
        <v>1315869.1931000003</v>
      </c>
      <c r="CQ28" s="51">
        <f t="shared" si="100"/>
        <v>4350000.3785499809</v>
      </c>
      <c r="CR28" s="48">
        <f t="shared" si="27"/>
        <v>1284161.5017000001</v>
      </c>
      <c r="CS28" s="51">
        <f t="shared" si="101"/>
        <v>4245181.0923198601</v>
      </c>
      <c r="CT28" s="53">
        <f t="shared" si="28"/>
        <v>1252453.8103</v>
      </c>
      <c r="CU28" s="51">
        <f t="shared" si="102"/>
        <v>4140361.8060897402</v>
      </c>
      <c r="CV28" s="53">
        <f t="shared" si="29"/>
        <v>1220746.1189000001</v>
      </c>
      <c r="CW28" s="51">
        <f t="shared" si="103"/>
        <v>4035542.5198596204</v>
      </c>
      <c r="CX28" s="53">
        <f t="shared" si="30"/>
        <v>1189038.4275</v>
      </c>
      <c r="CY28" s="51">
        <f t="shared" si="104"/>
        <v>3930723.2336295</v>
      </c>
      <c r="CZ28" s="48">
        <f t="shared" si="31"/>
        <v>1157330.7361000001</v>
      </c>
      <c r="DA28" s="51">
        <f t="shared" si="105"/>
        <v>3825903.9473993806</v>
      </c>
      <c r="DB28" s="53">
        <f t="shared" si="32"/>
        <v>1125623.0447</v>
      </c>
      <c r="DC28" s="51">
        <f t="shared" si="106"/>
        <v>3721084.6611692598</v>
      </c>
      <c r="DD28" s="53">
        <f t="shared" si="33"/>
        <v>1093915.3532999998</v>
      </c>
      <c r="DE28" s="51">
        <f t="shared" si="107"/>
        <v>3616265.3749391395</v>
      </c>
      <c r="DF28" s="53">
        <f t="shared" si="34"/>
        <v>1062207.6618999999</v>
      </c>
      <c r="DG28" s="51">
        <f t="shared" si="108"/>
        <v>3511446.0887090201</v>
      </c>
      <c r="DH28" s="53">
        <f t="shared" si="35"/>
        <v>1030499.9704999998</v>
      </c>
      <c r="DI28" s="51">
        <f t="shared" si="109"/>
        <v>3406626.8024788997</v>
      </c>
      <c r="DJ28" s="48">
        <f t="shared" si="36"/>
        <v>998792.27909999981</v>
      </c>
      <c r="DK28" s="51">
        <f t="shared" si="110"/>
        <v>3301807.5162487794</v>
      </c>
      <c r="DL28" s="53">
        <f t="shared" si="37"/>
        <v>967084.5876999998</v>
      </c>
      <c r="DM28" s="51">
        <f t="shared" si="111"/>
        <v>3196988.2300186595</v>
      </c>
      <c r="DN28" s="53">
        <f t="shared" si="38"/>
        <v>935376.89629999979</v>
      </c>
      <c r="DO28" s="51">
        <f t="shared" si="112"/>
        <v>3092168.9437885392</v>
      </c>
      <c r="DP28" s="48">
        <f t="shared" si="39"/>
        <v>903669.20489999978</v>
      </c>
      <c r="DQ28" s="51">
        <f t="shared" si="113"/>
        <v>2987349.6575584193</v>
      </c>
      <c r="DT28" s="48">
        <v>1</v>
      </c>
      <c r="DU28" s="48">
        <v>0.97</v>
      </c>
      <c r="DV28" s="48">
        <v>0.95</v>
      </c>
      <c r="DW28" s="48">
        <v>0.93</v>
      </c>
      <c r="DX28" s="48">
        <f t="shared" ref="DX28:EO28" si="184">+DW28-0.02</f>
        <v>0.91</v>
      </c>
      <c r="DY28" s="48">
        <f t="shared" si="184"/>
        <v>0.89</v>
      </c>
      <c r="DZ28" s="48">
        <f t="shared" si="184"/>
        <v>0.87</v>
      </c>
      <c r="EA28" s="48">
        <f t="shared" si="184"/>
        <v>0.85</v>
      </c>
      <c r="EB28" s="48">
        <f t="shared" si="184"/>
        <v>0.83</v>
      </c>
      <c r="EC28" s="48">
        <f t="shared" si="184"/>
        <v>0.80999999999999994</v>
      </c>
      <c r="ED28" s="48">
        <f t="shared" si="184"/>
        <v>0.78999999999999992</v>
      </c>
      <c r="EE28" s="48">
        <f t="shared" si="184"/>
        <v>0.76999999999999991</v>
      </c>
      <c r="EF28" s="48">
        <f t="shared" si="184"/>
        <v>0.74999999999999989</v>
      </c>
      <c r="EG28" s="48">
        <f t="shared" si="184"/>
        <v>0.72999999999999987</v>
      </c>
      <c r="EH28" s="48">
        <f t="shared" si="184"/>
        <v>0.70999999999999985</v>
      </c>
      <c r="EI28" s="48">
        <f t="shared" si="184"/>
        <v>0.68999999999999984</v>
      </c>
      <c r="EJ28" s="48">
        <f t="shared" si="184"/>
        <v>0.66999999999999982</v>
      </c>
      <c r="EK28" s="48">
        <f t="shared" si="184"/>
        <v>0.6499999999999998</v>
      </c>
      <c r="EL28" s="48">
        <f t="shared" si="184"/>
        <v>0.62999999999999978</v>
      </c>
      <c r="EM28" s="48">
        <f t="shared" si="184"/>
        <v>0.60999999999999976</v>
      </c>
      <c r="EN28" s="48">
        <f t="shared" si="184"/>
        <v>0.58999999999999975</v>
      </c>
      <c r="EO28" s="48">
        <f t="shared" si="184"/>
        <v>0.56999999999999973</v>
      </c>
      <c r="EQ28" s="48">
        <f>SUM(EQ18:EQ27)</f>
        <v>1384570.4257000005</v>
      </c>
      <c r="ER28" s="48">
        <f t="shared" si="116"/>
        <v>1384570.4257000005</v>
      </c>
      <c r="ES28" s="51">
        <f t="shared" ref="ES28" si="185">+ER28*3.3058</f>
        <v>4577112.9132790621</v>
      </c>
      <c r="ET28" s="48">
        <f t="shared" si="118"/>
        <v>1343033.3129290005</v>
      </c>
      <c r="EU28" s="51">
        <f t="shared" si="119"/>
        <v>4439799.5258806897</v>
      </c>
      <c r="EV28" s="48">
        <f t="shared" si="120"/>
        <v>1315341.9044150005</v>
      </c>
      <c r="EW28" s="51">
        <f t="shared" si="121"/>
        <v>4348257.2676151088</v>
      </c>
      <c r="EX28" s="48">
        <f t="shared" si="41"/>
        <v>1287650.4959010005</v>
      </c>
      <c r="EY28" s="51">
        <f t="shared" si="122"/>
        <v>4256715.0093495278</v>
      </c>
      <c r="EZ28" s="52">
        <f t="shared" si="42"/>
        <v>1259959.0873870004</v>
      </c>
      <c r="FA28" s="51">
        <f t="shared" si="123"/>
        <v>4165172.7510839463</v>
      </c>
      <c r="FB28" s="48">
        <f t="shared" si="43"/>
        <v>1232267.6788730004</v>
      </c>
      <c r="FC28" s="51">
        <f t="shared" si="124"/>
        <v>4073630.4928183649</v>
      </c>
      <c r="FD28" s="52">
        <f t="shared" si="44"/>
        <v>1204576.2703590004</v>
      </c>
      <c r="FE28" s="51">
        <f t="shared" si="125"/>
        <v>3982088.2345527839</v>
      </c>
      <c r="FF28" s="53">
        <f t="shared" si="45"/>
        <v>1176884.8618450004</v>
      </c>
      <c r="FG28" s="51">
        <f t="shared" si="126"/>
        <v>3890545.9762872024</v>
      </c>
      <c r="FH28" s="52">
        <f t="shared" si="46"/>
        <v>1149193.4533310004</v>
      </c>
      <c r="FI28" s="51">
        <f t="shared" si="127"/>
        <v>3799003.718021621</v>
      </c>
      <c r="FJ28" s="48">
        <f t="shared" si="47"/>
        <v>1121502.0448170004</v>
      </c>
      <c r="FK28" s="51">
        <f t="shared" si="128"/>
        <v>3707461.45975604</v>
      </c>
      <c r="FL28" s="53">
        <f t="shared" si="48"/>
        <v>1093810.6363030004</v>
      </c>
      <c r="FM28" s="51">
        <f t="shared" si="129"/>
        <v>3615919.2014904586</v>
      </c>
      <c r="FN28" s="53">
        <f t="shared" si="49"/>
        <v>1066119.2277890001</v>
      </c>
      <c r="FO28" s="51">
        <f t="shared" si="130"/>
        <v>3524376.9432248767</v>
      </c>
      <c r="FP28" s="53">
        <f t="shared" si="50"/>
        <v>1038427.8192750002</v>
      </c>
      <c r="FQ28" s="51">
        <f t="shared" si="131"/>
        <v>3432834.6849592957</v>
      </c>
      <c r="FR28" s="48">
        <f t="shared" si="51"/>
        <v>1010736.4107610001</v>
      </c>
      <c r="FS28" s="51">
        <f t="shared" si="132"/>
        <v>3341292.4266937142</v>
      </c>
      <c r="FT28" s="53">
        <f t="shared" si="52"/>
        <v>983045.00224700011</v>
      </c>
      <c r="FU28" s="51">
        <f t="shared" si="133"/>
        <v>3249750.1684281332</v>
      </c>
      <c r="FV28" s="53">
        <f t="shared" si="53"/>
        <v>955353.5937330001</v>
      </c>
      <c r="FW28" s="51">
        <f t="shared" si="134"/>
        <v>3158207.9101625518</v>
      </c>
      <c r="FX28" s="53">
        <f t="shared" si="54"/>
        <v>927662.18521900009</v>
      </c>
      <c r="FY28" s="51">
        <f t="shared" si="135"/>
        <v>3066665.6518969703</v>
      </c>
      <c r="FZ28" s="53">
        <f t="shared" si="55"/>
        <v>899970.77670500008</v>
      </c>
      <c r="GA28" s="51">
        <f t="shared" si="136"/>
        <v>2975123.3936313894</v>
      </c>
      <c r="GB28" s="48">
        <f t="shared" si="56"/>
        <v>872279.36819099996</v>
      </c>
      <c r="GC28" s="51">
        <f t="shared" si="137"/>
        <v>2883581.1353658079</v>
      </c>
      <c r="GD28" s="53">
        <f t="shared" si="57"/>
        <v>844587.95967699995</v>
      </c>
      <c r="GE28" s="51">
        <f t="shared" si="138"/>
        <v>2792038.8771002265</v>
      </c>
      <c r="GF28" s="53">
        <f t="shared" si="58"/>
        <v>816896.55116299994</v>
      </c>
      <c r="GG28" s="51">
        <f t="shared" si="139"/>
        <v>2700496.6188346455</v>
      </c>
      <c r="GH28" s="48">
        <f t="shared" si="59"/>
        <v>789205.14264899993</v>
      </c>
      <c r="GI28" s="51">
        <f t="shared" si="140"/>
        <v>2608954.360569064</v>
      </c>
      <c r="GJ28" s="48"/>
      <c r="GK28" s="48"/>
      <c r="GL28" s="48">
        <v>1</v>
      </c>
      <c r="GM28" s="48">
        <v>0.97</v>
      </c>
      <c r="GN28" s="48">
        <v>0.95</v>
      </c>
      <c r="GO28" s="48">
        <v>0.93</v>
      </c>
      <c r="GP28" s="48">
        <f t="shared" ref="GP28:HG28" si="186">+GO28-0.02</f>
        <v>0.91</v>
      </c>
      <c r="GQ28" s="48">
        <f t="shared" si="186"/>
        <v>0.89</v>
      </c>
      <c r="GR28" s="48">
        <f t="shared" si="186"/>
        <v>0.87</v>
      </c>
      <c r="GS28" s="48">
        <f t="shared" si="186"/>
        <v>0.85</v>
      </c>
      <c r="GT28" s="48">
        <f t="shared" si="186"/>
        <v>0.83</v>
      </c>
      <c r="GU28" s="48">
        <f t="shared" si="186"/>
        <v>0.80999999999999994</v>
      </c>
      <c r="GV28" s="48">
        <f t="shared" si="186"/>
        <v>0.78999999999999992</v>
      </c>
      <c r="GW28" s="48">
        <f t="shared" si="186"/>
        <v>0.76999999999999991</v>
      </c>
      <c r="GX28" s="48">
        <f t="shared" si="186"/>
        <v>0.74999999999999989</v>
      </c>
      <c r="GY28" s="48">
        <f t="shared" si="186"/>
        <v>0.72999999999999987</v>
      </c>
      <c r="GZ28" s="48">
        <f t="shared" si="186"/>
        <v>0.70999999999999985</v>
      </c>
      <c r="HA28" s="48">
        <f t="shared" si="186"/>
        <v>0.68999999999999984</v>
      </c>
      <c r="HB28" s="48">
        <f t="shared" si="186"/>
        <v>0.66999999999999982</v>
      </c>
      <c r="HC28" s="48">
        <f t="shared" si="186"/>
        <v>0.6499999999999998</v>
      </c>
      <c r="HD28" s="48">
        <f t="shared" si="186"/>
        <v>0.62999999999999978</v>
      </c>
      <c r="HE28" s="48">
        <f t="shared" si="186"/>
        <v>0.60999999999999976</v>
      </c>
      <c r="HF28" s="48">
        <f t="shared" si="186"/>
        <v>0.58999999999999975</v>
      </c>
      <c r="HG28" s="48">
        <f t="shared" si="186"/>
        <v>0.56999999999999973</v>
      </c>
    </row>
    <row r="29" spans="1:215" s="54" customFormat="1" x14ac:dyDescent="0.3">
      <c r="C29" s="55"/>
      <c r="D29" s="55"/>
      <c r="E29" s="55"/>
      <c r="G29" s="56"/>
      <c r="H29" s="56"/>
      <c r="I29" s="56"/>
      <c r="J29" s="56"/>
      <c r="K29" s="56"/>
      <c r="L29" s="56"/>
      <c r="M29" s="56"/>
      <c r="N29" s="56"/>
      <c r="O29" s="56"/>
      <c r="P29" s="57" t="s">
        <v>110</v>
      </c>
      <c r="Q29" s="56"/>
      <c r="R29" s="56" t="s">
        <v>111</v>
      </c>
      <c r="S29" s="56"/>
      <c r="T29" s="57" t="s">
        <v>112</v>
      </c>
      <c r="U29" s="56"/>
      <c r="V29" s="58" t="s">
        <v>113</v>
      </c>
      <c r="W29" s="56"/>
      <c r="X29" s="57" t="s">
        <v>114</v>
      </c>
      <c r="Y29" s="56"/>
      <c r="Z29" s="56" t="s">
        <v>115</v>
      </c>
      <c r="AA29" s="56"/>
      <c r="AB29" s="58" t="s">
        <v>116</v>
      </c>
      <c r="AC29" s="56"/>
      <c r="AD29" s="58" t="s">
        <v>117</v>
      </c>
      <c r="AE29" s="56"/>
      <c r="AF29" s="58" t="s">
        <v>118</v>
      </c>
      <c r="AG29" s="56"/>
      <c r="AH29" s="56" t="s">
        <v>119</v>
      </c>
      <c r="AI29" s="56"/>
      <c r="AJ29" s="58" t="s">
        <v>120</v>
      </c>
      <c r="AK29" s="56"/>
      <c r="AL29" s="58" t="s">
        <v>121</v>
      </c>
      <c r="AM29" s="56"/>
      <c r="AN29" s="58" t="s">
        <v>122</v>
      </c>
      <c r="AO29" s="56"/>
      <c r="AP29" s="58" t="s">
        <v>123</v>
      </c>
      <c r="AQ29" s="56"/>
      <c r="AR29" s="56" t="s">
        <v>124</v>
      </c>
      <c r="AS29" s="56"/>
      <c r="AT29" s="58" t="s">
        <v>125</v>
      </c>
      <c r="AU29" s="56"/>
      <c r="AV29" s="58" t="s">
        <v>126</v>
      </c>
      <c r="AW29" s="56"/>
      <c r="AX29" s="56" t="s">
        <v>127</v>
      </c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>
        <f t="shared" si="88"/>
        <v>0</v>
      </c>
      <c r="BZ29" s="56"/>
      <c r="CA29" s="56"/>
      <c r="CB29" s="56"/>
      <c r="CC29" s="56"/>
      <c r="CD29" s="56"/>
      <c r="CE29" s="56"/>
      <c r="CF29" s="56"/>
      <c r="CG29" s="56"/>
      <c r="CH29" s="57" t="s">
        <v>110</v>
      </c>
      <c r="CI29" s="56"/>
      <c r="CJ29" s="56" t="s">
        <v>111</v>
      </c>
      <c r="CK29" s="56"/>
      <c r="CL29" s="57" t="s">
        <v>112</v>
      </c>
      <c r="CM29" s="56"/>
      <c r="CN29" s="58" t="s">
        <v>113</v>
      </c>
      <c r="CO29" s="56"/>
      <c r="CP29" s="57" t="s">
        <v>114</v>
      </c>
      <c r="CQ29" s="56"/>
      <c r="CR29" s="56" t="s">
        <v>115</v>
      </c>
      <c r="CS29" s="56"/>
      <c r="CT29" s="58" t="s">
        <v>116</v>
      </c>
      <c r="CU29" s="56"/>
      <c r="CV29" s="58" t="s">
        <v>117</v>
      </c>
      <c r="CW29" s="56"/>
      <c r="CX29" s="58" t="s">
        <v>118</v>
      </c>
      <c r="CY29" s="56"/>
      <c r="CZ29" s="56" t="s">
        <v>119</v>
      </c>
      <c r="DA29" s="56"/>
      <c r="DB29" s="58" t="s">
        <v>120</v>
      </c>
      <c r="DC29" s="56"/>
      <c r="DD29" s="58" t="s">
        <v>121</v>
      </c>
      <c r="DE29" s="56"/>
      <c r="DF29" s="58" t="s">
        <v>122</v>
      </c>
      <c r="DG29" s="56"/>
      <c r="DH29" s="58" t="s">
        <v>123</v>
      </c>
      <c r="DI29" s="56"/>
      <c r="DJ29" s="56" t="s">
        <v>124</v>
      </c>
      <c r="DK29" s="56"/>
      <c r="DL29" s="58" t="s">
        <v>125</v>
      </c>
      <c r="DM29" s="56"/>
      <c r="DN29" s="58" t="s">
        <v>126</v>
      </c>
      <c r="DO29" s="56"/>
      <c r="DP29" s="56" t="s">
        <v>127</v>
      </c>
      <c r="DQ29" s="56"/>
      <c r="DR29" s="56"/>
      <c r="DS29" s="56"/>
      <c r="DT29" s="56">
        <v>1</v>
      </c>
      <c r="DU29" s="56">
        <v>0.97</v>
      </c>
      <c r="DV29" s="56">
        <v>0.95</v>
      </c>
      <c r="DW29" s="56">
        <v>0.93</v>
      </c>
      <c r="DX29" s="56">
        <f t="shared" ref="DX29:EO29" si="187">+DW29-0.02</f>
        <v>0.91</v>
      </c>
      <c r="DY29" s="56">
        <f t="shared" si="187"/>
        <v>0.89</v>
      </c>
      <c r="DZ29" s="56">
        <f t="shared" si="187"/>
        <v>0.87</v>
      </c>
      <c r="EA29" s="56">
        <f t="shared" si="187"/>
        <v>0.85</v>
      </c>
      <c r="EB29" s="56">
        <f t="shared" si="187"/>
        <v>0.83</v>
      </c>
      <c r="EC29" s="56">
        <f t="shared" si="187"/>
        <v>0.80999999999999994</v>
      </c>
      <c r="ED29" s="56">
        <f t="shared" si="187"/>
        <v>0.78999999999999992</v>
      </c>
      <c r="EE29" s="56">
        <f t="shared" si="187"/>
        <v>0.76999999999999991</v>
      </c>
      <c r="EF29" s="56">
        <f t="shared" si="187"/>
        <v>0.74999999999999989</v>
      </c>
      <c r="EG29" s="56">
        <f t="shared" si="187"/>
        <v>0.72999999999999987</v>
      </c>
      <c r="EH29" s="56">
        <f t="shared" si="187"/>
        <v>0.70999999999999985</v>
      </c>
      <c r="EI29" s="56">
        <f t="shared" si="187"/>
        <v>0.68999999999999984</v>
      </c>
      <c r="EJ29" s="56">
        <f t="shared" si="187"/>
        <v>0.66999999999999982</v>
      </c>
      <c r="EK29" s="56">
        <f t="shared" si="187"/>
        <v>0.6499999999999998</v>
      </c>
      <c r="EL29" s="56">
        <f t="shared" si="187"/>
        <v>0.62999999999999978</v>
      </c>
      <c r="EM29" s="56">
        <f t="shared" si="187"/>
        <v>0.60999999999999976</v>
      </c>
      <c r="EN29" s="56">
        <f t="shared" si="187"/>
        <v>0.58999999999999975</v>
      </c>
      <c r="EO29" s="56">
        <f t="shared" si="187"/>
        <v>0.56999999999999973</v>
      </c>
      <c r="EQ29" s="56">
        <f t="shared" ref="EQ29:EQ93" si="188">+BY29*0.91</f>
        <v>0</v>
      </c>
      <c r="ER29" s="56"/>
      <c r="ES29" s="56"/>
      <c r="ET29" s="56"/>
      <c r="EU29" s="56"/>
      <c r="EV29" s="56"/>
      <c r="EW29" s="56"/>
      <c r="EX29" s="56"/>
      <c r="EY29" s="56"/>
      <c r="EZ29" s="57" t="s">
        <v>110</v>
      </c>
      <c r="FA29" s="56"/>
      <c r="FB29" s="56" t="s">
        <v>111</v>
      </c>
      <c r="FC29" s="56"/>
      <c r="FD29" s="57" t="s">
        <v>112</v>
      </c>
      <c r="FE29" s="56"/>
      <c r="FF29" s="58" t="s">
        <v>113</v>
      </c>
      <c r="FG29" s="56"/>
      <c r="FH29" s="57" t="s">
        <v>114</v>
      </c>
      <c r="FI29" s="56"/>
      <c r="FJ29" s="56" t="s">
        <v>115</v>
      </c>
      <c r="FK29" s="56"/>
      <c r="FL29" s="58" t="s">
        <v>116</v>
      </c>
      <c r="FM29" s="56"/>
      <c r="FN29" s="58" t="s">
        <v>117</v>
      </c>
      <c r="FO29" s="56"/>
      <c r="FP29" s="58" t="s">
        <v>118</v>
      </c>
      <c r="FQ29" s="56"/>
      <c r="FR29" s="56" t="s">
        <v>119</v>
      </c>
      <c r="FS29" s="56"/>
      <c r="FT29" s="58" t="s">
        <v>120</v>
      </c>
      <c r="FU29" s="56"/>
      <c r="FV29" s="58" t="s">
        <v>121</v>
      </c>
      <c r="FW29" s="56"/>
      <c r="FX29" s="58" t="s">
        <v>122</v>
      </c>
      <c r="FY29" s="56"/>
      <c r="FZ29" s="58" t="s">
        <v>123</v>
      </c>
      <c r="GA29" s="56"/>
      <c r="GB29" s="56" t="s">
        <v>124</v>
      </c>
      <c r="GC29" s="56"/>
      <c r="GD29" s="58" t="s">
        <v>125</v>
      </c>
      <c r="GE29" s="56"/>
      <c r="GF29" s="58" t="s">
        <v>126</v>
      </c>
      <c r="GG29" s="56"/>
      <c r="GH29" s="56" t="s">
        <v>127</v>
      </c>
      <c r="GI29" s="56"/>
      <c r="GJ29" s="56"/>
      <c r="GK29" s="56"/>
      <c r="GL29" s="56">
        <v>1</v>
      </c>
      <c r="GM29" s="56">
        <v>0.97</v>
      </c>
      <c r="GN29" s="56">
        <v>0.95</v>
      </c>
      <c r="GO29" s="56">
        <v>0.93</v>
      </c>
      <c r="GP29" s="56">
        <f t="shared" ref="GP29:HG29" si="189">+GO29-0.02</f>
        <v>0.91</v>
      </c>
      <c r="GQ29" s="56">
        <f t="shared" si="189"/>
        <v>0.89</v>
      </c>
      <c r="GR29" s="56">
        <f t="shared" si="189"/>
        <v>0.87</v>
      </c>
      <c r="GS29" s="56">
        <f t="shared" si="189"/>
        <v>0.85</v>
      </c>
      <c r="GT29" s="56">
        <f t="shared" si="189"/>
        <v>0.83</v>
      </c>
      <c r="GU29" s="56">
        <f t="shared" si="189"/>
        <v>0.80999999999999994</v>
      </c>
      <c r="GV29" s="56">
        <f t="shared" si="189"/>
        <v>0.78999999999999992</v>
      </c>
      <c r="GW29" s="56">
        <f t="shared" si="189"/>
        <v>0.76999999999999991</v>
      </c>
      <c r="GX29" s="56">
        <f t="shared" si="189"/>
        <v>0.74999999999999989</v>
      </c>
      <c r="GY29" s="56">
        <f t="shared" si="189"/>
        <v>0.72999999999999987</v>
      </c>
      <c r="GZ29" s="56">
        <f t="shared" si="189"/>
        <v>0.70999999999999985</v>
      </c>
      <c r="HA29" s="56">
        <f t="shared" si="189"/>
        <v>0.68999999999999984</v>
      </c>
      <c r="HB29" s="56">
        <f t="shared" si="189"/>
        <v>0.66999999999999982</v>
      </c>
      <c r="HC29" s="56">
        <f t="shared" si="189"/>
        <v>0.6499999999999998</v>
      </c>
      <c r="HD29" s="56">
        <f t="shared" si="189"/>
        <v>0.62999999999999978</v>
      </c>
      <c r="HE29" s="56">
        <f t="shared" si="189"/>
        <v>0.60999999999999976</v>
      </c>
      <c r="HF29" s="56">
        <f t="shared" si="189"/>
        <v>0.58999999999999975</v>
      </c>
      <c r="HG29" s="56">
        <f t="shared" si="189"/>
        <v>0.56999999999999973</v>
      </c>
    </row>
    <row r="30" spans="1:215" s="54" customFormat="1" ht="17.25" thickBot="1" x14ac:dyDescent="0.35">
      <c r="B30" s="54" t="s">
        <v>52</v>
      </c>
      <c r="C30" s="54" t="s">
        <v>48</v>
      </c>
      <c r="D30" s="55" t="s">
        <v>205</v>
      </c>
      <c r="E30" s="55" t="s">
        <v>61</v>
      </c>
      <c r="G30" s="56"/>
      <c r="H30" s="56"/>
      <c r="I30" s="56"/>
      <c r="J30" s="56"/>
      <c r="K30" s="56"/>
      <c r="L30" s="56"/>
      <c r="M30" s="56"/>
      <c r="N30" s="56"/>
      <c r="O30" s="56"/>
      <c r="P30" s="57"/>
      <c r="Q30" s="56"/>
      <c r="R30" s="56"/>
      <c r="S30" s="56"/>
      <c r="T30" s="57"/>
      <c r="U30" s="56"/>
      <c r="V30" s="58"/>
      <c r="W30" s="56"/>
      <c r="X30" s="57"/>
      <c r="Y30" s="56"/>
      <c r="Z30" s="56"/>
      <c r="AA30" s="56"/>
      <c r="AB30" s="58"/>
      <c r="AC30" s="56"/>
      <c r="AD30" s="58"/>
      <c r="AE30" s="56"/>
      <c r="AF30" s="58"/>
      <c r="AG30" s="56"/>
      <c r="AH30" s="56"/>
      <c r="AI30" s="56"/>
      <c r="AJ30" s="58"/>
      <c r="AK30" s="56"/>
      <c r="AL30" s="58"/>
      <c r="AM30" s="56"/>
      <c r="AN30" s="58"/>
      <c r="AO30" s="56"/>
      <c r="AP30" s="58"/>
      <c r="AQ30" s="56"/>
      <c r="AR30" s="56"/>
      <c r="AS30" s="56"/>
      <c r="AT30" s="58"/>
      <c r="AU30" s="56"/>
      <c r="AV30" s="58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>
        <f t="shared" si="88"/>
        <v>0</v>
      </c>
      <c r="BZ30" s="56"/>
      <c r="CA30" s="56"/>
      <c r="CB30" s="56"/>
      <c r="CC30" s="56"/>
      <c r="CD30" s="56"/>
      <c r="CE30" s="56"/>
      <c r="CF30" s="56"/>
      <c r="CG30" s="56"/>
      <c r="CH30" s="57"/>
      <c r="CI30" s="56"/>
      <c r="CJ30" s="56"/>
      <c r="CK30" s="56"/>
      <c r="CL30" s="57"/>
      <c r="CM30" s="56"/>
      <c r="CN30" s="58"/>
      <c r="CO30" s="56"/>
      <c r="CP30" s="57"/>
      <c r="CQ30" s="56"/>
      <c r="CR30" s="56"/>
      <c r="CS30" s="56"/>
      <c r="CT30" s="58"/>
      <c r="CU30" s="56"/>
      <c r="CV30" s="58"/>
      <c r="CW30" s="56"/>
      <c r="CX30" s="58"/>
      <c r="CY30" s="56"/>
      <c r="CZ30" s="56"/>
      <c r="DA30" s="56"/>
      <c r="DB30" s="58"/>
      <c r="DC30" s="56"/>
      <c r="DD30" s="58"/>
      <c r="DE30" s="56"/>
      <c r="DF30" s="58"/>
      <c r="DG30" s="56"/>
      <c r="DH30" s="58"/>
      <c r="DI30" s="56"/>
      <c r="DJ30" s="56"/>
      <c r="DK30" s="56"/>
      <c r="DL30" s="58"/>
      <c r="DM30" s="56"/>
      <c r="DN30" s="58"/>
      <c r="DO30" s="56"/>
      <c r="DP30" s="56"/>
      <c r="DQ30" s="56"/>
      <c r="DR30" s="56"/>
      <c r="DS30" s="56"/>
      <c r="DT30" s="56">
        <v>1</v>
      </c>
      <c r="DU30" s="56">
        <v>0.97</v>
      </c>
      <c r="DV30" s="56">
        <v>0.95</v>
      </c>
      <c r="DW30" s="56">
        <v>0.93</v>
      </c>
      <c r="DX30" s="56">
        <f t="shared" ref="DX30:EO30" si="190">+DW30-0.02</f>
        <v>0.91</v>
      </c>
      <c r="DY30" s="56">
        <f t="shared" si="190"/>
        <v>0.89</v>
      </c>
      <c r="DZ30" s="56">
        <f t="shared" si="190"/>
        <v>0.87</v>
      </c>
      <c r="EA30" s="56">
        <f t="shared" si="190"/>
        <v>0.85</v>
      </c>
      <c r="EB30" s="56">
        <f t="shared" si="190"/>
        <v>0.83</v>
      </c>
      <c r="EC30" s="56">
        <f t="shared" si="190"/>
        <v>0.80999999999999994</v>
      </c>
      <c r="ED30" s="56">
        <f t="shared" si="190"/>
        <v>0.78999999999999992</v>
      </c>
      <c r="EE30" s="56">
        <f t="shared" si="190"/>
        <v>0.76999999999999991</v>
      </c>
      <c r="EF30" s="56">
        <f t="shared" si="190"/>
        <v>0.74999999999999989</v>
      </c>
      <c r="EG30" s="56">
        <f t="shared" si="190"/>
        <v>0.72999999999999987</v>
      </c>
      <c r="EH30" s="56">
        <f t="shared" si="190"/>
        <v>0.70999999999999985</v>
      </c>
      <c r="EI30" s="56">
        <f t="shared" si="190"/>
        <v>0.68999999999999984</v>
      </c>
      <c r="EJ30" s="56">
        <f t="shared" si="190"/>
        <v>0.66999999999999982</v>
      </c>
      <c r="EK30" s="56">
        <f t="shared" si="190"/>
        <v>0.6499999999999998</v>
      </c>
      <c r="EL30" s="56">
        <f t="shared" si="190"/>
        <v>0.62999999999999978</v>
      </c>
      <c r="EM30" s="56">
        <f t="shared" si="190"/>
        <v>0.60999999999999976</v>
      </c>
      <c r="EN30" s="56">
        <f t="shared" si="190"/>
        <v>0.58999999999999975</v>
      </c>
      <c r="EO30" s="56">
        <f t="shared" si="190"/>
        <v>0.56999999999999973</v>
      </c>
      <c r="EQ30" s="56">
        <f t="shared" si="188"/>
        <v>0</v>
      </c>
      <c r="ER30" s="56"/>
      <c r="ES30" s="56"/>
      <c r="ET30" s="56"/>
      <c r="EU30" s="56"/>
      <c r="EV30" s="56"/>
      <c r="EW30" s="56"/>
      <c r="EX30" s="56"/>
      <c r="EY30" s="56"/>
      <c r="EZ30" s="57"/>
      <c r="FA30" s="56"/>
      <c r="FB30" s="56"/>
      <c r="FC30" s="56"/>
      <c r="FD30" s="57"/>
      <c r="FE30" s="56"/>
      <c r="FF30" s="58"/>
      <c r="FG30" s="56"/>
      <c r="FH30" s="57"/>
      <c r="FI30" s="56"/>
      <c r="FJ30" s="56"/>
      <c r="FK30" s="56"/>
      <c r="FL30" s="58"/>
      <c r="FM30" s="56"/>
      <c r="FN30" s="58"/>
      <c r="FO30" s="56"/>
      <c r="FP30" s="58"/>
      <c r="FQ30" s="56"/>
      <c r="FR30" s="56"/>
      <c r="FS30" s="56"/>
      <c r="FT30" s="58"/>
      <c r="FU30" s="56"/>
      <c r="FV30" s="58"/>
      <c r="FW30" s="56"/>
      <c r="FX30" s="58"/>
      <c r="FY30" s="56"/>
      <c r="FZ30" s="58"/>
      <c r="GA30" s="56"/>
      <c r="GB30" s="56"/>
      <c r="GC30" s="56"/>
      <c r="GD30" s="58"/>
      <c r="GE30" s="56"/>
      <c r="GF30" s="58"/>
      <c r="GG30" s="56"/>
      <c r="GH30" s="56"/>
      <c r="GI30" s="56"/>
      <c r="GJ30" s="56"/>
      <c r="GK30" s="56"/>
      <c r="GL30" s="56">
        <v>1</v>
      </c>
      <c r="GM30" s="56">
        <v>0.97</v>
      </c>
      <c r="GN30" s="56">
        <v>0.95</v>
      </c>
      <c r="GO30" s="56">
        <v>0.93</v>
      </c>
      <c r="GP30" s="56">
        <f t="shared" ref="GP30:HG30" si="191">+GO30-0.02</f>
        <v>0.91</v>
      </c>
      <c r="GQ30" s="56">
        <f t="shared" si="191"/>
        <v>0.89</v>
      </c>
      <c r="GR30" s="56">
        <f t="shared" si="191"/>
        <v>0.87</v>
      </c>
      <c r="GS30" s="56">
        <f t="shared" si="191"/>
        <v>0.85</v>
      </c>
      <c r="GT30" s="56">
        <f t="shared" si="191"/>
        <v>0.83</v>
      </c>
      <c r="GU30" s="56">
        <f t="shared" si="191"/>
        <v>0.80999999999999994</v>
      </c>
      <c r="GV30" s="56">
        <f t="shared" si="191"/>
        <v>0.78999999999999992</v>
      </c>
      <c r="GW30" s="56">
        <f t="shared" si="191"/>
        <v>0.76999999999999991</v>
      </c>
      <c r="GX30" s="56">
        <f t="shared" si="191"/>
        <v>0.74999999999999989</v>
      </c>
      <c r="GY30" s="56">
        <f t="shared" si="191"/>
        <v>0.72999999999999987</v>
      </c>
      <c r="GZ30" s="56">
        <f t="shared" si="191"/>
        <v>0.70999999999999985</v>
      </c>
      <c r="HA30" s="56">
        <f t="shared" si="191"/>
        <v>0.68999999999999984</v>
      </c>
      <c r="HB30" s="56">
        <f t="shared" si="191"/>
        <v>0.66999999999999982</v>
      </c>
      <c r="HC30" s="56">
        <f t="shared" si="191"/>
        <v>0.6499999999999998</v>
      </c>
      <c r="HD30" s="56">
        <f t="shared" si="191"/>
        <v>0.62999999999999978</v>
      </c>
      <c r="HE30" s="56">
        <f t="shared" si="191"/>
        <v>0.60999999999999976</v>
      </c>
      <c r="HF30" s="56">
        <f t="shared" si="191"/>
        <v>0.58999999999999975</v>
      </c>
      <c r="HG30" s="56">
        <f t="shared" si="191"/>
        <v>0.56999999999999973</v>
      </c>
    </row>
    <row r="31" spans="1:215" ht="17.25" thickBot="1" x14ac:dyDescent="0.35">
      <c r="C31" s="39" t="s">
        <v>52</v>
      </c>
      <c r="D31" s="65">
        <f>TRUNC(5676.54491282278,-1)</f>
        <v>5670</v>
      </c>
      <c r="E31" s="71">
        <f>TRUNC(+D31*3.3058,-1)</f>
        <v>18740</v>
      </c>
      <c r="G31" s="48">
        <f t="shared" si="61"/>
        <v>6237.0000000000009</v>
      </c>
      <c r="H31" s="48">
        <f t="shared" si="62"/>
        <v>6237.0000000000009</v>
      </c>
      <c r="I31" s="51">
        <f t="shared" si="63"/>
        <v>20618.274600000004</v>
      </c>
      <c r="J31" s="48">
        <f>+H31*BC31</f>
        <v>6049.89</v>
      </c>
      <c r="K31" s="51">
        <f>+J31*3.3058</f>
        <v>19999.726362000001</v>
      </c>
      <c r="L31" s="48">
        <f>+H31*BD31</f>
        <v>5925.1500000000005</v>
      </c>
      <c r="M31" s="51">
        <f>+L31*3.3058</f>
        <v>19587.36087</v>
      </c>
      <c r="N31" s="48">
        <f>+H31*BE31</f>
        <v>5800.4100000000008</v>
      </c>
      <c r="O31" s="51">
        <f>+N31*3.3058</f>
        <v>19174.995378000003</v>
      </c>
      <c r="P31" s="52">
        <f>+H31*BF31</f>
        <v>5675.670000000001</v>
      </c>
      <c r="Q31" s="51">
        <f>+P31*3.3058</f>
        <v>18762.629886000002</v>
      </c>
      <c r="R31" s="48">
        <f>+H31*BG31</f>
        <v>5550.9300000000012</v>
      </c>
      <c r="S31" s="51">
        <f>+R31*3.3058</f>
        <v>18350.264394000005</v>
      </c>
      <c r="T31" s="52">
        <f>+H31*BH31</f>
        <v>5426.1900000000005</v>
      </c>
      <c r="U31" s="51">
        <f>+T31*3.3058</f>
        <v>17937.898902000001</v>
      </c>
      <c r="V31" s="53">
        <f>+H31*BI31</f>
        <v>5301.4500000000007</v>
      </c>
      <c r="W31" s="51">
        <f>+V31*3.3058</f>
        <v>17525.533410000004</v>
      </c>
      <c r="X31" s="52">
        <f>+H31*BJ31</f>
        <v>5176.7100000000009</v>
      </c>
      <c r="Y31" s="51">
        <f>+X31*3.3058</f>
        <v>17113.167918000003</v>
      </c>
      <c r="Z31" s="48">
        <f>+H31*BK31</f>
        <v>5051.97</v>
      </c>
      <c r="AA31" s="51">
        <f>+Z31*3.3058</f>
        <v>16700.802426000002</v>
      </c>
      <c r="AB31" s="53">
        <f>+H31*BL31</f>
        <v>4927.2300000000005</v>
      </c>
      <c r="AC31" s="51">
        <f>+AB31*3.3058</f>
        <v>16288.436934000001</v>
      </c>
      <c r="AD31" s="53">
        <f>+H31*BM31</f>
        <v>4802.49</v>
      </c>
      <c r="AE31" s="51">
        <f>+AD31*3.3058</f>
        <v>15876.071442</v>
      </c>
      <c r="AF31" s="53">
        <f>+H31*BN31</f>
        <v>4677.75</v>
      </c>
      <c r="AG31" s="51">
        <f>+AF31*3.3058</f>
        <v>15463.70595</v>
      </c>
      <c r="AH31" s="48">
        <f>+H31*BO31</f>
        <v>4553.01</v>
      </c>
      <c r="AI31" s="51">
        <f>+AH31*3.3058</f>
        <v>15051.340458000001</v>
      </c>
      <c r="AJ31" s="53">
        <f>+H31*BP31</f>
        <v>4428.2699999999995</v>
      </c>
      <c r="AK31" s="51">
        <f>+AJ31*3.3058</f>
        <v>14638.974965999998</v>
      </c>
      <c r="AL31" s="53">
        <f>+H31*BQ31</f>
        <v>4303.53</v>
      </c>
      <c r="AM31" s="51">
        <f>+AL31*3.3058</f>
        <v>14226.609473999999</v>
      </c>
      <c r="AN31" s="53">
        <f>+H31*BR31</f>
        <v>4178.7899999999991</v>
      </c>
      <c r="AO31" s="51">
        <f>+AN31*3.3058</f>
        <v>13814.243981999996</v>
      </c>
      <c r="AP31" s="53">
        <f>+H31*BS31</f>
        <v>4054.0499999999993</v>
      </c>
      <c r="AQ31" s="51">
        <f>+AP31*3.3058</f>
        <v>13401.878489999997</v>
      </c>
      <c r="AR31" s="48">
        <f>+H31*BT31</f>
        <v>3929.309999999999</v>
      </c>
      <c r="AS31" s="51">
        <f>+AR31*3.3058</f>
        <v>12989.512997999997</v>
      </c>
      <c r="AT31" s="53">
        <f>+H31*BU31</f>
        <v>3804.5699999999993</v>
      </c>
      <c r="AU31" s="51">
        <f>+AT31*3.3058</f>
        <v>12577.147505999998</v>
      </c>
      <c r="AV31" s="53">
        <f>+H31*BV31</f>
        <v>3679.829999999999</v>
      </c>
      <c r="AW31" s="51">
        <f>+AV31*3.3058</f>
        <v>12164.782013999997</v>
      </c>
      <c r="AX31" s="48">
        <f>+H31*BW31</f>
        <v>3555.0899999999988</v>
      </c>
      <c r="AY31" s="51">
        <f>+AX31*3.3058</f>
        <v>11752.416521999996</v>
      </c>
      <c r="BB31" s="48">
        <v>1</v>
      </c>
      <c r="BC31" s="48">
        <v>0.97</v>
      </c>
      <c r="BD31" s="48">
        <v>0.95</v>
      </c>
      <c r="BE31" s="48">
        <v>0.93</v>
      </c>
      <c r="BF31" s="48">
        <f t="shared" ref="BF31:BW31" si="192">+BE31-0.02</f>
        <v>0.91</v>
      </c>
      <c r="BG31" s="48">
        <f t="shared" si="192"/>
        <v>0.89</v>
      </c>
      <c r="BH31" s="48">
        <f t="shared" si="192"/>
        <v>0.87</v>
      </c>
      <c r="BI31" s="48">
        <f t="shared" si="192"/>
        <v>0.85</v>
      </c>
      <c r="BJ31" s="48">
        <f t="shared" si="192"/>
        <v>0.83</v>
      </c>
      <c r="BK31" s="48">
        <f t="shared" si="192"/>
        <v>0.80999999999999994</v>
      </c>
      <c r="BL31" s="48">
        <f t="shared" si="192"/>
        <v>0.78999999999999992</v>
      </c>
      <c r="BM31" s="48">
        <f t="shared" si="192"/>
        <v>0.76999999999999991</v>
      </c>
      <c r="BN31" s="48">
        <f t="shared" si="192"/>
        <v>0.74999999999999989</v>
      </c>
      <c r="BO31" s="48">
        <f t="shared" si="192"/>
        <v>0.72999999999999987</v>
      </c>
      <c r="BP31" s="48">
        <f t="shared" si="192"/>
        <v>0.70999999999999985</v>
      </c>
      <c r="BQ31" s="48">
        <f t="shared" si="192"/>
        <v>0.68999999999999984</v>
      </c>
      <c r="BR31" s="48">
        <f t="shared" si="192"/>
        <v>0.66999999999999982</v>
      </c>
      <c r="BS31" s="48">
        <f t="shared" si="192"/>
        <v>0.6499999999999998</v>
      </c>
      <c r="BT31" s="48">
        <f t="shared" si="192"/>
        <v>0.62999999999999978</v>
      </c>
      <c r="BU31" s="48">
        <f t="shared" si="192"/>
        <v>0.60999999999999976</v>
      </c>
      <c r="BV31" s="48">
        <f t="shared" si="192"/>
        <v>0.58999999999999975</v>
      </c>
      <c r="BW31" s="48">
        <f t="shared" si="192"/>
        <v>0.56999999999999973</v>
      </c>
      <c r="BY31" s="48">
        <f t="shared" si="88"/>
        <v>5675.670000000001</v>
      </c>
      <c r="BZ31" s="48">
        <f t="shared" si="89"/>
        <v>5675.670000000001</v>
      </c>
      <c r="CA31" s="51">
        <f t="shared" ref="CA31" si="193">+BZ31*3.3058</f>
        <v>18762.629886000002</v>
      </c>
      <c r="CB31" s="48">
        <f>+BZ31*DU31</f>
        <v>5505.3999000000013</v>
      </c>
      <c r="CC31" s="51">
        <f>+CB31*3.3058</f>
        <v>18199.750989420005</v>
      </c>
      <c r="CD31" s="48">
        <f>+BZ31*DV31</f>
        <v>5391.8865000000005</v>
      </c>
      <c r="CE31" s="51">
        <f>+CD31*3.3058</f>
        <v>17824.498391700003</v>
      </c>
      <c r="CF31" s="48">
        <f>+BZ31*DW31</f>
        <v>5278.3731000000016</v>
      </c>
      <c r="CG31" s="51">
        <f>+CF31*3.3058</f>
        <v>17449.245793980004</v>
      </c>
      <c r="CH31" s="52">
        <f>+BZ31*DX31</f>
        <v>5164.8597000000009</v>
      </c>
      <c r="CI31" s="51">
        <f>+CH31*3.3058</f>
        <v>17073.993196260002</v>
      </c>
      <c r="CJ31" s="48">
        <f>+BZ31*DY31</f>
        <v>5051.3463000000011</v>
      </c>
      <c r="CK31" s="51">
        <f>+CJ31*3.3058</f>
        <v>16698.740598540004</v>
      </c>
      <c r="CL31" s="52">
        <f>+BZ31*DZ31</f>
        <v>4937.8329000000012</v>
      </c>
      <c r="CM31" s="51">
        <f>+CL31*3.3058</f>
        <v>16323.488000820005</v>
      </c>
      <c r="CN31" s="53">
        <f>+BZ31*EA31</f>
        <v>4824.3195000000005</v>
      </c>
      <c r="CO31" s="51">
        <f>+CN31*3.3058</f>
        <v>15948.235403100001</v>
      </c>
      <c r="CP31" s="52">
        <f>+BZ31*EB31</f>
        <v>4710.8061000000007</v>
      </c>
      <c r="CQ31" s="51">
        <f>+CP31*3.3058</f>
        <v>15572.982805380003</v>
      </c>
      <c r="CR31" s="48">
        <f>+BZ31*EC31</f>
        <v>4597.2927000000009</v>
      </c>
      <c r="CS31" s="51">
        <f>+CR31*3.3058</f>
        <v>15197.730207660003</v>
      </c>
      <c r="CT31" s="53">
        <f>+BZ31*ED31</f>
        <v>4483.7793000000001</v>
      </c>
      <c r="CU31" s="51">
        <f>+CT31*3.3058</f>
        <v>14822.477609940001</v>
      </c>
      <c r="CV31" s="53">
        <f>+BZ31*EE31</f>
        <v>4370.2659000000003</v>
      </c>
      <c r="CW31" s="51">
        <f>+CV31*3.3058</f>
        <v>14447.225012220002</v>
      </c>
      <c r="CX31" s="53">
        <f>+BZ31*EF31</f>
        <v>4256.7525000000005</v>
      </c>
      <c r="CY31" s="51">
        <f>+CX31*3.3058</f>
        <v>14071.972414500002</v>
      </c>
      <c r="CZ31" s="48">
        <f>+BZ31*EG31</f>
        <v>4143.2390999999998</v>
      </c>
      <c r="DA31" s="51">
        <f>+CZ31*3.3058</f>
        <v>13696.71981678</v>
      </c>
      <c r="DB31" s="53">
        <f>+BZ31*EH31</f>
        <v>4029.7257</v>
      </c>
      <c r="DC31" s="51">
        <f>+DB31*3.3058</f>
        <v>13321.467219059999</v>
      </c>
      <c r="DD31" s="53">
        <f>+BZ31*EI31</f>
        <v>3916.2122999999997</v>
      </c>
      <c r="DE31" s="51">
        <f>+DD31*3.3058</f>
        <v>12946.214621339999</v>
      </c>
      <c r="DF31" s="53">
        <f>+BZ31*EJ31</f>
        <v>3802.6988999999994</v>
      </c>
      <c r="DG31" s="51">
        <f>+DF31*3.3058</f>
        <v>12570.962023619999</v>
      </c>
      <c r="DH31" s="53">
        <f>+BZ31*EK31</f>
        <v>3689.1854999999996</v>
      </c>
      <c r="DI31" s="51">
        <f>+DH31*3.3058</f>
        <v>12195.709425899999</v>
      </c>
      <c r="DJ31" s="48">
        <f>+BZ31*EL31</f>
        <v>3575.6720999999993</v>
      </c>
      <c r="DK31" s="51">
        <f>+DJ31*3.3058</f>
        <v>11820.456828179998</v>
      </c>
      <c r="DL31" s="53">
        <f>+BZ31*EM31</f>
        <v>3462.158699999999</v>
      </c>
      <c r="DM31" s="51">
        <f>+DL31*3.3058</f>
        <v>11445.204230459996</v>
      </c>
      <c r="DN31" s="53">
        <f>+BZ31*EN31</f>
        <v>3348.6452999999992</v>
      </c>
      <c r="DO31" s="51">
        <f>+DN31*3.3058</f>
        <v>11069.951632739998</v>
      </c>
      <c r="DP31" s="48">
        <f>+BZ31*EO31</f>
        <v>3235.131899999999</v>
      </c>
      <c r="DQ31" s="51">
        <f>+DP31*3.3058</f>
        <v>10694.699035019998</v>
      </c>
      <c r="DT31" s="48">
        <v>1</v>
      </c>
      <c r="DU31" s="48">
        <v>0.97</v>
      </c>
      <c r="DV31" s="48">
        <v>0.95</v>
      </c>
      <c r="DW31" s="48">
        <v>0.93</v>
      </c>
      <c r="DX31" s="48">
        <f t="shared" ref="DX31:EO31" si="194">+DW31-0.02</f>
        <v>0.91</v>
      </c>
      <c r="DY31" s="48">
        <f t="shared" si="194"/>
        <v>0.89</v>
      </c>
      <c r="DZ31" s="48">
        <f t="shared" si="194"/>
        <v>0.87</v>
      </c>
      <c r="EA31" s="48">
        <f t="shared" si="194"/>
        <v>0.85</v>
      </c>
      <c r="EB31" s="48">
        <f t="shared" si="194"/>
        <v>0.83</v>
      </c>
      <c r="EC31" s="48">
        <f t="shared" si="194"/>
        <v>0.80999999999999994</v>
      </c>
      <c r="ED31" s="48">
        <f t="shared" si="194"/>
        <v>0.78999999999999992</v>
      </c>
      <c r="EE31" s="48">
        <f t="shared" si="194"/>
        <v>0.76999999999999991</v>
      </c>
      <c r="EF31" s="48">
        <f t="shared" si="194"/>
        <v>0.74999999999999989</v>
      </c>
      <c r="EG31" s="48">
        <f t="shared" si="194"/>
        <v>0.72999999999999987</v>
      </c>
      <c r="EH31" s="48">
        <f t="shared" si="194"/>
        <v>0.70999999999999985</v>
      </c>
      <c r="EI31" s="48">
        <f t="shared" si="194"/>
        <v>0.68999999999999984</v>
      </c>
      <c r="EJ31" s="48">
        <f t="shared" si="194"/>
        <v>0.66999999999999982</v>
      </c>
      <c r="EK31" s="48">
        <f t="shared" si="194"/>
        <v>0.6499999999999998</v>
      </c>
      <c r="EL31" s="48">
        <f t="shared" si="194"/>
        <v>0.62999999999999978</v>
      </c>
      <c r="EM31" s="48">
        <f t="shared" si="194"/>
        <v>0.60999999999999976</v>
      </c>
      <c r="EN31" s="48">
        <f t="shared" si="194"/>
        <v>0.58999999999999975</v>
      </c>
      <c r="EO31" s="48">
        <f t="shared" si="194"/>
        <v>0.56999999999999973</v>
      </c>
      <c r="EQ31" s="48">
        <f t="shared" si="188"/>
        <v>5164.8597000000009</v>
      </c>
      <c r="ER31" s="48">
        <f t="shared" si="116"/>
        <v>5164.8597000000009</v>
      </c>
      <c r="ES31" s="51">
        <f t="shared" ref="ES31" si="195">+ER31*3.3058</f>
        <v>17073.993196260002</v>
      </c>
      <c r="ET31" s="48">
        <f>+ER31*GM31</f>
        <v>5009.9139090000008</v>
      </c>
      <c r="EU31" s="51">
        <f>+ET31*3.3058</f>
        <v>16561.773400372203</v>
      </c>
      <c r="EV31" s="48">
        <f>+ER31*GN31</f>
        <v>4906.616715000001</v>
      </c>
      <c r="EW31" s="51">
        <f>+EV31*3.3058</f>
        <v>16220.293536447003</v>
      </c>
      <c r="EX31" s="48">
        <f>+ER31*GO31</f>
        <v>4803.3195210000013</v>
      </c>
      <c r="EY31" s="51">
        <f>+EX31*3.3058</f>
        <v>15878.813672521805</v>
      </c>
      <c r="EZ31" s="52">
        <f>+ER31*GP31</f>
        <v>4700.0223270000006</v>
      </c>
      <c r="FA31" s="51">
        <f>+EZ31*3.3058</f>
        <v>15537.333808596602</v>
      </c>
      <c r="FB31" s="48">
        <f>+ER31*GQ31</f>
        <v>4596.7251330000008</v>
      </c>
      <c r="FC31" s="51">
        <f>+FB31*3.3058</f>
        <v>15195.853944671404</v>
      </c>
      <c r="FD31" s="52">
        <f>+ER31*GR31</f>
        <v>4493.4279390000011</v>
      </c>
      <c r="FE31" s="51">
        <f>+FD31*3.3058</f>
        <v>14854.374080746204</v>
      </c>
      <c r="FF31" s="53">
        <f>+ER31*GS31</f>
        <v>4390.1307450000004</v>
      </c>
      <c r="FG31" s="51">
        <f>+FF31*3.3058</f>
        <v>14512.894216821001</v>
      </c>
      <c r="FH31" s="52">
        <f>+ER31*GT31</f>
        <v>4286.8335510000006</v>
      </c>
      <c r="FI31" s="51">
        <f>+FH31*3.3058</f>
        <v>14171.414352895803</v>
      </c>
      <c r="FJ31" s="48">
        <f>+ER31*GU31</f>
        <v>4183.5363570000009</v>
      </c>
      <c r="FK31" s="51">
        <f>+FJ31*3.3058</f>
        <v>13829.934488970603</v>
      </c>
      <c r="FL31" s="53">
        <f>+ER31*GV31</f>
        <v>4080.2391630000002</v>
      </c>
      <c r="FM31" s="51">
        <f>+FL31*3.3058</f>
        <v>13488.4546250454</v>
      </c>
      <c r="FN31" s="53">
        <f>+ER31*GW31</f>
        <v>3976.9419690000004</v>
      </c>
      <c r="FO31" s="51">
        <f>+FN31*3.3058</f>
        <v>13146.974761120202</v>
      </c>
      <c r="FP31" s="53">
        <f>+ER31*GX31</f>
        <v>3873.6447750000002</v>
      </c>
      <c r="FQ31" s="51">
        <f>+FP31*3.3058</f>
        <v>12805.494897195002</v>
      </c>
      <c r="FR31" s="48">
        <f>+ER31*GY31</f>
        <v>3770.347581</v>
      </c>
      <c r="FS31" s="51">
        <f>+FR31*3.3058</f>
        <v>12464.015033269799</v>
      </c>
      <c r="FT31" s="53">
        <f>+ER31*GZ31</f>
        <v>3667.0503869999998</v>
      </c>
      <c r="FU31" s="51">
        <f>+FT31*3.3058</f>
        <v>12122.535169344599</v>
      </c>
      <c r="FV31" s="53">
        <f>+ER31*HA31</f>
        <v>3563.7531929999996</v>
      </c>
      <c r="FW31" s="51">
        <f>+FV31*3.3058</f>
        <v>11781.055305419399</v>
      </c>
      <c r="FX31" s="53">
        <f>+ER31*HB31</f>
        <v>3460.4559989999998</v>
      </c>
      <c r="FY31" s="51">
        <f>+FX31*3.3058</f>
        <v>11439.5754414942</v>
      </c>
      <c r="FZ31" s="53">
        <f>+ER31*HC31</f>
        <v>3357.1588049999996</v>
      </c>
      <c r="GA31" s="51">
        <f>+FZ31*3.3058</f>
        <v>11098.095577568998</v>
      </c>
      <c r="GB31" s="48">
        <f>+ER31*HD31</f>
        <v>3253.8616109999994</v>
      </c>
      <c r="GC31" s="51">
        <f>+GB31*3.3058</f>
        <v>10756.615713643798</v>
      </c>
      <c r="GD31" s="53">
        <f>+ER31*HE31</f>
        <v>3150.5644169999991</v>
      </c>
      <c r="GE31" s="51">
        <f>+GD31*3.3058</f>
        <v>10415.135849718597</v>
      </c>
      <c r="GF31" s="53">
        <f>+ER31*HF31</f>
        <v>3047.2672229999994</v>
      </c>
      <c r="GG31" s="51">
        <f>+GF31*3.3058</f>
        <v>10073.655985793399</v>
      </c>
      <c r="GH31" s="48">
        <f>+ER31*HG31</f>
        <v>2943.9700289999992</v>
      </c>
      <c r="GI31" s="51">
        <f>+GH31*3.3058</f>
        <v>9732.1761218681968</v>
      </c>
      <c r="GJ31" s="48"/>
      <c r="GK31" s="48"/>
      <c r="GL31" s="48">
        <v>1</v>
      </c>
      <c r="GM31" s="48">
        <v>0.97</v>
      </c>
      <c r="GN31" s="48">
        <v>0.95</v>
      </c>
      <c r="GO31" s="48">
        <v>0.93</v>
      </c>
      <c r="GP31" s="48">
        <f t="shared" ref="GP31:HG31" si="196">+GO31-0.02</f>
        <v>0.91</v>
      </c>
      <c r="GQ31" s="48">
        <f t="shared" si="196"/>
        <v>0.89</v>
      </c>
      <c r="GR31" s="48">
        <f t="shared" si="196"/>
        <v>0.87</v>
      </c>
      <c r="GS31" s="48">
        <f t="shared" si="196"/>
        <v>0.85</v>
      </c>
      <c r="GT31" s="48">
        <f t="shared" si="196"/>
        <v>0.83</v>
      </c>
      <c r="GU31" s="48">
        <f t="shared" si="196"/>
        <v>0.80999999999999994</v>
      </c>
      <c r="GV31" s="48">
        <f t="shared" si="196"/>
        <v>0.78999999999999992</v>
      </c>
      <c r="GW31" s="48">
        <f t="shared" si="196"/>
        <v>0.76999999999999991</v>
      </c>
      <c r="GX31" s="48">
        <f t="shared" si="196"/>
        <v>0.74999999999999989</v>
      </c>
      <c r="GY31" s="48">
        <f t="shared" si="196"/>
        <v>0.72999999999999987</v>
      </c>
      <c r="GZ31" s="48">
        <f t="shared" si="196"/>
        <v>0.70999999999999985</v>
      </c>
      <c r="HA31" s="48">
        <f t="shared" si="196"/>
        <v>0.68999999999999984</v>
      </c>
      <c r="HB31" s="48">
        <f t="shared" si="196"/>
        <v>0.66999999999999982</v>
      </c>
      <c r="HC31" s="48">
        <f t="shared" si="196"/>
        <v>0.6499999999999998</v>
      </c>
      <c r="HD31" s="48">
        <f t="shared" si="196"/>
        <v>0.62999999999999978</v>
      </c>
      <c r="HE31" s="48">
        <f t="shared" si="196"/>
        <v>0.60999999999999976</v>
      </c>
      <c r="HF31" s="48">
        <f t="shared" si="196"/>
        <v>0.58999999999999975</v>
      </c>
      <c r="HG31" s="48">
        <f t="shared" si="196"/>
        <v>0.56999999999999973</v>
      </c>
    </row>
    <row r="32" spans="1:215" x14ac:dyDescent="0.3">
      <c r="I32" s="48"/>
      <c r="V32" s="53"/>
      <c r="AB32" s="53"/>
      <c r="AD32" s="53"/>
      <c r="AF32" s="53"/>
      <c r="AJ32" s="53"/>
      <c r="AL32" s="53"/>
      <c r="AN32" s="53"/>
      <c r="AP32" s="53"/>
      <c r="AT32" s="53"/>
      <c r="AV32" s="53"/>
      <c r="BB32" s="48">
        <v>1</v>
      </c>
      <c r="BC32" s="48">
        <v>0.97</v>
      </c>
      <c r="BD32" s="48">
        <v>0.95</v>
      </c>
      <c r="BE32" s="48">
        <v>0.93</v>
      </c>
      <c r="BF32" s="48">
        <f t="shared" ref="BF32:BW32" si="197">+BE32-0.02</f>
        <v>0.91</v>
      </c>
      <c r="BG32" s="48">
        <f t="shared" si="197"/>
        <v>0.89</v>
      </c>
      <c r="BH32" s="48">
        <f t="shared" si="197"/>
        <v>0.87</v>
      </c>
      <c r="BI32" s="48">
        <f t="shared" si="197"/>
        <v>0.85</v>
      </c>
      <c r="BJ32" s="48">
        <f t="shared" si="197"/>
        <v>0.83</v>
      </c>
      <c r="BK32" s="48">
        <f t="shared" si="197"/>
        <v>0.80999999999999994</v>
      </c>
      <c r="BL32" s="48">
        <f t="shared" si="197"/>
        <v>0.78999999999999992</v>
      </c>
      <c r="BM32" s="48">
        <f t="shared" si="197"/>
        <v>0.76999999999999991</v>
      </c>
      <c r="BN32" s="48">
        <f t="shared" si="197"/>
        <v>0.74999999999999989</v>
      </c>
      <c r="BO32" s="48">
        <f t="shared" si="197"/>
        <v>0.72999999999999987</v>
      </c>
      <c r="BP32" s="48">
        <f t="shared" si="197"/>
        <v>0.70999999999999985</v>
      </c>
      <c r="BQ32" s="48">
        <f t="shared" si="197"/>
        <v>0.68999999999999984</v>
      </c>
      <c r="BR32" s="48">
        <f t="shared" si="197"/>
        <v>0.66999999999999982</v>
      </c>
      <c r="BS32" s="48">
        <f t="shared" si="197"/>
        <v>0.6499999999999998</v>
      </c>
      <c r="BT32" s="48">
        <f t="shared" si="197"/>
        <v>0.62999999999999978</v>
      </c>
      <c r="BU32" s="48">
        <f t="shared" si="197"/>
        <v>0.60999999999999976</v>
      </c>
      <c r="BV32" s="48">
        <f t="shared" si="197"/>
        <v>0.58999999999999975</v>
      </c>
      <c r="BW32" s="48">
        <f t="shared" si="197"/>
        <v>0.56999999999999973</v>
      </c>
      <c r="BY32" s="48">
        <f t="shared" si="88"/>
        <v>0</v>
      </c>
      <c r="CH32" s="52"/>
      <c r="CL32" s="52"/>
      <c r="CN32" s="53"/>
      <c r="CP32" s="52"/>
      <c r="CT32" s="53"/>
      <c r="CV32" s="53"/>
      <c r="CX32" s="53"/>
      <c r="DB32" s="53"/>
      <c r="DD32" s="53"/>
      <c r="DF32" s="53"/>
      <c r="DH32" s="53"/>
      <c r="DL32" s="53"/>
      <c r="DN32" s="53"/>
      <c r="DT32" s="48">
        <v>1</v>
      </c>
      <c r="DU32" s="48">
        <v>0.97</v>
      </c>
      <c r="DV32" s="48">
        <v>0.95</v>
      </c>
      <c r="DW32" s="48">
        <v>0.93</v>
      </c>
      <c r="DX32" s="48">
        <f t="shared" ref="DX32:EO32" si="198">+DW32-0.02</f>
        <v>0.91</v>
      </c>
      <c r="DY32" s="48">
        <f t="shared" si="198"/>
        <v>0.89</v>
      </c>
      <c r="DZ32" s="48">
        <f t="shared" si="198"/>
        <v>0.87</v>
      </c>
      <c r="EA32" s="48">
        <f t="shared" si="198"/>
        <v>0.85</v>
      </c>
      <c r="EB32" s="48">
        <f t="shared" si="198"/>
        <v>0.83</v>
      </c>
      <c r="EC32" s="48">
        <f t="shared" si="198"/>
        <v>0.80999999999999994</v>
      </c>
      <c r="ED32" s="48">
        <f t="shared" si="198"/>
        <v>0.78999999999999992</v>
      </c>
      <c r="EE32" s="48">
        <f t="shared" si="198"/>
        <v>0.76999999999999991</v>
      </c>
      <c r="EF32" s="48">
        <f t="shared" si="198"/>
        <v>0.74999999999999989</v>
      </c>
      <c r="EG32" s="48">
        <f t="shared" si="198"/>
        <v>0.72999999999999987</v>
      </c>
      <c r="EH32" s="48">
        <f t="shared" si="198"/>
        <v>0.70999999999999985</v>
      </c>
      <c r="EI32" s="48">
        <f t="shared" si="198"/>
        <v>0.68999999999999984</v>
      </c>
      <c r="EJ32" s="48">
        <f t="shared" si="198"/>
        <v>0.66999999999999982</v>
      </c>
      <c r="EK32" s="48">
        <f t="shared" si="198"/>
        <v>0.6499999999999998</v>
      </c>
      <c r="EL32" s="48">
        <f t="shared" si="198"/>
        <v>0.62999999999999978</v>
      </c>
      <c r="EM32" s="48">
        <f t="shared" si="198"/>
        <v>0.60999999999999976</v>
      </c>
      <c r="EN32" s="48">
        <f t="shared" si="198"/>
        <v>0.58999999999999975</v>
      </c>
      <c r="EO32" s="48">
        <f t="shared" si="198"/>
        <v>0.56999999999999973</v>
      </c>
      <c r="EQ32" s="48">
        <f t="shared" si="188"/>
        <v>0</v>
      </c>
      <c r="ER32" s="48"/>
      <c r="ES32" s="48"/>
      <c r="ET32" s="48"/>
      <c r="EU32" s="48"/>
      <c r="EV32" s="48"/>
      <c r="EW32" s="48"/>
      <c r="EX32" s="48"/>
      <c r="EY32" s="48"/>
      <c r="EZ32" s="52"/>
      <c r="FA32" s="48"/>
      <c r="FB32" s="48"/>
      <c r="FC32" s="48"/>
      <c r="FD32" s="52"/>
      <c r="FE32" s="48"/>
      <c r="FF32" s="53"/>
      <c r="FG32" s="48"/>
      <c r="FH32" s="52"/>
      <c r="FI32" s="48"/>
      <c r="FJ32" s="48"/>
      <c r="FK32" s="48"/>
      <c r="FL32" s="53"/>
      <c r="FM32" s="48"/>
      <c r="FN32" s="53"/>
      <c r="FO32" s="48"/>
      <c r="FP32" s="53"/>
      <c r="FQ32" s="48"/>
      <c r="FR32" s="48"/>
      <c r="FS32" s="48"/>
      <c r="FT32" s="53"/>
      <c r="FU32" s="48"/>
      <c r="FV32" s="53"/>
      <c r="FW32" s="48"/>
      <c r="FX32" s="53"/>
      <c r="FY32" s="48"/>
      <c r="FZ32" s="53"/>
      <c r="GA32" s="48"/>
      <c r="GB32" s="48"/>
      <c r="GC32" s="48"/>
      <c r="GD32" s="53"/>
      <c r="GE32" s="48"/>
      <c r="GF32" s="53"/>
      <c r="GG32" s="48"/>
      <c r="GH32" s="48"/>
      <c r="GI32" s="48"/>
      <c r="GJ32" s="48"/>
      <c r="GK32" s="48"/>
      <c r="GL32" s="48">
        <v>1</v>
      </c>
      <c r="GM32" s="48">
        <v>0.97</v>
      </c>
      <c r="GN32" s="48">
        <v>0.95</v>
      </c>
      <c r="GO32" s="48">
        <v>0.93</v>
      </c>
      <c r="GP32" s="48">
        <f t="shared" ref="GP32:HG32" si="199">+GO32-0.02</f>
        <v>0.91</v>
      </c>
      <c r="GQ32" s="48">
        <f t="shared" si="199"/>
        <v>0.89</v>
      </c>
      <c r="GR32" s="48">
        <f t="shared" si="199"/>
        <v>0.87</v>
      </c>
      <c r="GS32" s="48">
        <f t="shared" si="199"/>
        <v>0.85</v>
      </c>
      <c r="GT32" s="48">
        <f t="shared" si="199"/>
        <v>0.83</v>
      </c>
      <c r="GU32" s="48">
        <f t="shared" si="199"/>
        <v>0.80999999999999994</v>
      </c>
      <c r="GV32" s="48">
        <f t="shared" si="199"/>
        <v>0.78999999999999992</v>
      </c>
      <c r="GW32" s="48">
        <f t="shared" si="199"/>
        <v>0.76999999999999991</v>
      </c>
      <c r="GX32" s="48">
        <f t="shared" si="199"/>
        <v>0.74999999999999989</v>
      </c>
      <c r="GY32" s="48">
        <f t="shared" si="199"/>
        <v>0.72999999999999987</v>
      </c>
      <c r="GZ32" s="48">
        <f t="shared" si="199"/>
        <v>0.70999999999999985</v>
      </c>
      <c r="HA32" s="48">
        <f t="shared" si="199"/>
        <v>0.68999999999999984</v>
      </c>
      <c r="HB32" s="48">
        <f t="shared" si="199"/>
        <v>0.66999999999999982</v>
      </c>
      <c r="HC32" s="48">
        <f t="shared" si="199"/>
        <v>0.6499999999999998</v>
      </c>
      <c r="HD32" s="48">
        <f t="shared" si="199"/>
        <v>0.62999999999999978</v>
      </c>
      <c r="HE32" s="48">
        <f t="shared" si="199"/>
        <v>0.60999999999999976</v>
      </c>
      <c r="HF32" s="48">
        <f t="shared" si="199"/>
        <v>0.58999999999999975</v>
      </c>
      <c r="HG32" s="48">
        <f t="shared" si="199"/>
        <v>0.56999999999999973</v>
      </c>
    </row>
    <row r="33" spans="1:250" ht="17.25" thickBot="1" x14ac:dyDescent="0.35">
      <c r="B33" s="2" t="s">
        <v>5</v>
      </c>
      <c r="C33" s="2" t="s">
        <v>48</v>
      </c>
      <c r="D33" s="2" t="s">
        <v>49</v>
      </c>
      <c r="E33" s="35" t="s">
        <v>61</v>
      </c>
      <c r="I33" s="48"/>
      <c r="V33" s="53"/>
      <c r="AB33" s="53"/>
      <c r="AD33" s="53"/>
      <c r="AF33" s="53"/>
      <c r="AJ33" s="53"/>
      <c r="AL33" s="53"/>
      <c r="AN33" s="53"/>
      <c r="AP33" s="53"/>
      <c r="AT33" s="53"/>
      <c r="AV33" s="53"/>
      <c r="BB33" s="48">
        <v>1</v>
      </c>
      <c r="BC33" s="48">
        <v>0.97</v>
      </c>
      <c r="BD33" s="48">
        <v>0.95</v>
      </c>
      <c r="BE33" s="48">
        <v>0.93</v>
      </c>
      <c r="BF33" s="48">
        <f t="shared" ref="BF33:BW33" si="200">+BE33-0.02</f>
        <v>0.91</v>
      </c>
      <c r="BG33" s="48">
        <f t="shared" si="200"/>
        <v>0.89</v>
      </c>
      <c r="BH33" s="48">
        <f t="shared" si="200"/>
        <v>0.87</v>
      </c>
      <c r="BI33" s="48">
        <f t="shared" si="200"/>
        <v>0.85</v>
      </c>
      <c r="BJ33" s="48">
        <f t="shared" si="200"/>
        <v>0.83</v>
      </c>
      <c r="BK33" s="48">
        <f t="shared" si="200"/>
        <v>0.80999999999999994</v>
      </c>
      <c r="BL33" s="48">
        <f t="shared" si="200"/>
        <v>0.78999999999999992</v>
      </c>
      <c r="BM33" s="48">
        <f t="shared" si="200"/>
        <v>0.76999999999999991</v>
      </c>
      <c r="BN33" s="48">
        <f t="shared" si="200"/>
        <v>0.74999999999999989</v>
      </c>
      <c r="BO33" s="48">
        <f t="shared" si="200"/>
        <v>0.72999999999999987</v>
      </c>
      <c r="BP33" s="48">
        <f t="shared" si="200"/>
        <v>0.70999999999999985</v>
      </c>
      <c r="BQ33" s="48">
        <f t="shared" si="200"/>
        <v>0.68999999999999984</v>
      </c>
      <c r="BR33" s="48">
        <f t="shared" si="200"/>
        <v>0.66999999999999982</v>
      </c>
      <c r="BS33" s="48">
        <f t="shared" si="200"/>
        <v>0.6499999999999998</v>
      </c>
      <c r="BT33" s="48">
        <f t="shared" si="200"/>
        <v>0.62999999999999978</v>
      </c>
      <c r="BU33" s="48">
        <f t="shared" si="200"/>
        <v>0.60999999999999976</v>
      </c>
      <c r="BV33" s="48">
        <f t="shared" si="200"/>
        <v>0.58999999999999975</v>
      </c>
      <c r="BW33" s="48">
        <f t="shared" si="200"/>
        <v>0.56999999999999973</v>
      </c>
      <c r="BY33" s="48">
        <f t="shared" si="88"/>
        <v>0</v>
      </c>
      <c r="CH33" s="52"/>
      <c r="CL33" s="52"/>
      <c r="CN33" s="53"/>
      <c r="CP33" s="52"/>
      <c r="CT33" s="53"/>
      <c r="CV33" s="53"/>
      <c r="CX33" s="53"/>
      <c r="DB33" s="53"/>
      <c r="DD33" s="53"/>
      <c r="DF33" s="53"/>
      <c r="DH33" s="53"/>
      <c r="DL33" s="53"/>
      <c r="DN33" s="53"/>
      <c r="DT33" s="48">
        <v>1</v>
      </c>
      <c r="DU33" s="48">
        <v>0.97</v>
      </c>
      <c r="DV33" s="48">
        <v>0.95</v>
      </c>
      <c r="DW33" s="48">
        <v>0.93</v>
      </c>
      <c r="DX33" s="48">
        <f t="shared" ref="DX33:EO33" si="201">+DW33-0.02</f>
        <v>0.91</v>
      </c>
      <c r="DY33" s="48">
        <f t="shared" si="201"/>
        <v>0.89</v>
      </c>
      <c r="DZ33" s="48">
        <f t="shared" si="201"/>
        <v>0.87</v>
      </c>
      <c r="EA33" s="48">
        <f t="shared" si="201"/>
        <v>0.85</v>
      </c>
      <c r="EB33" s="48">
        <f t="shared" si="201"/>
        <v>0.83</v>
      </c>
      <c r="EC33" s="48">
        <f t="shared" si="201"/>
        <v>0.80999999999999994</v>
      </c>
      <c r="ED33" s="48">
        <f t="shared" si="201"/>
        <v>0.78999999999999992</v>
      </c>
      <c r="EE33" s="48">
        <f t="shared" si="201"/>
        <v>0.76999999999999991</v>
      </c>
      <c r="EF33" s="48">
        <f t="shared" si="201"/>
        <v>0.74999999999999989</v>
      </c>
      <c r="EG33" s="48">
        <f t="shared" si="201"/>
        <v>0.72999999999999987</v>
      </c>
      <c r="EH33" s="48">
        <f t="shared" si="201"/>
        <v>0.70999999999999985</v>
      </c>
      <c r="EI33" s="48">
        <f t="shared" si="201"/>
        <v>0.68999999999999984</v>
      </c>
      <c r="EJ33" s="48">
        <f t="shared" si="201"/>
        <v>0.66999999999999982</v>
      </c>
      <c r="EK33" s="48">
        <f t="shared" si="201"/>
        <v>0.6499999999999998</v>
      </c>
      <c r="EL33" s="48">
        <f t="shared" si="201"/>
        <v>0.62999999999999978</v>
      </c>
      <c r="EM33" s="48">
        <f t="shared" si="201"/>
        <v>0.60999999999999976</v>
      </c>
      <c r="EN33" s="48">
        <f t="shared" si="201"/>
        <v>0.58999999999999975</v>
      </c>
      <c r="EO33" s="48">
        <f t="shared" si="201"/>
        <v>0.56999999999999973</v>
      </c>
      <c r="EQ33" s="48">
        <f t="shared" si="188"/>
        <v>0</v>
      </c>
      <c r="ER33" s="48"/>
      <c r="ES33" s="48"/>
      <c r="ET33" s="48"/>
      <c r="EU33" s="48"/>
      <c r="EV33" s="48"/>
      <c r="EW33" s="48"/>
      <c r="EX33" s="48"/>
      <c r="EY33" s="48"/>
      <c r="EZ33" s="52"/>
      <c r="FA33" s="48"/>
      <c r="FB33" s="48"/>
      <c r="FC33" s="48"/>
      <c r="FD33" s="52"/>
      <c r="FE33" s="48"/>
      <c r="FF33" s="53"/>
      <c r="FG33" s="48"/>
      <c r="FH33" s="52"/>
      <c r="FI33" s="48"/>
      <c r="FJ33" s="48"/>
      <c r="FK33" s="48"/>
      <c r="FL33" s="53"/>
      <c r="FM33" s="48"/>
      <c r="FN33" s="53"/>
      <c r="FO33" s="48"/>
      <c r="FP33" s="53"/>
      <c r="FQ33" s="48"/>
      <c r="FR33" s="48"/>
      <c r="FS33" s="48"/>
      <c r="FT33" s="53"/>
      <c r="FU33" s="48"/>
      <c r="FV33" s="53"/>
      <c r="FW33" s="48"/>
      <c r="FX33" s="53"/>
      <c r="FY33" s="48"/>
      <c r="FZ33" s="53"/>
      <c r="GA33" s="48"/>
      <c r="GB33" s="48"/>
      <c r="GC33" s="48"/>
      <c r="GD33" s="53"/>
      <c r="GE33" s="48"/>
      <c r="GF33" s="53"/>
      <c r="GG33" s="48"/>
      <c r="GH33" s="48"/>
      <c r="GI33" s="48"/>
      <c r="GJ33" s="48"/>
      <c r="GK33" s="48"/>
      <c r="GL33" s="48">
        <v>1</v>
      </c>
      <c r="GM33" s="48">
        <v>0.97</v>
      </c>
      <c r="GN33" s="48">
        <v>0.95</v>
      </c>
      <c r="GO33" s="48">
        <v>0.93</v>
      </c>
      <c r="GP33" s="48">
        <f t="shared" ref="GP33:HG33" si="202">+GO33-0.02</f>
        <v>0.91</v>
      </c>
      <c r="GQ33" s="48">
        <f t="shared" si="202"/>
        <v>0.89</v>
      </c>
      <c r="GR33" s="48">
        <f t="shared" si="202"/>
        <v>0.87</v>
      </c>
      <c r="GS33" s="48">
        <f t="shared" si="202"/>
        <v>0.85</v>
      </c>
      <c r="GT33" s="48">
        <f t="shared" si="202"/>
        <v>0.83</v>
      </c>
      <c r="GU33" s="48">
        <f t="shared" si="202"/>
        <v>0.80999999999999994</v>
      </c>
      <c r="GV33" s="48">
        <f t="shared" si="202"/>
        <v>0.78999999999999992</v>
      </c>
      <c r="GW33" s="48">
        <f t="shared" si="202"/>
        <v>0.76999999999999991</v>
      </c>
      <c r="GX33" s="48">
        <f t="shared" si="202"/>
        <v>0.74999999999999989</v>
      </c>
      <c r="GY33" s="48">
        <f t="shared" si="202"/>
        <v>0.72999999999999987</v>
      </c>
      <c r="GZ33" s="48">
        <f t="shared" si="202"/>
        <v>0.70999999999999985</v>
      </c>
      <c r="HA33" s="48">
        <f t="shared" si="202"/>
        <v>0.68999999999999984</v>
      </c>
      <c r="HB33" s="48">
        <f t="shared" si="202"/>
        <v>0.66999999999999982</v>
      </c>
      <c r="HC33" s="48">
        <f t="shared" si="202"/>
        <v>0.6499999999999998</v>
      </c>
      <c r="HD33" s="48">
        <f t="shared" si="202"/>
        <v>0.62999999999999978</v>
      </c>
      <c r="HE33" s="48">
        <f t="shared" si="202"/>
        <v>0.60999999999999976</v>
      </c>
      <c r="HF33" s="48">
        <f t="shared" si="202"/>
        <v>0.58999999999999975</v>
      </c>
      <c r="HG33" s="48">
        <f t="shared" si="202"/>
        <v>0.56999999999999973</v>
      </c>
    </row>
    <row r="34" spans="1:250" x14ac:dyDescent="0.3">
      <c r="A34" s="2">
        <v>1</v>
      </c>
      <c r="C34" s="39" t="s">
        <v>129</v>
      </c>
      <c r="D34" s="42">
        <f>TRUNC(18516.9360429323,-1)</f>
        <v>18510</v>
      </c>
      <c r="E34" s="72">
        <f t="shared" ref="E34:E53" si="203">TRUNC(+D34*3.3058,-1)</f>
        <v>61190</v>
      </c>
      <c r="G34" s="48">
        <f t="shared" si="61"/>
        <v>20361</v>
      </c>
      <c r="H34" s="48">
        <f t="shared" si="62"/>
        <v>20361</v>
      </c>
      <c r="I34" s="51">
        <f t="shared" si="63"/>
        <v>67309.393800000005</v>
      </c>
      <c r="J34" s="48">
        <f t="shared" ref="J34:J54" si="204">+H34*BC34</f>
        <v>19750.169999999998</v>
      </c>
      <c r="K34" s="51">
        <f t="shared" ref="K34:K54" si="205">+J34*3.3058</f>
        <v>65290.111985999996</v>
      </c>
      <c r="L34" s="48">
        <f t="shared" ref="L34:L54" si="206">+H34*BD34</f>
        <v>19342.95</v>
      </c>
      <c r="M34" s="51">
        <f t="shared" ref="M34:M54" si="207">+L34*3.3058</f>
        <v>63943.924110000007</v>
      </c>
      <c r="N34" s="48">
        <f t="shared" ref="N34:N54" si="208">+H34*BE34</f>
        <v>18935.73</v>
      </c>
      <c r="O34" s="51">
        <f t="shared" ref="O34:O54" si="209">+N34*3.3058</f>
        <v>62597.736233999996</v>
      </c>
      <c r="P34" s="52">
        <f t="shared" ref="P34:P54" si="210">+H34*BF34</f>
        <v>18528.510000000002</v>
      </c>
      <c r="Q34" s="51">
        <f t="shared" ref="Q34:Q54" si="211">+P34*3.3058</f>
        <v>61251.548358000007</v>
      </c>
      <c r="R34" s="48">
        <f t="shared" ref="R34:R54" si="212">+H34*BG34</f>
        <v>18121.29</v>
      </c>
      <c r="S34" s="51">
        <f t="shared" ref="S34:S54" si="213">+R34*3.3058</f>
        <v>59905.360482000004</v>
      </c>
      <c r="T34" s="52">
        <f t="shared" ref="T34:T54" si="214">+H34*BH34</f>
        <v>17714.07</v>
      </c>
      <c r="U34" s="51">
        <f t="shared" ref="U34:U54" si="215">+T34*3.3058</f>
        <v>58559.172606</v>
      </c>
      <c r="V34" s="53">
        <f t="shared" ref="V34:V54" si="216">+H34*BI34</f>
        <v>17306.849999999999</v>
      </c>
      <c r="W34" s="51">
        <f t="shared" ref="W34:W54" si="217">+V34*3.3058</f>
        <v>57212.984729999996</v>
      </c>
      <c r="X34" s="52">
        <f t="shared" ref="X34:X54" si="218">+H34*BJ34</f>
        <v>16899.629999999997</v>
      </c>
      <c r="Y34" s="51">
        <f t="shared" ref="Y34:Y54" si="219">+X34*3.3058</f>
        <v>55866.796853999993</v>
      </c>
      <c r="Z34" s="48">
        <f t="shared" ref="Z34:Z54" si="220">+H34*BK34</f>
        <v>16492.41</v>
      </c>
      <c r="AA34" s="51">
        <f t="shared" ref="AA34:AA54" si="221">+Z34*3.3058</f>
        <v>54520.608978000004</v>
      </c>
      <c r="AB34" s="53">
        <f t="shared" ref="AB34:AB54" si="222">+H34*BL34</f>
        <v>16085.189999999999</v>
      </c>
      <c r="AC34" s="51">
        <f t="shared" ref="AC34:AC54" si="223">+AB34*3.3058</f>
        <v>53174.421102</v>
      </c>
      <c r="AD34" s="53">
        <f t="shared" ref="AD34:AD54" si="224">+H34*BM34</f>
        <v>15677.969999999998</v>
      </c>
      <c r="AE34" s="51">
        <f t="shared" ref="AE34:AE54" si="225">+AD34*3.3058</f>
        <v>51828.233225999989</v>
      </c>
      <c r="AF34" s="53">
        <f t="shared" ref="AF34:AF54" si="226">+H34*BN34</f>
        <v>15270.749999999998</v>
      </c>
      <c r="AG34" s="51">
        <f t="shared" ref="AG34:AG54" si="227">+AF34*3.3058</f>
        <v>50482.045349999993</v>
      </c>
      <c r="AH34" s="48">
        <f t="shared" ref="AH34:AH54" si="228">+H34*BO34</f>
        <v>14863.529999999997</v>
      </c>
      <c r="AI34" s="51">
        <f t="shared" ref="AI34:AI54" si="229">+AH34*3.3058</f>
        <v>49135.857473999989</v>
      </c>
      <c r="AJ34" s="53">
        <f t="shared" ref="AJ34:AJ54" si="230">+H34*BP34</f>
        <v>14456.309999999998</v>
      </c>
      <c r="AK34" s="51">
        <f t="shared" ref="AK34:AK54" si="231">+AJ34*3.3058</f>
        <v>47789.669597999993</v>
      </c>
      <c r="AL34" s="53">
        <f t="shared" ref="AL34:AL54" si="232">+H34*BQ34</f>
        <v>14049.089999999997</v>
      </c>
      <c r="AM34" s="51">
        <f t="shared" ref="AM34:AM54" si="233">+AL34*3.3058</f>
        <v>46443.48172199999</v>
      </c>
      <c r="AN34" s="53">
        <f t="shared" ref="AN34:AN54" si="234">+H34*BR34</f>
        <v>13641.869999999997</v>
      </c>
      <c r="AO34" s="51">
        <f t="shared" ref="AO34:AO54" si="235">+AN34*3.3058</f>
        <v>45097.293845999993</v>
      </c>
      <c r="AP34" s="53">
        <f t="shared" ref="AP34:AP54" si="236">+H34*BS34</f>
        <v>13234.649999999996</v>
      </c>
      <c r="AQ34" s="51">
        <f t="shared" ref="AQ34:AQ54" si="237">+AP34*3.3058</f>
        <v>43751.10596999999</v>
      </c>
      <c r="AR34" s="48">
        <f t="shared" ref="AR34:AR54" si="238">+H34*BT34</f>
        <v>12827.429999999995</v>
      </c>
      <c r="AS34" s="51">
        <f t="shared" ref="AS34:AS54" si="239">+AR34*3.3058</f>
        <v>42404.918093999986</v>
      </c>
      <c r="AT34" s="53">
        <f t="shared" ref="AT34:AT54" si="240">+H34*BU34</f>
        <v>12420.209999999995</v>
      </c>
      <c r="AU34" s="51">
        <f t="shared" ref="AU34:AU54" si="241">+AT34*3.3058</f>
        <v>41058.730217999982</v>
      </c>
      <c r="AV34" s="53">
        <f t="shared" ref="AV34:AV54" si="242">+H34*BV34</f>
        <v>12012.989999999994</v>
      </c>
      <c r="AW34" s="51">
        <f t="shared" ref="AW34:AW54" si="243">+AV34*3.3058</f>
        <v>39712.542341999979</v>
      </c>
      <c r="AX34" s="48">
        <f t="shared" ref="AX34:AX54" si="244">+H34*BW34</f>
        <v>11605.769999999995</v>
      </c>
      <c r="AY34" s="51">
        <f t="shared" ref="AY34:AY54" si="245">+AX34*3.3058</f>
        <v>38366.354465999982</v>
      </c>
      <c r="BB34" s="48">
        <v>1</v>
      </c>
      <c r="BC34" s="48">
        <v>0.97</v>
      </c>
      <c r="BD34" s="48">
        <v>0.95</v>
      </c>
      <c r="BE34" s="48">
        <v>0.93</v>
      </c>
      <c r="BF34" s="48">
        <f t="shared" ref="BF34:BW34" si="246">+BE34-0.02</f>
        <v>0.91</v>
      </c>
      <c r="BG34" s="48">
        <f t="shared" si="246"/>
        <v>0.89</v>
      </c>
      <c r="BH34" s="48">
        <f t="shared" si="246"/>
        <v>0.87</v>
      </c>
      <c r="BI34" s="48">
        <f t="shared" si="246"/>
        <v>0.85</v>
      </c>
      <c r="BJ34" s="48">
        <f t="shared" si="246"/>
        <v>0.83</v>
      </c>
      <c r="BK34" s="48">
        <f t="shared" si="246"/>
        <v>0.80999999999999994</v>
      </c>
      <c r="BL34" s="48">
        <f t="shared" si="246"/>
        <v>0.78999999999999992</v>
      </c>
      <c r="BM34" s="48">
        <f t="shared" si="246"/>
        <v>0.76999999999999991</v>
      </c>
      <c r="BN34" s="48">
        <f t="shared" si="246"/>
        <v>0.74999999999999989</v>
      </c>
      <c r="BO34" s="48">
        <f t="shared" si="246"/>
        <v>0.72999999999999987</v>
      </c>
      <c r="BP34" s="48">
        <f t="shared" si="246"/>
        <v>0.70999999999999985</v>
      </c>
      <c r="BQ34" s="48">
        <f t="shared" si="246"/>
        <v>0.68999999999999984</v>
      </c>
      <c r="BR34" s="48">
        <f t="shared" si="246"/>
        <v>0.66999999999999982</v>
      </c>
      <c r="BS34" s="48">
        <f t="shared" si="246"/>
        <v>0.6499999999999998</v>
      </c>
      <c r="BT34" s="48">
        <f t="shared" si="246"/>
        <v>0.62999999999999978</v>
      </c>
      <c r="BU34" s="48">
        <f t="shared" si="246"/>
        <v>0.60999999999999976</v>
      </c>
      <c r="BV34" s="48">
        <f t="shared" si="246"/>
        <v>0.58999999999999975</v>
      </c>
      <c r="BW34" s="48">
        <f t="shared" si="246"/>
        <v>0.56999999999999973</v>
      </c>
      <c r="BY34" s="48">
        <f t="shared" si="88"/>
        <v>18528.510000000002</v>
      </c>
      <c r="BZ34" s="48">
        <f t="shared" si="89"/>
        <v>18528.510000000002</v>
      </c>
      <c r="CA34" s="51">
        <f t="shared" ref="CA34" si="247">+BZ34*3.3058</f>
        <v>61251.548358000007</v>
      </c>
      <c r="CB34" s="48">
        <f t="shared" ref="CB34:CB54" si="248">+BZ34*DU34</f>
        <v>17972.654700000003</v>
      </c>
      <c r="CC34" s="51">
        <f t="shared" ref="CC34:CC54" si="249">+CB34*3.3058</f>
        <v>59414.001907260012</v>
      </c>
      <c r="CD34" s="48">
        <f t="shared" ref="CD34:CD54" si="250">+BZ34*DV34</f>
        <v>17602.084500000001</v>
      </c>
      <c r="CE34" s="51">
        <f t="shared" ref="CE34:CE54" si="251">+CD34*3.3058</f>
        <v>58188.970940100007</v>
      </c>
      <c r="CF34" s="48">
        <f t="shared" ref="CF34:CF54" si="252">+BZ34*DW34</f>
        <v>17231.514300000003</v>
      </c>
      <c r="CG34" s="51">
        <f t="shared" ref="CG34:CG54" si="253">+CF34*3.3058</f>
        <v>56963.93997294001</v>
      </c>
      <c r="CH34" s="52">
        <f t="shared" ref="CH34:CH54" si="254">+BZ34*DX34</f>
        <v>16860.944100000001</v>
      </c>
      <c r="CI34" s="51">
        <f t="shared" ref="CI34:CI54" si="255">+CH34*3.3058</f>
        <v>55738.909005780006</v>
      </c>
      <c r="CJ34" s="48">
        <f t="shared" ref="CJ34:CJ54" si="256">+BZ34*DY34</f>
        <v>16490.373900000002</v>
      </c>
      <c r="CK34" s="51">
        <f t="shared" ref="CK34:CK54" si="257">+CJ34*3.3058</f>
        <v>54513.878038620009</v>
      </c>
      <c r="CL34" s="52">
        <f t="shared" ref="CL34:CL54" si="258">+BZ34*DZ34</f>
        <v>16119.803700000002</v>
      </c>
      <c r="CM34" s="51">
        <f t="shared" ref="CM34:CM54" si="259">+CL34*3.3058</f>
        <v>53288.847071460012</v>
      </c>
      <c r="CN34" s="53">
        <f t="shared" ref="CN34:CN54" si="260">+BZ34*EA34</f>
        <v>15749.233500000002</v>
      </c>
      <c r="CO34" s="51">
        <f t="shared" ref="CO34:CO54" si="261">+CN34*3.3058</f>
        <v>52063.816104300007</v>
      </c>
      <c r="CP34" s="52">
        <f t="shared" ref="CP34:CP54" si="262">+BZ34*EB34</f>
        <v>15378.6633</v>
      </c>
      <c r="CQ34" s="51">
        <f t="shared" ref="CQ34:CQ54" si="263">+CP34*3.3058</f>
        <v>50838.785137140003</v>
      </c>
      <c r="CR34" s="48">
        <f t="shared" ref="CR34:CR54" si="264">+BZ34*EC34</f>
        <v>15008.0931</v>
      </c>
      <c r="CS34" s="51">
        <f t="shared" ref="CS34:CS54" si="265">+CR34*3.3058</f>
        <v>49613.754169979999</v>
      </c>
      <c r="CT34" s="53">
        <f t="shared" ref="CT34:CT54" si="266">+BZ34*ED34</f>
        <v>14637.5229</v>
      </c>
      <c r="CU34" s="51">
        <f t="shared" ref="CU34:CU54" si="267">+CT34*3.3058</f>
        <v>48388.723202820001</v>
      </c>
      <c r="CV34" s="53">
        <f t="shared" ref="CV34:CV54" si="268">+BZ34*EE34</f>
        <v>14266.9527</v>
      </c>
      <c r="CW34" s="51">
        <f t="shared" ref="CW34:CW54" si="269">+CV34*3.3058</f>
        <v>47163.692235659997</v>
      </c>
      <c r="CX34" s="53">
        <f t="shared" ref="CX34:CX54" si="270">+BZ34*EF34</f>
        <v>13896.3825</v>
      </c>
      <c r="CY34" s="51">
        <f t="shared" ref="CY34:CY54" si="271">+CX34*3.3058</f>
        <v>45938.6612685</v>
      </c>
      <c r="CZ34" s="48">
        <f t="shared" ref="CZ34:CZ54" si="272">+BZ34*EG34</f>
        <v>13525.8123</v>
      </c>
      <c r="DA34" s="51">
        <f t="shared" ref="DA34:DA54" si="273">+CZ34*3.3058</f>
        <v>44713.630301340003</v>
      </c>
      <c r="DB34" s="53">
        <f t="shared" ref="DB34:DB54" si="274">+BZ34*EH34</f>
        <v>13155.242099999999</v>
      </c>
      <c r="DC34" s="51">
        <f t="shared" ref="DC34:DC54" si="275">+DB34*3.3058</f>
        <v>43488.599334179999</v>
      </c>
      <c r="DD34" s="53">
        <f t="shared" ref="DD34:DD54" si="276">+BZ34*EI34</f>
        <v>12784.671899999998</v>
      </c>
      <c r="DE34" s="51">
        <f t="shared" ref="DE34:DE54" si="277">+DD34*3.3058</f>
        <v>42263.568367019994</v>
      </c>
      <c r="DF34" s="53">
        <f t="shared" ref="DF34:DF54" si="278">+BZ34*EJ34</f>
        <v>12414.101699999997</v>
      </c>
      <c r="DG34" s="51">
        <f t="shared" ref="DG34:DG54" si="279">+DF34*3.3058</f>
        <v>41038.53739985999</v>
      </c>
      <c r="DH34" s="53">
        <f t="shared" ref="DH34:DH54" si="280">+BZ34*EK34</f>
        <v>12043.531499999997</v>
      </c>
      <c r="DI34" s="51">
        <f t="shared" ref="DI34:DI54" si="281">+DH34*3.3058</f>
        <v>39813.506432699993</v>
      </c>
      <c r="DJ34" s="48">
        <f t="shared" ref="DJ34:DJ54" si="282">+BZ34*EL34</f>
        <v>11672.961299999997</v>
      </c>
      <c r="DK34" s="51">
        <f t="shared" ref="DK34:DK54" si="283">+DJ34*3.3058</f>
        <v>38588.475465539988</v>
      </c>
      <c r="DL34" s="53">
        <f t="shared" ref="DL34:DL54" si="284">+BZ34*EM34</f>
        <v>11302.391099999997</v>
      </c>
      <c r="DM34" s="51">
        <f t="shared" ref="DM34:DM54" si="285">+DL34*3.3058</f>
        <v>37363.444498379991</v>
      </c>
      <c r="DN34" s="53">
        <f t="shared" ref="DN34:DN54" si="286">+BZ34*EN34</f>
        <v>10931.820899999997</v>
      </c>
      <c r="DO34" s="51">
        <f t="shared" ref="DO34:DO54" si="287">+DN34*3.3058</f>
        <v>36138.413531219994</v>
      </c>
      <c r="DP34" s="48">
        <f t="shared" ref="DP34:DP54" si="288">+BZ34*EO34</f>
        <v>10561.250699999997</v>
      </c>
      <c r="DQ34" s="51">
        <f t="shared" ref="DQ34:DQ54" si="289">+DP34*3.3058</f>
        <v>34913.38256405999</v>
      </c>
      <c r="DT34" s="48">
        <v>1</v>
      </c>
      <c r="DU34" s="48">
        <v>0.97</v>
      </c>
      <c r="DV34" s="48">
        <v>0.95</v>
      </c>
      <c r="DW34" s="48">
        <v>0.93</v>
      </c>
      <c r="DX34" s="48">
        <f t="shared" ref="DX34:EO34" si="290">+DW34-0.02</f>
        <v>0.91</v>
      </c>
      <c r="DY34" s="48">
        <f t="shared" si="290"/>
        <v>0.89</v>
      </c>
      <c r="DZ34" s="48">
        <f t="shared" si="290"/>
        <v>0.87</v>
      </c>
      <c r="EA34" s="48">
        <f t="shared" si="290"/>
        <v>0.85</v>
      </c>
      <c r="EB34" s="48">
        <f t="shared" si="290"/>
        <v>0.83</v>
      </c>
      <c r="EC34" s="48">
        <f t="shared" si="290"/>
        <v>0.80999999999999994</v>
      </c>
      <c r="ED34" s="48">
        <f t="shared" si="290"/>
        <v>0.78999999999999992</v>
      </c>
      <c r="EE34" s="48">
        <f t="shared" si="290"/>
        <v>0.76999999999999991</v>
      </c>
      <c r="EF34" s="48">
        <f t="shared" si="290"/>
        <v>0.74999999999999989</v>
      </c>
      <c r="EG34" s="48">
        <f t="shared" si="290"/>
        <v>0.72999999999999987</v>
      </c>
      <c r="EH34" s="48">
        <f t="shared" si="290"/>
        <v>0.70999999999999985</v>
      </c>
      <c r="EI34" s="48">
        <f t="shared" si="290"/>
        <v>0.68999999999999984</v>
      </c>
      <c r="EJ34" s="48">
        <f t="shared" si="290"/>
        <v>0.66999999999999982</v>
      </c>
      <c r="EK34" s="48">
        <f t="shared" si="290"/>
        <v>0.6499999999999998</v>
      </c>
      <c r="EL34" s="48">
        <f t="shared" si="290"/>
        <v>0.62999999999999978</v>
      </c>
      <c r="EM34" s="48">
        <f t="shared" si="290"/>
        <v>0.60999999999999976</v>
      </c>
      <c r="EN34" s="48">
        <f t="shared" si="290"/>
        <v>0.58999999999999975</v>
      </c>
      <c r="EO34" s="48">
        <f t="shared" si="290"/>
        <v>0.56999999999999973</v>
      </c>
      <c r="EQ34" s="48">
        <f t="shared" si="188"/>
        <v>16860.944100000001</v>
      </c>
      <c r="ER34" s="48">
        <f t="shared" si="116"/>
        <v>16860.944100000001</v>
      </c>
      <c r="ES34" s="51">
        <f t="shared" ref="ES34" si="291">+ER34*3.3058</f>
        <v>55738.909005780006</v>
      </c>
      <c r="ET34" s="48">
        <f t="shared" ref="ET34:ET54" si="292">+ER34*GM34</f>
        <v>16355.115777000001</v>
      </c>
      <c r="EU34" s="51">
        <f t="shared" ref="EU34:EU54" si="293">+ET34*3.3058</f>
        <v>54066.741735606607</v>
      </c>
      <c r="EV34" s="48">
        <f t="shared" ref="EV34:EV54" si="294">+ER34*GN34</f>
        <v>16017.896895</v>
      </c>
      <c r="EW34" s="51">
        <f t="shared" ref="EW34:EW54" si="295">+EV34*3.3058</f>
        <v>52951.963555490998</v>
      </c>
      <c r="EX34" s="48">
        <f t="shared" ref="EX34:EX54" si="296">+ER34*GO34</f>
        <v>15680.678013000001</v>
      </c>
      <c r="EY34" s="51">
        <f t="shared" ref="EY34:EY54" si="297">+EX34*3.3058</f>
        <v>51837.185375375404</v>
      </c>
      <c r="EZ34" s="52">
        <f t="shared" ref="EZ34:EZ54" si="298">+ER34*GP34</f>
        <v>15343.459131000001</v>
      </c>
      <c r="FA34" s="51">
        <f t="shared" ref="FA34:FA54" si="299">+EZ34*3.3058</f>
        <v>50722.407195259802</v>
      </c>
      <c r="FB34" s="48">
        <f t="shared" ref="FB34:FB54" si="300">+ER34*GQ34</f>
        <v>15006.240249</v>
      </c>
      <c r="FC34" s="51">
        <f t="shared" ref="FC34:FC54" si="301">+FB34*3.3058</f>
        <v>49607.629015144201</v>
      </c>
      <c r="FD34" s="52">
        <f t="shared" ref="FD34:FD54" si="302">+ER34*GR34</f>
        <v>14669.021367000001</v>
      </c>
      <c r="FE34" s="51">
        <f t="shared" ref="FE34:FE54" si="303">+FD34*3.3058</f>
        <v>48492.850835028607</v>
      </c>
      <c r="FF34" s="53">
        <f t="shared" ref="FF34:FF54" si="304">+ER34*GS34</f>
        <v>14331.802485</v>
      </c>
      <c r="FG34" s="51">
        <f t="shared" ref="FG34:FG54" si="305">+FF34*3.3058</f>
        <v>47378.072654913005</v>
      </c>
      <c r="FH34" s="52">
        <f t="shared" ref="FH34:FH54" si="306">+ER34*GT34</f>
        <v>13994.583602999999</v>
      </c>
      <c r="FI34" s="51">
        <f t="shared" ref="FI34:FI54" si="307">+FH34*3.3058</f>
        <v>46263.294474797396</v>
      </c>
      <c r="FJ34" s="48">
        <f t="shared" ref="FJ34:FJ54" si="308">+ER34*GU34</f>
        <v>13657.364721</v>
      </c>
      <c r="FK34" s="51">
        <f t="shared" ref="FK34:FK54" si="309">+FJ34*3.3058</f>
        <v>45148.516294681802</v>
      </c>
      <c r="FL34" s="53">
        <f t="shared" ref="FL34:FL54" si="310">+ER34*GV34</f>
        <v>13320.145838999999</v>
      </c>
      <c r="FM34" s="51">
        <f t="shared" ref="FM34:FM54" si="311">+FL34*3.3058</f>
        <v>44033.7381145662</v>
      </c>
      <c r="FN34" s="53">
        <f t="shared" ref="FN34:FN54" si="312">+ER34*GW34</f>
        <v>12982.926957</v>
      </c>
      <c r="FO34" s="51">
        <f t="shared" ref="FO34:FO54" si="313">+FN34*3.3058</f>
        <v>42918.959934450599</v>
      </c>
      <c r="FP34" s="53">
        <f t="shared" ref="FP34:FP54" si="314">+ER34*GX34</f>
        <v>12645.708074999999</v>
      </c>
      <c r="FQ34" s="51">
        <f t="shared" ref="FQ34:FQ54" si="315">+FP34*3.3058</f>
        <v>41804.181754334997</v>
      </c>
      <c r="FR34" s="48">
        <f t="shared" ref="FR34:FR54" si="316">+ER34*GY34</f>
        <v>12308.489192999998</v>
      </c>
      <c r="FS34" s="51">
        <f t="shared" ref="FS34:FS54" si="317">+FR34*3.3058</f>
        <v>40689.403574219396</v>
      </c>
      <c r="FT34" s="53">
        <f t="shared" ref="FT34:FT54" si="318">+ER34*GZ34</f>
        <v>11971.270310999998</v>
      </c>
      <c r="FU34" s="51">
        <f t="shared" ref="FU34:FU54" si="319">+FT34*3.3058</f>
        <v>39574.625394103794</v>
      </c>
      <c r="FV34" s="53">
        <f t="shared" ref="FV34:FV54" si="320">+ER34*HA34</f>
        <v>11634.051428999997</v>
      </c>
      <c r="FW34" s="51">
        <f t="shared" ref="FW34:FW54" si="321">+FV34*3.3058</f>
        <v>38459.847213988192</v>
      </c>
      <c r="FX34" s="53">
        <f t="shared" ref="FX34:FX54" si="322">+ER34*HB34</f>
        <v>11296.832546999998</v>
      </c>
      <c r="FY34" s="51">
        <f t="shared" ref="FY34:FY54" si="323">+FX34*3.3058</f>
        <v>37345.069033872598</v>
      </c>
      <c r="FZ34" s="53">
        <f t="shared" ref="FZ34:FZ54" si="324">+ER34*HC34</f>
        <v>10959.613664999997</v>
      </c>
      <c r="GA34" s="51">
        <f t="shared" ref="GA34:GA54" si="325">+FZ34*3.3058</f>
        <v>36230.290853756989</v>
      </c>
      <c r="GB34" s="48">
        <f t="shared" ref="GB34:GB54" si="326">+ER34*HD34</f>
        <v>10622.394782999996</v>
      </c>
      <c r="GC34" s="51">
        <f t="shared" ref="GC34:GC54" si="327">+GB34*3.3058</f>
        <v>35115.512673641388</v>
      </c>
      <c r="GD34" s="53">
        <f t="shared" ref="GD34:GD54" si="328">+ER34*HE34</f>
        <v>10285.175900999997</v>
      </c>
      <c r="GE34" s="51">
        <f t="shared" ref="GE34:GE54" si="329">+GD34*3.3058</f>
        <v>34000.734493525793</v>
      </c>
      <c r="GF34" s="53">
        <f t="shared" ref="GF34:GF54" si="330">+ER34*HF34</f>
        <v>9947.9570189999959</v>
      </c>
      <c r="GG34" s="51">
        <f t="shared" ref="GG34:GG54" si="331">+GF34*3.3058</f>
        <v>32885.956313410185</v>
      </c>
      <c r="GH34" s="48">
        <f t="shared" ref="GH34:GH54" si="332">+ER34*HG34</f>
        <v>9610.7381369999966</v>
      </c>
      <c r="GI34" s="51">
        <f t="shared" ref="GI34:GI54" si="333">+GH34*3.3058</f>
        <v>31771.17813329459</v>
      </c>
      <c r="GJ34" s="48"/>
      <c r="GK34" s="48"/>
      <c r="GL34" s="48">
        <v>1</v>
      </c>
      <c r="GM34" s="48">
        <v>0.97</v>
      </c>
      <c r="GN34" s="48">
        <v>0.95</v>
      </c>
      <c r="GO34" s="48">
        <v>0.93</v>
      </c>
      <c r="GP34" s="48">
        <f t="shared" ref="GP34:HG34" si="334">+GO34-0.02</f>
        <v>0.91</v>
      </c>
      <c r="GQ34" s="48">
        <f t="shared" si="334"/>
        <v>0.89</v>
      </c>
      <c r="GR34" s="48">
        <f t="shared" si="334"/>
        <v>0.87</v>
      </c>
      <c r="GS34" s="48">
        <f t="shared" si="334"/>
        <v>0.85</v>
      </c>
      <c r="GT34" s="48">
        <f t="shared" si="334"/>
        <v>0.83</v>
      </c>
      <c r="GU34" s="48">
        <f t="shared" si="334"/>
        <v>0.80999999999999994</v>
      </c>
      <c r="GV34" s="48">
        <f t="shared" si="334"/>
        <v>0.78999999999999992</v>
      </c>
      <c r="GW34" s="48">
        <f t="shared" si="334"/>
        <v>0.76999999999999991</v>
      </c>
      <c r="GX34" s="48">
        <f t="shared" si="334"/>
        <v>0.74999999999999989</v>
      </c>
      <c r="GY34" s="48">
        <f t="shared" si="334"/>
        <v>0.72999999999999987</v>
      </c>
      <c r="GZ34" s="48">
        <f t="shared" si="334"/>
        <v>0.70999999999999985</v>
      </c>
      <c r="HA34" s="48">
        <f t="shared" si="334"/>
        <v>0.68999999999999984</v>
      </c>
      <c r="HB34" s="48">
        <f t="shared" si="334"/>
        <v>0.66999999999999982</v>
      </c>
      <c r="HC34" s="48">
        <f t="shared" si="334"/>
        <v>0.6499999999999998</v>
      </c>
      <c r="HD34" s="48">
        <f t="shared" si="334"/>
        <v>0.62999999999999978</v>
      </c>
      <c r="HE34" s="48">
        <f t="shared" si="334"/>
        <v>0.60999999999999976</v>
      </c>
      <c r="HF34" s="48">
        <f t="shared" si="334"/>
        <v>0.58999999999999975</v>
      </c>
      <c r="HG34" s="48">
        <f t="shared" si="334"/>
        <v>0.56999999999999973</v>
      </c>
    </row>
    <row r="35" spans="1:250" x14ac:dyDescent="0.3">
      <c r="A35" s="2">
        <v>2</v>
      </c>
      <c r="C35" s="39" t="s">
        <v>7</v>
      </c>
      <c r="D35" s="44">
        <f>TRUNC(49198.6325662977,-1)</f>
        <v>49190</v>
      </c>
      <c r="E35" s="73">
        <f t="shared" si="203"/>
        <v>162610</v>
      </c>
      <c r="G35" s="48">
        <f t="shared" si="61"/>
        <v>54109.000000000007</v>
      </c>
      <c r="H35" s="48">
        <f t="shared" si="62"/>
        <v>54109.000000000007</v>
      </c>
      <c r="I35" s="51">
        <f t="shared" si="63"/>
        <v>178873.53220000002</v>
      </c>
      <c r="J35" s="48">
        <f t="shared" si="204"/>
        <v>52485.73</v>
      </c>
      <c r="K35" s="51">
        <f t="shared" si="205"/>
        <v>173507.32623400001</v>
      </c>
      <c r="L35" s="48">
        <f t="shared" si="206"/>
        <v>51403.55</v>
      </c>
      <c r="M35" s="51">
        <f t="shared" si="207"/>
        <v>169929.85559000002</v>
      </c>
      <c r="N35" s="48">
        <f t="shared" si="208"/>
        <v>50321.37000000001</v>
      </c>
      <c r="O35" s="51">
        <f t="shared" si="209"/>
        <v>166352.38494600003</v>
      </c>
      <c r="P35" s="52">
        <f t="shared" si="210"/>
        <v>49239.19000000001</v>
      </c>
      <c r="Q35" s="51">
        <f t="shared" si="211"/>
        <v>162774.91430200005</v>
      </c>
      <c r="R35" s="48">
        <f t="shared" si="212"/>
        <v>48157.010000000009</v>
      </c>
      <c r="S35" s="51">
        <f t="shared" si="213"/>
        <v>159197.44365800003</v>
      </c>
      <c r="T35" s="52">
        <f t="shared" si="214"/>
        <v>47074.830000000009</v>
      </c>
      <c r="U35" s="51">
        <f t="shared" si="215"/>
        <v>155619.97301400005</v>
      </c>
      <c r="V35" s="53">
        <f t="shared" si="216"/>
        <v>45992.65</v>
      </c>
      <c r="W35" s="51">
        <f t="shared" si="217"/>
        <v>152042.50237</v>
      </c>
      <c r="X35" s="52">
        <f t="shared" si="218"/>
        <v>44910.47</v>
      </c>
      <c r="Y35" s="51">
        <f t="shared" si="219"/>
        <v>148465.03172600002</v>
      </c>
      <c r="Z35" s="48">
        <f t="shared" si="220"/>
        <v>43828.29</v>
      </c>
      <c r="AA35" s="51">
        <f t="shared" si="221"/>
        <v>144887.561082</v>
      </c>
      <c r="AB35" s="53">
        <f t="shared" si="222"/>
        <v>42746.11</v>
      </c>
      <c r="AC35" s="51">
        <f t="shared" si="223"/>
        <v>141310.09043800001</v>
      </c>
      <c r="AD35" s="53">
        <f t="shared" si="224"/>
        <v>41663.93</v>
      </c>
      <c r="AE35" s="51">
        <f t="shared" si="225"/>
        <v>137732.619794</v>
      </c>
      <c r="AF35" s="53">
        <f t="shared" si="226"/>
        <v>40581.75</v>
      </c>
      <c r="AG35" s="51">
        <f t="shared" si="227"/>
        <v>134155.14915000001</v>
      </c>
      <c r="AH35" s="48">
        <f t="shared" si="228"/>
        <v>39499.57</v>
      </c>
      <c r="AI35" s="51">
        <f t="shared" si="229"/>
        <v>130577.678506</v>
      </c>
      <c r="AJ35" s="53">
        <f t="shared" si="230"/>
        <v>38417.39</v>
      </c>
      <c r="AK35" s="51">
        <f t="shared" si="231"/>
        <v>127000.207862</v>
      </c>
      <c r="AL35" s="53">
        <f t="shared" si="232"/>
        <v>37335.21</v>
      </c>
      <c r="AM35" s="51">
        <f t="shared" si="233"/>
        <v>123422.73721799999</v>
      </c>
      <c r="AN35" s="53">
        <f t="shared" si="234"/>
        <v>36253.029999999992</v>
      </c>
      <c r="AO35" s="51">
        <f t="shared" si="235"/>
        <v>119845.26657399998</v>
      </c>
      <c r="AP35" s="53">
        <f t="shared" si="236"/>
        <v>35170.849999999991</v>
      </c>
      <c r="AQ35" s="51">
        <f t="shared" si="237"/>
        <v>116267.79592999998</v>
      </c>
      <c r="AR35" s="48">
        <f t="shared" si="238"/>
        <v>34088.669999999991</v>
      </c>
      <c r="AS35" s="51">
        <f t="shared" si="239"/>
        <v>112690.32528599998</v>
      </c>
      <c r="AT35" s="53">
        <f t="shared" si="240"/>
        <v>33006.489999999991</v>
      </c>
      <c r="AU35" s="51">
        <f t="shared" si="241"/>
        <v>109112.85464199998</v>
      </c>
      <c r="AV35" s="53">
        <f t="shared" si="242"/>
        <v>31924.30999999999</v>
      </c>
      <c r="AW35" s="51">
        <f t="shared" si="243"/>
        <v>105535.38399799998</v>
      </c>
      <c r="AX35" s="48">
        <f t="shared" si="244"/>
        <v>30842.12999999999</v>
      </c>
      <c r="AY35" s="51">
        <f t="shared" si="245"/>
        <v>101957.91335399997</v>
      </c>
      <c r="BB35" s="48">
        <v>1</v>
      </c>
      <c r="BC35" s="48">
        <v>0.97</v>
      </c>
      <c r="BD35" s="48">
        <v>0.95</v>
      </c>
      <c r="BE35" s="48">
        <v>0.93</v>
      </c>
      <c r="BF35" s="48">
        <f t="shared" ref="BF35:BW35" si="335">+BE35-0.02</f>
        <v>0.91</v>
      </c>
      <c r="BG35" s="48">
        <f t="shared" si="335"/>
        <v>0.89</v>
      </c>
      <c r="BH35" s="48">
        <f t="shared" si="335"/>
        <v>0.87</v>
      </c>
      <c r="BI35" s="48">
        <f t="shared" si="335"/>
        <v>0.85</v>
      </c>
      <c r="BJ35" s="48">
        <f t="shared" si="335"/>
        <v>0.83</v>
      </c>
      <c r="BK35" s="48">
        <f t="shared" si="335"/>
        <v>0.80999999999999994</v>
      </c>
      <c r="BL35" s="48">
        <f t="shared" si="335"/>
        <v>0.78999999999999992</v>
      </c>
      <c r="BM35" s="48">
        <f t="shared" si="335"/>
        <v>0.76999999999999991</v>
      </c>
      <c r="BN35" s="48">
        <f t="shared" si="335"/>
        <v>0.74999999999999989</v>
      </c>
      <c r="BO35" s="48">
        <f t="shared" si="335"/>
        <v>0.72999999999999987</v>
      </c>
      <c r="BP35" s="48">
        <f t="shared" si="335"/>
        <v>0.70999999999999985</v>
      </c>
      <c r="BQ35" s="48">
        <f t="shared" si="335"/>
        <v>0.68999999999999984</v>
      </c>
      <c r="BR35" s="48">
        <f t="shared" si="335"/>
        <v>0.66999999999999982</v>
      </c>
      <c r="BS35" s="48">
        <f t="shared" si="335"/>
        <v>0.6499999999999998</v>
      </c>
      <c r="BT35" s="48">
        <f t="shared" si="335"/>
        <v>0.62999999999999978</v>
      </c>
      <c r="BU35" s="48">
        <f t="shared" si="335"/>
        <v>0.60999999999999976</v>
      </c>
      <c r="BV35" s="48">
        <f t="shared" si="335"/>
        <v>0.58999999999999975</v>
      </c>
      <c r="BW35" s="48">
        <f t="shared" si="335"/>
        <v>0.56999999999999973</v>
      </c>
      <c r="BY35" s="48">
        <f t="shared" si="88"/>
        <v>49239.19000000001</v>
      </c>
      <c r="BZ35" s="48">
        <f t="shared" si="89"/>
        <v>49239.19000000001</v>
      </c>
      <c r="CA35" s="51">
        <f t="shared" ref="CA35" si="336">+BZ35*3.3058</f>
        <v>162774.91430200005</v>
      </c>
      <c r="CB35" s="48">
        <f t="shared" si="248"/>
        <v>47762.01430000001</v>
      </c>
      <c r="CC35" s="51">
        <f t="shared" si="249"/>
        <v>157891.66687294003</v>
      </c>
      <c r="CD35" s="48">
        <f t="shared" si="250"/>
        <v>46777.230500000005</v>
      </c>
      <c r="CE35" s="51">
        <f t="shared" si="251"/>
        <v>154636.16858690002</v>
      </c>
      <c r="CF35" s="48">
        <f t="shared" si="252"/>
        <v>45792.446700000015</v>
      </c>
      <c r="CG35" s="51">
        <f t="shared" si="253"/>
        <v>151380.67030086005</v>
      </c>
      <c r="CH35" s="52">
        <f t="shared" si="254"/>
        <v>44807.66290000001</v>
      </c>
      <c r="CI35" s="51">
        <f t="shared" si="255"/>
        <v>148125.17201482004</v>
      </c>
      <c r="CJ35" s="48">
        <f t="shared" si="256"/>
        <v>43822.879100000006</v>
      </c>
      <c r="CK35" s="51">
        <f t="shared" si="257"/>
        <v>144869.67372878004</v>
      </c>
      <c r="CL35" s="52">
        <f t="shared" si="258"/>
        <v>42838.095300000008</v>
      </c>
      <c r="CM35" s="51">
        <f t="shared" si="259"/>
        <v>141614.17544274003</v>
      </c>
      <c r="CN35" s="53">
        <f t="shared" si="260"/>
        <v>41853.311500000003</v>
      </c>
      <c r="CO35" s="51">
        <f t="shared" si="261"/>
        <v>138358.67715670003</v>
      </c>
      <c r="CP35" s="52">
        <f t="shared" si="262"/>
        <v>40868.527700000006</v>
      </c>
      <c r="CQ35" s="51">
        <f t="shared" si="263"/>
        <v>135103.17887066002</v>
      </c>
      <c r="CR35" s="48">
        <f t="shared" si="264"/>
        <v>39883.743900000001</v>
      </c>
      <c r="CS35" s="51">
        <f t="shared" si="265"/>
        <v>131847.68058462001</v>
      </c>
      <c r="CT35" s="53">
        <f t="shared" si="266"/>
        <v>38898.960100000004</v>
      </c>
      <c r="CU35" s="51">
        <f t="shared" si="267"/>
        <v>128592.18229858001</v>
      </c>
      <c r="CV35" s="53">
        <f t="shared" si="268"/>
        <v>37914.176299999999</v>
      </c>
      <c r="CW35" s="51">
        <f t="shared" si="269"/>
        <v>125336.68401254</v>
      </c>
      <c r="CX35" s="53">
        <f t="shared" si="270"/>
        <v>36929.392500000002</v>
      </c>
      <c r="CY35" s="51">
        <f t="shared" si="271"/>
        <v>122081.18572650001</v>
      </c>
      <c r="CZ35" s="48">
        <f t="shared" si="272"/>
        <v>35944.608699999997</v>
      </c>
      <c r="DA35" s="51">
        <f t="shared" si="273"/>
        <v>118825.68744045999</v>
      </c>
      <c r="DB35" s="53">
        <f t="shared" si="274"/>
        <v>34959.8249</v>
      </c>
      <c r="DC35" s="51">
        <f t="shared" si="275"/>
        <v>115570.18915442</v>
      </c>
      <c r="DD35" s="53">
        <f t="shared" si="276"/>
        <v>33975.041099999995</v>
      </c>
      <c r="DE35" s="51">
        <f t="shared" si="277"/>
        <v>112314.69086837998</v>
      </c>
      <c r="DF35" s="53">
        <f t="shared" si="278"/>
        <v>32990.257299999997</v>
      </c>
      <c r="DG35" s="51">
        <f t="shared" si="279"/>
        <v>109059.19258233999</v>
      </c>
      <c r="DH35" s="53">
        <f t="shared" si="280"/>
        <v>32005.473499999996</v>
      </c>
      <c r="DI35" s="51">
        <f t="shared" si="281"/>
        <v>105803.69429629999</v>
      </c>
      <c r="DJ35" s="48">
        <f t="shared" si="282"/>
        <v>31020.689699999995</v>
      </c>
      <c r="DK35" s="51">
        <f t="shared" si="283"/>
        <v>102548.19601025998</v>
      </c>
      <c r="DL35" s="53">
        <f t="shared" si="284"/>
        <v>30035.905899999994</v>
      </c>
      <c r="DM35" s="51">
        <f t="shared" si="285"/>
        <v>99292.697724219979</v>
      </c>
      <c r="DN35" s="53">
        <f t="shared" si="286"/>
        <v>29051.122099999993</v>
      </c>
      <c r="DO35" s="51">
        <f t="shared" si="287"/>
        <v>96037.199438179974</v>
      </c>
      <c r="DP35" s="48">
        <f t="shared" si="288"/>
        <v>28066.338299999992</v>
      </c>
      <c r="DQ35" s="51">
        <f t="shared" si="289"/>
        <v>92781.701152139969</v>
      </c>
      <c r="DT35" s="48">
        <v>1</v>
      </c>
      <c r="DU35" s="48">
        <v>0.97</v>
      </c>
      <c r="DV35" s="48">
        <v>0.95</v>
      </c>
      <c r="DW35" s="48">
        <v>0.93</v>
      </c>
      <c r="DX35" s="48">
        <f t="shared" ref="DX35:EO35" si="337">+DW35-0.02</f>
        <v>0.91</v>
      </c>
      <c r="DY35" s="48">
        <f t="shared" si="337"/>
        <v>0.89</v>
      </c>
      <c r="DZ35" s="48">
        <f t="shared" si="337"/>
        <v>0.87</v>
      </c>
      <c r="EA35" s="48">
        <f t="shared" si="337"/>
        <v>0.85</v>
      </c>
      <c r="EB35" s="48">
        <f t="shared" si="337"/>
        <v>0.83</v>
      </c>
      <c r="EC35" s="48">
        <f t="shared" si="337"/>
        <v>0.80999999999999994</v>
      </c>
      <c r="ED35" s="48">
        <f t="shared" si="337"/>
        <v>0.78999999999999992</v>
      </c>
      <c r="EE35" s="48">
        <f t="shared" si="337"/>
        <v>0.76999999999999991</v>
      </c>
      <c r="EF35" s="48">
        <f t="shared" si="337"/>
        <v>0.74999999999999989</v>
      </c>
      <c r="EG35" s="48">
        <f t="shared" si="337"/>
        <v>0.72999999999999987</v>
      </c>
      <c r="EH35" s="48">
        <f t="shared" si="337"/>
        <v>0.70999999999999985</v>
      </c>
      <c r="EI35" s="48">
        <f t="shared" si="337"/>
        <v>0.68999999999999984</v>
      </c>
      <c r="EJ35" s="48">
        <f t="shared" si="337"/>
        <v>0.66999999999999982</v>
      </c>
      <c r="EK35" s="48">
        <f t="shared" si="337"/>
        <v>0.6499999999999998</v>
      </c>
      <c r="EL35" s="48">
        <f t="shared" si="337"/>
        <v>0.62999999999999978</v>
      </c>
      <c r="EM35" s="48">
        <f t="shared" si="337"/>
        <v>0.60999999999999976</v>
      </c>
      <c r="EN35" s="48">
        <f t="shared" si="337"/>
        <v>0.58999999999999975</v>
      </c>
      <c r="EO35" s="48">
        <f t="shared" si="337"/>
        <v>0.56999999999999973</v>
      </c>
      <c r="EQ35" s="48">
        <f t="shared" si="188"/>
        <v>44807.66290000001</v>
      </c>
      <c r="ER35" s="48">
        <f t="shared" si="116"/>
        <v>44807.66290000001</v>
      </c>
      <c r="ES35" s="51">
        <f t="shared" ref="ES35" si="338">+ER35*3.3058</f>
        <v>148125.17201482004</v>
      </c>
      <c r="ET35" s="48">
        <f t="shared" si="292"/>
        <v>43463.433013000009</v>
      </c>
      <c r="EU35" s="51">
        <f t="shared" si="293"/>
        <v>143681.41685437542</v>
      </c>
      <c r="EV35" s="48">
        <f t="shared" si="294"/>
        <v>42567.27975500001</v>
      </c>
      <c r="EW35" s="51">
        <f t="shared" si="295"/>
        <v>140718.91341407903</v>
      </c>
      <c r="EX35" s="48">
        <f t="shared" si="296"/>
        <v>41671.126497000012</v>
      </c>
      <c r="EY35" s="51">
        <f t="shared" si="297"/>
        <v>137756.40997378263</v>
      </c>
      <c r="EZ35" s="52">
        <f t="shared" si="298"/>
        <v>40774.973239000014</v>
      </c>
      <c r="FA35" s="51">
        <f t="shared" si="299"/>
        <v>134793.90653348624</v>
      </c>
      <c r="FB35" s="48">
        <f t="shared" si="300"/>
        <v>39878.819981000008</v>
      </c>
      <c r="FC35" s="51">
        <f t="shared" si="301"/>
        <v>131831.40309318982</v>
      </c>
      <c r="FD35" s="52">
        <f t="shared" si="302"/>
        <v>38982.666723000009</v>
      </c>
      <c r="FE35" s="51">
        <f t="shared" si="303"/>
        <v>128868.89965289344</v>
      </c>
      <c r="FF35" s="53">
        <f t="shared" si="304"/>
        <v>38086.513465000011</v>
      </c>
      <c r="FG35" s="51">
        <f t="shared" si="305"/>
        <v>125906.39621259704</v>
      </c>
      <c r="FH35" s="52">
        <f t="shared" si="306"/>
        <v>37190.360207000005</v>
      </c>
      <c r="FI35" s="51">
        <f t="shared" si="307"/>
        <v>122943.89277230062</v>
      </c>
      <c r="FJ35" s="48">
        <f t="shared" si="308"/>
        <v>36294.206949000007</v>
      </c>
      <c r="FK35" s="51">
        <f t="shared" si="309"/>
        <v>119981.38933200423</v>
      </c>
      <c r="FL35" s="53">
        <f t="shared" si="310"/>
        <v>35398.053691000008</v>
      </c>
      <c r="FM35" s="51">
        <f t="shared" si="311"/>
        <v>117018.88589170783</v>
      </c>
      <c r="FN35" s="53">
        <f t="shared" si="312"/>
        <v>34501.900433000003</v>
      </c>
      <c r="FO35" s="51">
        <f t="shared" si="313"/>
        <v>114056.38245141141</v>
      </c>
      <c r="FP35" s="53">
        <f t="shared" si="314"/>
        <v>33605.747175000004</v>
      </c>
      <c r="FQ35" s="51">
        <f t="shared" si="315"/>
        <v>111093.87901111502</v>
      </c>
      <c r="FR35" s="48">
        <f t="shared" si="316"/>
        <v>32709.593917000002</v>
      </c>
      <c r="FS35" s="51">
        <f t="shared" si="317"/>
        <v>108131.37557081861</v>
      </c>
      <c r="FT35" s="53">
        <f t="shared" si="318"/>
        <v>31813.440659</v>
      </c>
      <c r="FU35" s="51">
        <f t="shared" si="319"/>
        <v>105168.8721305222</v>
      </c>
      <c r="FV35" s="53">
        <f t="shared" si="320"/>
        <v>30917.287401000001</v>
      </c>
      <c r="FW35" s="51">
        <f t="shared" si="321"/>
        <v>102206.36869022581</v>
      </c>
      <c r="FX35" s="53">
        <f t="shared" si="322"/>
        <v>30021.134142999999</v>
      </c>
      <c r="FY35" s="51">
        <f t="shared" si="323"/>
        <v>99243.865249929397</v>
      </c>
      <c r="FZ35" s="53">
        <f t="shared" si="324"/>
        <v>29124.980884999997</v>
      </c>
      <c r="GA35" s="51">
        <f t="shared" si="325"/>
        <v>96281.361809632988</v>
      </c>
      <c r="GB35" s="48">
        <f t="shared" si="326"/>
        <v>28228.827626999995</v>
      </c>
      <c r="GC35" s="51">
        <f t="shared" si="327"/>
        <v>93318.85836933658</v>
      </c>
      <c r="GD35" s="53">
        <f t="shared" si="328"/>
        <v>27332.674368999997</v>
      </c>
      <c r="GE35" s="51">
        <f t="shared" si="329"/>
        <v>90356.354929040186</v>
      </c>
      <c r="GF35" s="53">
        <f t="shared" si="330"/>
        <v>26436.521110999995</v>
      </c>
      <c r="GG35" s="51">
        <f t="shared" si="331"/>
        <v>87393.851488743778</v>
      </c>
      <c r="GH35" s="48">
        <f t="shared" si="332"/>
        <v>25540.367852999992</v>
      </c>
      <c r="GI35" s="51">
        <f t="shared" si="333"/>
        <v>84431.348048447384</v>
      </c>
      <c r="GJ35" s="48"/>
      <c r="GK35" s="48"/>
      <c r="GL35" s="48">
        <v>1</v>
      </c>
      <c r="GM35" s="48">
        <v>0.97</v>
      </c>
      <c r="GN35" s="48">
        <v>0.95</v>
      </c>
      <c r="GO35" s="48">
        <v>0.93</v>
      </c>
      <c r="GP35" s="48">
        <f t="shared" ref="GP35:HG35" si="339">+GO35-0.02</f>
        <v>0.91</v>
      </c>
      <c r="GQ35" s="48">
        <f t="shared" si="339"/>
        <v>0.89</v>
      </c>
      <c r="GR35" s="48">
        <f t="shared" si="339"/>
        <v>0.87</v>
      </c>
      <c r="GS35" s="48">
        <f t="shared" si="339"/>
        <v>0.85</v>
      </c>
      <c r="GT35" s="48">
        <f t="shared" si="339"/>
        <v>0.83</v>
      </c>
      <c r="GU35" s="48">
        <f t="shared" si="339"/>
        <v>0.80999999999999994</v>
      </c>
      <c r="GV35" s="48">
        <f t="shared" si="339"/>
        <v>0.78999999999999992</v>
      </c>
      <c r="GW35" s="48">
        <f t="shared" si="339"/>
        <v>0.76999999999999991</v>
      </c>
      <c r="GX35" s="48">
        <f t="shared" si="339"/>
        <v>0.74999999999999989</v>
      </c>
      <c r="GY35" s="48">
        <f t="shared" si="339"/>
        <v>0.72999999999999987</v>
      </c>
      <c r="GZ35" s="48">
        <f t="shared" si="339"/>
        <v>0.70999999999999985</v>
      </c>
      <c r="HA35" s="48">
        <f t="shared" si="339"/>
        <v>0.68999999999999984</v>
      </c>
      <c r="HB35" s="48">
        <f t="shared" si="339"/>
        <v>0.66999999999999982</v>
      </c>
      <c r="HC35" s="48">
        <f t="shared" si="339"/>
        <v>0.6499999999999998</v>
      </c>
      <c r="HD35" s="48">
        <f t="shared" si="339"/>
        <v>0.62999999999999978</v>
      </c>
      <c r="HE35" s="48">
        <f t="shared" si="339"/>
        <v>0.60999999999999976</v>
      </c>
      <c r="HF35" s="48">
        <f t="shared" si="339"/>
        <v>0.58999999999999975</v>
      </c>
      <c r="HG35" s="48">
        <f t="shared" si="339"/>
        <v>0.56999999999999973</v>
      </c>
    </row>
    <row r="36" spans="1:250" x14ac:dyDescent="0.3">
      <c r="A36" s="2">
        <v>3</v>
      </c>
      <c r="C36" s="39" t="s">
        <v>8</v>
      </c>
      <c r="D36" s="44">
        <f>TRUNC(79747.7605268966,-1)</f>
        <v>79740</v>
      </c>
      <c r="E36" s="73">
        <f t="shared" si="203"/>
        <v>263600</v>
      </c>
      <c r="G36" s="48">
        <f t="shared" si="61"/>
        <v>87714</v>
      </c>
      <c r="H36" s="48">
        <f t="shared" si="62"/>
        <v>87714</v>
      </c>
      <c r="I36" s="51">
        <f t="shared" si="63"/>
        <v>289964.9412</v>
      </c>
      <c r="J36" s="48">
        <f t="shared" si="204"/>
        <v>85082.58</v>
      </c>
      <c r="K36" s="51">
        <f t="shared" si="205"/>
        <v>281265.99296400003</v>
      </c>
      <c r="L36" s="48">
        <f t="shared" si="206"/>
        <v>83328.3</v>
      </c>
      <c r="M36" s="51">
        <f t="shared" si="207"/>
        <v>275466.69414000004</v>
      </c>
      <c r="N36" s="48">
        <f t="shared" si="208"/>
        <v>81574.02</v>
      </c>
      <c r="O36" s="51">
        <f t="shared" si="209"/>
        <v>269667.39531600004</v>
      </c>
      <c r="P36" s="52">
        <f t="shared" si="210"/>
        <v>79819.740000000005</v>
      </c>
      <c r="Q36" s="51">
        <f t="shared" si="211"/>
        <v>263868.09649200004</v>
      </c>
      <c r="R36" s="48">
        <f t="shared" si="212"/>
        <v>78065.460000000006</v>
      </c>
      <c r="S36" s="51">
        <f t="shared" si="213"/>
        <v>258068.79766800001</v>
      </c>
      <c r="T36" s="52">
        <f t="shared" si="214"/>
        <v>76311.179999999993</v>
      </c>
      <c r="U36" s="51">
        <f t="shared" si="215"/>
        <v>252269.49884399999</v>
      </c>
      <c r="V36" s="53">
        <f t="shared" si="216"/>
        <v>74556.899999999994</v>
      </c>
      <c r="W36" s="51">
        <f t="shared" si="217"/>
        <v>246470.20001999999</v>
      </c>
      <c r="X36" s="52">
        <f t="shared" si="218"/>
        <v>72802.62</v>
      </c>
      <c r="Y36" s="51">
        <f t="shared" si="219"/>
        <v>240670.90119599999</v>
      </c>
      <c r="Z36" s="48">
        <f t="shared" si="220"/>
        <v>71048.34</v>
      </c>
      <c r="AA36" s="51">
        <f t="shared" si="221"/>
        <v>234871.60237199999</v>
      </c>
      <c r="AB36" s="53">
        <f t="shared" si="222"/>
        <v>69294.06</v>
      </c>
      <c r="AC36" s="51">
        <f t="shared" si="223"/>
        <v>229072.303548</v>
      </c>
      <c r="AD36" s="53">
        <f t="shared" si="224"/>
        <v>67539.78</v>
      </c>
      <c r="AE36" s="51">
        <f t="shared" si="225"/>
        <v>223273.004724</v>
      </c>
      <c r="AF36" s="53">
        <f t="shared" si="226"/>
        <v>65785.499999999985</v>
      </c>
      <c r="AG36" s="51">
        <f t="shared" si="227"/>
        <v>217473.70589999994</v>
      </c>
      <c r="AH36" s="48">
        <f t="shared" si="228"/>
        <v>64031.219999999987</v>
      </c>
      <c r="AI36" s="51">
        <f t="shared" si="229"/>
        <v>211674.40707599997</v>
      </c>
      <c r="AJ36" s="53">
        <f t="shared" si="230"/>
        <v>62276.939999999988</v>
      </c>
      <c r="AK36" s="51">
        <f t="shared" si="231"/>
        <v>205875.10825199998</v>
      </c>
      <c r="AL36" s="53">
        <f t="shared" si="232"/>
        <v>60522.659999999989</v>
      </c>
      <c r="AM36" s="51">
        <f t="shared" si="233"/>
        <v>200075.80942799998</v>
      </c>
      <c r="AN36" s="53">
        <f t="shared" si="234"/>
        <v>58768.379999999983</v>
      </c>
      <c r="AO36" s="51">
        <f t="shared" si="235"/>
        <v>194276.51060399995</v>
      </c>
      <c r="AP36" s="53">
        <f t="shared" si="236"/>
        <v>57014.099999999984</v>
      </c>
      <c r="AQ36" s="51">
        <f t="shared" si="237"/>
        <v>188477.21177999995</v>
      </c>
      <c r="AR36" s="48">
        <f t="shared" si="238"/>
        <v>55259.819999999978</v>
      </c>
      <c r="AS36" s="51">
        <f t="shared" si="239"/>
        <v>182677.91295599993</v>
      </c>
      <c r="AT36" s="53">
        <f t="shared" si="240"/>
        <v>53505.539999999979</v>
      </c>
      <c r="AU36" s="51">
        <f t="shared" si="241"/>
        <v>176878.61413199993</v>
      </c>
      <c r="AV36" s="53">
        <f t="shared" si="242"/>
        <v>51751.25999999998</v>
      </c>
      <c r="AW36" s="51">
        <f t="shared" si="243"/>
        <v>171079.31530799993</v>
      </c>
      <c r="AX36" s="48">
        <f t="shared" si="244"/>
        <v>49996.979999999974</v>
      </c>
      <c r="AY36" s="51">
        <f t="shared" si="245"/>
        <v>165280.01648399991</v>
      </c>
      <c r="BB36" s="48">
        <v>1</v>
      </c>
      <c r="BC36" s="48">
        <v>0.97</v>
      </c>
      <c r="BD36" s="48">
        <v>0.95</v>
      </c>
      <c r="BE36" s="48">
        <v>0.93</v>
      </c>
      <c r="BF36" s="48">
        <f t="shared" ref="BF36:BW36" si="340">+BE36-0.02</f>
        <v>0.91</v>
      </c>
      <c r="BG36" s="48">
        <f t="shared" si="340"/>
        <v>0.89</v>
      </c>
      <c r="BH36" s="48">
        <f t="shared" si="340"/>
        <v>0.87</v>
      </c>
      <c r="BI36" s="48">
        <f t="shared" si="340"/>
        <v>0.85</v>
      </c>
      <c r="BJ36" s="48">
        <f t="shared" si="340"/>
        <v>0.83</v>
      </c>
      <c r="BK36" s="48">
        <f t="shared" si="340"/>
        <v>0.80999999999999994</v>
      </c>
      <c r="BL36" s="48">
        <f t="shared" si="340"/>
        <v>0.78999999999999992</v>
      </c>
      <c r="BM36" s="48">
        <f t="shared" si="340"/>
        <v>0.76999999999999991</v>
      </c>
      <c r="BN36" s="48">
        <f t="shared" si="340"/>
        <v>0.74999999999999989</v>
      </c>
      <c r="BO36" s="48">
        <f t="shared" si="340"/>
        <v>0.72999999999999987</v>
      </c>
      <c r="BP36" s="48">
        <f t="shared" si="340"/>
        <v>0.70999999999999985</v>
      </c>
      <c r="BQ36" s="48">
        <f t="shared" si="340"/>
        <v>0.68999999999999984</v>
      </c>
      <c r="BR36" s="48">
        <f t="shared" si="340"/>
        <v>0.66999999999999982</v>
      </c>
      <c r="BS36" s="48">
        <f t="shared" si="340"/>
        <v>0.6499999999999998</v>
      </c>
      <c r="BT36" s="48">
        <f t="shared" si="340"/>
        <v>0.62999999999999978</v>
      </c>
      <c r="BU36" s="48">
        <f t="shared" si="340"/>
        <v>0.60999999999999976</v>
      </c>
      <c r="BV36" s="48">
        <f t="shared" si="340"/>
        <v>0.58999999999999975</v>
      </c>
      <c r="BW36" s="48">
        <f t="shared" si="340"/>
        <v>0.56999999999999973</v>
      </c>
      <c r="BY36" s="48">
        <f t="shared" si="88"/>
        <v>79819.740000000005</v>
      </c>
      <c r="BZ36" s="48">
        <f t="shared" si="89"/>
        <v>79819.740000000005</v>
      </c>
      <c r="CA36" s="51">
        <f t="shared" ref="CA36" si="341">+BZ36*3.3058</f>
        <v>263868.09649200004</v>
      </c>
      <c r="CB36" s="48">
        <f t="shared" si="248"/>
        <v>77425.147800000006</v>
      </c>
      <c r="CC36" s="51">
        <f t="shared" si="249"/>
        <v>255952.05359724004</v>
      </c>
      <c r="CD36" s="48">
        <f t="shared" si="250"/>
        <v>75828.752999999997</v>
      </c>
      <c r="CE36" s="51">
        <f t="shared" si="251"/>
        <v>250674.69166740001</v>
      </c>
      <c r="CF36" s="48">
        <f t="shared" si="252"/>
        <v>74232.358200000002</v>
      </c>
      <c r="CG36" s="51">
        <f t="shared" si="253"/>
        <v>245397.32973756001</v>
      </c>
      <c r="CH36" s="52">
        <f t="shared" si="254"/>
        <v>72635.963400000008</v>
      </c>
      <c r="CI36" s="51">
        <f t="shared" si="255"/>
        <v>240119.96780772004</v>
      </c>
      <c r="CJ36" s="48">
        <f t="shared" si="256"/>
        <v>71039.568599999999</v>
      </c>
      <c r="CK36" s="51">
        <f t="shared" si="257"/>
        <v>234842.60587788001</v>
      </c>
      <c r="CL36" s="52">
        <f t="shared" si="258"/>
        <v>69443.173800000004</v>
      </c>
      <c r="CM36" s="51">
        <f t="shared" si="259"/>
        <v>229565.24394804001</v>
      </c>
      <c r="CN36" s="53">
        <f t="shared" si="260"/>
        <v>67846.77900000001</v>
      </c>
      <c r="CO36" s="51">
        <f t="shared" si="261"/>
        <v>224287.88201820003</v>
      </c>
      <c r="CP36" s="52">
        <f t="shared" si="262"/>
        <v>66250.3842</v>
      </c>
      <c r="CQ36" s="51">
        <f t="shared" si="263"/>
        <v>219010.52008836</v>
      </c>
      <c r="CR36" s="48">
        <f t="shared" si="264"/>
        <v>64653.989399999999</v>
      </c>
      <c r="CS36" s="51">
        <f t="shared" si="265"/>
        <v>213733.15815852</v>
      </c>
      <c r="CT36" s="53">
        <f t="shared" si="266"/>
        <v>63057.594599999997</v>
      </c>
      <c r="CU36" s="51">
        <f t="shared" si="267"/>
        <v>208455.79622868</v>
      </c>
      <c r="CV36" s="53">
        <f t="shared" si="268"/>
        <v>61461.199799999995</v>
      </c>
      <c r="CW36" s="51">
        <f t="shared" si="269"/>
        <v>203178.43429883997</v>
      </c>
      <c r="CX36" s="53">
        <f t="shared" si="270"/>
        <v>59864.804999999993</v>
      </c>
      <c r="CY36" s="51">
        <f t="shared" si="271"/>
        <v>197901.07236899997</v>
      </c>
      <c r="CZ36" s="48">
        <f t="shared" si="272"/>
        <v>58268.410199999991</v>
      </c>
      <c r="DA36" s="51">
        <f t="shared" si="273"/>
        <v>192623.71043915997</v>
      </c>
      <c r="DB36" s="53">
        <f t="shared" si="274"/>
        <v>56672.015399999989</v>
      </c>
      <c r="DC36" s="51">
        <f t="shared" si="275"/>
        <v>187346.34850931997</v>
      </c>
      <c r="DD36" s="53">
        <f t="shared" si="276"/>
        <v>55075.620599999987</v>
      </c>
      <c r="DE36" s="51">
        <f t="shared" si="277"/>
        <v>182068.98657947997</v>
      </c>
      <c r="DF36" s="53">
        <f t="shared" si="278"/>
        <v>53479.225799999986</v>
      </c>
      <c r="DG36" s="51">
        <f t="shared" si="279"/>
        <v>176791.62464963997</v>
      </c>
      <c r="DH36" s="53">
        <f t="shared" si="280"/>
        <v>51882.830999999991</v>
      </c>
      <c r="DI36" s="51">
        <f t="shared" si="281"/>
        <v>171514.26271979997</v>
      </c>
      <c r="DJ36" s="48">
        <f t="shared" si="282"/>
        <v>50286.436199999989</v>
      </c>
      <c r="DK36" s="51">
        <f t="shared" si="283"/>
        <v>166236.90078995997</v>
      </c>
      <c r="DL36" s="53">
        <f t="shared" si="284"/>
        <v>48690.041399999987</v>
      </c>
      <c r="DM36" s="51">
        <f t="shared" si="285"/>
        <v>160959.53886011997</v>
      </c>
      <c r="DN36" s="53">
        <f t="shared" si="286"/>
        <v>47093.646599999985</v>
      </c>
      <c r="DO36" s="51">
        <f t="shared" si="287"/>
        <v>155682.17693027997</v>
      </c>
      <c r="DP36" s="48">
        <f t="shared" si="288"/>
        <v>45497.251799999984</v>
      </c>
      <c r="DQ36" s="51">
        <f t="shared" si="289"/>
        <v>150404.81500043994</v>
      </c>
      <c r="DT36" s="48">
        <v>1</v>
      </c>
      <c r="DU36" s="48">
        <v>0.97</v>
      </c>
      <c r="DV36" s="48">
        <v>0.95</v>
      </c>
      <c r="DW36" s="48">
        <v>0.93</v>
      </c>
      <c r="DX36" s="48">
        <f t="shared" ref="DX36:EO36" si="342">+DW36-0.02</f>
        <v>0.91</v>
      </c>
      <c r="DY36" s="48">
        <f t="shared" si="342"/>
        <v>0.89</v>
      </c>
      <c r="DZ36" s="48">
        <f t="shared" si="342"/>
        <v>0.87</v>
      </c>
      <c r="EA36" s="48">
        <f t="shared" si="342"/>
        <v>0.85</v>
      </c>
      <c r="EB36" s="48">
        <f t="shared" si="342"/>
        <v>0.83</v>
      </c>
      <c r="EC36" s="48">
        <f t="shared" si="342"/>
        <v>0.80999999999999994</v>
      </c>
      <c r="ED36" s="48">
        <f t="shared" si="342"/>
        <v>0.78999999999999992</v>
      </c>
      <c r="EE36" s="48">
        <f t="shared" si="342"/>
        <v>0.76999999999999991</v>
      </c>
      <c r="EF36" s="48">
        <f t="shared" si="342"/>
        <v>0.74999999999999989</v>
      </c>
      <c r="EG36" s="48">
        <f t="shared" si="342"/>
        <v>0.72999999999999987</v>
      </c>
      <c r="EH36" s="48">
        <f t="shared" si="342"/>
        <v>0.70999999999999985</v>
      </c>
      <c r="EI36" s="48">
        <f t="shared" si="342"/>
        <v>0.68999999999999984</v>
      </c>
      <c r="EJ36" s="48">
        <f t="shared" si="342"/>
        <v>0.66999999999999982</v>
      </c>
      <c r="EK36" s="48">
        <f t="shared" si="342"/>
        <v>0.6499999999999998</v>
      </c>
      <c r="EL36" s="48">
        <f t="shared" si="342"/>
        <v>0.62999999999999978</v>
      </c>
      <c r="EM36" s="48">
        <f t="shared" si="342"/>
        <v>0.60999999999999976</v>
      </c>
      <c r="EN36" s="48">
        <f t="shared" si="342"/>
        <v>0.58999999999999975</v>
      </c>
      <c r="EO36" s="48">
        <f t="shared" si="342"/>
        <v>0.56999999999999973</v>
      </c>
      <c r="EQ36" s="48">
        <f t="shared" si="188"/>
        <v>72635.963400000008</v>
      </c>
      <c r="ER36" s="48">
        <f t="shared" si="116"/>
        <v>72635.963400000008</v>
      </c>
      <c r="ES36" s="51">
        <f t="shared" ref="ES36" si="343">+ER36*3.3058</f>
        <v>240119.96780772004</v>
      </c>
      <c r="ET36" s="48">
        <f t="shared" si="292"/>
        <v>70456.884497999999</v>
      </c>
      <c r="EU36" s="51">
        <f t="shared" si="293"/>
        <v>232916.36877348842</v>
      </c>
      <c r="EV36" s="48">
        <f t="shared" si="294"/>
        <v>69004.165229999999</v>
      </c>
      <c r="EW36" s="51">
        <f t="shared" si="295"/>
        <v>228113.96941733401</v>
      </c>
      <c r="EX36" s="48">
        <f t="shared" si="296"/>
        <v>67551.445962000013</v>
      </c>
      <c r="EY36" s="51">
        <f t="shared" si="297"/>
        <v>223311.57006117963</v>
      </c>
      <c r="EZ36" s="52">
        <f t="shared" si="298"/>
        <v>66098.726694000012</v>
      </c>
      <c r="FA36" s="51">
        <f t="shared" si="299"/>
        <v>218509.17070502523</v>
      </c>
      <c r="FB36" s="48">
        <f t="shared" si="300"/>
        <v>64646.007426000011</v>
      </c>
      <c r="FC36" s="51">
        <f t="shared" si="301"/>
        <v>213706.77134887085</v>
      </c>
      <c r="FD36" s="52">
        <f t="shared" si="302"/>
        <v>63193.288158000003</v>
      </c>
      <c r="FE36" s="51">
        <f t="shared" si="303"/>
        <v>208904.37199271642</v>
      </c>
      <c r="FF36" s="53">
        <f t="shared" si="304"/>
        <v>61740.568890000002</v>
      </c>
      <c r="FG36" s="51">
        <f t="shared" si="305"/>
        <v>204101.97263656202</v>
      </c>
      <c r="FH36" s="52">
        <f t="shared" si="306"/>
        <v>60287.849622000002</v>
      </c>
      <c r="FI36" s="51">
        <f t="shared" si="307"/>
        <v>199299.57328040761</v>
      </c>
      <c r="FJ36" s="48">
        <f t="shared" si="308"/>
        <v>58835.130354000001</v>
      </c>
      <c r="FK36" s="51">
        <f t="shared" si="309"/>
        <v>194497.17392425321</v>
      </c>
      <c r="FL36" s="53">
        <f t="shared" si="310"/>
        <v>57382.411086</v>
      </c>
      <c r="FM36" s="51">
        <f t="shared" si="311"/>
        <v>189694.7745680988</v>
      </c>
      <c r="FN36" s="53">
        <f t="shared" si="312"/>
        <v>55929.691817999999</v>
      </c>
      <c r="FO36" s="51">
        <f t="shared" si="313"/>
        <v>184892.3752119444</v>
      </c>
      <c r="FP36" s="53">
        <f t="shared" si="314"/>
        <v>54476.972549999999</v>
      </c>
      <c r="FQ36" s="51">
        <f t="shared" si="315"/>
        <v>180089.97585578999</v>
      </c>
      <c r="FR36" s="48">
        <f t="shared" si="316"/>
        <v>53024.253281999998</v>
      </c>
      <c r="FS36" s="51">
        <f t="shared" si="317"/>
        <v>175287.57649963559</v>
      </c>
      <c r="FT36" s="53">
        <f t="shared" si="318"/>
        <v>51571.534013999997</v>
      </c>
      <c r="FU36" s="51">
        <f t="shared" si="319"/>
        <v>170485.17714348118</v>
      </c>
      <c r="FV36" s="53">
        <f t="shared" si="320"/>
        <v>50118.814745999996</v>
      </c>
      <c r="FW36" s="51">
        <f t="shared" si="321"/>
        <v>165682.77778732681</v>
      </c>
      <c r="FX36" s="53">
        <f t="shared" si="322"/>
        <v>48666.095477999996</v>
      </c>
      <c r="FY36" s="51">
        <f t="shared" si="323"/>
        <v>160880.3784311724</v>
      </c>
      <c r="FZ36" s="53">
        <f t="shared" si="324"/>
        <v>47213.376209999988</v>
      </c>
      <c r="GA36" s="51">
        <f t="shared" si="325"/>
        <v>156077.97907501797</v>
      </c>
      <c r="GB36" s="48">
        <f t="shared" si="326"/>
        <v>45760.656941999987</v>
      </c>
      <c r="GC36" s="51">
        <f t="shared" si="327"/>
        <v>151275.57971886356</v>
      </c>
      <c r="GD36" s="53">
        <f t="shared" si="328"/>
        <v>44307.937673999986</v>
      </c>
      <c r="GE36" s="51">
        <f t="shared" si="329"/>
        <v>146473.18036270916</v>
      </c>
      <c r="GF36" s="53">
        <f t="shared" si="330"/>
        <v>42855.218405999985</v>
      </c>
      <c r="GG36" s="51">
        <f t="shared" si="331"/>
        <v>141670.78100655475</v>
      </c>
      <c r="GH36" s="48">
        <f t="shared" si="332"/>
        <v>41402.499137999985</v>
      </c>
      <c r="GI36" s="51">
        <f t="shared" si="333"/>
        <v>136868.38165040035</v>
      </c>
      <c r="GJ36" s="48"/>
      <c r="GK36" s="48"/>
      <c r="GL36" s="48">
        <v>1</v>
      </c>
      <c r="GM36" s="48">
        <v>0.97</v>
      </c>
      <c r="GN36" s="48">
        <v>0.95</v>
      </c>
      <c r="GO36" s="48">
        <v>0.93</v>
      </c>
      <c r="GP36" s="48">
        <f t="shared" ref="GP36:HG36" si="344">+GO36-0.02</f>
        <v>0.91</v>
      </c>
      <c r="GQ36" s="48">
        <f t="shared" si="344"/>
        <v>0.89</v>
      </c>
      <c r="GR36" s="48">
        <f t="shared" si="344"/>
        <v>0.87</v>
      </c>
      <c r="GS36" s="48">
        <f t="shared" si="344"/>
        <v>0.85</v>
      </c>
      <c r="GT36" s="48">
        <f t="shared" si="344"/>
        <v>0.83</v>
      </c>
      <c r="GU36" s="48">
        <f t="shared" si="344"/>
        <v>0.80999999999999994</v>
      </c>
      <c r="GV36" s="48">
        <f t="shared" si="344"/>
        <v>0.78999999999999992</v>
      </c>
      <c r="GW36" s="48">
        <f t="shared" si="344"/>
        <v>0.76999999999999991</v>
      </c>
      <c r="GX36" s="48">
        <f t="shared" si="344"/>
        <v>0.74999999999999989</v>
      </c>
      <c r="GY36" s="48">
        <f t="shared" si="344"/>
        <v>0.72999999999999987</v>
      </c>
      <c r="GZ36" s="48">
        <f t="shared" si="344"/>
        <v>0.70999999999999985</v>
      </c>
      <c r="HA36" s="48">
        <f t="shared" si="344"/>
        <v>0.68999999999999984</v>
      </c>
      <c r="HB36" s="48">
        <f t="shared" si="344"/>
        <v>0.66999999999999982</v>
      </c>
      <c r="HC36" s="48">
        <f t="shared" si="344"/>
        <v>0.6499999999999998</v>
      </c>
      <c r="HD36" s="48">
        <f t="shared" si="344"/>
        <v>0.62999999999999978</v>
      </c>
      <c r="HE36" s="48">
        <f t="shared" si="344"/>
        <v>0.60999999999999976</v>
      </c>
      <c r="HF36" s="48">
        <f t="shared" si="344"/>
        <v>0.58999999999999975</v>
      </c>
      <c r="HG36" s="48">
        <f t="shared" si="344"/>
        <v>0.56999999999999973</v>
      </c>
    </row>
    <row r="37" spans="1:250" x14ac:dyDescent="0.3">
      <c r="A37" s="2">
        <v>4</v>
      </c>
      <c r="C37" s="39" t="s">
        <v>9</v>
      </c>
      <c r="D37" s="44">
        <f>TRUNC(9609.54106796455,-1)</f>
        <v>9600</v>
      </c>
      <c r="E37" s="73">
        <f t="shared" si="203"/>
        <v>31730</v>
      </c>
      <c r="G37" s="48">
        <f t="shared" si="61"/>
        <v>10560</v>
      </c>
      <c r="H37" s="48">
        <f t="shared" si="62"/>
        <v>10560</v>
      </c>
      <c r="I37" s="51">
        <f t="shared" si="63"/>
        <v>34909.248</v>
      </c>
      <c r="J37" s="48">
        <f t="shared" si="204"/>
        <v>10243.199999999999</v>
      </c>
      <c r="K37" s="51">
        <f t="shared" si="205"/>
        <v>33861.970559999994</v>
      </c>
      <c r="L37" s="48">
        <f t="shared" si="206"/>
        <v>10032</v>
      </c>
      <c r="M37" s="51">
        <f t="shared" si="207"/>
        <v>33163.785600000003</v>
      </c>
      <c r="N37" s="48">
        <f t="shared" si="208"/>
        <v>9820.8000000000011</v>
      </c>
      <c r="O37" s="51">
        <f t="shared" si="209"/>
        <v>32465.600640000004</v>
      </c>
      <c r="P37" s="52">
        <f t="shared" si="210"/>
        <v>9609.6</v>
      </c>
      <c r="Q37" s="51">
        <f t="shared" si="211"/>
        <v>31767.415680000002</v>
      </c>
      <c r="R37" s="48">
        <f t="shared" si="212"/>
        <v>9398.4</v>
      </c>
      <c r="S37" s="51">
        <f t="shared" si="213"/>
        <v>31069.23072</v>
      </c>
      <c r="T37" s="52">
        <f t="shared" si="214"/>
        <v>9187.2000000000007</v>
      </c>
      <c r="U37" s="51">
        <f t="shared" si="215"/>
        <v>30371.045760000005</v>
      </c>
      <c r="V37" s="53">
        <f t="shared" si="216"/>
        <v>8976</v>
      </c>
      <c r="W37" s="51">
        <f t="shared" si="217"/>
        <v>29672.860800000002</v>
      </c>
      <c r="X37" s="52">
        <f t="shared" si="218"/>
        <v>8764.7999999999993</v>
      </c>
      <c r="Y37" s="51">
        <f t="shared" si="219"/>
        <v>28974.67584</v>
      </c>
      <c r="Z37" s="48">
        <f t="shared" si="220"/>
        <v>8553.5999999999985</v>
      </c>
      <c r="AA37" s="51">
        <f t="shared" si="221"/>
        <v>28276.490879999998</v>
      </c>
      <c r="AB37" s="53">
        <f t="shared" si="222"/>
        <v>8342.4</v>
      </c>
      <c r="AC37" s="51">
        <f t="shared" si="223"/>
        <v>27578.305919999999</v>
      </c>
      <c r="AD37" s="53">
        <f t="shared" si="224"/>
        <v>8131.1999999999989</v>
      </c>
      <c r="AE37" s="51">
        <f t="shared" si="225"/>
        <v>26880.120959999997</v>
      </c>
      <c r="AF37" s="53">
        <f t="shared" si="226"/>
        <v>7919.9999999999991</v>
      </c>
      <c r="AG37" s="51">
        <f t="shared" si="227"/>
        <v>26181.935999999998</v>
      </c>
      <c r="AH37" s="48">
        <f t="shared" si="228"/>
        <v>7708.7999999999984</v>
      </c>
      <c r="AI37" s="51">
        <f t="shared" si="229"/>
        <v>25483.751039999996</v>
      </c>
      <c r="AJ37" s="53">
        <f t="shared" si="230"/>
        <v>7497.5999999999985</v>
      </c>
      <c r="AK37" s="51">
        <f t="shared" si="231"/>
        <v>24785.566079999997</v>
      </c>
      <c r="AL37" s="53">
        <f t="shared" si="232"/>
        <v>7286.3999999999978</v>
      </c>
      <c r="AM37" s="51">
        <f t="shared" si="233"/>
        <v>24087.381119999995</v>
      </c>
      <c r="AN37" s="53">
        <f t="shared" si="234"/>
        <v>7075.199999999998</v>
      </c>
      <c r="AO37" s="51">
        <f t="shared" si="235"/>
        <v>23389.196159999992</v>
      </c>
      <c r="AP37" s="53">
        <f t="shared" si="236"/>
        <v>6863.9999999999982</v>
      </c>
      <c r="AQ37" s="51">
        <f t="shared" si="237"/>
        <v>22691.011199999994</v>
      </c>
      <c r="AR37" s="48">
        <f t="shared" si="238"/>
        <v>6652.7999999999975</v>
      </c>
      <c r="AS37" s="51">
        <f t="shared" si="239"/>
        <v>21992.826239999991</v>
      </c>
      <c r="AT37" s="53">
        <f t="shared" si="240"/>
        <v>6441.5999999999976</v>
      </c>
      <c r="AU37" s="51">
        <f t="shared" si="241"/>
        <v>21294.641279999993</v>
      </c>
      <c r="AV37" s="53">
        <f t="shared" si="242"/>
        <v>6230.3999999999969</v>
      </c>
      <c r="AW37" s="51">
        <f t="shared" si="243"/>
        <v>20596.45631999999</v>
      </c>
      <c r="AX37" s="48">
        <f t="shared" si="244"/>
        <v>6019.1999999999971</v>
      </c>
      <c r="AY37" s="51">
        <f t="shared" si="245"/>
        <v>19898.271359999992</v>
      </c>
      <c r="BB37" s="48">
        <v>1</v>
      </c>
      <c r="BC37" s="48">
        <v>0.97</v>
      </c>
      <c r="BD37" s="48">
        <v>0.95</v>
      </c>
      <c r="BE37" s="48">
        <v>0.93</v>
      </c>
      <c r="BF37" s="48">
        <f t="shared" ref="BF37:BW37" si="345">+BE37-0.02</f>
        <v>0.91</v>
      </c>
      <c r="BG37" s="48">
        <f t="shared" si="345"/>
        <v>0.89</v>
      </c>
      <c r="BH37" s="48">
        <f t="shared" si="345"/>
        <v>0.87</v>
      </c>
      <c r="BI37" s="48">
        <f t="shared" si="345"/>
        <v>0.85</v>
      </c>
      <c r="BJ37" s="48">
        <f t="shared" si="345"/>
        <v>0.83</v>
      </c>
      <c r="BK37" s="48">
        <f t="shared" si="345"/>
        <v>0.80999999999999994</v>
      </c>
      <c r="BL37" s="48">
        <f t="shared" si="345"/>
        <v>0.78999999999999992</v>
      </c>
      <c r="BM37" s="48">
        <f t="shared" si="345"/>
        <v>0.76999999999999991</v>
      </c>
      <c r="BN37" s="48">
        <f t="shared" si="345"/>
        <v>0.74999999999999989</v>
      </c>
      <c r="BO37" s="48">
        <f t="shared" si="345"/>
        <v>0.72999999999999987</v>
      </c>
      <c r="BP37" s="48">
        <f t="shared" si="345"/>
        <v>0.70999999999999985</v>
      </c>
      <c r="BQ37" s="48">
        <f t="shared" si="345"/>
        <v>0.68999999999999984</v>
      </c>
      <c r="BR37" s="48">
        <f t="shared" si="345"/>
        <v>0.66999999999999982</v>
      </c>
      <c r="BS37" s="48">
        <f t="shared" si="345"/>
        <v>0.6499999999999998</v>
      </c>
      <c r="BT37" s="48">
        <f t="shared" si="345"/>
        <v>0.62999999999999978</v>
      </c>
      <c r="BU37" s="48">
        <f t="shared" si="345"/>
        <v>0.60999999999999976</v>
      </c>
      <c r="BV37" s="48">
        <f t="shared" si="345"/>
        <v>0.58999999999999975</v>
      </c>
      <c r="BW37" s="48">
        <f t="shared" si="345"/>
        <v>0.56999999999999973</v>
      </c>
      <c r="BY37" s="48">
        <f t="shared" si="88"/>
        <v>9609.6</v>
      </c>
      <c r="BZ37" s="48">
        <f t="shared" si="89"/>
        <v>9609.6</v>
      </c>
      <c r="CA37" s="51">
        <f t="shared" ref="CA37" si="346">+BZ37*3.3058</f>
        <v>31767.415680000002</v>
      </c>
      <c r="CB37" s="48">
        <f t="shared" si="248"/>
        <v>9321.3119999999999</v>
      </c>
      <c r="CC37" s="51">
        <f t="shared" si="249"/>
        <v>30814.393209599999</v>
      </c>
      <c r="CD37" s="48">
        <f t="shared" si="250"/>
        <v>9129.1200000000008</v>
      </c>
      <c r="CE37" s="51">
        <f t="shared" si="251"/>
        <v>30179.044896000003</v>
      </c>
      <c r="CF37" s="48">
        <f t="shared" si="252"/>
        <v>8936.9280000000017</v>
      </c>
      <c r="CG37" s="51">
        <f t="shared" si="253"/>
        <v>29543.696582400007</v>
      </c>
      <c r="CH37" s="52">
        <f t="shared" si="254"/>
        <v>8744.7360000000008</v>
      </c>
      <c r="CI37" s="51">
        <f t="shared" si="255"/>
        <v>28908.348268800004</v>
      </c>
      <c r="CJ37" s="48">
        <f t="shared" si="256"/>
        <v>8552.5439999999999</v>
      </c>
      <c r="CK37" s="51">
        <f t="shared" si="257"/>
        <v>28272.999955200001</v>
      </c>
      <c r="CL37" s="52">
        <f t="shared" si="258"/>
        <v>8360.3520000000008</v>
      </c>
      <c r="CM37" s="51">
        <f t="shared" si="259"/>
        <v>27637.651641600005</v>
      </c>
      <c r="CN37" s="53">
        <f t="shared" si="260"/>
        <v>8168.16</v>
      </c>
      <c r="CO37" s="51">
        <f t="shared" si="261"/>
        <v>27002.303328000002</v>
      </c>
      <c r="CP37" s="52">
        <f t="shared" si="262"/>
        <v>7975.9679999999998</v>
      </c>
      <c r="CQ37" s="51">
        <f t="shared" si="263"/>
        <v>26366.955014399999</v>
      </c>
      <c r="CR37" s="48">
        <f t="shared" si="264"/>
        <v>7783.7759999999998</v>
      </c>
      <c r="CS37" s="51">
        <f t="shared" si="265"/>
        <v>25731.606700799999</v>
      </c>
      <c r="CT37" s="53">
        <f t="shared" si="266"/>
        <v>7591.5839999999998</v>
      </c>
      <c r="CU37" s="51">
        <f t="shared" si="267"/>
        <v>25096.2583872</v>
      </c>
      <c r="CV37" s="53">
        <f t="shared" si="268"/>
        <v>7399.3919999999998</v>
      </c>
      <c r="CW37" s="51">
        <f t="shared" si="269"/>
        <v>24460.9100736</v>
      </c>
      <c r="CX37" s="53">
        <f t="shared" si="270"/>
        <v>7207.1999999999989</v>
      </c>
      <c r="CY37" s="51">
        <f t="shared" si="271"/>
        <v>23825.561759999997</v>
      </c>
      <c r="CZ37" s="48">
        <f t="shared" si="272"/>
        <v>7015.0079999999989</v>
      </c>
      <c r="DA37" s="51">
        <f t="shared" si="273"/>
        <v>23190.213446399997</v>
      </c>
      <c r="DB37" s="53">
        <f t="shared" si="274"/>
        <v>6822.8159999999989</v>
      </c>
      <c r="DC37" s="51">
        <f t="shared" si="275"/>
        <v>22554.865132799998</v>
      </c>
      <c r="DD37" s="53">
        <f t="shared" si="276"/>
        <v>6630.6239999999989</v>
      </c>
      <c r="DE37" s="51">
        <f t="shared" si="277"/>
        <v>21919.516819199998</v>
      </c>
      <c r="DF37" s="53">
        <f t="shared" si="278"/>
        <v>6438.4319999999989</v>
      </c>
      <c r="DG37" s="51">
        <f t="shared" si="279"/>
        <v>21284.168505599995</v>
      </c>
      <c r="DH37" s="53">
        <f t="shared" si="280"/>
        <v>6246.239999999998</v>
      </c>
      <c r="DI37" s="51">
        <f t="shared" si="281"/>
        <v>20648.820191999992</v>
      </c>
      <c r="DJ37" s="48">
        <f t="shared" si="282"/>
        <v>6054.047999999998</v>
      </c>
      <c r="DK37" s="51">
        <f t="shared" si="283"/>
        <v>20013.471878399992</v>
      </c>
      <c r="DL37" s="53">
        <f t="shared" si="284"/>
        <v>5861.8559999999979</v>
      </c>
      <c r="DM37" s="51">
        <f t="shared" si="285"/>
        <v>19378.123564799993</v>
      </c>
      <c r="DN37" s="53">
        <f t="shared" si="286"/>
        <v>5669.6639999999979</v>
      </c>
      <c r="DO37" s="51">
        <f t="shared" si="287"/>
        <v>18742.775251199993</v>
      </c>
      <c r="DP37" s="48">
        <f t="shared" si="288"/>
        <v>5477.4719999999979</v>
      </c>
      <c r="DQ37" s="51">
        <f t="shared" si="289"/>
        <v>18107.426937599994</v>
      </c>
      <c r="DT37" s="48">
        <v>1</v>
      </c>
      <c r="DU37" s="48">
        <v>0.97</v>
      </c>
      <c r="DV37" s="48">
        <v>0.95</v>
      </c>
      <c r="DW37" s="48">
        <v>0.93</v>
      </c>
      <c r="DX37" s="48">
        <f t="shared" ref="DX37:EO37" si="347">+DW37-0.02</f>
        <v>0.91</v>
      </c>
      <c r="DY37" s="48">
        <f t="shared" si="347"/>
        <v>0.89</v>
      </c>
      <c r="DZ37" s="48">
        <f t="shared" si="347"/>
        <v>0.87</v>
      </c>
      <c r="EA37" s="48">
        <f t="shared" si="347"/>
        <v>0.85</v>
      </c>
      <c r="EB37" s="48">
        <f t="shared" si="347"/>
        <v>0.83</v>
      </c>
      <c r="EC37" s="48">
        <f t="shared" si="347"/>
        <v>0.80999999999999994</v>
      </c>
      <c r="ED37" s="48">
        <f t="shared" si="347"/>
        <v>0.78999999999999992</v>
      </c>
      <c r="EE37" s="48">
        <f t="shared" si="347"/>
        <v>0.76999999999999991</v>
      </c>
      <c r="EF37" s="48">
        <f t="shared" si="347"/>
        <v>0.74999999999999989</v>
      </c>
      <c r="EG37" s="48">
        <f t="shared" si="347"/>
        <v>0.72999999999999987</v>
      </c>
      <c r="EH37" s="48">
        <f t="shared" si="347"/>
        <v>0.70999999999999985</v>
      </c>
      <c r="EI37" s="48">
        <f t="shared" si="347"/>
        <v>0.68999999999999984</v>
      </c>
      <c r="EJ37" s="48">
        <f t="shared" si="347"/>
        <v>0.66999999999999982</v>
      </c>
      <c r="EK37" s="48">
        <f t="shared" si="347"/>
        <v>0.6499999999999998</v>
      </c>
      <c r="EL37" s="48">
        <f t="shared" si="347"/>
        <v>0.62999999999999978</v>
      </c>
      <c r="EM37" s="48">
        <f t="shared" si="347"/>
        <v>0.60999999999999976</v>
      </c>
      <c r="EN37" s="48">
        <f t="shared" si="347"/>
        <v>0.58999999999999975</v>
      </c>
      <c r="EO37" s="48">
        <f t="shared" si="347"/>
        <v>0.56999999999999973</v>
      </c>
      <c r="EQ37" s="48">
        <f t="shared" si="188"/>
        <v>8744.7360000000008</v>
      </c>
      <c r="ER37" s="48">
        <f t="shared" si="116"/>
        <v>8744.7360000000008</v>
      </c>
      <c r="ES37" s="51">
        <f t="shared" ref="ES37" si="348">+ER37*3.3058</f>
        <v>28908.348268800004</v>
      </c>
      <c r="ET37" s="48">
        <f t="shared" si="292"/>
        <v>8482.3939200000004</v>
      </c>
      <c r="EU37" s="51">
        <f t="shared" si="293"/>
        <v>28041.097820736002</v>
      </c>
      <c r="EV37" s="48">
        <f t="shared" si="294"/>
        <v>8307.4992000000002</v>
      </c>
      <c r="EW37" s="51">
        <f t="shared" si="295"/>
        <v>27462.930855360002</v>
      </c>
      <c r="EX37" s="48">
        <f t="shared" si="296"/>
        <v>8132.6044800000009</v>
      </c>
      <c r="EY37" s="51">
        <f t="shared" si="297"/>
        <v>26884.763889984002</v>
      </c>
      <c r="EZ37" s="52">
        <f t="shared" si="298"/>
        <v>7957.7097600000006</v>
      </c>
      <c r="FA37" s="51">
        <f t="shared" si="299"/>
        <v>26306.596924608002</v>
      </c>
      <c r="FB37" s="48">
        <f t="shared" si="300"/>
        <v>7782.8150400000004</v>
      </c>
      <c r="FC37" s="51">
        <f t="shared" si="301"/>
        <v>25728.429959232002</v>
      </c>
      <c r="FD37" s="52">
        <f t="shared" si="302"/>
        <v>7607.9203200000011</v>
      </c>
      <c r="FE37" s="51">
        <f t="shared" si="303"/>
        <v>25150.262993856006</v>
      </c>
      <c r="FF37" s="53">
        <f t="shared" si="304"/>
        <v>7433.0256000000008</v>
      </c>
      <c r="FG37" s="51">
        <f t="shared" si="305"/>
        <v>24572.096028480002</v>
      </c>
      <c r="FH37" s="52">
        <f t="shared" si="306"/>
        <v>7258.1308800000006</v>
      </c>
      <c r="FI37" s="51">
        <f t="shared" si="307"/>
        <v>23993.929063104002</v>
      </c>
      <c r="FJ37" s="48">
        <f t="shared" si="308"/>
        <v>7083.2361600000004</v>
      </c>
      <c r="FK37" s="51">
        <f t="shared" si="309"/>
        <v>23415.762097728002</v>
      </c>
      <c r="FL37" s="53">
        <f t="shared" si="310"/>
        <v>6908.3414400000001</v>
      </c>
      <c r="FM37" s="51">
        <f t="shared" si="311"/>
        <v>22837.595132352002</v>
      </c>
      <c r="FN37" s="53">
        <f t="shared" si="312"/>
        <v>6733.4467199999999</v>
      </c>
      <c r="FO37" s="51">
        <f t="shared" si="313"/>
        <v>22259.428166975998</v>
      </c>
      <c r="FP37" s="53">
        <f t="shared" si="314"/>
        <v>6558.5519999999997</v>
      </c>
      <c r="FQ37" s="51">
        <f t="shared" si="315"/>
        <v>21681.261201599998</v>
      </c>
      <c r="FR37" s="48">
        <f t="shared" si="316"/>
        <v>6383.6572799999994</v>
      </c>
      <c r="FS37" s="51">
        <f t="shared" si="317"/>
        <v>21103.094236223998</v>
      </c>
      <c r="FT37" s="53">
        <f t="shared" si="318"/>
        <v>6208.7625599999992</v>
      </c>
      <c r="FU37" s="51">
        <f t="shared" si="319"/>
        <v>20524.927270847998</v>
      </c>
      <c r="FV37" s="53">
        <f t="shared" si="320"/>
        <v>6033.867839999999</v>
      </c>
      <c r="FW37" s="51">
        <f t="shared" si="321"/>
        <v>19946.760305471998</v>
      </c>
      <c r="FX37" s="53">
        <f t="shared" si="322"/>
        <v>5858.9731199999987</v>
      </c>
      <c r="FY37" s="51">
        <f t="shared" si="323"/>
        <v>19368.593340095995</v>
      </c>
      <c r="FZ37" s="53">
        <f t="shared" si="324"/>
        <v>5684.0783999999985</v>
      </c>
      <c r="GA37" s="51">
        <f t="shared" si="325"/>
        <v>18790.426374719995</v>
      </c>
      <c r="GB37" s="48">
        <f t="shared" si="326"/>
        <v>5509.1836799999983</v>
      </c>
      <c r="GC37" s="51">
        <f t="shared" si="327"/>
        <v>18212.259409343995</v>
      </c>
      <c r="GD37" s="53">
        <f t="shared" si="328"/>
        <v>5334.288959999998</v>
      </c>
      <c r="GE37" s="51">
        <f t="shared" si="329"/>
        <v>17634.092443967995</v>
      </c>
      <c r="GF37" s="53">
        <f t="shared" si="330"/>
        <v>5159.3942399999978</v>
      </c>
      <c r="GG37" s="51">
        <f t="shared" si="331"/>
        <v>17055.925478591995</v>
      </c>
      <c r="GH37" s="48">
        <f t="shared" si="332"/>
        <v>4984.4995199999985</v>
      </c>
      <c r="GI37" s="51">
        <f t="shared" si="333"/>
        <v>16477.758513215995</v>
      </c>
      <c r="GJ37" s="48"/>
      <c r="GK37" s="48"/>
      <c r="GL37" s="48">
        <v>1</v>
      </c>
      <c r="GM37" s="48">
        <v>0.97</v>
      </c>
      <c r="GN37" s="48">
        <v>0.95</v>
      </c>
      <c r="GO37" s="48">
        <v>0.93</v>
      </c>
      <c r="GP37" s="48">
        <f t="shared" ref="GP37:HG37" si="349">+GO37-0.02</f>
        <v>0.91</v>
      </c>
      <c r="GQ37" s="48">
        <f t="shared" si="349"/>
        <v>0.89</v>
      </c>
      <c r="GR37" s="48">
        <f t="shared" si="349"/>
        <v>0.87</v>
      </c>
      <c r="GS37" s="48">
        <f t="shared" si="349"/>
        <v>0.85</v>
      </c>
      <c r="GT37" s="48">
        <f t="shared" si="349"/>
        <v>0.83</v>
      </c>
      <c r="GU37" s="48">
        <f t="shared" si="349"/>
        <v>0.80999999999999994</v>
      </c>
      <c r="GV37" s="48">
        <f t="shared" si="349"/>
        <v>0.78999999999999992</v>
      </c>
      <c r="GW37" s="48">
        <f t="shared" si="349"/>
        <v>0.76999999999999991</v>
      </c>
      <c r="GX37" s="48">
        <f t="shared" si="349"/>
        <v>0.74999999999999989</v>
      </c>
      <c r="GY37" s="48">
        <f t="shared" si="349"/>
        <v>0.72999999999999987</v>
      </c>
      <c r="GZ37" s="48">
        <f t="shared" si="349"/>
        <v>0.70999999999999985</v>
      </c>
      <c r="HA37" s="48">
        <f t="shared" si="349"/>
        <v>0.68999999999999984</v>
      </c>
      <c r="HB37" s="48">
        <f t="shared" si="349"/>
        <v>0.66999999999999982</v>
      </c>
      <c r="HC37" s="48">
        <f t="shared" si="349"/>
        <v>0.6499999999999998</v>
      </c>
      <c r="HD37" s="48">
        <f t="shared" si="349"/>
        <v>0.62999999999999978</v>
      </c>
      <c r="HE37" s="48">
        <f t="shared" si="349"/>
        <v>0.60999999999999976</v>
      </c>
      <c r="HF37" s="48">
        <f t="shared" si="349"/>
        <v>0.58999999999999975</v>
      </c>
      <c r="HG37" s="48">
        <f t="shared" si="349"/>
        <v>0.56999999999999973</v>
      </c>
    </row>
    <row r="38" spans="1:250" x14ac:dyDescent="0.3">
      <c r="A38" s="2">
        <v>5</v>
      </c>
      <c r="C38" s="39" t="s">
        <v>10</v>
      </c>
      <c r="D38" s="44">
        <f>TRUNC(18799.9945869971,-1)</f>
        <v>18790</v>
      </c>
      <c r="E38" s="73">
        <f t="shared" si="203"/>
        <v>62110</v>
      </c>
      <c r="G38" s="48">
        <f t="shared" si="61"/>
        <v>20669</v>
      </c>
      <c r="H38" s="48">
        <f t="shared" si="62"/>
        <v>20669</v>
      </c>
      <c r="I38" s="51">
        <f t="shared" si="63"/>
        <v>68327.580199999997</v>
      </c>
      <c r="J38" s="48">
        <f t="shared" si="204"/>
        <v>20048.93</v>
      </c>
      <c r="K38" s="51">
        <f t="shared" si="205"/>
        <v>66277.752794</v>
      </c>
      <c r="L38" s="48">
        <f t="shared" si="206"/>
        <v>19635.55</v>
      </c>
      <c r="M38" s="51">
        <f t="shared" si="207"/>
        <v>64911.20119</v>
      </c>
      <c r="N38" s="48">
        <f t="shared" si="208"/>
        <v>19222.170000000002</v>
      </c>
      <c r="O38" s="51">
        <f t="shared" si="209"/>
        <v>63544.649586000007</v>
      </c>
      <c r="P38" s="52">
        <f t="shared" si="210"/>
        <v>18808.79</v>
      </c>
      <c r="Q38" s="51">
        <f t="shared" si="211"/>
        <v>62178.097982000007</v>
      </c>
      <c r="R38" s="48">
        <f t="shared" si="212"/>
        <v>18395.41</v>
      </c>
      <c r="S38" s="51">
        <f t="shared" si="213"/>
        <v>60811.546377999999</v>
      </c>
      <c r="T38" s="52">
        <f t="shared" si="214"/>
        <v>17982.03</v>
      </c>
      <c r="U38" s="51">
        <f t="shared" si="215"/>
        <v>59444.994773999999</v>
      </c>
      <c r="V38" s="53">
        <f t="shared" si="216"/>
        <v>17568.649999999998</v>
      </c>
      <c r="W38" s="51">
        <f t="shared" si="217"/>
        <v>58078.443169999991</v>
      </c>
      <c r="X38" s="52">
        <f t="shared" si="218"/>
        <v>17155.27</v>
      </c>
      <c r="Y38" s="51">
        <f t="shared" si="219"/>
        <v>56711.891566000006</v>
      </c>
      <c r="Z38" s="48">
        <f t="shared" si="220"/>
        <v>16741.89</v>
      </c>
      <c r="AA38" s="51">
        <f t="shared" si="221"/>
        <v>55345.339961999998</v>
      </c>
      <c r="AB38" s="53">
        <f t="shared" si="222"/>
        <v>16328.509999999998</v>
      </c>
      <c r="AC38" s="51">
        <f t="shared" si="223"/>
        <v>53978.788357999998</v>
      </c>
      <c r="AD38" s="53">
        <f t="shared" si="224"/>
        <v>15915.129999999997</v>
      </c>
      <c r="AE38" s="51">
        <f t="shared" si="225"/>
        <v>52612.23675399999</v>
      </c>
      <c r="AF38" s="53">
        <f t="shared" si="226"/>
        <v>15501.749999999998</v>
      </c>
      <c r="AG38" s="51">
        <f t="shared" si="227"/>
        <v>51245.685149999998</v>
      </c>
      <c r="AH38" s="48">
        <f t="shared" si="228"/>
        <v>15088.369999999997</v>
      </c>
      <c r="AI38" s="51">
        <f t="shared" si="229"/>
        <v>49879.13354599999</v>
      </c>
      <c r="AJ38" s="53">
        <f t="shared" si="230"/>
        <v>14674.989999999996</v>
      </c>
      <c r="AK38" s="51">
        <f t="shared" si="231"/>
        <v>48512.58194199999</v>
      </c>
      <c r="AL38" s="53">
        <f t="shared" si="232"/>
        <v>14261.609999999997</v>
      </c>
      <c r="AM38" s="51">
        <f t="shared" si="233"/>
        <v>47146.03033799999</v>
      </c>
      <c r="AN38" s="53">
        <f t="shared" si="234"/>
        <v>13848.229999999996</v>
      </c>
      <c r="AO38" s="51">
        <f t="shared" si="235"/>
        <v>45779.478733999989</v>
      </c>
      <c r="AP38" s="53">
        <f t="shared" si="236"/>
        <v>13434.849999999997</v>
      </c>
      <c r="AQ38" s="51">
        <f t="shared" si="237"/>
        <v>44412.927129999989</v>
      </c>
      <c r="AR38" s="48">
        <f t="shared" si="238"/>
        <v>13021.469999999996</v>
      </c>
      <c r="AS38" s="51">
        <f t="shared" si="239"/>
        <v>43046.375525999989</v>
      </c>
      <c r="AT38" s="53">
        <f t="shared" si="240"/>
        <v>12608.089999999995</v>
      </c>
      <c r="AU38" s="51">
        <f t="shared" si="241"/>
        <v>41679.823921999981</v>
      </c>
      <c r="AV38" s="53">
        <f t="shared" si="242"/>
        <v>12194.709999999995</v>
      </c>
      <c r="AW38" s="51">
        <f t="shared" si="243"/>
        <v>40313.272317999988</v>
      </c>
      <c r="AX38" s="48">
        <f t="shared" si="244"/>
        <v>11781.329999999994</v>
      </c>
      <c r="AY38" s="51">
        <f t="shared" si="245"/>
        <v>38946.720713999981</v>
      </c>
      <c r="BB38" s="48">
        <v>1</v>
      </c>
      <c r="BC38" s="48">
        <v>0.97</v>
      </c>
      <c r="BD38" s="48">
        <v>0.95</v>
      </c>
      <c r="BE38" s="48">
        <v>0.93</v>
      </c>
      <c r="BF38" s="48">
        <f t="shared" ref="BF38:BW38" si="350">+BE38-0.02</f>
        <v>0.91</v>
      </c>
      <c r="BG38" s="48">
        <f t="shared" si="350"/>
        <v>0.89</v>
      </c>
      <c r="BH38" s="48">
        <f t="shared" si="350"/>
        <v>0.87</v>
      </c>
      <c r="BI38" s="48">
        <f t="shared" si="350"/>
        <v>0.85</v>
      </c>
      <c r="BJ38" s="48">
        <f t="shared" si="350"/>
        <v>0.83</v>
      </c>
      <c r="BK38" s="48">
        <f t="shared" si="350"/>
        <v>0.80999999999999994</v>
      </c>
      <c r="BL38" s="48">
        <f t="shared" si="350"/>
        <v>0.78999999999999992</v>
      </c>
      <c r="BM38" s="48">
        <f t="shared" si="350"/>
        <v>0.76999999999999991</v>
      </c>
      <c r="BN38" s="48">
        <f t="shared" si="350"/>
        <v>0.74999999999999989</v>
      </c>
      <c r="BO38" s="48">
        <f t="shared" si="350"/>
        <v>0.72999999999999987</v>
      </c>
      <c r="BP38" s="48">
        <f t="shared" si="350"/>
        <v>0.70999999999999985</v>
      </c>
      <c r="BQ38" s="48">
        <f t="shared" si="350"/>
        <v>0.68999999999999984</v>
      </c>
      <c r="BR38" s="48">
        <f t="shared" si="350"/>
        <v>0.66999999999999982</v>
      </c>
      <c r="BS38" s="48">
        <f t="shared" si="350"/>
        <v>0.6499999999999998</v>
      </c>
      <c r="BT38" s="48">
        <f t="shared" si="350"/>
        <v>0.62999999999999978</v>
      </c>
      <c r="BU38" s="48">
        <f t="shared" si="350"/>
        <v>0.60999999999999976</v>
      </c>
      <c r="BV38" s="48">
        <f t="shared" si="350"/>
        <v>0.58999999999999975</v>
      </c>
      <c r="BW38" s="48">
        <f t="shared" si="350"/>
        <v>0.56999999999999973</v>
      </c>
      <c r="BY38" s="48">
        <f t="shared" si="88"/>
        <v>18808.79</v>
      </c>
      <c r="BZ38" s="48">
        <f t="shared" si="89"/>
        <v>18808.79</v>
      </c>
      <c r="CA38" s="51">
        <f t="shared" ref="CA38" si="351">+BZ38*3.3058</f>
        <v>62178.097982000007</v>
      </c>
      <c r="CB38" s="48">
        <f t="shared" si="248"/>
        <v>18244.526300000001</v>
      </c>
      <c r="CC38" s="51">
        <f t="shared" si="249"/>
        <v>60312.755042540004</v>
      </c>
      <c r="CD38" s="48">
        <f t="shared" si="250"/>
        <v>17868.3505</v>
      </c>
      <c r="CE38" s="51">
        <f t="shared" si="251"/>
        <v>59069.193082900005</v>
      </c>
      <c r="CF38" s="48">
        <f t="shared" si="252"/>
        <v>17492.174700000003</v>
      </c>
      <c r="CG38" s="51">
        <f t="shared" si="253"/>
        <v>57825.631123260013</v>
      </c>
      <c r="CH38" s="52">
        <f t="shared" si="254"/>
        <v>17115.998900000002</v>
      </c>
      <c r="CI38" s="51">
        <f t="shared" si="255"/>
        <v>56582.069163620006</v>
      </c>
      <c r="CJ38" s="48">
        <f t="shared" si="256"/>
        <v>16739.823100000001</v>
      </c>
      <c r="CK38" s="51">
        <f t="shared" si="257"/>
        <v>55338.507203980007</v>
      </c>
      <c r="CL38" s="52">
        <f t="shared" si="258"/>
        <v>16363.647300000001</v>
      </c>
      <c r="CM38" s="51">
        <f t="shared" si="259"/>
        <v>54094.94524434</v>
      </c>
      <c r="CN38" s="53">
        <f t="shared" si="260"/>
        <v>15987.4715</v>
      </c>
      <c r="CO38" s="51">
        <f t="shared" si="261"/>
        <v>52851.383284700001</v>
      </c>
      <c r="CP38" s="52">
        <f t="shared" si="262"/>
        <v>15611.295700000001</v>
      </c>
      <c r="CQ38" s="51">
        <f t="shared" si="263"/>
        <v>51607.821325060002</v>
      </c>
      <c r="CR38" s="48">
        <f t="shared" si="264"/>
        <v>15235.1199</v>
      </c>
      <c r="CS38" s="51">
        <f t="shared" si="265"/>
        <v>50364.259365420003</v>
      </c>
      <c r="CT38" s="53">
        <f t="shared" si="266"/>
        <v>14858.944099999999</v>
      </c>
      <c r="CU38" s="51">
        <f t="shared" si="267"/>
        <v>49120.697405779996</v>
      </c>
      <c r="CV38" s="53">
        <f t="shared" si="268"/>
        <v>14482.7683</v>
      </c>
      <c r="CW38" s="51">
        <f t="shared" si="269"/>
        <v>47877.135446139997</v>
      </c>
      <c r="CX38" s="53">
        <f t="shared" si="270"/>
        <v>14106.592499999999</v>
      </c>
      <c r="CY38" s="51">
        <f t="shared" si="271"/>
        <v>46633.573486499998</v>
      </c>
      <c r="CZ38" s="48">
        <f t="shared" si="272"/>
        <v>13730.416699999998</v>
      </c>
      <c r="DA38" s="51">
        <f t="shared" si="273"/>
        <v>45390.011526859991</v>
      </c>
      <c r="DB38" s="53">
        <f t="shared" si="274"/>
        <v>13354.240899999997</v>
      </c>
      <c r="DC38" s="51">
        <f t="shared" si="275"/>
        <v>44146.449567219992</v>
      </c>
      <c r="DD38" s="53">
        <f t="shared" si="276"/>
        <v>12978.065099999998</v>
      </c>
      <c r="DE38" s="51">
        <f t="shared" si="277"/>
        <v>42902.887607579993</v>
      </c>
      <c r="DF38" s="53">
        <f t="shared" si="278"/>
        <v>12601.889299999997</v>
      </c>
      <c r="DG38" s="51">
        <f t="shared" si="279"/>
        <v>41659.325647939993</v>
      </c>
      <c r="DH38" s="53">
        <f t="shared" si="280"/>
        <v>12225.713499999996</v>
      </c>
      <c r="DI38" s="51">
        <f t="shared" si="281"/>
        <v>40415.763688299987</v>
      </c>
      <c r="DJ38" s="48">
        <f t="shared" si="282"/>
        <v>11849.537699999997</v>
      </c>
      <c r="DK38" s="51">
        <f t="shared" si="283"/>
        <v>39172.201728659995</v>
      </c>
      <c r="DL38" s="53">
        <f t="shared" si="284"/>
        <v>11473.361899999996</v>
      </c>
      <c r="DM38" s="51">
        <f t="shared" si="285"/>
        <v>37928.639769019988</v>
      </c>
      <c r="DN38" s="53">
        <f t="shared" si="286"/>
        <v>11097.186099999995</v>
      </c>
      <c r="DO38" s="51">
        <f t="shared" si="287"/>
        <v>36685.077809379989</v>
      </c>
      <c r="DP38" s="48">
        <f t="shared" si="288"/>
        <v>10721.010299999996</v>
      </c>
      <c r="DQ38" s="51">
        <f t="shared" si="289"/>
        <v>35441.51584973999</v>
      </c>
      <c r="DT38" s="48">
        <v>1</v>
      </c>
      <c r="DU38" s="48">
        <v>0.97</v>
      </c>
      <c r="DV38" s="48">
        <v>0.95</v>
      </c>
      <c r="DW38" s="48">
        <v>0.93</v>
      </c>
      <c r="DX38" s="48">
        <f t="shared" ref="DX38:EO38" si="352">+DW38-0.02</f>
        <v>0.91</v>
      </c>
      <c r="DY38" s="48">
        <f t="shared" si="352"/>
        <v>0.89</v>
      </c>
      <c r="DZ38" s="48">
        <f t="shared" si="352"/>
        <v>0.87</v>
      </c>
      <c r="EA38" s="48">
        <f t="shared" si="352"/>
        <v>0.85</v>
      </c>
      <c r="EB38" s="48">
        <f t="shared" si="352"/>
        <v>0.83</v>
      </c>
      <c r="EC38" s="48">
        <f t="shared" si="352"/>
        <v>0.80999999999999994</v>
      </c>
      <c r="ED38" s="48">
        <f t="shared" si="352"/>
        <v>0.78999999999999992</v>
      </c>
      <c r="EE38" s="48">
        <f t="shared" si="352"/>
        <v>0.76999999999999991</v>
      </c>
      <c r="EF38" s="48">
        <f t="shared" si="352"/>
        <v>0.74999999999999989</v>
      </c>
      <c r="EG38" s="48">
        <f t="shared" si="352"/>
        <v>0.72999999999999987</v>
      </c>
      <c r="EH38" s="48">
        <f t="shared" si="352"/>
        <v>0.70999999999999985</v>
      </c>
      <c r="EI38" s="48">
        <f t="shared" si="352"/>
        <v>0.68999999999999984</v>
      </c>
      <c r="EJ38" s="48">
        <f t="shared" si="352"/>
        <v>0.66999999999999982</v>
      </c>
      <c r="EK38" s="48">
        <f t="shared" si="352"/>
        <v>0.6499999999999998</v>
      </c>
      <c r="EL38" s="48">
        <f t="shared" si="352"/>
        <v>0.62999999999999978</v>
      </c>
      <c r="EM38" s="48">
        <f t="shared" si="352"/>
        <v>0.60999999999999976</v>
      </c>
      <c r="EN38" s="48">
        <f t="shared" si="352"/>
        <v>0.58999999999999975</v>
      </c>
      <c r="EO38" s="48">
        <f t="shared" si="352"/>
        <v>0.56999999999999973</v>
      </c>
      <c r="EQ38" s="48">
        <f t="shared" si="188"/>
        <v>17115.998900000002</v>
      </c>
      <c r="ER38" s="48">
        <f t="shared" si="116"/>
        <v>17115.998900000002</v>
      </c>
      <c r="ES38" s="51">
        <f t="shared" ref="ES38" si="353">+ER38*3.3058</f>
        <v>56582.069163620006</v>
      </c>
      <c r="ET38" s="48">
        <f t="shared" si="292"/>
        <v>16602.518933000003</v>
      </c>
      <c r="EU38" s="51">
        <f t="shared" si="293"/>
        <v>54884.607088711411</v>
      </c>
      <c r="EV38" s="48">
        <f t="shared" si="294"/>
        <v>16260.198955000002</v>
      </c>
      <c r="EW38" s="51">
        <f t="shared" si="295"/>
        <v>53752.965705439005</v>
      </c>
      <c r="EX38" s="48">
        <f t="shared" si="296"/>
        <v>15917.878977000002</v>
      </c>
      <c r="EY38" s="51">
        <f t="shared" si="297"/>
        <v>52621.324322166605</v>
      </c>
      <c r="EZ38" s="52">
        <f t="shared" si="298"/>
        <v>15575.558999000003</v>
      </c>
      <c r="FA38" s="51">
        <f t="shared" si="299"/>
        <v>51489.682938894213</v>
      </c>
      <c r="FB38" s="48">
        <f t="shared" si="300"/>
        <v>15233.239021000003</v>
      </c>
      <c r="FC38" s="51">
        <f t="shared" si="301"/>
        <v>50358.041555621814</v>
      </c>
      <c r="FD38" s="52">
        <f t="shared" si="302"/>
        <v>14890.919043000002</v>
      </c>
      <c r="FE38" s="51">
        <f t="shared" si="303"/>
        <v>49226.400172349408</v>
      </c>
      <c r="FF38" s="53">
        <f t="shared" si="304"/>
        <v>14548.599065000002</v>
      </c>
      <c r="FG38" s="51">
        <f t="shared" si="305"/>
        <v>48094.758789077008</v>
      </c>
      <c r="FH38" s="52">
        <f t="shared" si="306"/>
        <v>14206.279087000001</v>
      </c>
      <c r="FI38" s="51">
        <f t="shared" si="307"/>
        <v>46963.117405804602</v>
      </c>
      <c r="FJ38" s="48">
        <f t="shared" si="308"/>
        <v>13863.959109000001</v>
      </c>
      <c r="FK38" s="51">
        <f t="shared" si="309"/>
        <v>45831.476022532202</v>
      </c>
      <c r="FL38" s="53">
        <f t="shared" si="310"/>
        <v>13521.639131</v>
      </c>
      <c r="FM38" s="51">
        <f t="shared" si="311"/>
        <v>44699.834639259803</v>
      </c>
      <c r="FN38" s="53">
        <f t="shared" si="312"/>
        <v>13179.319153</v>
      </c>
      <c r="FO38" s="51">
        <f t="shared" si="313"/>
        <v>43568.193255987404</v>
      </c>
      <c r="FP38" s="53">
        <f t="shared" si="314"/>
        <v>12836.999174999999</v>
      </c>
      <c r="FQ38" s="51">
        <f t="shared" si="315"/>
        <v>42436.551872714997</v>
      </c>
      <c r="FR38" s="48">
        <f t="shared" si="316"/>
        <v>12494.679196999999</v>
      </c>
      <c r="FS38" s="51">
        <f t="shared" si="317"/>
        <v>41304.910489442598</v>
      </c>
      <c r="FT38" s="53">
        <f t="shared" si="318"/>
        <v>12152.359219</v>
      </c>
      <c r="FU38" s="51">
        <f t="shared" si="319"/>
        <v>40173.269106170199</v>
      </c>
      <c r="FV38" s="53">
        <f t="shared" si="320"/>
        <v>11810.039240999999</v>
      </c>
      <c r="FW38" s="51">
        <f t="shared" si="321"/>
        <v>39041.6277228978</v>
      </c>
      <c r="FX38" s="53">
        <f t="shared" si="322"/>
        <v>11467.719262999999</v>
      </c>
      <c r="FY38" s="51">
        <f t="shared" si="323"/>
        <v>37909.9863396254</v>
      </c>
      <c r="FZ38" s="53">
        <f t="shared" si="324"/>
        <v>11125.399284999998</v>
      </c>
      <c r="GA38" s="51">
        <f t="shared" si="325"/>
        <v>36778.344956352994</v>
      </c>
      <c r="GB38" s="48">
        <f t="shared" si="326"/>
        <v>10783.079306999998</v>
      </c>
      <c r="GC38" s="51">
        <f t="shared" si="327"/>
        <v>35646.703573080595</v>
      </c>
      <c r="GD38" s="53">
        <f t="shared" si="328"/>
        <v>10440.759328999997</v>
      </c>
      <c r="GE38" s="51">
        <f t="shared" si="329"/>
        <v>34515.062189808188</v>
      </c>
      <c r="GF38" s="53">
        <f t="shared" si="330"/>
        <v>10098.439350999997</v>
      </c>
      <c r="GG38" s="51">
        <f t="shared" si="331"/>
        <v>33383.420806535789</v>
      </c>
      <c r="GH38" s="48">
        <f t="shared" si="332"/>
        <v>9756.1193729999959</v>
      </c>
      <c r="GI38" s="51">
        <f t="shared" si="333"/>
        <v>32251.779423263386</v>
      </c>
      <c r="GJ38" s="48"/>
      <c r="GK38" s="48"/>
      <c r="GL38" s="48">
        <v>1</v>
      </c>
      <c r="GM38" s="48">
        <v>0.97</v>
      </c>
      <c r="GN38" s="48">
        <v>0.95</v>
      </c>
      <c r="GO38" s="48">
        <v>0.93</v>
      </c>
      <c r="GP38" s="48">
        <f t="shared" ref="GP38:HG38" si="354">+GO38-0.02</f>
        <v>0.91</v>
      </c>
      <c r="GQ38" s="48">
        <f t="shared" si="354"/>
        <v>0.89</v>
      </c>
      <c r="GR38" s="48">
        <f t="shared" si="354"/>
        <v>0.87</v>
      </c>
      <c r="GS38" s="48">
        <f t="shared" si="354"/>
        <v>0.85</v>
      </c>
      <c r="GT38" s="48">
        <f t="shared" si="354"/>
        <v>0.83</v>
      </c>
      <c r="GU38" s="48">
        <f t="shared" si="354"/>
        <v>0.80999999999999994</v>
      </c>
      <c r="GV38" s="48">
        <f t="shared" si="354"/>
        <v>0.78999999999999992</v>
      </c>
      <c r="GW38" s="48">
        <f t="shared" si="354"/>
        <v>0.76999999999999991</v>
      </c>
      <c r="GX38" s="48">
        <f t="shared" si="354"/>
        <v>0.74999999999999989</v>
      </c>
      <c r="GY38" s="48">
        <f t="shared" si="354"/>
        <v>0.72999999999999987</v>
      </c>
      <c r="GZ38" s="48">
        <f t="shared" si="354"/>
        <v>0.70999999999999985</v>
      </c>
      <c r="HA38" s="48">
        <f t="shared" si="354"/>
        <v>0.68999999999999984</v>
      </c>
      <c r="HB38" s="48">
        <f t="shared" si="354"/>
        <v>0.66999999999999982</v>
      </c>
      <c r="HC38" s="48">
        <f t="shared" si="354"/>
        <v>0.6499999999999998</v>
      </c>
      <c r="HD38" s="48">
        <f t="shared" si="354"/>
        <v>0.62999999999999978</v>
      </c>
      <c r="HE38" s="48">
        <f t="shared" si="354"/>
        <v>0.60999999999999976</v>
      </c>
      <c r="HF38" s="48">
        <f t="shared" si="354"/>
        <v>0.58999999999999975</v>
      </c>
      <c r="HG38" s="48">
        <f t="shared" si="354"/>
        <v>0.56999999999999973</v>
      </c>
    </row>
    <row r="39" spans="1:250" x14ac:dyDescent="0.3">
      <c r="A39" s="2">
        <v>6</v>
      </c>
      <c r="C39" s="39" t="s">
        <v>11</v>
      </c>
      <c r="D39" s="44">
        <f>TRUNC(4473.36853721149,-1)</f>
        <v>4470</v>
      </c>
      <c r="E39" s="73">
        <f t="shared" si="203"/>
        <v>14770</v>
      </c>
      <c r="G39" s="48">
        <f t="shared" si="61"/>
        <v>4917</v>
      </c>
      <c r="H39" s="48">
        <f t="shared" si="62"/>
        <v>4917</v>
      </c>
      <c r="I39" s="51">
        <f t="shared" si="63"/>
        <v>16254.6186</v>
      </c>
      <c r="J39" s="48">
        <f t="shared" si="204"/>
        <v>4769.49</v>
      </c>
      <c r="K39" s="51">
        <f t="shared" si="205"/>
        <v>15766.980041999999</v>
      </c>
      <c r="L39" s="48">
        <f t="shared" si="206"/>
        <v>4671.1499999999996</v>
      </c>
      <c r="M39" s="51">
        <f t="shared" si="207"/>
        <v>15441.887669999998</v>
      </c>
      <c r="N39" s="48">
        <f t="shared" si="208"/>
        <v>4572.8100000000004</v>
      </c>
      <c r="O39" s="51">
        <f t="shared" si="209"/>
        <v>15116.795298000001</v>
      </c>
      <c r="P39" s="52">
        <f t="shared" si="210"/>
        <v>4474.47</v>
      </c>
      <c r="Q39" s="51">
        <f t="shared" si="211"/>
        <v>14791.702926000002</v>
      </c>
      <c r="R39" s="48">
        <f t="shared" si="212"/>
        <v>4376.13</v>
      </c>
      <c r="S39" s="51">
        <f t="shared" si="213"/>
        <v>14466.610554000001</v>
      </c>
      <c r="T39" s="52">
        <f t="shared" si="214"/>
        <v>4277.79</v>
      </c>
      <c r="U39" s="51">
        <f t="shared" si="215"/>
        <v>14141.518182</v>
      </c>
      <c r="V39" s="53">
        <f t="shared" si="216"/>
        <v>4179.45</v>
      </c>
      <c r="W39" s="51">
        <f t="shared" si="217"/>
        <v>13816.425809999999</v>
      </c>
      <c r="X39" s="52">
        <f t="shared" si="218"/>
        <v>4081.1099999999997</v>
      </c>
      <c r="Y39" s="51">
        <f t="shared" si="219"/>
        <v>13491.333438</v>
      </c>
      <c r="Z39" s="48">
        <f t="shared" si="220"/>
        <v>3982.7699999999995</v>
      </c>
      <c r="AA39" s="51">
        <f t="shared" si="221"/>
        <v>13166.241065999999</v>
      </c>
      <c r="AB39" s="53">
        <f t="shared" si="222"/>
        <v>3884.43</v>
      </c>
      <c r="AC39" s="51">
        <f t="shared" si="223"/>
        <v>12841.148694</v>
      </c>
      <c r="AD39" s="53">
        <f t="shared" si="224"/>
        <v>3786.0899999999997</v>
      </c>
      <c r="AE39" s="51">
        <f t="shared" si="225"/>
        <v>12516.056321999999</v>
      </c>
      <c r="AF39" s="53">
        <f t="shared" si="226"/>
        <v>3687.7499999999995</v>
      </c>
      <c r="AG39" s="51">
        <f t="shared" si="227"/>
        <v>12190.963949999999</v>
      </c>
      <c r="AH39" s="48">
        <f t="shared" si="228"/>
        <v>3589.4099999999994</v>
      </c>
      <c r="AI39" s="51">
        <f t="shared" si="229"/>
        <v>11865.871577999998</v>
      </c>
      <c r="AJ39" s="53">
        <f t="shared" si="230"/>
        <v>3491.0699999999993</v>
      </c>
      <c r="AK39" s="51">
        <f t="shared" si="231"/>
        <v>11540.779205999997</v>
      </c>
      <c r="AL39" s="53">
        <f t="shared" si="232"/>
        <v>3392.7299999999991</v>
      </c>
      <c r="AM39" s="51">
        <f t="shared" si="233"/>
        <v>11215.686833999996</v>
      </c>
      <c r="AN39" s="53">
        <f t="shared" si="234"/>
        <v>3294.389999999999</v>
      </c>
      <c r="AO39" s="51">
        <f t="shared" si="235"/>
        <v>10890.594461999997</v>
      </c>
      <c r="AP39" s="53">
        <f t="shared" si="236"/>
        <v>3196.0499999999988</v>
      </c>
      <c r="AQ39" s="51">
        <f t="shared" si="237"/>
        <v>10565.502089999996</v>
      </c>
      <c r="AR39" s="48">
        <f t="shared" si="238"/>
        <v>3097.7099999999991</v>
      </c>
      <c r="AS39" s="51">
        <f t="shared" si="239"/>
        <v>10240.409717999997</v>
      </c>
      <c r="AT39" s="53">
        <f t="shared" si="240"/>
        <v>2999.369999999999</v>
      </c>
      <c r="AU39" s="51">
        <f t="shared" si="241"/>
        <v>9915.3173459999962</v>
      </c>
      <c r="AV39" s="53">
        <f t="shared" si="242"/>
        <v>2901.0299999999988</v>
      </c>
      <c r="AW39" s="51">
        <f t="shared" si="243"/>
        <v>9590.224973999997</v>
      </c>
      <c r="AX39" s="48">
        <f t="shared" si="244"/>
        <v>2802.6899999999987</v>
      </c>
      <c r="AY39" s="51">
        <f t="shared" si="245"/>
        <v>9265.132601999996</v>
      </c>
      <c r="BB39" s="48">
        <v>1</v>
      </c>
      <c r="BC39" s="48">
        <v>0.97</v>
      </c>
      <c r="BD39" s="48">
        <v>0.95</v>
      </c>
      <c r="BE39" s="48">
        <v>0.93</v>
      </c>
      <c r="BF39" s="48">
        <f t="shared" ref="BF39:BW39" si="355">+BE39-0.02</f>
        <v>0.91</v>
      </c>
      <c r="BG39" s="48">
        <f t="shared" si="355"/>
        <v>0.89</v>
      </c>
      <c r="BH39" s="48">
        <f t="shared" si="355"/>
        <v>0.87</v>
      </c>
      <c r="BI39" s="48">
        <f t="shared" si="355"/>
        <v>0.85</v>
      </c>
      <c r="BJ39" s="48">
        <f t="shared" si="355"/>
        <v>0.83</v>
      </c>
      <c r="BK39" s="48">
        <f t="shared" si="355"/>
        <v>0.80999999999999994</v>
      </c>
      <c r="BL39" s="48">
        <f t="shared" si="355"/>
        <v>0.78999999999999992</v>
      </c>
      <c r="BM39" s="48">
        <f t="shared" si="355"/>
        <v>0.76999999999999991</v>
      </c>
      <c r="BN39" s="48">
        <f t="shared" si="355"/>
        <v>0.74999999999999989</v>
      </c>
      <c r="BO39" s="48">
        <f t="shared" si="355"/>
        <v>0.72999999999999987</v>
      </c>
      <c r="BP39" s="48">
        <f t="shared" si="355"/>
        <v>0.70999999999999985</v>
      </c>
      <c r="BQ39" s="48">
        <f t="shared" si="355"/>
        <v>0.68999999999999984</v>
      </c>
      <c r="BR39" s="48">
        <f t="shared" si="355"/>
        <v>0.66999999999999982</v>
      </c>
      <c r="BS39" s="48">
        <f t="shared" si="355"/>
        <v>0.6499999999999998</v>
      </c>
      <c r="BT39" s="48">
        <f t="shared" si="355"/>
        <v>0.62999999999999978</v>
      </c>
      <c r="BU39" s="48">
        <f t="shared" si="355"/>
        <v>0.60999999999999976</v>
      </c>
      <c r="BV39" s="48">
        <f t="shared" si="355"/>
        <v>0.58999999999999975</v>
      </c>
      <c r="BW39" s="48">
        <f t="shared" si="355"/>
        <v>0.56999999999999973</v>
      </c>
      <c r="BY39" s="48">
        <f t="shared" si="88"/>
        <v>4474.47</v>
      </c>
      <c r="BZ39" s="48">
        <f t="shared" si="89"/>
        <v>4474.47</v>
      </c>
      <c r="CA39" s="51">
        <f t="shared" ref="CA39" si="356">+BZ39*3.3058</f>
        <v>14791.702926000002</v>
      </c>
      <c r="CB39" s="48">
        <f t="shared" si="248"/>
        <v>4340.2358999999997</v>
      </c>
      <c r="CC39" s="51">
        <f t="shared" si="249"/>
        <v>14347.951838219999</v>
      </c>
      <c r="CD39" s="48">
        <f t="shared" si="250"/>
        <v>4250.7465000000002</v>
      </c>
      <c r="CE39" s="51">
        <f t="shared" si="251"/>
        <v>14052.117779700002</v>
      </c>
      <c r="CF39" s="48">
        <f t="shared" si="252"/>
        <v>4161.2571000000007</v>
      </c>
      <c r="CG39" s="51">
        <f t="shared" si="253"/>
        <v>13756.283721180003</v>
      </c>
      <c r="CH39" s="52">
        <f t="shared" si="254"/>
        <v>4071.7677000000003</v>
      </c>
      <c r="CI39" s="51">
        <f t="shared" si="255"/>
        <v>13460.449662660001</v>
      </c>
      <c r="CJ39" s="48">
        <f t="shared" si="256"/>
        <v>3982.2783000000004</v>
      </c>
      <c r="CK39" s="51">
        <f t="shared" si="257"/>
        <v>13164.615604140001</v>
      </c>
      <c r="CL39" s="52">
        <f t="shared" si="258"/>
        <v>3892.7889</v>
      </c>
      <c r="CM39" s="51">
        <f t="shared" si="259"/>
        <v>12868.781545620001</v>
      </c>
      <c r="CN39" s="53">
        <f t="shared" si="260"/>
        <v>3803.2995000000001</v>
      </c>
      <c r="CO39" s="51">
        <f t="shared" si="261"/>
        <v>12572.9474871</v>
      </c>
      <c r="CP39" s="52">
        <f t="shared" si="262"/>
        <v>3713.8101000000001</v>
      </c>
      <c r="CQ39" s="51">
        <f t="shared" si="263"/>
        <v>12277.11342858</v>
      </c>
      <c r="CR39" s="48">
        <f t="shared" si="264"/>
        <v>3624.3206999999998</v>
      </c>
      <c r="CS39" s="51">
        <f t="shared" si="265"/>
        <v>11981.27937006</v>
      </c>
      <c r="CT39" s="53">
        <f t="shared" si="266"/>
        <v>3534.8312999999998</v>
      </c>
      <c r="CU39" s="51">
        <f t="shared" si="267"/>
        <v>11685.445311539999</v>
      </c>
      <c r="CV39" s="53">
        <f t="shared" si="268"/>
        <v>3445.3418999999999</v>
      </c>
      <c r="CW39" s="51">
        <f t="shared" si="269"/>
        <v>11389.611253020001</v>
      </c>
      <c r="CX39" s="53">
        <f t="shared" si="270"/>
        <v>3355.8524999999995</v>
      </c>
      <c r="CY39" s="51">
        <f t="shared" si="271"/>
        <v>11093.777194499999</v>
      </c>
      <c r="CZ39" s="48">
        <f t="shared" si="272"/>
        <v>3266.3630999999996</v>
      </c>
      <c r="DA39" s="51">
        <f t="shared" si="273"/>
        <v>10797.943135979998</v>
      </c>
      <c r="DB39" s="53">
        <f t="shared" si="274"/>
        <v>3176.8736999999996</v>
      </c>
      <c r="DC39" s="51">
        <f t="shared" si="275"/>
        <v>10502.10907746</v>
      </c>
      <c r="DD39" s="53">
        <f t="shared" si="276"/>
        <v>3087.3842999999993</v>
      </c>
      <c r="DE39" s="51">
        <f t="shared" si="277"/>
        <v>10206.275018939998</v>
      </c>
      <c r="DF39" s="53">
        <f t="shared" si="278"/>
        <v>2997.8948999999993</v>
      </c>
      <c r="DG39" s="51">
        <f t="shared" si="279"/>
        <v>9910.4409604199973</v>
      </c>
      <c r="DH39" s="53">
        <f t="shared" si="280"/>
        <v>2908.4054999999994</v>
      </c>
      <c r="DI39" s="51">
        <f t="shared" si="281"/>
        <v>9614.6069018999988</v>
      </c>
      <c r="DJ39" s="48">
        <f t="shared" si="282"/>
        <v>2818.916099999999</v>
      </c>
      <c r="DK39" s="51">
        <f t="shared" si="283"/>
        <v>9318.7728433799966</v>
      </c>
      <c r="DL39" s="53">
        <f t="shared" si="284"/>
        <v>2729.4266999999991</v>
      </c>
      <c r="DM39" s="51">
        <f t="shared" si="285"/>
        <v>9022.9387848599963</v>
      </c>
      <c r="DN39" s="53">
        <f t="shared" si="286"/>
        <v>2639.9372999999991</v>
      </c>
      <c r="DO39" s="51">
        <f t="shared" si="287"/>
        <v>8727.1047263399978</v>
      </c>
      <c r="DP39" s="48">
        <f t="shared" si="288"/>
        <v>2550.4478999999988</v>
      </c>
      <c r="DQ39" s="51">
        <f t="shared" si="289"/>
        <v>8431.2706678199957</v>
      </c>
      <c r="DT39" s="48">
        <v>1</v>
      </c>
      <c r="DU39" s="48">
        <v>0.97</v>
      </c>
      <c r="DV39" s="48">
        <v>0.95</v>
      </c>
      <c r="DW39" s="48">
        <v>0.93</v>
      </c>
      <c r="DX39" s="48">
        <f t="shared" ref="DX39:EO39" si="357">+DW39-0.02</f>
        <v>0.91</v>
      </c>
      <c r="DY39" s="48">
        <f t="shared" si="357"/>
        <v>0.89</v>
      </c>
      <c r="DZ39" s="48">
        <f t="shared" si="357"/>
        <v>0.87</v>
      </c>
      <c r="EA39" s="48">
        <f t="shared" si="357"/>
        <v>0.85</v>
      </c>
      <c r="EB39" s="48">
        <f t="shared" si="357"/>
        <v>0.83</v>
      </c>
      <c r="EC39" s="48">
        <f t="shared" si="357"/>
        <v>0.80999999999999994</v>
      </c>
      <c r="ED39" s="48">
        <f t="shared" si="357"/>
        <v>0.78999999999999992</v>
      </c>
      <c r="EE39" s="48">
        <f t="shared" si="357"/>
        <v>0.76999999999999991</v>
      </c>
      <c r="EF39" s="48">
        <f t="shared" si="357"/>
        <v>0.74999999999999989</v>
      </c>
      <c r="EG39" s="48">
        <f t="shared" si="357"/>
        <v>0.72999999999999987</v>
      </c>
      <c r="EH39" s="48">
        <f t="shared" si="357"/>
        <v>0.70999999999999985</v>
      </c>
      <c r="EI39" s="48">
        <f t="shared" si="357"/>
        <v>0.68999999999999984</v>
      </c>
      <c r="EJ39" s="48">
        <f t="shared" si="357"/>
        <v>0.66999999999999982</v>
      </c>
      <c r="EK39" s="48">
        <f t="shared" si="357"/>
        <v>0.6499999999999998</v>
      </c>
      <c r="EL39" s="48">
        <f t="shared" si="357"/>
        <v>0.62999999999999978</v>
      </c>
      <c r="EM39" s="48">
        <f t="shared" si="357"/>
        <v>0.60999999999999976</v>
      </c>
      <c r="EN39" s="48">
        <f t="shared" si="357"/>
        <v>0.58999999999999975</v>
      </c>
      <c r="EO39" s="48">
        <f t="shared" si="357"/>
        <v>0.56999999999999973</v>
      </c>
      <c r="EQ39" s="48">
        <f t="shared" si="188"/>
        <v>4071.7677000000003</v>
      </c>
      <c r="ER39" s="48">
        <f t="shared" si="116"/>
        <v>4071.7677000000003</v>
      </c>
      <c r="ES39" s="51">
        <f t="shared" ref="ES39" si="358">+ER39*3.3058</f>
        <v>13460.449662660001</v>
      </c>
      <c r="ET39" s="48">
        <f t="shared" si="292"/>
        <v>3949.614669</v>
      </c>
      <c r="EU39" s="51">
        <f t="shared" si="293"/>
        <v>13056.6361727802</v>
      </c>
      <c r="EV39" s="48">
        <f t="shared" si="294"/>
        <v>3868.1793150000003</v>
      </c>
      <c r="EW39" s="51">
        <f t="shared" si="295"/>
        <v>12787.427179527001</v>
      </c>
      <c r="EX39" s="48">
        <f t="shared" si="296"/>
        <v>3786.7439610000006</v>
      </c>
      <c r="EY39" s="51">
        <f t="shared" si="297"/>
        <v>12518.218186273802</v>
      </c>
      <c r="EZ39" s="52">
        <f t="shared" si="298"/>
        <v>3705.3086070000004</v>
      </c>
      <c r="FA39" s="51">
        <f t="shared" si="299"/>
        <v>12249.009193020602</v>
      </c>
      <c r="FB39" s="48">
        <f t="shared" si="300"/>
        <v>3623.8732530000002</v>
      </c>
      <c r="FC39" s="51">
        <f t="shared" si="301"/>
        <v>11979.8001997674</v>
      </c>
      <c r="FD39" s="52">
        <f t="shared" si="302"/>
        <v>3542.4378990000005</v>
      </c>
      <c r="FE39" s="51">
        <f t="shared" si="303"/>
        <v>11710.591206514202</v>
      </c>
      <c r="FF39" s="53">
        <f t="shared" si="304"/>
        <v>3461.0025450000003</v>
      </c>
      <c r="FG39" s="51">
        <f t="shared" si="305"/>
        <v>11441.382213261</v>
      </c>
      <c r="FH39" s="52">
        <f t="shared" si="306"/>
        <v>3379.5671910000001</v>
      </c>
      <c r="FI39" s="51">
        <f t="shared" si="307"/>
        <v>11172.1732200078</v>
      </c>
      <c r="FJ39" s="48">
        <f t="shared" si="308"/>
        <v>3298.1318369999999</v>
      </c>
      <c r="FK39" s="51">
        <f t="shared" si="309"/>
        <v>10902.964226754601</v>
      </c>
      <c r="FL39" s="53">
        <f t="shared" si="310"/>
        <v>3216.6964830000002</v>
      </c>
      <c r="FM39" s="51">
        <f t="shared" si="311"/>
        <v>10633.755233501401</v>
      </c>
      <c r="FN39" s="53">
        <f t="shared" si="312"/>
        <v>3135.261129</v>
      </c>
      <c r="FO39" s="51">
        <f t="shared" si="313"/>
        <v>10364.546240248201</v>
      </c>
      <c r="FP39" s="53">
        <f t="shared" si="314"/>
        <v>3053.8257749999998</v>
      </c>
      <c r="FQ39" s="51">
        <f t="shared" si="315"/>
        <v>10095.337246994999</v>
      </c>
      <c r="FR39" s="48">
        <f t="shared" si="316"/>
        <v>2972.3904209999996</v>
      </c>
      <c r="FS39" s="51">
        <f t="shared" si="317"/>
        <v>9826.1282537417992</v>
      </c>
      <c r="FT39" s="53">
        <f t="shared" si="318"/>
        <v>2890.9550669999994</v>
      </c>
      <c r="FU39" s="51">
        <f t="shared" si="319"/>
        <v>9556.9192604885975</v>
      </c>
      <c r="FV39" s="53">
        <f t="shared" si="320"/>
        <v>2809.5197129999997</v>
      </c>
      <c r="FW39" s="51">
        <f t="shared" si="321"/>
        <v>9287.7102672353994</v>
      </c>
      <c r="FX39" s="53">
        <f t="shared" si="322"/>
        <v>2728.0843589999995</v>
      </c>
      <c r="FY39" s="51">
        <f t="shared" si="323"/>
        <v>9018.5012739821977</v>
      </c>
      <c r="FZ39" s="53">
        <f t="shared" si="324"/>
        <v>2646.6490049999993</v>
      </c>
      <c r="GA39" s="51">
        <f t="shared" si="325"/>
        <v>8749.2922807289979</v>
      </c>
      <c r="GB39" s="48">
        <f t="shared" si="326"/>
        <v>2565.2136509999991</v>
      </c>
      <c r="GC39" s="51">
        <f t="shared" si="327"/>
        <v>8480.083287475798</v>
      </c>
      <c r="GD39" s="53">
        <f t="shared" si="328"/>
        <v>2483.7782969999994</v>
      </c>
      <c r="GE39" s="51">
        <f t="shared" si="329"/>
        <v>8210.8742942225981</v>
      </c>
      <c r="GF39" s="53">
        <f t="shared" si="330"/>
        <v>2402.3429429999992</v>
      </c>
      <c r="GG39" s="51">
        <f t="shared" si="331"/>
        <v>7941.6653009693973</v>
      </c>
      <c r="GH39" s="48">
        <f t="shared" si="332"/>
        <v>2320.907588999999</v>
      </c>
      <c r="GI39" s="51">
        <f t="shared" si="333"/>
        <v>7672.4563077161965</v>
      </c>
      <c r="GJ39" s="48"/>
      <c r="GK39" s="48"/>
      <c r="GL39" s="48">
        <v>1</v>
      </c>
      <c r="GM39" s="48">
        <v>0.97</v>
      </c>
      <c r="GN39" s="48">
        <v>0.95</v>
      </c>
      <c r="GO39" s="48">
        <v>0.93</v>
      </c>
      <c r="GP39" s="48">
        <f t="shared" ref="GP39:HG39" si="359">+GO39-0.02</f>
        <v>0.91</v>
      </c>
      <c r="GQ39" s="48">
        <f t="shared" si="359"/>
        <v>0.89</v>
      </c>
      <c r="GR39" s="48">
        <f t="shared" si="359"/>
        <v>0.87</v>
      </c>
      <c r="GS39" s="48">
        <f t="shared" si="359"/>
        <v>0.85</v>
      </c>
      <c r="GT39" s="48">
        <f t="shared" si="359"/>
        <v>0.83</v>
      </c>
      <c r="GU39" s="48">
        <f t="shared" si="359"/>
        <v>0.80999999999999994</v>
      </c>
      <c r="GV39" s="48">
        <f t="shared" si="359"/>
        <v>0.78999999999999992</v>
      </c>
      <c r="GW39" s="48">
        <f t="shared" si="359"/>
        <v>0.76999999999999991</v>
      </c>
      <c r="GX39" s="48">
        <f t="shared" si="359"/>
        <v>0.74999999999999989</v>
      </c>
      <c r="GY39" s="48">
        <f t="shared" si="359"/>
        <v>0.72999999999999987</v>
      </c>
      <c r="GZ39" s="48">
        <f t="shared" si="359"/>
        <v>0.70999999999999985</v>
      </c>
      <c r="HA39" s="48">
        <f t="shared" si="359"/>
        <v>0.68999999999999984</v>
      </c>
      <c r="HB39" s="48">
        <f t="shared" si="359"/>
        <v>0.66999999999999982</v>
      </c>
      <c r="HC39" s="48">
        <f t="shared" si="359"/>
        <v>0.6499999999999998</v>
      </c>
      <c r="HD39" s="48">
        <f t="shared" si="359"/>
        <v>0.62999999999999978</v>
      </c>
      <c r="HE39" s="48">
        <f t="shared" si="359"/>
        <v>0.60999999999999976</v>
      </c>
      <c r="HF39" s="48">
        <f t="shared" si="359"/>
        <v>0.58999999999999975</v>
      </c>
      <c r="HG39" s="48">
        <f t="shared" si="359"/>
        <v>0.56999999999999973</v>
      </c>
    </row>
    <row r="40" spans="1:250" x14ac:dyDescent="0.3">
      <c r="A40" s="2">
        <v>7</v>
      </c>
      <c r="C40" s="39" t="s">
        <v>12</v>
      </c>
      <c r="D40" s="44">
        <f>TRUNC(9932.41473358966,-1)</f>
        <v>9930</v>
      </c>
      <c r="E40" s="73">
        <f t="shared" si="203"/>
        <v>32820</v>
      </c>
      <c r="G40" s="48">
        <f t="shared" si="61"/>
        <v>10923</v>
      </c>
      <c r="H40" s="48">
        <f t="shared" si="62"/>
        <v>10923</v>
      </c>
      <c r="I40" s="51">
        <f t="shared" si="63"/>
        <v>36109.253400000001</v>
      </c>
      <c r="J40" s="48">
        <f t="shared" si="204"/>
        <v>10595.31</v>
      </c>
      <c r="K40" s="51">
        <f t="shared" si="205"/>
        <v>35025.975797999999</v>
      </c>
      <c r="L40" s="48">
        <f t="shared" si="206"/>
        <v>10376.85</v>
      </c>
      <c r="M40" s="51">
        <f t="shared" si="207"/>
        <v>34303.790730000001</v>
      </c>
      <c r="N40" s="48">
        <f t="shared" si="208"/>
        <v>10158.390000000001</v>
      </c>
      <c r="O40" s="51">
        <f t="shared" si="209"/>
        <v>33581.605662000002</v>
      </c>
      <c r="P40" s="52">
        <f t="shared" si="210"/>
        <v>9939.93</v>
      </c>
      <c r="Q40" s="51">
        <f t="shared" si="211"/>
        <v>32859.420594000003</v>
      </c>
      <c r="R40" s="48">
        <f t="shared" si="212"/>
        <v>9721.4699999999993</v>
      </c>
      <c r="S40" s="51">
        <f t="shared" si="213"/>
        <v>32137.235525999997</v>
      </c>
      <c r="T40" s="52">
        <f t="shared" si="214"/>
        <v>9503.01</v>
      </c>
      <c r="U40" s="51">
        <f t="shared" si="215"/>
        <v>31415.050458000002</v>
      </c>
      <c r="V40" s="53">
        <f t="shared" si="216"/>
        <v>9284.5499999999993</v>
      </c>
      <c r="W40" s="51">
        <f t="shared" si="217"/>
        <v>30692.865389999999</v>
      </c>
      <c r="X40" s="52">
        <f t="shared" si="218"/>
        <v>9066.09</v>
      </c>
      <c r="Y40" s="51">
        <f t="shared" si="219"/>
        <v>29970.680322</v>
      </c>
      <c r="Z40" s="48">
        <f t="shared" si="220"/>
        <v>8847.6299999999992</v>
      </c>
      <c r="AA40" s="51">
        <f t="shared" si="221"/>
        <v>29248.495253999998</v>
      </c>
      <c r="AB40" s="53">
        <f t="shared" si="222"/>
        <v>8629.17</v>
      </c>
      <c r="AC40" s="51">
        <f t="shared" si="223"/>
        <v>28526.310186000002</v>
      </c>
      <c r="AD40" s="53">
        <f t="shared" si="224"/>
        <v>8410.7099999999991</v>
      </c>
      <c r="AE40" s="51">
        <f t="shared" si="225"/>
        <v>27804.125117999996</v>
      </c>
      <c r="AF40" s="53">
        <f t="shared" si="226"/>
        <v>8192.2499999999982</v>
      </c>
      <c r="AG40" s="51">
        <f t="shared" si="227"/>
        <v>27081.940049999994</v>
      </c>
      <c r="AH40" s="48">
        <f t="shared" si="228"/>
        <v>7973.7899999999981</v>
      </c>
      <c r="AI40" s="51">
        <f t="shared" si="229"/>
        <v>26359.754981999995</v>
      </c>
      <c r="AJ40" s="53">
        <f t="shared" si="230"/>
        <v>7755.3299999999981</v>
      </c>
      <c r="AK40" s="51">
        <f t="shared" si="231"/>
        <v>25637.569913999996</v>
      </c>
      <c r="AL40" s="53">
        <f t="shared" si="232"/>
        <v>7536.8699999999981</v>
      </c>
      <c r="AM40" s="51">
        <f t="shared" si="233"/>
        <v>24915.384845999994</v>
      </c>
      <c r="AN40" s="53">
        <f t="shared" si="234"/>
        <v>7318.409999999998</v>
      </c>
      <c r="AO40" s="51">
        <f t="shared" si="235"/>
        <v>24193.199777999995</v>
      </c>
      <c r="AP40" s="53">
        <f t="shared" si="236"/>
        <v>7099.949999999998</v>
      </c>
      <c r="AQ40" s="51">
        <f t="shared" si="237"/>
        <v>23471.014709999992</v>
      </c>
      <c r="AR40" s="48">
        <f t="shared" si="238"/>
        <v>6881.489999999998</v>
      </c>
      <c r="AS40" s="51">
        <f t="shared" si="239"/>
        <v>22748.829641999993</v>
      </c>
      <c r="AT40" s="53">
        <f t="shared" si="240"/>
        <v>6663.029999999997</v>
      </c>
      <c r="AU40" s="51">
        <f t="shared" si="241"/>
        <v>22026.644573999991</v>
      </c>
      <c r="AV40" s="53">
        <f t="shared" si="242"/>
        <v>6444.569999999997</v>
      </c>
      <c r="AW40" s="51">
        <f t="shared" si="243"/>
        <v>21304.459505999992</v>
      </c>
      <c r="AX40" s="48">
        <f t="shared" si="244"/>
        <v>6226.1099999999969</v>
      </c>
      <c r="AY40" s="51">
        <f t="shared" si="245"/>
        <v>20582.274437999989</v>
      </c>
      <c r="BB40" s="48">
        <v>1</v>
      </c>
      <c r="BC40" s="48">
        <v>0.97</v>
      </c>
      <c r="BD40" s="48">
        <v>0.95</v>
      </c>
      <c r="BE40" s="48">
        <v>0.93</v>
      </c>
      <c r="BF40" s="48">
        <f t="shared" ref="BF40:BW40" si="360">+BE40-0.02</f>
        <v>0.91</v>
      </c>
      <c r="BG40" s="48">
        <f t="shared" si="360"/>
        <v>0.89</v>
      </c>
      <c r="BH40" s="48">
        <f t="shared" si="360"/>
        <v>0.87</v>
      </c>
      <c r="BI40" s="48">
        <f t="shared" si="360"/>
        <v>0.85</v>
      </c>
      <c r="BJ40" s="48">
        <f t="shared" si="360"/>
        <v>0.83</v>
      </c>
      <c r="BK40" s="48">
        <f t="shared" si="360"/>
        <v>0.80999999999999994</v>
      </c>
      <c r="BL40" s="48">
        <f t="shared" si="360"/>
        <v>0.78999999999999992</v>
      </c>
      <c r="BM40" s="48">
        <f t="shared" si="360"/>
        <v>0.76999999999999991</v>
      </c>
      <c r="BN40" s="48">
        <f t="shared" si="360"/>
        <v>0.74999999999999989</v>
      </c>
      <c r="BO40" s="48">
        <f t="shared" si="360"/>
        <v>0.72999999999999987</v>
      </c>
      <c r="BP40" s="48">
        <f t="shared" si="360"/>
        <v>0.70999999999999985</v>
      </c>
      <c r="BQ40" s="48">
        <f t="shared" si="360"/>
        <v>0.68999999999999984</v>
      </c>
      <c r="BR40" s="48">
        <f t="shared" si="360"/>
        <v>0.66999999999999982</v>
      </c>
      <c r="BS40" s="48">
        <f t="shared" si="360"/>
        <v>0.6499999999999998</v>
      </c>
      <c r="BT40" s="48">
        <f t="shared" si="360"/>
        <v>0.62999999999999978</v>
      </c>
      <c r="BU40" s="48">
        <f t="shared" si="360"/>
        <v>0.60999999999999976</v>
      </c>
      <c r="BV40" s="48">
        <f t="shared" si="360"/>
        <v>0.58999999999999975</v>
      </c>
      <c r="BW40" s="48">
        <f t="shared" si="360"/>
        <v>0.56999999999999973</v>
      </c>
      <c r="BY40" s="48">
        <f t="shared" si="88"/>
        <v>9939.93</v>
      </c>
      <c r="BZ40" s="48">
        <f t="shared" si="89"/>
        <v>9939.93</v>
      </c>
      <c r="CA40" s="51">
        <f t="shared" ref="CA40" si="361">+BZ40*3.3058</f>
        <v>32859.420594000003</v>
      </c>
      <c r="CB40" s="48">
        <f t="shared" si="248"/>
        <v>9641.7320999999993</v>
      </c>
      <c r="CC40" s="51">
        <f t="shared" si="249"/>
        <v>31873.637976179998</v>
      </c>
      <c r="CD40" s="48">
        <f t="shared" si="250"/>
        <v>9442.9334999999992</v>
      </c>
      <c r="CE40" s="51">
        <f t="shared" si="251"/>
        <v>31216.449564299997</v>
      </c>
      <c r="CF40" s="48">
        <f t="shared" si="252"/>
        <v>9244.1349000000009</v>
      </c>
      <c r="CG40" s="51">
        <f t="shared" si="253"/>
        <v>30559.261152420004</v>
      </c>
      <c r="CH40" s="52">
        <f t="shared" si="254"/>
        <v>9045.3363000000008</v>
      </c>
      <c r="CI40" s="51">
        <f t="shared" si="255"/>
        <v>29902.072740540003</v>
      </c>
      <c r="CJ40" s="48">
        <f t="shared" si="256"/>
        <v>8846.5377000000008</v>
      </c>
      <c r="CK40" s="51">
        <f t="shared" si="257"/>
        <v>29244.884328660002</v>
      </c>
      <c r="CL40" s="52">
        <f t="shared" si="258"/>
        <v>8647.7391000000007</v>
      </c>
      <c r="CM40" s="51">
        <f t="shared" si="259"/>
        <v>28587.695916780001</v>
      </c>
      <c r="CN40" s="53">
        <f t="shared" si="260"/>
        <v>8448.9405000000006</v>
      </c>
      <c r="CO40" s="51">
        <f t="shared" si="261"/>
        <v>27930.507504900004</v>
      </c>
      <c r="CP40" s="52">
        <f t="shared" si="262"/>
        <v>8250.1419000000005</v>
      </c>
      <c r="CQ40" s="51">
        <f t="shared" si="263"/>
        <v>27273.319093020003</v>
      </c>
      <c r="CR40" s="48">
        <f t="shared" si="264"/>
        <v>8051.3432999999995</v>
      </c>
      <c r="CS40" s="51">
        <f t="shared" si="265"/>
        <v>26616.130681139999</v>
      </c>
      <c r="CT40" s="53">
        <f t="shared" si="266"/>
        <v>7852.5446999999995</v>
      </c>
      <c r="CU40" s="51">
        <f t="shared" si="267"/>
        <v>25958.942269259998</v>
      </c>
      <c r="CV40" s="53">
        <f t="shared" si="268"/>
        <v>7653.7460999999994</v>
      </c>
      <c r="CW40" s="51">
        <f t="shared" si="269"/>
        <v>25301.753857379997</v>
      </c>
      <c r="CX40" s="53">
        <f t="shared" si="270"/>
        <v>7454.9474999999993</v>
      </c>
      <c r="CY40" s="51">
        <f t="shared" si="271"/>
        <v>24644.565445499997</v>
      </c>
      <c r="CZ40" s="48">
        <f t="shared" si="272"/>
        <v>7256.1488999999992</v>
      </c>
      <c r="DA40" s="51">
        <f t="shared" si="273"/>
        <v>23987.37703362</v>
      </c>
      <c r="DB40" s="53">
        <f t="shared" si="274"/>
        <v>7057.3502999999992</v>
      </c>
      <c r="DC40" s="51">
        <f t="shared" si="275"/>
        <v>23330.188621739999</v>
      </c>
      <c r="DD40" s="53">
        <f t="shared" si="276"/>
        <v>6858.5516999999982</v>
      </c>
      <c r="DE40" s="51">
        <f t="shared" si="277"/>
        <v>22673.000209859994</v>
      </c>
      <c r="DF40" s="53">
        <f t="shared" si="278"/>
        <v>6659.7530999999981</v>
      </c>
      <c r="DG40" s="51">
        <f t="shared" si="279"/>
        <v>22015.811797979994</v>
      </c>
      <c r="DH40" s="53">
        <f t="shared" si="280"/>
        <v>6460.954499999998</v>
      </c>
      <c r="DI40" s="51">
        <f t="shared" si="281"/>
        <v>21358.623386099993</v>
      </c>
      <c r="DJ40" s="48">
        <f t="shared" si="282"/>
        <v>6262.1558999999979</v>
      </c>
      <c r="DK40" s="51">
        <f t="shared" si="283"/>
        <v>20701.434974219992</v>
      </c>
      <c r="DL40" s="53">
        <f t="shared" si="284"/>
        <v>6063.3572999999978</v>
      </c>
      <c r="DM40" s="51">
        <f t="shared" si="285"/>
        <v>20044.246562339995</v>
      </c>
      <c r="DN40" s="53">
        <f t="shared" si="286"/>
        <v>5864.5586999999978</v>
      </c>
      <c r="DO40" s="51">
        <f t="shared" si="287"/>
        <v>19387.058150459994</v>
      </c>
      <c r="DP40" s="48">
        <f t="shared" si="288"/>
        <v>5665.7600999999977</v>
      </c>
      <c r="DQ40" s="51">
        <f t="shared" si="289"/>
        <v>18729.869738579993</v>
      </c>
      <c r="DT40" s="48">
        <v>1</v>
      </c>
      <c r="DU40" s="48">
        <v>0.97</v>
      </c>
      <c r="DV40" s="48">
        <v>0.95</v>
      </c>
      <c r="DW40" s="48">
        <v>0.93</v>
      </c>
      <c r="DX40" s="48">
        <f t="shared" ref="DX40:EO40" si="362">+DW40-0.02</f>
        <v>0.91</v>
      </c>
      <c r="DY40" s="48">
        <f t="shared" si="362"/>
        <v>0.89</v>
      </c>
      <c r="DZ40" s="48">
        <f t="shared" si="362"/>
        <v>0.87</v>
      </c>
      <c r="EA40" s="48">
        <f t="shared" si="362"/>
        <v>0.85</v>
      </c>
      <c r="EB40" s="48">
        <f t="shared" si="362"/>
        <v>0.83</v>
      </c>
      <c r="EC40" s="48">
        <f t="shared" si="362"/>
        <v>0.80999999999999994</v>
      </c>
      <c r="ED40" s="48">
        <f t="shared" si="362"/>
        <v>0.78999999999999992</v>
      </c>
      <c r="EE40" s="48">
        <f t="shared" si="362"/>
        <v>0.76999999999999991</v>
      </c>
      <c r="EF40" s="48">
        <f t="shared" si="362"/>
        <v>0.74999999999999989</v>
      </c>
      <c r="EG40" s="48">
        <f t="shared" si="362"/>
        <v>0.72999999999999987</v>
      </c>
      <c r="EH40" s="48">
        <f t="shared" si="362"/>
        <v>0.70999999999999985</v>
      </c>
      <c r="EI40" s="48">
        <f t="shared" si="362"/>
        <v>0.68999999999999984</v>
      </c>
      <c r="EJ40" s="48">
        <f t="shared" si="362"/>
        <v>0.66999999999999982</v>
      </c>
      <c r="EK40" s="48">
        <f t="shared" si="362"/>
        <v>0.6499999999999998</v>
      </c>
      <c r="EL40" s="48">
        <f t="shared" si="362"/>
        <v>0.62999999999999978</v>
      </c>
      <c r="EM40" s="48">
        <f t="shared" si="362"/>
        <v>0.60999999999999976</v>
      </c>
      <c r="EN40" s="48">
        <f t="shared" si="362"/>
        <v>0.58999999999999975</v>
      </c>
      <c r="EO40" s="48">
        <f t="shared" si="362"/>
        <v>0.56999999999999973</v>
      </c>
      <c r="EQ40" s="48">
        <f t="shared" si="188"/>
        <v>9045.3363000000008</v>
      </c>
      <c r="ER40" s="48">
        <f t="shared" si="116"/>
        <v>9045.3363000000008</v>
      </c>
      <c r="ES40" s="51">
        <f t="shared" ref="ES40" si="363">+ER40*3.3058</f>
        <v>29902.072740540003</v>
      </c>
      <c r="ET40" s="48">
        <f t="shared" si="292"/>
        <v>8773.9762110000011</v>
      </c>
      <c r="EU40" s="51">
        <f t="shared" si="293"/>
        <v>29005.010558323804</v>
      </c>
      <c r="EV40" s="48">
        <f t="shared" si="294"/>
        <v>8593.069485</v>
      </c>
      <c r="EW40" s="51">
        <f t="shared" si="295"/>
        <v>28406.969103513002</v>
      </c>
      <c r="EX40" s="48">
        <f t="shared" si="296"/>
        <v>8412.1627590000007</v>
      </c>
      <c r="EY40" s="51">
        <f t="shared" si="297"/>
        <v>27808.927648702203</v>
      </c>
      <c r="EZ40" s="52">
        <f t="shared" si="298"/>
        <v>8231.2560330000015</v>
      </c>
      <c r="FA40" s="51">
        <f t="shared" si="299"/>
        <v>27210.886193891405</v>
      </c>
      <c r="FB40" s="48">
        <f t="shared" si="300"/>
        <v>8050.3493070000013</v>
      </c>
      <c r="FC40" s="51">
        <f t="shared" si="301"/>
        <v>26612.844739080603</v>
      </c>
      <c r="FD40" s="52">
        <f t="shared" si="302"/>
        <v>7869.4425810000002</v>
      </c>
      <c r="FE40" s="51">
        <f t="shared" si="303"/>
        <v>26014.803284269801</v>
      </c>
      <c r="FF40" s="53">
        <f t="shared" si="304"/>
        <v>7688.5358550000001</v>
      </c>
      <c r="FG40" s="51">
        <f t="shared" si="305"/>
        <v>25416.761829458999</v>
      </c>
      <c r="FH40" s="52">
        <f t="shared" si="306"/>
        <v>7507.6291289999999</v>
      </c>
      <c r="FI40" s="51">
        <f t="shared" si="307"/>
        <v>24818.720374648201</v>
      </c>
      <c r="FJ40" s="48">
        <f t="shared" si="308"/>
        <v>7326.7224029999998</v>
      </c>
      <c r="FK40" s="51">
        <f t="shared" si="309"/>
        <v>24220.678919837399</v>
      </c>
      <c r="FL40" s="53">
        <f t="shared" si="310"/>
        <v>7145.8156769999996</v>
      </c>
      <c r="FM40" s="51">
        <f t="shared" si="311"/>
        <v>23622.637465026601</v>
      </c>
      <c r="FN40" s="53">
        <f t="shared" si="312"/>
        <v>6964.9089509999994</v>
      </c>
      <c r="FO40" s="51">
        <f t="shared" si="313"/>
        <v>23024.596010215799</v>
      </c>
      <c r="FP40" s="53">
        <f t="shared" si="314"/>
        <v>6784.0022249999993</v>
      </c>
      <c r="FQ40" s="51">
        <f t="shared" si="315"/>
        <v>22426.554555404997</v>
      </c>
      <c r="FR40" s="48">
        <f t="shared" si="316"/>
        <v>6603.0954989999991</v>
      </c>
      <c r="FS40" s="51">
        <f t="shared" si="317"/>
        <v>21828.513100594198</v>
      </c>
      <c r="FT40" s="53">
        <f t="shared" si="318"/>
        <v>6422.1887729999989</v>
      </c>
      <c r="FU40" s="51">
        <f t="shared" si="319"/>
        <v>21230.471645783397</v>
      </c>
      <c r="FV40" s="53">
        <f t="shared" si="320"/>
        <v>6241.2820469999988</v>
      </c>
      <c r="FW40" s="51">
        <f t="shared" si="321"/>
        <v>20632.430190972598</v>
      </c>
      <c r="FX40" s="53">
        <f t="shared" si="322"/>
        <v>6060.3753209999986</v>
      </c>
      <c r="FY40" s="51">
        <f t="shared" si="323"/>
        <v>20034.388736161796</v>
      </c>
      <c r="FZ40" s="53">
        <f t="shared" si="324"/>
        <v>5879.4685949999985</v>
      </c>
      <c r="GA40" s="51">
        <f t="shared" si="325"/>
        <v>19436.347281350994</v>
      </c>
      <c r="GB40" s="48">
        <f t="shared" si="326"/>
        <v>5698.5618689999983</v>
      </c>
      <c r="GC40" s="51">
        <f t="shared" si="327"/>
        <v>18838.305826540196</v>
      </c>
      <c r="GD40" s="53">
        <f t="shared" si="328"/>
        <v>5517.6551429999981</v>
      </c>
      <c r="GE40" s="51">
        <f t="shared" si="329"/>
        <v>18240.264371729394</v>
      </c>
      <c r="GF40" s="53">
        <f t="shared" si="330"/>
        <v>5336.748416999998</v>
      </c>
      <c r="GG40" s="51">
        <f t="shared" si="331"/>
        <v>17642.222916918592</v>
      </c>
      <c r="GH40" s="48">
        <f t="shared" si="332"/>
        <v>5155.8416909999978</v>
      </c>
      <c r="GI40" s="51">
        <f t="shared" si="333"/>
        <v>17044.181462107794</v>
      </c>
      <c r="GJ40" s="48"/>
      <c r="GK40" s="48"/>
      <c r="GL40" s="48">
        <v>1</v>
      </c>
      <c r="GM40" s="48">
        <v>0.97</v>
      </c>
      <c r="GN40" s="48">
        <v>0.95</v>
      </c>
      <c r="GO40" s="48">
        <v>0.93</v>
      </c>
      <c r="GP40" s="48">
        <f t="shared" ref="GP40:HG40" si="364">+GO40-0.02</f>
        <v>0.91</v>
      </c>
      <c r="GQ40" s="48">
        <f t="shared" si="364"/>
        <v>0.89</v>
      </c>
      <c r="GR40" s="48">
        <f t="shared" si="364"/>
        <v>0.87</v>
      </c>
      <c r="GS40" s="48">
        <f t="shared" si="364"/>
        <v>0.85</v>
      </c>
      <c r="GT40" s="48">
        <f t="shared" si="364"/>
        <v>0.83</v>
      </c>
      <c r="GU40" s="48">
        <f t="shared" si="364"/>
        <v>0.80999999999999994</v>
      </c>
      <c r="GV40" s="48">
        <f t="shared" si="364"/>
        <v>0.78999999999999992</v>
      </c>
      <c r="GW40" s="48">
        <f t="shared" si="364"/>
        <v>0.76999999999999991</v>
      </c>
      <c r="GX40" s="48">
        <f t="shared" si="364"/>
        <v>0.74999999999999989</v>
      </c>
      <c r="GY40" s="48">
        <f t="shared" si="364"/>
        <v>0.72999999999999987</v>
      </c>
      <c r="GZ40" s="48">
        <f t="shared" si="364"/>
        <v>0.70999999999999985</v>
      </c>
      <c r="HA40" s="48">
        <f t="shared" si="364"/>
        <v>0.68999999999999984</v>
      </c>
      <c r="HB40" s="48">
        <f t="shared" si="364"/>
        <v>0.66999999999999982</v>
      </c>
      <c r="HC40" s="48">
        <f t="shared" si="364"/>
        <v>0.6499999999999998</v>
      </c>
      <c r="HD40" s="48">
        <f t="shared" si="364"/>
        <v>0.62999999999999978</v>
      </c>
      <c r="HE40" s="48">
        <f t="shared" si="364"/>
        <v>0.60999999999999976</v>
      </c>
      <c r="HF40" s="48">
        <f t="shared" si="364"/>
        <v>0.58999999999999975</v>
      </c>
      <c r="HG40" s="48">
        <f t="shared" si="364"/>
        <v>0.56999999999999973</v>
      </c>
    </row>
    <row r="41" spans="1:250" x14ac:dyDescent="0.3">
      <c r="A41" s="2">
        <v>8</v>
      </c>
      <c r="C41" s="39" t="s">
        <v>13</v>
      </c>
      <c r="D41" s="44">
        <v>0</v>
      </c>
      <c r="E41" s="73">
        <f t="shared" si="203"/>
        <v>0</v>
      </c>
      <c r="G41" s="48">
        <f t="shared" si="61"/>
        <v>0</v>
      </c>
      <c r="H41" s="48">
        <f t="shared" si="62"/>
        <v>0</v>
      </c>
      <c r="I41" s="51">
        <f t="shared" si="63"/>
        <v>0</v>
      </c>
      <c r="J41" s="48">
        <f t="shared" si="204"/>
        <v>0</v>
      </c>
      <c r="K41" s="51">
        <f t="shared" si="205"/>
        <v>0</v>
      </c>
      <c r="L41" s="48">
        <f t="shared" si="206"/>
        <v>0</v>
      </c>
      <c r="M41" s="51">
        <f t="shared" si="207"/>
        <v>0</v>
      </c>
      <c r="N41" s="48">
        <f t="shared" si="208"/>
        <v>0</v>
      </c>
      <c r="O41" s="51">
        <f t="shared" si="209"/>
        <v>0</v>
      </c>
      <c r="P41" s="52">
        <f t="shared" si="210"/>
        <v>0</v>
      </c>
      <c r="Q41" s="51">
        <f t="shared" si="211"/>
        <v>0</v>
      </c>
      <c r="R41" s="48">
        <f t="shared" si="212"/>
        <v>0</v>
      </c>
      <c r="S41" s="51">
        <f t="shared" si="213"/>
        <v>0</v>
      </c>
      <c r="T41" s="52">
        <f t="shared" si="214"/>
        <v>0</v>
      </c>
      <c r="U41" s="51">
        <f t="shared" si="215"/>
        <v>0</v>
      </c>
      <c r="V41" s="53">
        <f t="shared" si="216"/>
        <v>0</v>
      </c>
      <c r="W41" s="51">
        <f t="shared" si="217"/>
        <v>0</v>
      </c>
      <c r="X41" s="52">
        <f t="shared" si="218"/>
        <v>0</v>
      </c>
      <c r="Y41" s="51">
        <f t="shared" si="219"/>
        <v>0</v>
      </c>
      <c r="Z41" s="48">
        <f t="shared" si="220"/>
        <v>0</v>
      </c>
      <c r="AA41" s="51">
        <f t="shared" si="221"/>
        <v>0</v>
      </c>
      <c r="AB41" s="53">
        <f t="shared" si="222"/>
        <v>0</v>
      </c>
      <c r="AC41" s="51">
        <f t="shared" si="223"/>
        <v>0</v>
      </c>
      <c r="AD41" s="53">
        <f t="shared" si="224"/>
        <v>0</v>
      </c>
      <c r="AE41" s="51">
        <f t="shared" si="225"/>
        <v>0</v>
      </c>
      <c r="AF41" s="53">
        <f t="shared" si="226"/>
        <v>0</v>
      </c>
      <c r="AG41" s="51">
        <f t="shared" si="227"/>
        <v>0</v>
      </c>
      <c r="AH41" s="48">
        <f t="shared" si="228"/>
        <v>0</v>
      </c>
      <c r="AI41" s="51">
        <f t="shared" si="229"/>
        <v>0</v>
      </c>
      <c r="AJ41" s="53">
        <f t="shared" si="230"/>
        <v>0</v>
      </c>
      <c r="AK41" s="51">
        <f t="shared" si="231"/>
        <v>0</v>
      </c>
      <c r="AL41" s="53">
        <f t="shared" si="232"/>
        <v>0</v>
      </c>
      <c r="AM41" s="51">
        <f t="shared" si="233"/>
        <v>0</v>
      </c>
      <c r="AN41" s="53">
        <f t="shared" si="234"/>
        <v>0</v>
      </c>
      <c r="AO41" s="51">
        <f t="shared" si="235"/>
        <v>0</v>
      </c>
      <c r="AP41" s="53">
        <f t="shared" si="236"/>
        <v>0</v>
      </c>
      <c r="AQ41" s="51">
        <f t="shared" si="237"/>
        <v>0</v>
      </c>
      <c r="AR41" s="48">
        <f t="shared" si="238"/>
        <v>0</v>
      </c>
      <c r="AS41" s="51">
        <f t="shared" si="239"/>
        <v>0</v>
      </c>
      <c r="AT41" s="53">
        <f t="shared" si="240"/>
        <v>0</v>
      </c>
      <c r="AU41" s="51">
        <f t="shared" si="241"/>
        <v>0</v>
      </c>
      <c r="AV41" s="53">
        <f t="shared" si="242"/>
        <v>0</v>
      </c>
      <c r="AW41" s="51">
        <f t="shared" si="243"/>
        <v>0</v>
      </c>
      <c r="AX41" s="48">
        <f t="shared" si="244"/>
        <v>0</v>
      </c>
      <c r="AY41" s="51">
        <f t="shared" si="245"/>
        <v>0</v>
      </c>
      <c r="BB41" s="48">
        <v>1</v>
      </c>
      <c r="BC41" s="48">
        <v>0.97</v>
      </c>
      <c r="BD41" s="48">
        <v>0.95</v>
      </c>
      <c r="BE41" s="48">
        <v>0.93</v>
      </c>
      <c r="BF41" s="48">
        <f t="shared" ref="BF41:BW41" si="365">+BE41-0.02</f>
        <v>0.91</v>
      </c>
      <c r="BG41" s="48">
        <f t="shared" si="365"/>
        <v>0.89</v>
      </c>
      <c r="BH41" s="48">
        <f t="shared" si="365"/>
        <v>0.87</v>
      </c>
      <c r="BI41" s="48">
        <f t="shared" si="365"/>
        <v>0.85</v>
      </c>
      <c r="BJ41" s="48">
        <f t="shared" si="365"/>
        <v>0.83</v>
      </c>
      <c r="BK41" s="48">
        <f t="shared" si="365"/>
        <v>0.80999999999999994</v>
      </c>
      <c r="BL41" s="48">
        <f t="shared" si="365"/>
        <v>0.78999999999999992</v>
      </c>
      <c r="BM41" s="48">
        <f t="shared" si="365"/>
        <v>0.76999999999999991</v>
      </c>
      <c r="BN41" s="48">
        <f t="shared" si="365"/>
        <v>0.74999999999999989</v>
      </c>
      <c r="BO41" s="48">
        <f t="shared" si="365"/>
        <v>0.72999999999999987</v>
      </c>
      <c r="BP41" s="48">
        <f t="shared" si="365"/>
        <v>0.70999999999999985</v>
      </c>
      <c r="BQ41" s="48">
        <f t="shared" si="365"/>
        <v>0.68999999999999984</v>
      </c>
      <c r="BR41" s="48">
        <f t="shared" si="365"/>
        <v>0.66999999999999982</v>
      </c>
      <c r="BS41" s="48">
        <f t="shared" si="365"/>
        <v>0.6499999999999998</v>
      </c>
      <c r="BT41" s="48">
        <f t="shared" si="365"/>
        <v>0.62999999999999978</v>
      </c>
      <c r="BU41" s="48">
        <f t="shared" si="365"/>
        <v>0.60999999999999976</v>
      </c>
      <c r="BV41" s="48">
        <f t="shared" si="365"/>
        <v>0.58999999999999975</v>
      </c>
      <c r="BW41" s="48">
        <f t="shared" si="365"/>
        <v>0.56999999999999973</v>
      </c>
      <c r="BY41" s="48">
        <f t="shared" si="88"/>
        <v>0</v>
      </c>
      <c r="BZ41" s="48">
        <f t="shared" si="89"/>
        <v>0</v>
      </c>
      <c r="CA41" s="51">
        <f t="shared" ref="CA41" si="366">+BZ41*3.3058</f>
        <v>0</v>
      </c>
      <c r="CB41" s="48">
        <f t="shared" si="248"/>
        <v>0</v>
      </c>
      <c r="CC41" s="51">
        <f t="shared" si="249"/>
        <v>0</v>
      </c>
      <c r="CD41" s="48">
        <f t="shared" si="250"/>
        <v>0</v>
      </c>
      <c r="CE41" s="51">
        <f t="shared" si="251"/>
        <v>0</v>
      </c>
      <c r="CF41" s="48">
        <f t="shared" si="252"/>
        <v>0</v>
      </c>
      <c r="CG41" s="51">
        <f t="shared" si="253"/>
        <v>0</v>
      </c>
      <c r="CH41" s="52">
        <f t="shared" si="254"/>
        <v>0</v>
      </c>
      <c r="CI41" s="51">
        <f t="shared" si="255"/>
        <v>0</v>
      </c>
      <c r="CJ41" s="48">
        <f t="shared" si="256"/>
        <v>0</v>
      </c>
      <c r="CK41" s="51">
        <f t="shared" si="257"/>
        <v>0</v>
      </c>
      <c r="CL41" s="52">
        <f t="shared" si="258"/>
        <v>0</v>
      </c>
      <c r="CM41" s="51">
        <f t="shared" si="259"/>
        <v>0</v>
      </c>
      <c r="CN41" s="53">
        <f t="shared" si="260"/>
        <v>0</v>
      </c>
      <c r="CO41" s="51">
        <f t="shared" si="261"/>
        <v>0</v>
      </c>
      <c r="CP41" s="52">
        <f t="shared" si="262"/>
        <v>0</v>
      </c>
      <c r="CQ41" s="51">
        <f t="shared" si="263"/>
        <v>0</v>
      </c>
      <c r="CR41" s="48">
        <f t="shared" si="264"/>
        <v>0</v>
      </c>
      <c r="CS41" s="51">
        <f t="shared" si="265"/>
        <v>0</v>
      </c>
      <c r="CT41" s="53">
        <f t="shared" si="266"/>
        <v>0</v>
      </c>
      <c r="CU41" s="51">
        <f t="shared" si="267"/>
        <v>0</v>
      </c>
      <c r="CV41" s="53">
        <f t="shared" si="268"/>
        <v>0</v>
      </c>
      <c r="CW41" s="51">
        <f t="shared" si="269"/>
        <v>0</v>
      </c>
      <c r="CX41" s="53">
        <f t="shared" si="270"/>
        <v>0</v>
      </c>
      <c r="CY41" s="51">
        <f t="shared" si="271"/>
        <v>0</v>
      </c>
      <c r="CZ41" s="48">
        <f t="shared" si="272"/>
        <v>0</v>
      </c>
      <c r="DA41" s="51">
        <f t="shared" si="273"/>
        <v>0</v>
      </c>
      <c r="DB41" s="53">
        <f t="shared" si="274"/>
        <v>0</v>
      </c>
      <c r="DC41" s="51">
        <f t="shared" si="275"/>
        <v>0</v>
      </c>
      <c r="DD41" s="53">
        <f t="shared" si="276"/>
        <v>0</v>
      </c>
      <c r="DE41" s="51">
        <f t="shared" si="277"/>
        <v>0</v>
      </c>
      <c r="DF41" s="53">
        <f t="shared" si="278"/>
        <v>0</v>
      </c>
      <c r="DG41" s="51">
        <f t="shared" si="279"/>
        <v>0</v>
      </c>
      <c r="DH41" s="53">
        <f t="shared" si="280"/>
        <v>0</v>
      </c>
      <c r="DI41" s="51">
        <f t="shared" si="281"/>
        <v>0</v>
      </c>
      <c r="DJ41" s="48">
        <f t="shared" si="282"/>
        <v>0</v>
      </c>
      <c r="DK41" s="51">
        <f t="shared" si="283"/>
        <v>0</v>
      </c>
      <c r="DL41" s="53">
        <f t="shared" si="284"/>
        <v>0</v>
      </c>
      <c r="DM41" s="51">
        <f t="shared" si="285"/>
        <v>0</v>
      </c>
      <c r="DN41" s="53">
        <f t="shared" si="286"/>
        <v>0</v>
      </c>
      <c r="DO41" s="51">
        <f t="shared" si="287"/>
        <v>0</v>
      </c>
      <c r="DP41" s="48">
        <f t="shared" si="288"/>
        <v>0</v>
      </c>
      <c r="DQ41" s="51">
        <f t="shared" si="289"/>
        <v>0</v>
      </c>
      <c r="DT41" s="48">
        <v>1</v>
      </c>
      <c r="DU41" s="48">
        <v>0.97</v>
      </c>
      <c r="DV41" s="48">
        <v>0.95</v>
      </c>
      <c r="DW41" s="48">
        <v>0.93</v>
      </c>
      <c r="DX41" s="48">
        <f t="shared" ref="DX41:EO41" si="367">+DW41-0.02</f>
        <v>0.91</v>
      </c>
      <c r="DY41" s="48">
        <f t="shared" si="367"/>
        <v>0.89</v>
      </c>
      <c r="DZ41" s="48">
        <f t="shared" si="367"/>
        <v>0.87</v>
      </c>
      <c r="EA41" s="48">
        <f t="shared" si="367"/>
        <v>0.85</v>
      </c>
      <c r="EB41" s="48">
        <f t="shared" si="367"/>
        <v>0.83</v>
      </c>
      <c r="EC41" s="48">
        <f t="shared" si="367"/>
        <v>0.80999999999999994</v>
      </c>
      <c r="ED41" s="48">
        <f t="shared" si="367"/>
        <v>0.78999999999999992</v>
      </c>
      <c r="EE41" s="48">
        <f t="shared" si="367"/>
        <v>0.76999999999999991</v>
      </c>
      <c r="EF41" s="48">
        <f t="shared" si="367"/>
        <v>0.74999999999999989</v>
      </c>
      <c r="EG41" s="48">
        <f t="shared" si="367"/>
        <v>0.72999999999999987</v>
      </c>
      <c r="EH41" s="48">
        <f t="shared" si="367"/>
        <v>0.70999999999999985</v>
      </c>
      <c r="EI41" s="48">
        <f t="shared" si="367"/>
        <v>0.68999999999999984</v>
      </c>
      <c r="EJ41" s="48">
        <f t="shared" si="367"/>
        <v>0.66999999999999982</v>
      </c>
      <c r="EK41" s="48">
        <f t="shared" si="367"/>
        <v>0.6499999999999998</v>
      </c>
      <c r="EL41" s="48">
        <f t="shared" si="367"/>
        <v>0.62999999999999978</v>
      </c>
      <c r="EM41" s="48">
        <f t="shared" si="367"/>
        <v>0.60999999999999976</v>
      </c>
      <c r="EN41" s="48">
        <f t="shared" si="367"/>
        <v>0.58999999999999975</v>
      </c>
      <c r="EO41" s="48">
        <f t="shared" si="367"/>
        <v>0.56999999999999973</v>
      </c>
      <c r="EQ41" s="48">
        <f t="shared" si="188"/>
        <v>0</v>
      </c>
      <c r="ER41" s="48">
        <f t="shared" si="116"/>
        <v>0</v>
      </c>
      <c r="ES41" s="51">
        <f t="shared" ref="ES41" si="368">+ER41*3.3058</f>
        <v>0</v>
      </c>
      <c r="ET41" s="48">
        <f t="shared" si="292"/>
        <v>0</v>
      </c>
      <c r="EU41" s="51">
        <f t="shared" si="293"/>
        <v>0</v>
      </c>
      <c r="EV41" s="48">
        <f t="shared" si="294"/>
        <v>0</v>
      </c>
      <c r="EW41" s="51">
        <f t="shared" si="295"/>
        <v>0</v>
      </c>
      <c r="EX41" s="48">
        <f t="shared" si="296"/>
        <v>0</v>
      </c>
      <c r="EY41" s="51">
        <f t="shared" si="297"/>
        <v>0</v>
      </c>
      <c r="EZ41" s="52">
        <f t="shared" si="298"/>
        <v>0</v>
      </c>
      <c r="FA41" s="51">
        <f t="shared" si="299"/>
        <v>0</v>
      </c>
      <c r="FB41" s="48">
        <f t="shared" si="300"/>
        <v>0</v>
      </c>
      <c r="FC41" s="51">
        <f t="shared" si="301"/>
        <v>0</v>
      </c>
      <c r="FD41" s="52">
        <f t="shared" si="302"/>
        <v>0</v>
      </c>
      <c r="FE41" s="51">
        <f t="shared" si="303"/>
        <v>0</v>
      </c>
      <c r="FF41" s="53">
        <f t="shared" si="304"/>
        <v>0</v>
      </c>
      <c r="FG41" s="51">
        <f t="shared" si="305"/>
        <v>0</v>
      </c>
      <c r="FH41" s="52">
        <f t="shared" si="306"/>
        <v>0</v>
      </c>
      <c r="FI41" s="51">
        <f t="shared" si="307"/>
        <v>0</v>
      </c>
      <c r="FJ41" s="48">
        <f t="shared" si="308"/>
        <v>0</v>
      </c>
      <c r="FK41" s="51">
        <f t="shared" si="309"/>
        <v>0</v>
      </c>
      <c r="FL41" s="53">
        <f t="shared" si="310"/>
        <v>0</v>
      </c>
      <c r="FM41" s="51">
        <f t="shared" si="311"/>
        <v>0</v>
      </c>
      <c r="FN41" s="53">
        <f t="shared" si="312"/>
        <v>0</v>
      </c>
      <c r="FO41" s="51">
        <f t="shared" si="313"/>
        <v>0</v>
      </c>
      <c r="FP41" s="53">
        <f t="shared" si="314"/>
        <v>0</v>
      </c>
      <c r="FQ41" s="51">
        <f t="shared" si="315"/>
        <v>0</v>
      </c>
      <c r="FR41" s="48">
        <f t="shared" si="316"/>
        <v>0</v>
      </c>
      <c r="FS41" s="51">
        <f t="shared" si="317"/>
        <v>0</v>
      </c>
      <c r="FT41" s="53">
        <f t="shared" si="318"/>
        <v>0</v>
      </c>
      <c r="FU41" s="51">
        <f t="shared" si="319"/>
        <v>0</v>
      </c>
      <c r="FV41" s="53">
        <f t="shared" si="320"/>
        <v>0</v>
      </c>
      <c r="FW41" s="51">
        <f t="shared" si="321"/>
        <v>0</v>
      </c>
      <c r="FX41" s="53">
        <f t="shared" si="322"/>
        <v>0</v>
      </c>
      <c r="FY41" s="51">
        <f t="shared" si="323"/>
        <v>0</v>
      </c>
      <c r="FZ41" s="53">
        <f t="shared" si="324"/>
        <v>0</v>
      </c>
      <c r="GA41" s="51">
        <f t="shared" si="325"/>
        <v>0</v>
      </c>
      <c r="GB41" s="48">
        <f t="shared" si="326"/>
        <v>0</v>
      </c>
      <c r="GC41" s="51">
        <f t="shared" si="327"/>
        <v>0</v>
      </c>
      <c r="GD41" s="53">
        <f t="shared" si="328"/>
        <v>0</v>
      </c>
      <c r="GE41" s="51">
        <f t="shared" si="329"/>
        <v>0</v>
      </c>
      <c r="GF41" s="53">
        <f t="shared" si="330"/>
        <v>0</v>
      </c>
      <c r="GG41" s="51">
        <f t="shared" si="331"/>
        <v>0</v>
      </c>
      <c r="GH41" s="48">
        <f t="shared" si="332"/>
        <v>0</v>
      </c>
      <c r="GI41" s="51">
        <f t="shared" si="333"/>
        <v>0</v>
      </c>
      <c r="GJ41" s="48"/>
      <c r="GK41" s="48"/>
      <c r="GL41" s="48">
        <v>1</v>
      </c>
      <c r="GM41" s="48">
        <v>0.97</v>
      </c>
      <c r="GN41" s="48">
        <v>0.95</v>
      </c>
      <c r="GO41" s="48">
        <v>0.93</v>
      </c>
      <c r="GP41" s="48">
        <f t="shared" ref="GP41:HG41" si="369">+GO41-0.02</f>
        <v>0.91</v>
      </c>
      <c r="GQ41" s="48">
        <f t="shared" si="369"/>
        <v>0.89</v>
      </c>
      <c r="GR41" s="48">
        <f t="shared" si="369"/>
        <v>0.87</v>
      </c>
      <c r="GS41" s="48">
        <f t="shared" si="369"/>
        <v>0.85</v>
      </c>
      <c r="GT41" s="48">
        <f t="shared" si="369"/>
        <v>0.83</v>
      </c>
      <c r="GU41" s="48">
        <f t="shared" si="369"/>
        <v>0.80999999999999994</v>
      </c>
      <c r="GV41" s="48">
        <f t="shared" si="369"/>
        <v>0.78999999999999992</v>
      </c>
      <c r="GW41" s="48">
        <f t="shared" si="369"/>
        <v>0.76999999999999991</v>
      </c>
      <c r="GX41" s="48">
        <f t="shared" si="369"/>
        <v>0.74999999999999989</v>
      </c>
      <c r="GY41" s="48">
        <f t="shared" si="369"/>
        <v>0.72999999999999987</v>
      </c>
      <c r="GZ41" s="48">
        <f t="shared" si="369"/>
        <v>0.70999999999999985</v>
      </c>
      <c r="HA41" s="48">
        <f t="shared" si="369"/>
        <v>0.68999999999999984</v>
      </c>
      <c r="HB41" s="48">
        <f t="shared" si="369"/>
        <v>0.66999999999999982</v>
      </c>
      <c r="HC41" s="48">
        <f t="shared" si="369"/>
        <v>0.6499999999999998</v>
      </c>
      <c r="HD41" s="48">
        <f t="shared" si="369"/>
        <v>0.62999999999999978</v>
      </c>
      <c r="HE41" s="48">
        <f t="shared" si="369"/>
        <v>0.60999999999999976</v>
      </c>
      <c r="HF41" s="48">
        <f t="shared" si="369"/>
        <v>0.58999999999999975</v>
      </c>
      <c r="HG41" s="48">
        <f t="shared" si="369"/>
        <v>0.56999999999999973</v>
      </c>
    </row>
    <row r="42" spans="1:250" x14ac:dyDescent="0.3">
      <c r="A42" s="2">
        <v>9</v>
      </c>
      <c r="C42" s="39" t="s">
        <v>14</v>
      </c>
      <c r="D42" s="44">
        <f>TRUNC(30157.0356375379,-1)</f>
        <v>30150</v>
      </c>
      <c r="E42" s="73">
        <f t="shared" si="203"/>
        <v>99660</v>
      </c>
      <c r="G42" s="48">
        <f t="shared" si="61"/>
        <v>33165</v>
      </c>
      <c r="H42" s="48">
        <f t="shared" si="62"/>
        <v>33165</v>
      </c>
      <c r="I42" s="51">
        <f t="shared" si="63"/>
        <v>109636.857</v>
      </c>
      <c r="J42" s="48">
        <f t="shared" si="204"/>
        <v>32170.05</v>
      </c>
      <c r="K42" s="51">
        <f t="shared" si="205"/>
        <v>106347.75129</v>
      </c>
      <c r="L42" s="48">
        <f t="shared" si="206"/>
        <v>31506.75</v>
      </c>
      <c r="M42" s="51">
        <f t="shared" si="207"/>
        <v>104155.01415</v>
      </c>
      <c r="N42" s="48">
        <f t="shared" si="208"/>
        <v>30843.45</v>
      </c>
      <c r="O42" s="51">
        <f t="shared" si="209"/>
        <v>101962.27701000001</v>
      </c>
      <c r="P42" s="52">
        <f t="shared" si="210"/>
        <v>30180.15</v>
      </c>
      <c r="Q42" s="51">
        <f t="shared" si="211"/>
        <v>99769.539870000008</v>
      </c>
      <c r="R42" s="48">
        <f t="shared" si="212"/>
        <v>29516.850000000002</v>
      </c>
      <c r="S42" s="51">
        <f t="shared" si="213"/>
        <v>97576.80273000001</v>
      </c>
      <c r="T42" s="52">
        <f t="shared" si="214"/>
        <v>28853.55</v>
      </c>
      <c r="U42" s="51">
        <f t="shared" si="215"/>
        <v>95384.065589999998</v>
      </c>
      <c r="V42" s="53">
        <f t="shared" si="216"/>
        <v>28190.25</v>
      </c>
      <c r="W42" s="51">
        <f t="shared" si="217"/>
        <v>93191.328450000001</v>
      </c>
      <c r="X42" s="52">
        <f t="shared" si="218"/>
        <v>27526.949999999997</v>
      </c>
      <c r="Y42" s="51">
        <f t="shared" si="219"/>
        <v>90998.591309999989</v>
      </c>
      <c r="Z42" s="48">
        <f t="shared" si="220"/>
        <v>26863.649999999998</v>
      </c>
      <c r="AA42" s="51">
        <f t="shared" si="221"/>
        <v>88805.854169999991</v>
      </c>
      <c r="AB42" s="53">
        <f t="shared" si="222"/>
        <v>26200.35</v>
      </c>
      <c r="AC42" s="51">
        <f t="shared" si="223"/>
        <v>86613.117029999994</v>
      </c>
      <c r="AD42" s="53">
        <f t="shared" si="224"/>
        <v>25537.049999999996</v>
      </c>
      <c r="AE42" s="51">
        <f t="shared" si="225"/>
        <v>84420.379889999982</v>
      </c>
      <c r="AF42" s="53">
        <f t="shared" si="226"/>
        <v>24873.749999999996</v>
      </c>
      <c r="AG42" s="51">
        <f t="shared" si="227"/>
        <v>82227.642749999985</v>
      </c>
      <c r="AH42" s="48">
        <f t="shared" si="228"/>
        <v>24210.449999999997</v>
      </c>
      <c r="AI42" s="51">
        <f t="shared" si="229"/>
        <v>80034.905609999987</v>
      </c>
      <c r="AJ42" s="53">
        <f t="shared" si="230"/>
        <v>23547.149999999994</v>
      </c>
      <c r="AK42" s="51">
        <f t="shared" si="231"/>
        <v>77842.16846999999</v>
      </c>
      <c r="AL42" s="53">
        <f t="shared" si="232"/>
        <v>22883.849999999995</v>
      </c>
      <c r="AM42" s="51">
        <f t="shared" si="233"/>
        <v>75649.431329999978</v>
      </c>
      <c r="AN42" s="53">
        <f t="shared" si="234"/>
        <v>22220.549999999996</v>
      </c>
      <c r="AO42" s="51">
        <f t="shared" si="235"/>
        <v>73456.69418999998</v>
      </c>
      <c r="AP42" s="53">
        <f t="shared" si="236"/>
        <v>21557.249999999993</v>
      </c>
      <c r="AQ42" s="51">
        <f t="shared" si="237"/>
        <v>71263.957049999983</v>
      </c>
      <c r="AR42" s="48">
        <f t="shared" si="238"/>
        <v>20893.949999999993</v>
      </c>
      <c r="AS42" s="51">
        <f t="shared" si="239"/>
        <v>69071.219909999985</v>
      </c>
      <c r="AT42" s="53">
        <f t="shared" si="240"/>
        <v>20230.649999999991</v>
      </c>
      <c r="AU42" s="51">
        <f t="shared" si="241"/>
        <v>66878.482769999973</v>
      </c>
      <c r="AV42" s="53">
        <f t="shared" si="242"/>
        <v>19567.349999999991</v>
      </c>
      <c r="AW42" s="51">
        <f t="shared" si="243"/>
        <v>64685.745629999976</v>
      </c>
      <c r="AX42" s="48">
        <f t="shared" si="244"/>
        <v>18904.049999999992</v>
      </c>
      <c r="AY42" s="51">
        <f t="shared" si="245"/>
        <v>62493.008489999978</v>
      </c>
      <c r="BB42" s="48">
        <v>1</v>
      </c>
      <c r="BC42" s="48">
        <v>0.97</v>
      </c>
      <c r="BD42" s="48">
        <v>0.95</v>
      </c>
      <c r="BE42" s="48">
        <v>0.93</v>
      </c>
      <c r="BF42" s="48">
        <f t="shared" ref="BF42:BW42" si="370">+BE42-0.02</f>
        <v>0.91</v>
      </c>
      <c r="BG42" s="48">
        <f t="shared" si="370"/>
        <v>0.89</v>
      </c>
      <c r="BH42" s="48">
        <f t="shared" si="370"/>
        <v>0.87</v>
      </c>
      <c r="BI42" s="48">
        <f t="shared" si="370"/>
        <v>0.85</v>
      </c>
      <c r="BJ42" s="48">
        <f t="shared" si="370"/>
        <v>0.83</v>
      </c>
      <c r="BK42" s="48">
        <f t="shared" si="370"/>
        <v>0.80999999999999994</v>
      </c>
      <c r="BL42" s="48">
        <f t="shared" si="370"/>
        <v>0.78999999999999992</v>
      </c>
      <c r="BM42" s="48">
        <f t="shared" si="370"/>
        <v>0.76999999999999991</v>
      </c>
      <c r="BN42" s="48">
        <f t="shared" si="370"/>
        <v>0.74999999999999989</v>
      </c>
      <c r="BO42" s="48">
        <f t="shared" si="370"/>
        <v>0.72999999999999987</v>
      </c>
      <c r="BP42" s="48">
        <f t="shared" si="370"/>
        <v>0.70999999999999985</v>
      </c>
      <c r="BQ42" s="48">
        <f t="shared" si="370"/>
        <v>0.68999999999999984</v>
      </c>
      <c r="BR42" s="48">
        <f t="shared" si="370"/>
        <v>0.66999999999999982</v>
      </c>
      <c r="BS42" s="48">
        <f t="shared" si="370"/>
        <v>0.6499999999999998</v>
      </c>
      <c r="BT42" s="48">
        <f t="shared" si="370"/>
        <v>0.62999999999999978</v>
      </c>
      <c r="BU42" s="48">
        <f t="shared" si="370"/>
        <v>0.60999999999999976</v>
      </c>
      <c r="BV42" s="48">
        <f t="shared" si="370"/>
        <v>0.58999999999999975</v>
      </c>
      <c r="BW42" s="48">
        <f t="shared" si="370"/>
        <v>0.56999999999999973</v>
      </c>
      <c r="BY42" s="48">
        <f t="shared" si="88"/>
        <v>30180.15</v>
      </c>
      <c r="BZ42" s="48">
        <f t="shared" si="89"/>
        <v>30180.15</v>
      </c>
      <c r="CA42" s="51">
        <f t="shared" ref="CA42" si="371">+BZ42*3.3058</f>
        <v>99769.539870000008</v>
      </c>
      <c r="CB42" s="48">
        <f t="shared" si="248"/>
        <v>29274.745500000001</v>
      </c>
      <c r="CC42" s="51">
        <f t="shared" si="249"/>
        <v>96776.453673900003</v>
      </c>
      <c r="CD42" s="48">
        <f t="shared" si="250"/>
        <v>28671.142500000002</v>
      </c>
      <c r="CE42" s="51">
        <f t="shared" si="251"/>
        <v>94781.062876500015</v>
      </c>
      <c r="CF42" s="48">
        <f t="shared" si="252"/>
        <v>28067.539500000003</v>
      </c>
      <c r="CG42" s="51">
        <f t="shared" si="253"/>
        <v>92785.672079100012</v>
      </c>
      <c r="CH42" s="52">
        <f t="shared" si="254"/>
        <v>27463.936500000003</v>
      </c>
      <c r="CI42" s="51">
        <f t="shared" si="255"/>
        <v>90790.281281700009</v>
      </c>
      <c r="CJ42" s="48">
        <f t="shared" si="256"/>
        <v>26860.333500000001</v>
      </c>
      <c r="CK42" s="51">
        <f t="shared" si="257"/>
        <v>88794.890484300005</v>
      </c>
      <c r="CL42" s="52">
        <f t="shared" si="258"/>
        <v>26256.730500000001</v>
      </c>
      <c r="CM42" s="51">
        <f t="shared" si="259"/>
        <v>86799.499686900002</v>
      </c>
      <c r="CN42" s="53">
        <f t="shared" si="260"/>
        <v>25653.127500000002</v>
      </c>
      <c r="CO42" s="51">
        <f t="shared" si="261"/>
        <v>84804.108889500014</v>
      </c>
      <c r="CP42" s="52">
        <f t="shared" si="262"/>
        <v>25049.5245</v>
      </c>
      <c r="CQ42" s="51">
        <f t="shared" si="263"/>
        <v>82808.718092099996</v>
      </c>
      <c r="CR42" s="48">
        <f t="shared" si="264"/>
        <v>24445.9215</v>
      </c>
      <c r="CS42" s="51">
        <f t="shared" si="265"/>
        <v>80813.327294700008</v>
      </c>
      <c r="CT42" s="53">
        <f t="shared" si="266"/>
        <v>23842.318499999998</v>
      </c>
      <c r="CU42" s="51">
        <f t="shared" si="267"/>
        <v>78817.93649729999</v>
      </c>
      <c r="CV42" s="53">
        <f t="shared" si="268"/>
        <v>23238.715499999998</v>
      </c>
      <c r="CW42" s="51">
        <f t="shared" si="269"/>
        <v>76822.545699900002</v>
      </c>
      <c r="CX42" s="53">
        <f t="shared" si="270"/>
        <v>22635.112499999999</v>
      </c>
      <c r="CY42" s="51">
        <f t="shared" si="271"/>
        <v>74827.154902499999</v>
      </c>
      <c r="CZ42" s="48">
        <f t="shared" si="272"/>
        <v>22031.509499999996</v>
      </c>
      <c r="DA42" s="51">
        <f t="shared" si="273"/>
        <v>72831.764105099996</v>
      </c>
      <c r="DB42" s="53">
        <f t="shared" si="274"/>
        <v>21427.906499999997</v>
      </c>
      <c r="DC42" s="51">
        <f t="shared" si="275"/>
        <v>70836.373307699992</v>
      </c>
      <c r="DD42" s="53">
        <f t="shared" si="276"/>
        <v>20824.303499999995</v>
      </c>
      <c r="DE42" s="51">
        <f t="shared" si="277"/>
        <v>68840.982510299989</v>
      </c>
      <c r="DF42" s="53">
        <f t="shared" si="278"/>
        <v>20220.700499999995</v>
      </c>
      <c r="DG42" s="51">
        <f t="shared" si="279"/>
        <v>66845.591712899986</v>
      </c>
      <c r="DH42" s="53">
        <f t="shared" si="280"/>
        <v>19617.097499999996</v>
      </c>
      <c r="DI42" s="51">
        <f t="shared" si="281"/>
        <v>64850.200915499991</v>
      </c>
      <c r="DJ42" s="48">
        <f t="shared" si="282"/>
        <v>19013.494499999993</v>
      </c>
      <c r="DK42" s="51">
        <f t="shared" si="283"/>
        <v>62854.81011809998</v>
      </c>
      <c r="DL42" s="53">
        <f t="shared" si="284"/>
        <v>18409.891499999994</v>
      </c>
      <c r="DM42" s="51">
        <f t="shared" si="285"/>
        <v>60859.419320699984</v>
      </c>
      <c r="DN42" s="53">
        <f t="shared" si="286"/>
        <v>17806.288499999991</v>
      </c>
      <c r="DO42" s="51">
        <f t="shared" si="287"/>
        <v>58864.028523299974</v>
      </c>
      <c r="DP42" s="48">
        <f t="shared" si="288"/>
        <v>17202.685499999992</v>
      </c>
      <c r="DQ42" s="51">
        <f t="shared" si="289"/>
        <v>56868.637725899978</v>
      </c>
      <c r="DT42" s="48">
        <v>1</v>
      </c>
      <c r="DU42" s="48">
        <v>0.97</v>
      </c>
      <c r="DV42" s="48">
        <v>0.95</v>
      </c>
      <c r="DW42" s="48">
        <v>0.93</v>
      </c>
      <c r="DX42" s="48">
        <f t="shared" ref="DX42:EO42" si="372">+DW42-0.02</f>
        <v>0.91</v>
      </c>
      <c r="DY42" s="48">
        <f t="shared" si="372"/>
        <v>0.89</v>
      </c>
      <c r="DZ42" s="48">
        <f t="shared" si="372"/>
        <v>0.87</v>
      </c>
      <c r="EA42" s="48">
        <f t="shared" si="372"/>
        <v>0.85</v>
      </c>
      <c r="EB42" s="48">
        <f t="shared" si="372"/>
        <v>0.83</v>
      </c>
      <c r="EC42" s="48">
        <f t="shared" si="372"/>
        <v>0.80999999999999994</v>
      </c>
      <c r="ED42" s="48">
        <f t="shared" si="372"/>
        <v>0.78999999999999992</v>
      </c>
      <c r="EE42" s="48">
        <f t="shared" si="372"/>
        <v>0.76999999999999991</v>
      </c>
      <c r="EF42" s="48">
        <f t="shared" si="372"/>
        <v>0.74999999999999989</v>
      </c>
      <c r="EG42" s="48">
        <f t="shared" si="372"/>
        <v>0.72999999999999987</v>
      </c>
      <c r="EH42" s="48">
        <f t="shared" si="372"/>
        <v>0.70999999999999985</v>
      </c>
      <c r="EI42" s="48">
        <f t="shared" si="372"/>
        <v>0.68999999999999984</v>
      </c>
      <c r="EJ42" s="48">
        <f t="shared" si="372"/>
        <v>0.66999999999999982</v>
      </c>
      <c r="EK42" s="48">
        <f t="shared" si="372"/>
        <v>0.6499999999999998</v>
      </c>
      <c r="EL42" s="48">
        <f t="shared" si="372"/>
        <v>0.62999999999999978</v>
      </c>
      <c r="EM42" s="48">
        <f t="shared" si="372"/>
        <v>0.60999999999999976</v>
      </c>
      <c r="EN42" s="48">
        <f t="shared" si="372"/>
        <v>0.58999999999999975</v>
      </c>
      <c r="EO42" s="48">
        <f t="shared" si="372"/>
        <v>0.56999999999999973</v>
      </c>
      <c r="EQ42" s="48">
        <f t="shared" si="188"/>
        <v>27463.936500000003</v>
      </c>
      <c r="ER42" s="48">
        <f t="shared" si="116"/>
        <v>27463.936500000003</v>
      </c>
      <c r="ES42" s="51">
        <f t="shared" ref="ES42" si="373">+ER42*3.3058</f>
        <v>90790.281281700009</v>
      </c>
      <c r="ET42" s="48">
        <f t="shared" si="292"/>
        <v>26640.018405000003</v>
      </c>
      <c r="EU42" s="51">
        <f t="shared" si="293"/>
        <v>88066.572843249014</v>
      </c>
      <c r="EV42" s="48">
        <f t="shared" si="294"/>
        <v>26090.739675000001</v>
      </c>
      <c r="EW42" s="51">
        <f t="shared" si="295"/>
        <v>86250.767217615008</v>
      </c>
      <c r="EX42" s="48">
        <f t="shared" si="296"/>
        <v>25541.460945000006</v>
      </c>
      <c r="EY42" s="51">
        <f t="shared" si="297"/>
        <v>84434.961591981017</v>
      </c>
      <c r="EZ42" s="52">
        <f t="shared" si="298"/>
        <v>24992.182215000004</v>
      </c>
      <c r="FA42" s="51">
        <f t="shared" si="299"/>
        <v>82619.155966347011</v>
      </c>
      <c r="FB42" s="48">
        <f t="shared" si="300"/>
        <v>24442.903485000003</v>
      </c>
      <c r="FC42" s="51">
        <f t="shared" si="301"/>
        <v>80803.350340713005</v>
      </c>
      <c r="FD42" s="52">
        <f t="shared" si="302"/>
        <v>23893.624755000004</v>
      </c>
      <c r="FE42" s="51">
        <f t="shared" si="303"/>
        <v>78987.544715079013</v>
      </c>
      <c r="FF42" s="53">
        <f t="shared" si="304"/>
        <v>23344.346025000003</v>
      </c>
      <c r="FG42" s="51">
        <f t="shared" si="305"/>
        <v>77171.739089445007</v>
      </c>
      <c r="FH42" s="52">
        <f t="shared" si="306"/>
        <v>22795.067295000001</v>
      </c>
      <c r="FI42" s="51">
        <f t="shared" si="307"/>
        <v>75355.933463811001</v>
      </c>
      <c r="FJ42" s="48">
        <f t="shared" si="308"/>
        <v>22245.788565000003</v>
      </c>
      <c r="FK42" s="51">
        <f t="shared" si="309"/>
        <v>73540.12783817701</v>
      </c>
      <c r="FL42" s="53">
        <f t="shared" si="310"/>
        <v>21696.509835000001</v>
      </c>
      <c r="FM42" s="51">
        <f t="shared" si="311"/>
        <v>71724.322212543004</v>
      </c>
      <c r="FN42" s="53">
        <f t="shared" si="312"/>
        <v>21147.231104999999</v>
      </c>
      <c r="FO42" s="51">
        <f t="shared" si="313"/>
        <v>69908.516586908998</v>
      </c>
      <c r="FP42" s="53">
        <f t="shared" si="314"/>
        <v>20597.952375000001</v>
      </c>
      <c r="FQ42" s="51">
        <f t="shared" si="315"/>
        <v>68092.710961275006</v>
      </c>
      <c r="FR42" s="48">
        <f t="shared" si="316"/>
        <v>20048.673644999999</v>
      </c>
      <c r="FS42" s="51">
        <f t="shared" si="317"/>
        <v>66276.905335641</v>
      </c>
      <c r="FT42" s="53">
        <f t="shared" si="318"/>
        <v>19499.394914999997</v>
      </c>
      <c r="FU42" s="51">
        <f t="shared" si="319"/>
        <v>64461.099710006994</v>
      </c>
      <c r="FV42" s="53">
        <f t="shared" si="320"/>
        <v>18950.116184999999</v>
      </c>
      <c r="FW42" s="51">
        <f t="shared" si="321"/>
        <v>62645.294084372996</v>
      </c>
      <c r="FX42" s="53">
        <f t="shared" si="322"/>
        <v>18400.837454999997</v>
      </c>
      <c r="FY42" s="51">
        <f t="shared" si="323"/>
        <v>60829.48845873899</v>
      </c>
      <c r="FZ42" s="53">
        <f t="shared" si="324"/>
        <v>17851.558724999995</v>
      </c>
      <c r="GA42" s="51">
        <f t="shared" si="325"/>
        <v>59013.682833104984</v>
      </c>
      <c r="GB42" s="48">
        <f t="shared" si="326"/>
        <v>17302.279994999997</v>
      </c>
      <c r="GC42" s="51">
        <f t="shared" si="327"/>
        <v>57197.877207470992</v>
      </c>
      <c r="GD42" s="53">
        <f t="shared" si="328"/>
        <v>16753.001264999995</v>
      </c>
      <c r="GE42" s="51">
        <f t="shared" si="329"/>
        <v>55382.071581836986</v>
      </c>
      <c r="GF42" s="53">
        <f t="shared" si="330"/>
        <v>16203.722534999995</v>
      </c>
      <c r="GG42" s="51">
        <f t="shared" si="331"/>
        <v>53566.265956202988</v>
      </c>
      <c r="GH42" s="48">
        <f t="shared" si="332"/>
        <v>15654.443804999995</v>
      </c>
      <c r="GI42" s="51">
        <f t="shared" si="333"/>
        <v>51750.460330568989</v>
      </c>
      <c r="GJ42" s="48"/>
      <c r="GK42" s="48"/>
      <c r="GL42" s="48">
        <v>1</v>
      </c>
      <c r="GM42" s="48">
        <v>0.97</v>
      </c>
      <c r="GN42" s="48">
        <v>0.95</v>
      </c>
      <c r="GO42" s="48">
        <v>0.93</v>
      </c>
      <c r="GP42" s="48">
        <f t="shared" ref="GP42:HG42" si="374">+GO42-0.02</f>
        <v>0.91</v>
      </c>
      <c r="GQ42" s="48">
        <f t="shared" si="374"/>
        <v>0.89</v>
      </c>
      <c r="GR42" s="48">
        <f t="shared" si="374"/>
        <v>0.87</v>
      </c>
      <c r="GS42" s="48">
        <f t="shared" si="374"/>
        <v>0.85</v>
      </c>
      <c r="GT42" s="48">
        <f t="shared" si="374"/>
        <v>0.83</v>
      </c>
      <c r="GU42" s="48">
        <f t="shared" si="374"/>
        <v>0.80999999999999994</v>
      </c>
      <c r="GV42" s="48">
        <f t="shared" si="374"/>
        <v>0.78999999999999992</v>
      </c>
      <c r="GW42" s="48">
        <f t="shared" si="374"/>
        <v>0.76999999999999991</v>
      </c>
      <c r="GX42" s="48">
        <f t="shared" si="374"/>
        <v>0.74999999999999989</v>
      </c>
      <c r="GY42" s="48">
        <f t="shared" si="374"/>
        <v>0.72999999999999987</v>
      </c>
      <c r="GZ42" s="48">
        <f t="shared" si="374"/>
        <v>0.70999999999999985</v>
      </c>
      <c r="HA42" s="48">
        <f t="shared" si="374"/>
        <v>0.68999999999999984</v>
      </c>
      <c r="HB42" s="48">
        <f t="shared" si="374"/>
        <v>0.66999999999999982</v>
      </c>
      <c r="HC42" s="48">
        <f t="shared" si="374"/>
        <v>0.6499999999999998</v>
      </c>
      <c r="HD42" s="48">
        <f t="shared" si="374"/>
        <v>0.62999999999999978</v>
      </c>
      <c r="HE42" s="48">
        <f t="shared" si="374"/>
        <v>0.60999999999999976</v>
      </c>
      <c r="HF42" s="48">
        <f t="shared" si="374"/>
        <v>0.58999999999999975</v>
      </c>
      <c r="HG42" s="48">
        <f t="shared" si="374"/>
        <v>0.56999999999999973</v>
      </c>
    </row>
    <row r="43" spans="1:250" x14ac:dyDescent="0.3">
      <c r="A43" s="2">
        <v>10</v>
      </c>
      <c r="C43" s="39" t="s">
        <v>15</v>
      </c>
      <c r="D43" s="44">
        <f>TRUNC(9508.15516500366,-1)</f>
        <v>9500</v>
      </c>
      <c r="E43" s="73">
        <f t="shared" si="203"/>
        <v>31400</v>
      </c>
      <c r="G43" s="48">
        <f t="shared" si="61"/>
        <v>10450</v>
      </c>
      <c r="H43" s="48">
        <f t="shared" si="62"/>
        <v>10450</v>
      </c>
      <c r="I43" s="51">
        <f t="shared" si="63"/>
        <v>34545.61</v>
      </c>
      <c r="J43" s="48">
        <f t="shared" si="204"/>
        <v>10136.5</v>
      </c>
      <c r="K43" s="51">
        <f t="shared" si="205"/>
        <v>33509.241699999999</v>
      </c>
      <c r="L43" s="48">
        <f t="shared" si="206"/>
        <v>9927.5</v>
      </c>
      <c r="M43" s="51">
        <f t="shared" si="207"/>
        <v>32818.3295</v>
      </c>
      <c r="N43" s="48">
        <f t="shared" si="208"/>
        <v>9718.5</v>
      </c>
      <c r="O43" s="51">
        <f t="shared" si="209"/>
        <v>32127.417300000001</v>
      </c>
      <c r="P43" s="52">
        <f t="shared" si="210"/>
        <v>9509.5</v>
      </c>
      <c r="Q43" s="51">
        <f t="shared" si="211"/>
        <v>31436.505100000002</v>
      </c>
      <c r="R43" s="48">
        <f t="shared" si="212"/>
        <v>9300.5</v>
      </c>
      <c r="S43" s="51">
        <f t="shared" si="213"/>
        <v>30745.5929</v>
      </c>
      <c r="T43" s="52">
        <f t="shared" si="214"/>
        <v>9091.5</v>
      </c>
      <c r="U43" s="51">
        <f t="shared" si="215"/>
        <v>30054.680700000001</v>
      </c>
      <c r="V43" s="53">
        <f t="shared" si="216"/>
        <v>8882.5</v>
      </c>
      <c r="W43" s="51">
        <f t="shared" si="217"/>
        <v>29363.768500000002</v>
      </c>
      <c r="X43" s="52">
        <f t="shared" si="218"/>
        <v>8673.5</v>
      </c>
      <c r="Y43" s="51">
        <f t="shared" si="219"/>
        <v>28672.856299999999</v>
      </c>
      <c r="Z43" s="48">
        <f t="shared" si="220"/>
        <v>8464.5</v>
      </c>
      <c r="AA43" s="51">
        <f t="shared" si="221"/>
        <v>27981.944100000001</v>
      </c>
      <c r="AB43" s="53">
        <f t="shared" si="222"/>
        <v>8255.5</v>
      </c>
      <c r="AC43" s="51">
        <f t="shared" si="223"/>
        <v>27291.031900000002</v>
      </c>
      <c r="AD43" s="53">
        <f t="shared" si="224"/>
        <v>8046.4999999999991</v>
      </c>
      <c r="AE43" s="51">
        <f t="shared" si="225"/>
        <v>26600.119699999999</v>
      </c>
      <c r="AF43" s="53">
        <f t="shared" si="226"/>
        <v>7837.4999999999991</v>
      </c>
      <c r="AG43" s="51">
        <f t="shared" si="227"/>
        <v>25909.207499999997</v>
      </c>
      <c r="AH43" s="48">
        <f t="shared" si="228"/>
        <v>7628.4999999999991</v>
      </c>
      <c r="AI43" s="51">
        <f t="shared" si="229"/>
        <v>25218.295299999998</v>
      </c>
      <c r="AJ43" s="53">
        <f t="shared" si="230"/>
        <v>7419.4999999999982</v>
      </c>
      <c r="AK43" s="51">
        <f t="shared" si="231"/>
        <v>24527.383099999995</v>
      </c>
      <c r="AL43" s="53">
        <f t="shared" si="232"/>
        <v>7210.4999999999982</v>
      </c>
      <c r="AM43" s="51">
        <f t="shared" si="233"/>
        <v>23836.470899999993</v>
      </c>
      <c r="AN43" s="53">
        <f t="shared" si="234"/>
        <v>7001.4999999999982</v>
      </c>
      <c r="AO43" s="51">
        <f t="shared" si="235"/>
        <v>23145.558699999994</v>
      </c>
      <c r="AP43" s="53">
        <f t="shared" si="236"/>
        <v>6792.4999999999982</v>
      </c>
      <c r="AQ43" s="51">
        <f t="shared" si="237"/>
        <v>22454.646499999995</v>
      </c>
      <c r="AR43" s="48">
        <f t="shared" si="238"/>
        <v>6583.4999999999982</v>
      </c>
      <c r="AS43" s="51">
        <f t="shared" si="239"/>
        <v>21763.734299999993</v>
      </c>
      <c r="AT43" s="53">
        <f t="shared" si="240"/>
        <v>6374.4999999999973</v>
      </c>
      <c r="AU43" s="51">
        <f t="shared" si="241"/>
        <v>21072.82209999999</v>
      </c>
      <c r="AV43" s="53">
        <f t="shared" si="242"/>
        <v>6165.4999999999973</v>
      </c>
      <c r="AW43" s="51">
        <f t="shared" si="243"/>
        <v>20381.909899999991</v>
      </c>
      <c r="AX43" s="48">
        <f t="shared" si="244"/>
        <v>5956.4999999999973</v>
      </c>
      <c r="AY43" s="51">
        <f t="shared" si="245"/>
        <v>19690.997699999993</v>
      </c>
      <c r="BB43" s="48">
        <v>1</v>
      </c>
      <c r="BC43" s="48">
        <v>0.97</v>
      </c>
      <c r="BD43" s="48">
        <v>0.95</v>
      </c>
      <c r="BE43" s="48">
        <v>0.93</v>
      </c>
      <c r="BF43" s="48">
        <f t="shared" ref="BF43:BW43" si="375">+BE43-0.02</f>
        <v>0.91</v>
      </c>
      <c r="BG43" s="48">
        <f t="shared" si="375"/>
        <v>0.89</v>
      </c>
      <c r="BH43" s="48">
        <f t="shared" si="375"/>
        <v>0.87</v>
      </c>
      <c r="BI43" s="48">
        <f t="shared" si="375"/>
        <v>0.85</v>
      </c>
      <c r="BJ43" s="48">
        <f t="shared" si="375"/>
        <v>0.83</v>
      </c>
      <c r="BK43" s="48">
        <f t="shared" si="375"/>
        <v>0.80999999999999994</v>
      </c>
      <c r="BL43" s="48">
        <f t="shared" si="375"/>
        <v>0.78999999999999992</v>
      </c>
      <c r="BM43" s="48">
        <f t="shared" si="375"/>
        <v>0.76999999999999991</v>
      </c>
      <c r="BN43" s="48">
        <f t="shared" si="375"/>
        <v>0.74999999999999989</v>
      </c>
      <c r="BO43" s="48">
        <f t="shared" si="375"/>
        <v>0.72999999999999987</v>
      </c>
      <c r="BP43" s="48">
        <f t="shared" si="375"/>
        <v>0.70999999999999985</v>
      </c>
      <c r="BQ43" s="48">
        <f t="shared" si="375"/>
        <v>0.68999999999999984</v>
      </c>
      <c r="BR43" s="48">
        <f t="shared" si="375"/>
        <v>0.66999999999999982</v>
      </c>
      <c r="BS43" s="48">
        <f t="shared" si="375"/>
        <v>0.6499999999999998</v>
      </c>
      <c r="BT43" s="48">
        <f t="shared" si="375"/>
        <v>0.62999999999999978</v>
      </c>
      <c r="BU43" s="48">
        <f t="shared" si="375"/>
        <v>0.60999999999999976</v>
      </c>
      <c r="BV43" s="48">
        <f t="shared" si="375"/>
        <v>0.58999999999999975</v>
      </c>
      <c r="BW43" s="48">
        <f t="shared" si="375"/>
        <v>0.56999999999999973</v>
      </c>
      <c r="BY43" s="48">
        <f t="shared" si="88"/>
        <v>9509.5</v>
      </c>
      <c r="BZ43" s="48">
        <f t="shared" si="89"/>
        <v>9509.5</v>
      </c>
      <c r="CA43" s="51">
        <f t="shared" ref="CA43" si="376">+BZ43*3.3058</f>
        <v>31436.505100000002</v>
      </c>
      <c r="CB43" s="48">
        <f t="shared" si="248"/>
        <v>9224.2150000000001</v>
      </c>
      <c r="CC43" s="51">
        <f t="shared" si="249"/>
        <v>30493.409947</v>
      </c>
      <c r="CD43" s="48">
        <f t="shared" si="250"/>
        <v>9034.0249999999996</v>
      </c>
      <c r="CE43" s="51">
        <f t="shared" si="251"/>
        <v>29864.679844999999</v>
      </c>
      <c r="CF43" s="48">
        <f t="shared" si="252"/>
        <v>8843.8350000000009</v>
      </c>
      <c r="CG43" s="51">
        <f t="shared" si="253"/>
        <v>29235.949743000005</v>
      </c>
      <c r="CH43" s="52">
        <f t="shared" si="254"/>
        <v>8653.6450000000004</v>
      </c>
      <c r="CI43" s="51">
        <f t="shared" si="255"/>
        <v>28607.219641000003</v>
      </c>
      <c r="CJ43" s="48">
        <f t="shared" si="256"/>
        <v>8463.4549999999999</v>
      </c>
      <c r="CK43" s="51">
        <f t="shared" si="257"/>
        <v>27978.489539000002</v>
      </c>
      <c r="CL43" s="52">
        <f t="shared" si="258"/>
        <v>8273.2649999999994</v>
      </c>
      <c r="CM43" s="51">
        <f t="shared" si="259"/>
        <v>27349.759436999997</v>
      </c>
      <c r="CN43" s="53">
        <f t="shared" si="260"/>
        <v>8083.0749999999998</v>
      </c>
      <c r="CO43" s="51">
        <f t="shared" si="261"/>
        <v>26721.029334999999</v>
      </c>
      <c r="CP43" s="52">
        <f t="shared" si="262"/>
        <v>7892.8849999999993</v>
      </c>
      <c r="CQ43" s="51">
        <f t="shared" si="263"/>
        <v>26092.299232999998</v>
      </c>
      <c r="CR43" s="48">
        <f t="shared" si="264"/>
        <v>7702.6949999999997</v>
      </c>
      <c r="CS43" s="51">
        <f t="shared" si="265"/>
        <v>25463.569131</v>
      </c>
      <c r="CT43" s="53">
        <f t="shared" si="266"/>
        <v>7512.5049999999992</v>
      </c>
      <c r="CU43" s="51">
        <f t="shared" si="267"/>
        <v>24834.839028999999</v>
      </c>
      <c r="CV43" s="53">
        <f t="shared" si="268"/>
        <v>7322.3149999999987</v>
      </c>
      <c r="CW43" s="51">
        <f t="shared" si="269"/>
        <v>24206.108926999997</v>
      </c>
      <c r="CX43" s="53">
        <f t="shared" si="270"/>
        <v>7132.1249999999991</v>
      </c>
      <c r="CY43" s="51">
        <f t="shared" si="271"/>
        <v>23577.378824999996</v>
      </c>
      <c r="CZ43" s="48">
        <f t="shared" si="272"/>
        <v>6941.9349999999986</v>
      </c>
      <c r="DA43" s="51">
        <f t="shared" si="273"/>
        <v>22948.648722999995</v>
      </c>
      <c r="DB43" s="53">
        <f t="shared" si="274"/>
        <v>6751.744999999999</v>
      </c>
      <c r="DC43" s="51">
        <f t="shared" si="275"/>
        <v>22319.918620999997</v>
      </c>
      <c r="DD43" s="53">
        <f t="shared" si="276"/>
        <v>6561.5549999999985</v>
      </c>
      <c r="DE43" s="51">
        <f t="shared" si="277"/>
        <v>21691.188518999996</v>
      </c>
      <c r="DF43" s="53">
        <f t="shared" si="278"/>
        <v>6371.364999999998</v>
      </c>
      <c r="DG43" s="51">
        <f t="shared" si="279"/>
        <v>21062.458416999994</v>
      </c>
      <c r="DH43" s="53">
        <f t="shared" si="280"/>
        <v>6181.1749999999984</v>
      </c>
      <c r="DI43" s="51">
        <f t="shared" si="281"/>
        <v>20433.728314999997</v>
      </c>
      <c r="DJ43" s="48">
        <f t="shared" si="282"/>
        <v>5990.9849999999979</v>
      </c>
      <c r="DK43" s="51">
        <f t="shared" si="283"/>
        <v>19804.998212999992</v>
      </c>
      <c r="DL43" s="53">
        <f t="shared" si="284"/>
        <v>5800.7949999999973</v>
      </c>
      <c r="DM43" s="51">
        <f t="shared" si="285"/>
        <v>19176.26811099999</v>
      </c>
      <c r="DN43" s="53">
        <f t="shared" si="286"/>
        <v>5610.6049999999977</v>
      </c>
      <c r="DO43" s="51">
        <f t="shared" si="287"/>
        <v>18547.538008999993</v>
      </c>
      <c r="DP43" s="48">
        <f t="shared" si="288"/>
        <v>5420.4149999999972</v>
      </c>
      <c r="DQ43" s="51">
        <f t="shared" si="289"/>
        <v>17918.807906999991</v>
      </c>
      <c r="DT43" s="48">
        <v>1</v>
      </c>
      <c r="DU43" s="48">
        <v>0.97</v>
      </c>
      <c r="DV43" s="48">
        <v>0.95</v>
      </c>
      <c r="DW43" s="48">
        <v>0.93</v>
      </c>
      <c r="DX43" s="48">
        <f t="shared" ref="DX43:EO43" si="377">+DW43-0.02</f>
        <v>0.91</v>
      </c>
      <c r="DY43" s="48">
        <f t="shared" si="377"/>
        <v>0.89</v>
      </c>
      <c r="DZ43" s="48">
        <f t="shared" si="377"/>
        <v>0.87</v>
      </c>
      <c r="EA43" s="48">
        <f t="shared" si="377"/>
        <v>0.85</v>
      </c>
      <c r="EB43" s="48">
        <f t="shared" si="377"/>
        <v>0.83</v>
      </c>
      <c r="EC43" s="48">
        <f t="shared" si="377"/>
        <v>0.80999999999999994</v>
      </c>
      <c r="ED43" s="48">
        <f t="shared" si="377"/>
        <v>0.78999999999999992</v>
      </c>
      <c r="EE43" s="48">
        <f t="shared" si="377"/>
        <v>0.76999999999999991</v>
      </c>
      <c r="EF43" s="48">
        <f t="shared" si="377"/>
        <v>0.74999999999999989</v>
      </c>
      <c r="EG43" s="48">
        <f t="shared" si="377"/>
        <v>0.72999999999999987</v>
      </c>
      <c r="EH43" s="48">
        <f t="shared" si="377"/>
        <v>0.70999999999999985</v>
      </c>
      <c r="EI43" s="48">
        <f t="shared" si="377"/>
        <v>0.68999999999999984</v>
      </c>
      <c r="EJ43" s="48">
        <f t="shared" si="377"/>
        <v>0.66999999999999982</v>
      </c>
      <c r="EK43" s="48">
        <f t="shared" si="377"/>
        <v>0.6499999999999998</v>
      </c>
      <c r="EL43" s="48">
        <f t="shared" si="377"/>
        <v>0.62999999999999978</v>
      </c>
      <c r="EM43" s="48">
        <f t="shared" si="377"/>
        <v>0.60999999999999976</v>
      </c>
      <c r="EN43" s="48">
        <f t="shared" si="377"/>
        <v>0.58999999999999975</v>
      </c>
      <c r="EO43" s="48">
        <f t="shared" si="377"/>
        <v>0.56999999999999973</v>
      </c>
      <c r="EQ43" s="48">
        <f t="shared" si="188"/>
        <v>8653.6450000000004</v>
      </c>
      <c r="ER43" s="48">
        <f t="shared" si="116"/>
        <v>8653.6450000000004</v>
      </c>
      <c r="ES43" s="51">
        <f t="shared" ref="ES43" si="378">+ER43*3.3058</f>
        <v>28607.219641000003</v>
      </c>
      <c r="ET43" s="48">
        <f t="shared" si="292"/>
        <v>8394.0356499999998</v>
      </c>
      <c r="EU43" s="51">
        <f t="shared" si="293"/>
        <v>27749.00305177</v>
      </c>
      <c r="EV43" s="48">
        <f t="shared" si="294"/>
        <v>8220.9627500000006</v>
      </c>
      <c r="EW43" s="51">
        <f t="shared" si="295"/>
        <v>27176.858658950001</v>
      </c>
      <c r="EX43" s="48">
        <f t="shared" si="296"/>
        <v>8047.8898500000005</v>
      </c>
      <c r="EY43" s="51">
        <f t="shared" si="297"/>
        <v>26604.714266130002</v>
      </c>
      <c r="EZ43" s="52">
        <f t="shared" si="298"/>
        <v>7874.8169500000004</v>
      </c>
      <c r="FA43" s="51">
        <f t="shared" si="299"/>
        <v>26032.569873310003</v>
      </c>
      <c r="FB43" s="48">
        <f t="shared" si="300"/>
        <v>7701.7440500000002</v>
      </c>
      <c r="FC43" s="51">
        <f t="shared" si="301"/>
        <v>25460.425480490001</v>
      </c>
      <c r="FD43" s="52">
        <f t="shared" si="302"/>
        <v>7528.6711500000001</v>
      </c>
      <c r="FE43" s="51">
        <f t="shared" si="303"/>
        <v>24888.281087670002</v>
      </c>
      <c r="FF43" s="53">
        <f t="shared" si="304"/>
        <v>7355.59825</v>
      </c>
      <c r="FG43" s="51">
        <f t="shared" si="305"/>
        <v>24316.13669485</v>
      </c>
      <c r="FH43" s="52">
        <f t="shared" si="306"/>
        <v>7182.5253499999999</v>
      </c>
      <c r="FI43" s="51">
        <f t="shared" si="307"/>
        <v>23743.992302030001</v>
      </c>
      <c r="FJ43" s="48">
        <f t="shared" si="308"/>
        <v>7009.4524499999998</v>
      </c>
      <c r="FK43" s="51">
        <f t="shared" si="309"/>
        <v>23171.847909209999</v>
      </c>
      <c r="FL43" s="53">
        <f t="shared" si="310"/>
        <v>6836.3795499999997</v>
      </c>
      <c r="FM43" s="51">
        <f t="shared" si="311"/>
        <v>22599.70351639</v>
      </c>
      <c r="FN43" s="53">
        <f t="shared" si="312"/>
        <v>6663.3066499999995</v>
      </c>
      <c r="FO43" s="51">
        <f t="shared" si="313"/>
        <v>22027.559123569998</v>
      </c>
      <c r="FP43" s="53">
        <f t="shared" si="314"/>
        <v>6490.2337499999994</v>
      </c>
      <c r="FQ43" s="51">
        <f t="shared" si="315"/>
        <v>21455.414730749999</v>
      </c>
      <c r="FR43" s="48">
        <f t="shared" si="316"/>
        <v>6317.1608499999993</v>
      </c>
      <c r="FS43" s="51">
        <f t="shared" si="317"/>
        <v>20883.270337929996</v>
      </c>
      <c r="FT43" s="53">
        <f t="shared" si="318"/>
        <v>6144.0879499999992</v>
      </c>
      <c r="FU43" s="51">
        <f t="shared" si="319"/>
        <v>20311.125945109998</v>
      </c>
      <c r="FV43" s="53">
        <f t="shared" si="320"/>
        <v>5971.0150499999991</v>
      </c>
      <c r="FW43" s="51">
        <f t="shared" si="321"/>
        <v>19738.981552289999</v>
      </c>
      <c r="FX43" s="53">
        <f t="shared" si="322"/>
        <v>5797.9421499999989</v>
      </c>
      <c r="FY43" s="51">
        <f t="shared" si="323"/>
        <v>19166.837159469997</v>
      </c>
      <c r="FZ43" s="53">
        <f t="shared" si="324"/>
        <v>5624.8692499999988</v>
      </c>
      <c r="GA43" s="51">
        <f t="shared" si="325"/>
        <v>18594.692766649998</v>
      </c>
      <c r="GB43" s="48">
        <f t="shared" si="326"/>
        <v>5451.7963499999987</v>
      </c>
      <c r="GC43" s="51">
        <f t="shared" si="327"/>
        <v>18022.548373829995</v>
      </c>
      <c r="GD43" s="53">
        <f t="shared" si="328"/>
        <v>5278.7234499999986</v>
      </c>
      <c r="GE43" s="51">
        <f t="shared" si="329"/>
        <v>17450.403981009997</v>
      </c>
      <c r="GF43" s="53">
        <f t="shared" si="330"/>
        <v>5105.6505499999985</v>
      </c>
      <c r="GG43" s="51">
        <f t="shared" si="331"/>
        <v>16878.259588189994</v>
      </c>
      <c r="GH43" s="48">
        <f t="shared" si="332"/>
        <v>4932.5776499999984</v>
      </c>
      <c r="GI43" s="51">
        <f t="shared" si="333"/>
        <v>16306.115195369995</v>
      </c>
      <c r="GJ43" s="48"/>
      <c r="GK43" s="48"/>
      <c r="GL43" s="48">
        <v>1</v>
      </c>
      <c r="GM43" s="48">
        <v>0.97</v>
      </c>
      <c r="GN43" s="48">
        <v>0.95</v>
      </c>
      <c r="GO43" s="48">
        <v>0.93</v>
      </c>
      <c r="GP43" s="48">
        <f t="shared" ref="GP43:HG43" si="379">+GO43-0.02</f>
        <v>0.91</v>
      </c>
      <c r="GQ43" s="48">
        <f t="shared" si="379"/>
        <v>0.89</v>
      </c>
      <c r="GR43" s="48">
        <f t="shared" si="379"/>
        <v>0.87</v>
      </c>
      <c r="GS43" s="48">
        <f t="shared" si="379"/>
        <v>0.85</v>
      </c>
      <c r="GT43" s="48">
        <f t="shared" si="379"/>
        <v>0.83</v>
      </c>
      <c r="GU43" s="48">
        <f t="shared" si="379"/>
        <v>0.80999999999999994</v>
      </c>
      <c r="GV43" s="48">
        <f t="shared" si="379"/>
        <v>0.78999999999999992</v>
      </c>
      <c r="GW43" s="48">
        <f t="shared" si="379"/>
        <v>0.76999999999999991</v>
      </c>
      <c r="GX43" s="48">
        <f t="shared" si="379"/>
        <v>0.74999999999999989</v>
      </c>
      <c r="GY43" s="48">
        <f t="shared" si="379"/>
        <v>0.72999999999999987</v>
      </c>
      <c r="GZ43" s="48">
        <f t="shared" si="379"/>
        <v>0.70999999999999985</v>
      </c>
      <c r="HA43" s="48">
        <f t="shared" si="379"/>
        <v>0.68999999999999984</v>
      </c>
      <c r="HB43" s="48">
        <f t="shared" si="379"/>
        <v>0.66999999999999982</v>
      </c>
      <c r="HC43" s="48">
        <f t="shared" si="379"/>
        <v>0.6499999999999998</v>
      </c>
      <c r="HD43" s="48">
        <f t="shared" si="379"/>
        <v>0.62999999999999978</v>
      </c>
      <c r="HE43" s="48">
        <f t="shared" si="379"/>
        <v>0.60999999999999976</v>
      </c>
      <c r="HF43" s="48">
        <f t="shared" si="379"/>
        <v>0.58999999999999975</v>
      </c>
      <c r="HG43" s="48">
        <f t="shared" si="379"/>
        <v>0.56999999999999973</v>
      </c>
    </row>
    <row r="44" spans="1:250" s="63" customFormat="1" x14ac:dyDescent="0.3">
      <c r="A44" s="2">
        <v>11</v>
      </c>
      <c r="B44" s="2"/>
      <c r="C44" s="39" t="s">
        <v>16</v>
      </c>
      <c r="D44" s="44">
        <f>TRUNC(46553.7298725737,-1)</f>
        <v>46550</v>
      </c>
      <c r="E44" s="73">
        <f t="shared" si="203"/>
        <v>153880</v>
      </c>
      <c r="F44" s="2"/>
      <c r="G44" s="48">
        <f t="shared" ref="G44" si="380">+D44*1.1</f>
        <v>51205.000000000007</v>
      </c>
      <c r="H44" s="48">
        <f t="shared" ref="H44" si="381">+G44</f>
        <v>51205.000000000007</v>
      </c>
      <c r="I44" s="51">
        <f t="shared" ref="I44" si="382">+H44*3.3058</f>
        <v>169273.48900000003</v>
      </c>
      <c r="J44" s="48">
        <f t="shared" ref="J44" si="383">+H44*BC44</f>
        <v>49668.850000000006</v>
      </c>
      <c r="K44" s="51">
        <f t="shared" ref="K44" si="384">+J44*3.3058</f>
        <v>164195.28433000002</v>
      </c>
      <c r="L44" s="48">
        <f t="shared" ref="L44" si="385">+H44*BD44</f>
        <v>48644.750000000007</v>
      </c>
      <c r="M44" s="51">
        <f t="shared" ref="M44" si="386">+L44*3.3058</f>
        <v>160809.81455000004</v>
      </c>
      <c r="N44" s="48">
        <f t="shared" ref="N44" si="387">+H44*BE44</f>
        <v>47620.650000000009</v>
      </c>
      <c r="O44" s="51">
        <f t="shared" ref="O44" si="388">+N44*3.3058</f>
        <v>157424.34477000003</v>
      </c>
      <c r="P44" s="52">
        <f t="shared" ref="P44" si="389">+H44*BF44</f>
        <v>46596.55000000001</v>
      </c>
      <c r="Q44" s="51">
        <f t="shared" ref="Q44" si="390">+P44*3.3058</f>
        <v>154038.87499000004</v>
      </c>
      <c r="R44" s="48">
        <f t="shared" ref="R44" si="391">+H44*BG44</f>
        <v>45572.450000000004</v>
      </c>
      <c r="S44" s="51">
        <f t="shared" ref="S44" si="392">+R44*3.3058</f>
        <v>150653.40521000003</v>
      </c>
      <c r="T44" s="52">
        <f t="shared" ref="T44" si="393">+H44*BH44</f>
        <v>44548.350000000006</v>
      </c>
      <c r="U44" s="51">
        <f t="shared" ref="U44" si="394">+T44*3.3058</f>
        <v>147267.93543000001</v>
      </c>
      <c r="V44" s="53">
        <f t="shared" ref="V44" si="395">+H44*BI44</f>
        <v>43524.250000000007</v>
      </c>
      <c r="W44" s="51">
        <f t="shared" ref="W44" si="396">+V44*3.3058</f>
        <v>143882.46565000003</v>
      </c>
      <c r="X44" s="52">
        <f t="shared" ref="X44" si="397">+H44*BJ44</f>
        <v>42500.15</v>
      </c>
      <c r="Y44" s="51">
        <f t="shared" ref="Y44" si="398">+X44*3.3058</f>
        <v>140496.99587000001</v>
      </c>
      <c r="Z44" s="48">
        <f t="shared" ref="Z44" si="399">+H44*BK44</f>
        <v>41476.050000000003</v>
      </c>
      <c r="AA44" s="51">
        <f t="shared" ref="AA44" si="400">+Z44*3.3058</f>
        <v>137111.52609</v>
      </c>
      <c r="AB44" s="53">
        <f t="shared" ref="AB44" si="401">+H44*BL44</f>
        <v>40451.950000000004</v>
      </c>
      <c r="AC44" s="51">
        <f t="shared" ref="AC44" si="402">+AB44*3.3058</f>
        <v>133726.05631000001</v>
      </c>
      <c r="AD44" s="53">
        <f t="shared" ref="AD44" si="403">+H44*BM44</f>
        <v>39427.85</v>
      </c>
      <c r="AE44" s="51">
        <f t="shared" ref="AE44" si="404">+AD44*3.3058</f>
        <v>130340.58653</v>
      </c>
      <c r="AF44" s="53">
        <f t="shared" ref="AF44" si="405">+H44*BN44</f>
        <v>38403.75</v>
      </c>
      <c r="AG44" s="51">
        <f t="shared" ref="AG44" si="406">+AF44*3.3058</f>
        <v>126955.11675</v>
      </c>
      <c r="AH44" s="48">
        <f t="shared" ref="AH44" si="407">+H44*BO44</f>
        <v>37379.65</v>
      </c>
      <c r="AI44" s="51">
        <f t="shared" ref="AI44" si="408">+AH44*3.3058</f>
        <v>123569.64697</v>
      </c>
      <c r="AJ44" s="53">
        <f t="shared" ref="AJ44" si="409">+H44*BP44</f>
        <v>36355.549999999996</v>
      </c>
      <c r="AK44" s="51">
        <f t="shared" ref="AK44" si="410">+AJ44*3.3058</f>
        <v>120184.17718999999</v>
      </c>
      <c r="AL44" s="53">
        <f t="shared" ref="AL44" si="411">+H44*BQ44</f>
        <v>35331.449999999997</v>
      </c>
      <c r="AM44" s="51">
        <f t="shared" ref="AM44" si="412">+AL44*3.3058</f>
        <v>116798.70740999999</v>
      </c>
      <c r="AN44" s="53">
        <f t="shared" ref="AN44" si="413">+H44*BR44</f>
        <v>34307.35</v>
      </c>
      <c r="AO44" s="51">
        <f t="shared" ref="AO44" si="414">+AN44*3.3058</f>
        <v>113413.23763</v>
      </c>
      <c r="AP44" s="53">
        <f t="shared" ref="AP44" si="415">+H44*BS44</f>
        <v>33283.249999999993</v>
      </c>
      <c r="AQ44" s="51">
        <f t="shared" ref="AQ44" si="416">+AP44*3.3058</f>
        <v>110027.76784999997</v>
      </c>
      <c r="AR44" s="48">
        <f t="shared" ref="AR44" si="417">+H44*BT44</f>
        <v>32259.149999999994</v>
      </c>
      <c r="AS44" s="51">
        <f t="shared" ref="AS44" si="418">+AR44*3.3058</f>
        <v>106642.29806999999</v>
      </c>
      <c r="AT44" s="53">
        <f t="shared" ref="AT44" si="419">+H44*BU44</f>
        <v>31235.049999999992</v>
      </c>
      <c r="AU44" s="51">
        <f t="shared" ref="AU44" si="420">+AT44*3.3058</f>
        <v>103256.82828999998</v>
      </c>
      <c r="AV44" s="53">
        <f t="shared" ref="AV44" si="421">+H44*BV44</f>
        <v>30210.94999999999</v>
      </c>
      <c r="AW44" s="51">
        <f t="shared" ref="AW44" si="422">+AV44*3.3058</f>
        <v>99871.358509999962</v>
      </c>
      <c r="AX44" s="48">
        <f t="shared" ref="AX44" si="423">+H44*BW44</f>
        <v>29186.849999999991</v>
      </c>
      <c r="AY44" s="51">
        <f t="shared" ref="AY44" si="424">+AX44*3.3058</f>
        <v>96485.888729999977</v>
      </c>
      <c r="AZ44" s="48"/>
      <c r="BA44" s="48"/>
      <c r="BB44" s="48">
        <v>1</v>
      </c>
      <c r="BC44" s="48">
        <v>0.97</v>
      </c>
      <c r="BD44" s="48">
        <v>0.95</v>
      </c>
      <c r="BE44" s="48">
        <v>0.93</v>
      </c>
      <c r="BF44" s="48">
        <f t="shared" ref="BF44" si="425">+BE44-0.02</f>
        <v>0.91</v>
      </c>
      <c r="BG44" s="48">
        <f t="shared" ref="BG44" si="426">+BF44-0.02</f>
        <v>0.89</v>
      </c>
      <c r="BH44" s="48">
        <f t="shared" ref="BH44" si="427">+BG44-0.02</f>
        <v>0.87</v>
      </c>
      <c r="BI44" s="48">
        <f t="shared" ref="BI44" si="428">+BH44-0.02</f>
        <v>0.85</v>
      </c>
      <c r="BJ44" s="48">
        <f t="shared" ref="BJ44" si="429">+BI44-0.02</f>
        <v>0.83</v>
      </c>
      <c r="BK44" s="48">
        <f t="shared" ref="BK44" si="430">+BJ44-0.02</f>
        <v>0.80999999999999994</v>
      </c>
      <c r="BL44" s="48">
        <f t="shared" ref="BL44" si="431">+BK44-0.02</f>
        <v>0.78999999999999992</v>
      </c>
      <c r="BM44" s="48">
        <f t="shared" ref="BM44" si="432">+BL44-0.02</f>
        <v>0.76999999999999991</v>
      </c>
      <c r="BN44" s="48">
        <f t="shared" ref="BN44" si="433">+BM44-0.02</f>
        <v>0.74999999999999989</v>
      </c>
      <c r="BO44" s="48">
        <f t="shared" ref="BO44" si="434">+BN44-0.02</f>
        <v>0.72999999999999987</v>
      </c>
      <c r="BP44" s="48">
        <f t="shared" ref="BP44" si="435">+BO44-0.02</f>
        <v>0.70999999999999985</v>
      </c>
      <c r="BQ44" s="48">
        <f t="shared" ref="BQ44" si="436">+BP44-0.02</f>
        <v>0.68999999999999984</v>
      </c>
      <c r="BR44" s="48">
        <f t="shared" ref="BR44" si="437">+BQ44-0.02</f>
        <v>0.66999999999999982</v>
      </c>
      <c r="BS44" s="48">
        <f t="shared" ref="BS44" si="438">+BR44-0.02</f>
        <v>0.6499999999999998</v>
      </c>
      <c r="BT44" s="48">
        <f t="shared" ref="BT44" si="439">+BS44-0.02</f>
        <v>0.62999999999999978</v>
      </c>
      <c r="BU44" s="48">
        <f t="shared" ref="BU44" si="440">+BT44-0.02</f>
        <v>0.60999999999999976</v>
      </c>
      <c r="BV44" s="48">
        <f t="shared" ref="BV44" si="441">+BU44-0.02</f>
        <v>0.58999999999999975</v>
      </c>
      <c r="BW44" s="48">
        <f t="shared" ref="BW44" si="442">+BV44-0.02</f>
        <v>0.56999999999999973</v>
      </c>
      <c r="BX44" s="48"/>
      <c r="BY44" s="48">
        <f t="shared" ref="BY44" si="443">+G44*0.91</f>
        <v>46596.55000000001</v>
      </c>
      <c r="BZ44" s="48">
        <f t="shared" ref="BZ44" si="444">+BY44</f>
        <v>46596.55000000001</v>
      </c>
      <c r="CA44" s="51">
        <f t="shared" ref="CA44" si="445">+BZ44*3.3058</f>
        <v>154038.87499000004</v>
      </c>
      <c r="CB44" s="48">
        <f t="shared" ref="CB44" si="446">+BZ44*DU44</f>
        <v>45198.653500000008</v>
      </c>
      <c r="CC44" s="51">
        <f t="shared" ref="CC44" si="447">+CB44*3.3058</f>
        <v>149417.70874030003</v>
      </c>
      <c r="CD44" s="48">
        <f t="shared" ref="CD44" si="448">+BZ44*DV44</f>
        <v>44266.722500000011</v>
      </c>
      <c r="CE44" s="51">
        <f t="shared" ref="CE44" si="449">+CD44*3.3058</f>
        <v>146336.93124050004</v>
      </c>
      <c r="CF44" s="48">
        <f t="shared" ref="CF44" si="450">+BZ44*DW44</f>
        <v>43334.791500000014</v>
      </c>
      <c r="CG44" s="51">
        <f t="shared" ref="CG44" si="451">+CF44*3.3058</f>
        <v>143256.15374070004</v>
      </c>
      <c r="CH44" s="52">
        <f t="shared" ref="CH44" si="452">+BZ44*DX44</f>
        <v>42402.86050000001</v>
      </c>
      <c r="CI44" s="51">
        <f t="shared" ref="CI44" si="453">+CH44*3.3058</f>
        <v>140175.37624090005</v>
      </c>
      <c r="CJ44" s="48">
        <f t="shared" ref="CJ44" si="454">+BZ44*DY44</f>
        <v>41470.929500000013</v>
      </c>
      <c r="CK44" s="51">
        <f t="shared" ref="CK44" si="455">+CJ44*3.3058</f>
        <v>137094.59874110005</v>
      </c>
      <c r="CL44" s="52">
        <f t="shared" ref="CL44" si="456">+BZ44*DZ44</f>
        <v>40538.998500000009</v>
      </c>
      <c r="CM44" s="51">
        <f t="shared" ref="CM44" si="457">+CL44*3.3058</f>
        <v>134013.82124130003</v>
      </c>
      <c r="CN44" s="53">
        <f t="shared" ref="CN44" si="458">+BZ44*EA44</f>
        <v>39607.067500000005</v>
      </c>
      <c r="CO44" s="51">
        <f t="shared" ref="CO44" si="459">+CN44*3.3058</f>
        <v>130933.04374150002</v>
      </c>
      <c r="CP44" s="52">
        <f t="shared" ref="CP44" si="460">+BZ44*EB44</f>
        <v>38675.136500000008</v>
      </c>
      <c r="CQ44" s="51">
        <f t="shared" ref="CQ44" si="461">+CP44*3.3058</f>
        <v>127852.26624170002</v>
      </c>
      <c r="CR44" s="48">
        <f t="shared" ref="CR44" si="462">+BZ44*EC44</f>
        <v>37743.205500000004</v>
      </c>
      <c r="CS44" s="51">
        <f t="shared" ref="CS44" si="463">+CR44*3.3058</f>
        <v>124771.48874190002</v>
      </c>
      <c r="CT44" s="53">
        <f t="shared" ref="CT44" si="464">+BZ44*ED44</f>
        <v>36811.274500000007</v>
      </c>
      <c r="CU44" s="51">
        <f t="shared" ref="CU44" si="465">+CT44*3.3058</f>
        <v>121690.71124210002</v>
      </c>
      <c r="CV44" s="53">
        <f t="shared" ref="CV44" si="466">+BZ44*EE44</f>
        <v>35879.343500000003</v>
      </c>
      <c r="CW44" s="51">
        <f t="shared" ref="CW44" si="467">+CV44*3.3058</f>
        <v>118609.93374230001</v>
      </c>
      <c r="CX44" s="53">
        <f t="shared" ref="CX44" si="468">+BZ44*EF44</f>
        <v>34947.412500000006</v>
      </c>
      <c r="CY44" s="51">
        <f t="shared" ref="CY44" si="469">+CX44*3.3058</f>
        <v>115529.15624250002</v>
      </c>
      <c r="CZ44" s="48">
        <f t="shared" ref="CZ44" si="470">+BZ44*EG44</f>
        <v>34015.481500000002</v>
      </c>
      <c r="DA44" s="51">
        <f t="shared" ref="DA44" si="471">+CZ44*3.3058</f>
        <v>112448.37874270001</v>
      </c>
      <c r="DB44" s="53">
        <f t="shared" ref="DB44" si="472">+BZ44*EH44</f>
        <v>33083.550499999998</v>
      </c>
      <c r="DC44" s="51">
        <f t="shared" ref="DC44" si="473">+DB44*3.3058</f>
        <v>109367.6012429</v>
      </c>
      <c r="DD44" s="53">
        <f t="shared" ref="DD44" si="474">+BZ44*EI44</f>
        <v>32151.619500000001</v>
      </c>
      <c r="DE44" s="51">
        <f t="shared" ref="DE44" si="475">+DD44*3.3058</f>
        <v>106286.8237431</v>
      </c>
      <c r="DF44" s="53">
        <f t="shared" ref="DF44" si="476">+BZ44*EJ44</f>
        <v>31219.688499999997</v>
      </c>
      <c r="DG44" s="51">
        <f t="shared" ref="DG44" si="477">+DF44*3.3058</f>
        <v>103206.04624329999</v>
      </c>
      <c r="DH44" s="53">
        <f t="shared" ref="DH44" si="478">+BZ44*EK44</f>
        <v>30287.757499999996</v>
      </c>
      <c r="DI44" s="51">
        <f t="shared" ref="DI44" si="479">+DH44*3.3058</f>
        <v>100125.26874349998</v>
      </c>
      <c r="DJ44" s="48">
        <f t="shared" ref="DJ44" si="480">+BZ44*EL44</f>
        <v>29355.826499999996</v>
      </c>
      <c r="DK44" s="51">
        <f t="shared" ref="DK44" si="481">+DJ44*3.3058</f>
        <v>97044.491243699988</v>
      </c>
      <c r="DL44" s="53">
        <f t="shared" ref="DL44" si="482">+BZ44*EM44</f>
        <v>28423.895499999995</v>
      </c>
      <c r="DM44" s="51">
        <f t="shared" ref="DM44" si="483">+DL44*3.3058</f>
        <v>93963.713743899993</v>
      </c>
      <c r="DN44" s="53">
        <f t="shared" ref="DN44" si="484">+BZ44*EN44</f>
        <v>27491.964499999995</v>
      </c>
      <c r="DO44" s="51">
        <f t="shared" ref="DO44" si="485">+DN44*3.3058</f>
        <v>90882.936244099983</v>
      </c>
      <c r="DP44" s="48">
        <f t="shared" ref="DP44" si="486">+BZ44*EO44</f>
        <v>26560.033499999994</v>
      </c>
      <c r="DQ44" s="51">
        <f t="shared" ref="DQ44" si="487">+DP44*3.3058</f>
        <v>87802.158744299988</v>
      </c>
      <c r="DR44" s="48"/>
      <c r="DS44" s="48"/>
      <c r="DT44" s="48">
        <v>1</v>
      </c>
      <c r="DU44" s="48">
        <v>0.97</v>
      </c>
      <c r="DV44" s="48">
        <v>0.95</v>
      </c>
      <c r="DW44" s="48">
        <v>0.93</v>
      </c>
      <c r="DX44" s="48">
        <f t="shared" ref="DX44" si="488">+DW44-0.02</f>
        <v>0.91</v>
      </c>
      <c r="DY44" s="48">
        <f t="shared" ref="DY44" si="489">+DX44-0.02</f>
        <v>0.89</v>
      </c>
      <c r="DZ44" s="48">
        <f t="shared" ref="DZ44" si="490">+DY44-0.02</f>
        <v>0.87</v>
      </c>
      <c r="EA44" s="48">
        <f t="shared" ref="EA44" si="491">+DZ44-0.02</f>
        <v>0.85</v>
      </c>
      <c r="EB44" s="48">
        <f t="shared" ref="EB44" si="492">+EA44-0.02</f>
        <v>0.83</v>
      </c>
      <c r="EC44" s="48">
        <f t="shared" ref="EC44" si="493">+EB44-0.02</f>
        <v>0.80999999999999994</v>
      </c>
      <c r="ED44" s="48">
        <f t="shared" ref="ED44" si="494">+EC44-0.02</f>
        <v>0.78999999999999992</v>
      </c>
      <c r="EE44" s="48">
        <f t="shared" ref="EE44" si="495">+ED44-0.02</f>
        <v>0.76999999999999991</v>
      </c>
      <c r="EF44" s="48">
        <f t="shared" ref="EF44" si="496">+EE44-0.02</f>
        <v>0.74999999999999989</v>
      </c>
      <c r="EG44" s="48">
        <f t="shared" ref="EG44" si="497">+EF44-0.02</f>
        <v>0.72999999999999987</v>
      </c>
      <c r="EH44" s="48">
        <f t="shared" ref="EH44" si="498">+EG44-0.02</f>
        <v>0.70999999999999985</v>
      </c>
      <c r="EI44" s="48">
        <f t="shared" ref="EI44" si="499">+EH44-0.02</f>
        <v>0.68999999999999984</v>
      </c>
      <c r="EJ44" s="48">
        <f t="shared" ref="EJ44" si="500">+EI44-0.02</f>
        <v>0.66999999999999982</v>
      </c>
      <c r="EK44" s="48">
        <f t="shared" ref="EK44" si="501">+EJ44-0.02</f>
        <v>0.6499999999999998</v>
      </c>
      <c r="EL44" s="48">
        <f t="shared" ref="EL44" si="502">+EK44-0.02</f>
        <v>0.62999999999999978</v>
      </c>
      <c r="EM44" s="48">
        <f t="shared" ref="EM44" si="503">+EL44-0.02</f>
        <v>0.60999999999999976</v>
      </c>
      <c r="EN44" s="48">
        <f t="shared" ref="EN44" si="504">+EM44-0.02</f>
        <v>0.58999999999999975</v>
      </c>
      <c r="EO44" s="48">
        <f t="shared" ref="EO44" si="505">+EN44-0.02</f>
        <v>0.56999999999999973</v>
      </c>
      <c r="EP44" s="2"/>
      <c r="EQ44" s="48">
        <f t="shared" ref="EQ44" si="506">+BY44*0.91</f>
        <v>42402.86050000001</v>
      </c>
      <c r="ER44" s="48">
        <f t="shared" ref="ER44" si="507">+EQ44</f>
        <v>42402.86050000001</v>
      </c>
      <c r="ES44" s="51">
        <f t="shared" ref="ES44" si="508">+ER44*3.3058</f>
        <v>140175.37624090005</v>
      </c>
      <c r="ET44" s="48">
        <f t="shared" ref="ET44" si="509">+ER44*GM44</f>
        <v>41130.774685000011</v>
      </c>
      <c r="EU44" s="51">
        <f t="shared" ref="EU44" si="510">+ET44*3.3058</f>
        <v>135970.11495367304</v>
      </c>
      <c r="EV44" s="48">
        <f t="shared" ref="EV44" si="511">+ER44*GN44</f>
        <v>40282.717475000005</v>
      </c>
      <c r="EW44" s="51">
        <f t="shared" ref="EW44" si="512">+EV44*3.3058</f>
        <v>133166.60742885503</v>
      </c>
      <c r="EX44" s="48">
        <f t="shared" ref="EX44" si="513">+ER44*GO44</f>
        <v>39434.660265000013</v>
      </c>
      <c r="EY44" s="51">
        <f t="shared" ref="EY44" si="514">+EX44*3.3058</f>
        <v>130363.09990403705</v>
      </c>
      <c r="EZ44" s="52">
        <f t="shared" ref="EZ44" si="515">+ER44*GP44</f>
        <v>38586.603055000007</v>
      </c>
      <c r="FA44" s="51">
        <f t="shared" ref="FA44" si="516">+EZ44*3.3058</f>
        <v>127559.59237921903</v>
      </c>
      <c r="FB44" s="48">
        <f t="shared" ref="FB44" si="517">+ER44*GQ44</f>
        <v>37738.545845000008</v>
      </c>
      <c r="FC44" s="51">
        <f t="shared" ref="FC44" si="518">+FB44*3.3058</f>
        <v>124756.08485440102</v>
      </c>
      <c r="FD44" s="52">
        <f t="shared" ref="FD44" si="519">+ER44*GR44</f>
        <v>36890.488635000009</v>
      </c>
      <c r="FE44" s="51">
        <f t="shared" ref="FE44" si="520">+FD44*3.3058</f>
        <v>121952.57732958303</v>
      </c>
      <c r="FF44" s="53">
        <f t="shared" ref="FF44" si="521">+ER44*GS44</f>
        <v>36042.43142500001</v>
      </c>
      <c r="FG44" s="51">
        <f t="shared" ref="FG44" si="522">+FF44*3.3058</f>
        <v>119149.06980476504</v>
      </c>
      <c r="FH44" s="52">
        <f t="shared" ref="FH44" si="523">+ER44*GT44</f>
        <v>35194.374215000003</v>
      </c>
      <c r="FI44" s="51">
        <f t="shared" ref="FI44" si="524">+FH44*3.3058</f>
        <v>116345.56227994701</v>
      </c>
      <c r="FJ44" s="48">
        <f t="shared" ref="FJ44" si="525">+ER44*GU44</f>
        <v>34346.317005000004</v>
      </c>
      <c r="FK44" s="51">
        <f t="shared" ref="FK44" si="526">+FJ44*3.3058</f>
        <v>113542.05475512902</v>
      </c>
      <c r="FL44" s="53">
        <f t="shared" ref="FL44" si="527">+ER44*GV44</f>
        <v>33498.259795000005</v>
      </c>
      <c r="FM44" s="51">
        <f t="shared" ref="FM44" si="528">+FL44*3.3058</f>
        <v>110738.54723031101</v>
      </c>
      <c r="FN44" s="53">
        <f t="shared" ref="FN44" si="529">+ER44*GW44</f>
        <v>32650.202585000003</v>
      </c>
      <c r="FO44" s="51">
        <f t="shared" ref="FO44" si="530">+FN44*3.3058</f>
        <v>107935.03970549301</v>
      </c>
      <c r="FP44" s="53">
        <f t="shared" ref="FP44" si="531">+ER44*GX44</f>
        <v>31802.145375000004</v>
      </c>
      <c r="FQ44" s="51">
        <f t="shared" ref="FQ44" si="532">+FP44*3.3058</f>
        <v>105131.53218067501</v>
      </c>
      <c r="FR44" s="48">
        <f t="shared" ref="FR44" si="533">+ER44*GY44</f>
        <v>30954.088165000001</v>
      </c>
      <c r="FS44" s="51">
        <f t="shared" ref="FS44" si="534">+FR44*3.3058</f>
        <v>102328.02465585701</v>
      </c>
      <c r="FT44" s="53">
        <f t="shared" ref="FT44" si="535">+ER44*GZ44</f>
        <v>30106.030955000002</v>
      </c>
      <c r="FU44" s="51">
        <f t="shared" ref="FU44" si="536">+FT44*3.3058</f>
        <v>99524.517131039014</v>
      </c>
      <c r="FV44" s="53">
        <f t="shared" ref="FV44" si="537">+ER44*HA44</f>
        <v>29257.973744999999</v>
      </c>
      <c r="FW44" s="51">
        <f t="shared" ref="FW44" si="538">+FV44*3.3058</f>
        <v>96721.009606221007</v>
      </c>
      <c r="FX44" s="53">
        <f t="shared" ref="FX44" si="539">+ER44*HB44</f>
        <v>28409.916535</v>
      </c>
      <c r="FY44" s="51">
        <f t="shared" ref="FY44" si="540">+FX44*3.3058</f>
        <v>93917.502081402999</v>
      </c>
      <c r="FZ44" s="53">
        <f t="shared" ref="FZ44" si="541">+ER44*HC44</f>
        <v>27561.859324999998</v>
      </c>
      <c r="GA44" s="51">
        <f t="shared" ref="GA44" si="542">+FZ44*3.3058</f>
        <v>91113.994556584992</v>
      </c>
      <c r="GB44" s="48">
        <f t="shared" ref="GB44" si="543">+ER44*HD44</f>
        <v>26713.802114999999</v>
      </c>
      <c r="GC44" s="51">
        <f t="shared" ref="GC44" si="544">+GB44*3.3058</f>
        <v>88310.487031766999</v>
      </c>
      <c r="GD44" s="53">
        <f t="shared" ref="GD44" si="545">+ER44*HE44</f>
        <v>25865.744904999996</v>
      </c>
      <c r="GE44" s="51">
        <f t="shared" ref="GE44" si="546">+GD44*3.3058</f>
        <v>85506.979506948992</v>
      </c>
      <c r="GF44" s="53">
        <f t="shared" ref="GF44" si="547">+ER44*HF44</f>
        <v>25017.687694999993</v>
      </c>
      <c r="GG44" s="51">
        <f t="shared" ref="GG44" si="548">+GF44*3.3058</f>
        <v>82703.471982130985</v>
      </c>
      <c r="GH44" s="48">
        <f t="shared" ref="GH44" si="549">+ER44*HG44</f>
        <v>24169.630484999994</v>
      </c>
      <c r="GI44" s="51">
        <f t="shared" ref="GI44" si="550">+GH44*3.3058</f>
        <v>79899.964457312977</v>
      </c>
      <c r="GJ44" s="48"/>
      <c r="GK44" s="48"/>
      <c r="GL44" s="48">
        <v>1</v>
      </c>
      <c r="GM44" s="48">
        <v>0.97</v>
      </c>
      <c r="GN44" s="48">
        <v>0.95</v>
      </c>
      <c r="GO44" s="48">
        <v>0.93</v>
      </c>
      <c r="GP44" s="48">
        <f t="shared" ref="GP44" si="551">+GO44-0.02</f>
        <v>0.91</v>
      </c>
      <c r="GQ44" s="48">
        <f t="shared" ref="GQ44" si="552">+GP44-0.02</f>
        <v>0.89</v>
      </c>
      <c r="GR44" s="48">
        <f t="shared" ref="GR44" si="553">+GQ44-0.02</f>
        <v>0.87</v>
      </c>
      <c r="GS44" s="48">
        <f t="shared" ref="GS44" si="554">+GR44-0.02</f>
        <v>0.85</v>
      </c>
      <c r="GT44" s="48">
        <f t="shared" ref="GT44" si="555">+GS44-0.02</f>
        <v>0.83</v>
      </c>
      <c r="GU44" s="48">
        <f t="shared" ref="GU44" si="556">+GT44-0.02</f>
        <v>0.80999999999999994</v>
      </c>
      <c r="GV44" s="48">
        <f t="shared" ref="GV44" si="557">+GU44-0.02</f>
        <v>0.78999999999999992</v>
      </c>
      <c r="GW44" s="48">
        <f t="shared" ref="GW44" si="558">+GV44-0.02</f>
        <v>0.76999999999999991</v>
      </c>
      <c r="GX44" s="48">
        <f t="shared" ref="GX44" si="559">+GW44-0.02</f>
        <v>0.74999999999999989</v>
      </c>
      <c r="GY44" s="48">
        <f t="shared" ref="GY44" si="560">+GX44-0.02</f>
        <v>0.72999999999999987</v>
      </c>
      <c r="GZ44" s="48">
        <f t="shared" ref="GZ44" si="561">+GY44-0.02</f>
        <v>0.70999999999999985</v>
      </c>
      <c r="HA44" s="48">
        <f t="shared" ref="HA44" si="562">+GZ44-0.02</f>
        <v>0.68999999999999984</v>
      </c>
      <c r="HB44" s="48">
        <f t="shared" ref="HB44" si="563">+HA44-0.02</f>
        <v>0.66999999999999982</v>
      </c>
      <c r="HC44" s="48">
        <f t="shared" ref="HC44" si="564">+HB44-0.02</f>
        <v>0.6499999999999998</v>
      </c>
      <c r="HD44" s="48">
        <f t="shared" ref="HD44" si="565">+HC44-0.02</f>
        <v>0.62999999999999978</v>
      </c>
      <c r="HE44" s="48">
        <f t="shared" ref="HE44" si="566">+HD44-0.02</f>
        <v>0.60999999999999976</v>
      </c>
      <c r="HF44" s="48">
        <f t="shared" ref="HF44" si="567">+HE44-0.02</f>
        <v>0.58999999999999975</v>
      </c>
      <c r="HG44" s="48">
        <f t="shared" ref="HG44" si="568">+HF44-0.02</f>
        <v>0.56999999999999973</v>
      </c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</row>
    <row r="45" spans="1:250" x14ac:dyDescent="0.3">
      <c r="A45" s="2">
        <v>12</v>
      </c>
      <c r="C45" s="39" t="s">
        <v>17</v>
      </c>
      <c r="D45" s="44">
        <f>TRUNC(4150.61075166398,-1)</f>
        <v>4150</v>
      </c>
      <c r="E45" s="73">
        <f t="shared" si="203"/>
        <v>13710</v>
      </c>
      <c r="G45" s="48">
        <f t="shared" si="61"/>
        <v>4565</v>
      </c>
      <c r="H45" s="48">
        <f t="shared" si="62"/>
        <v>4565</v>
      </c>
      <c r="I45" s="51">
        <f t="shared" si="63"/>
        <v>15090.977000000001</v>
      </c>
      <c r="J45" s="48">
        <f t="shared" si="204"/>
        <v>4428.05</v>
      </c>
      <c r="K45" s="51">
        <f t="shared" si="205"/>
        <v>14638.24769</v>
      </c>
      <c r="L45" s="48">
        <f t="shared" si="206"/>
        <v>4336.75</v>
      </c>
      <c r="M45" s="51">
        <f t="shared" si="207"/>
        <v>14336.42815</v>
      </c>
      <c r="N45" s="48">
        <f t="shared" si="208"/>
        <v>4245.45</v>
      </c>
      <c r="O45" s="51">
        <f t="shared" si="209"/>
        <v>14034.608609999999</v>
      </c>
      <c r="P45" s="52">
        <f t="shared" si="210"/>
        <v>4154.1500000000005</v>
      </c>
      <c r="Q45" s="51">
        <f t="shared" si="211"/>
        <v>13732.789070000003</v>
      </c>
      <c r="R45" s="48">
        <f t="shared" si="212"/>
        <v>4062.85</v>
      </c>
      <c r="S45" s="51">
        <f t="shared" si="213"/>
        <v>13430.96953</v>
      </c>
      <c r="T45" s="52">
        <f t="shared" si="214"/>
        <v>3971.55</v>
      </c>
      <c r="U45" s="51">
        <f t="shared" si="215"/>
        <v>13129.149990000002</v>
      </c>
      <c r="V45" s="53">
        <f t="shared" si="216"/>
        <v>3880.25</v>
      </c>
      <c r="W45" s="51">
        <f t="shared" si="217"/>
        <v>12827.330449999999</v>
      </c>
      <c r="X45" s="52">
        <f t="shared" si="218"/>
        <v>3788.95</v>
      </c>
      <c r="Y45" s="51">
        <f t="shared" si="219"/>
        <v>12525.510909999999</v>
      </c>
      <c r="Z45" s="48">
        <f t="shared" si="220"/>
        <v>3697.6499999999996</v>
      </c>
      <c r="AA45" s="51">
        <f t="shared" si="221"/>
        <v>12223.691369999999</v>
      </c>
      <c r="AB45" s="53">
        <f t="shared" si="222"/>
        <v>3606.3499999999995</v>
      </c>
      <c r="AC45" s="51">
        <f t="shared" si="223"/>
        <v>11921.871829999998</v>
      </c>
      <c r="AD45" s="53">
        <f t="shared" si="224"/>
        <v>3515.0499999999997</v>
      </c>
      <c r="AE45" s="51">
        <f t="shared" si="225"/>
        <v>11620.05229</v>
      </c>
      <c r="AF45" s="53">
        <f t="shared" si="226"/>
        <v>3423.7499999999995</v>
      </c>
      <c r="AG45" s="51">
        <f t="shared" si="227"/>
        <v>11318.232749999999</v>
      </c>
      <c r="AH45" s="48">
        <f t="shared" si="228"/>
        <v>3332.4499999999994</v>
      </c>
      <c r="AI45" s="51">
        <f t="shared" si="229"/>
        <v>11016.413209999999</v>
      </c>
      <c r="AJ45" s="53">
        <f t="shared" si="230"/>
        <v>3241.1499999999992</v>
      </c>
      <c r="AK45" s="51">
        <f t="shared" si="231"/>
        <v>10714.593669999998</v>
      </c>
      <c r="AL45" s="53">
        <f t="shared" si="232"/>
        <v>3149.8499999999995</v>
      </c>
      <c r="AM45" s="51">
        <f t="shared" si="233"/>
        <v>10412.774129999998</v>
      </c>
      <c r="AN45" s="53">
        <f t="shared" si="234"/>
        <v>3058.5499999999993</v>
      </c>
      <c r="AO45" s="51">
        <f t="shared" si="235"/>
        <v>10110.954589999998</v>
      </c>
      <c r="AP45" s="53">
        <f t="shared" si="236"/>
        <v>2967.2499999999991</v>
      </c>
      <c r="AQ45" s="51">
        <f t="shared" si="237"/>
        <v>9809.1350499999971</v>
      </c>
      <c r="AR45" s="48">
        <f t="shared" si="238"/>
        <v>2875.9499999999989</v>
      </c>
      <c r="AS45" s="51">
        <f t="shared" si="239"/>
        <v>9507.3155099999967</v>
      </c>
      <c r="AT45" s="53">
        <f t="shared" si="240"/>
        <v>2784.6499999999987</v>
      </c>
      <c r="AU45" s="51">
        <f t="shared" si="241"/>
        <v>9205.4959699999963</v>
      </c>
      <c r="AV45" s="53">
        <f t="shared" si="242"/>
        <v>2693.349999999999</v>
      </c>
      <c r="AW45" s="51">
        <f t="shared" si="243"/>
        <v>8903.6764299999977</v>
      </c>
      <c r="AX45" s="48">
        <f t="shared" si="244"/>
        <v>2602.0499999999988</v>
      </c>
      <c r="AY45" s="51">
        <f t="shared" si="245"/>
        <v>8601.8568899999955</v>
      </c>
      <c r="BB45" s="48">
        <v>1</v>
      </c>
      <c r="BC45" s="48">
        <v>0.97</v>
      </c>
      <c r="BD45" s="48">
        <v>0.95</v>
      </c>
      <c r="BE45" s="48">
        <v>0.93</v>
      </c>
      <c r="BF45" s="48">
        <f t="shared" ref="BF45:BW45" si="569">+BE45-0.02</f>
        <v>0.91</v>
      </c>
      <c r="BG45" s="48">
        <f t="shared" si="569"/>
        <v>0.89</v>
      </c>
      <c r="BH45" s="48">
        <f t="shared" si="569"/>
        <v>0.87</v>
      </c>
      <c r="BI45" s="48">
        <f t="shared" si="569"/>
        <v>0.85</v>
      </c>
      <c r="BJ45" s="48">
        <f t="shared" si="569"/>
        <v>0.83</v>
      </c>
      <c r="BK45" s="48">
        <f t="shared" si="569"/>
        <v>0.80999999999999994</v>
      </c>
      <c r="BL45" s="48">
        <f t="shared" si="569"/>
        <v>0.78999999999999992</v>
      </c>
      <c r="BM45" s="48">
        <f t="shared" si="569"/>
        <v>0.76999999999999991</v>
      </c>
      <c r="BN45" s="48">
        <f t="shared" si="569"/>
        <v>0.74999999999999989</v>
      </c>
      <c r="BO45" s="48">
        <f t="shared" si="569"/>
        <v>0.72999999999999987</v>
      </c>
      <c r="BP45" s="48">
        <f t="shared" si="569"/>
        <v>0.70999999999999985</v>
      </c>
      <c r="BQ45" s="48">
        <f t="shared" si="569"/>
        <v>0.68999999999999984</v>
      </c>
      <c r="BR45" s="48">
        <f t="shared" si="569"/>
        <v>0.66999999999999982</v>
      </c>
      <c r="BS45" s="48">
        <f t="shared" si="569"/>
        <v>0.6499999999999998</v>
      </c>
      <c r="BT45" s="48">
        <f t="shared" si="569"/>
        <v>0.62999999999999978</v>
      </c>
      <c r="BU45" s="48">
        <f t="shared" si="569"/>
        <v>0.60999999999999976</v>
      </c>
      <c r="BV45" s="48">
        <f t="shared" si="569"/>
        <v>0.58999999999999975</v>
      </c>
      <c r="BW45" s="48">
        <f t="shared" si="569"/>
        <v>0.56999999999999973</v>
      </c>
      <c r="BY45" s="48">
        <f t="shared" si="88"/>
        <v>4154.1500000000005</v>
      </c>
      <c r="BZ45" s="48">
        <f t="shared" si="89"/>
        <v>4154.1500000000005</v>
      </c>
      <c r="CA45" s="51">
        <f t="shared" ref="CA45" si="570">+BZ45*3.3058</f>
        <v>13732.789070000003</v>
      </c>
      <c r="CB45" s="48">
        <f t="shared" si="248"/>
        <v>4029.5255000000002</v>
      </c>
      <c r="CC45" s="51">
        <f t="shared" si="249"/>
        <v>13320.805397900001</v>
      </c>
      <c r="CD45" s="48">
        <f t="shared" si="250"/>
        <v>3946.4425000000001</v>
      </c>
      <c r="CE45" s="51">
        <f t="shared" si="251"/>
        <v>13046.149616500001</v>
      </c>
      <c r="CF45" s="48">
        <f t="shared" si="252"/>
        <v>3863.3595000000009</v>
      </c>
      <c r="CG45" s="51">
        <f t="shared" si="253"/>
        <v>12771.493835100004</v>
      </c>
      <c r="CH45" s="52">
        <f t="shared" si="254"/>
        <v>3780.2765000000009</v>
      </c>
      <c r="CI45" s="51">
        <f t="shared" si="255"/>
        <v>12496.838053700003</v>
      </c>
      <c r="CJ45" s="48">
        <f t="shared" si="256"/>
        <v>3697.1935000000008</v>
      </c>
      <c r="CK45" s="51">
        <f t="shared" si="257"/>
        <v>12222.182272300002</v>
      </c>
      <c r="CL45" s="52">
        <f t="shared" si="258"/>
        <v>3614.1105000000002</v>
      </c>
      <c r="CM45" s="51">
        <f t="shared" si="259"/>
        <v>11947.526490900002</v>
      </c>
      <c r="CN45" s="53">
        <f t="shared" si="260"/>
        <v>3531.0275000000001</v>
      </c>
      <c r="CO45" s="51">
        <f t="shared" si="261"/>
        <v>11672.870709500001</v>
      </c>
      <c r="CP45" s="52">
        <f t="shared" si="262"/>
        <v>3447.9445000000001</v>
      </c>
      <c r="CQ45" s="51">
        <f t="shared" si="263"/>
        <v>11398.2149281</v>
      </c>
      <c r="CR45" s="48">
        <f t="shared" si="264"/>
        <v>3364.8615</v>
      </c>
      <c r="CS45" s="51">
        <f t="shared" si="265"/>
        <v>11123.559146699999</v>
      </c>
      <c r="CT45" s="53">
        <f t="shared" si="266"/>
        <v>3281.7784999999999</v>
      </c>
      <c r="CU45" s="51">
        <f t="shared" si="267"/>
        <v>10848.903365300001</v>
      </c>
      <c r="CV45" s="53">
        <f t="shared" si="268"/>
        <v>3198.6954999999998</v>
      </c>
      <c r="CW45" s="51">
        <f t="shared" si="269"/>
        <v>10574.2475839</v>
      </c>
      <c r="CX45" s="53">
        <f t="shared" si="270"/>
        <v>3115.6124999999997</v>
      </c>
      <c r="CY45" s="51">
        <f t="shared" si="271"/>
        <v>10299.591802499999</v>
      </c>
      <c r="CZ45" s="48">
        <f t="shared" si="272"/>
        <v>3032.5294999999996</v>
      </c>
      <c r="DA45" s="51">
        <f t="shared" si="273"/>
        <v>10024.936021099998</v>
      </c>
      <c r="DB45" s="53">
        <f t="shared" si="274"/>
        <v>2949.4464999999996</v>
      </c>
      <c r="DC45" s="51">
        <f t="shared" si="275"/>
        <v>9750.2802396999996</v>
      </c>
      <c r="DD45" s="53">
        <f t="shared" si="276"/>
        <v>2866.3634999999995</v>
      </c>
      <c r="DE45" s="51">
        <f t="shared" si="277"/>
        <v>9475.6244582999989</v>
      </c>
      <c r="DF45" s="53">
        <f t="shared" si="278"/>
        <v>2783.2804999999994</v>
      </c>
      <c r="DG45" s="51">
        <f t="shared" si="279"/>
        <v>9200.9686768999982</v>
      </c>
      <c r="DH45" s="53">
        <f t="shared" si="280"/>
        <v>2700.1974999999993</v>
      </c>
      <c r="DI45" s="51">
        <f t="shared" si="281"/>
        <v>8926.3128954999975</v>
      </c>
      <c r="DJ45" s="48">
        <f t="shared" si="282"/>
        <v>2617.1144999999992</v>
      </c>
      <c r="DK45" s="51">
        <f t="shared" si="283"/>
        <v>8651.6571140999968</v>
      </c>
      <c r="DL45" s="53">
        <f t="shared" si="284"/>
        <v>2534.0314999999991</v>
      </c>
      <c r="DM45" s="51">
        <f t="shared" si="285"/>
        <v>8377.0013326999979</v>
      </c>
      <c r="DN45" s="53">
        <f t="shared" si="286"/>
        <v>2450.9484999999991</v>
      </c>
      <c r="DO45" s="51">
        <f t="shared" si="287"/>
        <v>8102.3455512999972</v>
      </c>
      <c r="DP45" s="48">
        <f t="shared" si="288"/>
        <v>2367.865499999999</v>
      </c>
      <c r="DQ45" s="51">
        <f t="shared" si="289"/>
        <v>7827.6897698999965</v>
      </c>
      <c r="DT45" s="48">
        <v>1</v>
      </c>
      <c r="DU45" s="48">
        <v>0.97</v>
      </c>
      <c r="DV45" s="48">
        <v>0.95</v>
      </c>
      <c r="DW45" s="48">
        <v>0.93</v>
      </c>
      <c r="DX45" s="48">
        <f t="shared" ref="DX45:EO45" si="571">+DW45-0.02</f>
        <v>0.91</v>
      </c>
      <c r="DY45" s="48">
        <f t="shared" si="571"/>
        <v>0.89</v>
      </c>
      <c r="DZ45" s="48">
        <f t="shared" si="571"/>
        <v>0.87</v>
      </c>
      <c r="EA45" s="48">
        <f t="shared" si="571"/>
        <v>0.85</v>
      </c>
      <c r="EB45" s="48">
        <f t="shared" si="571"/>
        <v>0.83</v>
      </c>
      <c r="EC45" s="48">
        <f t="shared" si="571"/>
        <v>0.80999999999999994</v>
      </c>
      <c r="ED45" s="48">
        <f t="shared" si="571"/>
        <v>0.78999999999999992</v>
      </c>
      <c r="EE45" s="48">
        <f t="shared" si="571"/>
        <v>0.76999999999999991</v>
      </c>
      <c r="EF45" s="48">
        <f t="shared" si="571"/>
        <v>0.74999999999999989</v>
      </c>
      <c r="EG45" s="48">
        <f t="shared" si="571"/>
        <v>0.72999999999999987</v>
      </c>
      <c r="EH45" s="48">
        <f t="shared" si="571"/>
        <v>0.70999999999999985</v>
      </c>
      <c r="EI45" s="48">
        <f t="shared" si="571"/>
        <v>0.68999999999999984</v>
      </c>
      <c r="EJ45" s="48">
        <f t="shared" si="571"/>
        <v>0.66999999999999982</v>
      </c>
      <c r="EK45" s="48">
        <f t="shared" si="571"/>
        <v>0.6499999999999998</v>
      </c>
      <c r="EL45" s="48">
        <f t="shared" si="571"/>
        <v>0.62999999999999978</v>
      </c>
      <c r="EM45" s="48">
        <f t="shared" si="571"/>
        <v>0.60999999999999976</v>
      </c>
      <c r="EN45" s="48">
        <f t="shared" si="571"/>
        <v>0.58999999999999975</v>
      </c>
      <c r="EO45" s="48">
        <f t="shared" si="571"/>
        <v>0.56999999999999973</v>
      </c>
      <c r="EQ45" s="48">
        <f t="shared" si="188"/>
        <v>3780.2765000000009</v>
      </c>
      <c r="ER45" s="48">
        <f t="shared" si="116"/>
        <v>3780.2765000000009</v>
      </c>
      <c r="ES45" s="51">
        <f t="shared" ref="ES45" si="572">+ER45*3.3058</f>
        <v>12496.838053700003</v>
      </c>
      <c r="ET45" s="48">
        <f t="shared" si="292"/>
        <v>3666.8682050000007</v>
      </c>
      <c r="EU45" s="51">
        <f t="shared" si="293"/>
        <v>12121.932912089003</v>
      </c>
      <c r="EV45" s="48">
        <f t="shared" si="294"/>
        <v>3591.2626750000009</v>
      </c>
      <c r="EW45" s="51">
        <f t="shared" si="295"/>
        <v>11871.996151015002</v>
      </c>
      <c r="EX45" s="48">
        <f t="shared" si="296"/>
        <v>3515.657145000001</v>
      </c>
      <c r="EY45" s="51">
        <f t="shared" si="297"/>
        <v>11622.059389941003</v>
      </c>
      <c r="EZ45" s="52">
        <f t="shared" si="298"/>
        <v>3440.0516150000008</v>
      </c>
      <c r="FA45" s="51">
        <f t="shared" si="299"/>
        <v>11372.122628867002</v>
      </c>
      <c r="FB45" s="48">
        <f t="shared" si="300"/>
        <v>3364.4460850000009</v>
      </c>
      <c r="FC45" s="51">
        <f t="shared" si="301"/>
        <v>11122.185867793003</v>
      </c>
      <c r="FD45" s="52">
        <f t="shared" si="302"/>
        <v>3288.8405550000007</v>
      </c>
      <c r="FE45" s="51">
        <f t="shared" si="303"/>
        <v>10872.249106719002</v>
      </c>
      <c r="FF45" s="53">
        <f t="shared" si="304"/>
        <v>3213.2350250000009</v>
      </c>
      <c r="FG45" s="51">
        <f t="shared" si="305"/>
        <v>10622.312345645003</v>
      </c>
      <c r="FH45" s="52">
        <f t="shared" si="306"/>
        <v>3137.6294950000006</v>
      </c>
      <c r="FI45" s="51">
        <f t="shared" si="307"/>
        <v>10372.375584571002</v>
      </c>
      <c r="FJ45" s="48">
        <f t="shared" si="308"/>
        <v>3062.0239650000003</v>
      </c>
      <c r="FK45" s="51">
        <f t="shared" si="309"/>
        <v>10122.438823497001</v>
      </c>
      <c r="FL45" s="53">
        <f t="shared" si="310"/>
        <v>2986.4184350000005</v>
      </c>
      <c r="FM45" s="51">
        <f t="shared" si="311"/>
        <v>9872.5020624230019</v>
      </c>
      <c r="FN45" s="53">
        <f t="shared" si="312"/>
        <v>2910.8129050000002</v>
      </c>
      <c r="FO45" s="51">
        <f t="shared" si="313"/>
        <v>9622.5653013490009</v>
      </c>
      <c r="FP45" s="53">
        <f t="shared" si="314"/>
        <v>2835.2073750000004</v>
      </c>
      <c r="FQ45" s="51">
        <f t="shared" si="315"/>
        <v>9372.6285402750018</v>
      </c>
      <c r="FR45" s="48">
        <f t="shared" si="316"/>
        <v>2759.6018450000001</v>
      </c>
      <c r="FS45" s="51">
        <f t="shared" si="317"/>
        <v>9122.6917792010008</v>
      </c>
      <c r="FT45" s="53">
        <f t="shared" si="318"/>
        <v>2683.9963149999999</v>
      </c>
      <c r="FU45" s="51">
        <f t="shared" si="319"/>
        <v>8872.7550181269999</v>
      </c>
      <c r="FV45" s="53">
        <f t="shared" si="320"/>
        <v>2608.3907850000001</v>
      </c>
      <c r="FW45" s="51">
        <f t="shared" si="321"/>
        <v>8622.8182570530007</v>
      </c>
      <c r="FX45" s="53">
        <f t="shared" si="322"/>
        <v>2532.7852549999998</v>
      </c>
      <c r="FY45" s="51">
        <f t="shared" si="323"/>
        <v>8372.8814959789997</v>
      </c>
      <c r="FZ45" s="53">
        <f t="shared" si="324"/>
        <v>2457.179725</v>
      </c>
      <c r="GA45" s="51">
        <f t="shared" si="325"/>
        <v>8122.9447349049997</v>
      </c>
      <c r="GB45" s="48">
        <f t="shared" si="326"/>
        <v>2381.5741949999997</v>
      </c>
      <c r="GC45" s="51">
        <f t="shared" si="327"/>
        <v>7873.0079738309987</v>
      </c>
      <c r="GD45" s="53">
        <f t="shared" si="328"/>
        <v>2305.9686649999994</v>
      </c>
      <c r="GE45" s="51">
        <f t="shared" si="329"/>
        <v>7623.0712127569986</v>
      </c>
      <c r="GF45" s="53">
        <f t="shared" si="330"/>
        <v>2230.3631349999996</v>
      </c>
      <c r="GG45" s="51">
        <f t="shared" si="331"/>
        <v>7373.1344516829986</v>
      </c>
      <c r="GH45" s="48">
        <f t="shared" si="332"/>
        <v>2154.7576049999993</v>
      </c>
      <c r="GI45" s="51">
        <f t="shared" si="333"/>
        <v>7123.1976906089976</v>
      </c>
      <c r="GJ45" s="48"/>
      <c r="GK45" s="48"/>
      <c r="GL45" s="48">
        <v>1</v>
      </c>
      <c r="GM45" s="48">
        <v>0.97</v>
      </c>
      <c r="GN45" s="48">
        <v>0.95</v>
      </c>
      <c r="GO45" s="48">
        <v>0.93</v>
      </c>
      <c r="GP45" s="48">
        <f t="shared" ref="GP45:HG45" si="573">+GO45-0.02</f>
        <v>0.91</v>
      </c>
      <c r="GQ45" s="48">
        <f t="shared" si="573"/>
        <v>0.89</v>
      </c>
      <c r="GR45" s="48">
        <f t="shared" si="573"/>
        <v>0.87</v>
      </c>
      <c r="GS45" s="48">
        <f t="shared" si="573"/>
        <v>0.85</v>
      </c>
      <c r="GT45" s="48">
        <f t="shared" si="573"/>
        <v>0.83</v>
      </c>
      <c r="GU45" s="48">
        <f t="shared" si="573"/>
        <v>0.80999999999999994</v>
      </c>
      <c r="GV45" s="48">
        <f t="shared" si="573"/>
        <v>0.78999999999999992</v>
      </c>
      <c r="GW45" s="48">
        <f t="shared" si="573"/>
        <v>0.76999999999999991</v>
      </c>
      <c r="GX45" s="48">
        <f t="shared" si="573"/>
        <v>0.74999999999999989</v>
      </c>
      <c r="GY45" s="48">
        <f t="shared" si="573"/>
        <v>0.72999999999999987</v>
      </c>
      <c r="GZ45" s="48">
        <f t="shared" si="573"/>
        <v>0.70999999999999985</v>
      </c>
      <c r="HA45" s="48">
        <f t="shared" si="573"/>
        <v>0.68999999999999984</v>
      </c>
      <c r="HB45" s="48">
        <f t="shared" si="573"/>
        <v>0.66999999999999982</v>
      </c>
      <c r="HC45" s="48">
        <f t="shared" si="573"/>
        <v>0.6499999999999998</v>
      </c>
      <c r="HD45" s="48">
        <f t="shared" si="573"/>
        <v>0.62999999999999978</v>
      </c>
      <c r="HE45" s="48">
        <f t="shared" si="573"/>
        <v>0.60999999999999976</v>
      </c>
      <c r="HF45" s="48">
        <f t="shared" si="573"/>
        <v>0.58999999999999975</v>
      </c>
      <c r="HG45" s="48">
        <f t="shared" si="573"/>
        <v>0.56999999999999973</v>
      </c>
    </row>
    <row r="46" spans="1:250" x14ac:dyDescent="0.3">
      <c r="A46" s="2">
        <v>13</v>
      </c>
      <c r="C46" s="39" t="s">
        <v>18</v>
      </c>
      <c r="D46" s="44">
        <f>TRUNC(14674.7944568993,-1)</f>
        <v>14670</v>
      </c>
      <c r="E46" s="73">
        <f t="shared" si="203"/>
        <v>48490</v>
      </c>
      <c r="G46" s="48">
        <f t="shared" si="61"/>
        <v>16137.000000000002</v>
      </c>
      <c r="H46" s="48">
        <f t="shared" si="62"/>
        <v>16137.000000000002</v>
      </c>
      <c r="I46" s="51">
        <f t="shared" si="63"/>
        <v>53345.69460000001</v>
      </c>
      <c r="J46" s="48">
        <f t="shared" si="204"/>
        <v>15652.890000000001</v>
      </c>
      <c r="K46" s="51">
        <f t="shared" si="205"/>
        <v>51745.323762000007</v>
      </c>
      <c r="L46" s="48">
        <f t="shared" si="206"/>
        <v>15330.150000000001</v>
      </c>
      <c r="M46" s="51">
        <f t="shared" si="207"/>
        <v>50678.409870000003</v>
      </c>
      <c r="N46" s="48">
        <f t="shared" si="208"/>
        <v>15007.410000000002</v>
      </c>
      <c r="O46" s="51">
        <f t="shared" si="209"/>
        <v>49611.495978000006</v>
      </c>
      <c r="P46" s="52">
        <f t="shared" si="210"/>
        <v>14684.670000000002</v>
      </c>
      <c r="Q46" s="51">
        <f t="shared" si="211"/>
        <v>48544.582086000009</v>
      </c>
      <c r="R46" s="48">
        <f t="shared" si="212"/>
        <v>14361.930000000002</v>
      </c>
      <c r="S46" s="51">
        <f t="shared" si="213"/>
        <v>47477.668194000005</v>
      </c>
      <c r="T46" s="52">
        <f t="shared" si="214"/>
        <v>14039.190000000002</v>
      </c>
      <c r="U46" s="51">
        <f t="shared" si="215"/>
        <v>46410.754302000008</v>
      </c>
      <c r="V46" s="53">
        <f t="shared" si="216"/>
        <v>13716.45</v>
      </c>
      <c r="W46" s="51">
        <f t="shared" si="217"/>
        <v>45343.840410000004</v>
      </c>
      <c r="X46" s="52">
        <f t="shared" si="218"/>
        <v>13393.710000000001</v>
      </c>
      <c r="Y46" s="51">
        <f t="shared" si="219"/>
        <v>44276.926518000007</v>
      </c>
      <c r="Z46" s="48">
        <f t="shared" si="220"/>
        <v>13070.970000000001</v>
      </c>
      <c r="AA46" s="51">
        <f t="shared" si="221"/>
        <v>43210.012626000003</v>
      </c>
      <c r="AB46" s="53">
        <f t="shared" si="222"/>
        <v>12748.23</v>
      </c>
      <c r="AC46" s="51">
        <f t="shared" si="223"/>
        <v>42143.098733999999</v>
      </c>
      <c r="AD46" s="53">
        <f t="shared" si="224"/>
        <v>12425.49</v>
      </c>
      <c r="AE46" s="51">
        <f t="shared" si="225"/>
        <v>41076.184842000002</v>
      </c>
      <c r="AF46" s="53">
        <f t="shared" si="226"/>
        <v>12102.75</v>
      </c>
      <c r="AG46" s="51">
        <f t="shared" si="227"/>
        <v>40009.270949999998</v>
      </c>
      <c r="AH46" s="48">
        <f t="shared" si="228"/>
        <v>11780.009999999998</v>
      </c>
      <c r="AI46" s="51">
        <f t="shared" si="229"/>
        <v>38942.357057999994</v>
      </c>
      <c r="AJ46" s="53">
        <f t="shared" si="230"/>
        <v>11457.269999999999</v>
      </c>
      <c r="AK46" s="51">
        <f t="shared" si="231"/>
        <v>37875.443165999997</v>
      </c>
      <c r="AL46" s="53">
        <f t="shared" si="232"/>
        <v>11134.529999999999</v>
      </c>
      <c r="AM46" s="51">
        <f t="shared" si="233"/>
        <v>36808.529274</v>
      </c>
      <c r="AN46" s="53">
        <f t="shared" si="234"/>
        <v>10811.789999999999</v>
      </c>
      <c r="AO46" s="51">
        <f t="shared" si="235"/>
        <v>35741.615381999996</v>
      </c>
      <c r="AP46" s="53">
        <f t="shared" si="236"/>
        <v>10489.049999999997</v>
      </c>
      <c r="AQ46" s="51">
        <f t="shared" si="237"/>
        <v>34674.701489999992</v>
      </c>
      <c r="AR46" s="48">
        <f t="shared" si="238"/>
        <v>10166.309999999998</v>
      </c>
      <c r="AS46" s="51">
        <f t="shared" si="239"/>
        <v>33607.787597999995</v>
      </c>
      <c r="AT46" s="53">
        <f t="shared" si="240"/>
        <v>9843.5699999999979</v>
      </c>
      <c r="AU46" s="51">
        <f t="shared" si="241"/>
        <v>32540.873705999995</v>
      </c>
      <c r="AV46" s="53">
        <f t="shared" si="242"/>
        <v>9520.8299999999963</v>
      </c>
      <c r="AW46" s="51">
        <f t="shared" si="243"/>
        <v>31473.959813999987</v>
      </c>
      <c r="AX46" s="48">
        <f t="shared" si="244"/>
        <v>9198.0899999999965</v>
      </c>
      <c r="AY46" s="51">
        <f t="shared" si="245"/>
        <v>30407.04592199999</v>
      </c>
      <c r="BB46" s="48">
        <v>1</v>
      </c>
      <c r="BC46" s="48">
        <v>0.97</v>
      </c>
      <c r="BD46" s="48">
        <v>0.95</v>
      </c>
      <c r="BE46" s="48">
        <v>0.93</v>
      </c>
      <c r="BF46" s="48">
        <f t="shared" ref="BF46:BW46" si="574">+BE46-0.02</f>
        <v>0.91</v>
      </c>
      <c r="BG46" s="48">
        <f t="shared" si="574"/>
        <v>0.89</v>
      </c>
      <c r="BH46" s="48">
        <f t="shared" si="574"/>
        <v>0.87</v>
      </c>
      <c r="BI46" s="48">
        <f t="shared" si="574"/>
        <v>0.85</v>
      </c>
      <c r="BJ46" s="48">
        <f t="shared" si="574"/>
        <v>0.83</v>
      </c>
      <c r="BK46" s="48">
        <f t="shared" si="574"/>
        <v>0.80999999999999994</v>
      </c>
      <c r="BL46" s="48">
        <f t="shared" si="574"/>
        <v>0.78999999999999992</v>
      </c>
      <c r="BM46" s="48">
        <f t="shared" si="574"/>
        <v>0.76999999999999991</v>
      </c>
      <c r="BN46" s="48">
        <f t="shared" si="574"/>
        <v>0.74999999999999989</v>
      </c>
      <c r="BO46" s="48">
        <f t="shared" si="574"/>
        <v>0.72999999999999987</v>
      </c>
      <c r="BP46" s="48">
        <f t="shared" si="574"/>
        <v>0.70999999999999985</v>
      </c>
      <c r="BQ46" s="48">
        <f t="shared" si="574"/>
        <v>0.68999999999999984</v>
      </c>
      <c r="BR46" s="48">
        <f t="shared" si="574"/>
        <v>0.66999999999999982</v>
      </c>
      <c r="BS46" s="48">
        <f t="shared" si="574"/>
        <v>0.6499999999999998</v>
      </c>
      <c r="BT46" s="48">
        <f t="shared" si="574"/>
        <v>0.62999999999999978</v>
      </c>
      <c r="BU46" s="48">
        <f t="shared" si="574"/>
        <v>0.60999999999999976</v>
      </c>
      <c r="BV46" s="48">
        <f t="shared" si="574"/>
        <v>0.58999999999999975</v>
      </c>
      <c r="BW46" s="48">
        <f t="shared" si="574"/>
        <v>0.56999999999999973</v>
      </c>
      <c r="BY46" s="48">
        <f t="shared" si="88"/>
        <v>14684.670000000002</v>
      </c>
      <c r="BZ46" s="48">
        <f t="shared" si="89"/>
        <v>14684.670000000002</v>
      </c>
      <c r="CA46" s="51">
        <f t="shared" ref="CA46" si="575">+BZ46*3.3058</f>
        <v>48544.582086000009</v>
      </c>
      <c r="CB46" s="48">
        <f t="shared" si="248"/>
        <v>14244.129900000002</v>
      </c>
      <c r="CC46" s="51">
        <f t="shared" si="249"/>
        <v>47088.244623420003</v>
      </c>
      <c r="CD46" s="48">
        <f t="shared" si="250"/>
        <v>13950.436500000002</v>
      </c>
      <c r="CE46" s="51">
        <f t="shared" si="251"/>
        <v>46117.352981700009</v>
      </c>
      <c r="CF46" s="48">
        <f t="shared" si="252"/>
        <v>13656.743100000003</v>
      </c>
      <c r="CG46" s="51">
        <f t="shared" si="253"/>
        <v>45146.461339980015</v>
      </c>
      <c r="CH46" s="52">
        <f t="shared" si="254"/>
        <v>13363.049700000001</v>
      </c>
      <c r="CI46" s="51">
        <f t="shared" si="255"/>
        <v>44175.569698260006</v>
      </c>
      <c r="CJ46" s="48">
        <f t="shared" si="256"/>
        <v>13069.356300000001</v>
      </c>
      <c r="CK46" s="51">
        <f t="shared" si="257"/>
        <v>43204.678056540004</v>
      </c>
      <c r="CL46" s="52">
        <f t="shared" si="258"/>
        <v>12775.662900000001</v>
      </c>
      <c r="CM46" s="51">
        <f t="shared" si="259"/>
        <v>42233.786414820002</v>
      </c>
      <c r="CN46" s="53">
        <f t="shared" si="260"/>
        <v>12481.969500000001</v>
      </c>
      <c r="CO46" s="51">
        <f t="shared" si="261"/>
        <v>41262.894773100008</v>
      </c>
      <c r="CP46" s="52">
        <f t="shared" si="262"/>
        <v>12188.276100000001</v>
      </c>
      <c r="CQ46" s="51">
        <f t="shared" si="263"/>
        <v>40292.003131380006</v>
      </c>
      <c r="CR46" s="48">
        <f t="shared" si="264"/>
        <v>11894.582700000001</v>
      </c>
      <c r="CS46" s="51">
        <f t="shared" si="265"/>
        <v>39321.111489660005</v>
      </c>
      <c r="CT46" s="53">
        <f t="shared" si="266"/>
        <v>11600.889300000001</v>
      </c>
      <c r="CU46" s="51">
        <f t="shared" si="267"/>
        <v>38350.219847940003</v>
      </c>
      <c r="CV46" s="53">
        <f t="shared" si="268"/>
        <v>11307.195900000001</v>
      </c>
      <c r="CW46" s="51">
        <f t="shared" si="269"/>
        <v>37379.328206220001</v>
      </c>
      <c r="CX46" s="53">
        <f t="shared" si="270"/>
        <v>11013.502500000001</v>
      </c>
      <c r="CY46" s="51">
        <f t="shared" si="271"/>
        <v>36408.4365645</v>
      </c>
      <c r="CZ46" s="48">
        <f t="shared" si="272"/>
        <v>10719.8091</v>
      </c>
      <c r="DA46" s="51">
        <f t="shared" si="273"/>
        <v>35437.544922780005</v>
      </c>
      <c r="DB46" s="53">
        <f t="shared" si="274"/>
        <v>10426.115699999998</v>
      </c>
      <c r="DC46" s="51">
        <f t="shared" si="275"/>
        <v>34466.653281059997</v>
      </c>
      <c r="DD46" s="53">
        <f t="shared" si="276"/>
        <v>10132.422299999998</v>
      </c>
      <c r="DE46" s="51">
        <f t="shared" si="277"/>
        <v>33495.761639339995</v>
      </c>
      <c r="DF46" s="53">
        <f t="shared" si="278"/>
        <v>9838.7288999999982</v>
      </c>
      <c r="DG46" s="51">
        <f t="shared" si="279"/>
        <v>32524.869997619993</v>
      </c>
      <c r="DH46" s="53">
        <f t="shared" si="280"/>
        <v>9545.0354999999981</v>
      </c>
      <c r="DI46" s="51">
        <f t="shared" si="281"/>
        <v>31553.978355899995</v>
      </c>
      <c r="DJ46" s="48">
        <f t="shared" si="282"/>
        <v>9251.342099999998</v>
      </c>
      <c r="DK46" s="51">
        <f t="shared" si="283"/>
        <v>30583.086714179994</v>
      </c>
      <c r="DL46" s="53">
        <f t="shared" si="284"/>
        <v>8957.6486999999979</v>
      </c>
      <c r="DM46" s="51">
        <f t="shared" si="285"/>
        <v>29612.195072459996</v>
      </c>
      <c r="DN46" s="53">
        <f t="shared" si="286"/>
        <v>8663.9552999999978</v>
      </c>
      <c r="DO46" s="51">
        <f t="shared" si="287"/>
        <v>28641.303430739994</v>
      </c>
      <c r="DP46" s="48">
        <f t="shared" si="288"/>
        <v>8370.2618999999977</v>
      </c>
      <c r="DQ46" s="51">
        <f t="shared" si="289"/>
        <v>27670.411789019992</v>
      </c>
      <c r="DT46" s="48">
        <v>1</v>
      </c>
      <c r="DU46" s="48">
        <v>0.97</v>
      </c>
      <c r="DV46" s="48">
        <v>0.95</v>
      </c>
      <c r="DW46" s="48">
        <v>0.93</v>
      </c>
      <c r="DX46" s="48">
        <f t="shared" ref="DX46:EO46" si="576">+DW46-0.02</f>
        <v>0.91</v>
      </c>
      <c r="DY46" s="48">
        <f t="shared" si="576"/>
        <v>0.89</v>
      </c>
      <c r="DZ46" s="48">
        <f t="shared" si="576"/>
        <v>0.87</v>
      </c>
      <c r="EA46" s="48">
        <f t="shared" si="576"/>
        <v>0.85</v>
      </c>
      <c r="EB46" s="48">
        <f t="shared" si="576"/>
        <v>0.83</v>
      </c>
      <c r="EC46" s="48">
        <f t="shared" si="576"/>
        <v>0.80999999999999994</v>
      </c>
      <c r="ED46" s="48">
        <f t="shared" si="576"/>
        <v>0.78999999999999992</v>
      </c>
      <c r="EE46" s="48">
        <f t="shared" si="576"/>
        <v>0.76999999999999991</v>
      </c>
      <c r="EF46" s="48">
        <f t="shared" si="576"/>
        <v>0.74999999999999989</v>
      </c>
      <c r="EG46" s="48">
        <f t="shared" si="576"/>
        <v>0.72999999999999987</v>
      </c>
      <c r="EH46" s="48">
        <f t="shared" si="576"/>
        <v>0.70999999999999985</v>
      </c>
      <c r="EI46" s="48">
        <f t="shared" si="576"/>
        <v>0.68999999999999984</v>
      </c>
      <c r="EJ46" s="48">
        <f t="shared" si="576"/>
        <v>0.66999999999999982</v>
      </c>
      <c r="EK46" s="48">
        <f t="shared" si="576"/>
        <v>0.6499999999999998</v>
      </c>
      <c r="EL46" s="48">
        <f t="shared" si="576"/>
        <v>0.62999999999999978</v>
      </c>
      <c r="EM46" s="48">
        <f t="shared" si="576"/>
        <v>0.60999999999999976</v>
      </c>
      <c r="EN46" s="48">
        <f t="shared" si="576"/>
        <v>0.58999999999999975</v>
      </c>
      <c r="EO46" s="48">
        <f t="shared" si="576"/>
        <v>0.56999999999999973</v>
      </c>
      <c r="EQ46" s="48">
        <f t="shared" si="188"/>
        <v>13363.049700000001</v>
      </c>
      <c r="ER46" s="48">
        <f t="shared" si="116"/>
        <v>13363.049700000001</v>
      </c>
      <c r="ES46" s="51">
        <f t="shared" ref="ES46" si="577">+ER46*3.3058</f>
        <v>44175.569698260006</v>
      </c>
      <c r="ET46" s="48">
        <f t="shared" si="292"/>
        <v>12962.158209000001</v>
      </c>
      <c r="EU46" s="51">
        <f t="shared" si="293"/>
        <v>42850.302607312202</v>
      </c>
      <c r="EV46" s="48">
        <f t="shared" si="294"/>
        <v>12694.897215000001</v>
      </c>
      <c r="EW46" s="51">
        <f t="shared" si="295"/>
        <v>41966.791213347002</v>
      </c>
      <c r="EX46" s="48">
        <f t="shared" si="296"/>
        <v>12427.636221000002</v>
      </c>
      <c r="EY46" s="51">
        <f t="shared" si="297"/>
        <v>41083.279819381809</v>
      </c>
      <c r="EZ46" s="52">
        <f t="shared" si="298"/>
        <v>12160.375227000002</v>
      </c>
      <c r="FA46" s="51">
        <f t="shared" si="299"/>
        <v>40199.768425416609</v>
      </c>
      <c r="FB46" s="48">
        <f t="shared" si="300"/>
        <v>11893.114233000002</v>
      </c>
      <c r="FC46" s="51">
        <f t="shared" si="301"/>
        <v>39316.257031451409</v>
      </c>
      <c r="FD46" s="52">
        <f t="shared" si="302"/>
        <v>11625.853239000002</v>
      </c>
      <c r="FE46" s="51">
        <f t="shared" si="303"/>
        <v>38432.745637486209</v>
      </c>
      <c r="FF46" s="53">
        <f t="shared" si="304"/>
        <v>11358.592245000002</v>
      </c>
      <c r="FG46" s="51">
        <f t="shared" si="305"/>
        <v>37549.234243521008</v>
      </c>
      <c r="FH46" s="52">
        <f t="shared" si="306"/>
        <v>11091.331251000001</v>
      </c>
      <c r="FI46" s="51">
        <f t="shared" si="307"/>
        <v>36665.722849555808</v>
      </c>
      <c r="FJ46" s="48">
        <f t="shared" si="308"/>
        <v>10824.070257000001</v>
      </c>
      <c r="FK46" s="51">
        <f t="shared" si="309"/>
        <v>35782.211455590608</v>
      </c>
      <c r="FL46" s="53">
        <f t="shared" si="310"/>
        <v>10556.809262999999</v>
      </c>
      <c r="FM46" s="51">
        <f t="shared" si="311"/>
        <v>34898.700061625401</v>
      </c>
      <c r="FN46" s="53">
        <f t="shared" si="312"/>
        <v>10289.548268999999</v>
      </c>
      <c r="FO46" s="51">
        <f t="shared" si="313"/>
        <v>34015.188667660201</v>
      </c>
      <c r="FP46" s="53">
        <f t="shared" si="314"/>
        <v>10022.287274999999</v>
      </c>
      <c r="FQ46" s="51">
        <f t="shared" si="315"/>
        <v>33131.677273694993</v>
      </c>
      <c r="FR46" s="48">
        <f t="shared" si="316"/>
        <v>9755.0262809999986</v>
      </c>
      <c r="FS46" s="51">
        <f t="shared" si="317"/>
        <v>32248.165879729797</v>
      </c>
      <c r="FT46" s="53">
        <f t="shared" si="318"/>
        <v>9487.7652869999984</v>
      </c>
      <c r="FU46" s="51">
        <f t="shared" si="319"/>
        <v>31364.654485764597</v>
      </c>
      <c r="FV46" s="53">
        <f t="shared" si="320"/>
        <v>9220.5042929999981</v>
      </c>
      <c r="FW46" s="51">
        <f t="shared" si="321"/>
        <v>30481.143091799393</v>
      </c>
      <c r="FX46" s="53">
        <f t="shared" si="322"/>
        <v>8953.2432989999979</v>
      </c>
      <c r="FY46" s="51">
        <f t="shared" si="323"/>
        <v>29597.631697834193</v>
      </c>
      <c r="FZ46" s="53">
        <f t="shared" si="324"/>
        <v>8685.9823049999977</v>
      </c>
      <c r="GA46" s="51">
        <f t="shared" si="325"/>
        <v>28714.120303868993</v>
      </c>
      <c r="GB46" s="48">
        <f t="shared" si="326"/>
        <v>8418.7213109999975</v>
      </c>
      <c r="GC46" s="51">
        <f t="shared" si="327"/>
        <v>27830.608909903793</v>
      </c>
      <c r="GD46" s="53">
        <f t="shared" si="328"/>
        <v>8151.4603169999973</v>
      </c>
      <c r="GE46" s="51">
        <f t="shared" si="329"/>
        <v>26947.097515938593</v>
      </c>
      <c r="GF46" s="53">
        <f t="shared" si="330"/>
        <v>7884.1993229999971</v>
      </c>
      <c r="GG46" s="51">
        <f t="shared" si="331"/>
        <v>26063.586121973392</v>
      </c>
      <c r="GH46" s="48">
        <f t="shared" si="332"/>
        <v>7616.9383289999969</v>
      </c>
      <c r="GI46" s="51">
        <f t="shared" si="333"/>
        <v>25180.074728008189</v>
      </c>
      <c r="GJ46" s="48"/>
      <c r="GK46" s="48"/>
      <c r="GL46" s="48">
        <v>1</v>
      </c>
      <c r="GM46" s="48">
        <v>0.97</v>
      </c>
      <c r="GN46" s="48">
        <v>0.95</v>
      </c>
      <c r="GO46" s="48">
        <v>0.93</v>
      </c>
      <c r="GP46" s="48">
        <f t="shared" ref="GP46:HG46" si="578">+GO46-0.02</f>
        <v>0.91</v>
      </c>
      <c r="GQ46" s="48">
        <f t="shared" si="578"/>
        <v>0.89</v>
      </c>
      <c r="GR46" s="48">
        <f t="shared" si="578"/>
        <v>0.87</v>
      </c>
      <c r="GS46" s="48">
        <f t="shared" si="578"/>
        <v>0.85</v>
      </c>
      <c r="GT46" s="48">
        <f t="shared" si="578"/>
        <v>0.83</v>
      </c>
      <c r="GU46" s="48">
        <f t="shared" si="578"/>
        <v>0.80999999999999994</v>
      </c>
      <c r="GV46" s="48">
        <f t="shared" si="578"/>
        <v>0.78999999999999992</v>
      </c>
      <c r="GW46" s="48">
        <f t="shared" si="578"/>
        <v>0.76999999999999991</v>
      </c>
      <c r="GX46" s="48">
        <f t="shared" si="578"/>
        <v>0.74999999999999989</v>
      </c>
      <c r="GY46" s="48">
        <f t="shared" si="578"/>
        <v>0.72999999999999987</v>
      </c>
      <c r="GZ46" s="48">
        <f t="shared" si="578"/>
        <v>0.70999999999999985</v>
      </c>
      <c r="HA46" s="48">
        <f t="shared" si="578"/>
        <v>0.68999999999999984</v>
      </c>
      <c r="HB46" s="48">
        <f t="shared" si="578"/>
        <v>0.66999999999999982</v>
      </c>
      <c r="HC46" s="48">
        <f t="shared" si="578"/>
        <v>0.6499999999999998</v>
      </c>
      <c r="HD46" s="48">
        <f t="shared" si="578"/>
        <v>0.62999999999999978</v>
      </c>
      <c r="HE46" s="48">
        <f t="shared" si="578"/>
        <v>0.60999999999999976</v>
      </c>
      <c r="HF46" s="48">
        <f t="shared" si="578"/>
        <v>0.58999999999999975</v>
      </c>
      <c r="HG46" s="48">
        <f t="shared" si="578"/>
        <v>0.56999999999999973</v>
      </c>
    </row>
    <row r="47" spans="1:250" x14ac:dyDescent="0.3">
      <c r="A47" s="2">
        <v>14</v>
      </c>
      <c r="C47" s="39" t="s">
        <v>19</v>
      </c>
      <c r="D47" s="44">
        <f>TRUNC(51214.1189466715,-1)</f>
        <v>51210</v>
      </c>
      <c r="E47" s="73">
        <f t="shared" si="203"/>
        <v>169290</v>
      </c>
      <c r="G47" s="48">
        <f t="shared" si="61"/>
        <v>56331.000000000007</v>
      </c>
      <c r="H47" s="48">
        <f t="shared" si="62"/>
        <v>56331.000000000007</v>
      </c>
      <c r="I47" s="51">
        <f t="shared" si="63"/>
        <v>186219.01980000004</v>
      </c>
      <c r="J47" s="48">
        <f t="shared" si="204"/>
        <v>54641.070000000007</v>
      </c>
      <c r="K47" s="51">
        <f t="shared" si="205"/>
        <v>180632.44920600002</v>
      </c>
      <c r="L47" s="48">
        <f t="shared" si="206"/>
        <v>53514.450000000004</v>
      </c>
      <c r="M47" s="51">
        <f t="shared" si="207"/>
        <v>176908.06881000003</v>
      </c>
      <c r="N47" s="48">
        <f t="shared" si="208"/>
        <v>52387.830000000009</v>
      </c>
      <c r="O47" s="51">
        <f t="shared" si="209"/>
        <v>173183.68841400003</v>
      </c>
      <c r="P47" s="52">
        <f t="shared" si="210"/>
        <v>51261.210000000006</v>
      </c>
      <c r="Q47" s="51">
        <f t="shared" si="211"/>
        <v>169459.30801800001</v>
      </c>
      <c r="R47" s="48">
        <f t="shared" si="212"/>
        <v>50134.590000000004</v>
      </c>
      <c r="S47" s="51">
        <f t="shared" si="213"/>
        <v>165734.92762200002</v>
      </c>
      <c r="T47" s="52">
        <f t="shared" si="214"/>
        <v>49007.970000000008</v>
      </c>
      <c r="U47" s="51">
        <f t="shared" si="215"/>
        <v>162010.54722600002</v>
      </c>
      <c r="V47" s="53">
        <f t="shared" si="216"/>
        <v>47881.350000000006</v>
      </c>
      <c r="W47" s="51">
        <f t="shared" si="217"/>
        <v>158286.16683000003</v>
      </c>
      <c r="X47" s="52">
        <f t="shared" si="218"/>
        <v>46754.73</v>
      </c>
      <c r="Y47" s="51">
        <f t="shared" si="219"/>
        <v>154561.78643400001</v>
      </c>
      <c r="Z47" s="48">
        <f t="shared" si="220"/>
        <v>45628.11</v>
      </c>
      <c r="AA47" s="51">
        <f t="shared" si="221"/>
        <v>150837.40603800002</v>
      </c>
      <c r="AB47" s="53">
        <f t="shared" si="222"/>
        <v>44501.49</v>
      </c>
      <c r="AC47" s="51">
        <f t="shared" si="223"/>
        <v>147113.02564199999</v>
      </c>
      <c r="AD47" s="53">
        <f t="shared" si="224"/>
        <v>43374.87</v>
      </c>
      <c r="AE47" s="51">
        <f t="shared" si="225"/>
        <v>143388.645246</v>
      </c>
      <c r="AF47" s="53">
        <f t="shared" si="226"/>
        <v>42248.25</v>
      </c>
      <c r="AG47" s="51">
        <f t="shared" si="227"/>
        <v>139664.26485000001</v>
      </c>
      <c r="AH47" s="48">
        <f t="shared" si="228"/>
        <v>41121.629999999997</v>
      </c>
      <c r="AI47" s="51">
        <f t="shared" si="229"/>
        <v>135939.88445399998</v>
      </c>
      <c r="AJ47" s="53">
        <f t="shared" si="230"/>
        <v>39995.009999999995</v>
      </c>
      <c r="AK47" s="51">
        <f t="shared" si="231"/>
        <v>132215.50405799999</v>
      </c>
      <c r="AL47" s="53">
        <f t="shared" si="232"/>
        <v>38868.389999999992</v>
      </c>
      <c r="AM47" s="51">
        <f t="shared" si="233"/>
        <v>128491.12366199998</v>
      </c>
      <c r="AN47" s="53">
        <f t="shared" si="234"/>
        <v>37741.769999999997</v>
      </c>
      <c r="AO47" s="51">
        <f t="shared" si="235"/>
        <v>124766.74326599999</v>
      </c>
      <c r="AP47" s="53">
        <f t="shared" si="236"/>
        <v>36615.149999999994</v>
      </c>
      <c r="AQ47" s="51">
        <f t="shared" si="237"/>
        <v>121042.36286999998</v>
      </c>
      <c r="AR47" s="48">
        <f t="shared" si="238"/>
        <v>35488.529999999992</v>
      </c>
      <c r="AS47" s="51">
        <f t="shared" si="239"/>
        <v>117317.98247399997</v>
      </c>
      <c r="AT47" s="53">
        <f t="shared" si="240"/>
        <v>34361.909999999989</v>
      </c>
      <c r="AU47" s="51">
        <f t="shared" si="241"/>
        <v>113593.60207799997</v>
      </c>
      <c r="AV47" s="53">
        <f t="shared" si="242"/>
        <v>33235.289999999994</v>
      </c>
      <c r="AW47" s="51">
        <f t="shared" si="243"/>
        <v>109869.22168199997</v>
      </c>
      <c r="AX47" s="48">
        <f t="shared" si="244"/>
        <v>32108.669999999987</v>
      </c>
      <c r="AY47" s="51">
        <f t="shared" si="245"/>
        <v>106144.84128599997</v>
      </c>
      <c r="BB47" s="48">
        <v>1</v>
      </c>
      <c r="BC47" s="48">
        <v>0.97</v>
      </c>
      <c r="BD47" s="48">
        <v>0.95</v>
      </c>
      <c r="BE47" s="48">
        <v>0.93</v>
      </c>
      <c r="BF47" s="48">
        <f t="shared" ref="BF47:BW47" si="579">+BE47-0.02</f>
        <v>0.91</v>
      </c>
      <c r="BG47" s="48">
        <f t="shared" si="579"/>
        <v>0.89</v>
      </c>
      <c r="BH47" s="48">
        <f t="shared" si="579"/>
        <v>0.87</v>
      </c>
      <c r="BI47" s="48">
        <f t="shared" si="579"/>
        <v>0.85</v>
      </c>
      <c r="BJ47" s="48">
        <f t="shared" si="579"/>
        <v>0.83</v>
      </c>
      <c r="BK47" s="48">
        <f t="shared" si="579"/>
        <v>0.80999999999999994</v>
      </c>
      <c r="BL47" s="48">
        <f t="shared" si="579"/>
        <v>0.78999999999999992</v>
      </c>
      <c r="BM47" s="48">
        <f t="shared" si="579"/>
        <v>0.76999999999999991</v>
      </c>
      <c r="BN47" s="48">
        <f t="shared" si="579"/>
        <v>0.74999999999999989</v>
      </c>
      <c r="BO47" s="48">
        <f t="shared" si="579"/>
        <v>0.72999999999999987</v>
      </c>
      <c r="BP47" s="48">
        <f t="shared" si="579"/>
        <v>0.70999999999999985</v>
      </c>
      <c r="BQ47" s="48">
        <f t="shared" si="579"/>
        <v>0.68999999999999984</v>
      </c>
      <c r="BR47" s="48">
        <f t="shared" si="579"/>
        <v>0.66999999999999982</v>
      </c>
      <c r="BS47" s="48">
        <f t="shared" si="579"/>
        <v>0.6499999999999998</v>
      </c>
      <c r="BT47" s="48">
        <f t="shared" si="579"/>
        <v>0.62999999999999978</v>
      </c>
      <c r="BU47" s="48">
        <f t="shared" si="579"/>
        <v>0.60999999999999976</v>
      </c>
      <c r="BV47" s="48">
        <f t="shared" si="579"/>
        <v>0.58999999999999975</v>
      </c>
      <c r="BW47" s="48">
        <f t="shared" si="579"/>
        <v>0.56999999999999973</v>
      </c>
      <c r="BY47" s="48">
        <f t="shared" si="88"/>
        <v>51261.210000000006</v>
      </c>
      <c r="BZ47" s="48">
        <f t="shared" si="89"/>
        <v>51261.210000000006</v>
      </c>
      <c r="CA47" s="51">
        <f t="shared" ref="CA47" si="580">+BZ47*3.3058</f>
        <v>169459.30801800001</v>
      </c>
      <c r="CB47" s="48">
        <f t="shared" si="248"/>
        <v>49723.373700000004</v>
      </c>
      <c r="CC47" s="51">
        <f t="shared" si="249"/>
        <v>164375.52877746001</v>
      </c>
      <c r="CD47" s="48">
        <f t="shared" si="250"/>
        <v>48698.149500000007</v>
      </c>
      <c r="CE47" s="51">
        <f t="shared" si="251"/>
        <v>160986.34261710002</v>
      </c>
      <c r="CF47" s="48">
        <f t="shared" si="252"/>
        <v>47672.92530000001</v>
      </c>
      <c r="CG47" s="51">
        <f t="shared" si="253"/>
        <v>157597.15645674005</v>
      </c>
      <c r="CH47" s="52">
        <f t="shared" si="254"/>
        <v>46647.701100000006</v>
      </c>
      <c r="CI47" s="51">
        <f t="shared" si="255"/>
        <v>154207.97029638002</v>
      </c>
      <c r="CJ47" s="48">
        <f t="shared" si="256"/>
        <v>45622.476900000009</v>
      </c>
      <c r="CK47" s="51">
        <f t="shared" si="257"/>
        <v>150818.78413602003</v>
      </c>
      <c r="CL47" s="52">
        <f t="shared" si="258"/>
        <v>44597.252700000005</v>
      </c>
      <c r="CM47" s="51">
        <f t="shared" si="259"/>
        <v>147429.59797566003</v>
      </c>
      <c r="CN47" s="53">
        <f t="shared" si="260"/>
        <v>43572.028500000008</v>
      </c>
      <c r="CO47" s="51">
        <f t="shared" si="261"/>
        <v>144040.41181530003</v>
      </c>
      <c r="CP47" s="52">
        <f t="shared" si="262"/>
        <v>42546.804300000003</v>
      </c>
      <c r="CQ47" s="51">
        <f t="shared" si="263"/>
        <v>140651.22565494</v>
      </c>
      <c r="CR47" s="48">
        <f t="shared" si="264"/>
        <v>41521.580099999999</v>
      </c>
      <c r="CS47" s="51">
        <f t="shared" si="265"/>
        <v>137262.03949458001</v>
      </c>
      <c r="CT47" s="53">
        <f t="shared" si="266"/>
        <v>40496.355900000002</v>
      </c>
      <c r="CU47" s="51">
        <f t="shared" si="267"/>
        <v>133872.85333422001</v>
      </c>
      <c r="CV47" s="53">
        <f t="shared" si="268"/>
        <v>39471.131699999998</v>
      </c>
      <c r="CW47" s="51">
        <f t="shared" si="269"/>
        <v>130483.66717386</v>
      </c>
      <c r="CX47" s="53">
        <f t="shared" si="270"/>
        <v>38445.907500000001</v>
      </c>
      <c r="CY47" s="51">
        <f t="shared" si="271"/>
        <v>127094.4810135</v>
      </c>
      <c r="CZ47" s="48">
        <f t="shared" si="272"/>
        <v>37420.683299999997</v>
      </c>
      <c r="DA47" s="51">
        <f t="shared" si="273"/>
        <v>123705.29485313999</v>
      </c>
      <c r="DB47" s="53">
        <f t="shared" si="274"/>
        <v>36395.4591</v>
      </c>
      <c r="DC47" s="51">
        <f t="shared" si="275"/>
        <v>120316.10869278001</v>
      </c>
      <c r="DD47" s="53">
        <f t="shared" si="276"/>
        <v>35370.234899999996</v>
      </c>
      <c r="DE47" s="51">
        <f t="shared" si="277"/>
        <v>116926.92253241999</v>
      </c>
      <c r="DF47" s="53">
        <f t="shared" si="278"/>
        <v>34345.010699999992</v>
      </c>
      <c r="DG47" s="51">
        <f t="shared" si="279"/>
        <v>113537.73637205997</v>
      </c>
      <c r="DH47" s="53">
        <f t="shared" si="280"/>
        <v>33319.786499999995</v>
      </c>
      <c r="DI47" s="51">
        <f t="shared" si="281"/>
        <v>110148.55021169999</v>
      </c>
      <c r="DJ47" s="48">
        <f t="shared" si="282"/>
        <v>32294.562299999994</v>
      </c>
      <c r="DK47" s="51">
        <f t="shared" si="283"/>
        <v>106759.36405133999</v>
      </c>
      <c r="DL47" s="53">
        <f t="shared" si="284"/>
        <v>31269.338099999994</v>
      </c>
      <c r="DM47" s="51">
        <f t="shared" si="285"/>
        <v>103370.17789097998</v>
      </c>
      <c r="DN47" s="53">
        <f t="shared" si="286"/>
        <v>30244.113899999989</v>
      </c>
      <c r="DO47" s="51">
        <f t="shared" si="287"/>
        <v>99980.991730619964</v>
      </c>
      <c r="DP47" s="48">
        <f t="shared" si="288"/>
        <v>29218.889699999989</v>
      </c>
      <c r="DQ47" s="51">
        <f t="shared" si="289"/>
        <v>96591.805570259967</v>
      </c>
      <c r="DT47" s="48">
        <v>1</v>
      </c>
      <c r="DU47" s="48">
        <v>0.97</v>
      </c>
      <c r="DV47" s="48">
        <v>0.95</v>
      </c>
      <c r="DW47" s="48">
        <v>0.93</v>
      </c>
      <c r="DX47" s="48">
        <f t="shared" ref="DX47:EO47" si="581">+DW47-0.02</f>
        <v>0.91</v>
      </c>
      <c r="DY47" s="48">
        <f t="shared" si="581"/>
        <v>0.89</v>
      </c>
      <c r="DZ47" s="48">
        <f t="shared" si="581"/>
        <v>0.87</v>
      </c>
      <c r="EA47" s="48">
        <f t="shared" si="581"/>
        <v>0.85</v>
      </c>
      <c r="EB47" s="48">
        <f t="shared" si="581"/>
        <v>0.83</v>
      </c>
      <c r="EC47" s="48">
        <f t="shared" si="581"/>
        <v>0.80999999999999994</v>
      </c>
      <c r="ED47" s="48">
        <f t="shared" si="581"/>
        <v>0.78999999999999992</v>
      </c>
      <c r="EE47" s="48">
        <f t="shared" si="581"/>
        <v>0.76999999999999991</v>
      </c>
      <c r="EF47" s="48">
        <f t="shared" si="581"/>
        <v>0.74999999999999989</v>
      </c>
      <c r="EG47" s="48">
        <f t="shared" si="581"/>
        <v>0.72999999999999987</v>
      </c>
      <c r="EH47" s="48">
        <f t="shared" si="581"/>
        <v>0.70999999999999985</v>
      </c>
      <c r="EI47" s="48">
        <f t="shared" si="581"/>
        <v>0.68999999999999984</v>
      </c>
      <c r="EJ47" s="48">
        <f t="shared" si="581"/>
        <v>0.66999999999999982</v>
      </c>
      <c r="EK47" s="48">
        <f t="shared" si="581"/>
        <v>0.6499999999999998</v>
      </c>
      <c r="EL47" s="48">
        <f t="shared" si="581"/>
        <v>0.62999999999999978</v>
      </c>
      <c r="EM47" s="48">
        <f t="shared" si="581"/>
        <v>0.60999999999999976</v>
      </c>
      <c r="EN47" s="48">
        <f t="shared" si="581"/>
        <v>0.58999999999999975</v>
      </c>
      <c r="EO47" s="48">
        <f t="shared" si="581"/>
        <v>0.56999999999999973</v>
      </c>
      <c r="EQ47" s="48">
        <f t="shared" si="188"/>
        <v>46647.701100000006</v>
      </c>
      <c r="ER47" s="48">
        <f t="shared" si="116"/>
        <v>46647.701100000006</v>
      </c>
      <c r="ES47" s="51">
        <f t="shared" ref="ES47" si="582">+ER47*3.3058</f>
        <v>154207.97029638002</v>
      </c>
      <c r="ET47" s="48">
        <f t="shared" si="292"/>
        <v>45248.270067000005</v>
      </c>
      <c r="EU47" s="51">
        <f t="shared" si="293"/>
        <v>149581.73118748862</v>
      </c>
      <c r="EV47" s="48">
        <f t="shared" si="294"/>
        <v>44315.316045000007</v>
      </c>
      <c r="EW47" s="51">
        <f t="shared" si="295"/>
        <v>146497.57178156101</v>
      </c>
      <c r="EX47" s="48">
        <f t="shared" si="296"/>
        <v>43382.362023000009</v>
      </c>
      <c r="EY47" s="51">
        <f t="shared" si="297"/>
        <v>143413.41237563343</v>
      </c>
      <c r="EZ47" s="52">
        <f t="shared" si="298"/>
        <v>42449.408001000003</v>
      </c>
      <c r="FA47" s="51">
        <f t="shared" si="299"/>
        <v>140329.25296970582</v>
      </c>
      <c r="FB47" s="48">
        <f t="shared" si="300"/>
        <v>41516.453979000005</v>
      </c>
      <c r="FC47" s="51">
        <f t="shared" si="301"/>
        <v>137245.09356377821</v>
      </c>
      <c r="FD47" s="52">
        <f t="shared" si="302"/>
        <v>40583.499957000007</v>
      </c>
      <c r="FE47" s="51">
        <f t="shared" si="303"/>
        <v>134160.93415785063</v>
      </c>
      <c r="FF47" s="53">
        <f t="shared" si="304"/>
        <v>39650.545935000002</v>
      </c>
      <c r="FG47" s="51">
        <f t="shared" si="305"/>
        <v>131076.77475192302</v>
      </c>
      <c r="FH47" s="52">
        <f t="shared" si="306"/>
        <v>38717.591913000004</v>
      </c>
      <c r="FI47" s="51">
        <f t="shared" si="307"/>
        <v>127992.61534599542</v>
      </c>
      <c r="FJ47" s="48">
        <f t="shared" si="308"/>
        <v>37784.637890999998</v>
      </c>
      <c r="FK47" s="51">
        <f t="shared" si="309"/>
        <v>124908.4559400678</v>
      </c>
      <c r="FL47" s="53">
        <f t="shared" si="310"/>
        <v>36851.683869</v>
      </c>
      <c r="FM47" s="51">
        <f t="shared" si="311"/>
        <v>121824.2965341402</v>
      </c>
      <c r="FN47" s="53">
        <f t="shared" si="312"/>
        <v>35918.729847000002</v>
      </c>
      <c r="FO47" s="51">
        <f t="shared" si="313"/>
        <v>118740.13712821261</v>
      </c>
      <c r="FP47" s="53">
        <f t="shared" si="314"/>
        <v>34985.775824999997</v>
      </c>
      <c r="FQ47" s="51">
        <f t="shared" si="315"/>
        <v>115655.977722285</v>
      </c>
      <c r="FR47" s="48">
        <f t="shared" si="316"/>
        <v>34052.821802999999</v>
      </c>
      <c r="FS47" s="51">
        <f t="shared" si="317"/>
        <v>112571.8183163574</v>
      </c>
      <c r="FT47" s="53">
        <f t="shared" si="318"/>
        <v>33119.867781000001</v>
      </c>
      <c r="FU47" s="51">
        <f t="shared" si="319"/>
        <v>109487.6589104298</v>
      </c>
      <c r="FV47" s="53">
        <f t="shared" si="320"/>
        <v>32186.913758999995</v>
      </c>
      <c r="FW47" s="51">
        <f t="shared" si="321"/>
        <v>106403.49950450219</v>
      </c>
      <c r="FX47" s="53">
        <f t="shared" si="322"/>
        <v>31253.959736999994</v>
      </c>
      <c r="FY47" s="51">
        <f t="shared" si="323"/>
        <v>103319.34009857458</v>
      </c>
      <c r="FZ47" s="53">
        <f t="shared" si="324"/>
        <v>30321.005714999996</v>
      </c>
      <c r="GA47" s="51">
        <f t="shared" si="325"/>
        <v>100235.18069264699</v>
      </c>
      <c r="GB47" s="48">
        <f t="shared" si="326"/>
        <v>29388.051692999994</v>
      </c>
      <c r="GC47" s="51">
        <f t="shared" si="327"/>
        <v>97151.021286719377</v>
      </c>
      <c r="GD47" s="53">
        <f t="shared" si="328"/>
        <v>28455.097670999992</v>
      </c>
      <c r="GE47" s="51">
        <f t="shared" si="329"/>
        <v>94066.861880791781</v>
      </c>
      <c r="GF47" s="53">
        <f t="shared" si="330"/>
        <v>27522.143648999991</v>
      </c>
      <c r="GG47" s="51">
        <f t="shared" si="331"/>
        <v>90982.702474864171</v>
      </c>
      <c r="GH47" s="48">
        <f t="shared" si="332"/>
        <v>26589.189626999989</v>
      </c>
      <c r="GI47" s="51">
        <f t="shared" si="333"/>
        <v>87898.54306893656</v>
      </c>
      <c r="GJ47" s="48"/>
      <c r="GK47" s="48"/>
      <c r="GL47" s="48">
        <v>1</v>
      </c>
      <c r="GM47" s="48">
        <v>0.97</v>
      </c>
      <c r="GN47" s="48">
        <v>0.95</v>
      </c>
      <c r="GO47" s="48">
        <v>0.93</v>
      </c>
      <c r="GP47" s="48">
        <f t="shared" ref="GP47:HG47" si="583">+GO47-0.02</f>
        <v>0.91</v>
      </c>
      <c r="GQ47" s="48">
        <f t="shared" si="583"/>
        <v>0.89</v>
      </c>
      <c r="GR47" s="48">
        <f t="shared" si="583"/>
        <v>0.87</v>
      </c>
      <c r="GS47" s="48">
        <f t="shared" si="583"/>
        <v>0.85</v>
      </c>
      <c r="GT47" s="48">
        <f t="shared" si="583"/>
        <v>0.83</v>
      </c>
      <c r="GU47" s="48">
        <f t="shared" si="583"/>
        <v>0.80999999999999994</v>
      </c>
      <c r="GV47" s="48">
        <f t="shared" si="583"/>
        <v>0.78999999999999992</v>
      </c>
      <c r="GW47" s="48">
        <f t="shared" si="583"/>
        <v>0.76999999999999991</v>
      </c>
      <c r="GX47" s="48">
        <f t="shared" si="583"/>
        <v>0.74999999999999989</v>
      </c>
      <c r="GY47" s="48">
        <f t="shared" si="583"/>
        <v>0.72999999999999987</v>
      </c>
      <c r="GZ47" s="48">
        <f t="shared" si="583"/>
        <v>0.70999999999999985</v>
      </c>
      <c r="HA47" s="48">
        <f t="shared" si="583"/>
        <v>0.68999999999999984</v>
      </c>
      <c r="HB47" s="48">
        <f t="shared" si="583"/>
        <v>0.66999999999999982</v>
      </c>
      <c r="HC47" s="48">
        <f t="shared" si="583"/>
        <v>0.6499999999999998</v>
      </c>
      <c r="HD47" s="48">
        <f t="shared" si="583"/>
        <v>0.62999999999999978</v>
      </c>
      <c r="HE47" s="48">
        <f t="shared" si="583"/>
        <v>0.60999999999999976</v>
      </c>
      <c r="HF47" s="48">
        <f t="shared" si="583"/>
        <v>0.58999999999999975</v>
      </c>
      <c r="HG47" s="48">
        <f t="shared" si="583"/>
        <v>0.56999999999999973</v>
      </c>
    </row>
    <row r="48" spans="1:250" x14ac:dyDescent="0.3">
      <c r="A48" s="2">
        <v>15</v>
      </c>
      <c r="C48" s="39" t="s">
        <v>56</v>
      </c>
      <c r="D48" s="44">
        <f>TRUNC(26045.1719964223,-1)</f>
        <v>26040</v>
      </c>
      <c r="E48" s="73">
        <f t="shared" si="203"/>
        <v>86080</v>
      </c>
      <c r="G48" s="48">
        <f t="shared" si="61"/>
        <v>28644.000000000004</v>
      </c>
      <c r="H48" s="48">
        <f t="shared" si="62"/>
        <v>28644.000000000004</v>
      </c>
      <c r="I48" s="51">
        <f t="shared" si="63"/>
        <v>94691.335200000016</v>
      </c>
      <c r="J48" s="48">
        <f t="shared" si="204"/>
        <v>27784.680000000004</v>
      </c>
      <c r="K48" s="51">
        <f t="shared" si="205"/>
        <v>91850.595144000021</v>
      </c>
      <c r="L48" s="48">
        <f t="shared" si="206"/>
        <v>27211.800000000003</v>
      </c>
      <c r="M48" s="51">
        <f t="shared" si="207"/>
        <v>89956.768440000014</v>
      </c>
      <c r="N48" s="48">
        <f t="shared" si="208"/>
        <v>26638.920000000006</v>
      </c>
      <c r="O48" s="51">
        <f t="shared" si="209"/>
        <v>88062.941736000023</v>
      </c>
      <c r="P48" s="52">
        <f t="shared" si="210"/>
        <v>26066.040000000005</v>
      </c>
      <c r="Q48" s="51">
        <f t="shared" si="211"/>
        <v>86169.115032000016</v>
      </c>
      <c r="R48" s="48">
        <f t="shared" si="212"/>
        <v>25493.160000000003</v>
      </c>
      <c r="S48" s="51">
        <f t="shared" si="213"/>
        <v>84275.28832800001</v>
      </c>
      <c r="T48" s="52">
        <f t="shared" si="214"/>
        <v>24920.280000000002</v>
      </c>
      <c r="U48" s="51">
        <f t="shared" si="215"/>
        <v>82381.461624000003</v>
      </c>
      <c r="V48" s="53">
        <f t="shared" si="216"/>
        <v>24347.4</v>
      </c>
      <c r="W48" s="51">
        <f t="shared" si="217"/>
        <v>80487.634920000011</v>
      </c>
      <c r="X48" s="52">
        <f t="shared" si="218"/>
        <v>23774.52</v>
      </c>
      <c r="Y48" s="51">
        <f t="shared" si="219"/>
        <v>78593.808216000005</v>
      </c>
      <c r="Z48" s="48">
        <f t="shared" si="220"/>
        <v>23201.640000000003</v>
      </c>
      <c r="AA48" s="51">
        <f t="shared" si="221"/>
        <v>76699.981512000013</v>
      </c>
      <c r="AB48" s="53">
        <f t="shared" si="222"/>
        <v>22628.760000000002</v>
      </c>
      <c r="AC48" s="51">
        <f t="shared" si="223"/>
        <v>74806.154808000007</v>
      </c>
      <c r="AD48" s="53">
        <f t="shared" si="224"/>
        <v>22055.88</v>
      </c>
      <c r="AE48" s="51">
        <f t="shared" si="225"/>
        <v>72912.328104</v>
      </c>
      <c r="AF48" s="53">
        <f t="shared" si="226"/>
        <v>21483</v>
      </c>
      <c r="AG48" s="51">
        <f t="shared" si="227"/>
        <v>71018.501400000008</v>
      </c>
      <c r="AH48" s="48">
        <f t="shared" si="228"/>
        <v>20910.12</v>
      </c>
      <c r="AI48" s="51">
        <f t="shared" si="229"/>
        <v>69124.674696000002</v>
      </c>
      <c r="AJ48" s="53">
        <f t="shared" si="230"/>
        <v>20337.239999999998</v>
      </c>
      <c r="AK48" s="51">
        <f t="shared" si="231"/>
        <v>67230.847991999995</v>
      </c>
      <c r="AL48" s="53">
        <f t="shared" si="232"/>
        <v>19764.359999999997</v>
      </c>
      <c r="AM48" s="51">
        <f t="shared" si="233"/>
        <v>65337.021287999989</v>
      </c>
      <c r="AN48" s="53">
        <f t="shared" si="234"/>
        <v>19191.479999999996</v>
      </c>
      <c r="AO48" s="51">
        <f t="shared" si="235"/>
        <v>63443.19458399999</v>
      </c>
      <c r="AP48" s="53">
        <f t="shared" si="236"/>
        <v>18618.599999999995</v>
      </c>
      <c r="AQ48" s="51">
        <f t="shared" si="237"/>
        <v>61549.367879999983</v>
      </c>
      <c r="AR48" s="48">
        <f t="shared" si="238"/>
        <v>18045.719999999998</v>
      </c>
      <c r="AS48" s="51">
        <f t="shared" si="239"/>
        <v>59655.541175999992</v>
      </c>
      <c r="AT48" s="53">
        <f t="shared" si="240"/>
        <v>17472.839999999997</v>
      </c>
      <c r="AU48" s="51">
        <f t="shared" si="241"/>
        <v>57761.714471999992</v>
      </c>
      <c r="AV48" s="53">
        <f t="shared" si="242"/>
        <v>16899.959999999995</v>
      </c>
      <c r="AW48" s="51">
        <f t="shared" si="243"/>
        <v>55867.887767999986</v>
      </c>
      <c r="AX48" s="48">
        <f t="shared" si="244"/>
        <v>16327.079999999994</v>
      </c>
      <c r="AY48" s="51">
        <f t="shared" si="245"/>
        <v>53974.06106399998</v>
      </c>
      <c r="BB48" s="48">
        <v>1</v>
      </c>
      <c r="BC48" s="48">
        <v>0.97</v>
      </c>
      <c r="BD48" s="48">
        <v>0.95</v>
      </c>
      <c r="BE48" s="48">
        <v>0.93</v>
      </c>
      <c r="BF48" s="48">
        <f t="shared" ref="BF48:BW48" si="584">+BE48-0.02</f>
        <v>0.91</v>
      </c>
      <c r="BG48" s="48">
        <f t="shared" si="584"/>
        <v>0.89</v>
      </c>
      <c r="BH48" s="48">
        <f t="shared" si="584"/>
        <v>0.87</v>
      </c>
      <c r="BI48" s="48">
        <f t="shared" si="584"/>
        <v>0.85</v>
      </c>
      <c r="BJ48" s="48">
        <f t="shared" si="584"/>
        <v>0.83</v>
      </c>
      <c r="BK48" s="48">
        <f t="shared" si="584"/>
        <v>0.80999999999999994</v>
      </c>
      <c r="BL48" s="48">
        <f t="shared" si="584"/>
        <v>0.78999999999999992</v>
      </c>
      <c r="BM48" s="48">
        <f t="shared" si="584"/>
        <v>0.76999999999999991</v>
      </c>
      <c r="BN48" s="48">
        <f t="shared" si="584"/>
        <v>0.74999999999999989</v>
      </c>
      <c r="BO48" s="48">
        <f t="shared" si="584"/>
        <v>0.72999999999999987</v>
      </c>
      <c r="BP48" s="48">
        <f t="shared" si="584"/>
        <v>0.70999999999999985</v>
      </c>
      <c r="BQ48" s="48">
        <f t="shared" si="584"/>
        <v>0.68999999999999984</v>
      </c>
      <c r="BR48" s="48">
        <f t="shared" si="584"/>
        <v>0.66999999999999982</v>
      </c>
      <c r="BS48" s="48">
        <f t="shared" si="584"/>
        <v>0.6499999999999998</v>
      </c>
      <c r="BT48" s="48">
        <f t="shared" si="584"/>
        <v>0.62999999999999978</v>
      </c>
      <c r="BU48" s="48">
        <f t="shared" si="584"/>
        <v>0.60999999999999976</v>
      </c>
      <c r="BV48" s="48">
        <f t="shared" si="584"/>
        <v>0.58999999999999975</v>
      </c>
      <c r="BW48" s="48">
        <f t="shared" si="584"/>
        <v>0.56999999999999973</v>
      </c>
      <c r="BY48" s="48">
        <f t="shared" si="88"/>
        <v>26066.040000000005</v>
      </c>
      <c r="BZ48" s="48">
        <f t="shared" si="89"/>
        <v>26066.040000000005</v>
      </c>
      <c r="CA48" s="51">
        <f t="shared" ref="CA48" si="585">+BZ48*3.3058</f>
        <v>86169.115032000016</v>
      </c>
      <c r="CB48" s="48">
        <f t="shared" si="248"/>
        <v>25284.058800000003</v>
      </c>
      <c r="CC48" s="51">
        <f t="shared" si="249"/>
        <v>83584.041581040015</v>
      </c>
      <c r="CD48" s="48">
        <f t="shared" si="250"/>
        <v>24762.738000000005</v>
      </c>
      <c r="CE48" s="51">
        <f t="shared" si="251"/>
        <v>81860.659280400025</v>
      </c>
      <c r="CF48" s="48">
        <f t="shared" si="252"/>
        <v>24241.417200000007</v>
      </c>
      <c r="CG48" s="51">
        <f t="shared" si="253"/>
        <v>80137.276979760019</v>
      </c>
      <c r="CH48" s="52">
        <f t="shared" si="254"/>
        <v>23720.096400000006</v>
      </c>
      <c r="CI48" s="51">
        <f t="shared" si="255"/>
        <v>78413.894679120014</v>
      </c>
      <c r="CJ48" s="48">
        <f t="shared" si="256"/>
        <v>23198.775600000004</v>
      </c>
      <c r="CK48" s="51">
        <f t="shared" si="257"/>
        <v>76690.512378480023</v>
      </c>
      <c r="CL48" s="52">
        <f t="shared" si="258"/>
        <v>22677.454800000003</v>
      </c>
      <c r="CM48" s="51">
        <f t="shared" si="259"/>
        <v>74967.130077840018</v>
      </c>
      <c r="CN48" s="53">
        <f t="shared" si="260"/>
        <v>22156.134000000002</v>
      </c>
      <c r="CO48" s="51">
        <f t="shared" si="261"/>
        <v>73243.747777200013</v>
      </c>
      <c r="CP48" s="52">
        <f t="shared" si="262"/>
        <v>21634.813200000004</v>
      </c>
      <c r="CQ48" s="51">
        <f t="shared" si="263"/>
        <v>71520.365476560022</v>
      </c>
      <c r="CR48" s="48">
        <f t="shared" si="264"/>
        <v>21113.492400000003</v>
      </c>
      <c r="CS48" s="51">
        <f t="shared" si="265"/>
        <v>69796.983175920017</v>
      </c>
      <c r="CT48" s="53">
        <f t="shared" si="266"/>
        <v>20592.171600000001</v>
      </c>
      <c r="CU48" s="51">
        <f t="shared" si="267"/>
        <v>68073.600875280012</v>
      </c>
      <c r="CV48" s="53">
        <f t="shared" si="268"/>
        <v>20070.8508</v>
      </c>
      <c r="CW48" s="51">
        <f t="shared" si="269"/>
        <v>66350.218574640006</v>
      </c>
      <c r="CX48" s="53">
        <f t="shared" si="270"/>
        <v>19549.53</v>
      </c>
      <c r="CY48" s="51">
        <f t="shared" si="271"/>
        <v>64626.836274000001</v>
      </c>
      <c r="CZ48" s="48">
        <f t="shared" si="272"/>
        <v>19028.209200000001</v>
      </c>
      <c r="DA48" s="51">
        <f t="shared" si="273"/>
        <v>62903.453973360003</v>
      </c>
      <c r="DB48" s="53">
        <f t="shared" si="274"/>
        <v>18506.8884</v>
      </c>
      <c r="DC48" s="51">
        <f t="shared" si="275"/>
        <v>61180.071672719998</v>
      </c>
      <c r="DD48" s="53">
        <f t="shared" si="276"/>
        <v>17985.567599999998</v>
      </c>
      <c r="DE48" s="51">
        <f t="shared" si="277"/>
        <v>59456.68937208</v>
      </c>
      <c r="DF48" s="53">
        <f t="shared" si="278"/>
        <v>17464.246799999997</v>
      </c>
      <c r="DG48" s="51">
        <f t="shared" si="279"/>
        <v>57733.307071439995</v>
      </c>
      <c r="DH48" s="53">
        <f t="shared" si="280"/>
        <v>16942.925999999999</v>
      </c>
      <c r="DI48" s="51">
        <f t="shared" si="281"/>
        <v>56009.924770799997</v>
      </c>
      <c r="DJ48" s="48">
        <f t="shared" si="282"/>
        <v>16421.605199999998</v>
      </c>
      <c r="DK48" s="51">
        <f t="shared" si="283"/>
        <v>54286.542470159999</v>
      </c>
      <c r="DL48" s="53">
        <f t="shared" si="284"/>
        <v>15900.284399999997</v>
      </c>
      <c r="DM48" s="51">
        <f t="shared" si="285"/>
        <v>52563.160169519993</v>
      </c>
      <c r="DN48" s="53">
        <f t="shared" si="286"/>
        <v>15378.963599999995</v>
      </c>
      <c r="DO48" s="51">
        <f t="shared" si="287"/>
        <v>50839.777868879988</v>
      </c>
      <c r="DP48" s="48">
        <f t="shared" si="288"/>
        <v>14857.642799999996</v>
      </c>
      <c r="DQ48" s="51">
        <f t="shared" si="289"/>
        <v>49116.39556823999</v>
      </c>
      <c r="DT48" s="48">
        <v>1</v>
      </c>
      <c r="DU48" s="48">
        <v>0.97</v>
      </c>
      <c r="DV48" s="48">
        <v>0.95</v>
      </c>
      <c r="DW48" s="48">
        <v>0.93</v>
      </c>
      <c r="DX48" s="48">
        <f t="shared" ref="DX48:EO48" si="586">+DW48-0.02</f>
        <v>0.91</v>
      </c>
      <c r="DY48" s="48">
        <f t="shared" si="586"/>
        <v>0.89</v>
      </c>
      <c r="DZ48" s="48">
        <f t="shared" si="586"/>
        <v>0.87</v>
      </c>
      <c r="EA48" s="48">
        <f t="shared" si="586"/>
        <v>0.85</v>
      </c>
      <c r="EB48" s="48">
        <f t="shared" si="586"/>
        <v>0.83</v>
      </c>
      <c r="EC48" s="48">
        <f t="shared" si="586"/>
        <v>0.80999999999999994</v>
      </c>
      <c r="ED48" s="48">
        <f t="shared" si="586"/>
        <v>0.78999999999999992</v>
      </c>
      <c r="EE48" s="48">
        <f t="shared" si="586"/>
        <v>0.76999999999999991</v>
      </c>
      <c r="EF48" s="48">
        <f t="shared" si="586"/>
        <v>0.74999999999999989</v>
      </c>
      <c r="EG48" s="48">
        <f t="shared" si="586"/>
        <v>0.72999999999999987</v>
      </c>
      <c r="EH48" s="48">
        <f t="shared" si="586"/>
        <v>0.70999999999999985</v>
      </c>
      <c r="EI48" s="48">
        <f t="shared" si="586"/>
        <v>0.68999999999999984</v>
      </c>
      <c r="EJ48" s="48">
        <f t="shared" si="586"/>
        <v>0.66999999999999982</v>
      </c>
      <c r="EK48" s="48">
        <f t="shared" si="586"/>
        <v>0.6499999999999998</v>
      </c>
      <c r="EL48" s="48">
        <f t="shared" si="586"/>
        <v>0.62999999999999978</v>
      </c>
      <c r="EM48" s="48">
        <f t="shared" si="586"/>
        <v>0.60999999999999976</v>
      </c>
      <c r="EN48" s="48">
        <f t="shared" si="586"/>
        <v>0.58999999999999975</v>
      </c>
      <c r="EO48" s="48">
        <f t="shared" si="586"/>
        <v>0.56999999999999973</v>
      </c>
      <c r="EQ48" s="48">
        <f t="shared" si="188"/>
        <v>23720.096400000006</v>
      </c>
      <c r="ER48" s="48">
        <f t="shared" si="116"/>
        <v>23720.096400000006</v>
      </c>
      <c r="ES48" s="51">
        <f t="shared" ref="ES48" si="587">+ER48*3.3058</f>
        <v>78413.894679120014</v>
      </c>
      <c r="ET48" s="48">
        <f t="shared" si="292"/>
        <v>23008.493508000003</v>
      </c>
      <c r="EU48" s="51">
        <f t="shared" si="293"/>
        <v>76061.477838746418</v>
      </c>
      <c r="EV48" s="48">
        <f t="shared" si="294"/>
        <v>22534.091580000004</v>
      </c>
      <c r="EW48" s="51">
        <f t="shared" si="295"/>
        <v>74493.199945164015</v>
      </c>
      <c r="EX48" s="48">
        <f t="shared" si="296"/>
        <v>22059.689652000008</v>
      </c>
      <c r="EY48" s="51">
        <f t="shared" si="297"/>
        <v>72924.922051581627</v>
      </c>
      <c r="EZ48" s="52">
        <f t="shared" si="298"/>
        <v>21585.287724000005</v>
      </c>
      <c r="FA48" s="51">
        <f t="shared" si="299"/>
        <v>71356.644157999224</v>
      </c>
      <c r="FB48" s="48">
        <f t="shared" si="300"/>
        <v>21110.885796000006</v>
      </c>
      <c r="FC48" s="51">
        <f t="shared" si="301"/>
        <v>69788.366264416822</v>
      </c>
      <c r="FD48" s="52">
        <f t="shared" si="302"/>
        <v>20636.483868000007</v>
      </c>
      <c r="FE48" s="51">
        <f t="shared" si="303"/>
        <v>68220.088370834419</v>
      </c>
      <c r="FF48" s="53">
        <f t="shared" si="304"/>
        <v>20162.081940000004</v>
      </c>
      <c r="FG48" s="51">
        <f t="shared" si="305"/>
        <v>66651.810477252016</v>
      </c>
      <c r="FH48" s="52">
        <f t="shared" si="306"/>
        <v>19687.680012000004</v>
      </c>
      <c r="FI48" s="51">
        <f t="shared" si="307"/>
        <v>65083.532583669614</v>
      </c>
      <c r="FJ48" s="48">
        <f t="shared" si="308"/>
        <v>19213.278084000005</v>
      </c>
      <c r="FK48" s="51">
        <f t="shared" si="309"/>
        <v>63515.254690087218</v>
      </c>
      <c r="FL48" s="53">
        <f t="shared" si="310"/>
        <v>18738.876156000002</v>
      </c>
      <c r="FM48" s="51">
        <f t="shared" si="311"/>
        <v>61946.976796504809</v>
      </c>
      <c r="FN48" s="53">
        <f t="shared" si="312"/>
        <v>18264.474228000003</v>
      </c>
      <c r="FO48" s="51">
        <f t="shared" si="313"/>
        <v>60378.698902922413</v>
      </c>
      <c r="FP48" s="53">
        <f t="shared" si="314"/>
        <v>17790.072300000003</v>
      </c>
      <c r="FQ48" s="51">
        <f t="shared" si="315"/>
        <v>58810.421009340011</v>
      </c>
      <c r="FR48" s="48">
        <f t="shared" si="316"/>
        <v>17315.670372</v>
      </c>
      <c r="FS48" s="51">
        <f t="shared" si="317"/>
        <v>57242.143115757601</v>
      </c>
      <c r="FT48" s="53">
        <f t="shared" si="318"/>
        <v>16841.268444000001</v>
      </c>
      <c r="FU48" s="51">
        <f t="shared" si="319"/>
        <v>55673.865222175205</v>
      </c>
      <c r="FV48" s="53">
        <f t="shared" si="320"/>
        <v>16366.866516</v>
      </c>
      <c r="FW48" s="51">
        <f t="shared" si="321"/>
        <v>54105.587328592803</v>
      </c>
      <c r="FX48" s="53">
        <f t="shared" si="322"/>
        <v>15892.464587999999</v>
      </c>
      <c r="FY48" s="51">
        <f t="shared" si="323"/>
        <v>52537.3094350104</v>
      </c>
      <c r="FZ48" s="53">
        <f t="shared" si="324"/>
        <v>15418.06266</v>
      </c>
      <c r="GA48" s="51">
        <f t="shared" si="325"/>
        <v>50969.031541427998</v>
      </c>
      <c r="GB48" s="48">
        <f t="shared" si="326"/>
        <v>14943.660731999998</v>
      </c>
      <c r="GC48" s="51">
        <f t="shared" si="327"/>
        <v>49400.753647845595</v>
      </c>
      <c r="GD48" s="53">
        <f t="shared" si="328"/>
        <v>14469.258803999997</v>
      </c>
      <c r="GE48" s="51">
        <f t="shared" si="329"/>
        <v>47832.475754263192</v>
      </c>
      <c r="GF48" s="53">
        <f t="shared" si="330"/>
        <v>13994.856875999998</v>
      </c>
      <c r="GG48" s="51">
        <f t="shared" si="331"/>
        <v>46264.197860680797</v>
      </c>
      <c r="GH48" s="48">
        <f t="shared" si="332"/>
        <v>13520.454947999997</v>
      </c>
      <c r="GI48" s="51">
        <f t="shared" si="333"/>
        <v>44695.919967098387</v>
      </c>
      <c r="GJ48" s="48"/>
      <c r="GK48" s="48"/>
      <c r="GL48" s="48">
        <v>1</v>
      </c>
      <c r="GM48" s="48">
        <v>0.97</v>
      </c>
      <c r="GN48" s="48">
        <v>0.95</v>
      </c>
      <c r="GO48" s="48">
        <v>0.93</v>
      </c>
      <c r="GP48" s="48">
        <f t="shared" ref="GP48:HG48" si="588">+GO48-0.02</f>
        <v>0.91</v>
      </c>
      <c r="GQ48" s="48">
        <f t="shared" si="588"/>
        <v>0.89</v>
      </c>
      <c r="GR48" s="48">
        <f t="shared" si="588"/>
        <v>0.87</v>
      </c>
      <c r="GS48" s="48">
        <f t="shared" si="588"/>
        <v>0.85</v>
      </c>
      <c r="GT48" s="48">
        <f t="shared" si="588"/>
        <v>0.83</v>
      </c>
      <c r="GU48" s="48">
        <f t="shared" si="588"/>
        <v>0.80999999999999994</v>
      </c>
      <c r="GV48" s="48">
        <f t="shared" si="588"/>
        <v>0.78999999999999992</v>
      </c>
      <c r="GW48" s="48">
        <f t="shared" si="588"/>
        <v>0.76999999999999991</v>
      </c>
      <c r="GX48" s="48">
        <f t="shared" si="588"/>
        <v>0.74999999999999989</v>
      </c>
      <c r="GY48" s="48">
        <f t="shared" si="588"/>
        <v>0.72999999999999987</v>
      </c>
      <c r="GZ48" s="48">
        <f t="shared" si="588"/>
        <v>0.70999999999999985</v>
      </c>
      <c r="HA48" s="48">
        <f t="shared" si="588"/>
        <v>0.68999999999999984</v>
      </c>
      <c r="HB48" s="48">
        <f t="shared" si="588"/>
        <v>0.66999999999999982</v>
      </c>
      <c r="HC48" s="48">
        <f t="shared" si="588"/>
        <v>0.6499999999999998</v>
      </c>
      <c r="HD48" s="48">
        <f t="shared" si="588"/>
        <v>0.62999999999999978</v>
      </c>
      <c r="HE48" s="48">
        <f t="shared" si="588"/>
        <v>0.60999999999999976</v>
      </c>
      <c r="HF48" s="48">
        <f t="shared" si="588"/>
        <v>0.58999999999999975</v>
      </c>
      <c r="HG48" s="48">
        <f t="shared" si="588"/>
        <v>0.56999999999999973</v>
      </c>
    </row>
    <row r="49" spans="1:215" x14ac:dyDescent="0.3">
      <c r="A49" s="2">
        <v>16</v>
      </c>
      <c r="C49" s="39" t="s">
        <v>53</v>
      </c>
      <c r="D49" s="44">
        <f>TRUNC(134.716851165654,-1)</f>
        <v>130</v>
      </c>
      <c r="E49" s="73">
        <f t="shared" si="203"/>
        <v>420</v>
      </c>
      <c r="F49" s="2" t="s">
        <v>373</v>
      </c>
      <c r="G49" s="48">
        <f t="shared" si="61"/>
        <v>143</v>
      </c>
      <c r="H49" s="48">
        <f t="shared" si="62"/>
        <v>143</v>
      </c>
      <c r="I49" s="51">
        <f t="shared" si="63"/>
        <v>472.7294</v>
      </c>
      <c r="J49" s="48">
        <f t="shared" si="204"/>
        <v>138.71</v>
      </c>
      <c r="K49" s="51">
        <f t="shared" si="205"/>
        <v>458.54751800000003</v>
      </c>
      <c r="L49" s="48">
        <f t="shared" si="206"/>
        <v>135.85</v>
      </c>
      <c r="M49" s="51">
        <f t="shared" si="207"/>
        <v>449.09292999999997</v>
      </c>
      <c r="N49" s="48">
        <f t="shared" si="208"/>
        <v>132.99</v>
      </c>
      <c r="O49" s="51">
        <f t="shared" si="209"/>
        <v>439.63834200000002</v>
      </c>
      <c r="P49" s="52">
        <f t="shared" si="210"/>
        <v>130.13</v>
      </c>
      <c r="Q49" s="51">
        <f t="shared" si="211"/>
        <v>430.18375400000002</v>
      </c>
      <c r="R49" s="48">
        <f t="shared" si="212"/>
        <v>127.27</v>
      </c>
      <c r="S49" s="51">
        <f t="shared" si="213"/>
        <v>420.72916600000002</v>
      </c>
      <c r="T49" s="52">
        <f t="shared" si="214"/>
        <v>124.41</v>
      </c>
      <c r="U49" s="51">
        <f t="shared" si="215"/>
        <v>411.27457800000002</v>
      </c>
      <c r="V49" s="53">
        <f t="shared" si="216"/>
        <v>121.55</v>
      </c>
      <c r="W49" s="51">
        <f t="shared" si="217"/>
        <v>401.81999000000002</v>
      </c>
      <c r="X49" s="52">
        <f t="shared" si="218"/>
        <v>118.69</v>
      </c>
      <c r="Y49" s="51">
        <f t="shared" si="219"/>
        <v>392.36540200000002</v>
      </c>
      <c r="Z49" s="48">
        <f t="shared" si="220"/>
        <v>115.83</v>
      </c>
      <c r="AA49" s="51">
        <f t="shared" si="221"/>
        <v>382.91081400000002</v>
      </c>
      <c r="AB49" s="53">
        <f t="shared" si="222"/>
        <v>112.96999999999998</v>
      </c>
      <c r="AC49" s="51">
        <f t="shared" si="223"/>
        <v>373.45622599999996</v>
      </c>
      <c r="AD49" s="53">
        <f t="shared" si="224"/>
        <v>110.10999999999999</v>
      </c>
      <c r="AE49" s="51">
        <f t="shared" si="225"/>
        <v>364.00163799999996</v>
      </c>
      <c r="AF49" s="53">
        <f t="shared" si="226"/>
        <v>107.24999999999999</v>
      </c>
      <c r="AG49" s="51">
        <f t="shared" si="227"/>
        <v>354.54704999999996</v>
      </c>
      <c r="AH49" s="48">
        <f t="shared" si="228"/>
        <v>104.38999999999999</v>
      </c>
      <c r="AI49" s="51">
        <f t="shared" si="229"/>
        <v>345.09246199999995</v>
      </c>
      <c r="AJ49" s="53">
        <f t="shared" si="230"/>
        <v>101.52999999999997</v>
      </c>
      <c r="AK49" s="51">
        <f t="shared" si="231"/>
        <v>335.6378739999999</v>
      </c>
      <c r="AL49" s="53">
        <f t="shared" si="232"/>
        <v>98.669999999999973</v>
      </c>
      <c r="AM49" s="51">
        <f t="shared" si="233"/>
        <v>326.1832859999999</v>
      </c>
      <c r="AN49" s="53">
        <f t="shared" si="234"/>
        <v>95.809999999999974</v>
      </c>
      <c r="AO49" s="51">
        <f t="shared" si="235"/>
        <v>316.72869799999989</v>
      </c>
      <c r="AP49" s="53">
        <f t="shared" si="236"/>
        <v>92.949999999999974</v>
      </c>
      <c r="AQ49" s="51">
        <f t="shared" si="237"/>
        <v>307.27410999999989</v>
      </c>
      <c r="AR49" s="48">
        <f t="shared" si="238"/>
        <v>90.089999999999975</v>
      </c>
      <c r="AS49" s="51">
        <f t="shared" si="239"/>
        <v>297.81952199999995</v>
      </c>
      <c r="AT49" s="53">
        <f t="shared" si="240"/>
        <v>87.229999999999961</v>
      </c>
      <c r="AU49" s="51">
        <f t="shared" si="241"/>
        <v>288.36493399999989</v>
      </c>
      <c r="AV49" s="53">
        <f t="shared" si="242"/>
        <v>84.369999999999962</v>
      </c>
      <c r="AW49" s="51">
        <f t="shared" si="243"/>
        <v>278.91034599999989</v>
      </c>
      <c r="AX49" s="48">
        <f t="shared" si="244"/>
        <v>81.509999999999962</v>
      </c>
      <c r="AY49" s="51">
        <f t="shared" si="245"/>
        <v>269.45575799999989</v>
      </c>
      <c r="BB49" s="48">
        <v>1</v>
      </c>
      <c r="BC49" s="48">
        <v>0.97</v>
      </c>
      <c r="BD49" s="48">
        <v>0.95</v>
      </c>
      <c r="BE49" s="48">
        <v>0.93</v>
      </c>
      <c r="BF49" s="48">
        <f t="shared" ref="BF49:BW49" si="589">+BE49-0.02</f>
        <v>0.91</v>
      </c>
      <c r="BG49" s="48">
        <f t="shared" si="589"/>
        <v>0.89</v>
      </c>
      <c r="BH49" s="48">
        <f t="shared" si="589"/>
        <v>0.87</v>
      </c>
      <c r="BI49" s="48">
        <f t="shared" si="589"/>
        <v>0.85</v>
      </c>
      <c r="BJ49" s="48">
        <f t="shared" si="589"/>
        <v>0.83</v>
      </c>
      <c r="BK49" s="48">
        <f t="shared" si="589"/>
        <v>0.80999999999999994</v>
      </c>
      <c r="BL49" s="48">
        <f t="shared" si="589"/>
        <v>0.78999999999999992</v>
      </c>
      <c r="BM49" s="48">
        <f t="shared" si="589"/>
        <v>0.76999999999999991</v>
      </c>
      <c r="BN49" s="48">
        <f t="shared" si="589"/>
        <v>0.74999999999999989</v>
      </c>
      <c r="BO49" s="48">
        <f t="shared" si="589"/>
        <v>0.72999999999999987</v>
      </c>
      <c r="BP49" s="48">
        <f t="shared" si="589"/>
        <v>0.70999999999999985</v>
      </c>
      <c r="BQ49" s="48">
        <f t="shared" si="589"/>
        <v>0.68999999999999984</v>
      </c>
      <c r="BR49" s="48">
        <f t="shared" si="589"/>
        <v>0.66999999999999982</v>
      </c>
      <c r="BS49" s="48">
        <f t="shared" si="589"/>
        <v>0.6499999999999998</v>
      </c>
      <c r="BT49" s="48">
        <f t="shared" si="589"/>
        <v>0.62999999999999978</v>
      </c>
      <c r="BU49" s="48">
        <f t="shared" si="589"/>
        <v>0.60999999999999976</v>
      </c>
      <c r="BV49" s="48">
        <f t="shared" si="589"/>
        <v>0.58999999999999975</v>
      </c>
      <c r="BW49" s="48">
        <f t="shared" si="589"/>
        <v>0.56999999999999973</v>
      </c>
      <c r="BY49" s="48">
        <f t="shared" si="88"/>
        <v>130.13</v>
      </c>
      <c r="BZ49" s="48">
        <f t="shared" si="89"/>
        <v>130.13</v>
      </c>
      <c r="CA49" s="51">
        <f t="shared" ref="CA49" si="590">+BZ49*3.3058</f>
        <v>430.18375400000002</v>
      </c>
      <c r="CB49" s="48">
        <f t="shared" si="248"/>
        <v>126.22609999999999</v>
      </c>
      <c r="CC49" s="51">
        <f t="shared" si="249"/>
        <v>417.27824138</v>
      </c>
      <c r="CD49" s="48">
        <f t="shared" si="250"/>
        <v>123.62349999999999</v>
      </c>
      <c r="CE49" s="51">
        <f t="shared" si="251"/>
        <v>408.67456629999998</v>
      </c>
      <c r="CF49" s="48">
        <f t="shared" si="252"/>
        <v>121.0209</v>
      </c>
      <c r="CG49" s="51">
        <f t="shared" si="253"/>
        <v>400.07089122000002</v>
      </c>
      <c r="CH49" s="52">
        <f t="shared" si="254"/>
        <v>118.4183</v>
      </c>
      <c r="CI49" s="51">
        <f t="shared" si="255"/>
        <v>391.46721614</v>
      </c>
      <c r="CJ49" s="48">
        <f t="shared" si="256"/>
        <v>115.81569999999999</v>
      </c>
      <c r="CK49" s="51">
        <f t="shared" si="257"/>
        <v>382.86354105999999</v>
      </c>
      <c r="CL49" s="52">
        <f t="shared" si="258"/>
        <v>113.2131</v>
      </c>
      <c r="CM49" s="51">
        <f t="shared" si="259"/>
        <v>374.25986597999997</v>
      </c>
      <c r="CN49" s="53">
        <f t="shared" si="260"/>
        <v>110.61049999999999</v>
      </c>
      <c r="CO49" s="51">
        <f t="shared" si="261"/>
        <v>365.65619089999996</v>
      </c>
      <c r="CP49" s="52">
        <f t="shared" si="262"/>
        <v>108.00789999999999</v>
      </c>
      <c r="CQ49" s="51">
        <f t="shared" si="263"/>
        <v>357.05251582</v>
      </c>
      <c r="CR49" s="48">
        <f t="shared" si="264"/>
        <v>105.40529999999998</v>
      </c>
      <c r="CS49" s="51">
        <f t="shared" si="265"/>
        <v>348.44884073999992</v>
      </c>
      <c r="CT49" s="53">
        <f t="shared" si="266"/>
        <v>102.80269999999999</v>
      </c>
      <c r="CU49" s="51">
        <f t="shared" si="267"/>
        <v>339.84516565999996</v>
      </c>
      <c r="CV49" s="53">
        <f t="shared" si="268"/>
        <v>100.20009999999998</v>
      </c>
      <c r="CW49" s="51">
        <f t="shared" si="269"/>
        <v>331.24149057999995</v>
      </c>
      <c r="CX49" s="53">
        <f t="shared" si="270"/>
        <v>97.597499999999982</v>
      </c>
      <c r="CY49" s="51">
        <f t="shared" si="271"/>
        <v>322.63781549999993</v>
      </c>
      <c r="CZ49" s="48">
        <f t="shared" si="272"/>
        <v>94.994899999999987</v>
      </c>
      <c r="DA49" s="51">
        <f t="shared" si="273"/>
        <v>314.03414041999997</v>
      </c>
      <c r="DB49" s="53">
        <f t="shared" si="274"/>
        <v>92.392299999999977</v>
      </c>
      <c r="DC49" s="51">
        <f t="shared" si="275"/>
        <v>305.43046533999996</v>
      </c>
      <c r="DD49" s="53">
        <f t="shared" si="276"/>
        <v>89.789699999999982</v>
      </c>
      <c r="DE49" s="51">
        <f t="shared" si="277"/>
        <v>296.82679025999994</v>
      </c>
      <c r="DF49" s="53">
        <f t="shared" si="278"/>
        <v>87.187099999999973</v>
      </c>
      <c r="DG49" s="51">
        <f t="shared" si="279"/>
        <v>288.22311517999992</v>
      </c>
      <c r="DH49" s="53">
        <f t="shared" si="280"/>
        <v>84.584499999999977</v>
      </c>
      <c r="DI49" s="51">
        <f t="shared" si="281"/>
        <v>279.61944009999991</v>
      </c>
      <c r="DJ49" s="48">
        <f t="shared" si="282"/>
        <v>81.981899999999968</v>
      </c>
      <c r="DK49" s="51">
        <f t="shared" si="283"/>
        <v>271.01576501999989</v>
      </c>
      <c r="DL49" s="53">
        <f t="shared" si="284"/>
        <v>79.379299999999972</v>
      </c>
      <c r="DM49" s="51">
        <f t="shared" si="285"/>
        <v>262.41208993999993</v>
      </c>
      <c r="DN49" s="53">
        <f t="shared" si="286"/>
        <v>76.776699999999963</v>
      </c>
      <c r="DO49" s="51">
        <f t="shared" si="287"/>
        <v>253.80841485999989</v>
      </c>
      <c r="DP49" s="48">
        <f t="shared" si="288"/>
        <v>74.174099999999967</v>
      </c>
      <c r="DQ49" s="51">
        <f t="shared" si="289"/>
        <v>245.2047397799999</v>
      </c>
      <c r="DT49" s="48">
        <v>1</v>
      </c>
      <c r="DU49" s="48">
        <v>0.97</v>
      </c>
      <c r="DV49" s="48">
        <v>0.95</v>
      </c>
      <c r="DW49" s="48">
        <v>0.93</v>
      </c>
      <c r="DX49" s="48">
        <f t="shared" ref="DX49:EO49" si="591">+DW49-0.02</f>
        <v>0.91</v>
      </c>
      <c r="DY49" s="48">
        <f t="shared" si="591"/>
        <v>0.89</v>
      </c>
      <c r="DZ49" s="48">
        <f t="shared" si="591"/>
        <v>0.87</v>
      </c>
      <c r="EA49" s="48">
        <f t="shared" si="591"/>
        <v>0.85</v>
      </c>
      <c r="EB49" s="48">
        <f t="shared" si="591"/>
        <v>0.83</v>
      </c>
      <c r="EC49" s="48">
        <f t="shared" si="591"/>
        <v>0.80999999999999994</v>
      </c>
      <c r="ED49" s="48">
        <f t="shared" si="591"/>
        <v>0.78999999999999992</v>
      </c>
      <c r="EE49" s="48">
        <f t="shared" si="591"/>
        <v>0.76999999999999991</v>
      </c>
      <c r="EF49" s="48">
        <f t="shared" si="591"/>
        <v>0.74999999999999989</v>
      </c>
      <c r="EG49" s="48">
        <f t="shared" si="591"/>
        <v>0.72999999999999987</v>
      </c>
      <c r="EH49" s="48">
        <f t="shared" si="591"/>
        <v>0.70999999999999985</v>
      </c>
      <c r="EI49" s="48">
        <f t="shared" si="591"/>
        <v>0.68999999999999984</v>
      </c>
      <c r="EJ49" s="48">
        <f t="shared" si="591"/>
        <v>0.66999999999999982</v>
      </c>
      <c r="EK49" s="48">
        <f t="shared" si="591"/>
        <v>0.6499999999999998</v>
      </c>
      <c r="EL49" s="48">
        <f t="shared" si="591"/>
        <v>0.62999999999999978</v>
      </c>
      <c r="EM49" s="48">
        <f t="shared" si="591"/>
        <v>0.60999999999999976</v>
      </c>
      <c r="EN49" s="48">
        <f t="shared" si="591"/>
        <v>0.58999999999999975</v>
      </c>
      <c r="EO49" s="48">
        <f t="shared" si="591"/>
        <v>0.56999999999999973</v>
      </c>
      <c r="EQ49" s="48">
        <f t="shared" si="188"/>
        <v>118.4183</v>
      </c>
      <c r="ER49" s="48">
        <f t="shared" si="116"/>
        <v>118.4183</v>
      </c>
      <c r="ES49" s="51">
        <f t="shared" ref="ES49" si="592">+ER49*3.3058</f>
        <v>391.46721614</v>
      </c>
      <c r="ET49" s="48">
        <f t="shared" si="292"/>
        <v>114.865751</v>
      </c>
      <c r="EU49" s="51">
        <f t="shared" si="293"/>
        <v>379.72319965580004</v>
      </c>
      <c r="EV49" s="48">
        <f t="shared" si="294"/>
        <v>112.49738499999999</v>
      </c>
      <c r="EW49" s="51">
        <f t="shared" si="295"/>
        <v>371.89385533299998</v>
      </c>
      <c r="EX49" s="48">
        <f t="shared" si="296"/>
        <v>110.12901900000001</v>
      </c>
      <c r="EY49" s="51">
        <f t="shared" si="297"/>
        <v>364.06451101020008</v>
      </c>
      <c r="EZ49" s="52">
        <f t="shared" si="298"/>
        <v>107.760653</v>
      </c>
      <c r="FA49" s="51">
        <f t="shared" si="299"/>
        <v>356.23516668740001</v>
      </c>
      <c r="FB49" s="48">
        <f t="shared" si="300"/>
        <v>105.39228700000001</v>
      </c>
      <c r="FC49" s="51">
        <f t="shared" si="301"/>
        <v>348.40582236460006</v>
      </c>
      <c r="FD49" s="52">
        <f t="shared" si="302"/>
        <v>103.023921</v>
      </c>
      <c r="FE49" s="51">
        <f t="shared" si="303"/>
        <v>340.57647804179999</v>
      </c>
      <c r="FF49" s="53">
        <f t="shared" si="304"/>
        <v>100.65555499999999</v>
      </c>
      <c r="FG49" s="51">
        <f t="shared" si="305"/>
        <v>332.74713371899998</v>
      </c>
      <c r="FH49" s="52">
        <f t="shared" si="306"/>
        <v>98.287188999999998</v>
      </c>
      <c r="FI49" s="51">
        <f t="shared" si="307"/>
        <v>324.91778939620002</v>
      </c>
      <c r="FJ49" s="48">
        <f t="shared" si="308"/>
        <v>95.918822999999989</v>
      </c>
      <c r="FK49" s="51">
        <f t="shared" si="309"/>
        <v>317.08844507339995</v>
      </c>
      <c r="FL49" s="53">
        <f t="shared" si="310"/>
        <v>93.550456999999994</v>
      </c>
      <c r="FM49" s="51">
        <f t="shared" si="311"/>
        <v>309.2591007506</v>
      </c>
      <c r="FN49" s="53">
        <f t="shared" si="312"/>
        <v>91.182090999999986</v>
      </c>
      <c r="FO49" s="51">
        <f t="shared" si="313"/>
        <v>301.42975642779999</v>
      </c>
      <c r="FP49" s="53">
        <f t="shared" si="314"/>
        <v>88.813724999999991</v>
      </c>
      <c r="FQ49" s="51">
        <f t="shared" si="315"/>
        <v>293.60041210499998</v>
      </c>
      <c r="FR49" s="48">
        <f t="shared" si="316"/>
        <v>86.445358999999982</v>
      </c>
      <c r="FS49" s="51">
        <f t="shared" si="317"/>
        <v>285.77106778219996</v>
      </c>
      <c r="FT49" s="53">
        <f t="shared" si="318"/>
        <v>84.076992999999987</v>
      </c>
      <c r="FU49" s="51">
        <f t="shared" si="319"/>
        <v>277.94172345939995</v>
      </c>
      <c r="FV49" s="53">
        <f t="shared" si="320"/>
        <v>81.708626999999979</v>
      </c>
      <c r="FW49" s="51">
        <f t="shared" si="321"/>
        <v>270.11237913659994</v>
      </c>
      <c r="FX49" s="53">
        <f t="shared" si="322"/>
        <v>79.340260999999984</v>
      </c>
      <c r="FY49" s="51">
        <f t="shared" si="323"/>
        <v>262.28303481379993</v>
      </c>
      <c r="FZ49" s="53">
        <f t="shared" si="324"/>
        <v>76.971894999999975</v>
      </c>
      <c r="GA49" s="51">
        <f t="shared" si="325"/>
        <v>254.45369049099992</v>
      </c>
      <c r="GB49" s="48">
        <f t="shared" si="326"/>
        <v>74.60352899999998</v>
      </c>
      <c r="GC49" s="51">
        <f t="shared" si="327"/>
        <v>246.62434616819993</v>
      </c>
      <c r="GD49" s="53">
        <f t="shared" si="328"/>
        <v>72.235162999999972</v>
      </c>
      <c r="GE49" s="51">
        <f t="shared" si="329"/>
        <v>238.79500184539992</v>
      </c>
      <c r="GF49" s="53">
        <f t="shared" si="330"/>
        <v>69.866796999999977</v>
      </c>
      <c r="GG49" s="51">
        <f t="shared" si="331"/>
        <v>230.96565752259994</v>
      </c>
      <c r="GH49" s="48">
        <f t="shared" si="332"/>
        <v>67.498430999999968</v>
      </c>
      <c r="GI49" s="51">
        <f t="shared" si="333"/>
        <v>223.1363131997999</v>
      </c>
      <c r="GJ49" s="48"/>
      <c r="GK49" s="48"/>
      <c r="GL49" s="48">
        <v>1</v>
      </c>
      <c r="GM49" s="48">
        <v>0.97</v>
      </c>
      <c r="GN49" s="48">
        <v>0.95</v>
      </c>
      <c r="GO49" s="48">
        <v>0.93</v>
      </c>
      <c r="GP49" s="48">
        <f t="shared" ref="GP49:HG49" si="593">+GO49-0.02</f>
        <v>0.91</v>
      </c>
      <c r="GQ49" s="48">
        <f t="shared" si="593"/>
        <v>0.89</v>
      </c>
      <c r="GR49" s="48">
        <f t="shared" si="593"/>
        <v>0.87</v>
      </c>
      <c r="GS49" s="48">
        <f t="shared" si="593"/>
        <v>0.85</v>
      </c>
      <c r="GT49" s="48">
        <f t="shared" si="593"/>
        <v>0.83</v>
      </c>
      <c r="GU49" s="48">
        <f t="shared" si="593"/>
        <v>0.80999999999999994</v>
      </c>
      <c r="GV49" s="48">
        <f t="shared" si="593"/>
        <v>0.78999999999999992</v>
      </c>
      <c r="GW49" s="48">
        <f t="shared" si="593"/>
        <v>0.76999999999999991</v>
      </c>
      <c r="GX49" s="48">
        <f t="shared" si="593"/>
        <v>0.74999999999999989</v>
      </c>
      <c r="GY49" s="48">
        <f t="shared" si="593"/>
        <v>0.72999999999999987</v>
      </c>
      <c r="GZ49" s="48">
        <f t="shared" si="593"/>
        <v>0.70999999999999985</v>
      </c>
      <c r="HA49" s="48">
        <f t="shared" si="593"/>
        <v>0.68999999999999984</v>
      </c>
      <c r="HB49" s="48">
        <f t="shared" si="593"/>
        <v>0.66999999999999982</v>
      </c>
      <c r="HC49" s="48">
        <f t="shared" si="593"/>
        <v>0.6499999999999998</v>
      </c>
      <c r="HD49" s="48">
        <f t="shared" si="593"/>
        <v>0.62999999999999978</v>
      </c>
      <c r="HE49" s="48">
        <f t="shared" si="593"/>
        <v>0.60999999999999976</v>
      </c>
      <c r="HF49" s="48">
        <f t="shared" si="593"/>
        <v>0.58999999999999975</v>
      </c>
      <c r="HG49" s="48">
        <f t="shared" si="593"/>
        <v>0.56999999999999973</v>
      </c>
    </row>
    <row r="50" spans="1:215" x14ac:dyDescent="0.3">
      <c r="A50" s="2">
        <v>17</v>
      </c>
      <c r="C50" s="39" t="s">
        <v>54</v>
      </c>
      <c r="D50" s="44">
        <v>0</v>
      </c>
      <c r="E50" s="73">
        <f t="shared" si="203"/>
        <v>0</v>
      </c>
      <c r="G50" s="48">
        <f t="shared" si="61"/>
        <v>0</v>
      </c>
      <c r="H50" s="48">
        <f t="shared" si="62"/>
        <v>0</v>
      </c>
      <c r="I50" s="51">
        <f t="shared" si="63"/>
        <v>0</v>
      </c>
      <c r="J50" s="48">
        <f t="shared" si="204"/>
        <v>0</v>
      </c>
      <c r="K50" s="51">
        <f t="shared" si="205"/>
        <v>0</v>
      </c>
      <c r="L50" s="48">
        <f t="shared" si="206"/>
        <v>0</v>
      </c>
      <c r="M50" s="51">
        <f t="shared" si="207"/>
        <v>0</v>
      </c>
      <c r="N50" s="48">
        <f t="shared" si="208"/>
        <v>0</v>
      </c>
      <c r="O50" s="51">
        <f t="shared" si="209"/>
        <v>0</v>
      </c>
      <c r="P50" s="52">
        <f t="shared" si="210"/>
        <v>0</v>
      </c>
      <c r="Q50" s="51">
        <f t="shared" si="211"/>
        <v>0</v>
      </c>
      <c r="R50" s="48">
        <f t="shared" si="212"/>
        <v>0</v>
      </c>
      <c r="S50" s="51">
        <f t="shared" si="213"/>
        <v>0</v>
      </c>
      <c r="T50" s="52">
        <f t="shared" si="214"/>
        <v>0</v>
      </c>
      <c r="U50" s="51">
        <f t="shared" si="215"/>
        <v>0</v>
      </c>
      <c r="V50" s="53">
        <f t="shared" si="216"/>
        <v>0</v>
      </c>
      <c r="W50" s="51">
        <f t="shared" si="217"/>
        <v>0</v>
      </c>
      <c r="X50" s="52">
        <f t="shared" si="218"/>
        <v>0</v>
      </c>
      <c r="Y50" s="51">
        <f t="shared" si="219"/>
        <v>0</v>
      </c>
      <c r="Z50" s="48">
        <f t="shared" si="220"/>
        <v>0</v>
      </c>
      <c r="AA50" s="51">
        <f t="shared" si="221"/>
        <v>0</v>
      </c>
      <c r="AB50" s="53">
        <f t="shared" si="222"/>
        <v>0</v>
      </c>
      <c r="AC50" s="51">
        <f t="shared" si="223"/>
        <v>0</v>
      </c>
      <c r="AD50" s="53">
        <f t="shared" si="224"/>
        <v>0</v>
      </c>
      <c r="AE50" s="51">
        <f t="shared" si="225"/>
        <v>0</v>
      </c>
      <c r="AF50" s="53">
        <f t="shared" si="226"/>
        <v>0</v>
      </c>
      <c r="AG50" s="51">
        <f t="shared" si="227"/>
        <v>0</v>
      </c>
      <c r="AH50" s="48">
        <f t="shared" si="228"/>
        <v>0</v>
      </c>
      <c r="AI50" s="51">
        <f t="shared" si="229"/>
        <v>0</v>
      </c>
      <c r="AJ50" s="53">
        <f t="shared" si="230"/>
        <v>0</v>
      </c>
      <c r="AK50" s="51">
        <f t="shared" si="231"/>
        <v>0</v>
      </c>
      <c r="AL50" s="53">
        <f t="shared" si="232"/>
        <v>0</v>
      </c>
      <c r="AM50" s="51">
        <f t="shared" si="233"/>
        <v>0</v>
      </c>
      <c r="AN50" s="53">
        <f t="shared" si="234"/>
        <v>0</v>
      </c>
      <c r="AO50" s="51">
        <f t="shared" si="235"/>
        <v>0</v>
      </c>
      <c r="AP50" s="53">
        <f t="shared" si="236"/>
        <v>0</v>
      </c>
      <c r="AQ50" s="51">
        <f t="shared" si="237"/>
        <v>0</v>
      </c>
      <c r="AR50" s="48">
        <f t="shared" si="238"/>
        <v>0</v>
      </c>
      <c r="AS50" s="51">
        <f t="shared" si="239"/>
        <v>0</v>
      </c>
      <c r="AT50" s="53">
        <f t="shared" si="240"/>
        <v>0</v>
      </c>
      <c r="AU50" s="51">
        <f t="shared" si="241"/>
        <v>0</v>
      </c>
      <c r="AV50" s="53">
        <f t="shared" si="242"/>
        <v>0</v>
      </c>
      <c r="AW50" s="51">
        <f t="shared" si="243"/>
        <v>0</v>
      </c>
      <c r="AX50" s="48">
        <f t="shared" si="244"/>
        <v>0</v>
      </c>
      <c r="AY50" s="51">
        <f t="shared" si="245"/>
        <v>0</v>
      </c>
      <c r="BB50" s="48">
        <v>1</v>
      </c>
      <c r="BC50" s="48">
        <v>0.97</v>
      </c>
      <c r="BD50" s="48">
        <v>0.95</v>
      </c>
      <c r="BE50" s="48">
        <v>0.93</v>
      </c>
      <c r="BF50" s="48">
        <f t="shared" ref="BF50:BW50" si="594">+BE50-0.02</f>
        <v>0.91</v>
      </c>
      <c r="BG50" s="48">
        <f t="shared" si="594"/>
        <v>0.89</v>
      </c>
      <c r="BH50" s="48">
        <f t="shared" si="594"/>
        <v>0.87</v>
      </c>
      <c r="BI50" s="48">
        <f t="shared" si="594"/>
        <v>0.85</v>
      </c>
      <c r="BJ50" s="48">
        <f t="shared" si="594"/>
        <v>0.83</v>
      </c>
      <c r="BK50" s="48">
        <f t="shared" si="594"/>
        <v>0.80999999999999994</v>
      </c>
      <c r="BL50" s="48">
        <f t="shared" si="594"/>
        <v>0.78999999999999992</v>
      </c>
      <c r="BM50" s="48">
        <f t="shared" si="594"/>
        <v>0.76999999999999991</v>
      </c>
      <c r="BN50" s="48">
        <f t="shared" si="594"/>
        <v>0.74999999999999989</v>
      </c>
      <c r="BO50" s="48">
        <f t="shared" si="594"/>
        <v>0.72999999999999987</v>
      </c>
      <c r="BP50" s="48">
        <f t="shared" si="594"/>
        <v>0.70999999999999985</v>
      </c>
      <c r="BQ50" s="48">
        <f t="shared" si="594"/>
        <v>0.68999999999999984</v>
      </c>
      <c r="BR50" s="48">
        <f t="shared" si="594"/>
        <v>0.66999999999999982</v>
      </c>
      <c r="BS50" s="48">
        <f t="shared" si="594"/>
        <v>0.6499999999999998</v>
      </c>
      <c r="BT50" s="48">
        <f t="shared" si="594"/>
        <v>0.62999999999999978</v>
      </c>
      <c r="BU50" s="48">
        <f t="shared" si="594"/>
        <v>0.60999999999999976</v>
      </c>
      <c r="BV50" s="48">
        <f t="shared" si="594"/>
        <v>0.58999999999999975</v>
      </c>
      <c r="BW50" s="48">
        <f t="shared" si="594"/>
        <v>0.56999999999999973</v>
      </c>
      <c r="BY50" s="48">
        <f t="shared" si="88"/>
        <v>0</v>
      </c>
      <c r="BZ50" s="48">
        <f t="shared" si="89"/>
        <v>0</v>
      </c>
      <c r="CA50" s="51">
        <f t="shared" ref="CA50" si="595">+BZ50*3.3058</f>
        <v>0</v>
      </c>
      <c r="CB50" s="48">
        <f t="shared" si="248"/>
        <v>0</v>
      </c>
      <c r="CC50" s="51">
        <f t="shared" si="249"/>
        <v>0</v>
      </c>
      <c r="CD50" s="48">
        <f t="shared" si="250"/>
        <v>0</v>
      </c>
      <c r="CE50" s="51">
        <f t="shared" si="251"/>
        <v>0</v>
      </c>
      <c r="CF50" s="48">
        <f t="shared" si="252"/>
        <v>0</v>
      </c>
      <c r="CG50" s="51">
        <f t="shared" si="253"/>
        <v>0</v>
      </c>
      <c r="CH50" s="52">
        <f t="shared" si="254"/>
        <v>0</v>
      </c>
      <c r="CI50" s="51">
        <f t="shared" si="255"/>
        <v>0</v>
      </c>
      <c r="CJ50" s="48">
        <f t="shared" si="256"/>
        <v>0</v>
      </c>
      <c r="CK50" s="51">
        <f t="shared" si="257"/>
        <v>0</v>
      </c>
      <c r="CL50" s="52">
        <f t="shared" si="258"/>
        <v>0</v>
      </c>
      <c r="CM50" s="51">
        <f t="shared" si="259"/>
        <v>0</v>
      </c>
      <c r="CN50" s="53">
        <f t="shared" si="260"/>
        <v>0</v>
      </c>
      <c r="CO50" s="51">
        <f t="shared" si="261"/>
        <v>0</v>
      </c>
      <c r="CP50" s="52">
        <f t="shared" si="262"/>
        <v>0</v>
      </c>
      <c r="CQ50" s="51">
        <f t="shared" si="263"/>
        <v>0</v>
      </c>
      <c r="CR50" s="48">
        <f t="shared" si="264"/>
        <v>0</v>
      </c>
      <c r="CS50" s="51">
        <f t="shared" si="265"/>
        <v>0</v>
      </c>
      <c r="CT50" s="53">
        <f t="shared" si="266"/>
        <v>0</v>
      </c>
      <c r="CU50" s="51">
        <f t="shared" si="267"/>
        <v>0</v>
      </c>
      <c r="CV50" s="53">
        <f t="shared" si="268"/>
        <v>0</v>
      </c>
      <c r="CW50" s="51">
        <f t="shared" si="269"/>
        <v>0</v>
      </c>
      <c r="CX50" s="53">
        <f t="shared" si="270"/>
        <v>0</v>
      </c>
      <c r="CY50" s="51">
        <f t="shared" si="271"/>
        <v>0</v>
      </c>
      <c r="CZ50" s="48">
        <f t="shared" si="272"/>
        <v>0</v>
      </c>
      <c r="DA50" s="51">
        <f t="shared" si="273"/>
        <v>0</v>
      </c>
      <c r="DB50" s="53">
        <f t="shared" si="274"/>
        <v>0</v>
      </c>
      <c r="DC50" s="51">
        <f t="shared" si="275"/>
        <v>0</v>
      </c>
      <c r="DD50" s="53">
        <f t="shared" si="276"/>
        <v>0</v>
      </c>
      <c r="DE50" s="51">
        <f t="shared" si="277"/>
        <v>0</v>
      </c>
      <c r="DF50" s="53">
        <f t="shared" si="278"/>
        <v>0</v>
      </c>
      <c r="DG50" s="51">
        <f t="shared" si="279"/>
        <v>0</v>
      </c>
      <c r="DH50" s="53">
        <f t="shared" si="280"/>
        <v>0</v>
      </c>
      <c r="DI50" s="51">
        <f t="shared" si="281"/>
        <v>0</v>
      </c>
      <c r="DJ50" s="48">
        <f t="shared" si="282"/>
        <v>0</v>
      </c>
      <c r="DK50" s="51">
        <f t="shared" si="283"/>
        <v>0</v>
      </c>
      <c r="DL50" s="53">
        <f t="shared" si="284"/>
        <v>0</v>
      </c>
      <c r="DM50" s="51">
        <f t="shared" si="285"/>
        <v>0</v>
      </c>
      <c r="DN50" s="53">
        <f t="shared" si="286"/>
        <v>0</v>
      </c>
      <c r="DO50" s="51">
        <f t="shared" si="287"/>
        <v>0</v>
      </c>
      <c r="DP50" s="48">
        <f t="shared" si="288"/>
        <v>0</v>
      </c>
      <c r="DQ50" s="51">
        <f t="shared" si="289"/>
        <v>0</v>
      </c>
      <c r="DT50" s="48">
        <v>1</v>
      </c>
      <c r="DU50" s="48">
        <v>0.97</v>
      </c>
      <c r="DV50" s="48">
        <v>0.95</v>
      </c>
      <c r="DW50" s="48">
        <v>0.93</v>
      </c>
      <c r="DX50" s="48">
        <f t="shared" ref="DX50:EO50" si="596">+DW50-0.02</f>
        <v>0.91</v>
      </c>
      <c r="DY50" s="48">
        <f t="shared" si="596"/>
        <v>0.89</v>
      </c>
      <c r="DZ50" s="48">
        <f t="shared" si="596"/>
        <v>0.87</v>
      </c>
      <c r="EA50" s="48">
        <f t="shared" si="596"/>
        <v>0.85</v>
      </c>
      <c r="EB50" s="48">
        <f t="shared" si="596"/>
        <v>0.83</v>
      </c>
      <c r="EC50" s="48">
        <f t="shared" si="596"/>
        <v>0.80999999999999994</v>
      </c>
      <c r="ED50" s="48">
        <f t="shared" si="596"/>
        <v>0.78999999999999992</v>
      </c>
      <c r="EE50" s="48">
        <f t="shared" si="596"/>
        <v>0.76999999999999991</v>
      </c>
      <c r="EF50" s="48">
        <f t="shared" si="596"/>
        <v>0.74999999999999989</v>
      </c>
      <c r="EG50" s="48">
        <f t="shared" si="596"/>
        <v>0.72999999999999987</v>
      </c>
      <c r="EH50" s="48">
        <f t="shared" si="596"/>
        <v>0.70999999999999985</v>
      </c>
      <c r="EI50" s="48">
        <f t="shared" si="596"/>
        <v>0.68999999999999984</v>
      </c>
      <c r="EJ50" s="48">
        <f t="shared" si="596"/>
        <v>0.66999999999999982</v>
      </c>
      <c r="EK50" s="48">
        <f t="shared" si="596"/>
        <v>0.6499999999999998</v>
      </c>
      <c r="EL50" s="48">
        <f t="shared" si="596"/>
        <v>0.62999999999999978</v>
      </c>
      <c r="EM50" s="48">
        <f t="shared" si="596"/>
        <v>0.60999999999999976</v>
      </c>
      <c r="EN50" s="48">
        <f t="shared" si="596"/>
        <v>0.58999999999999975</v>
      </c>
      <c r="EO50" s="48">
        <f t="shared" si="596"/>
        <v>0.56999999999999973</v>
      </c>
      <c r="EQ50" s="48">
        <f t="shared" si="188"/>
        <v>0</v>
      </c>
      <c r="ER50" s="48">
        <f t="shared" si="116"/>
        <v>0</v>
      </c>
      <c r="ES50" s="51">
        <f t="shared" ref="ES50" si="597">+ER50*3.3058</f>
        <v>0</v>
      </c>
      <c r="ET50" s="48">
        <f t="shared" si="292"/>
        <v>0</v>
      </c>
      <c r="EU50" s="51">
        <f t="shared" si="293"/>
        <v>0</v>
      </c>
      <c r="EV50" s="48">
        <f t="shared" si="294"/>
        <v>0</v>
      </c>
      <c r="EW50" s="51">
        <f t="shared" si="295"/>
        <v>0</v>
      </c>
      <c r="EX50" s="48">
        <f t="shared" si="296"/>
        <v>0</v>
      </c>
      <c r="EY50" s="51">
        <f t="shared" si="297"/>
        <v>0</v>
      </c>
      <c r="EZ50" s="52">
        <f t="shared" si="298"/>
        <v>0</v>
      </c>
      <c r="FA50" s="51">
        <f t="shared" si="299"/>
        <v>0</v>
      </c>
      <c r="FB50" s="48">
        <f t="shared" si="300"/>
        <v>0</v>
      </c>
      <c r="FC50" s="51">
        <f t="shared" si="301"/>
        <v>0</v>
      </c>
      <c r="FD50" s="52">
        <f t="shared" si="302"/>
        <v>0</v>
      </c>
      <c r="FE50" s="51">
        <f t="shared" si="303"/>
        <v>0</v>
      </c>
      <c r="FF50" s="53">
        <f t="shared" si="304"/>
        <v>0</v>
      </c>
      <c r="FG50" s="51">
        <f t="shared" si="305"/>
        <v>0</v>
      </c>
      <c r="FH50" s="52">
        <f t="shared" si="306"/>
        <v>0</v>
      </c>
      <c r="FI50" s="51">
        <f t="shared" si="307"/>
        <v>0</v>
      </c>
      <c r="FJ50" s="48">
        <f t="shared" si="308"/>
        <v>0</v>
      </c>
      <c r="FK50" s="51">
        <f t="shared" si="309"/>
        <v>0</v>
      </c>
      <c r="FL50" s="53">
        <f t="shared" si="310"/>
        <v>0</v>
      </c>
      <c r="FM50" s="51">
        <f t="shared" si="311"/>
        <v>0</v>
      </c>
      <c r="FN50" s="53">
        <f t="shared" si="312"/>
        <v>0</v>
      </c>
      <c r="FO50" s="51">
        <f t="shared" si="313"/>
        <v>0</v>
      </c>
      <c r="FP50" s="53">
        <f t="shared" si="314"/>
        <v>0</v>
      </c>
      <c r="FQ50" s="51">
        <f t="shared" si="315"/>
        <v>0</v>
      </c>
      <c r="FR50" s="48">
        <f t="shared" si="316"/>
        <v>0</v>
      </c>
      <c r="FS50" s="51">
        <f t="shared" si="317"/>
        <v>0</v>
      </c>
      <c r="FT50" s="53">
        <f t="shared" si="318"/>
        <v>0</v>
      </c>
      <c r="FU50" s="51">
        <f t="shared" si="319"/>
        <v>0</v>
      </c>
      <c r="FV50" s="53">
        <f t="shared" si="320"/>
        <v>0</v>
      </c>
      <c r="FW50" s="51">
        <f t="shared" si="321"/>
        <v>0</v>
      </c>
      <c r="FX50" s="53">
        <f t="shared" si="322"/>
        <v>0</v>
      </c>
      <c r="FY50" s="51">
        <f t="shared" si="323"/>
        <v>0</v>
      </c>
      <c r="FZ50" s="53">
        <f t="shared" si="324"/>
        <v>0</v>
      </c>
      <c r="GA50" s="51">
        <f t="shared" si="325"/>
        <v>0</v>
      </c>
      <c r="GB50" s="48">
        <f t="shared" si="326"/>
        <v>0</v>
      </c>
      <c r="GC50" s="51">
        <f t="shared" si="327"/>
        <v>0</v>
      </c>
      <c r="GD50" s="53">
        <f t="shared" si="328"/>
        <v>0</v>
      </c>
      <c r="GE50" s="51">
        <f t="shared" si="329"/>
        <v>0</v>
      </c>
      <c r="GF50" s="53">
        <f t="shared" si="330"/>
        <v>0</v>
      </c>
      <c r="GG50" s="51">
        <f t="shared" si="331"/>
        <v>0</v>
      </c>
      <c r="GH50" s="48">
        <f t="shared" si="332"/>
        <v>0</v>
      </c>
      <c r="GI50" s="51">
        <f t="shared" si="333"/>
        <v>0</v>
      </c>
      <c r="GJ50" s="48"/>
      <c r="GK50" s="48"/>
      <c r="GL50" s="48">
        <v>1</v>
      </c>
      <c r="GM50" s="48">
        <v>0.97</v>
      </c>
      <c r="GN50" s="48">
        <v>0.95</v>
      </c>
      <c r="GO50" s="48">
        <v>0.93</v>
      </c>
      <c r="GP50" s="48">
        <f t="shared" ref="GP50:HG50" si="598">+GO50-0.02</f>
        <v>0.91</v>
      </c>
      <c r="GQ50" s="48">
        <f t="shared" si="598"/>
        <v>0.89</v>
      </c>
      <c r="GR50" s="48">
        <f t="shared" si="598"/>
        <v>0.87</v>
      </c>
      <c r="GS50" s="48">
        <f t="shared" si="598"/>
        <v>0.85</v>
      </c>
      <c r="GT50" s="48">
        <f t="shared" si="598"/>
        <v>0.83</v>
      </c>
      <c r="GU50" s="48">
        <f t="shared" si="598"/>
        <v>0.80999999999999994</v>
      </c>
      <c r="GV50" s="48">
        <f t="shared" si="598"/>
        <v>0.78999999999999992</v>
      </c>
      <c r="GW50" s="48">
        <f t="shared" si="598"/>
        <v>0.76999999999999991</v>
      </c>
      <c r="GX50" s="48">
        <f t="shared" si="598"/>
        <v>0.74999999999999989</v>
      </c>
      <c r="GY50" s="48">
        <f t="shared" si="598"/>
        <v>0.72999999999999987</v>
      </c>
      <c r="GZ50" s="48">
        <f t="shared" si="598"/>
        <v>0.70999999999999985</v>
      </c>
      <c r="HA50" s="48">
        <f t="shared" si="598"/>
        <v>0.68999999999999984</v>
      </c>
      <c r="HB50" s="48">
        <f t="shared" si="598"/>
        <v>0.66999999999999982</v>
      </c>
      <c r="HC50" s="48">
        <f t="shared" si="598"/>
        <v>0.6499999999999998</v>
      </c>
      <c r="HD50" s="48">
        <f t="shared" si="598"/>
        <v>0.62999999999999978</v>
      </c>
      <c r="HE50" s="48">
        <f t="shared" si="598"/>
        <v>0.60999999999999976</v>
      </c>
      <c r="HF50" s="48">
        <f t="shared" si="598"/>
        <v>0.58999999999999975</v>
      </c>
      <c r="HG50" s="48">
        <f t="shared" si="598"/>
        <v>0.56999999999999973</v>
      </c>
    </row>
    <row r="51" spans="1:215" x14ac:dyDescent="0.3">
      <c r="A51" s="2">
        <v>18</v>
      </c>
      <c r="C51" s="39" t="s">
        <v>55</v>
      </c>
      <c r="D51" s="44">
        <v>0</v>
      </c>
      <c r="E51" s="73">
        <f t="shared" si="203"/>
        <v>0</v>
      </c>
      <c r="G51" s="48">
        <f t="shared" si="61"/>
        <v>0</v>
      </c>
      <c r="H51" s="48">
        <f t="shared" si="62"/>
        <v>0</v>
      </c>
      <c r="I51" s="51">
        <f t="shared" si="63"/>
        <v>0</v>
      </c>
      <c r="J51" s="48">
        <f t="shared" si="204"/>
        <v>0</v>
      </c>
      <c r="K51" s="51">
        <f t="shared" si="205"/>
        <v>0</v>
      </c>
      <c r="L51" s="48">
        <f t="shared" si="206"/>
        <v>0</v>
      </c>
      <c r="M51" s="51">
        <f t="shared" si="207"/>
        <v>0</v>
      </c>
      <c r="N51" s="48">
        <f t="shared" si="208"/>
        <v>0</v>
      </c>
      <c r="O51" s="51">
        <f t="shared" si="209"/>
        <v>0</v>
      </c>
      <c r="P51" s="52">
        <f t="shared" si="210"/>
        <v>0</v>
      </c>
      <c r="Q51" s="51">
        <f t="shared" si="211"/>
        <v>0</v>
      </c>
      <c r="R51" s="48">
        <f t="shared" si="212"/>
        <v>0</v>
      </c>
      <c r="S51" s="51">
        <f t="shared" si="213"/>
        <v>0</v>
      </c>
      <c r="T51" s="52">
        <f t="shared" si="214"/>
        <v>0</v>
      </c>
      <c r="U51" s="51">
        <f t="shared" si="215"/>
        <v>0</v>
      </c>
      <c r="V51" s="53">
        <f t="shared" si="216"/>
        <v>0</v>
      </c>
      <c r="W51" s="51">
        <f t="shared" si="217"/>
        <v>0</v>
      </c>
      <c r="X51" s="52">
        <f t="shared" si="218"/>
        <v>0</v>
      </c>
      <c r="Y51" s="51">
        <f t="shared" si="219"/>
        <v>0</v>
      </c>
      <c r="Z51" s="48">
        <f t="shared" si="220"/>
        <v>0</v>
      </c>
      <c r="AA51" s="51">
        <f t="shared" si="221"/>
        <v>0</v>
      </c>
      <c r="AB51" s="53">
        <f t="shared" si="222"/>
        <v>0</v>
      </c>
      <c r="AC51" s="51">
        <f t="shared" si="223"/>
        <v>0</v>
      </c>
      <c r="AD51" s="53">
        <f t="shared" si="224"/>
        <v>0</v>
      </c>
      <c r="AE51" s="51">
        <f t="shared" si="225"/>
        <v>0</v>
      </c>
      <c r="AF51" s="53">
        <f t="shared" si="226"/>
        <v>0</v>
      </c>
      <c r="AG51" s="51">
        <f t="shared" si="227"/>
        <v>0</v>
      </c>
      <c r="AH51" s="48">
        <f t="shared" si="228"/>
        <v>0</v>
      </c>
      <c r="AI51" s="51">
        <f t="shared" si="229"/>
        <v>0</v>
      </c>
      <c r="AJ51" s="53">
        <f t="shared" si="230"/>
        <v>0</v>
      </c>
      <c r="AK51" s="51">
        <f t="shared" si="231"/>
        <v>0</v>
      </c>
      <c r="AL51" s="53">
        <f t="shared" si="232"/>
        <v>0</v>
      </c>
      <c r="AM51" s="51">
        <f t="shared" si="233"/>
        <v>0</v>
      </c>
      <c r="AN51" s="53">
        <f t="shared" si="234"/>
        <v>0</v>
      </c>
      <c r="AO51" s="51">
        <f t="shared" si="235"/>
        <v>0</v>
      </c>
      <c r="AP51" s="53">
        <f t="shared" si="236"/>
        <v>0</v>
      </c>
      <c r="AQ51" s="51">
        <f t="shared" si="237"/>
        <v>0</v>
      </c>
      <c r="AR51" s="48">
        <f t="shared" si="238"/>
        <v>0</v>
      </c>
      <c r="AS51" s="51">
        <f t="shared" si="239"/>
        <v>0</v>
      </c>
      <c r="AT51" s="53">
        <f t="shared" si="240"/>
        <v>0</v>
      </c>
      <c r="AU51" s="51">
        <f t="shared" si="241"/>
        <v>0</v>
      </c>
      <c r="AV51" s="53">
        <f t="shared" si="242"/>
        <v>0</v>
      </c>
      <c r="AW51" s="51">
        <f t="shared" si="243"/>
        <v>0</v>
      </c>
      <c r="AX51" s="48">
        <f t="shared" si="244"/>
        <v>0</v>
      </c>
      <c r="AY51" s="51">
        <f t="shared" si="245"/>
        <v>0</v>
      </c>
      <c r="BB51" s="48">
        <v>1</v>
      </c>
      <c r="BC51" s="48">
        <v>0.97</v>
      </c>
      <c r="BD51" s="48">
        <v>0.95</v>
      </c>
      <c r="BE51" s="48">
        <v>0.93</v>
      </c>
      <c r="BF51" s="48">
        <f t="shared" ref="BF51:BW51" si="599">+BE51-0.02</f>
        <v>0.91</v>
      </c>
      <c r="BG51" s="48">
        <f t="shared" si="599"/>
        <v>0.89</v>
      </c>
      <c r="BH51" s="48">
        <f t="shared" si="599"/>
        <v>0.87</v>
      </c>
      <c r="BI51" s="48">
        <f t="shared" si="599"/>
        <v>0.85</v>
      </c>
      <c r="BJ51" s="48">
        <f t="shared" si="599"/>
        <v>0.83</v>
      </c>
      <c r="BK51" s="48">
        <f t="shared" si="599"/>
        <v>0.80999999999999994</v>
      </c>
      <c r="BL51" s="48">
        <f t="shared" si="599"/>
        <v>0.78999999999999992</v>
      </c>
      <c r="BM51" s="48">
        <f t="shared" si="599"/>
        <v>0.76999999999999991</v>
      </c>
      <c r="BN51" s="48">
        <f t="shared" si="599"/>
        <v>0.74999999999999989</v>
      </c>
      <c r="BO51" s="48">
        <f t="shared" si="599"/>
        <v>0.72999999999999987</v>
      </c>
      <c r="BP51" s="48">
        <f t="shared" si="599"/>
        <v>0.70999999999999985</v>
      </c>
      <c r="BQ51" s="48">
        <f t="shared" si="599"/>
        <v>0.68999999999999984</v>
      </c>
      <c r="BR51" s="48">
        <f t="shared" si="599"/>
        <v>0.66999999999999982</v>
      </c>
      <c r="BS51" s="48">
        <f t="shared" si="599"/>
        <v>0.6499999999999998</v>
      </c>
      <c r="BT51" s="48">
        <f t="shared" si="599"/>
        <v>0.62999999999999978</v>
      </c>
      <c r="BU51" s="48">
        <f t="shared" si="599"/>
        <v>0.60999999999999976</v>
      </c>
      <c r="BV51" s="48">
        <f t="shared" si="599"/>
        <v>0.58999999999999975</v>
      </c>
      <c r="BW51" s="48">
        <f t="shared" si="599"/>
        <v>0.56999999999999973</v>
      </c>
      <c r="BY51" s="48">
        <f t="shared" si="88"/>
        <v>0</v>
      </c>
      <c r="BZ51" s="48">
        <f t="shared" si="89"/>
        <v>0</v>
      </c>
      <c r="CA51" s="51">
        <f t="shared" ref="CA51" si="600">+BZ51*3.3058</f>
        <v>0</v>
      </c>
      <c r="CB51" s="48">
        <f t="shared" si="248"/>
        <v>0</v>
      </c>
      <c r="CC51" s="51">
        <f t="shared" si="249"/>
        <v>0</v>
      </c>
      <c r="CD51" s="48">
        <f t="shared" si="250"/>
        <v>0</v>
      </c>
      <c r="CE51" s="51">
        <f t="shared" si="251"/>
        <v>0</v>
      </c>
      <c r="CF51" s="48">
        <f t="shared" si="252"/>
        <v>0</v>
      </c>
      <c r="CG51" s="51">
        <f t="shared" si="253"/>
        <v>0</v>
      </c>
      <c r="CH51" s="52">
        <f t="shared" si="254"/>
        <v>0</v>
      </c>
      <c r="CI51" s="51">
        <f t="shared" si="255"/>
        <v>0</v>
      </c>
      <c r="CJ51" s="48">
        <f t="shared" si="256"/>
        <v>0</v>
      </c>
      <c r="CK51" s="51">
        <f t="shared" si="257"/>
        <v>0</v>
      </c>
      <c r="CL51" s="52">
        <f t="shared" si="258"/>
        <v>0</v>
      </c>
      <c r="CM51" s="51">
        <f t="shared" si="259"/>
        <v>0</v>
      </c>
      <c r="CN51" s="53">
        <f t="shared" si="260"/>
        <v>0</v>
      </c>
      <c r="CO51" s="51">
        <f t="shared" si="261"/>
        <v>0</v>
      </c>
      <c r="CP51" s="52">
        <f t="shared" si="262"/>
        <v>0</v>
      </c>
      <c r="CQ51" s="51">
        <f t="shared" si="263"/>
        <v>0</v>
      </c>
      <c r="CR51" s="48">
        <f t="shared" si="264"/>
        <v>0</v>
      </c>
      <c r="CS51" s="51">
        <f t="shared" si="265"/>
        <v>0</v>
      </c>
      <c r="CT51" s="53">
        <f t="shared" si="266"/>
        <v>0</v>
      </c>
      <c r="CU51" s="51">
        <f t="shared" si="267"/>
        <v>0</v>
      </c>
      <c r="CV51" s="53">
        <f t="shared" si="268"/>
        <v>0</v>
      </c>
      <c r="CW51" s="51">
        <f t="shared" si="269"/>
        <v>0</v>
      </c>
      <c r="CX51" s="53">
        <f t="shared" si="270"/>
        <v>0</v>
      </c>
      <c r="CY51" s="51">
        <f t="shared" si="271"/>
        <v>0</v>
      </c>
      <c r="CZ51" s="48">
        <f t="shared" si="272"/>
        <v>0</v>
      </c>
      <c r="DA51" s="51">
        <f t="shared" si="273"/>
        <v>0</v>
      </c>
      <c r="DB51" s="53">
        <f t="shared" si="274"/>
        <v>0</v>
      </c>
      <c r="DC51" s="51">
        <f t="shared" si="275"/>
        <v>0</v>
      </c>
      <c r="DD51" s="53">
        <f t="shared" si="276"/>
        <v>0</v>
      </c>
      <c r="DE51" s="51">
        <f t="shared" si="277"/>
        <v>0</v>
      </c>
      <c r="DF51" s="53">
        <f t="shared" si="278"/>
        <v>0</v>
      </c>
      <c r="DG51" s="51">
        <f t="shared" si="279"/>
        <v>0</v>
      </c>
      <c r="DH51" s="53">
        <f t="shared" si="280"/>
        <v>0</v>
      </c>
      <c r="DI51" s="51">
        <f t="shared" si="281"/>
        <v>0</v>
      </c>
      <c r="DJ51" s="48">
        <f t="shared" si="282"/>
        <v>0</v>
      </c>
      <c r="DK51" s="51">
        <f t="shared" si="283"/>
        <v>0</v>
      </c>
      <c r="DL51" s="53">
        <f t="shared" si="284"/>
        <v>0</v>
      </c>
      <c r="DM51" s="51">
        <f t="shared" si="285"/>
        <v>0</v>
      </c>
      <c r="DN51" s="53">
        <f t="shared" si="286"/>
        <v>0</v>
      </c>
      <c r="DO51" s="51">
        <f t="shared" si="287"/>
        <v>0</v>
      </c>
      <c r="DP51" s="48">
        <f t="shared" si="288"/>
        <v>0</v>
      </c>
      <c r="DQ51" s="51">
        <f t="shared" si="289"/>
        <v>0</v>
      </c>
      <c r="DT51" s="48">
        <v>1</v>
      </c>
      <c r="DU51" s="48">
        <v>0.97</v>
      </c>
      <c r="DV51" s="48">
        <v>0.95</v>
      </c>
      <c r="DW51" s="48">
        <v>0.93</v>
      </c>
      <c r="DX51" s="48">
        <f t="shared" ref="DX51:EO51" si="601">+DW51-0.02</f>
        <v>0.91</v>
      </c>
      <c r="DY51" s="48">
        <f t="shared" si="601"/>
        <v>0.89</v>
      </c>
      <c r="DZ51" s="48">
        <f t="shared" si="601"/>
        <v>0.87</v>
      </c>
      <c r="EA51" s="48">
        <f t="shared" si="601"/>
        <v>0.85</v>
      </c>
      <c r="EB51" s="48">
        <f t="shared" si="601"/>
        <v>0.83</v>
      </c>
      <c r="EC51" s="48">
        <f t="shared" si="601"/>
        <v>0.80999999999999994</v>
      </c>
      <c r="ED51" s="48">
        <f t="shared" si="601"/>
        <v>0.78999999999999992</v>
      </c>
      <c r="EE51" s="48">
        <f t="shared" si="601"/>
        <v>0.76999999999999991</v>
      </c>
      <c r="EF51" s="48">
        <f t="shared" si="601"/>
        <v>0.74999999999999989</v>
      </c>
      <c r="EG51" s="48">
        <f t="shared" si="601"/>
        <v>0.72999999999999987</v>
      </c>
      <c r="EH51" s="48">
        <f t="shared" si="601"/>
        <v>0.70999999999999985</v>
      </c>
      <c r="EI51" s="48">
        <f t="shared" si="601"/>
        <v>0.68999999999999984</v>
      </c>
      <c r="EJ51" s="48">
        <f t="shared" si="601"/>
        <v>0.66999999999999982</v>
      </c>
      <c r="EK51" s="48">
        <f t="shared" si="601"/>
        <v>0.6499999999999998</v>
      </c>
      <c r="EL51" s="48">
        <f t="shared" si="601"/>
        <v>0.62999999999999978</v>
      </c>
      <c r="EM51" s="48">
        <f t="shared" si="601"/>
        <v>0.60999999999999976</v>
      </c>
      <c r="EN51" s="48">
        <f t="shared" si="601"/>
        <v>0.58999999999999975</v>
      </c>
      <c r="EO51" s="48">
        <f t="shared" si="601"/>
        <v>0.56999999999999973</v>
      </c>
      <c r="EQ51" s="48">
        <f t="shared" si="188"/>
        <v>0</v>
      </c>
      <c r="ER51" s="48">
        <f t="shared" si="116"/>
        <v>0</v>
      </c>
      <c r="ES51" s="51">
        <f t="shared" ref="ES51" si="602">+ER51*3.3058</f>
        <v>0</v>
      </c>
      <c r="ET51" s="48">
        <f t="shared" si="292"/>
        <v>0</v>
      </c>
      <c r="EU51" s="51">
        <f t="shared" si="293"/>
        <v>0</v>
      </c>
      <c r="EV51" s="48">
        <f t="shared" si="294"/>
        <v>0</v>
      </c>
      <c r="EW51" s="51">
        <f t="shared" si="295"/>
        <v>0</v>
      </c>
      <c r="EX51" s="48">
        <f t="shared" si="296"/>
        <v>0</v>
      </c>
      <c r="EY51" s="51">
        <f t="shared" si="297"/>
        <v>0</v>
      </c>
      <c r="EZ51" s="52">
        <f t="shared" si="298"/>
        <v>0</v>
      </c>
      <c r="FA51" s="51">
        <f t="shared" si="299"/>
        <v>0</v>
      </c>
      <c r="FB51" s="48">
        <f t="shared" si="300"/>
        <v>0</v>
      </c>
      <c r="FC51" s="51">
        <f t="shared" si="301"/>
        <v>0</v>
      </c>
      <c r="FD51" s="52">
        <f t="shared" si="302"/>
        <v>0</v>
      </c>
      <c r="FE51" s="51">
        <f t="shared" si="303"/>
        <v>0</v>
      </c>
      <c r="FF51" s="53">
        <f t="shared" si="304"/>
        <v>0</v>
      </c>
      <c r="FG51" s="51">
        <f t="shared" si="305"/>
        <v>0</v>
      </c>
      <c r="FH51" s="52">
        <f t="shared" si="306"/>
        <v>0</v>
      </c>
      <c r="FI51" s="51">
        <f t="shared" si="307"/>
        <v>0</v>
      </c>
      <c r="FJ51" s="48">
        <f t="shared" si="308"/>
        <v>0</v>
      </c>
      <c r="FK51" s="51">
        <f t="shared" si="309"/>
        <v>0</v>
      </c>
      <c r="FL51" s="53">
        <f t="shared" si="310"/>
        <v>0</v>
      </c>
      <c r="FM51" s="51">
        <f t="shared" si="311"/>
        <v>0</v>
      </c>
      <c r="FN51" s="53">
        <f t="shared" si="312"/>
        <v>0</v>
      </c>
      <c r="FO51" s="51">
        <f t="shared" si="313"/>
        <v>0</v>
      </c>
      <c r="FP51" s="53">
        <f t="shared" si="314"/>
        <v>0</v>
      </c>
      <c r="FQ51" s="51">
        <f t="shared" si="315"/>
        <v>0</v>
      </c>
      <c r="FR51" s="48">
        <f t="shared" si="316"/>
        <v>0</v>
      </c>
      <c r="FS51" s="51">
        <f t="shared" si="317"/>
        <v>0</v>
      </c>
      <c r="FT51" s="53">
        <f t="shared" si="318"/>
        <v>0</v>
      </c>
      <c r="FU51" s="51">
        <f t="shared" si="319"/>
        <v>0</v>
      </c>
      <c r="FV51" s="53">
        <f t="shared" si="320"/>
        <v>0</v>
      </c>
      <c r="FW51" s="51">
        <f t="shared" si="321"/>
        <v>0</v>
      </c>
      <c r="FX51" s="53">
        <f t="shared" si="322"/>
        <v>0</v>
      </c>
      <c r="FY51" s="51">
        <f t="shared" si="323"/>
        <v>0</v>
      </c>
      <c r="FZ51" s="53">
        <f t="shared" si="324"/>
        <v>0</v>
      </c>
      <c r="GA51" s="51">
        <f t="shared" si="325"/>
        <v>0</v>
      </c>
      <c r="GB51" s="48">
        <f t="shared" si="326"/>
        <v>0</v>
      </c>
      <c r="GC51" s="51">
        <f t="shared" si="327"/>
        <v>0</v>
      </c>
      <c r="GD51" s="53">
        <f t="shared" si="328"/>
        <v>0</v>
      </c>
      <c r="GE51" s="51">
        <f t="shared" si="329"/>
        <v>0</v>
      </c>
      <c r="GF51" s="53">
        <f t="shared" si="330"/>
        <v>0</v>
      </c>
      <c r="GG51" s="51">
        <f t="shared" si="331"/>
        <v>0</v>
      </c>
      <c r="GH51" s="48">
        <f t="shared" si="332"/>
        <v>0</v>
      </c>
      <c r="GI51" s="51">
        <f t="shared" si="333"/>
        <v>0</v>
      </c>
      <c r="GJ51" s="48"/>
      <c r="GK51" s="48"/>
      <c r="GL51" s="48">
        <v>1</v>
      </c>
      <c r="GM51" s="48">
        <v>0.97</v>
      </c>
      <c r="GN51" s="48">
        <v>0.95</v>
      </c>
      <c r="GO51" s="48">
        <v>0.93</v>
      </c>
      <c r="GP51" s="48">
        <f t="shared" ref="GP51:HG51" si="603">+GO51-0.02</f>
        <v>0.91</v>
      </c>
      <c r="GQ51" s="48">
        <f t="shared" si="603"/>
        <v>0.89</v>
      </c>
      <c r="GR51" s="48">
        <f t="shared" si="603"/>
        <v>0.87</v>
      </c>
      <c r="GS51" s="48">
        <f t="shared" si="603"/>
        <v>0.85</v>
      </c>
      <c r="GT51" s="48">
        <f t="shared" si="603"/>
        <v>0.83</v>
      </c>
      <c r="GU51" s="48">
        <f t="shared" si="603"/>
        <v>0.80999999999999994</v>
      </c>
      <c r="GV51" s="48">
        <f t="shared" si="603"/>
        <v>0.78999999999999992</v>
      </c>
      <c r="GW51" s="48">
        <f t="shared" si="603"/>
        <v>0.76999999999999991</v>
      </c>
      <c r="GX51" s="48">
        <f t="shared" si="603"/>
        <v>0.74999999999999989</v>
      </c>
      <c r="GY51" s="48">
        <f t="shared" si="603"/>
        <v>0.72999999999999987</v>
      </c>
      <c r="GZ51" s="48">
        <f t="shared" si="603"/>
        <v>0.70999999999999985</v>
      </c>
      <c r="HA51" s="48">
        <f t="shared" si="603"/>
        <v>0.68999999999999984</v>
      </c>
      <c r="HB51" s="48">
        <f t="shared" si="603"/>
        <v>0.66999999999999982</v>
      </c>
      <c r="HC51" s="48">
        <f t="shared" si="603"/>
        <v>0.6499999999999998</v>
      </c>
      <c r="HD51" s="48">
        <f t="shared" si="603"/>
        <v>0.62999999999999978</v>
      </c>
      <c r="HE51" s="48">
        <f t="shared" si="603"/>
        <v>0.60999999999999976</v>
      </c>
      <c r="HF51" s="48">
        <f t="shared" si="603"/>
        <v>0.58999999999999975</v>
      </c>
      <c r="HG51" s="48">
        <f t="shared" si="603"/>
        <v>0.56999999999999973</v>
      </c>
    </row>
    <row r="52" spans="1:215" x14ac:dyDescent="0.3">
      <c r="A52" s="2">
        <v>19</v>
      </c>
      <c r="C52" s="39" t="s">
        <v>20</v>
      </c>
      <c r="D52" s="44">
        <f>TRUNC(40458.4406834787+767.378886965814
+3907.3168465193
+22811.2767020177
+63.8934242470002
+20943.1483697104
-847.277294427859
+618.60864918863
+161.758226951178
+108.917097422435
+11845.7549745031
+1922.15033279513
+22993.8784281383,-1)</f>
        <v>125750</v>
      </c>
      <c r="E52" s="73">
        <f t="shared" si="203"/>
        <v>415700</v>
      </c>
      <c r="F52" s="2" t="s">
        <v>374</v>
      </c>
      <c r="G52" s="48">
        <f t="shared" si="61"/>
        <v>138325</v>
      </c>
      <c r="H52" s="48">
        <f t="shared" si="62"/>
        <v>138325</v>
      </c>
      <c r="I52" s="51">
        <f t="shared" si="63"/>
        <v>457274.78500000003</v>
      </c>
      <c r="J52" s="48">
        <f t="shared" si="204"/>
        <v>134175.25</v>
      </c>
      <c r="K52" s="51">
        <f t="shared" si="205"/>
        <v>443556.54145000002</v>
      </c>
      <c r="L52" s="48">
        <f t="shared" si="206"/>
        <v>131408.75</v>
      </c>
      <c r="M52" s="51">
        <f t="shared" si="207"/>
        <v>434411.04574999999</v>
      </c>
      <c r="N52" s="48">
        <f t="shared" si="208"/>
        <v>128642.25</v>
      </c>
      <c r="O52" s="51">
        <f t="shared" si="209"/>
        <v>425265.55005000002</v>
      </c>
      <c r="P52" s="52">
        <f t="shared" si="210"/>
        <v>125875.75</v>
      </c>
      <c r="Q52" s="51">
        <f t="shared" si="211"/>
        <v>416120.05434999999</v>
      </c>
      <c r="R52" s="48">
        <f t="shared" si="212"/>
        <v>123109.25</v>
      </c>
      <c r="S52" s="51">
        <f t="shared" si="213"/>
        <v>406974.55865000002</v>
      </c>
      <c r="T52" s="52">
        <f t="shared" si="214"/>
        <v>120342.75</v>
      </c>
      <c r="U52" s="51">
        <f t="shared" si="215"/>
        <v>397829.06294999999</v>
      </c>
      <c r="V52" s="53">
        <f t="shared" si="216"/>
        <v>117576.25</v>
      </c>
      <c r="W52" s="51">
        <f t="shared" si="217"/>
        <v>388683.56725000002</v>
      </c>
      <c r="X52" s="52">
        <f t="shared" si="218"/>
        <v>114809.75</v>
      </c>
      <c r="Y52" s="51">
        <f t="shared" si="219"/>
        <v>379538.07154999999</v>
      </c>
      <c r="Z52" s="48">
        <f t="shared" si="220"/>
        <v>112043.24999999999</v>
      </c>
      <c r="AA52" s="51">
        <f t="shared" si="221"/>
        <v>370392.57584999996</v>
      </c>
      <c r="AB52" s="53">
        <f t="shared" si="222"/>
        <v>109276.74999999999</v>
      </c>
      <c r="AC52" s="51">
        <f t="shared" si="223"/>
        <v>361247.08014999994</v>
      </c>
      <c r="AD52" s="53">
        <f t="shared" si="224"/>
        <v>106510.24999999999</v>
      </c>
      <c r="AE52" s="51">
        <f t="shared" si="225"/>
        <v>352101.58444999997</v>
      </c>
      <c r="AF52" s="53">
        <f t="shared" si="226"/>
        <v>103743.74999999999</v>
      </c>
      <c r="AG52" s="51">
        <f t="shared" si="227"/>
        <v>342956.08874999994</v>
      </c>
      <c r="AH52" s="48">
        <f t="shared" si="228"/>
        <v>100977.24999999999</v>
      </c>
      <c r="AI52" s="51">
        <f t="shared" si="229"/>
        <v>333810.59304999997</v>
      </c>
      <c r="AJ52" s="53">
        <f t="shared" si="230"/>
        <v>98210.749999999985</v>
      </c>
      <c r="AK52" s="51">
        <f t="shared" si="231"/>
        <v>324665.09734999994</v>
      </c>
      <c r="AL52" s="53">
        <f t="shared" si="232"/>
        <v>95444.249999999971</v>
      </c>
      <c r="AM52" s="51">
        <f t="shared" si="233"/>
        <v>315519.60164999991</v>
      </c>
      <c r="AN52" s="53">
        <f t="shared" si="234"/>
        <v>92677.749999999971</v>
      </c>
      <c r="AO52" s="51">
        <f t="shared" si="235"/>
        <v>306374.10594999994</v>
      </c>
      <c r="AP52" s="53">
        <f t="shared" si="236"/>
        <v>89911.249999999971</v>
      </c>
      <c r="AQ52" s="51">
        <f t="shared" si="237"/>
        <v>297228.61024999991</v>
      </c>
      <c r="AR52" s="48">
        <f t="shared" si="238"/>
        <v>87144.749999999971</v>
      </c>
      <c r="AS52" s="51">
        <f t="shared" si="239"/>
        <v>288083.11454999988</v>
      </c>
      <c r="AT52" s="53">
        <f t="shared" si="240"/>
        <v>84378.249999999971</v>
      </c>
      <c r="AU52" s="51">
        <f t="shared" si="241"/>
        <v>278937.61884999991</v>
      </c>
      <c r="AV52" s="53">
        <f t="shared" si="242"/>
        <v>81611.749999999971</v>
      </c>
      <c r="AW52" s="51">
        <f t="shared" si="243"/>
        <v>269792.12314999988</v>
      </c>
      <c r="AX52" s="48">
        <f t="shared" si="244"/>
        <v>78845.249999999956</v>
      </c>
      <c r="AY52" s="51">
        <f t="shared" si="245"/>
        <v>260646.62744999985</v>
      </c>
      <c r="BB52" s="48">
        <v>1</v>
      </c>
      <c r="BC52" s="48">
        <v>0.97</v>
      </c>
      <c r="BD52" s="48">
        <v>0.95</v>
      </c>
      <c r="BE52" s="48">
        <v>0.93</v>
      </c>
      <c r="BF52" s="48">
        <f t="shared" ref="BF52:BW52" si="604">+BE52-0.02</f>
        <v>0.91</v>
      </c>
      <c r="BG52" s="48">
        <f t="shared" si="604"/>
        <v>0.89</v>
      </c>
      <c r="BH52" s="48">
        <f t="shared" si="604"/>
        <v>0.87</v>
      </c>
      <c r="BI52" s="48">
        <f t="shared" si="604"/>
        <v>0.85</v>
      </c>
      <c r="BJ52" s="48">
        <f t="shared" si="604"/>
        <v>0.83</v>
      </c>
      <c r="BK52" s="48">
        <f t="shared" si="604"/>
        <v>0.80999999999999994</v>
      </c>
      <c r="BL52" s="48">
        <f t="shared" si="604"/>
        <v>0.78999999999999992</v>
      </c>
      <c r="BM52" s="48">
        <f t="shared" si="604"/>
        <v>0.76999999999999991</v>
      </c>
      <c r="BN52" s="48">
        <f t="shared" si="604"/>
        <v>0.74999999999999989</v>
      </c>
      <c r="BO52" s="48">
        <f t="shared" si="604"/>
        <v>0.72999999999999987</v>
      </c>
      <c r="BP52" s="48">
        <f t="shared" si="604"/>
        <v>0.70999999999999985</v>
      </c>
      <c r="BQ52" s="48">
        <f t="shared" si="604"/>
        <v>0.68999999999999984</v>
      </c>
      <c r="BR52" s="48">
        <f t="shared" si="604"/>
        <v>0.66999999999999982</v>
      </c>
      <c r="BS52" s="48">
        <f t="shared" si="604"/>
        <v>0.6499999999999998</v>
      </c>
      <c r="BT52" s="48">
        <f t="shared" si="604"/>
        <v>0.62999999999999978</v>
      </c>
      <c r="BU52" s="48">
        <f t="shared" si="604"/>
        <v>0.60999999999999976</v>
      </c>
      <c r="BV52" s="48">
        <f t="shared" si="604"/>
        <v>0.58999999999999975</v>
      </c>
      <c r="BW52" s="48">
        <f t="shared" si="604"/>
        <v>0.56999999999999973</v>
      </c>
      <c r="BY52" s="48">
        <f t="shared" si="88"/>
        <v>125875.75</v>
      </c>
      <c r="BZ52" s="48">
        <f t="shared" si="89"/>
        <v>125875.75</v>
      </c>
      <c r="CA52" s="51">
        <f t="shared" ref="CA52" si="605">+BZ52*3.3058</f>
        <v>416120.05434999999</v>
      </c>
      <c r="CB52" s="48">
        <f t="shared" si="248"/>
        <v>122099.47749999999</v>
      </c>
      <c r="CC52" s="51">
        <f t="shared" si="249"/>
        <v>403636.4527195</v>
      </c>
      <c r="CD52" s="48">
        <f t="shared" si="250"/>
        <v>119581.96249999999</v>
      </c>
      <c r="CE52" s="51">
        <f t="shared" si="251"/>
        <v>395314.05163249996</v>
      </c>
      <c r="CF52" s="48">
        <f t="shared" si="252"/>
        <v>117064.44750000001</v>
      </c>
      <c r="CG52" s="51">
        <f t="shared" si="253"/>
        <v>386991.65054550004</v>
      </c>
      <c r="CH52" s="52">
        <f t="shared" si="254"/>
        <v>114546.93250000001</v>
      </c>
      <c r="CI52" s="51">
        <f t="shared" si="255"/>
        <v>378669.24945850007</v>
      </c>
      <c r="CJ52" s="48">
        <f t="shared" si="256"/>
        <v>112029.4175</v>
      </c>
      <c r="CK52" s="51">
        <f t="shared" si="257"/>
        <v>370346.84837149997</v>
      </c>
      <c r="CL52" s="52">
        <f t="shared" si="258"/>
        <v>109511.9025</v>
      </c>
      <c r="CM52" s="51">
        <f t="shared" si="259"/>
        <v>362024.4472845</v>
      </c>
      <c r="CN52" s="53">
        <f t="shared" si="260"/>
        <v>106994.3875</v>
      </c>
      <c r="CO52" s="51">
        <f t="shared" si="261"/>
        <v>353702.04619750002</v>
      </c>
      <c r="CP52" s="52">
        <f t="shared" si="262"/>
        <v>104476.8725</v>
      </c>
      <c r="CQ52" s="51">
        <f t="shared" si="263"/>
        <v>345379.64511049999</v>
      </c>
      <c r="CR52" s="48">
        <f t="shared" si="264"/>
        <v>101959.3575</v>
      </c>
      <c r="CS52" s="51">
        <f t="shared" si="265"/>
        <v>337057.24402350001</v>
      </c>
      <c r="CT52" s="53">
        <f t="shared" si="266"/>
        <v>99441.842499999984</v>
      </c>
      <c r="CU52" s="51">
        <f t="shared" si="267"/>
        <v>328734.84293649998</v>
      </c>
      <c r="CV52" s="53">
        <f t="shared" si="268"/>
        <v>96924.327499999985</v>
      </c>
      <c r="CW52" s="51">
        <f t="shared" si="269"/>
        <v>320412.44184949994</v>
      </c>
      <c r="CX52" s="53">
        <f t="shared" si="270"/>
        <v>94406.812499999985</v>
      </c>
      <c r="CY52" s="51">
        <f t="shared" si="271"/>
        <v>312090.04076249996</v>
      </c>
      <c r="CZ52" s="48">
        <f t="shared" si="272"/>
        <v>91889.297499999986</v>
      </c>
      <c r="DA52" s="51">
        <f t="shared" si="273"/>
        <v>303767.63967549999</v>
      </c>
      <c r="DB52" s="53">
        <f t="shared" si="274"/>
        <v>89371.782499999987</v>
      </c>
      <c r="DC52" s="51">
        <f t="shared" si="275"/>
        <v>295445.23858849995</v>
      </c>
      <c r="DD52" s="53">
        <f t="shared" si="276"/>
        <v>86854.267499999973</v>
      </c>
      <c r="DE52" s="51">
        <f t="shared" si="277"/>
        <v>287122.83750149992</v>
      </c>
      <c r="DF52" s="53">
        <f t="shared" si="278"/>
        <v>84336.752499999973</v>
      </c>
      <c r="DG52" s="51">
        <f t="shared" si="279"/>
        <v>278800.43641449994</v>
      </c>
      <c r="DH52" s="53">
        <f t="shared" si="280"/>
        <v>81819.237499999974</v>
      </c>
      <c r="DI52" s="51">
        <f t="shared" si="281"/>
        <v>270478.03532749991</v>
      </c>
      <c r="DJ52" s="48">
        <f t="shared" si="282"/>
        <v>79301.722499999974</v>
      </c>
      <c r="DK52" s="51">
        <f t="shared" si="283"/>
        <v>262155.63424049993</v>
      </c>
      <c r="DL52" s="53">
        <f t="shared" si="284"/>
        <v>76784.207499999975</v>
      </c>
      <c r="DM52" s="51">
        <f t="shared" si="285"/>
        <v>253833.23315349992</v>
      </c>
      <c r="DN52" s="53">
        <f t="shared" si="286"/>
        <v>74266.692499999961</v>
      </c>
      <c r="DO52" s="51">
        <f t="shared" si="287"/>
        <v>245510.83206649989</v>
      </c>
      <c r="DP52" s="48">
        <f t="shared" si="288"/>
        <v>71749.177499999962</v>
      </c>
      <c r="DQ52" s="51">
        <f t="shared" si="289"/>
        <v>237188.43097949988</v>
      </c>
      <c r="DT52" s="48">
        <v>1</v>
      </c>
      <c r="DU52" s="48">
        <v>0.97</v>
      </c>
      <c r="DV52" s="48">
        <v>0.95</v>
      </c>
      <c r="DW52" s="48">
        <v>0.93</v>
      </c>
      <c r="DX52" s="48">
        <f t="shared" ref="DX52:EO52" si="606">+DW52-0.02</f>
        <v>0.91</v>
      </c>
      <c r="DY52" s="48">
        <f t="shared" si="606"/>
        <v>0.89</v>
      </c>
      <c r="DZ52" s="48">
        <f t="shared" si="606"/>
        <v>0.87</v>
      </c>
      <c r="EA52" s="48">
        <f t="shared" si="606"/>
        <v>0.85</v>
      </c>
      <c r="EB52" s="48">
        <f t="shared" si="606"/>
        <v>0.83</v>
      </c>
      <c r="EC52" s="48">
        <f t="shared" si="606"/>
        <v>0.80999999999999994</v>
      </c>
      <c r="ED52" s="48">
        <f t="shared" si="606"/>
        <v>0.78999999999999992</v>
      </c>
      <c r="EE52" s="48">
        <f t="shared" si="606"/>
        <v>0.76999999999999991</v>
      </c>
      <c r="EF52" s="48">
        <f t="shared" si="606"/>
        <v>0.74999999999999989</v>
      </c>
      <c r="EG52" s="48">
        <f t="shared" si="606"/>
        <v>0.72999999999999987</v>
      </c>
      <c r="EH52" s="48">
        <f t="shared" si="606"/>
        <v>0.70999999999999985</v>
      </c>
      <c r="EI52" s="48">
        <f t="shared" si="606"/>
        <v>0.68999999999999984</v>
      </c>
      <c r="EJ52" s="48">
        <f t="shared" si="606"/>
        <v>0.66999999999999982</v>
      </c>
      <c r="EK52" s="48">
        <f t="shared" si="606"/>
        <v>0.6499999999999998</v>
      </c>
      <c r="EL52" s="48">
        <f t="shared" si="606"/>
        <v>0.62999999999999978</v>
      </c>
      <c r="EM52" s="48">
        <f t="shared" si="606"/>
        <v>0.60999999999999976</v>
      </c>
      <c r="EN52" s="48">
        <f t="shared" si="606"/>
        <v>0.58999999999999975</v>
      </c>
      <c r="EO52" s="48">
        <f t="shared" si="606"/>
        <v>0.56999999999999973</v>
      </c>
      <c r="EQ52" s="48">
        <f t="shared" si="188"/>
        <v>114546.93250000001</v>
      </c>
      <c r="ER52" s="48">
        <f t="shared" si="116"/>
        <v>114546.93250000001</v>
      </c>
      <c r="ES52" s="51">
        <f t="shared" ref="ES52" si="607">+ER52*3.3058</f>
        <v>378669.24945850007</v>
      </c>
      <c r="ET52" s="48">
        <f t="shared" si="292"/>
        <v>111110.524525</v>
      </c>
      <c r="EU52" s="51">
        <f t="shared" si="293"/>
        <v>367309.171974745</v>
      </c>
      <c r="EV52" s="48">
        <f t="shared" si="294"/>
        <v>108819.585875</v>
      </c>
      <c r="EW52" s="51">
        <f t="shared" si="295"/>
        <v>359735.78698557505</v>
      </c>
      <c r="EX52" s="48">
        <f t="shared" si="296"/>
        <v>106528.64722500001</v>
      </c>
      <c r="EY52" s="51">
        <f t="shared" si="297"/>
        <v>352162.40199640504</v>
      </c>
      <c r="EZ52" s="52">
        <f t="shared" si="298"/>
        <v>104237.70857500001</v>
      </c>
      <c r="FA52" s="51">
        <f t="shared" si="299"/>
        <v>344589.01700723503</v>
      </c>
      <c r="FB52" s="48">
        <f t="shared" si="300"/>
        <v>101946.76992500002</v>
      </c>
      <c r="FC52" s="51">
        <f t="shared" si="301"/>
        <v>337015.63201806508</v>
      </c>
      <c r="FD52" s="52">
        <f t="shared" si="302"/>
        <v>99655.831275000004</v>
      </c>
      <c r="FE52" s="51">
        <f t="shared" si="303"/>
        <v>329442.24702889501</v>
      </c>
      <c r="FF52" s="53">
        <f t="shared" si="304"/>
        <v>97364.892625000008</v>
      </c>
      <c r="FG52" s="51">
        <f t="shared" si="305"/>
        <v>321868.86203972501</v>
      </c>
      <c r="FH52" s="52">
        <f t="shared" si="306"/>
        <v>95073.953974999997</v>
      </c>
      <c r="FI52" s="51">
        <f t="shared" si="307"/>
        <v>314295.477050555</v>
      </c>
      <c r="FJ52" s="48">
        <f t="shared" si="308"/>
        <v>92783.015325</v>
      </c>
      <c r="FK52" s="51">
        <f t="shared" si="309"/>
        <v>306722.09206138499</v>
      </c>
      <c r="FL52" s="53">
        <f t="shared" si="310"/>
        <v>90492.076675000004</v>
      </c>
      <c r="FM52" s="51">
        <f t="shared" si="311"/>
        <v>299148.70707221504</v>
      </c>
      <c r="FN52" s="53">
        <f t="shared" si="312"/>
        <v>88201.138024999993</v>
      </c>
      <c r="FO52" s="51">
        <f t="shared" si="313"/>
        <v>291575.32208304497</v>
      </c>
      <c r="FP52" s="53">
        <f t="shared" si="314"/>
        <v>85910.199374999997</v>
      </c>
      <c r="FQ52" s="51">
        <f t="shared" si="315"/>
        <v>284001.93709387502</v>
      </c>
      <c r="FR52" s="48">
        <f t="shared" si="316"/>
        <v>83619.260724999986</v>
      </c>
      <c r="FS52" s="51">
        <f t="shared" si="317"/>
        <v>276428.55210470496</v>
      </c>
      <c r="FT52" s="53">
        <f t="shared" si="318"/>
        <v>81328.322074999989</v>
      </c>
      <c r="FU52" s="51">
        <f t="shared" si="319"/>
        <v>268855.16711553495</v>
      </c>
      <c r="FV52" s="53">
        <f t="shared" si="320"/>
        <v>79037.383424999993</v>
      </c>
      <c r="FW52" s="51">
        <f t="shared" si="321"/>
        <v>261281.78212636497</v>
      </c>
      <c r="FX52" s="53">
        <f t="shared" si="322"/>
        <v>76746.444774999982</v>
      </c>
      <c r="FY52" s="51">
        <f t="shared" si="323"/>
        <v>253708.39713719496</v>
      </c>
      <c r="FZ52" s="53">
        <f t="shared" si="324"/>
        <v>74455.506124999985</v>
      </c>
      <c r="GA52" s="51">
        <f t="shared" si="325"/>
        <v>246135.01214802495</v>
      </c>
      <c r="GB52" s="48">
        <f t="shared" si="326"/>
        <v>72164.567474999974</v>
      </c>
      <c r="GC52" s="51">
        <f t="shared" si="327"/>
        <v>238561.62715885491</v>
      </c>
      <c r="GD52" s="53">
        <f t="shared" si="328"/>
        <v>69873.628824999978</v>
      </c>
      <c r="GE52" s="51">
        <f t="shared" si="329"/>
        <v>230988.24216968493</v>
      </c>
      <c r="GF52" s="53">
        <f t="shared" si="330"/>
        <v>67582.690174999982</v>
      </c>
      <c r="GG52" s="51">
        <f t="shared" si="331"/>
        <v>223414.85718051495</v>
      </c>
      <c r="GH52" s="48">
        <f t="shared" si="332"/>
        <v>65291.751524999978</v>
      </c>
      <c r="GI52" s="51">
        <f t="shared" si="333"/>
        <v>215841.47219134492</v>
      </c>
      <c r="GJ52" s="48"/>
      <c r="GK52" s="48"/>
      <c r="GL52" s="48">
        <v>1</v>
      </c>
      <c r="GM52" s="48">
        <v>0.97</v>
      </c>
      <c r="GN52" s="48">
        <v>0.95</v>
      </c>
      <c r="GO52" s="48">
        <v>0.93</v>
      </c>
      <c r="GP52" s="48">
        <f t="shared" ref="GP52:HG52" si="608">+GO52-0.02</f>
        <v>0.91</v>
      </c>
      <c r="GQ52" s="48">
        <f t="shared" si="608"/>
        <v>0.89</v>
      </c>
      <c r="GR52" s="48">
        <f t="shared" si="608"/>
        <v>0.87</v>
      </c>
      <c r="GS52" s="48">
        <f t="shared" si="608"/>
        <v>0.85</v>
      </c>
      <c r="GT52" s="48">
        <f t="shared" si="608"/>
        <v>0.83</v>
      </c>
      <c r="GU52" s="48">
        <f t="shared" si="608"/>
        <v>0.80999999999999994</v>
      </c>
      <c r="GV52" s="48">
        <f t="shared" si="608"/>
        <v>0.78999999999999992</v>
      </c>
      <c r="GW52" s="48">
        <f t="shared" si="608"/>
        <v>0.76999999999999991</v>
      </c>
      <c r="GX52" s="48">
        <f t="shared" si="608"/>
        <v>0.74999999999999989</v>
      </c>
      <c r="GY52" s="48">
        <f t="shared" si="608"/>
        <v>0.72999999999999987</v>
      </c>
      <c r="GZ52" s="48">
        <f t="shared" si="608"/>
        <v>0.70999999999999985</v>
      </c>
      <c r="HA52" s="48">
        <f t="shared" si="608"/>
        <v>0.68999999999999984</v>
      </c>
      <c r="HB52" s="48">
        <f t="shared" si="608"/>
        <v>0.66999999999999982</v>
      </c>
      <c r="HC52" s="48">
        <f t="shared" si="608"/>
        <v>0.6499999999999998</v>
      </c>
      <c r="HD52" s="48">
        <f t="shared" si="608"/>
        <v>0.62999999999999978</v>
      </c>
      <c r="HE52" s="48">
        <f t="shared" si="608"/>
        <v>0.60999999999999976</v>
      </c>
      <c r="HF52" s="48">
        <f t="shared" si="608"/>
        <v>0.58999999999999975</v>
      </c>
      <c r="HG52" s="48">
        <f t="shared" si="608"/>
        <v>0.56999999999999973</v>
      </c>
    </row>
    <row r="53" spans="1:215" ht="17.25" thickBot="1" x14ac:dyDescent="0.35">
      <c r="A53" s="2">
        <v>20</v>
      </c>
      <c r="C53" s="39" t="s">
        <v>57</v>
      </c>
      <c r="D53" s="45">
        <f>TRUNC(99193.0444075317,-1)</f>
        <v>99190</v>
      </c>
      <c r="E53" s="74">
        <f t="shared" si="203"/>
        <v>327900</v>
      </c>
      <c r="G53" s="48">
        <f t="shared" si="61"/>
        <v>109109.00000000001</v>
      </c>
      <c r="H53" s="48">
        <f t="shared" si="62"/>
        <v>109109.00000000001</v>
      </c>
      <c r="I53" s="51">
        <f t="shared" si="63"/>
        <v>360692.53220000007</v>
      </c>
      <c r="J53" s="48">
        <f t="shared" si="204"/>
        <v>105835.73000000001</v>
      </c>
      <c r="K53" s="51">
        <f t="shared" si="205"/>
        <v>349871.75623400003</v>
      </c>
      <c r="L53" s="48">
        <f t="shared" si="206"/>
        <v>103653.55</v>
      </c>
      <c r="M53" s="51">
        <f t="shared" si="207"/>
        <v>342657.90559000004</v>
      </c>
      <c r="N53" s="48">
        <f t="shared" si="208"/>
        <v>101471.37000000002</v>
      </c>
      <c r="O53" s="51">
        <f t="shared" si="209"/>
        <v>335444.05494600011</v>
      </c>
      <c r="P53" s="52">
        <f t="shared" si="210"/>
        <v>99289.190000000017</v>
      </c>
      <c r="Q53" s="51">
        <f t="shared" si="211"/>
        <v>328230.20430200006</v>
      </c>
      <c r="R53" s="48">
        <f t="shared" si="212"/>
        <v>97107.010000000009</v>
      </c>
      <c r="S53" s="51">
        <f t="shared" si="213"/>
        <v>321016.35365800007</v>
      </c>
      <c r="T53" s="52">
        <f t="shared" si="214"/>
        <v>94924.830000000016</v>
      </c>
      <c r="U53" s="51">
        <f t="shared" si="215"/>
        <v>313802.50301400007</v>
      </c>
      <c r="V53" s="53">
        <f t="shared" si="216"/>
        <v>92742.650000000009</v>
      </c>
      <c r="W53" s="51">
        <f t="shared" si="217"/>
        <v>306588.65237000003</v>
      </c>
      <c r="X53" s="52">
        <f t="shared" si="218"/>
        <v>90560.47</v>
      </c>
      <c r="Y53" s="51">
        <f t="shared" si="219"/>
        <v>299374.80172600003</v>
      </c>
      <c r="Z53" s="48">
        <f t="shared" si="220"/>
        <v>88378.290000000008</v>
      </c>
      <c r="AA53" s="51">
        <f t="shared" si="221"/>
        <v>292160.95108200004</v>
      </c>
      <c r="AB53" s="53">
        <f t="shared" si="222"/>
        <v>86196.11</v>
      </c>
      <c r="AC53" s="51">
        <f t="shared" si="223"/>
        <v>284947.10043799999</v>
      </c>
      <c r="AD53" s="53">
        <f t="shared" si="224"/>
        <v>84013.930000000008</v>
      </c>
      <c r="AE53" s="51">
        <f t="shared" si="225"/>
        <v>277733.249794</v>
      </c>
      <c r="AF53" s="53">
        <f t="shared" si="226"/>
        <v>81831.75</v>
      </c>
      <c r="AG53" s="51">
        <f t="shared" si="227"/>
        <v>270519.39915000001</v>
      </c>
      <c r="AH53" s="48">
        <f t="shared" si="228"/>
        <v>79649.569999999992</v>
      </c>
      <c r="AI53" s="51">
        <f t="shared" si="229"/>
        <v>263305.54850599996</v>
      </c>
      <c r="AJ53" s="53">
        <f t="shared" si="230"/>
        <v>77467.39</v>
      </c>
      <c r="AK53" s="51">
        <f t="shared" si="231"/>
        <v>256091.697862</v>
      </c>
      <c r="AL53" s="53">
        <f t="shared" si="232"/>
        <v>75285.209999999992</v>
      </c>
      <c r="AM53" s="51">
        <f t="shared" si="233"/>
        <v>248877.84721799998</v>
      </c>
      <c r="AN53" s="53">
        <f t="shared" si="234"/>
        <v>73103.029999999984</v>
      </c>
      <c r="AO53" s="51">
        <f t="shared" si="235"/>
        <v>241663.99657399996</v>
      </c>
      <c r="AP53" s="53">
        <f t="shared" si="236"/>
        <v>70920.849999999991</v>
      </c>
      <c r="AQ53" s="51">
        <f t="shared" si="237"/>
        <v>234450.14592999997</v>
      </c>
      <c r="AR53" s="48">
        <f t="shared" si="238"/>
        <v>68738.669999999984</v>
      </c>
      <c r="AS53" s="51">
        <f t="shared" si="239"/>
        <v>227236.29528599995</v>
      </c>
      <c r="AT53" s="53">
        <f t="shared" si="240"/>
        <v>66556.489999999976</v>
      </c>
      <c r="AU53" s="51">
        <f t="shared" si="241"/>
        <v>220022.44464199993</v>
      </c>
      <c r="AV53" s="53">
        <f t="shared" si="242"/>
        <v>64374.309999999983</v>
      </c>
      <c r="AW53" s="51">
        <f t="shared" si="243"/>
        <v>212808.59399799994</v>
      </c>
      <c r="AX53" s="48">
        <f t="shared" si="244"/>
        <v>62192.129999999976</v>
      </c>
      <c r="AY53" s="51">
        <f t="shared" si="245"/>
        <v>205594.74335399992</v>
      </c>
      <c r="BB53" s="48">
        <v>1</v>
      </c>
      <c r="BC53" s="48">
        <v>0.97</v>
      </c>
      <c r="BD53" s="48">
        <v>0.95</v>
      </c>
      <c r="BE53" s="48">
        <v>0.93</v>
      </c>
      <c r="BF53" s="48">
        <f t="shared" ref="BF53:BW53" si="609">+BE53-0.02</f>
        <v>0.91</v>
      </c>
      <c r="BG53" s="48">
        <f t="shared" si="609"/>
        <v>0.89</v>
      </c>
      <c r="BH53" s="48">
        <f t="shared" si="609"/>
        <v>0.87</v>
      </c>
      <c r="BI53" s="48">
        <f t="shared" si="609"/>
        <v>0.85</v>
      </c>
      <c r="BJ53" s="48">
        <f t="shared" si="609"/>
        <v>0.83</v>
      </c>
      <c r="BK53" s="48">
        <f t="shared" si="609"/>
        <v>0.80999999999999994</v>
      </c>
      <c r="BL53" s="48">
        <f t="shared" si="609"/>
        <v>0.78999999999999992</v>
      </c>
      <c r="BM53" s="48">
        <f t="shared" si="609"/>
        <v>0.76999999999999991</v>
      </c>
      <c r="BN53" s="48">
        <f t="shared" si="609"/>
        <v>0.74999999999999989</v>
      </c>
      <c r="BO53" s="48">
        <f t="shared" si="609"/>
        <v>0.72999999999999987</v>
      </c>
      <c r="BP53" s="48">
        <f t="shared" si="609"/>
        <v>0.70999999999999985</v>
      </c>
      <c r="BQ53" s="48">
        <f t="shared" si="609"/>
        <v>0.68999999999999984</v>
      </c>
      <c r="BR53" s="48">
        <f t="shared" si="609"/>
        <v>0.66999999999999982</v>
      </c>
      <c r="BS53" s="48">
        <f t="shared" si="609"/>
        <v>0.6499999999999998</v>
      </c>
      <c r="BT53" s="48">
        <f t="shared" si="609"/>
        <v>0.62999999999999978</v>
      </c>
      <c r="BU53" s="48">
        <f t="shared" si="609"/>
        <v>0.60999999999999976</v>
      </c>
      <c r="BV53" s="48">
        <f t="shared" si="609"/>
        <v>0.58999999999999975</v>
      </c>
      <c r="BW53" s="48">
        <f t="shared" si="609"/>
        <v>0.56999999999999973</v>
      </c>
      <c r="BY53" s="48">
        <f t="shared" si="88"/>
        <v>99289.190000000017</v>
      </c>
      <c r="BZ53" s="48">
        <f t="shared" si="89"/>
        <v>99289.190000000017</v>
      </c>
      <c r="CA53" s="51">
        <f t="shared" ref="CA53" si="610">+BZ53*3.3058</f>
        <v>328230.20430200006</v>
      </c>
      <c r="CB53" s="48">
        <f t="shared" si="248"/>
        <v>96310.51430000001</v>
      </c>
      <c r="CC53" s="51">
        <f t="shared" si="249"/>
        <v>318383.29817294003</v>
      </c>
      <c r="CD53" s="48">
        <f t="shared" si="250"/>
        <v>94324.730500000005</v>
      </c>
      <c r="CE53" s="51">
        <f t="shared" si="251"/>
        <v>311818.69408690004</v>
      </c>
      <c r="CF53" s="48">
        <f t="shared" si="252"/>
        <v>92338.946700000015</v>
      </c>
      <c r="CG53" s="51">
        <f t="shared" si="253"/>
        <v>305254.09000086004</v>
      </c>
      <c r="CH53" s="52">
        <f t="shared" si="254"/>
        <v>90353.162900000025</v>
      </c>
      <c r="CI53" s="51">
        <f t="shared" si="255"/>
        <v>298689.48591482011</v>
      </c>
      <c r="CJ53" s="48">
        <f t="shared" si="256"/>
        <v>88367.37910000002</v>
      </c>
      <c r="CK53" s="51">
        <f t="shared" si="257"/>
        <v>292124.88182878005</v>
      </c>
      <c r="CL53" s="52">
        <f t="shared" si="258"/>
        <v>86381.595300000015</v>
      </c>
      <c r="CM53" s="51">
        <f t="shared" si="259"/>
        <v>285560.27774274006</v>
      </c>
      <c r="CN53" s="53">
        <f t="shared" si="260"/>
        <v>84395.811500000011</v>
      </c>
      <c r="CO53" s="51">
        <f t="shared" si="261"/>
        <v>278995.67365670006</v>
      </c>
      <c r="CP53" s="52">
        <f t="shared" si="262"/>
        <v>82410.027700000006</v>
      </c>
      <c r="CQ53" s="51">
        <f t="shared" si="263"/>
        <v>272431.06957066001</v>
      </c>
      <c r="CR53" s="48">
        <f t="shared" si="264"/>
        <v>80424.243900000001</v>
      </c>
      <c r="CS53" s="51">
        <f t="shared" si="265"/>
        <v>265866.46548462001</v>
      </c>
      <c r="CT53" s="53">
        <f t="shared" si="266"/>
        <v>78438.460100000011</v>
      </c>
      <c r="CU53" s="51">
        <f t="shared" si="267"/>
        <v>259301.86139858005</v>
      </c>
      <c r="CV53" s="53">
        <f t="shared" si="268"/>
        <v>76452.676300000006</v>
      </c>
      <c r="CW53" s="51">
        <f t="shared" si="269"/>
        <v>252737.25731254002</v>
      </c>
      <c r="CX53" s="53">
        <f t="shared" si="270"/>
        <v>74466.892500000002</v>
      </c>
      <c r="CY53" s="51">
        <f t="shared" si="271"/>
        <v>246172.6532265</v>
      </c>
      <c r="CZ53" s="48">
        <f t="shared" si="272"/>
        <v>72481.108699999997</v>
      </c>
      <c r="DA53" s="51">
        <f t="shared" si="273"/>
        <v>239608.04914046</v>
      </c>
      <c r="DB53" s="53">
        <f t="shared" si="274"/>
        <v>70495.324899999992</v>
      </c>
      <c r="DC53" s="51">
        <f t="shared" si="275"/>
        <v>233043.44505441998</v>
      </c>
      <c r="DD53" s="53">
        <f t="shared" si="276"/>
        <v>68509.541100000002</v>
      </c>
      <c r="DE53" s="51">
        <f t="shared" si="277"/>
        <v>226478.84096838001</v>
      </c>
      <c r="DF53" s="53">
        <f t="shared" si="278"/>
        <v>66523.757299999997</v>
      </c>
      <c r="DG53" s="51">
        <f t="shared" si="279"/>
        <v>219914.23688233999</v>
      </c>
      <c r="DH53" s="53">
        <f t="shared" si="280"/>
        <v>64537.973499999993</v>
      </c>
      <c r="DI53" s="51">
        <f t="shared" si="281"/>
        <v>213349.63279629999</v>
      </c>
      <c r="DJ53" s="48">
        <f t="shared" si="282"/>
        <v>62552.189699999988</v>
      </c>
      <c r="DK53" s="51">
        <f t="shared" si="283"/>
        <v>206785.02871025997</v>
      </c>
      <c r="DL53" s="53">
        <f t="shared" si="284"/>
        <v>60566.405899999983</v>
      </c>
      <c r="DM53" s="51">
        <f t="shared" si="285"/>
        <v>200220.42462421994</v>
      </c>
      <c r="DN53" s="53">
        <f t="shared" si="286"/>
        <v>58580.622099999986</v>
      </c>
      <c r="DO53" s="51">
        <f t="shared" si="287"/>
        <v>193655.82053817995</v>
      </c>
      <c r="DP53" s="48">
        <f t="shared" si="288"/>
        <v>56594.838299999981</v>
      </c>
      <c r="DQ53" s="51">
        <f t="shared" si="289"/>
        <v>187091.21645213995</v>
      </c>
      <c r="DT53" s="48">
        <v>1</v>
      </c>
      <c r="DU53" s="48">
        <v>0.97</v>
      </c>
      <c r="DV53" s="48">
        <v>0.95</v>
      </c>
      <c r="DW53" s="48">
        <v>0.93</v>
      </c>
      <c r="DX53" s="48">
        <f t="shared" ref="DX53:EO53" si="611">+DW53-0.02</f>
        <v>0.91</v>
      </c>
      <c r="DY53" s="48">
        <f t="shared" si="611"/>
        <v>0.89</v>
      </c>
      <c r="DZ53" s="48">
        <f t="shared" si="611"/>
        <v>0.87</v>
      </c>
      <c r="EA53" s="48">
        <f t="shared" si="611"/>
        <v>0.85</v>
      </c>
      <c r="EB53" s="48">
        <f t="shared" si="611"/>
        <v>0.83</v>
      </c>
      <c r="EC53" s="48">
        <f t="shared" si="611"/>
        <v>0.80999999999999994</v>
      </c>
      <c r="ED53" s="48">
        <f t="shared" si="611"/>
        <v>0.78999999999999992</v>
      </c>
      <c r="EE53" s="48">
        <f t="shared" si="611"/>
        <v>0.76999999999999991</v>
      </c>
      <c r="EF53" s="48">
        <f t="shared" si="611"/>
        <v>0.74999999999999989</v>
      </c>
      <c r="EG53" s="48">
        <f t="shared" si="611"/>
        <v>0.72999999999999987</v>
      </c>
      <c r="EH53" s="48">
        <f t="shared" si="611"/>
        <v>0.70999999999999985</v>
      </c>
      <c r="EI53" s="48">
        <f t="shared" si="611"/>
        <v>0.68999999999999984</v>
      </c>
      <c r="EJ53" s="48">
        <f t="shared" si="611"/>
        <v>0.66999999999999982</v>
      </c>
      <c r="EK53" s="48">
        <f t="shared" si="611"/>
        <v>0.6499999999999998</v>
      </c>
      <c r="EL53" s="48">
        <f t="shared" si="611"/>
        <v>0.62999999999999978</v>
      </c>
      <c r="EM53" s="48">
        <f t="shared" si="611"/>
        <v>0.60999999999999976</v>
      </c>
      <c r="EN53" s="48">
        <f t="shared" si="611"/>
        <v>0.58999999999999975</v>
      </c>
      <c r="EO53" s="48">
        <f t="shared" si="611"/>
        <v>0.56999999999999973</v>
      </c>
      <c r="EQ53" s="48">
        <f t="shared" si="188"/>
        <v>90353.162900000025</v>
      </c>
      <c r="ER53" s="48">
        <f t="shared" si="116"/>
        <v>90353.162900000025</v>
      </c>
      <c r="ES53" s="51">
        <f t="shared" ref="ES53" si="612">+ER53*3.3058</f>
        <v>298689.48591482011</v>
      </c>
      <c r="ET53" s="48">
        <f t="shared" si="292"/>
        <v>87642.568013000026</v>
      </c>
      <c r="EU53" s="51">
        <f t="shared" si="293"/>
        <v>289728.80133737548</v>
      </c>
      <c r="EV53" s="48">
        <f t="shared" si="294"/>
        <v>85835.504755000016</v>
      </c>
      <c r="EW53" s="51">
        <f t="shared" si="295"/>
        <v>283755.01161907904</v>
      </c>
      <c r="EX53" s="48">
        <f t="shared" si="296"/>
        <v>84028.441497000022</v>
      </c>
      <c r="EY53" s="51">
        <f t="shared" si="297"/>
        <v>277781.22190078266</v>
      </c>
      <c r="EZ53" s="52">
        <f t="shared" si="298"/>
        <v>82221.378239000027</v>
      </c>
      <c r="FA53" s="51">
        <f t="shared" si="299"/>
        <v>271807.43218248629</v>
      </c>
      <c r="FB53" s="48">
        <f t="shared" si="300"/>
        <v>80414.314981000018</v>
      </c>
      <c r="FC53" s="51">
        <f t="shared" si="301"/>
        <v>265833.64246418985</v>
      </c>
      <c r="FD53" s="52">
        <f t="shared" si="302"/>
        <v>78607.251723000023</v>
      </c>
      <c r="FE53" s="51">
        <f t="shared" si="303"/>
        <v>259859.85274589347</v>
      </c>
      <c r="FF53" s="53">
        <f t="shared" si="304"/>
        <v>76800.188465000014</v>
      </c>
      <c r="FG53" s="51">
        <f t="shared" si="305"/>
        <v>253886.06302759706</v>
      </c>
      <c r="FH53" s="52">
        <f t="shared" si="306"/>
        <v>74993.125207000019</v>
      </c>
      <c r="FI53" s="51">
        <f t="shared" si="307"/>
        <v>247912.27330930068</v>
      </c>
      <c r="FJ53" s="48">
        <f t="shared" si="308"/>
        <v>73186.06194900001</v>
      </c>
      <c r="FK53" s="51">
        <f t="shared" si="309"/>
        <v>241938.48359100425</v>
      </c>
      <c r="FL53" s="53">
        <f t="shared" si="310"/>
        <v>71378.998691000015</v>
      </c>
      <c r="FM53" s="51">
        <f t="shared" si="311"/>
        <v>235964.69387270787</v>
      </c>
      <c r="FN53" s="53">
        <f t="shared" si="312"/>
        <v>69571.935433000006</v>
      </c>
      <c r="FO53" s="51">
        <f t="shared" si="313"/>
        <v>229990.90415441143</v>
      </c>
      <c r="FP53" s="53">
        <f t="shared" si="314"/>
        <v>67764.872175000011</v>
      </c>
      <c r="FQ53" s="51">
        <f t="shared" si="315"/>
        <v>224017.11443611505</v>
      </c>
      <c r="FR53" s="48">
        <f t="shared" si="316"/>
        <v>65957.808917000002</v>
      </c>
      <c r="FS53" s="51">
        <f t="shared" si="317"/>
        <v>218043.32471781861</v>
      </c>
      <c r="FT53" s="53">
        <f t="shared" si="318"/>
        <v>64150.745659000007</v>
      </c>
      <c r="FU53" s="51">
        <f t="shared" si="319"/>
        <v>212069.53499952224</v>
      </c>
      <c r="FV53" s="53">
        <f t="shared" si="320"/>
        <v>62343.682401000005</v>
      </c>
      <c r="FW53" s="51">
        <f t="shared" si="321"/>
        <v>206095.74528122583</v>
      </c>
      <c r="FX53" s="53">
        <f t="shared" si="322"/>
        <v>60536.619143000004</v>
      </c>
      <c r="FY53" s="51">
        <f t="shared" si="323"/>
        <v>200121.95556292942</v>
      </c>
      <c r="FZ53" s="53">
        <f t="shared" si="324"/>
        <v>58729.555885000002</v>
      </c>
      <c r="GA53" s="51">
        <f t="shared" si="325"/>
        <v>194148.16584463301</v>
      </c>
      <c r="GB53" s="48">
        <f t="shared" si="326"/>
        <v>56922.492626999992</v>
      </c>
      <c r="GC53" s="51">
        <f t="shared" si="327"/>
        <v>188174.37612633657</v>
      </c>
      <c r="GD53" s="53">
        <f t="shared" si="328"/>
        <v>55115.42936899999</v>
      </c>
      <c r="GE53" s="51">
        <f t="shared" si="329"/>
        <v>182200.58640804017</v>
      </c>
      <c r="GF53" s="53">
        <f t="shared" si="330"/>
        <v>53308.366110999988</v>
      </c>
      <c r="GG53" s="51">
        <f t="shared" si="331"/>
        <v>176226.79668974376</v>
      </c>
      <c r="GH53" s="48">
        <f t="shared" si="332"/>
        <v>51501.302852999986</v>
      </c>
      <c r="GI53" s="51">
        <f t="shared" si="333"/>
        <v>170253.00697144735</v>
      </c>
      <c r="GJ53" s="48"/>
      <c r="GK53" s="48"/>
      <c r="GL53" s="48">
        <v>1</v>
      </c>
      <c r="GM53" s="48">
        <v>0.97</v>
      </c>
      <c r="GN53" s="48">
        <v>0.95</v>
      </c>
      <c r="GO53" s="48">
        <v>0.93</v>
      </c>
      <c r="GP53" s="48">
        <f t="shared" ref="GP53:HG53" si="613">+GO53-0.02</f>
        <v>0.91</v>
      </c>
      <c r="GQ53" s="48">
        <f t="shared" si="613"/>
        <v>0.89</v>
      </c>
      <c r="GR53" s="48">
        <f t="shared" si="613"/>
        <v>0.87</v>
      </c>
      <c r="GS53" s="48">
        <f t="shared" si="613"/>
        <v>0.85</v>
      </c>
      <c r="GT53" s="48">
        <f t="shared" si="613"/>
        <v>0.83</v>
      </c>
      <c r="GU53" s="48">
        <f t="shared" si="613"/>
        <v>0.80999999999999994</v>
      </c>
      <c r="GV53" s="48">
        <f t="shared" si="613"/>
        <v>0.78999999999999992</v>
      </c>
      <c r="GW53" s="48">
        <f t="shared" si="613"/>
        <v>0.76999999999999991</v>
      </c>
      <c r="GX53" s="48">
        <f t="shared" si="613"/>
        <v>0.74999999999999989</v>
      </c>
      <c r="GY53" s="48">
        <f t="shared" si="613"/>
        <v>0.72999999999999987</v>
      </c>
      <c r="GZ53" s="48">
        <f t="shared" si="613"/>
        <v>0.70999999999999985</v>
      </c>
      <c r="HA53" s="48">
        <f t="shared" si="613"/>
        <v>0.68999999999999984</v>
      </c>
      <c r="HB53" s="48">
        <f t="shared" si="613"/>
        <v>0.66999999999999982</v>
      </c>
      <c r="HC53" s="48">
        <f t="shared" si="613"/>
        <v>0.6499999999999998</v>
      </c>
      <c r="HD53" s="48">
        <f t="shared" si="613"/>
        <v>0.62999999999999978</v>
      </c>
      <c r="HE53" s="48">
        <f t="shared" si="613"/>
        <v>0.60999999999999976</v>
      </c>
      <c r="HF53" s="48">
        <f t="shared" si="613"/>
        <v>0.58999999999999975</v>
      </c>
      <c r="HG53" s="48">
        <f t="shared" si="613"/>
        <v>0.56999999999999973</v>
      </c>
    </row>
    <row r="54" spans="1:215" x14ac:dyDescent="0.3">
      <c r="A54" s="2">
        <v>21</v>
      </c>
      <c r="C54" s="27" t="s">
        <v>47</v>
      </c>
      <c r="D54" s="40">
        <f>SUM(D34:D53)</f>
        <v>597570</v>
      </c>
      <c r="E54" s="40">
        <f>SUM(E34:E53)</f>
        <v>1975360</v>
      </c>
      <c r="G54" s="48">
        <f t="shared" si="61"/>
        <v>657327</v>
      </c>
      <c r="H54" s="48">
        <f t="shared" si="62"/>
        <v>657327</v>
      </c>
      <c r="I54" s="51">
        <f t="shared" si="63"/>
        <v>2172991.5965999998</v>
      </c>
      <c r="J54" s="48">
        <f t="shared" si="204"/>
        <v>637607.18999999994</v>
      </c>
      <c r="K54" s="51">
        <f t="shared" si="205"/>
        <v>2107801.848702</v>
      </c>
      <c r="L54" s="48">
        <f t="shared" si="206"/>
        <v>624460.65</v>
      </c>
      <c r="M54" s="51">
        <f t="shared" si="207"/>
        <v>2064342.0167700001</v>
      </c>
      <c r="N54" s="48">
        <f t="shared" si="208"/>
        <v>611314.11</v>
      </c>
      <c r="O54" s="51">
        <f t="shared" si="209"/>
        <v>2020882.184838</v>
      </c>
      <c r="P54" s="52">
        <f t="shared" si="210"/>
        <v>598167.57000000007</v>
      </c>
      <c r="Q54" s="51">
        <f t="shared" si="211"/>
        <v>1977422.3529060003</v>
      </c>
      <c r="R54" s="48">
        <f t="shared" si="212"/>
        <v>585021.03</v>
      </c>
      <c r="S54" s="51">
        <f t="shared" si="213"/>
        <v>1933962.5209740002</v>
      </c>
      <c r="T54" s="52">
        <f t="shared" si="214"/>
        <v>571874.49</v>
      </c>
      <c r="U54" s="51">
        <f t="shared" si="215"/>
        <v>1890502.6890420001</v>
      </c>
      <c r="V54" s="53">
        <f t="shared" si="216"/>
        <v>558727.94999999995</v>
      </c>
      <c r="W54" s="51">
        <f t="shared" si="217"/>
        <v>1847042.85711</v>
      </c>
      <c r="X54" s="52">
        <f t="shared" si="218"/>
        <v>545581.40999999992</v>
      </c>
      <c r="Y54" s="51">
        <f t="shared" si="219"/>
        <v>1803583.0251779999</v>
      </c>
      <c r="Z54" s="48">
        <f t="shared" si="220"/>
        <v>532434.87</v>
      </c>
      <c r="AA54" s="51">
        <f t="shared" si="221"/>
        <v>1760123.193246</v>
      </c>
      <c r="AB54" s="53">
        <f t="shared" si="222"/>
        <v>519288.32999999996</v>
      </c>
      <c r="AC54" s="51">
        <f t="shared" si="223"/>
        <v>1716663.3613139999</v>
      </c>
      <c r="AD54" s="53">
        <f t="shared" si="224"/>
        <v>506141.78999999992</v>
      </c>
      <c r="AE54" s="51">
        <f t="shared" si="225"/>
        <v>1673203.5293819997</v>
      </c>
      <c r="AF54" s="53">
        <f t="shared" si="226"/>
        <v>492995.24999999994</v>
      </c>
      <c r="AG54" s="51">
        <f t="shared" si="227"/>
        <v>1629743.6974499999</v>
      </c>
      <c r="AH54" s="48">
        <f t="shared" si="228"/>
        <v>479848.7099999999</v>
      </c>
      <c r="AI54" s="51">
        <f t="shared" si="229"/>
        <v>1586283.8655179997</v>
      </c>
      <c r="AJ54" s="53">
        <f t="shared" si="230"/>
        <v>466702.16999999993</v>
      </c>
      <c r="AK54" s="51">
        <f t="shared" si="231"/>
        <v>1542824.0335859999</v>
      </c>
      <c r="AL54" s="53">
        <f t="shared" si="232"/>
        <v>453555.62999999989</v>
      </c>
      <c r="AM54" s="51">
        <f t="shared" si="233"/>
        <v>1499364.2016539997</v>
      </c>
      <c r="AN54" s="53">
        <f t="shared" si="234"/>
        <v>440409.08999999991</v>
      </c>
      <c r="AO54" s="51">
        <f t="shared" si="235"/>
        <v>1455904.3697219996</v>
      </c>
      <c r="AP54" s="53">
        <f t="shared" si="236"/>
        <v>427262.54999999987</v>
      </c>
      <c r="AQ54" s="51">
        <f t="shared" si="237"/>
        <v>1412444.5377899995</v>
      </c>
      <c r="AR54" s="48">
        <f t="shared" si="238"/>
        <v>414116.00999999983</v>
      </c>
      <c r="AS54" s="51">
        <f t="shared" si="239"/>
        <v>1368984.7058579994</v>
      </c>
      <c r="AT54" s="53">
        <f t="shared" si="240"/>
        <v>400969.46999999986</v>
      </c>
      <c r="AU54" s="51">
        <f t="shared" si="241"/>
        <v>1325524.8739259995</v>
      </c>
      <c r="AV54" s="53">
        <f t="shared" si="242"/>
        <v>387822.92999999982</v>
      </c>
      <c r="AW54" s="51">
        <f t="shared" si="243"/>
        <v>1282065.0419939994</v>
      </c>
      <c r="AX54" s="48">
        <f t="shared" si="244"/>
        <v>374676.38999999984</v>
      </c>
      <c r="AY54" s="51">
        <f t="shared" si="245"/>
        <v>1238605.2100619995</v>
      </c>
      <c r="BB54" s="48">
        <v>1</v>
      </c>
      <c r="BC54" s="48">
        <v>0.97</v>
      </c>
      <c r="BD54" s="48">
        <v>0.95</v>
      </c>
      <c r="BE54" s="48">
        <v>0.93</v>
      </c>
      <c r="BF54" s="48">
        <f t="shared" ref="BF54:BW54" si="614">+BE54-0.02</f>
        <v>0.91</v>
      </c>
      <c r="BG54" s="48">
        <f t="shared" si="614"/>
        <v>0.89</v>
      </c>
      <c r="BH54" s="48">
        <f t="shared" si="614"/>
        <v>0.87</v>
      </c>
      <c r="BI54" s="48">
        <f t="shared" si="614"/>
        <v>0.85</v>
      </c>
      <c r="BJ54" s="48">
        <f t="shared" si="614"/>
        <v>0.83</v>
      </c>
      <c r="BK54" s="48">
        <f t="shared" si="614"/>
        <v>0.80999999999999994</v>
      </c>
      <c r="BL54" s="48">
        <f t="shared" si="614"/>
        <v>0.78999999999999992</v>
      </c>
      <c r="BM54" s="48">
        <f t="shared" si="614"/>
        <v>0.76999999999999991</v>
      </c>
      <c r="BN54" s="48">
        <f t="shared" si="614"/>
        <v>0.74999999999999989</v>
      </c>
      <c r="BO54" s="48">
        <f t="shared" si="614"/>
        <v>0.72999999999999987</v>
      </c>
      <c r="BP54" s="48">
        <f t="shared" si="614"/>
        <v>0.70999999999999985</v>
      </c>
      <c r="BQ54" s="48">
        <f t="shared" si="614"/>
        <v>0.68999999999999984</v>
      </c>
      <c r="BR54" s="48">
        <f t="shared" si="614"/>
        <v>0.66999999999999982</v>
      </c>
      <c r="BS54" s="48">
        <f t="shared" si="614"/>
        <v>0.6499999999999998</v>
      </c>
      <c r="BT54" s="48">
        <f t="shared" si="614"/>
        <v>0.62999999999999978</v>
      </c>
      <c r="BU54" s="48">
        <f t="shared" si="614"/>
        <v>0.60999999999999976</v>
      </c>
      <c r="BV54" s="48">
        <f t="shared" si="614"/>
        <v>0.58999999999999975</v>
      </c>
      <c r="BW54" s="48">
        <f t="shared" si="614"/>
        <v>0.56999999999999973</v>
      </c>
      <c r="BY54" s="48">
        <f t="shared" si="88"/>
        <v>598167.57000000007</v>
      </c>
      <c r="BZ54" s="48">
        <f t="shared" si="89"/>
        <v>598167.57000000007</v>
      </c>
      <c r="CA54" s="51">
        <f t="shared" ref="CA54" si="615">+BZ54*3.3058</f>
        <v>1977422.3529060003</v>
      </c>
      <c r="CB54" s="48">
        <f t="shared" si="248"/>
        <v>580222.5429</v>
      </c>
      <c r="CC54" s="51">
        <f t="shared" si="249"/>
        <v>1918099.6823188202</v>
      </c>
      <c r="CD54" s="48">
        <f t="shared" si="250"/>
        <v>568259.19150000007</v>
      </c>
      <c r="CE54" s="51">
        <f t="shared" si="251"/>
        <v>1878551.2352607003</v>
      </c>
      <c r="CF54" s="48">
        <f t="shared" si="252"/>
        <v>556295.84010000015</v>
      </c>
      <c r="CG54" s="51">
        <f t="shared" si="253"/>
        <v>1839002.7882025805</v>
      </c>
      <c r="CH54" s="52">
        <f t="shared" si="254"/>
        <v>544332.4887000001</v>
      </c>
      <c r="CI54" s="51">
        <f t="shared" si="255"/>
        <v>1799454.3411444605</v>
      </c>
      <c r="CJ54" s="48">
        <f t="shared" si="256"/>
        <v>532369.13730000006</v>
      </c>
      <c r="CK54" s="51">
        <f t="shared" si="257"/>
        <v>1759905.8940863402</v>
      </c>
      <c r="CL54" s="52">
        <f t="shared" si="258"/>
        <v>520405.78590000008</v>
      </c>
      <c r="CM54" s="51">
        <f t="shared" si="259"/>
        <v>1720357.4470282204</v>
      </c>
      <c r="CN54" s="53">
        <f t="shared" si="260"/>
        <v>508442.43450000003</v>
      </c>
      <c r="CO54" s="51">
        <f t="shared" si="261"/>
        <v>1680808.9999701001</v>
      </c>
      <c r="CP54" s="52">
        <f t="shared" si="262"/>
        <v>496479.08310000005</v>
      </c>
      <c r="CQ54" s="51">
        <f t="shared" si="263"/>
        <v>1641260.5529119801</v>
      </c>
      <c r="CR54" s="48">
        <f t="shared" si="264"/>
        <v>484515.7317</v>
      </c>
      <c r="CS54" s="51">
        <f t="shared" si="265"/>
        <v>1601712.10585386</v>
      </c>
      <c r="CT54" s="53">
        <f t="shared" si="266"/>
        <v>472552.38030000002</v>
      </c>
      <c r="CU54" s="51">
        <f t="shared" si="267"/>
        <v>1562163.65879574</v>
      </c>
      <c r="CV54" s="53">
        <f t="shared" si="268"/>
        <v>460589.02889999998</v>
      </c>
      <c r="CW54" s="51">
        <f t="shared" si="269"/>
        <v>1522615.2117376199</v>
      </c>
      <c r="CX54" s="53">
        <f t="shared" si="270"/>
        <v>448625.67749999999</v>
      </c>
      <c r="CY54" s="51">
        <f t="shared" si="271"/>
        <v>1483066.7646794999</v>
      </c>
      <c r="CZ54" s="48">
        <f t="shared" si="272"/>
        <v>436662.32609999995</v>
      </c>
      <c r="DA54" s="51">
        <f t="shared" si="273"/>
        <v>1443518.3176213799</v>
      </c>
      <c r="DB54" s="53">
        <f t="shared" si="274"/>
        <v>424698.97469999996</v>
      </c>
      <c r="DC54" s="51">
        <f t="shared" si="275"/>
        <v>1403969.8705632598</v>
      </c>
      <c r="DD54" s="53">
        <f t="shared" si="276"/>
        <v>412735.62329999992</v>
      </c>
      <c r="DE54" s="51">
        <f t="shared" si="277"/>
        <v>1364421.4235051398</v>
      </c>
      <c r="DF54" s="53">
        <f t="shared" si="278"/>
        <v>400772.27189999993</v>
      </c>
      <c r="DG54" s="51">
        <f t="shared" si="279"/>
        <v>1324872.9764470197</v>
      </c>
      <c r="DH54" s="53">
        <f t="shared" si="280"/>
        <v>388808.92049999995</v>
      </c>
      <c r="DI54" s="51">
        <f t="shared" si="281"/>
        <v>1285324.5293888999</v>
      </c>
      <c r="DJ54" s="48">
        <f t="shared" si="282"/>
        <v>376845.56909999991</v>
      </c>
      <c r="DK54" s="51">
        <f t="shared" si="283"/>
        <v>1245776.0823307796</v>
      </c>
      <c r="DL54" s="53">
        <f t="shared" si="284"/>
        <v>364882.21769999992</v>
      </c>
      <c r="DM54" s="51">
        <f t="shared" si="285"/>
        <v>1206227.6352726598</v>
      </c>
      <c r="DN54" s="53">
        <f t="shared" si="286"/>
        <v>352918.86629999988</v>
      </c>
      <c r="DO54" s="51">
        <f t="shared" si="287"/>
        <v>1166679.1882145396</v>
      </c>
      <c r="DP54" s="48">
        <f t="shared" si="288"/>
        <v>340955.51489999989</v>
      </c>
      <c r="DQ54" s="51">
        <f t="shared" si="289"/>
        <v>1127130.7411564197</v>
      </c>
      <c r="DT54" s="48">
        <v>1</v>
      </c>
      <c r="DU54" s="48">
        <v>0.97</v>
      </c>
      <c r="DV54" s="48">
        <v>0.95</v>
      </c>
      <c r="DW54" s="48">
        <v>0.93</v>
      </c>
      <c r="DX54" s="48">
        <f t="shared" ref="DX54:EO54" si="616">+DW54-0.02</f>
        <v>0.91</v>
      </c>
      <c r="DY54" s="48">
        <f t="shared" si="616"/>
        <v>0.89</v>
      </c>
      <c r="DZ54" s="48">
        <f t="shared" si="616"/>
        <v>0.87</v>
      </c>
      <c r="EA54" s="48">
        <f t="shared" si="616"/>
        <v>0.85</v>
      </c>
      <c r="EB54" s="48">
        <f t="shared" si="616"/>
        <v>0.83</v>
      </c>
      <c r="EC54" s="48">
        <f t="shared" si="616"/>
        <v>0.80999999999999994</v>
      </c>
      <c r="ED54" s="48">
        <f t="shared" si="616"/>
        <v>0.78999999999999992</v>
      </c>
      <c r="EE54" s="48">
        <f t="shared" si="616"/>
        <v>0.76999999999999991</v>
      </c>
      <c r="EF54" s="48">
        <f t="shared" si="616"/>
        <v>0.74999999999999989</v>
      </c>
      <c r="EG54" s="48">
        <f t="shared" si="616"/>
        <v>0.72999999999999987</v>
      </c>
      <c r="EH54" s="48">
        <f t="shared" si="616"/>
        <v>0.70999999999999985</v>
      </c>
      <c r="EI54" s="48">
        <f t="shared" si="616"/>
        <v>0.68999999999999984</v>
      </c>
      <c r="EJ54" s="48">
        <f t="shared" si="616"/>
        <v>0.66999999999999982</v>
      </c>
      <c r="EK54" s="48">
        <f t="shared" si="616"/>
        <v>0.6499999999999998</v>
      </c>
      <c r="EL54" s="48">
        <f t="shared" si="616"/>
        <v>0.62999999999999978</v>
      </c>
      <c r="EM54" s="48">
        <f t="shared" si="616"/>
        <v>0.60999999999999976</v>
      </c>
      <c r="EN54" s="48">
        <f t="shared" si="616"/>
        <v>0.58999999999999975</v>
      </c>
      <c r="EO54" s="48">
        <f t="shared" si="616"/>
        <v>0.56999999999999973</v>
      </c>
      <c r="EQ54" s="48">
        <f t="shared" si="188"/>
        <v>544332.4887000001</v>
      </c>
      <c r="ER54" s="48">
        <f t="shared" si="116"/>
        <v>544332.4887000001</v>
      </c>
      <c r="ES54" s="51">
        <f t="shared" ref="ES54" si="617">+ER54*3.3058</f>
        <v>1799454.3411444605</v>
      </c>
      <c r="ET54" s="48">
        <f t="shared" si="292"/>
        <v>528002.51403900003</v>
      </c>
      <c r="EU54" s="51">
        <f t="shared" si="293"/>
        <v>1745470.7109101263</v>
      </c>
      <c r="EV54" s="48">
        <f t="shared" si="294"/>
        <v>517115.8642650001</v>
      </c>
      <c r="EW54" s="51">
        <f t="shared" si="295"/>
        <v>1709481.6240872373</v>
      </c>
      <c r="EX54" s="48">
        <f t="shared" si="296"/>
        <v>506229.21449100011</v>
      </c>
      <c r="EY54" s="51">
        <f t="shared" si="297"/>
        <v>1673492.5372643482</v>
      </c>
      <c r="EZ54" s="52">
        <f t="shared" si="298"/>
        <v>495342.56471700012</v>
      </c>
      <c r="FA54" s="51">
        <f t="shared" si="299"/>
        <v>1637503.450441459</v>
      </c>
      <c r="FB54" s="48">
        <f t="shared" si="300"/>
        <v>484455.91494300013</v>
      </c>
      <c r="FC54" s="51">
        <f t="shared" si="301"/>
        <v>1601514.3636185699</v>
      </c>
      <c r="FD54" s="52">
        <f t="shared" si="302"/>
        <v>473569.26516900008</v>
      </c>
      <c r="FE54" s="51">
        <f t="shared" si="303"/>
        <v>1565525.2767956804</v>
      </c>
      <c r="FF54" s="53">
        <f t="shared" si="304"/>
        <v>462682.61539500009</v>
      </c>
      <c r="FG54" s="51">
        <f t="shared" si="305"/>
        <v>1529536.1899727914</v>
      </c>
      <c r="FH54" s="52">
        <f t="shared" si="306"/>
        <v>451795.96562100004</v>
      </c>
      <c r="FI54" s="51">
        <f t="shared" si="307"/>
        <v>1493547.1031499021</v>
      </c>
      <c r="FJ54" s="48">
        <f t="shared" si="308"/>
        <v>440909.31584700005</v>
      </c>
      <c r="FK54" s="51">
        <f t="shared" si="309"/>
        <v>1457558.0163270128</v>
      </c>
      <c r="FL54" s="53">
        <f t="shared" si="310"/>
        <v>430022.66607300006</v>
      </c>
      <c r="FM54" s="51">
        <f t="shared" si="311"/>
        <v>1421568.9295041235</v>
      </c>
      <c r="FN54" s="53">
        <f t="shared" si="312"/>
        <v>419136.01629900001</v>
      </c>
      <c r="FO54" s="51">
        <f t="shared" si="313"/>
        <v>1385579.8426812342</v>
      </c>
      <c r="FP54" s="53">
        <f t="shared" si="314"/>
        <v>408249.36652500002</v>
      </c>
      <c r="FQ54" s="51">
        <f t="shared" si="315"/>
        <v>1349590.7558583452</v>
      </c>
      <c r="FR54" s="48">
        <f t="shared" si="316"/>
        <v>397362.71675100003</v>
      </c>
      <c r="FS54" s="51">
        <f t="shared" si="317"/>
        <v>1313601.6690354559</v>
      </c>
      <c r="FT54" s="53">
        <f t="shared" si="318"/>
        <v>386476.06697699998</v>
      </c>
      <c r="FU54" s="51">
        <f t="shared" si="319"/>
        <v>1277612.5822125666</v>
      </c>
      <c r="FV54" s="53">
        <f t="shared" si="320"/>
        <v>375589.41720299999</v>
      </c>
      <c r="FW54" s="51">
        <f t="shared" si="321"/>
        <v>1241623.4953896774</v>
      </c>
      <c r="FX54" s="53">
        <f t="shared" si="322"/>
        <v>364702.76742899994</v>
      </c>
      <c r="FY54" s="51">
        <f t="shared" si="323"/>
        <v>1205634.4085667881</v>
      </c>
      <c r="FZ54" s="53">
        <f t="shared" si="324"/>
        <v>353816.11765499995</v>
      </c>
      <c r="GA54" s="51">
        <f t="shared" si="325"/>
        <v>1169645.3217438988</v>
      </c>
      <c r="GB54" s="48">
        <f t="shared" si="326"/>
        <v>342929.46788099996</v>
      </c>
      <c r="GC54" s="51">
        <f t="shared" si="327"/>
        <v>1133656.2349210097</v>
      </c>
      <c r="GD54" s="53">
        <f t="shared" si="328"/>
        <v>332042.81810699991</v>
      </c>
      <c r="GE54" s="51">
        <f t="shared" si="329"/>
        <v>1097667.1480981202</v>
      </c>
      <c r="GF54" s="53">
        <f t="shared" si="330"/>
        <v>321156.16833299992</v>
      </c>
      <c r="GG54" s="51">
        <f t="shared" si="331"/>
        <v>1061678.0612752312</v>
      </c>
      <c r="GH54" s="48">
        <f t="shared" si="332"/>
        <v>310269.51855899993</v>
      </c>
      <c r="GI54" s="51">
        <f t="shared" si="333"/>
        <v>1025688.974452342</v>
      </c>
      <c r="GJ54" s="48"/>
      <c r="GK54" s="48"/>
      <c r="GL54" s="48">
        <v>1</v>
      </c>
      <c r="GM54" s="48">
        <v>0.97</v>
      </c>
      <c r="GN54" s="48">
        <v>0.95</v>
      </c>
      <c r="GO54" s="48">
        <v>0.93</v>
      </c>
      <c r="GP54" s="48">
        <f t="shared" ref="GP54:HG54" si="618">+GO54-0.02</f>
        <v>0.91</v>
      </c>
      <c r="GQ54" s="48">
        <f t="shared" si="618"/>
        <v>0.89</v>
      </c>
      <c r="GR54" s="48">
        <f t="shared" si="618"/>
        <v>0.87</v>
      </c>
      <c r="GS54" s="48">
        <f t="shared" si="618"/>
        <v>0.85</v>
      </c>
      <c r="GT54" s="48">
        <f t="shared" si="618"/>
        <v>0.83</v>
      </c>
      <c r="GU54" s="48">
        <f t="shared" si="618"/>
        <v>0.80999999999999994</v>
      </c>
      <c r="GV54" s="48">
        <f t="shared" si="618"/>
        <v>0.78999999999999992</v>
      </c>
      <c r="GW54" s="48">
        <f t="shared" si="618"/>
        <v>0.76999999999999991</v>
      </c>
      <c r="GX54" s="48">
        <f t="shared" si="618"/>
        <v>0.74999999999999989</v>
      </c>
      <c r="GY54" s="48">
        <f t="shared" si="618"/>
        <v>0.72999999999999987</v>
      </c>
      <c r="GZ54" s="48">
        <f t="shared" si="618"/>
        <v>0.70999999999999985</v>
      </c>
      <c r="HA54" s="48">
        <f t="shared" si="618"/>
        <v>0.68999999999999984</v>
      </c>
      <c r="HB54" s="48">
        <f t="shared" si="618"/>
        <v>0.66999999999999982</v>
      </c>
      <c r="HC54" s="48">
        <f t="shared" si="618"/>
        <v>0.6499999999999998</v>
      </c>
      <c r="HD54" s="48">
        <f t="shared" si="618"/>
        <v>0.62999999999999978</v>
      </c>
      <c r="HE54" s="48">
        <f t="shared" si="618"/>
        <v>0.60999999999999976</v>
      </c>
      <c r="HF54" s="48">
        <f t="shared" si="618"/>
        <v>0.58999999999999975</v>
      </c>
      <c r="HG54" s="48">
        <f t="shared" si="618"/>
        <v>0.56999999999999973</v>
      </c>
    </row>
    <row r="55" spans="1:215" s="54" customFormat="1" x14ac:dyDescent="0.3">
      <c r="C55" s="55"/>
      <c r="D55" s="55"/>
      <c r="E55" s="55"/>
      <c r="G55" s="56"/>
      <c r="H55" s="56"/>
      <c r="I55" s="56"/>
      <c r="J55" s="56"/>
      <c r="K55" s="56"/>
      <c r="L55" s="56"/>
      <c r="M55" s="56"/>
      <c r="N55" s="56"/>
      <c r="O55" s="56"/>
      <c r="P55" s="57"/>
      <c r="Q55" s="56"/>
      <c r="R55" s="56"/>
      <c r="S55" s="56"/>
      <c r="T55" s="57"/>
      <c r="U55" s="56"/>
      <c r="V55" s="58"/>
      <c r="W55" s="56"/>
      <c r="X55" s="57"/>
      <c r="Y55" s="56"/>
      <c r="Z55" s="56"/>
      <c r="AA55" s="56"/>
      <c r="AB55" s="58"/>
      <c r="AC55" s="56"/>
      <c r="AD55" s="58"/>
      <c r="AE55" s="56"/>
      <c r="AF55" s="58"/>
      <c r="AG55" s="56"/>
      <c r="AH55" s="56"/>
      <c r="AI55" s="56"/>
      <c r="AJ55" s="58"/>
      <c r="AK55" s="56"/>
      <c r="AL55" s="58"/>
      <c r="AM55" s="56"/>
      <c r="AN55" s="58"/>
      <c r="AO55" s="56"/>
      <c r="AP55" s="58"/>
      <c r="AQ55" s="56"/>
      <c r="AR55" s="56"/>
      <c r="AS55" s="56"/>
      <c r="AT55" s="58"/>
      <c r="AU55" s="56"/>
      <c r="AV55" s="58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>
        <f t="shared" si="88"/>
        <v>0</v>
      </c>
      <c r="BZ55" s="56"/>
      <c r="CA55" s="56"/>
      <c r="CB55" s="56"/>
      <c r="CC55" s="56"/>
      <c r="CD55" s="56"/>
      <c r="CE55" s="56"/>
      <c r="CF55" s="56"/>
      <c r="CG55" s="56"/>
      <c r="CH55" s="57"/>
      <c r="CI55" s="56"/>
      <c r="CJ55" s="56"/>
      <c r="CK55" s="56"/>
      <c r="CL55" s="57"/>
      <c r="CM55" s="56"/>
      <c r="CN55" s="58"/>
      <c r="CO55" s="56"/>
      <c r="CP55" s="57"/>
      <c r="CQ55" s="56"/>
      <c r="CR55" s="56"/>
      <c r="CS55" s="56"/>
      <c r="CT55" s="58"/>
      <c r="CU55" s="56"/>
      <c r="CV55" s="58"/>
      <c r="CW55" s="56"/>
      <c r="CX55" s="58"/>
      <c r="CY55" s="56"/>
      <c r="CZ55" s="56"/>
      <c r="DA55" s="56"/>
      <c r="DB55" s="58"/>
      <c r="DC55" s="56"/>
      <c r="DD55" s="58"/>
      <c r="DE55" s="56"/>
      <c r="DF55" s="58"/>
      <c r="DG55" s="56"/>
      <c r="DH55" s="58"/>
      <c r="DI55" s="56"/>
      <c r="DJ55" s="56"/>
      <c r="DK55" s="56"/>
      <c r="DL55" s="58"/>
      <c r="DM55" s="56"/>
      <c r="DN55" s="58"/>
      <c r="DO55" s="56"/>
      <c r="DP55" s="56"/>
      <c r="DQ55" s="56"/>
      <c r="DR55" s="56"/>
      <c r="DS55" s="56"/>
      <c r="DT55" s="56">
        <v>1</v>
      </c>
      <c r="DU55" s="56">
        <v>0.97</v>
      </c>
      <c r="DV55" s="56">
        <v>0.95</v>
      </c>
      <c r="DW55" s="56">
        <v>0.93</v>
      </c>
      <c r="DX55" s="56">
        <f t="shared" ref="DX55:EO55" si="619">+DW55-0.02</f>
        <v>0.91</v>
      </c>
      <c r="DY55" s="56">
        <f t="shared" si="619"/>
        <v>0.89</v>
      </c>
      <c r="DZ55" s="56">
        <f t="shared" si="619"/>
        <v>0.87</v>
      </c>
      <c r="EA55" s="56">
        <f t="shared" si="619"/>
        <v>0.85</v>
      </c>
      <c r="EB55" s="56">
        <f t="shared" si="619"/>
        <v>0.83</v>
      </c>
      <c r="EC55" s="56">
        <f t="shared" si="619"/>
        <v>0.80999999999999994</v>
      </c>
      <c r="ED55" s="56">
        <f t="shared" si="619"/>
        <v>0.78999999999999992</v>
      </c>
      <c r="EE55" s="56">
        <f t="shared" si="619"/>
        <v>0.76999999999999991</v>
      </c>
      <c r="EF55" s="56">
        <f t="shared" si="619"/>
        <v>0.74999999999999989</v>
      </c>
      <c r="EG55" s="56">
        <f t="shared" si="619"/>
        <v>0.72999999999999987</v>
      </c>
      <c r="EH55" s="56">
        <f t="shared" si="619"/>
        <v>0.70999999999999985</v>
      </c>
      <c r="EI55" s="56">
        <f t="shared" si="619"/>
        <v>0.68999999999999984</v>
      </c>
      <c r="EJ55" s="56">
        <f t="shared" si="619"/>
        <v>0.66999999999999982</v>
      </c>
      <c r="EK55" s="56">
        <f t="shared" si="619"/>
        <v>0.6499999999999998</v>
      </c>
      <c r="EL55" s="56">
        <f t="shared" si="619"/>
        <v>0.62999999999999978</v>
      </c>
      <c r="EM55" s="56">
        <f t="shared" si="619"/>
        <v>0.60999999999999976</v>
      </c>
      <c r="EN55" s="56">
        <f t="shared" si="619"/>
        <v>0.58999999999999975</v>
      </c>
      <c r="EO55" s="56">
        <f t="shared" si="619"/>
        <v>0.56999999999999973</v>
      </c>
      <c r="EQ55" s="56">
        <f t="shared" si="188"/>
        <v>0</v>
      </c>
      <c r="ER55" s="56"/>
      <c r="ES55" s="56"/>
      <c r="ET55" s="56"/>
      <c r="EU55" s="56"/>
      <c r="EV55" s="56"/>
      <c r="EW55" s="56"/>
      <c r="EX55" s="56"/>
      <c r="EY55" s="56"/>
      <c r="EZ55" s="57"/>
      <c r="FA55" s="56"/>
      <c r="FB55" s="56"/>
      <c r="FC55" s="56"/>
      <c r="FD55" s="57"/>
      <c r="FE55" s="56"/>
      <c r="FF55" s="58"/>
      <c r="FG55" s="56"/>
      <c r="FH55" s="57"/>
      <c r="FI55" s="56"/>
      <c r="FJ55" s="56"/>
      <c r="FK55" s="56"/>
      <c r="FL55" s="58"/>
      <c r="FM55" s="56"/>
      <c r="FN55" s="58"/>
      <c r="FO55" s="56"/>
      <c r="FP55" s="58"/>
      <c r="FQ55" s="56"/>
      <c r="FR55" s="56"/>
      <c r="FS55" s="56"/>
      <c r="FT55" s="58"/>
      <c r="FU55" s="56"/>
      <c r="FV55" s="58"/>
      <c r="FW55" s="56"/>
      <c r="FX55" s="58"/>
      <c r="FY55" s="56"/>
      <c r="FZ55" s="58"/>
      <c r="GA55" s="56"/>
      <c r="GB55" s="56"/>
      <c r="GC55" s="56"/>
      <c r="GD55" s="58"/>
      <c r="GE55" s="56"/>
      <c r="GF55" s="58"/>
      <c r="GG55" s="56"/>
      <c r="GH55" s="56"/>
      <c r="GI55" s="56"/>
      <c r="GJ55" s="56"/>
      <c r="GK55" s="56"/>
      <c r="GL55" s="56">
        <v>1</v>
      </c>
      <c r="GM55" s="56">
        <v>0.97</v>
      </c>
      <c r="GN55" s="56">
        <v>0.95</v>
      </c>
      <c r="GO55" s="56">
        <v>0.93</v>
      </c>
      <c r="GP55" s="56">
        <f t="shared" ref="GP55:HG55" si="620">+GO55-0.02</f>
        <v>0.91</v>
      </c>
      <c r="GQ55" s="56">
        <f t="shared" si="620"/>
        <v>0.89</v>
      </c>
      <c r="GR55" s="56">
        <f t="shared" si="620"/>
        <v>0.87</v>
      </c>
      <c r="GS55" s="56">
        <f t="shared" si="620"/>
        <v>0.85</v>
      </c>
      <c r="GT55" s="56">
        <f t="shared" si="620"/>
        <v>0.83</v>
      </c>
      <c r="GU55" s="56">
        <f t="shared" si="620"/>
        <v>0.80999999999999994</v>
      </c>
      <c r="GV55" s="56">
        <f t="shared" si="620"/>
        <v>0.78999999999999992</v>
      </c>
      <c r="GW55" s="56">
        <f t="shared" si="620"/>
        <v>0.76999999999999991</v>
      </c>
      <c r="GX55" s="56">
        <f t="shared" si="620"/>
        <v>0.74999999999999989</v>
      </c>
      <c r="GY55" s="56">
        <f t="shared" si="620"/>
        <v>0.72999999999999987</v>
      </c>
      <c r="GZ55" s="56">
        <f t="shared" si="620"/>
        <v>0.70999999999999985</v>
      </c>
      <c r="HA55" s="56">
        <f t="shared" si="620"/>
        <v>0.68999999999999984</v>
      </c>
      <c r="HB55" s="56">
        <f t="shared" si="620"/>
        <v>0.66999999999999982</v>
      </c>
      <c r="HC55" s="56">
        <f t="shared" si="620"/>
        <v>0.6499999999999998</v>
      </c>
      <c r="HD55" s="56">
        <f t="shared" si="620"/>
        <v>0.62999999999999978</v>
      </c>
      <c r="HE55" s="56">
        <f t="shared" si="620"/>
        <v>0.60999999999999976</v>
      </c>
      <c r="HF55" s="56">
        <f t="shared" si="620"/>
        <v>0.58999999999999975</v>
      </c>
      <c r="HG55" s="56">
        <f t="shared" si="620"/>
        <v>0.56999999999999973</v>
      </c>
    </row>
    <row r="56" spans="1:215" s="54" customFormat="1" ht="17.25" thickBot="1" x14ac:dyDescent="0.35">
      <c r="B56" s="54" t="s">
        <v>50</v>
      </c>
      <c r="C56" s="54" t="s">
        <v>48</v>
      </c>
      <c r="D56" s="55" t="s">
        <v>206</v>
      </c>
      <c r="E56" s="55" t="s">
        <v>61</v>
      </c>
      <c r="G56" s="56"/>
      <c r="H56" s="56"/>
      <c r="I56" s="56"/>
      <c r="J56" s="56"/>
      <c r="K56" s="56"/>
      <c r="L56" s="56"/>
      <c r="M56" s="56"/>
      <c r="N56" s="56"/>
      <c r="O56" s="56"/>
      <c r="P56" s="57"/>
      <c r="Q56" s="56"/>
      <c r="R56" s="56"/>
      <c r="S56" s="56"/>
      <c r="T56" s="57"/>
      <c r="U56" s="56"/>
      <c r="V56" s="58"/>
      <c r="W56" s="56"/>
      <c r="X56" s="57"/>
      <c r="Y56" s="56"/>
      <c r="Z56" s="56"/>
      <c r="AA56" s="56"/>
      <c r="AB56" s="58"/>
      <c r="AC56" s="56"/>
      <c r="AD56" s="58"/>
      <c r="AE56" s="56"/>
      <c r="AF56" s="58"/>
      <c r="AG56" s="56"/>
      <c r="AH56" s="56"/>
      <c r="AI56" s="56"/>
      <c r="AJ56" s="58"/>
      <c r="AK56" s="56"/>
      <c r="AL56" s="58"/>
      <c r="AM56" s="56"/>
      <c r="AN56" s="58"/>
      <c r="AO56" s="56"/>
      <c r="AP56" s="58"/>
      <c r="AQ56" s="56"/>
      <c r="AR56" s="56"/>
      <c r="AS56" s="56"/>
      <c r="AT56" s="58"/>
      <c r="AU56" s="56"/>
      <c r="AV56" s="58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>
        <f t="shared" si="88"/>
        <v>0</v>
      </c>
      <c r="BZ56" s="56"/>
      <c r="CA56" s="56"/>
      <c r="CB56" s="56"/>
      <c r="CC56" s="56"/>
      <c r="CD56" s="56"/>
      <c r="CE56" s="56"/>
      <c r="CF56" s="56"/>
      <c r="CG56" s="56"/>
      <c r="CH56" s="57"/>
      <c r="CI56" s="56"/>
      <c r="CJ56" s="56"/>
      <c r="CK56" s="56"/>
      <c r="CL56" s="57"/>
      <c r="CM56" s="56"/>
      <c r="CN56" s="58"/>
      <c r="CO56" s="56"/>
      <c r="CP56" s="57"/>
      <c r="CQ56" s="56"/>
      <c r="CR56" s="56"/>
      <c r="CS56" s="56"/>
      <c r="CT56" s="58"/>
      <c r="CU56" s="56"/>
      <c r="CV56" s="58"/>
      <c r="CW56" s="56"/>
      <c r="CX56" s="58"/>
      <c r="CY56" s="56"/>
      <c r="CZ56" s="56"/>
      <c r="DA56" s="56"/>
      <c r="DB56" s="58"/>
      <c r="DC56" s="56"/>
      <c r="DD56" s="58"/>
      <c r="DE56" s="56"/>
      <c r="DF56" s="58"/>
      <c r="DG56" s="56"/>
      <c r="DH56" s="58"/>
      <c r="DI56" s="56"/>
      <c r="DJ56" s="56"/>
      <c r="DK56" s="56"/>
      <c r="DL56" s="58"/>
      <c r="DM56" s="56"/>
      <c r="DN56" s="58"/>
      <c r="DO56" s="56"/>
      <c r="DP56" s="56"/>
      <c r="DQ56" s="56"/>
      <c r="DR56" s="56"/>
      <c r="DS56" s="56"/>
      <c r="DT56" s="56">
        <v>1</v>
      </c>
      <c r="DU56" s="56">
        <v>0.97</v>
      </c>
      <c r="DV56" s="56">
        <v>0.95</v>
      </c>
      <c r="DW56" s="56">
        <v>0.93</v>
      </c>
      <c r="DX56" s="56">
        <f t="shared" ref="DX56:EO56" si="621">+DW56-0.02</f>
        <v>0.91</v>
      </c>
      <c r="DY56" s="56">
        <f t="shared" si="621"/>
        <v>0.89</v>
      </c>
      <c r="DZ56" s="56">
        <f t="shared" si="621"/>
        <v>0.87</v>
      </c>
      <c r="EA56" s="56">
        <f t="shared" si="621"/>
        <v>0.85</v>
      </c>
      <c r="EB56" s="56">
        <f t="shared" si="621"/>
        <v>0.83</v>
      </c>
      <c r="EC56" s="56">
        <f t="shared" si="621"/>
        <v>0.80999999999999994</v>
      </c>
      <c r="ED56" s="56">
        <f t="shared" si="621"/>
        <v>0.78999999999999992</v>
      </c>
      <c r="EE56" s="56">
        <f t="shared" si="621"/>
        <v>0.76999999999999991</v>
      </c>
      <c r="EF56" s="56">
        <f t="shared" si="621"/>
        <v>0.74999999999999989</v>
      </c>
      <c r="EG56" s="56">
        <f t="shared" si="621"/>
        <v>0.72999999999999987</v>
      </c>
      <c r="EH56" s="56">
        <f t="shared" si="621"/>
        <v>0.70999999999999985</v>
      </c>
      <c r="EI56" s="56">
        <f t="shared" si="621"/>
        <v>0.68999999999999984</v>
      </c>
      <c r="EJ56" s="56">
        <f t="shared" si="621"/>
        <v>0.66999999999999982</v>
      </c>
      <c r="EK56" s="56">
        <f t="shared" si="621"/>
        <v>0.6499999999999998</v>
      </c>
      <c r="EL56" s="56">
        <f t="shared" si="621"/>
        <v>0.62999999999999978</v>
      </c>
      <c r="EM56" s="56">
        <f t="shared" si="621"/>
        <v>0.60999999999999976</v>
      </c>
      <c r="EN56" s="56">
        <f t="shared" si="621"/>
        <v>0.58999999999999975</v>
      </c>
      <c r="EO56" s="56">
        <f t="shared" si="621"/>
        <v>0.56999999999999973</v>
      </c>
      <c r="EQ56" s="56">
        <f t="shared" si="188"/>
        <v>0</v>
      </c>
      <c r="ER56" s="56"/>
      <c r="ES56" s="56"/>
      <c r="ET56" s="56"/>
      <c r="EU56" s="56"/>
      <c r="EV56" s="56"/>
      <c r="EW56" s="56"/>
      <c r="EX56" s="56"/>
      <c r="EY56" s="56"/>
      <c r="EZ56" s="57"/>
      <c r="FA56" s="56"/>
      <c r="FB56" s="56"/>
      <c r="FC56" s="56"/>
      <c r="FD56" s="57"/>
      <c r="FE56" s="56"/>
      <c r="FF56" s="58"/>
      <c r="FG56" s="56"/>
      <c r="FH56" s="57"/>
      <c r="FI56" s="56"/>
      <c r="FJ56" s="56"/>
      <c r="FK56" s="56"/>
      <c r="FL56" s="58"/>
      <c r="FM56" s="56"/>
      <c r="FN56" s="58"/>
      <c r="FO56" s="56"/>
      <c r="FP56" s="58"/>
      <c r="FQ56" s="56"/>
      <c r="FR56" s="56"/>
      <c r="FS56" s="56"/>
      <c r="FT56" s="58"/>
      <c r="FU56" s="56"/>
      <c r="FV56" s="58"/>
      <c r="FW56" s="56"/>
      <c r="FX56" s="58"/>
      <c r="FY56" s="56"/>
      <c r="FZ56" s="58"/>
      <c r="GA56" s="56"/>
      <c r="GB56" s="56"/>
      <c r="GC56" s="56"/>
      <c r="GD56" s="58"/>
      <c r="GE56" s="56"/>
      <c r="GF56" s="58"/>
      <c r="GG56" s="56"/>
      <c r="GH56" s="56"/>
      <c r="GI56" s="56"/>
      <c r="GJ56" s="56"/>
      <c r="GK56" s="56"/>
      <c r="GL56" s="56">
        <v>1</v>
      </c>
      <c r="GM56" s="56">
        <v>0.97</v>
      </c>
      <c r="GN56" s="56">
        <v>0.95</v>
      </c>
      <c r="GO56" s="56">
        <v>0.93</v>
      </c>
      <c r="GP56" s="56">
        <f t="shared" ref="GP56:HG56" si="622">+GO56-0.02</f>
        <v>0.91</v>
      </c>
      <c r="GQ56" s="56">
        <f t="shared" si="622"/>
        <v>0.89</v>
      </c>
      <c r="GR56" s="56">
        <f t="shared" si="622"/>
        <v>0.87</v>
      </c>
      <c r="GS56" s="56">
        <f t="shared" si="622"/>
        <v>0.85</v>
      </c>
      <c r="GT56" s="56">
        <f t="shared" si="622"/>
        <v>0.83</v>
      </c>
      <c r="GU56" s="56">
        <f t="shared" si="622"/>
        <v>0.80999999999999994</v>
      </c>
      <c r="GV56" s="56">
        <f t="shared" si="622"/>
        <v>0.78999999999999992</v>
      </c>
      <c r="GW56" s="56">
        <f t="shared" si="622"/>
        <v>0.76999999999999991</v>
      </c>
      <c r="GX56" s="56">
        <f t="shared" si="622"/>
        <v>0.74999999999999989</v>
      </c>
      <c r="GY56" s="56">
        <f t="shared" si="622"/>
        <v>0.72999999999999987</v>
      </c>
      <c r="GZ56" s="56">
        <f t="shared" si="622"/>
        <v>0.70999999999999985</v>
      </c>
      <c r="HA56" s="56">
        <f t="shared" si="622"/>
        <v>0.68999999999999984</v>
      </c>
      <c r="HB56" s="56">
        <f t="shared" si="622"/>
        <v>0.66999999999999982</v>
      </c>
      <c r="HC56" s="56">
        <f t="shared" si="622"/>
        <v>0.6499999999999998</v>
      </c>
      <c r="HD56" s="56">
        <f t="shared" si="622"/>
        <v>0.62999999999999978</v>
      </c>
      <c r="HE56" s="56">
        <f t="shared" si="622"/>
        <v>0.60999999999999976</v>
      </c>
      <c r="HF56" s="56">
        <f t="shared" si="622"/>
        <v>0.58999999999999975</v>
      </c>
      <c r="HG56" s="56">
        <f t="shared" si="622"/>
        <v>0.56999999999999973</v>
      </c>
    </row>
    <row r="57" spans="1:215" x14ac:dyDescent="0.3">
      <c r="A57" s="2">
        <v>1</v>
      </c>
      <c r="C57" s="39" t="s">
        <v>21</v>
      </c>
      <c r="D57" s="42">
        <v>0</v>
      </c>
      <c r="E57" s="72">
        <f>TRUNC(+D57*3.3058,-1)</f>
        <v>0</v>
      </c>
      <c r="G57" s="48">
        <f t="shared" si="61"/>
        <v>0</v>
      </c>
      <c r="H57" s="48">
        <f t="shared" si="62"/>
        <v>0</v>
      </c>
      <c r="I57" s="51">
        <f t="shared" si="63"/>
        <v>0</v>
      </c>
      <c r="J57" s="48">
        <f t="shared" ref="J57:J60" si="623">+H57*BC57</f>
        <v>0</v>
      </c>
      <c r="K57" s="51">
        <f t="shared" ref="K57:K60" si="624">+J57*3.3058</f>
        <v>0</v>
      </c>
      <c r="L57" s="48">
        <f t="shared" ref="L57:L60" si="625">+H57*BD57</f>
        <v>0</v>
      </c>
      <c r="M57" s="51">
        <f t="shared" ref="M57:M60" si="626">+L57*3.3058</f>
        <v>0</v>
      </c>
      <c r="N57" s="48">
        <f>+H57*BE57</f>
        <v>0</v>
      </c>
      <c r="O57" s="51">
        <f t="shared" ref="O57:O60" si="627">+N57*3.3058</f>
        <v>0</v>
      </c>
      <c r="P57" s="52">
        <f>+H57*BF57</f>
        <v>0</v>
      </c>
      <c r="Q57" s="51">
        <f t="shared" ref="Q57:Q60" si="628">+P57*3.3058</f>
        <v>0</v>
      </c>
      <c r="R57" s="48">
        <f>+H57*BG57</f>
        <v>0</v>
      </c>
      <c r="S57" s="51">
        <f t="shared" ref="S57:S60" si="629">+R57*3.3058</f>
        <v>0</v>
      </c>
      <c r="T57" s="52">
        <f>+H57*BH57</f>
        <v>0</v>
      </c>
      <c r="U57" s="51">
        <f t="shared" ref="U57:U60" si="630">+T57*3.3058</f>
        <v>0</v>
      </c>
      <c r="V57" s="53">
        <f>+H57*BI57</f>
        <v>0</v>
      </c>
      <c r="W57" s="51">
        <f t="shared" ref="W57:W60" si="631">+V57*3.3058</f>
        <v>0</v>
      </c>
      <c r="X57" s="52">
        <f>+H57*BJ57</f>
        <v>0</v>
      </c>
      <c r="Y57" s="51">
        <f t="shared" ref="Y57:Y60" si="632">+X57*3.3058</f>
        <v>0</v>
      </c>
      <c r="Z57" s="48">
        <f>+H57*BK57</f>
        <v>0</v>
      </c>
      <c r="AA57" s="51">
        <f t="shared" ref="AA57:AA60" si="633">+Z57*3.3058</f>
        <v>0</v>
      </c>
      <c r="AB57" s="53">
        <f>+H57*BL57</f>
        <v>0</v>
      </c>
      <c r="AC57" s="51">
        <f t="shared" ref="AC57:AC60" si="634">+AB57*3.3058</f>
        <v>0</v>
      </c>
      <c r="AD57" s="53">
        <f>+H57*BM57</f>
        <v>0</v>
      </c>
      <c r="AE57" s="51">
        <f t="shared" ref="AE57:AE60" si="635">+AD57*3.3058</f>
        <v>0</v>
      </c>
      <c r="AF57" s="53">
        <f>+H57*BN57</f>
        <v>0</v>
      </c>
      <c r="AG57" s="51">
        <f t="shared" ref="AG57:AG60" si="636">+AF57*3.3058</f>
        <v>0</v>
      </c>
      <c r="AH57" s="48">
        <f>+H57*BO57</f>
        <v>0</v>
      </c>
      <c r="AI57" s="51">
        <f t="shared" ref="AI57:AI60" si="637">+AH57*3.3058</f>
        <v>0</v>
      </c>
      <c r="AJ57" s="53">
        <f>+H57*BP57</f>
        <v>0</v>
      </c>
      <c r="AK57" s="51">
        <f t="shared" ref="AK57:AK60" si="638">+AJ57*3.3058</f>
        <v>0</v>
      </c>
      <c r="AL57" s="53">
        <f>+H57*BQ57</f>
        <v>0</v>
      </c>
      <c r="AM57" s="51">
        <f t="shared" ref="AM57:AM60" si="639">+AL57*3.3058</f>
        <v>0</v>
      </c>
      <c r="AN57" s="53">
        <f>+H57*BR57</f>
        <v>0</v>
      </c>
      <c r="AO57" s="51">
        <f t="shared" ref="AO57:AO60" si="640">+AN57*3.3058</f>
        <v>0</v>
      </c>
      <c r="AP57" s="53">
        <f>+H57*BS57</f>
        <v>0</v>
      </c>
      <c r="AQ57" s="51">
        <f t="shared" ref="AQ57:AQ60" si="641">+AP57*3.3058</f>
        <v>0</v>
      </c>
      <c r="AR57" s="48">
        <f>+H57*BT57</f>
        <v>0</v>
      </c>
      <c r="AS57" s="51">
        <f t="shared" ref="AS57:AS60" si="642">+AR57*3.3058</f>
        <v>0</v>
      </c>
      <c r="AT57" s="53">
        <f>+H57*BU57</f>
        <v>0</v>
      </c>
      <c r="AU57" s="51">
        <f t="shared" ref="AU57:AU60" si="643">+AT57*3.3058</f>
        <v>0</v>
      </c>
      <c r="AV57" s="53">
        <f>+H57*BV57</f>
        <v>0</v>
      </c>
      <c r="AW57" s="51">
        <f t="shared" ref="AW57:AW60" si="644">+AV57*3.3058</f>
        <v>0</v>
      </c>
      <c r="AX57" s="48">
        <f>+H57*BW57</f>
        <v>0</v>
      </c>
      <c r="AY57" s="51">
        <f t="shared" ref="AY57:AY60" si="645">+AX57*3.3058</f>
        <v>0</v>
      </c>
      <c r="BB57" s="48">
        <v>1</v>
      </c>
      <c r="BC57" s="48">
        <v>0.97</v>
      </c>
      <c r="BD57" s="48">
        <v>0.95</v>
      </c>
      <c r="BE57" s="48">
        <v>0.93</v>
      </c>
      <c r="BF57" s="48">
        <f t="shared" ref="BF57:BW57" si="646">+BE57-0.02</f>
        <v>0.91</v>
      </c>
      <c r="BG57" s="48">
        <f t="shared" si="646"/>
        <v>0.89</v>
      </c>
      <c r="BH57" s="48">
        <f t="shared" si="646"/>
        <v>0.87</v>
      </c>
      <c r="BI57" s="48">
        <f t="shared" si="646"/>
        <v>0.85</v>
      </c>
      <c r="BJ57" s="48">
        <f t="shared" si="646"/>
        <v>0.83</v>
      </c>
      <c r="BK57" s="48">
        <f t="shared" si="646"/>
        <v>0.80999999999999994</v>
      </c>
      <c r="BL57" s="48">
        <f t="shared" si="646"/>
        <v>0.78999999999999992</v>
      </c>
      <c r="BM57" s="48">
        <f t="shared" si="646"/>
        <v>0.76999999999999991</v>
      </c>
      <c r="BN57" s="48">
        <f t="shared" si="646"/>
        <v>0.74999999999999989</v>
      </c>
      <c r="BO57" s="48">
        <f t="shared" si="646"/>
        <v>0.72999999999999987</v>
      </c>
      <c r="BP57" s="48">
        <f t="shared" si="646"/>
        <v>0.70999999999999985</v>
      </c>
      <c r="BQ57" s="48">
        <f t="shared" si="646"/>
        <v>0.68999999999999984</v>
      </c>
      <c r="BR57" s="48">
        <f t="shared" si="646"/>
        <v>0.66999999999999982</v>
      </c>
      <c r="BS57" s="48">
        <f t="shared" si="646"/>
        <v>0.6499999999999998</v>
      </c>
      <c r="BT57" s="48">
        <f t="shared" si="646"/>
        <v>0.62999999999999978</v>
      </c>
      <c r="BU57" s="48">
        <f t="shared" si="646"/>
        <v>0.60999999999999976</v>
      </c>
      <c r="BV57" s="48">
        <f t="shared" si="646"/>
        <v>0.58999999999999975</v>
      </c>
      <c r="BW57" s="48">
        <f t="shared" si="646"/>
        <v>0.56999999999999973</v>
      </c>
      <c r="BY57" s="48">
        <f t="shared" si="88"/>
        <v>0</v>
      </c>
      <c r="BZ57" s="48">
        <f t="shared" si="89"/>
        <v>0</v>
      </c>
      <c r="CA57" s="51">
        <f t="shared" ref="CA57" si="647">+BZ57*3.3058</f>
        <v>0</v>
      </c>
      <c r="CB57" s="48">
        <f t="shared" ref="CB57:CB60" si="648">+BZ57*DU57</f>
        <v>0</v>
      </c>
      <c r="CC57" s="51">
        <f t="shared" ref="CC57:CC60" si="649">+CB57*3.3058</f>
        <v>0</v>
      </c>
      <c r="CD57" s="48">
        <f t="shared" ref="CD57:CD60" si="650">+BZ57*DV57</f>
        <v>0</v>
      </c>
      <c r="CE57" s="51">
        <f t="shared" ref="CE57:CE60" si="651">+CD57*3.3058</f>
        <v>0</v>
      </c>
      <c r="CF57" s="48">
        <f>+BZ57*DW57</f>
        <v>0</v>
      </c>
      <c r="CG57" s="51">
        <f t="shared" ref="CG57:CG60" si="652">+CF57*3.3058</f>
        <v>0</v>
      </c>
      <c r="CH57" s="52">
        <f>+BZ57*DX57</f>
        <v>0</v>
      </c>
      <c r="CI57" s="51">
        <f t="shared" ref="CI57:CI60" si="653">+CH57*3.3058</f>
        <v>0</v>
      </c>
      <c r="CJ57" s="48">
        <f>+BZ57*DY57</f>
        <v>0</v>
      </c>
      <c r="CK57" s="51">
        <f t="shared" ref="CK57:CK60" si="654">+CJ57*3.3058</f>
        <v>0</v>
      </c>
      <c r="CL57" s="52">
        <f>+BZ57*DZ57</f>
        <v>0</v>
      </c>
      <c r="CM57" s="51">
        <f t="shared" ref="CM57:CM60" si="655">+CL57*3.3058</f>
        <v>0</v>
      </c>
      <c r="CN57" s="53">
        <f>+BZ57*EA57</f>
        <v>0</v>
      </c>
      <c r="CO57" s="51">
        <f t="shared" ref="CO57:CO60" si="656">+CN57*3.3058</f>
        <v>0</v>
      </c>
      <c r="CP57" s="52">
        <f>+BZ57*EB57</f>
        <v>0</v>
      </c>
      <c r="CQ57" s="51">
        <f t="shared" ref="CQ57:CQ60" si="657">+CP57*3.3058</f>
        <v>0</v>
      </c>
      <c r="CR57" s="48">
        <f>+BZ57*EC57</f>
        <v>0</v>
      </c>
      <c r="CS57" s="51">
        <f t="shared" ref="CS57:CS60" si="658">+CR57*3.3058</f>
        <v>0</v>
      </c>
      <c r="CT57" s="53">
        <f>+BZ57*ED57</f>
        <v>0</v>
      </c>
      <c r="CU57" s="51">
        <f t="shared" ref="CU57:CU60" si="659">+CT57*3.3058</f>
        <v>0</v>
      </c>
      <c r="CV57" s="53">
        <f>+BZ57*EE57</f>
        <v>0</v>
      </c>
      <c r="CW57" s="51">
        <f t="shared" ref="CW57:CW60" si="660">+CV57*3.3058</f>
        <v>0</v>
      </c>
      <c r="CX57" s="53">
        <f>+BZ57*EF57</f>
        <v>0</v>
      </c>
      <c r="CY57" s="51">
        <f t="shared" ref="CY57:CY60" si="661">+CX57*3.3058</f>
        <v>0</v>
      </c>
      <c r="CZ57" s="48">
        <f>+BZ57*EG57</f>
        <v>0</v>
      </c>
      <c r="DA57" s="51">
        <f t="shared" ref="DA57:DA60" si="662">+CZ57*3.3058</f>
        <v>0</v>
      </c>
      <c r="DB57" s="53">
        <f>+BZ57*EH57</f>
        <v>0</v>
      </c>
      <c r="DC57" s="51">
        <f t="shared" ref="DC57:DC60" si="663">+DB57*3.3058</f>
        <v>0</v>
      </c>
      <c r="DD57" s="53">
        <f>+BZ57*EI57</f>
        <v>0</v>
      </c>
      <c r="DE57" s="51">
        <f t="shared" ref="DE57:DE60" si="664">+DD57*3.3058</f>
        <v>0</v>
      </c>
      <c r="DF57" s="53">
        <f>+BZ57*EJ57</f>
        <v>0</v>
      </c>
      <c r="DG57" s="51">
        <f t="shared" ref="DG57:DG60" si="665">+DF57*3.3058</f>
        <v>0</v>
      </c>
      <c r="DH57" s="53">
        <f>+BZ57*EK57</f>
        <v>0</v>
      </c>
      <c r="DI57" s="51">
        <f t="shared" ref="DI57:DI60" si="666">+DH57*3.3058</f>
        <v>0</v>
      </c>
      <c r="DJ57" s="48">
        <f>+BZ57*EL57</f>
        <v>0</v>
      </c>
      <c r="DK57" s="51">
        <f t="shared" ref="DK57:DK60" si="667">+DJ57*3.3058</f>
        <v>0</v>
      </c>
      <c r="DL57" s="53">
        <f>+BZ57*EM57</f>
        <v>0</v>
      </c>
      <c r="DM57" s="51">
        <f t="shared" ref="DM57:DM60" si="668">+DL57*3.3058</f>
        <v>0</v>
      </c>
      <c r="DN57" s="53">
        <f>+BZ57*EN57</f>
        <v>0</v>
      </c>
      <c r="DO57" s="51">
        <f t="shared" ref="DO57:DO60" si="669">+DN57*3.3058</f>
        <v>0</v>
      </c>
      <c r="DP57" s="48">
        <f>+BZ57*EO57</f>
        <v>0</v>
      </c>
      <c r="DQ57" s="51">
        <f t="shared" ref="DQ57:DQ60" si="670">+DP57*3.3058</f>
        <v>0</v>
      </c>
      <c r="DT57" s="48">
        <v>1</v>
      </c>
      <c r="DU57" s="48">
        <v>0.97</v>
      </c>
      <c r="DV57" s="48">
        <v>0.95</v>
      </c>
      <c r="DW57" s="48">
        <v>0.93</v>
      </c>
      <c r="DX57" s="48">
        <f t="shared" ref="DX57:EO57" si="671">+DW57-0.02</f>
        <v>0.91</v>
      </c>
      <c r="DY57" s="48">
        <f t="shared" si="671"/>
        <v>0.89</v>
      </c>
      <c r="DZ57" s="48">
        <f t="shared" si="671"/>
        <v>0.87</v>
      </c>
      <c r="EA57" s="48">
        <f t="shared" si="671"/>
        <v>0.85</v>
      </c>
      <c r="EB57" s="48">
        <f t="shared" si="671"/>
        <v>0.83</v>
      </c>
      <c r="EC57" s="48">
        <f t="shared" si="671"/>
        <v>0.80999999999999994</v>
      </c>
      <c r="ED57" s="48">
        <f t="shared" si="671"/>
        <v>0.78999999999999992</v>
      </c>
      <c r="EE57" s="48">
        <f t="shared" si="671"/>
        <v>0.76999999999999991</v>
      </c>
      <c r="EF57" s="48">
        <f t="shared" si="671"/>
        <v>0.74999999999999989</v>
      </c>
      <c r="EG57" s="48">
        <f t="shared" si="671"/>
        <v>0.72999999999999987</v>
      </c>
      <c r="EH57" s="48">
        <f t="shared" si="671"/>
        <v>0.70999999999999985</v>
      </c>
      <c r="EI57" s="48">
        <f t="shared" si="671"/>
        <v>0.68999999999999984</v>
      </c>
      <c r="EJ57" s="48">
        <f t="shared" si="671"/>
        <v>0.66999999999999982</v>
      </c>
      <c r="EK57" s="48">
        <f t="shared" si="671"/>
        <v>0.6499999999999998</v>
      </c>
      <c r="EL57" s="48">
        <f t="shared" si="671"/>
        <v>0.62999999999999978</v>
      </c>
      <c r="EM57" s="48">
        <f t="shared" si="671"/>
        <v>0.60999999999999976</v>
      </c>
      <c r="EN57" s="48">
        <f t="shared" si="671"/>
        <v>0.58999999999999975</v>
      </c>
      <c r="EO57" s="48">
        <f t="shared" si="671"/>
        <v>0.56999999999999973</v>
      </c>
      <c r="EQ57" s="48">
        <f t="shared" si="188"/>
        <v>0</v>
      </c>
      <c r="ER57" s="48">
        <f t="shared" si="116"/>
        <v>0</v>
      </c>
      <c r="ES57" s="51">
        <f t="shared" ref="ES57" si="672">+ER57*3.3058</f>
        <v>0</v>
      </c>
      <c r="ET57" s="48">
        <f t="shared" ref="ET57:ET60" si="673">+ER57*GM57</f>
        <v>0</v>
      </c>
      <c r="EU57" s="51">
        <f t="shared" ref="EU57:EU60" si="674">+ET57*3.3058</f>
        <v>0</v>
      </c>
      <c r="EV57" s="48">
        <f t="shared" ref="EV57:EV60" si="675">+ER57*GN57</f>
        <v>0</v>
      </c>
      <c r="EW57" s="51">
        <f t="shared" ref="EW57:EW60" si="676">+EV57*3.3058</f>
        <v>0</v>
      </c>
      <c r="EX57" s="48">
        <f>+ER57*GO57</f>
        <v>0</v>
      </c>
      <c r="EY57" s="51">
        <f t="shared" ref="EY57:EY60" si="677">+EX57*3.3058</f>
        <v>0</v>
      </c>
      <c r="EZ57" s="52">
        <f>+ER57*GP57</f>
        <v>0</v>
      </c>
      <c r="FA57" s="51">
        <f t="shared" ref="FA57:FA60" si="678">+EZ57*3.3058</f>
        <v>0</v>
      </c>
      <c r="FB57" s="48">
        <f>+ER57*GQ57</f>
        <v>0</v>
      </c>
      <c r="FC57" s="51">
        <f t="shared" ref="FC57:FC60" si="679">+FB57*3.3058</f>
        <v>0</v>
      </c>
      <c r="FD57" s="52">
        <f>+ER57*GR57</f>
        <v>0</v>
      </c>
      <c r="FE57" s="51">
        <f t="shared" ref="FE57:FE60" si="680">+FD57*3.3058</f>
        <v>0</v>
      </c>
      <c r="FF57" s="53">
        <f>+ER57*GS57</f>
        <v>0</v>
      </c>
      <c r="FG57" s="51">
        <f t="shared" ref="FG57:FG60" si="681">+FF57*3.3058</f>
        <v>0</v>
      </c>
      <c r="FH57" s="52">
        <f>+ER57*GT57</f>
        <v>0</v>
      </c>
      <c r="FI57" s="51">
        <f t="shared" ref="FI57:FI60" si="682">+FH57*3.3058</f>
        <v>0</v>
      </c>
      <c r="FJ57" s="48">
        <f>+ER57*GU57</f>
        <v>0</v>
      </c>
      <c r="FK57" s="51">
        <f t="shared" ref="FK57:FK60" si="683">+FJ57*3.3058</f>
        <v>0</v>
      </c>
      <c r="FL57" s="53">
        <f>+ER57*GV57</f>
        <v>0</v>
      </c>
      <c r="FM57" s="51">
        <f t="shared" ref="FM57:FM60" si="684">+FL57*3.3058</f>
        <v>0</v>
      </c>
      <c r="FN57" s="53">
        <f>+ER57*GW57</f>
        <v>0</v>
      </c>
      <c r="FO57" s="51">
        <f t="shared" ref="FO57:FO60" si="685">+FN57*3.3058</f>
        <v>0</v>
      </c>
      <c r="FP57" s="53">
        <f>+ER57*GX57</f>
        <v>0</v>
      </c>
      <c r="FQ57" s="51">
        <f t="shared" ref="FQ57:FQ60" si="686">+FP57*3.3058</f>
        <v>0</v>
      </c>
      <c r="FR57" s="48">
        <f>+ER57*GY57</f>
        <v>0</v>
      </c>
      <c r="FS57" s="51">
        <f t="shared" ref="FS57:FS60" si="687">+FR57*3.3058</f>
        <v>0</v>
      </c>
      <c r="FT57" s="53">
        <f>+ER57*GZ57</f>
        <v>0</v>
      </c>
      <c r="FU57" s="51">
        <f t="shared" ref="FU57:FU60" si="688">+FT57*3.3058</f>
        <v>0</v>
      </c>
      <c r="FV57" s="53">
        <f>+ER57*HA57</f>
        <v>0</v>
      </c>
      <c r="FW57" s="51">
        <f t="shared" ref="FW57:FW60" si="689">+FV57*3.3058</f>
        <v>0</v>
      </c>
      <c r="FX57" s="53">
        <f>+ER57*HB57</f>
        <v>0</v>
      </c>
      <c r="FY57" s="51">
        <f t="shared" ref="FY57:FY60" si="690">+FX57*3.3058</f>
        <v>0</v>
      </c>
      <c r="FZ57" s="53">
        <f>+ER57*HC57</f>
        <v>0</v>
      </c>
      <c r="GA57" s="51">
        <f t="shared" ref="GA57:GA60" si="691">+FZ57*3.3058</f>
        <v>0</v>
      </c>
      <c r="GB57" s="48">
        <f>+ER57*HD57</f>
        <v>0</v>
      </c>
      <c r="GC57" s="51">
        <f t="shared" ref="GC57:GC60" si="692">+GB57*3.3058</f>
        <v>0</v>
      </c>
      <c r="GD57" s="53">
        <f>+ER57*HE57</f>
        <v>0</v>
      </c>
      <c r="GE57" s="51">
        <f t="shared" ref="GE57:GE60" si="693">+GD57*3.3058</f>
        <v>0</v>
      </c>
      <c r="GF57" s="53">
        <f>+ER57*HF57</f>
        <v>0</v>
      </c>
      <c r="GG57" s="51">
        <f t="shared" ref="GG57:GG60" si="694">+GF57*3.3058</f>
        <v>0</v>
      </c>
      <c r="GH57" s="48">
        <f>+ER57*HG57</f>
        <v>0</v>
      </c>
      <c r="GI57" s="51">
        <f t="shared" ref="GI57:GI60" si="695">+GH57*3.3058</f>
        <v>0</v>
      </c>
      <c r="GJ57" s="48"/>
      <c r="GK57" s="48"/>
      <c r="GL57" s="48">
        <v>1</v>
      </c>
      <c r="GM57" s="48">
        <v>0.97</v>
      </c>
      <c r="GN57" s="48">
        <v>0.95</v>
      </c>
      <c r="GO57" s="48">
        <v>0.93</v>
      </c>
      <c r="GP57" s="48">
        <f t="shared" ref="GP57:HG57" si="696">+GO57-0.02</f>
        <v>0.91</v>
      </c>
      <c r="GQ57" s="48">
        <f t="shared" si="696"/>
        <v>0.89</v>
      </c>
      <c r="GR57" s="48">
        <f t="shared" si="696"/>
        <v>0.87</v>
      </c>
      <c r="GS57" s="48">
        <f t="shared" si="696"/>
        <v>0.85</v>
      </c>
      <c r="GT57" s="48">
        <f t="shared" si="696"/>
        <v>0.83</v>
      </c>
      <c r="GU57" s="48">
        <f t="shared" si="696"/>
        <v>0.80999999999999994</v>
      </c>
      <c r="GV57" s="48">
        <f t="shared" si="696"/>
        <v>0.78999999999999992</v>
      </c>
      <c r="GW57" s="48">
        <f t="shared" si="696"/>
        <v>0.76999999999999991</v>
      </c>
      <c r="GX57" s="48">
        <f t="shared" si="696"/>
        <v>0.74999999999999989</v>
      </c>
      <c r="GY57" s="48">
        <f t="shared" si="696"/>
        <v>0.72999999999999987</v>
      </c>
      <c r="GZ57" s="48">
        <f t="shared" si="696"/>
        <v>0.70999999999999985</v>
      </c>
      <c r="HA57" s="48">
        <f t="shared" si="696"/>
        <v>0.68999999999999984</v>
      </c>
      <c r="HB57" s="48">
        <f t="shared" si="696"/>
        <v>0.66999999999999982</v>
      </c>
      <c r="HC57" s="48">
        <f t="shared" si="696"/>
        <v>0.6499999999999998</v>
      </c>
      <c r="HD57" s="48">
        <f t="shared" si="696"/>
        <v>0.62999999999999978</v>
      </c>
      <c r="HE57" s="48">
        <f t="shared" si="696"/>
        <v>0.60999999999999976</v>
      </c>
      <c r="HF57" s="48">
        <f t="shared" si="696"/>
        <v>0.58999999999999975</v>
      </c>
      <c r="HG57" s="48">
        <f t="shared" si="696"/>
        <v>0.56999999999999973</v>
      </c>
    </row>
    <row r="58" spans="1:215" x14ac:dyDescent="0.3">
      <c r="A58" s="2">
        <v>2</v>
      </c>
      <c r="C58" s="39" t="s">
        <v>23</v>
      </c>
      <c r="D58" s="44">
        <v>0</v>
      </c>
      <c r="E58" s="73">
        <f>TRUNC(+D58*3.3058,-1)</f>
        <v>0</v>
      </c>
      <c r="G58" s="48">
        <f t="shared" si="61"/>
        <v>0</v>
      </c>
      <c r="H58" s="48">
        <f t="shared" si="62"/>
        <v>0</v>
      </c>
      <c r="I58" s="51">
        <f t="shared" si="63"/>
        <v>0</v>
      </c>
      <c r="J58" s="48">
        <f t="shared" si="623"/>
        <v>0</v>
      </c>
      <c r="K58" s="51">
        <f t="shared" si="624"/>
        <v>0</v>
      </c>
      <c r="L58" s="48">
        <f t="shared" si="625"/>
        <v>0</v>
      </c>
      <c r="M58" s="51">
        <f t="shared" si="626"/>
        <v>0</v>
      </c>
      <c r="N58" s="48">
        <f>+H58*BE58</f>
        <v>0</v>
      </c>
      <c r="O58" s="51">
        <f t="shared" si="627"/>
        <v>0</v>
      </c>
      <c r="P58" s="52">
        <f>+H58*BF58</f>
        <v>0</v>
      </c>
      <c r="Q58" s="51">
        <f t="shared" si="628"/>
        <v>0</v>
      </c>
      <c r="R58" s="48">
        <f>+H58*BG58</f>
        <v>0</v>
      </c>
      <c r="S58" s="51">
        <f t="shared" si="629"/>
        <v>0</v>
      </c>
      <c r="T58" s="52">
        <f>+H58*BH58</f>
        <v>0</v>
      </c>
      <c r="U58" s="51">
        <f t="shared" si="630"/>
        <v>0</v>
      </c>
      <c r="V58" s="53">
        <f>+H58*BI58</f>
        <v>0</v>
      </c>
      <c r="W58" s="51">
        <f t="shared" si="631"/>
        <v>0</v>
      </c>
      <c r="X58" s="52">
        <f>+H58*BJ58</f>
        <v>0</v>
      </c>
      <c r="Y58" s="51">
        <f t="shared" si="632"/>
        <v>0</v>
      </c>
      <c r="Z58" s="48">
        <f>+H58*BK58</f>
        <v>0</v>
      </c>
      <c r="AA58" s="51">
        <f t="shared" si="633"/>
        <v>0</v>
      </c>
      <c r="AB58" s="53">
        <f>+H58*BL58</f>
        <v>0</v>
      </c>
      <c r="AC58" s="51">
        <f t="shared" si="634"/>
        <v>0</v>
      </c>
      <c r="AD58" s="53">
        <f>+H58*BM58</f>
        <v>0</v>
      </c>
      <c r="AE58" s="51">
        <f t="shared" si="635"/>
        <v>0</v>
      </c>
      <c r="AF58" s="53">
        <f>+H58*BN58</f>
        <v>0</v>
      </c>
      <c r="AG58" s="51">
        <f t="shared" si="636"/>
        <v>0</v>
      </c>
      <c r="AH58" s="48">
        <f>+H58*BO58</f>
        <v>0</v>
      </c>
      <c r="AI58" s="51">
        <f t="shared" si="637"/>
        <v>0</v>
      </c>
      <c r="AJ58" s="53">
        <f>+H58*BP58</f>
        <v>0</v>
      </c>
      <c r="AK58" s="51">
        <f t="shared" si="638"/>
        <v>0</v>
      </c>
      <c r="AL58" s="53">
        <f>+H58*BQ58</f>
        <v>0</v>
      </c>
      <c r="AM58" s="51">
        <f t="shared" si="639"/>
        <v>0</v>
      </c>
      <c r="AN58" s="53">
        <f>+H58*BR58</f>
        <v>0</v>
      </c>
      <c r="AO58" s="51">
        <f t="shared" si="640"/>
        <v>0</v>
      </c>
      <c r="AP58" s="53">
        <f>+H58*BS58</f>
        <v>0</v>
      </c>
      <c r="AQ58" s="51">
        <f t="shared" si="641"/>
        <v>0</v>
      </c>
      <c r="AR58" s="48">
        <f>+H58*BT58</f>
        <v>0</v>
      </c>
      <c r="AS58" s="51">
        <f t="shared" si="642"/>
        <v>0</v>
      </c>
      <c r="AT58" s="53">
        <f>+H58*BU58</f>
        <v>0</v>
      </c>
      <c r="AU58" s="51">
        <f t="shared" si="643"/>
        <v>0</v>
      </c>
      <c r="AV58" s="53">
        <f>+H58*BV58</f>
        <v>0</v>
      </c>
      <c r="AW58" s="51">
        <f t="shared" si="644"/>
        <v>0</v>
      </c>
      <c r="AX58" s="48">
        <f>+H58*BW58</f>
        <v>0</v>
      </c>
      <c r="AY58" s="51">
        <f t="shared" si="645"/>
        <v>0</v>
      </c>
      <c r="BB58" s="48">
        <v>1</v>
      </c>
      <c r="BC58" s="48">
        <v>0.97</v>
      </c>
      <c r="BD58" s="48">
        <v>0.95</v>
      </c>
      <c r="BE58" s="48">
        <v>0.93</v>
      </c>
      <c r="BF58" s="48">
        <f t="shared" ref="BF58:BW58" si="697">+BE58-0.02</f>
        <v>0.91</v>
      </c>
      <c r="BG58" s="48">
        <f t="shared" si="697"/>
        <v>0.89</v>
      </c>
      <c r="BH58" s="48">
        <f t="shared" si="697"/>
        <v>0.87</v>
      </c>
      <c r="BI58" s="48">
        <f t="shared" si="697"/>
        <v>0.85</v>
      </c>
      <c r="BJ58" s="48">
        <f t="shared" si="697"/>
        <v>0.83</v>
      </c>
      <c r="BK58" s="48">
        <f t="shared" si="697"/>
        <v>0.80999999999999994</v>
      </c>
      <c r="BL58" s="48">
        <f t="shared" si="697"/>
        <v>0.78999999999999992</v>
      </c>
      <c r="BM58" s="48">
        <f t="shared" si="697"/>
        <v>0.76999999999999991</v>
      </c>
      <c r="BN58" s="48">
        <f t="shared" si="697"/>
        <v>0.74999999999999989</v>
      </c>
      <c r="BO58" s="48">
        <f t="shared" si="697"/>
        <v>0.72999999999999987</v>
      </c>
      <c r="BP58" s="48">
        <f t="shared" si="697"/>
        <v>0.70999999999999985</v>
      </c>
      <c r="BQ58" s="48">
        <f t="shared" si="697"/>
        <v>0.68999999999999984</v>
      </c>
      <c r="BR58" s="48">
        <f t="shared" si="697"/>
        <v>0.66999999999999982</v>
      </c>
      <c r="BS58" s="48">
        <f t="shared" si="697"/>
        <v>0.6499999999999998</v>
      </c>
      <c r="BT58" s="48">
        <f t="shared" si="697"/>
        <v>0.62999999999999978</v>
      </c>
      <c r="BU58" s="48">
        <f t="shared" si="697"/>
        <v>0.60999999999999976</v>
      </c>
      <c r="BV58" s="48">
        <f t="shared" si="697"/>
        <v>0.58999999999999975</v>
      </c>
      <c r="BW58" s="48">
        <f t="shared" si="697"/>
        <v>0.56999999999999973</v>
      </c>
      <c r="BY58" s="48">
        <f t="shared" si="88"/>
        <v>0</v>
      </c>
      <c r="BZ58" s="48">
        <f t="shared" si="89"/>
        <v>0</v>
      </c>
      <c r="CA58" s="51">
        <f t="shared" ref="CA58" si="698">+BZ58*3.3058</f>
        <v>0</v>
      </c>
      <c r="CB58" s="48">
        <f t="shared" si="648"/>
        <v>0</v>
      </c>
      <c r="CC58" s="51">
        <f t="shared" si="649"/>
        <v>0</v>
      </c>
      <c r="CD58" s="48">
        <f t="shared" si="650"/>
        <v>0</v>
      </c>
      <c r="CE58" s="51">
        <f t="shared" si="651"/>
        <v>0</v>
      </c>
      <c r="CF58" s="48">
        <f>+BZ58*DW58</f>
        <v>0</v>
      </c>
      <c r="CG58" s="51">
        <f t="shared" si="652"/>
        <v>0</v>
      </c>
      <c r="CH58" s="52">
        <f>+BZ58*DX58</f>
        <v>0</v>
      </c>
      <c r="CI58" s="51">
        <f t="shared" si="653"/>
        <v>0</v>
      </c>
      <c r="CJ58" s="48">
        <f>+BZ58*DY58</f>
        <v>0</v>
      </c>
      <c r="CK58" s="51">
        <f t="shared" si="654"/>
        <v>0</v>
      </c>
      <c r="CL58" s="52">
        <f>+BZ58*DZ58</f>
        <v>0</v>
      </c>
      <c r="CM58" s="51">
        <f t="shared" si="655"/>
        <v>0</v>
      </c>
      <c r="CN58" s="53">
        <f>+BZ58*EA58</f>
        <v>0</v>
      </c>
      <c r="CO58" s="51">
        <f t="shared" si="656"/>
        <v>0</v>
      </c>
      <c r="CP58" s="52">
        <f>+BZ58*EB58</f>
        <v>0</v>
      </c>
      <c r="CQ58" s="51">
        <f t="shared" si="657"/>
        <v>0</v>
      </c>
      <c r="CR58" s="48">
        <f>+BZ58*EC58</f>
        <v>0</v>
      </c>
      <c r="CS58" s="51">
        <f t="shared" si="658"/>
        <v>0</v>
      </c>
      <c r="CT58" s="53">
        <f>+BZ58*ED58</f>
        <v>0</v>
      </c>
      <c r="CU58" s="51">
        <f t="shared" si="659"/>
        <v>0</v>
      </c>
      <c r="CV58" s="53">
        <f>+BZ58*EE58</f>
        <v>0</v>
      </c>
      <c r="CW58" s="51">
        <f t="shared" si="660"/>
        <v>0</v>
      </c>
      <c r="CX58" s="53">
        <f>+BZ58*EF58</f>
        <v>0</v>
      </c>
      <c r="CY58" s="51">
        <f t="shared" si="661"/>
        <v>0</v>
      </c>
      <c r="CZ58" s="48">
        <f>+BZ58*EG58</f>
        <v>0</v>
      </c>
      <c r="DA58" s="51">
        <f t="shared" si="662"/>
        <v>0</v>
      </c>
      <c r="DB58" s="53">
        <f>+BZ58*EH58</f>
        <v>0</v>
      </c>
      <c r="DC58" s="51">
        <f t="shared" si="663"/>
        <v>0</v>
      </c>
      <c r="DD58" s="53">
        <f>+BZ58*EI58</f>
        <v>0</v>
      </c>
      <c r="DE58" s="51">
        <f t="shared" si="664"/>
        <v>0</v>
      </c>
      <c r="DF58" s="53">
        <f>+BZ58*EJ58</f>
        <v>0</v>
      </c>
      <c r="DG58" s="51">
        <f t="shared" si="665"/>
        <v>0</v>
      </c>
      <c r="DH58" s="53">
        <f>+BZ58*EK58</f>
        <v>0</v>
      </c>
      <c r="DI58" s="51">
        <f t="shared" si="666"/>
        <v>0</v>
      </c>
      <c r="DJ58" s="48">
        <f>+BZ58*EL58</f>
        <v>0</v>
      </c>
      <c r="DK58" s="51">
        <f t="shared" si="667"/>
        <v>0</v>
      </c>
      <c r="DL58" s="53">
        <f>+BZ58*EM58</f>
        <v>0</v>
      </c>
      <c r="DM58" s="51">
        <f t="shared" si="668"/>
        <v>0</v>
      </c>
      <c r="DN58" s="53">
        <f>+BZ58*EN58</f>
        <v>0</v>
      </c>
      <c r="DO58" s="51">
        <f t="shared" si="669"/>
        <v>0</v>
      </c>
      <c r="DP58" s="48">
        <f>+BZ58*EO58</f>
        <v>0</v>
      </c>
      <c r="DQ58" s="51">
        <f t="shared" si="670"/>
        <v>0</v>
      </c>
      <c r="DT58" s="48">
        <v>1</v>
      </c>
      <c r="DU58" s="48">
        <v>0.97</v>
      </c>
      <c r="DV58" s="48">
        <v>0.95</v>
      </c>
      <c r="DW58" s="48">
        <v>0.93</v>
      </c>
      <c r="DX58" s="48">
        <f t="shared" ref="DX58:EO58" si="699">+DW58-0.02</f>
        <v>0.91</v>
      </c>
      <c r="DY58" s="48">
        <f t="shared" si="699"/>
        <v>0.89</v>
      </c>
      <c r="DZ58" s="48">
        <f t="shared" si="699"/>
        <v>0.87</v>
      </c>
      <c r="EA58" s="48">
        <f t="shared" si="699"/>
        <v>0.85</v>
      </c>
      <c r="EB58" s="48">
        <f t="shared" si="699"/>
        <v>0.83</v>
      </c>
      <c r="EC58" s="48">
        <f t="shared" si="699"/>
        <v>0.80999999999999994</v>
      </c>
      <c r="ED58" s="48">
        <f t="shared" si="699"/>
        <v>0.78999999999999992</v>
      </c>
      <c r="EE58" s="48">
        <f t="shared" si="699"/>
        <v>0.76999999999999991</v>
      </c>
      <c r="EF58" s="48">
        <f t="shared" si="699"/>
        <v>0.74999999999999989</v>
      </c>
      <c r="EG58" s="48">
        <f t="shared" si="699"/>
        <v>0.72999999999999987</v>
      </c>
      <c r="EH58" s="48">
        <f t="shared" si="699"/>
        <v>0.70999999999999985</v>
      </c>
      <c r="EI58" s="48">
        <f t="shared" si="699"/>
        <v>0.68999999999999984</v>
      </c>
      <c r="EJ58" s="48">
        <f t="shared" si="699"/>
        <v>0.66999999999999982</v>
      </c>
      <c r="EK58" s="48">
        <f t="shared" si="699"/>
        <v>0.6499999999999998</v>
      </c>
      <c r="EL58" s="48">
        <f t="shared" si="699"/>
        <v>0.62999999999999978</v>
      </c>
      <c r="EM58" s="48">
        <f t="shared" si="699"/>
        <v>0.60999999999999976</v>
      </c>
      <c r="EN58" s="48">
        <f t="shared" si="699"/>
        <v>0.58999999999999975</v>
      </c>
      <c r="EO58" s="48">
        <f t="shared" si="699"/>
        <v>0.56999999999999973</v>
      </c>
      <c r="EQ58" s="48">
        <f t="shared" si="188"/>
        <v>0</v>
      </c>
      <c r="ER58" s="48">
        <f t="shared" si="116"/>
        <v>0</v>
      </c>
      <c r="ES58" s="51">
        <f t="shared" ref="ES58" si="700">+ER58*3.3058</f>
        <v>0</v>
      </c>
      <c r="ET58" s="48">
        <f t="shared" si="673"/>
        <v>0</v>
      </c>
      <c r="EU58" s="51">
        <f t="shared" si="674"/>
        <v>0</v>
      </c>
      <c r="EV58" s="48">
        <f t="shared" si="675"/>
        <v>0</v>
      </c>
      <c r="EW58" s="51">
        <f t="shared" si="676"/>
        <v>0</v>
      </c>
      <c r="EX58" s="48">
        <f>+ER58*GO58</f>
        <v>0</v>
      </c>
      <c r="EY58" s="51">
        <f t="shared" si="677"/>
        <v>0</v>
      </c>
      <c r="EZ58" s="52">
        <f>+ER58*GP58</f>
        <v>0</v>
      </c>
      <c r="FA58" s="51">
        <f t="shared" si="678"/>
        <v>0</v>
      </c>
      <c r="FB58" s="48">
        <f>+ER58*GQ58</f>
        <v>0</v>
      </c>
      <c r="FC58" s="51">
        <f t="shared" si="679"/>
        <v>0</v>
      </c>
      <c r="FD58" s="52">
        <f>+ER58*GR58</f>
        <v>0</v>
      </c>
      <c r="FE58" s="51">
        <f t="shared" si="680"/>
        <v>0</v>
      </c>
      <c r="FF58" s="53">
        <f>+ER58*GS58</f>
        <v>0</v>
      </c>
      <c r="FG58" s="51">
        <f t="shared" si="681"/>
        <v>0</v>
      </c>
      <c r="FH58" s="52">
        <f>+ER58*GT58</f>
        <v>0</v>
      </c>
      <c r="FI58" s="51">
        <f t="shared" si="682"/>
        <v>0</v>
      </c>
      <c r="FJ58" s="48">
        <f>+ER58*GU58</f>
        <v>0</v>
      </c>
      <c r="FK58" s="51">
        <f t="shared" si="683"/>
        <v>0</v>
      </c>
      <c r="FL58" s="53">
        <f>+ER58*GV58</f>
        <v>0</v>
      </c>
      <c r="FM58" s="51">
        <f t="shared" si="684"/>
        <v>0</v>
      </c>
      <c r="FN58" s="53">
        <f>+ER58*GW58</f>
        <v>0</v>
      </c>
      <c r="FO58" s="51">
        <f t="shared" si="685"/>
        <v>0</v>
      </c>
      <c r="FP58" s="53">
        <f>+ER58*GX58</f>
        <v>0</v>
      </c>
      <c r="FQ58" s="51">
        <f t="shared" si="686"/>
        <v>0</v>
      </c>
      <c r="FR58" s="48">
        <f>+ER58*GY58</f>
        <v>0</v>
      </c>
      <c r="FS58" s="51">
        <f t="shared" si="687"/>
        <v>0</v>
      </c>
      <c r="FT58" s="53">
        <f>+ER58*GZ58</f>
        <v>0</v>
      </c>
      <c r="FU58" s="51">
        <f t="shared" si="688"/>
        <v>0</v>
      </c>
      <c r="FV58" s="53">
        <f>+ER58*HA58</f>
        <v>0</v>
      </c>
      <c r="FW58" s="51">
        <f t="shared" si="689"/>
        <v>0</v>
      </c>
      <c r="FX58" s="53">
        <f>+ER58*HB58</f>
        <v>0</v>
      </c>
      <c r="FY58" s="51">
        <f t="shared" si="690"/>
        <v>0</v>
      </c>
      <c r="FZ58" s="53">
        <f>+ER58*HC58</f>
        <v>0</v>
      </c>
      <c r="GA58" s="51">
        <f t="shared" si="691"/>
        <v>0</v>
      </c>
      <c r="GB58" s="48">
        <f>+ER58*HD58</f>
        <v>0</v>
      </c>
      <c r="GC58" s="51">
        <f t="shared" si="692"/>
        <v>0</v>
      </c>
      <c r="GD58" s="53">
        <f>+ER58*HE58</f>
        <v>0</v>
      </c>
      <c r="GE58" s="51">
        <f t="shared" si="693"/>
        <v>0</v>
      </c>
      <c r="GF58" s="53">
        <f>+ER58*HF58</f>
        <v>0</v>
      </c>
      <c r="GG58" s="51">
        <f t="shared" si="694"/>
        <v>0</v>
      </c>
      <c r="GH58" s="48">
        <f>+ER58*HG58</f>
        <v>0</v>
      </c>
      <c r="GI58" s="51">
        <f t="shared" si="695"/>
        <v>0</v>
      </c>
      <c r="GJ58" s="48"/>
      <c r="GK58" s="48"/>
      <c r="GL58" s="48">
        <v>1</v>
      </c>
      <c r="GM58" s="48">
        <v>0.97</v>
      </c>
      <c r="GN58" s="48">
        <v>0.95</v>
      </c>
      <c r="GO58" s="48">
        <v>0.93</v>
      </c>
      <c r="GP58" s="48">
        <f t="shared" ref="GP58:HG58" si="701">+GO58-0.02</f>
        <v>0.91</v>
      </c>
      <c r="GQ58" s="48">
        <f t="shared" si="701"/>
        <v>0.89</v>
      </c>
      <c r="GR58" s="48">
        <f t="shared" si="701"/>
        <v>0.87</v>
      </c>
      <c r="GS58" s="48">
        <f t="shared" si="701"/>
        <v>0.85</v>
      </c>
      <c r="GT58" s="48">
        <f t="shared" si="701"/>
        <v>0.83</v>
      </c>
      <c r="GU58" s="48">
        <f t="shared" si="701"/>
        <v>0.80999999999999994</v>
      </c>
      <c r="GV58" s="48">
        <f t="shared" si="701"/>
        <v>0.78999999999999992</v>
      </c>
      <c r="GW58" s="48">
        <f t="shared" si="701"/>
        <v>0.76999999999999991</v>
      </c>
      <c r="GX58" s="48">
        <f t="shared" si="701"/>
        <v>0.74999999999999989</v>
      </c>
      <c r="GY58" s="48">
        <f t="shared" si="701"/>
        <v>0.72999999999999987</v>
      </c>
      <c r="GZ58" s="48">
        <f t="shared" si="701"/>
        <v>0.70999999999999985</v>
      </c>
      <c r="HA58" s="48">
        <f t="shared" si="701"/>
        <v>0.68999999999999984</v>
      </c>
      <c r="HB58" s="48">
        <f t="shared" si="701"/>
        <v>0.66999999999999982</v>
      </c>
      <c r="HC58" s="48">
        <f t="shared" si="701"/>
        <v>0.6499999999999998</v>
      </c>
      <c r="HD58" s="48">
        <f t="shared" si="701"/>
        <v>0.62999999999999978</v>
      </c>
      <c r="HE58" s="48">
        <f t="shared" si="701"/>
        <v>0.60999999999999976</v>
      </c>
      <c r="HF58" s="48">
        <f t="shared" si="701"/>
        <v>0.58999999999999975</v>
      </c>
      <c r="HG58" s="48">
        <f t="shared" si="701"/>
        <v>0.56999999999999973</v>
      </c>
    </row>
    <row r="59" spans="1:215" ht="17.25" thickBot="1" x14ac:dyDescent="0.35">
      <c r="A59" s="2">
        <v>3</v>
      </c>
      <c r="C59" s="39" t="s">
        <v>22</v>
      </c>
      <c r="D59" s="45">
        <f>TRUNC(64184.8170265655,-1)</f>
        <v>64180</v>
      </c>
      <c r="E59" s="74">
        <f>TRUNC(+D59*3.3058,-1)</f>
        <v>212160</v>
      </c>
      <c r="G59" s="48">
        <f t="shared" si="61"/>
        <v>70598</v>
      </c>
      <c r="H59" s="48">
        <f t="shared" si="62"/>
        <v>70598</v>
      </c>
      <c r="I59" s="51">
        <f t="shared" si="63"/>
        <v>233382.86840000001</v>
      </c>
      <c r="J59" s="48">
        <f t="shared" si="623"/>
        <v>68480.06</v>
      </c>
      <c r="K59" s="51">
        <f t="shared" si="624"/>
        <v>226381.38234799998</v>
      </c>
      <c r="L59" s="48">
        <f t="shared" si="625"/>
        <v>67068.099999999991</v>
      </c>
      <c r="M59" s="51">
        <f t="shared" si="626"/>
        <v>221713.72497999997</v>
      </c>
      <c r="N59" s="48">
        <f>+H59*BE59</f>
        <v>65656.14</v>
      </c>
      <c r="O59" s="51">
        <f t="shared" si="627"/>
        <v>217046.06761200001</v>
      </c>
      <c r="P59" s="52">
        <f>+H59*BF59</f>
        <v>64244.18</v>
      </c>
      <c r="Q59" s="51">
        <f t="shared" si="628"/>
        <v>212378.410244</v>
      </c>
      <c r="R59" s="48">
        <f>+H59*BG59</f>
        <v>62832.22</v>
      </c>
      <c r="S59" s="51">
        <f t="shared" si="629"/>
        <v>207710.75287600001</v>
      </c>
      <c r="T59" s="52">
        <f>+H59*BH59</f>
        <v>61420.26</v>
      </c>
      <c r="U59" s="51">
        <f t="shared" si="630"/>
        <v>203043.095508</v>
      </c>
      <c r="V59" s="53">
        <f>+H59*BI59</f>
        <v>60008.299999999996</v>
      </c>
      <c r="W59" s="51">
        <f t="shared" si="631"/>
        <v>198375.43813999998</v>
      </c>
      <c r="X59" s="52">
        <f>+H59*BJ59</f>
        <v>58596.34</v>
      </c>
      <c r="Y59" s="51">
        <f t="shared" si="632"/>
        <v>193707.780772</v>
      </c>
      <c r="Z59" s="48">
        <f>+H59*BK59</f>
        <v>57184.38</v>
      </c>
      <c r="AA59" s="51">
        <f t="shared" si="633"/>
        <v>189040.12340399998</v>
      </c>
      <c r="AB59" s="53">
        <f>+H59*BL59</f>
        <v>55772.42</v>
      </c>
      <c r="AC59" s="51">
        <f t="shared" si="634"/>
        <v>184372.466036</v>
      </c>
      <c r="AD59" s="53">
        <f>+H59*BM59</f>
        <v>54360.459999999992</v>
      </c>
      <c r="AE59" s="51">
        <f t="shared" si="635"/>
        <v>179704.80866799998</v>
      </c>
      <c r="AF59" s="53">
        <f>+H59*BN59</f>
        <v>52948.499999999993</v>
      </c>
      <c r="AG59" s="51">
        <f t="shared" si="636"/>
        <v>175037.15129999997</v>
      </c>
      <c r="AH59" s="48">
        <f>+H59*BO59</f>
        <v>51536.539999999994</v>
      </c>
      <c r="AI59" s="51">
        <f t="shared" si="637"/>
        <v>170369.49393199998</v>
      </c>
      <c r="AJ59" s="53">
        <f>+H59*BP59</f>
        <v>50124.579999999987</v>
      </c>
      <c r="AK59" s="51">
        <f t="shared" si="638"/>
        <v>165701.83656399997</v>
      </c>
      <c r="AL59" s="53">
        <f>+H59*BQ59</f>
        <v>48712.619999999988</v>
      </c>
      <c r="AM59" s="51">
        <f t="shared" si="639"/>
        <v>161034.17919599995</v>
      </c>
      <c r="AN59" s="53">
        <f>+H59*BR59</f>
        <v>47300.659999999989</v>
      </c>
      <c r="AO59" s="51">
        <f t="shared" si="640"/>
        <v>156366.52182799997</v>
      </c>
      <c r="AP59" s="53">
        <f>+H59*BS59</f>
        <v>45888.699999999983</v>
      </c>
      <c r="AQ59" s="51">
        <f t="shared" si="641"/>
        <v>151698.86445999995</v>
      </c>
      <c r="AR59" s="48">
        <f>+H59*BT59</f>
        <v>44476.739999999983</v>
      </c>
      <c r="AS59" s="51">
        <f t="shared" si="642"/>
        <v>147031.20709199994</v>
      </c>
      <c r="AT59" s="53">
        <f>+H59*BU59</f>
        <v>43064.779999999984</v>
      </c>
      <c r="AU59" s="51">
        <f t="shared" si="643"/>
        <v>142363.54972399995</v>
      </c>
      <c r="AV59" s="53">
        <f>+H59*BV59</f>
        <v>41652.819999999985</v>
      </c>
      <c r="AW59" s="51">
        <f t="shared" si="644"/>
        <v>137695.89235599997</v>
      </c>
      <c r="AX59" s="48">
        <f>+H59*BW59</f>
        <v>40240.859999999979</v>
      </c>
      <c r="AY59" s="51">
        <f t="shared" si="645"/>
        <v>133028.23498799992</v>
      </c>
      <c r="BB59" s="48">
        <v>1</v>
      </c>
      <c r="BC59" s="48">
        <v>0.97</v>
      </c>
      <c r="BD59" s="48">
        <v>0.95</v>
      </c>
      <c r="BE59" s="48">
        <v>0.93</v>
      </c>
      <c r="BF59" s="48">
        <f t="shared" ref="BF59:BW59" si="702">+BE59-0.02</f>
        <v>0.91</v>
      </c>
      <c r="BG59" s="48">
        <f t="shared" si="702"/>
        <v>0.89</v>
      </c>
      <c r="BH59" s="48">
        <f t="shared" si="702"/>
        <v>0.87</v>
      </c>
      <c r="BI59" s="48">
        <f t="shared" si="702"/>
        <v>0.85</v>
      </c>
      <c r="BJ59" s="48">
        <f t="shared" si="702"/>
        <v>0.83</v>
      </c>
      <c r="BK59" s="48">
        <f t="shared" si="702"/>
        <v>0.80999999999999994</v>
      </c>
      <c r="BL59" s="48">
        <f t="shared" si="702"/>
        <v>0.78999999999999992</v>
      </c>
      <c r="BM59" s="48">
        <f t="shared" si="702"/>
        <v>0.76999999999999991</v>
      </c>
      <c r="BN59" s="48">
        <f t="shared" si="702"/>
        <v>0.74999999999999989</v>
      </c>
      <c r="BO59" s="48">
        <f t="shared" si="702"/>
        <v>0.72999999999999987</v>
      </c>
      <c r="BP59" s="48">
        <f t="shared" si="702"/>
        <v>0.70999999999999985</v>
      </c>
      <c r="BQ59" s="48">
        <f t="shared" si="702"/>
        <v>0.68999999999999984</v>
      </c>
      <c r="BR59" s="48">
        <f t="shared" si="702"/>
        <v>0.66999999999999982</v>
      </c>
      <c r="BS59" s="48">
        <f t="shared" si="702"/>
        <v>0.6499999999999998</v>
      </c>
      <c r="BT59" s="48">
        <f t="shared" si="702"/>
        <v>0.62999999999999978</v>
      </c>
      <c r="BU59" s="48">
        <f t="shared" si="702"/>
        <v>0.60999999999999976</v>
      </c>
      <c r="BV59" s="48">
        <f t="shared" si="702"/>
        <v>0.58999999999999975</v>
      </c>
      <c r="BW59" s="48">
        <f t="shared" si="702"/>
        <v>0.56999999999999973</v>
      </c>
      <c r="BY59" s="48">
        <f t="shared" si="88"/>
        <v>64244.18</v>
      </c>
      <c r="BZ59" s="48">
        <f t="shared" si="89"/>
        <v>64244.18</v>
      </c>
      <c r="CA59" s="51">
        <f t="shared" ref="CA59" si="703">+BZ59*3.3058</f>
        <v>212378.410244</v>
      </c>
      <c r="CB59" s="48">
        <f t="shared" si="648"/>
        <v>62316.854599999999</v>
      </c>
      <c r="CC59" s="51">
        <f t="shared" si="649"/>
        <v>206007.05793668001</v>
      </c>
      <c r="CD59" s="48">
        <f t="shared" si="650"/>
        <v>61031.970999999998</v>
      </c>
      <c r="CE59" s="51">
        <f t="shared" si="651"/>
        <v>201759.48973179999</v>
      </c>
      <c r="CF59" s="48">
        <f>+BZ59*DW59</f>
        <v>59747.087400000004</v>
      </c>
      <c r="CG59" s="51">
        <f t="shared" si="652"/>
        <v>197511.92152692002</v>
      </c>
      <c r="CH59" s="52">
        <f>+BZ59*DX59</f>
        <v>58462.203800000003</v>
      </c>
      <c r="CI59" s="51">
        <f t="shared" si="653"/>
        <v>193264.35332204003</v>
      </c>
      <c r="CJ59" s="48">
        <f>+BZ59*DY59</f>
        <v>57177.320200000002</v>
      </c>
      <c r="CK59" s="51">
        <f t="shared" si="654"/>
        <v>189016.78511716001</v>
      </c>
      <c r="CL59" s="52">
        <f>+BZ59*DZ59</f>
        <v>55892.436600000001</v>
      </c>
      <c r="CM59" s="51">
        <f t="shared" si="655"/>
        <v>184769.21691228001</v>
      </c>
      <c r="CN59" s="53">
        <f>+BZ59*EA59</f>
        <v>54607.553</v>
      </c>
      <c r="CO59" s="51">
        <f t="shared" si="656"/>
        <v>180521.64870740002</v>
      </c>
      <c r="CP59" s="52">
        <f>+BZ59*EB59</f>
        <v>53322.669399999999</v>
      </c>
      <c r="CQ59" s="51">
        <f t="shared" si="657"/>
        <v>176274.08050252</v>
      </c>
      <c r="CR59" s="48">
        <f>+BZ59*EC59</f>
        <v>52037.785799999998</v>
      </c>
      <c r="CS59" s="51">
        <f t="shared" si="658"/>
        <v>172026.51229764</v>
      </c>
      <c r="CT59" s="53">
        <f>+BZ59*ED59</f>
        <v>50752.902199999997</v>
      </c>
      <c r="CU59" s="51">
        <f t="shared" si="659"/>
        <v>167778.94409275998</v>
      </c>
      <c r="CV59" s="53">
        <f>+BZ59*EE59</f>
        <v>49468.018599999996</v>
      </c>
      <c r="CW59" s="51">
        <f t="shared" si="660"/>
        <v>163531.37588787999</v>
      </c>
      <c r="CX59" s="53">
        <f>+BZ59*EF59</f>
        <v>48183.134999999995</v>
      </c>
      <c r="CY59" s="51">
        <f t="shared" si="661"/>
        <v>159283.80768299999</v>
      </c>
      <c r="CZ59" s="48">
        <f>+BZ59*EG59</f>
        <v>46898.251399999994</v>
      </c>
      <c r="DA59" s="51">
        <f t="shared" si="662"/>
        <v>155036.23947811997</v>
      </c>
      <c r="DB59" s="53">
        <f>+BZ59*EH59</f>
        <v>45613.367799999993</v>
      </c>
      <c r="DC59" s="51">
        <f t="shared" si="663"/>
        <v>150788.67127323998</v>
      </c>
      <c r="DD59" s="53">
        <f>+BZ59*EI59</f>
        <v>44328.484199999992</v>
      </c>
      <c r="DE59" s="51">
        <f t="shared" si="664"/>
        <v>146541.10306835998</v>
      </c>
      <c r="DF59" s="53">
        <f>+BZ59*EJ59</f>
        <v>43043.600599999991</v>
      </c>
      <c r="DG59" s="51">
        <f t="shared" si="665"/>
        <v>142293.53486347996</v>
      </c>
      <c r="DH59" s="53">
        <f>+BZ59*EK59</f>
        <v>41758.71699999999</v>
      </c>
      <c r="DI59" s="51">
        <f t="shared" si="666"/>
        <v>138045.96665859997</v>
      </c>
      <c r="DJ59" s="48">
        <f>+BZ59*EL59</f>
        <v>40473.833399999989</v>
      </c>
      <c r="DK59" s="51">
        <f t="shared" si="667"/>
        <v>133798.39845371997</v>
      </c>
      <c r="DL59" s="53">
        <f>+BZ59*EM59</f>
        <v>39188.949799999988</v>
      </c>
      <c r="DM59" s="51">
        <f t="shared" si="668"/>
        <v>129550.83024883996</v>
      </c>
      <c r="DN59" s="53">
        <f>+BZ59*EN59</f>
        <v>37904.066199999987</v>
      </c>
      <c r="DO59" s="51">
        <f t="shared" si="669"/>
        <v>125303.26204395996</v>
      </c>
      <c r="DP59" s="48">
        <f>+BZ59*EO59</f>
        <v>36619.182599999986</v>
      </c>
      <c r="DQ59" s="51">
        <f t="shared" si="670"/>
        <v>121055.69383907995</v>
      </c>
      <c r="DT59" s="48">
        <v>1</v>
      </c>
      <c r="DU59" s="48">
        <v>0.97</v>
      </c>
      <c r="DV59" s="48">
        <v>0.95</v>
      </c>
      <c r="DW59" s="48">
        <v>0.93</v>
      </c>
      <c r="DX59" s="48">
        <f t="shared" ref="DX59:EO59" si="704">+DW59-0.02</f>
        <v>0.91</v>
      </c>
      <c r="DY59" s="48">
        <f t="shared" si="704"/>
        <v>0.89</v>
      </c>
      <c r="DZ59" s="48">
        <f t="shared" si="704"/>
        <v>0.87</v>
      </c>
      <c r="EA59" s="48">
        <f t="shared" si="704"/>
        <v>0.85</v>
      </c>
      <c r="EB59" s="48">
        <f t="shared" si="704"/>
        <v>0.83</v>
      </c>
      <c r="EC59" s="48">
        <f t="shared" si="704"/>
        <v>0.80999999999999994</v>
      </c>
      <c r="ED59" s="48">
        <f t="shared" si="704"/>
        <v>0.78999999999999992</v>
      </c>
      <c r="EE59" s="48">
        <f t="shared" si="704"/>
        <v>0.76999999999999991</v>
      </c>
      <c r="EF59" s="48">
        <f t="shared" si="704"/>
        <v>0.74999999999999989</v>
      </c>
      <c r="EG59" s="48">
        <f t="shared" si="704"/>
        <v>0.72999999999999987</v>
      </c>
      <c r="EH59" s="48">
        <f t="shared" si="704"/>
        <v>0.70999999999999985</v>
      </c>
      <c r="EI59" s="48">
        <f t="shared" si="704"/>
        <v>0.68999999999999984</v>
      </c>
      <c r="EJ59" s="48">
        <f t="shared" si="704"/>
        <v>0.66999999999999982</v>
      </c>
      <c r="EK59" s="48">
        <f t="shared" si="704"/>
        <v>0.6499999999999998</v>
      </c>
      <c r="EL59" s="48">
        <f t="shared" si="704"/>
        <v>0.62999999999999978</v>
      </c>
      <c r="EM59" s="48">
        <f t="shared" si="704"/>
        <v>0.60999999999999976</v>
      </c>
      <c r="EN59" s="48">
        <f t="shared" si="704"/>
        <v>0.58999999999999975</v>
      </c>
      <c r="EO59" s="48">
        <f t="shared" si="704"/>
        <v>0.56999999999999973</v>
      </c>
      <c r="EQ59" s="48">
        <f t="shared" si="188"/>
        <v>58462.203800000003</v>
      </c>
      <c r="ER59" s="48">
        <f t="shared" si="116"/>
        <v>58462.203800000003</v>
      </c>
      <c r="ES59" s="51">
        <f t="shared" ref="ES59" si="705">+ER59*3.3058</f>
        <v>193264.35332204003</v>
      </c>
      <c r="ET59" s="48">
        <f t="shared" si="673"/>
        <v>56708.337685999999</v>
      </c>
      <c r="EU59" s="51">
        <f t="shared" si="674"/>
        <v>187466.4227223788</v>
      </c>
      <c r="EV59" s="48">
        <f t="shared" si="675"/>
        <v>55539.093610000004</v>
      </c>
      <c r="EW59" s="51">
        <f t="shared" si="676"/>
        <v>183601.13565593801</v>
      </c>
      <c r="EX59" s="48">
        <f>+ER59*GO59</f>
        <v>54369.849534000008</v>
      </c>
      <c r="EY59" s="51">
        <f t="shared" si="677"/>
        <v>179735.84858949724</v>
      </c>
      <c r="EZ59" s="52">
        <f>+ER59*GP59</f>
        <v>53200.605458000005</v>
      </c>
      <c r="FA59" s="51">
        <f t="shared" si="678"/>
        <v>175870.56152305641</v>
      </c>
      <c r="FB59" s="48">
        <f>+ER59*GQ59</f>
        <v>52031.361382000003</v>
      </c>
      <c r="FC59" s="51">
        <f t="shared" si="679"/>
        <v>172005.27445661562</v>
      </c>
      <c r="FD59" s="52">
        <f>+ER59*GR59</f>
        <v>50862.117306</v>
      </c>
      <c r="FE59" s="51">
        <f t="shared" si="680"/>
        <v>168139.98739017479</v>
      </c>
      <c r="FF59" s="53">
        <f>+ER59*GS59</f>
        <v>49692.873230000005</v>
      </c>
      <c r="FG59" s="51">
        <f t="shared" si="681"/>
        <v>164274.70032373403</v>
      </c>
      <c r="FH59" s="52">
        <f>+ER59*GT59</f>
        <v>48523.629154000002</v>
      </c>
      <c r="FI59" s="51">
        <f t="shared" si="682"/>
        <v>160409.4132572932</v>
      </c>
      <c r="FJ59" s="48">
        <f>+ER59*GU59</f>
        <v>47354.385077999999</v>
      </c>
      <c r="FK59" s="51">
        <f t="shared" si="683"/>
        <v>156544.1261908524</v>
      </c>
      <c r="FL59" s="53">
        <f>+ER59*GV59</f>
        <v>46185.141001999997</v>
      </c>
      <c r="FM59" s="51">
        <f t="shared" si="684"/>
        <v>152678.83912441161</v>
      </c>
      <c r="FN59" s="53">
        <f>+ER59*GW59</f>
        <v>45015.896925999994</v>
      </c>
      <c r="FO59" s="51">
        <f t="shared" si="685"/>
        <v>148813.55205797078</v>
      </c>
      <c r="FP59" s="53">
        <f>+ER59*GX59</f>
        <v>43846.652849999999</v>
      </c>
      <c r="FQ59" s="51">
        <f t="shared" si="686"/>
        <v>144948.26499152998</v>
      </c>
      <c r="FR59" s="48">
        <f>+ER59*GY59</f>
        <v>42677.408773999996</v>
      </c>
      <c r="FS59" s="51">
        <f t="shared" si="687"/>
        <v>141082.97792508919</v>
      </c>
      <c r="FT59" s="53">
        <f>+ER59*GZ59</f>
        <v>41508.164697999993</v>
      </c>
      <c r="FU59" s="51">
        <f t="shared" si="688"/>
        <v>137217.69085864839</v>
      </c>
      <c r="FV59" s="53">
        <f>+ER59*HA59</f>
        <v>40338.920621999991</v>
      </c>
      <c r="FW59" s="51">
        <f t="shared" si="689"/>
        <v>133352.40379220757</v>
      </c>
      <c r="FX59" s="53">
        <f>+ER59*HB59</f>
        <v>39169.676545999988</v>
      </c>
      <c r="FY59" s="51">
        <f t="shared" si="690"/>
        <v>129487.11672576677</v>
      </c>
      <c r="FZ59" s="53">
        <f>+ER59*HC59</f>
        <v>38000.432469999992</v>
      </c>
      <c r="GA59" s="51">
        <f t="shared" si="691"/>
        <v>125621.82965932597</v>
      </c>
      <c r="GB59" s="48">
        <f>+ER59*HD59</f>
        <v>36831.18839399999</v>
      </c>
      <c r="GC59" s="51">
        <f t="shared" si="692"/>
        <v>121756.54259288516</v>
      </c>
      <c r="GD59" s="53">
        <f>+ER59*HE59</f>
        <v>35661.944317999987</v>
      </c>
      <c r="GE59" s="51">
        <f t="shared" si="693"/>
        <v>117891.25552644437</v>
      </c>
      <c r="GF59" s="53">
        <f>+ER59*HF59</f>
        <v>34492.700241999984</v>
      </c>
      <c r="GG59" s="51">
        <f t="shared" si="694"/>
        <v>114025.96846000355</v>
      </c>
      <c r="GH59" s="48">
        <f>+ER59*HG59</f>
        <v>33323.456165999989</v>
      </c>
      <c r="GI59" s="51">
        <f t="shared" si="695"/>
        <v>110160.68139356277</v>
      </c>
      <c r="GJ59" s="48"/>
      <c r="GK59" s="48"/>
      <c r="GL59" s="48">
        <v>1</v>
      </c>
      <c r="GM59" s="48">
        <v>0.97</v>
      </c>
      <c r="GN59" s="48">
        <v>0.95</v>
      </c>
      <c r="GO59" s="48">
        <v>0.93</v>
      </c>
      <c r="GP59" s="48">
        <f t="shared" ref="GP59:HG59" si="706">+GO59-0.02</f>
        <v>0.91</v>
      </c>
      <c r="GQ59" s="48">
        <f t="shared" si="706"/>
        <v>0.89</v>
      </c>
      <c r="GR59" s="48">
        <f t="shared" si="706"/>
        <v>0.87</v>
      </c>
      <c r="GS59" s="48">
        <f t="shared" si="706"/>
        <v>0.85</v>
      </c>
      <c r="GT59" s="48">
        <f t="shared" si="706"/>
        <v>0.83</v>
      </c>
      <c r="GU59" s="48">
        <f t="shared" si="706"/>
        <v>0.80999999999999994</v>
      </c>
      <c r="GV59" s="48">
        <f t="shared" si="706"/>
        <v>0.78999999999999992</v>
      </c>
      <c r="GW59" s="48">
        <f t="shared" si="706"/>
        <v>0.76999999999999991</v>
      </c>
      <c r="GX59" s="48">
        <f t="shared" si="706"/>
        <v>0.74999999999999989</v>
      </c>
      <c r="GY59" s="48">
        <f t="shared" si="706"/>
        <v>0.72999999999999987</v>
      </c>
      <c r="GZ59" s="48">
        <f t="shared" si="706"/>
        <v>0.70999999999999985</v>
      </c>
      <c r="HA59" s="48">
        <f t="shared" si="706"/>
        <v>0.68999999999999984</v>
      </c>
      <c r="HB59" s="48">
        <f t="shared" si="706"/>
        <v>0.66999999999999982</v>
      </c>
      <c r="HC59" s="48">
        <f t="shared" si="706"/>
        <v>0.6499999999999998</v>
      </c>
      <c r="HD59" s="48">
        <f t="shared" si="706"/>
        <v>0.62999999999999978</v>
      </c>
      <c r="HE59" s="48">
        <f t="shared" si="706"/>
        <v>0.60999999999999976</v>
      </c>
      <c r="HF59" s="48">
        <f t="shared" si="706"/>
        <v>0.58999999999999975</v>
      </c>
      <c r="HG59" s="48">
        <f t="shared" si="706"/>
        <v>0.56999999999999973</v>
      </c>
    </row>
    <row r="60" spans="1:215" x14ac:dyDescent="0.3">
      <c r="A60" s="2">
        <v>4</v>
      </c>
      <c r="C60" s="27" t="s">
        <v>47</v>
      </c>
      <c r="D60" s="40">
        <f>SUM(D57:D59)</f>
        <v>64180</v>
      </c>
      <c r="E60" s="75">
        <f>SUM(E57:E59)</f>
        <v>212160</v>
      </c>
      <c r="G60" s="48">
        <f t="shared" si="61"/>
        <v>70598</v>
      </c>
      <c r="H60" s="48">
        <f t="shared" si="62"/>
        <v>70598</v>
      </c>
      <c r="I60" s="51">
        <f t="shared" si="63"/>
        <v>233382.86840000001</v>
      </c>
      <c r="J60" s="48">
        <f t="shared" si="623"/>
        <v>68480.06</v>
      </c>
      <c r="K60" s="51">
        <f t="shared" si="624"/>
        <v>226381.38234799998</v>
      </c>
      <c r="L60" s="48">
        <f t="shared" si="625"/>
        <v>67068.099999999991</v>
      </c>
      <c r="M60" s="51">
        <f t="shared" si="626"/>
        <v>221713.72497999997</v>
      </c>
      <c r="N60" s="48">
        <f>+H60*BE60</f>
        <v>65656.14</v>
      </c>
      <c r="O60" s="51">
        <f t="shared" si="627"/>
        <v>217046.06761200001</v>
      </c>
      <c r="P60" s="52">
        <f>+H60*BF60</f>
        <v>64244.18</v>
      </c>
      <c r="Q60" s="51">
        <f t="shared" si="628"/>
        <v>212378.410244</v>
      </c>
      <c r="R60" s="48">
        <f>+H60*BG60</f>
        <v>62832.22</v>
      </c>
      <c r="S60" s="51">
        <f t="shared" si="629"/>
        <v>207710.75287600001</v>
      </c>
      <c r="T60" s="52">
        <f>+H60*BH60</f>
        <v>61420.26</v>
      </c>
      <c r="U60" s="51">
        <f t="shared" si="630"/>
        <v>203043.095508</v>
      </c>
      <c r="V60" s="53">
        <f>+H60*BI60</f>
        <v>60008.299999999996</v>
      </c>
      <c r="W60" s="51">
        <f t="shared" si="631"/>
        <v>198375.43813999998</v>
      </c>
      <c r="X60" s="52">
        <f>+H60*BJ60</f>
        <v>58596.34</v>
      </c>
      <c r="Y60" s="51">
        <f t="shared" si="632"/>
        <v>193707.780772</v>
      </c>
      <c r="Z60" s="48">
        <f>+H60*BK60</f>
        <v>57184.38</v>
      </c>
      <c r="AA60" s="51">
        <f t="shared" si="633"/>
        <v>189040.12340399998</v>
      </c>
      <c r="AB60" s="53">
        <f>+H60*BL60</f>
        <v>55772.42</v>
      </c>
      <c r="AC60" s="51">
        <f t="shared" si="634"/>
        <v>184372.466036</v>
      </c>
      <c r="AD60" s="53">
        <f>+H60*BM60</f>
        <v>54360.459999999992</v>
      </c>
      <c r="AE60" s="51">
        <f t="shared" si="635"/>
        <v>179704.80866799998</v>
      </c>
      <c r="AF60" s="53">
        <f>+H60*BN60</f>
        <v>52948.499999999993</v>
      </c>
      <c r="AG60" s="51">
        <f t="shared" si="636"/>
        <v>175037.15129999997</v>
      </c>
      <c r="AH60" s="48">
        <f>+H60*BO60</f>
        <v>51536.539999999994</v>
      </c>
      <c r="AI60" s="51">
        <f t="shared" si="637"/>
        <v>170369.49393199998</v>
      </c>
      <c r="AJ60" s="53">
        <f>+H60*BP60</f>
        <v>50124.579999999987</v>
      </c>
      <c r="AK60" s="51">
        <f t="shared" si="638"/>
        <v>165701.83656399997</v>
      </c>
      <c r="AL60" s="53">
        <f>+H60*BQ60</f>
        <v>48712.619999999988</v>
      </c>
      <c r="AM60" s="51">
        <f t="shared" si="639"/>
        <v>161034.17919599995</v>
      </c>
      <c r="AN60" s="53">
        <f>+H60*BR60</f>
        <v>47300.659999999989</v>
      </c>
      <c r="AO60" s="51">
        <f t="shared" si="640"/>
        <v>156366.52182799997</v>
      </c>
      <c r="AP60" s="53">
        <f>+H60*BS60</f>
        <v>45888.699999999983</v>
      </c>
      <c r="AQ60" s="51">
        <f t="shared" si="641"/>
        <v>151698.86445999995</v>
      </c>
      <c r="AR60" s="48">
        <f>+H60*BT60</f>
        <v>44476.739999999983</v>
      </c>
      <c r="AS60" s="51">
        <f t="shared" si="642"/>
        <v>147031.20709199994</v>
      </c>
      <c r="AT60" s="53">
        <f>+H60*BU60</f>
        <v>43064.779999999984</v>
      </c>
      <c r="AU60" s="51">
        <f t="shared" si="643"/>
        <v>142363.54972399995</v>
      </c>
      <c r="AV60" s="53">
        <f>+H60*BV60</f>
        <v>41652.819999999985</v>
      </c>
      <c r="AW60" s="51">
        <f t="shared" si="644"/>
        <v>137695.89235599997</v>
      </c>
      <c r="AX60" s="48">
        <f>+H60*BW60</f>
        <v>40240.859999999979</v>
      </c>
      <c r="AY60" s="51">
        <f t="shared" si="645"/>
        <v>133028.23498799992</v>
      </c>
      <c r="BB60" s="48">
        <v>1</v>
      </c>
      <c r="BC60" s="48">
        <v>0.97</v>
      </c>
      <c r="BD60" s="48">
        <v>0.95</v>
      </c>
      <c r="BE60" s="48">
        <v>0.93</v>
      </c>
      <c r="BF60" s="48">
        <f t="shared" ref="BF60:BW60" si="707">+BE60-0.02</f>
        <v>0.91</v>
      </c>
      <c r="BG60" s="48">
        <f t="shared" si="707"/>
        <v>0.89</v>
      </c>
      <c r="BH60" s="48">
        <f t="shared" si="707"/>
        <v>0.87</v>
      </c>
      <c r="BI60" s="48">
        <f t="shared" si="707"/>
        <v>0.85</v>
      </c>
      <c r="BJ60" s="48">
        <f t="shared" si="707"/>
        <v>0.83</v>
      </c>
      <c r="BK60" s="48">
        <f t="shared" si="707"/>
        <v>0.80999999999999994</v>
      </c>
      <c r="BL60" s="48">
        <f t="shared" si="707"/>
        <v>0.78999999999999992</v>
      </c>
      <c r="BM60" s="48">
        <f t="shared" si="707"/>
        <v>0.76999999999999991</v>
      </c>
      <c r="BN60" s="48">
        <f t="shared" si="707"/>
        <v>0.74999999999999989</v>
      </c>
      <c r="BO60" s="48">
        <f t="shared" si="707"/>
        <v>0.72999999999999987</v>
      </c>
      <c r="BP60" s="48">
        <f t="shared" si="707"/>
        <v>0.70999999999999985</v>
      </c>
      <c r="BQ60" s="48">
        <f t="shared" si="707"/>
        <v>0.68999999999999984</v>
      </c>
      <c r="BR60" s="48">
        <f t="shared" si="707"/>
        <v>0.66999999999999982</v>
      </c>
      <c r="BS60" s="48">
        <f t="shared" si="707"/>
        <v>0.6499999999999998</v>
      </c>
      <c r="BT60" s="48">
        <f t="shared" si="707"/>
        <v>0.62999999999999978</v>
      </c>
      <c r="BU60" s="48">
        <f t="shared" si="707"/>
        <v>0.60999999999999976</v>
      </c>
      <c r="BV60" s="48">
        <f t="shared" si="707"/>
        <v>0.58999999999999975</v>
      </c>
      <c r="BW60" s="48">
        <f t="shared" si="707"/>
        <v>0.56999999999999973</v>
      </c>
      <c r="BY60" s="48">
        <f t="shared" si="88"/>
        <v>64244.18</v>
      </c>
      <c r="BZ60" s="48">
        <f t="shared" si="89"/>
        <v>64244.18</v>
      </c>
      <c r="CA60" s="51">
        <f t="shared" ref="CA60" si="708">+BZ60*3.3058</f>
        <v>212378.410244</v>
      </c>
      <c r="CB60" s="48">
        <f t="shared" si="648"/>
        <v>62316.854599999999</v>
      </c>
      <c r="CC60" s="51">
        <f t="shared" si="649"/>
        <v>206007.05793668001</v>
      </c>
      <c r="CD60" s="48">
        <f t="shared" si="650"/>
        <v>61031.970999999998</v>
      </c>
      <c r="CE60" s="51">
        <f t="shared" si="651"/>
        <v>201759.48973179999</v>
      </c>
      <c r="CF60" s="48">
        <f>+BZ60*DW60</f>
        <v>59747.087400000004</v>
      </c>
      <c r="CG60" s="51">
        <f t="shared" si="652"/>
        <v>197511.92152692002</v>
      </c>
      <c r="CH60" s="52">
        <f>+BZ60*DX60</f>
        <v>58462.203800000003</v>
      </c>
      <c r="CI60" s="51">
        <f t="shared" si="653"/>
        <v>193264.35332204003</v>
      </c>
      <c r="CJ60" s="48">
        <f>+BZ60*DY60</f>
        <v>57177.320200000002</v>
      </c>
      <c r="CK60" s="51">
        <f t="shared" si="654"/>
        <v>189016.78511716001</v>
      </c>
      <c r="CL60" s="52">
        <f>+BZ60*DZ60</f>
        <v>55892.436600000001</v>
      </c>
      <c r="CM60" s="51">
        <f t="shared" si="655"/>
        <v>184769.21691228001</v>
      </c>
      <c r="CN60" s="53">
        <f>+BZ60*EA60</f>
        <v>54607.553</v>
      </c>
      <c r="CO60" s="51">
        <f t="shared" si="656"/>
        <v>180521.64870740002</v>
      </c>
      <c r="CP60" s="52">
        <f>+BZ60*EB60</f>
        <v>53322.669399999999</v>
      </c>
      <c r="CQ60" s="51">
        <f t="shared" si="657"/>
        <v>176274.08050252</v>
      </c>
      <c r="CR60" s="48">
        <f>+BZ60*EC60</f>
        <v>52037.785799999998</v>
      </c>
      <c r="CS60" s="51">
        <f t="shared" si="658"/>
        <v>172026.51229764</v>
      </c>
      <c r="CT60" s="53">
        <f>+BZ60*ED60</f>
        <v>50752.902199999997</v>
      </c>
      <c r="CU60" s="51">
        <f t="shared" si="659"/>
        <v>167778.94409275998</v>
      </c>
      <c r="CV60" s="53">
        <f>+BZ60*EE60</f>
        <v>49468.018599999996</v>
      </c>
      <c r="CW60" s="51">
        <f t="shared" si="660"/>
        <v>163531.37588787999</v>
      </c>
      <c r="CX60" s="53">
        <f>+BZ60*EF60</f>
        <v>48183.134999999995</v>
      </c>
      <c r="CY60" s="51">
        <f t="shared" si="661"/>
        <v>159283.80768299999</v>
      </c>
      <c r="CZ60" s="48">
        <f>+BZ60*EG60</f>
        <v>46898.251399999994</v>
      </c>
      <c r="DA60" s="51">
        <f t="shared" si="662"/>
        <v>155036.23947811997</v>
      </c>
      <c r="DB60" s="53">
        <f>+BZ60*EH60</f>
        <v>45613.367799999993</v>
      </c>
      <c r="DC60" s="51">
        <f t="shared" si="663"/>
        <v>150788.67127323998</v>
      </c>
      <c r="DD60" s="53">
        <f>+BZ60*EI60</f>
        <v>44328.484199999992</v>
      </c>
      <c r="DE60" s="51">
        <f t="shared" si="664"/>
        <v>146541.10306835998</v>
      </c>
      <c r="DF60" s="53">
        <f>+BZ60*EJ60</f>
        <v>43043.600599999991</v>
      </c>
      <c r="DG60" s="51">
        <f t="shared" si="665"/>
        <v>142293.53486347996</v>
      </c>
      <c r="DH60" s="53">
        <f>+BZ60*EK60</f>
        <v>41758.71699999999</v>
      </c>
      <c r="DI60" s="51">
        <f t="shared" si="666"/>
        <v>138045.96665859997</v>
      </c>
      <c r="DJ60" s="48">
        <f>+BZ60*EL60</f>
        <v>40473.833399999989</v>
      </c>
      <c r="DK60" s="51">
        <f t="shared" si="667"/>
        <v>133798.39845371997</v>
      </c>
      <c r="DL60" s="53">
        <f>+BZ60*EM60</f>
        <v>39188.949799999988</v>
      </c>
      <c r="DM60" s="51">
        <f t="shared" si="668"/>
        <v>129550.83024883996</v>
      </c>
      <c r="DN60" s="53">
        <f>+BZ60*EN60</f>
        <v>37904.066199999987</v>
      </c>
      <c r="DO60" s="51">
        <f t="shared" si="669"/>
        <v>125303.26204395996</v>
      </c>
      <c r="DP60" s="48">
        <f>+BZ60*EO60</f>
        <v>36619.182599999986</v>
      </c>
      <c r="DQ60" s="51">
        <f t="shared" si="670"/>
        <v>121055.69383907995</v>
      </c>
      <c r="DT60" s="48">
        <v>1</v>
      </c>
      <c r="DU60" s="48">
        <v>0.97</v>
      </c>
      <c r="DV60" s="48">
        <v>0.95</v>
      </c>
      <c r="DW60" s="48">
        <v>0.93</v>
      </c>
      <c r="DX60" s="48">
        <f t="shared" ref="DX60:EO60" si="709">+DW60-0.02</f>
        <v>0.91</v>
      </c>
      <c r="DY60" s="48">
        <f t="shared" si="709"/>
        <v>0.89</v>
      </c>
      <c r="DZ60" s="48">
        <f t="shared" si="709"/>
        <v>0.87</v>
      </c>
      <c r="EA60" s="48">
        <f t="shared" si="709"/>
        <v>0.85</v>
      </c>
      <c r="EB60" s="48">
        <f t="shared" si="709"/>
        <v>0.83</v>
      </c>
      <c r="EC60" s="48">
        <f t="shared" si="709"/>
        <v>0.80999999999999994</v>
      </c>
      <c r="ED60" s="48">
        <f t="shared" si="709"/>
        <v>0.78999999999999992</v>
      </c>
      <c r="EE60" s="48">
        <f t="shared" si="709"/>
        <v>0.76999999999999991</v>
      </c>
      <c r="EF60" s="48">
        <f t="shared" si="709"/>
        <v>0.74999999999999989</v>
      </c>
      <c r="EG60" s="48">
        <f t="shared" si="709"/>
        <v>0.72999999999999987</v>
      </c>
      <c r="EH60" s="48">
        <f t="shared" si="709"/>
        <v>0.70999999999999985</v>
      </c>
      <c r="EI60" s="48">
        <f t="shared" si="709"/>
        <v>0.68999999999999984</v>
      </c>
      <c r="EJ60" s="48">
        <f t="shared" si="709"/>
        <v>0.66999999999999982</v>
      </c>
      <c r="EK60" s="48">
        <f t="shared" si="709"/>
        <v>0.6499999999999998</v>
      </c>
      <c r="EL60" s="48">
        <f t="shared" si="709"/>
        <v>0.62999999999999978</v>
      </c>
      <c r="EM60" s="48">
        <f t="shared" si="709"/>
        <v>0.60999999999999976</v>
      </c>
      <c r="EN60" s="48">
        <f t="shared" si="709"/>
        <v>0.58999999999999975</v>
      </c>
      <c r="EO60" s="48">
        <f t="shared" si="709"/>
        <v>0.56999999999999973</v>
      </c>
      <c r="EQ60" s="48">
        <f t="shared" si="188"/>
        <v>58462.203800000003</v>
      </c>
      <c r="ER60" s="48">
        <f t="shared" si="116"/>
        <v>58462.203800000003</v>
      </c>
      <c r="ES60" s="51">
        <f t="shared" ref="ES60" si="710">+ER60*3.3058</f>
        <v>193264.35332204003</v>
      </c>
      <c r="ET60" s="48">
        <f t="shared" si="673"/>
        <v>56708.337685999999</v>
      </c>
      <c r="EU60" s="51">
        <f t="shared" si="674"/>
        <v>187466.4227223788</v>
      </c>
      <c r="EV60" s="48">
        <f t="shared" si="675"/>
        <v>55539.093610000004</v>
      </c>
      <c r="EW60" s="51">
        <f t="shared" si="676"/>
        <v>183601.13565593801</v>
      </c>
      <c r="EX60" s="48">
        <f>+ER60*GO60</f>
        <v>54369.849534000008</v>
      </c>
      <c r="EY60" s="51">
        <f t="shared" si="677"/>
        <v>179735.84858949724</v>
      </c>
      <c r="EZ60" s="52">
        <f>+ER60*GP60</f>
        <v>53200.605458000005</v>
      </c>
      <c r="FA60" s="51">
        <f t="shared" si="678"/>
        <v>175870.56152305641</v>
      </c>
      <c r="FB60" s="48">
        <f>+ER60*GQ60</f>
        <v>52031.361382000003</v>
      </c>
      <c r="FC60" s="51">
        <f t="shared" si="679"/>
        <v>172005.27445661562</v>
      </c>
      <c r="FD60" s="52">
        <f>+ER60*GR60</f>
        <v>50862.117306</v>
      </c>
      <c r="FE60" s="51">
        <f t="shared" si="680"/>
        <v>168139.98739017479</v>
      </c>
      <c r="FF60" s="53">
        <f>+ER60*GS60</f>
        <v>49692.873230000005</v>
      </c>
      <c r="FG60" s="51">
        <f t="shared" si="681"/>
        <v>164274.70032373403</v>
      </c>
      <c r="FH60" s="52">
        <f>+ER60*GT60</f>
        <v>48523.629154000002</v>
      </c>
      <c r="FI60" s="51">
        <f t="shared" si="682"/>
        <v>160409.4132572932</v>
      </c>
      <c r="FJ60" s="48">
        <f>+ER60*GU60</f>
        <v>47354.385077999999</v>
      </c>
      <c r="FK60" s="51">
        <f t="shared" si="683"/>
        <v>156544.1261908524</v>
      </c>
      <c r="FL60" s="53">
        <f>+ER60*GV60</f>
        <v>46185.141001999997</v>
      </c>
      <c r="FM60" s="51">
        <f t="shared" si="684"/>
        <v>152678.83912441161</v>
      </c>
      <c r="FN60" s="53">
        <f>+ER60*GW60</f>
        <v>45015.896925999994</v>
      </c>
      <c r="FO60" s="51">
        <f t="shared" si="685"/>
        <v>148813.55205797078</v>
      </c>
      <c r="FP60" s="53">
        <f>+ER60*GX60</f>
        <v>43846.652849999999</v>
      </c>
      <c r="FQ60" s="51">
        <f t="shared" si="686"/>
        <v>144948.26499152998</v>
      </c>
      <c r="FR60" s="48">
        <f>+ER60*GY60</f>
        <v>42677.408773999996</v>
      </c>
      <c r="FS60" s="51">
        <f t="shared" si="687"/>
        <v>141082.97792508919</v>
      </c>
      <c r="FT60" s="53">
        <f>+ER60*GZ60</f>
        <v>41508.164697999993</v>
      </c>
      <c r="FU60" s="51">
        <f t="shared" si="688"/>
        <v>137217.69085864839</v>
      </c>
      <c r="FV60" s="53">
        <f>+ER60*HA60</f>
        <v>40338.920621999991</v>
      </c>
      <c r="FW60" s="51">
        <f t="shared" si="689"/>
        <v>133352.40379220757</v>
      </c>
      <c r="FX60" s="53">
        <f>+ER60*HB60</f>
        <v>39169.676545999988</v>
      </c>
      <c r="FY60" s="51">
        <f t="shared" si="690"/>
        <v>129487.11672576677</v>
      </c>
      <c r="FZ60" s="53">
        <f>+ER60*HC60</f>
        <v>38000.432469999992</v>
      </c>
      <c r="GA60" s="51">
        <f t="shared" si="691"/>
        <v>125621.82965932597</v>
      </c>
      <c r="GB60" s="48">
        <f>+ER60*HD60</f>
        <v>36831.18839399999</v>
      </c>
      <c r="GC60" s="51">
        <f t="shared" si="692"/>
        <v>121756.54259288516</v>
      </c>
      <c r="GD60" s="53">
        <f>+ER60*HE60</f>
        <v>35661.944317999987</v>
      </c>
      <c r="GE60" s="51">
        <f t="shared" si="693"/>
        <v>117891.25552644437</v>
      </c>
      <c r="GF60" s="53">
        <f>+ER60*HF60</f>
        <v>34492.700241999984</v>
      </c>
      <c r="GG60" s="51">
        <f t="shared" si="694"/>
        <v>114025.96846000355</v>
      </c>
      <c r="GH60" s="48">
        <f>+ER60*HG60</f>
        <v>33323.456165999989</v>
      </c>
      <c r="GI60" s="51">
        <f t="shared" si="695"/>
        <v>110160.68139356277</v>
      </c>
      <c r="GJ60" s="48"/>
      <c r="GK60" s="48"/>
      <c r="GL60" s="48">
        <v>1</v>
      </c>
      <c r="GM60" s="48">
        <v>0.97</v>
      </c>
      <c r="GN60" s="48">
        <v>0.95</v>
      </c>
      <c r="GO60" s="48">
        <v>0.93</v>
      </c>
      <c r="GP60" s="48">
        <f t="shared" ref="GP60:HG60" si="711">+GO60-0.02</f>
        <v>0.91</v>
      </c>
      <c r="GQ60" s="48">
        <f t="shared" si="711"/>
        <v>0.89</v>
      </c>
      <c r="GR60" s="48">
        <f t="shared" si="711"/>
        <v>0.87</v>
      </c>
      <c r="GS60" s="48">
        <f t="shared" si="711"/>
        <v>0.85</v>
      </c>
      <c r="GT60" s="48">
        <f t="shared" si="711"/>
        <v>0.83</v>
      </c>
      <c r="GU60" s="48">
        <f t="shared" si="711"/>
        <v>0.80999999999999994</v>
      </c>
      <c r="GV60" s="48">
        <f t="shared" si="711"/>
        <v>0.78999999999999992</v>
      </c>
      <c r="GW60" s="48">
        <f t="shared" si="711"/>
        <v>0.76999999999999991</v>
      </c>
      <c r="GX60" s="48">
        <f t="shared" si="711"/>
        <v>0.74999999999999989</v>
      </c>
      <c r="GY60" s="48">
        <f t="shared" si="711"/>
        <v>0.72999999999999987</v>
      </c>
      <c r="GZ60" s="48">
        <f t="shared" si="711"/>
        <v>0.70999999999999985</v>
      </c>
      <c r="HA60" s="48">
        <f t="shared" si="711"/>
        <v>0.68999999999999984</v>
      </c>
      <c r="HB60" s="48">
        <f t="shared" si="711"/>
        <v>0.66999999999999982</v>
      </c>
      <c r="HC60" s="48">
        <f t="shared" si="711"/>
        <v>0.6499999999999998</v>
      </c>
      <c r="HD60" s="48">
        <f t="shared" si="711"/>
        <v>0.62999999999999978</v>
      </c>
      <c r="HE60" s="48">
        <f t="shared" si="711"/>
        <v>0.60999999999999976</v>
      </c>
      <c r="HF60" s="48">
        <f t="shared" si="711"/>
        <v>0.58999999999999975</v>
      </c>
      <c r="HG60" s="48">
        <f t="shared" si="711"/>
        <v>0.56999999999999973</v>
      </c>
    </row>
    <row r="61" spans="1:215" s="54" customFormat="1" x14ac:dyDescent="0.3">
      <c r="C61" s="55"/>
      <c r="D61" s="55"/>
      <c r="E61" s="55"/>
      <c r="G61" s="56"/>
      <c r="H61" s="56"/>
      <c r="I61" s="56"/>
      <c r="J61" s="56"/>
      <c r="K61" s="56"/>
      <c r="L61" s="56"/>
      <c r="M61" s="56"/>
      <c r="N61" s="56"/>
      <c r="O61" s="56"/>
      <c r="P61" s="57"/>
      <c r="Q61" s="56"/>
      <c r="R61" s="56"/>
      <c r="S61" s="56"/>
      <c r="T61" s="57"/>
      <c r="U61" s="56"/>
      <c r="V61" s="58"/>
      <c r="W61" s="56"/>
      <c r="X61" s="57"/>
      <c r="Y61" s="56"/>
      <c r="Z61" s="56"/>
      <c r="AA61" s="56"/>
      <c r="AB61" s="58"/>
      <c r="AC61" s="56"/>
      <c r="AD61" s="58"/>
      <c r="AE61" s="56"/>
      <c r="AF61" s="58"/>
      <c r="AG61" s="56"/>
      <c r="AH61" s="56"/>
      <c r="AI61" s="56"/>
      <c r="AJ61" s="58"/>
      <c r="AK61" s="56"/>
      <c r="AL61" s="58"/>
      <c r="AM61" s="56"/>
      <c r="AN61" s="58"/>
      <c r="AO61" s="56"/>
      <c r="AP61" s="58"/>
      <c r="AQ61" s="56"/>
      <c r="AR61" s="56"/>
      <c r="AS61" s="56"/>
      <c r="AT61" s="58"/>
      <c r="AU61" s="56"/>
      <c r="AV61" s="58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>
        <f t="shared" si="88"/>
        <v>0</v>
      </c>
      <c r="BZ61" s="56"/>
      <c r="CA61" s="56"/>
      <c r="CB61" s="56"/>
      <c r="CC61" s="56"/>
      <c r="CD61" s="56"/>
      <c r="CE61" s="56"/>
      <c r="CF61" s="56"/>
      <c r="CG61" s="56"/>
      <c r="CH61" s="57"/>
      <c r="CI61" s="56"/>
      <c r="CJ61" s="56"/>
      <c r="CK61" s="56"/>
      <c r="CL61" s="57"/>
      <c r="CM61" s="56"/>
      <c r="CN61" s="58"/>
      <c r="CO61" s="56"/>
      <c r="CP61" s="57"/>
      <c r="CQ61" s="56"/>
      <c r="CR61" s="56"/>
      <c r="CS61" s="56"/>
      <c r="CT61" s="58"/>
      <c r="CU61" s="56"/>
      <c r="CV61" s="58"/>
      <c r="CW61" s="56"/>
      <c r="CX61" s="58"/>
      <c r="CY61" s="56"/>
      <c r="CZ61" s="56"/>
      <c r="DA61" s="56"/>
      <c r="DB61" s="58"/>
      <c r="DC61" s="56"/>
      <c r="DD61" s="58"/>
      <c r="DE61" s="56"/>
      <c r="DF61" s="58"/>
      <c r="DG61" s="56"/>
      <c r="DH61" s="58"/>
      <c r="DI61" s="56"/>
      <c r="DJ61" s="56"/>
      <c r="DK61" s="56"/>
      <c r="DL61" s="58"/>
      <c r="DM61" s="56"/>
      <c r="DN61" s="58"/>
      <c r="DO61" s="56"/>
      <c r="DP61" s="56"/>
      <c r="DQ61" s="56"/>
      <c r="DR61" s="56"/>
      <c r="DS61" s="56"/>
      <c r="DT61" s="56">
        <v>1</v>
      </c>
      <c r="DU61" s="56">
        <v>0.97</v>
      </c>
      <c r="DV61" s="56">
        <v>0.95</v>
      </c>
      <c r="DW61" s="56">
        <v>0.93</v>
      </c>
      <c r="DX61" s="56">
        <f t="shared" ref="DX61:EO61" si="712">+DW61-0.02</f>
        <v>0.91</v>
      </c>
      <c r="DY61" s="56">
        <f t="shared" si="712"/>
        <v>0.89</v>
      </c>
      <c r="DZ61" s="56">
        <f t="shared" si="712"/>
        <v>0.87</v>
      </c>
      <c r="EA61" s="56">
        <f t="shared" si="712"/>
        <v>0.85</v>
      </c>
      <c r="EB61" s="56">
        <f t="shared" si="712"/>
        <v>0.83</v>
      </c>
      <c r="EC61" s="56">
        <f t="shared" si="712"/>
        <v>0.80999999999999994</v>
      </c>
      <c r="ED61" s="56">
        <f t="shared" si="712"/>
        <v>0.78999999999999992</v>
      </c>
      <c r="EE61" s="56">
        <f t="shared" si="712"/>
        <v>0.76999999999999991</v>
      </c>
      <c r="EF61" s="56">
        <f t="shared" si="712"/>
        <v>0.74999999999999989</v>
      </c>
      <c r="EG61" s="56">
        <f t="shared" si="712"/>
        <v>0.72999999999999987</v>
      </c>
      <c r="EH61" s="56">
        <f t="shared" si="712"/>
        <v>0.70999999999999985</v>
      </c>
      <c r="EI61" s="56">
        <f t="shared" si="712"/>
        <v>0.68999999999999984</v>
      </c>
      <c r="EJ61" s="56">
        <f t="shared" si="712"/>
        <v>0.66999999999999982</v>
      </c>
      <c r="EK61" s="56">
        <f t="shared" si="712"/>
        <v>0.6499999999999998</v>
      </c>
      <c r="EL61" s="56">
        <f t="shared" si="712"/>
        <v>0.62999999999999978</v>
      </c>
      <c r="EM61" s="56">
        <f t="shared" si="712"/>
        <v>0.60999999999999976</v>
      </c>
      <c r="EN61" s="56">
        <f t="shared" si="712"/>
        <v>0.58999999999999975</v>
      </c>
      <c r="EO61" s="56">
        <f t="shared" si="712"/>
        <v>0.56999999999999973</v>
      </c>
      <c r="EQ61" s="56">
        <f t="shared" si="188"/>
        <v>0</v>
      </c>
      <c r="ER61" s="56"/>
      <c r="ES61" s="56"/>
      <c r="ET61" s="56"/>
      <c r="EU61" s="56"/>
      <c r="EV61" s="56"/>
      <c r="EW61" s="56"/>
      <c r="EX61" s="56"/>
      <c r="EY61" s="56"/>
      <c r="EZ61" s="57"/>
      <c r="FA61" s="56"/>
      <c r="FB61" s="56"/>
      <c r="FC61" s="56"/>
      <c r="FD61" s="57"/>
      <c r="FE61" s="56"/>
      <c r="FF61" s="58"/>
      <c r="FG61" s="56"/>
      <c r="FH61" s="57"/>
      <c r="FI61" s="56"/>
      <c r="FJ61" s="56"/>
      <c r="FK61" s="56"/>
      <c r="FL61" s="58"/>
      <c r="FM61" s="56"/>
      <c r="FN61" s="58"/>
      <c r="FO61" s="56"/>
      <c r="FP61" s="58"/>
      <c r="FQ61" s="56"/>
      <c r="FR61" s="56"/>
      <c r="FS61" s="56"/>
      <c r="FT61" s="58"/>
      <c r="FU61" s="56"/>
      <c r="FV61" s="58"/>
      <c r="FW61" s="56"/>
      <c r="FX61" s="58"/>
      <c r="FY61" s="56"/>
      <c r="FZ61" s="58"/>
      <c r="GA61" s="56"/>
      <c r="GB61" s="56"/>
      <c r="GC61" s="56"/>
      <c r="GD61" s="58"/>
      <c r="GE61" s="56"/>
      <c r="GF61" s="58"/>
      <c r="GG61" s="56"/>
      <c r="GH61" s="56"/>
      <c r="GI61" s="56"/>
      <c r="GJ61" s="56"/>
      <c r="GK61" s="56"/>
      <c r="GL61" s="56">
        <v>1</v>
      </c>
      <c r="GM61" s="56">
        <v>0.97</v>
      </c>
      <c r="GN61" s="56">
        <v>0.95</v>
      </c>
      <c r="GO61" s="56">
        <v>0.93</v>
      </c>
      <c r="GP61" s="56">
        <f t="shared" ref="GP61:HG61" si="713">+GO61-0.02</f>
        <v>0.91</v>
      </c>
      <c r="GQ61" s="56">
        <f t="shared" si="713"/>
        <v>0.89</v>
      </c>
      <c r="GR61" s="56">
        <f t="shared" si="713"/>
        <v>0.87</v>
      </c>
      <c r="GS61" s="56">
        <f t="shared" si="713"/>
        <v>0.85</v>
      </c>
      <c r="GT61" s="56">
        <f t="shared" si="713"/>
        <v>0.83</v>
      </c>
      <c r="GU61" s="56">
        <f t="shared" si="713"/>
        <v>0.80999999999999994</v>
      </c>
      <c r="GV61" s="56">
        <f t="shared" si="713"/>
        <v>0.78999999999999992</v>
      </c>
      <c r="GW61" s="56">
        <f t="shared" si="713"/>
        <v>0.76999999999999991</v>
      </c>
      <c r="GX61" s="56">
        <f t="shared" si="713"/>
        <v>0.74999999999999989</v>
      </c>
      <c r="GY61" s="56">
        <f t="shared" si="713"/>
        <v>0.72999999999999987</v>
      </c>
      <c r="GZ61" s="56">
        <f t="shared" si="713"/>
        <v>0.70999999999999985</v>
      </c>
      <c r="HA61" s="56">
        <f t="shared" si="713"/>
        <v>0.68999999999999984</v>
      </c>
      <c r="HB61" s="56">
        <f t="shared" si="713"/>
        <v>0.66999999999999982</v>
      </c>
      <c r="HC61" s="56">
        <f t="shared" si="713"/>
        <v>0.6499999999999998</v>
      </c>
      <c r="HD61" s="56">
        <f t="shared" si="713"/>
        <v>0.62999999999999978</v>
      </c>
      <c r="HE61" s="56">
        <f t="shared" si="713"/>
        <v>0.60999999999999976</v>
      </c>
      <c r="HF61" s="56">
        <f t="shared" si="713"/>
        <v>0.58999999999999975</v>
      </c>
      <c r="HG61" s="56">
        <f t="shared" si="713"/>
        <v>0.56999999999999973</v>
      </c>
    </row>
    <row r="62" spans="1:215" s="54" customFormat="1" ht="17.25" thickBot="1" x14ac:dyDescent="0.35">
      <c r="B62" s="54" t="s">
        <v>130</v>
      </c>
      <c r="C62" s="54" t="s">
        <v>131</v>
      </c>
      <c r="D62" s="55" t="s">
        <v>49</v>
      </c>
      <c r="E62" s="55" t="s">
        <v>61</v>
      </c>
      <c r="G62" s="56"/>
      <c r="H62" s="56"/>
      <c r="I62" s="56"/>
      <c r="J62" s="56"/>
      <c r="K62" s="56"/>
      <c r="L62" s="56"/>
      <c r="M62" s="56"/>
      <c r="N62" s="56"/>
      <c r="O62" s="56"/>
      <c r="P62" s="57"/>
      <c r="Q62" s="56"/>
      <c r="R62" s="56"/>
      <c r="S62" s="56"/>
      <c r="T62" s="57"/>
      <c r="U62" s="56"/>
      <c r="V62" s="58"/>
      <c r="W62" s="56"/>
      <c r="X62" s="57"/>
      <c r="Y62" s="56"/>
      <c r="Z62" s="56"/>
      <c r="AA62" s="56"/>
      <c r="AB62" s="58"/>
      <c r="AC62" s="56"/>
      <c r="AD62" s="58"/>
      <c r="AE62" s="56"/>
      <c r="AF62" s="58"/>
      <c r="AG62" s="56"/>
      <c r="AH62" s="56"/>
      <c r="AI62" s="56"/>
      <c r="AJ62" s="58"/>
      <c r="AK62" s="56"/>
      <c r="AL62" s="58"/>
      <c r="AM62" s="56"/>
      <c r="AN62" s="58"/>
      <c r="AO62" s="56"/>
      <c r="AP62" s="58"/>
      <c r="AQ62" s="56"/>
      <c r="AR62" s="56"/>
      <c r="AS62" s="56"/>
      <c r="AT62" s="58"/>
      <c r="AU62" s="56"/>
      <c r="AV62" s="58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>
        <f t="shared" si="88"/>
        <v>0</v>
      </c>
      <c r="BZ62" s="56"/>
      <c r="CA62" s="56"/>
      <c r="CB62" s="56"/>
      <c r="CC62" s="56"/>
      <c r="CD62" s="56"/>
      <c r="CE62" s="56"/>
      <c r="CF62" s="56"/>
      <c r="CG62" s="56"/>
      <c r="CH62" s="57"/>
      <c r="CI62" s="56"/>
      <c r="CJ62" s="56"/>
      <c r="CK62" s="56"/>
      <c r="CL62" s="57"/>
      <c r="CM62" s="56"/>
      <c r="CN62" s="58"/>
      <c r="CO62" s="56"/>
      <c r="CP62" s="57"/>
      <c r="CQ62" s="56"/>
      <c r="CR62" s="56"/>
      <c r="CS62" s="56"/>
      <c r="CT62" s="58"/>
      <c r="CU62" s="56"/>
      <c r="CV62" s="58"/>
      <c r="CW62" s="56"/>
      <c r="CX62" s="58"/>
      <c r="CY62" s="56"/>
      <c r="CZ62" s="56"/>
      <c r="DA62" s="56"/>
      <c r="DB62" s="58"/>
      <c r="DC62" s="56"/>
      <c r="DD62" s="58"/>
      <c r="DE62" s="56"/>
      <c r="DF62" s="58"/>
      <c r="DG62" s="56"/>
      <c r="DH62" s="58"/>
      <c r="DI62" s="56"/>
      <c r="DJ62" s="56"/>
      <c r="DK62" s="56"/>
      <c r="DL62" s="58"/>
      <c r="DM62" s="56"/>
      <c r="DN62" s="58"/>
      <c r="DO62" s="56"/>
      <c r="DP62" s="56"/>
      <c r="DQ62" s="56"/>
      <c r="DR62" s="56"/>
      <c r="DS62" s="56"/>
      <c r="DT62" s="56">
        <v>1</v>
      </c>
      <c r="DU62" s="56">
        <v>0.97</v>
      </c>
      <c r="DV62" s="56">
        <v>0.95</v>
      </c>
      <c r="DW62" s="56">
        <v>0.93</v>
      </c>
      <c r="DX62" s="56">
        <f t="shared" ref="DX62:EO62" si="714">+DW62-0.02</f>
        <v>0.91</v>
      </c>
      <c r="DY62" s="56">
        <f t="shared" si="714"/>
        <v>0.89</v>
      </c>
      <c r="DZ62" s="56">
        <f t="shared" si="714"/>
        <v>0.87</v>
      </c>
      <c r="EA62" s="56">
        <f t="shared" si="714"/>
        <v>0.85</v>
      </c>
      <c r="EB62" s="56">
        <f t="shared" si="714"/>
        <v>0.83</v>
      </c>
      <c r="EC62" s="56">
        <f t="shared" si="714"/>
        <v>0.80999999999999994</v>
      </c>
      <c r="ED62" s="56">
        <f t="shared" si="714"/>
        <v>0.78999999999999992</v>
      </c>
      <c r="EE62" s="56">
        <f t="shared" si="714"/>
        <v>0.76999999999999991</v>
      </c>
      <c r="EF62" s="56">
        <f t="shared" si="714"/>
        <v>0.74999999999999989</v>
      </c>
      <c r="EG62" s="56">
        <f t="shared" si="714"/>
        <v>0.72999999999999987</v>
      </c>
      <c r="EH62" s="56">
        <f t="shared" si="714"/>
        <v>0.70999999999999985</v>
      </c>
      <c r="EI62" s="56">
        <f t="shared" si="714"/>
        <v>0.68999999999999984</v>
      </c>
      <c r="EJ62" s="56">
        <f t="shared" si="714"/>
        <v>0.66999999999999982</v>
      </c>
      <c r="EK62" s="56">
        <f t="shared" si="714"/>
        <v>0.6499999999999998</v>
      </c>
      <c r="EL62" s="56">
        <f t="shared" si="714"/>
        <v>0.62999999999999978</v>
      </c>
      <c r="EM62" s="56">
        <f t="shared" si="714"/>
        <v>0.60999999999999976</v>
      </c>
      <c r="EN62" s="56">
        <f t="shared" si="714"/>
        <v>0.58999999999999975</v>
      </c>
      <c r="EO62" s="56">
        <f t="shared" si="714"/>
        <v>0.56999999999999973</v>
      </c>
      <c r="EQ62" s="56">
        <f t="shared" si="188"/>
        <v>0</v>
      </c>
      <c r="ER62" s="56"/>
      <c r="ES62" s="56"/>
      <c r="ET62" s="56"/>
      <c r="EU62" s="56"/>
      <c r="EV62" s="56"/>
      <c r="EW62" s="56"/>
      <c r="EX62" s="56"/>
      <c r="EY62" s="56"/>
      <c r="EZ62" s="57"/>
      <c r="FA62" s="56"/>
      <c r="FB62" s="56"/>
      <c r="FC62" s="56"/>
      <c r="FD62" s="57"/>
      <c r="FE62" s="56"/>
      <c r="FF62" s="58"/>
      <c r="FG62" s="56"/>
      <c r="FH62" s="57"/>
      <c r="FI62" s="56"/>
      <c r="FJ62" s="56"/>
      <c r="FK62" s="56"/>
      <c r="FL62" s="58"/>
      <c r="FM62" s="56"/>
      <c r="FN62" s="58"/>
      <c r="FO62" s="56"/>
      <c r="FP62" s="58"/>
      <c r="FQ62" s="56"/>
      <c r="FR62" s="56"/>
      <c r="FS62" s="56"/>
      <c r="FT62" s="58"/>
      <c r="FU62" s="56"/>
      <c r="FV62" s="58"/>
      <c r="FW62" s="56"/>
      <c r="FX62" s="58"/>
      <c r="FY62" s="56"/>
      <c r="FZ62" s="58"/>
      <c r="GA62" s="56"/>
      <c r="GB62" s="56"/>
      <c r="GC62" s="56"/>
      <c r="GD62" s="58"/>
      <c r="GE62" s="56"/>
      <c r="GF62" s="58"/>
      <c r="GG62" s="56"/>
      <c r="GH62" s="56"/>
      <c r="GI62" s="56"/>
      <c r="GJ62" s="56"/>
      <c r="GK62" s="56"/>
      <c r="GL62" s="56">
        <v>1</v>
      </c>
      <c r="GM62" s="56">
        <v>0.97</v>
      </c>
      <c r="GN62" s="56">
        <v>0.95</v>
      </c>
      <c r="GO62" s="56">
        <v>0.93</v>
      </c>
      <c r="GP62" s="56">
        <f t="shared" ref="GP62:HG62" si="715">+GO62-0.02</f>
        <v>0.91</v>
      </c>
      <c r="GQ62" s="56">
        <f t="shared" si="715"/>
        <v>0.89</v>
      </c>
      <c r="GR62" s="56">
        <f t="shared" si="715"/>
        <v>0.87</v>
      </c>
      <c r="GS62" s="56">
        <f t="shared" si="715"/>
        <v>0.85</v>
      </c>
      <c r="GT62" s="56">
        <f t="shared" si="715"/>
        <v>0.83</v>
      </c>
      <c r="GU62" s="56">
        <f t="shared" si="715"/>
        <v>0.80999999999999994</v>
      </c>
      <c r="GV62" s="56">
        <f t="shared" si="715"/>
        <v>0.78999999999999992</v>
      </c>
      <c r="GW62" s="56">
        <f t="shared" si="715"/>
        <v>0.76999999999999991</v>
      </c>
      <c r="GX62" s="56">
        <f t="shared" si="715"/>
        <v>0.74999999999999989</v>
      </c>
      <c r="GY62" s="56">
        <f t="shared" si="715"/>
        <v>0.72999999999999987</v>
      </c>
      <c r="GZ62" s="56">
        <f t="shared" si="715"/>
        <v>0.70999999999999985</v>
      </c>
      <c r="HA62" s="56">
        <f t="shared" si="715"/>
        <v>0.68999999999999984</v>
      </c>
      <c r="HB62" s="56">
        <f t="shared" si="715"/>
        <v>0.66999999999999982</v>
      </c>
      <c r="HC62" s="56">
        <f t="shared" si="715"/>
        <v>0.6499999999999998</v>
      </c>
      <c r="HD62" s="56">
        <f t="shared" si="715"/>
        <v>0.62999999999999978</v>
      </c>
      <c r="HE62" s="56">
        <f t="shared" si="715"/>
        <v>0.60999999999999976</v>
      </c>
      <c r="HF62" s="56">
        <f t="shared" si="715"/>
        <v>0.58999999999999975</v>
      </c>
      <c r="HG62" s="56">
        <f t="shared" si="715"/>
        <v>0.56999999999999973</v>
      </c>
    </row>
    <row r="63" spans="1:215" x14ac:dyDescent="0.3">
      <c r="A63" s="2">
        <v>1</v>
      </c>
      <c r="C63" s="39" t="s">
        <v>132</v>
      </c>
      <c r="D63" s="42">
        <f>TRUNC(15118.6371545726,-1)</f>
        <v>15110</v>
      </c>
      <c r="E63" s="72">
        <f t="shared" ref="E63:E88" si="716">TRUNC(+D63*3.3058,-1)</f>
        <v>49950</v>
      </c>
      <c r="G63" s="48">
        <f t="shared" si="61"/>
        <v>16621</v>
      </c>
      <c r="H63" s="48">
        <f t="shared" si="62"/>
        <v>16621</v>
      </c>
      <c r="I63" s="51">
        <f t="shared" si="63"/>
        <v>54945.701800000003</v>
      </c>
      <c r="J63" s="48">
        <f t="shared" ref="J63:J89" si="717">+H63*BC63</f>
        <v>16122.369999999999</v>
      </c>
      <c r="K63" s="51">
        <f t="shared" ref="K63:K89" si="718">+J63*3.3058</f>
        <v>53297.330746</v>
      </c>
      <c r="L63" s="48">
        <f t="shared" ref="L63:L89" si="719">+H63*BD63</f>
        <v>15789.949999999999</v>
      </c>
      <c r="M63" s="51">
        <f t="shared" ref="M63:M89" si="720">+L63*3.3058</f>
        <v>52198.416709999998</v>
      </c>
      <c r="N63" s="48">
        <f t="shared" ref="N63:N89" si="721">+H63*BE63</f>
        <v>15457.53</v>
      </c>
      <c r="O63" s="51">
        <f t="shared" ref="O63:O89" si="722">+N63*3.3058</f>
        <v>51099.502674000003</v>
      </c>
      <c r="P63" s="52">
        <f t="shared" ref="P63:P89" si="723">+H63*BF63</f>
        <v>15125.11</v>
      </c>
      <c r="Q63" s="51">
        <f t="shared" ref="Q63:Q89" si="724">+P63*3.3058</f>
        <v>50000.588638000001</v>
      </c>
      <c r="R63" s="48">
        <f t="shared" ref="R63:R89" si="725">+H63*BG63</f>
        <v>14792.69</v>
      </c>
      <c r="S63" s="51">
        <f t="shared" ref="S63:S89" si="726">+R63*3.3058</f>
        <v>48901.674601999999</v>
      </c>
      <c r="T63" s="52">
        <f t="shared" ref="T63:T89" si="727">+H63*BH63</f>
        <v>14460.27</v>
      </c>
      <c r="U63" s="51">
        <f t="shared" ref="U63:U89" si="728">+T63*3.3058</f>
        <v>47802.760566000004</v>
      </c>
      <c r="V63" s="53">
        <f t="shared" ref="V63:V89" si="729">+H63*BI63</f>
        <v>14127.85</v>
      </c>
      <c r="W63" s="51">
        <f t="shared" ref="W63:W89" si="730">+V63*3.3058</f>
        <v>46703.846530000003</v>
      </c>
      <c r="X63" s="52">
        <f t="shared" ref="X63:X89" si="731">+H63*BJ63</f>
        <v>13795.429999999998</v>
      </c>
      <c r="Y63" s="51">
        <f t="shared" ref="Y63:Y89" si="732">+X63*3.3058</f>
        <v>45604.932493999993</v>
      </c>
      <c r="Z63" s="48">
        <f t="shared" ref="Z63:Z89" si="733">+H63*BK63</f>
        <v>13463.009999999998</v>
      </c>
      <c r="AA63" s="51">
        <f t="shared" ref="AA63:AA89" si="734">+Z63*3.3058</f>
        <v>44506.018457999999</v>
      </c>
      <c r="AB63" s="53">
        <f t="shared" ref="AB63:AB89" si="735">+H63*BL63</f>
        <v>13130.589999999998</v>
      </c>
      <c r="AC63" s="51">
        <f t="shared" ref="AC63:AC89" si="736">+AB63*3.3058</f>
        <v>43407.104421999997</v>
      </c>
      <c r="AD63" s="53">
        <f t="shared" ref="AD63:AD89" si="737">+H63*BM63</f>
        <v>12798.169999999998</v>
      </c>
      <c r="AE63" s="51">
        <f t="shared" ref="AE63:AE89" si="738">+AD63*3.3058</f>
        <v>42308.190385999995</v>
      </c>
      <c r="AF63" s="53">
        <f t="shared" ref="AF63:AF89" si="739">+H63*BN63</f>
        <v>12465.749999999998</v>
      </c>
      <c r="AG63" s="51">
        <f t="shared" ref="AG63:AG89" si="740">+AF63*3.3058</f>
        <v>41209.276349999993</v>
      </c>
      <c r="AH63" s="48">
        <f t="shared" ref="AH63:AH89" si="741">+H63*BO63</f>
        <v>12133.329999999998</v>
      </c>
      <c r="AI63" s="51">
        <f t="shared" ref="AI63:AI89" si="742">+AH63*3.3058</f>
        <v>40110.362313999998</v>
      </c>
      <c r="AJ63" s="53">
        <f t="shared" ref="AJ63:AJ89" si="743">+H63*BP63</f>
        <v>11800.909999999998</v>
      </c>
      <c r="AK63" s="51">
        <f t="shared" ref="AK63:AK89" si="744">+AJ63*3.3058</f>
        <v>39011.448277999996</v>
      </c>
      <c r="AL63" s="53">
        <f t="shared" ref="AL63:AL89" si="745">+H63*BQ63</f>
        <v>11468.489999999998</v>
      </c>
      <c r="AM63" s="51">
        <f t="shared" ref="AM63:AM89" si="746">+AL63*3.3058</f>
        <v>37912.534241999994</v>
      </c>
      <c r="AN63" s="53">
        <f t="shared" ref="AN63:AN89" si="747">+H63*BR63</f>
        <v>11136.069999999996</v>
      </c>
      <c r="AO63" s="51">
        <f t="shared" ref="AO63:AO89" si="748">+AN63*3.3058</f>
        <v>36813.620205999985</v>
      </c>
      <c r="AP63" s="53">
        <f t="shared" ref="AP63:AP89" si="749">+H63*BS63</f>
        <v>10803.649999999996</v>
      </c>
      <c r="AQ63" s="51">
        <f t="shared" ref="AQ63:AQ89" si="750">+AP63*3.3058</f>
        <v>35714.70616999999</v>
      </c>
      <c r="AR63" s="48">
        <f t="shared" ref="AR63:AR89" si="751">+H63*BT63</f>
        <v>10471.229999999996</v>
      </c>
      <c r="AS63" s="51">
        <f t="shared" ref="AS63:AS89" si="752">+AR63*3.3058</f>
        <v>34615.792133999988</v>
      </c>
      <c r="AT63" s="53">
        <f t="shared" ref="AT63:AT89" si="753">+H63*BU63</f>
        <v>10138.809999999996</v>
      </c>
      <c r="AU63" s="51">
        <f t="shared" ref="AU63:AU89" si="754">+AT63*3.3058</f>
        <v>33516.878097999986</v>
      </c>
      <c r="AV63" s="53">
        <f t="shared" ref="AV63:AV89" si="755">+H63*BV63</f>
        <v>9806.3899999999958</v>
      </c>
      <c r="AW63" s="51">
        <f t="shared" ref="AW63:AW89" si="756">+AV63*3.3058</f>
        <v>32417.964061999988</v>
      </c>
      <c r="AX63" s="48">
        <f t="shared" ref="AX63:AX89" si="757">+H63*BW63</f>
        <v>9473.9699999999957</v>
      </c>
      <c r="AY63" s="51">
        <f t="shared" ref="AY63:AY89" si="758">+AX63*3.3058</f>
        <v>31319.050025999986</v>
      </c>
      <c r="BB63" s="48">
        <v>1</v>
      </c>
      <c r="BC63" s="48">
        <v>0.97</v>
      </c>
      <c r="BD63" s="48">
        <v>0.95</v>
      </c>
      <c r="BE63" s="48">
        <v>0.93</v>
      </c>
      <c r="BF63" s="48">
        <f t="shared" ref="BF63:BW63" si="759">+BE63-0.02</f>
        <v>0.91</v>
      </c>
      <c r="BG63" s="48">
        <f t="shared" si="759"/>
        <v>0.89</v>
      </c>
      <c r="BH63" s="48">
        <f t="shared" si="759"/>
        <v>0.87</v>
      </c>
      <c r="BI63" s="48">
        <f t="shared" si="759"/>
        <v>0.85</v>
      </c>
      <c r="BJ63" s="48">
        <f t="shared" si="759"/>
        <v>0.83</v>
      </c>
      <c r="BK63" s="48">
        <f t="shared" si="759"/>
        <v>0.80999999999999994</v>
      </c>
      <c r="BL63" s="48">
        <f t="shared" si="759"/>
        <v>0.78999999999999992</v>
      </c>
      <c r="BM63" s="48">
        <f t="shared" si="759"/>
        <v>0.76999999999999991</v>
      </c>
      <c r="BN63" s="48">
        <f t="shared" si="759"/>
        <v>0.74999999999999989</v>
      </c>
      <c r="BO63" s="48">
        <f t="shared" si="759"/>
        <v>0.72999999999999987</v>
      </c>
      <c r="BP63" s="48">
        <f t="shared" si="759"/>
        <v>0.70999999999999985</v>
      </c>
      <c r="BQ63" s="48">
        <f t="shared" si="759"/>
        <v>0.68999999999999984</v>
      </c>
      <c r="BR63" s="48">
        <f t="shared" si="759"/>
        <v>0.66999999999999982</v>
      </c>
      <c r="BS63" s="48">
        <f t="shared" si="759"/>
        <v>0.6499999999999998</v>
      </c>
      <c r="BT63" s="48">
        <f t="shared" si="759"/>
        <v>0.62999999999999978</v>
      </c>
      <c r="BU63" s="48">
        <f t="shared" si="759"/>
        <v>0.60999999999999976</v>
      </c>
      <c r="BV63" s="48">
        <f t="shared" si="759"/>
        <v>0.58999999999999975</v>
      </c>
      <c r="BW63" s="48">
        <f t="shared" si="759"/>
        <v>0.56999999999999973</v>
      </c>
      <c r="BY63" s="48">
        <f t="shared" si="88"/>
        <v>15125.11</v>
      </c>
      <c r="BZ63" s="48">
        <f t="shared" si="89"/>
        <v>15125.11</v>
      </c>
      <c r="CA63" s="51">
        <f t="shared" ref="CA63" si="760">+BZ63*3.3058</f>
        <v>50000.588638000001</v>
      </c>
      <c r="CB63" s="48">
        <f t="shared" ref="CB63:CB89" si="761">+BZ63*DU63</f>
        <v>14671.3567</v>
      </c>
      <c r="CC63" s="51">
        <f t="shared" ref="CC63:CC89" si="762">+CB63*3.3058</f>
        <v>48500.57097886</v>
      </c>
      <c r="CD63" s="48">
        <f t="shared" ref="CD63:CD89" si="763">+BZ63*DV63</f>
        <v>14368.854499999999</v>
      </c>
      <c r="CE63" s="51">
        <f t="shared" ref="CE63:CE89" si="764">+CD63*3.3058</f>
        <v>47500.559206099999</v>
      </c>
      <c r="CF63" s="48">
        <f t="shared" ref="CF63:CF89" si="765">+BZ63*DW63</f>
        <v>14066.3523</v>
      </c>
      <c r="CG63" s="51">
        <f t="shared" ref="CG63:CG89" si="766">+CF63*3.3058</f>
        <v>46500.547433340005</v>
      </c>
      <c r="CH63" s="52">
        <f t="shared" ref="CH63:CH89" si="767">+BZ63*DX63</f>
        <v>13763.850100000001</v>
      </c>
      <c r="CI63" s="51">
        <f t="shared" ref="CI63:CI89" si="768">+CH63*3.3058</f>
        <v>45500.535660580004</v>
      </c>
      <c r="CJ63" s="48">
        <f t="shared" ref="CJ63:CJ89" si="769">+BZ63*DY63</f>
        <v>13461.347900000001</v>
      </c>
      <c r="CK63" s="51">
        <f t="shared" ref="CK63:CK89" si="770">+CJ63*3.3058</f>
        <v>44500.523887820003</v>
      </c>
      <c r="CL63" s="52">
        <f t="shared" ref="CL63:CL89" si="771">+BZ63*DZ63</f>
        <v>13158.8457</v>
      </c>
      <c r="CM63" s="51">
        <f t="shared" ref="CM63:CM89" si="772">+CL63*3.3058</f>
        <v>43500.512115060003</v>
      </c>
      <c r="CN63" s="53">
        <f t="shared" ref="CN63:CN89" si="773">+BZ63*EA63</f>
        <v>12856.343500000001</v>
      </c>
      <c r="CO63" s="51">
        <f t="shared" ref="CO63:CO89" si="774">+CN63*3.3058</f>
        <v>42500.500342300002</v>
      </c>
      <c r="CP63" s="52">
        <f t="shared" ref="CP63:CP89" si="775">+BZ63*EB63</f>
        <v>12553.8413</v>
      </c>
      <c r="CQ63" s="51">
        <f t="shared" ref="CQ63:CQ89" si="776">+CP63*3.3058</f>
        <v>41500.488569540001</v>
      </c>
      <c r="CR63" s="48">
        <f t="shared" ref="CR63:CR89" si="777">+BZ63*EC63</f>
        <v>12251.339099999999</v>
      </c>
      <c r="CS63" s="51">
        <f t="shared" ref="CS63:CS89" si="778">+CR63*3.3058</f>
        <v>40500.47679678</v>
      </c>
      <c r="CT63" s="53">
        <f t="shared" ref="CT63:CT89" si="779">+BZ63*ED63</f>
        <v>11948.836899999998</v>
      </c>
      <c r="CU63" s="51">
        <f t="shared" ref="CU63:CU89" si="780">+CT63*3.3058</f>
        <v>39500.465024019999</v>
      </c>
      <c r="CV63" s="53">
        <f t="shared" ref="CV63:CV89" si="781">+BZ63*EE63</f>
        <v>11646.334699999999</v>
      </c>
      <c r="CW63" s="51">
        <f t="shared" ref="CW63:CW89" si="782">+CV63*3.3058</f>
        <v>38500.453251259998</v>
      </c>
      <c r="CX63" s="53">
        <f t="shared" ref="CX63:CX89" si="783">+BZ63*EF63</f>
        <v>11343.832499999999</v>
      </c>
      <c r="CY63" s="51">
        <f t="shared" ref="CY63:CY89" si="784">+CX63*3.3058</f>
        <v>37500.441478499997</v>
      </c>
      <c r="CZ63" s="48">
        <f t="shared" ref="CZ63:CZ89" si="785">+BZ63*EG63</f>
        <v>11041.330299999998</v>
      </c>
      <c r="DA63" s="51">
        <f t="shared" ref="DA63:DA89" si="786">+CZ63*3.3058</f>
        <v>36500.429705739996</v>
      </c>
      <c r="DB63" s="53">
        <f t="shared" ref="DB63:DB89" si="787">+BZ63*EH63</f>
        <v>10738.828099999999</v>
      </c>
      <c r="DC63" s="51">
        <f t="shared" ref="DC63:DC89" si="788">+DB63*3.3058</f>
        <v>35500.417932979995</v>
      </c>
      <c r="DD63" s="53">
        <f t="shared" ref="DD63:DD89" si="789">+BZ63*EI63</f>
        <v>10436.325899999998</v>
      </c>
      <c r="DE63" s="51">
        <f t="shared" ref="DE63:DE89" si="790">+DD63*3.3058</f>
        <v>34500.406160219994</v>
      </c>
      <c r="DF63" s="53">
        <f t="shared" ref="DF63:DF89" si="791">+BZ63*EJ63</f>
        <v>10133.823699999997</v>
      </c>
      <c r="DG63" s="51">
        <f t="shared" ref="DG63:DG89" si="792">+DF63*3.3058</f>
        <v>33500.394387459994</v>
      </c>
      <c r="DH63" s="53">
        <f t="shared" ref="DH63:DH89" si="793">+BZ63*EK63</f>
        <v>9831.3214999999982</v>
      </c>
      <c r="DI63" s="51">
        <f t="shared" ref="DI63:DI89" si="794">+DH63*3.3058</f>
        <v>32500.382614699996</v>
      </c>
      <c r="DJ63" s="48">
        <f t="shared" ref="DJ63:DJ89" si="795">+BZ63*EL63</f>
        <v>9528.8192999999974</v>
      </c>
      <c r="DK63" s="51">
        <f t="shared" ref="DK63:DK89" si="796">+DJ63*3.3058</f>
        <v>31500.370841939992</v>
      </c>
      <c r="DL63" s="53">
        <f t="shared" ref="DL63:DL89" si="797">+BZ63*EM63</f>
        <v>9226.3170999999966</v>
      </c>
      <c r="DM63" s="51">
        <f t="shared" ref="DM63:DM89" si="798">+DL63*3.3058</f>
        <v>30500.359069179991</v>
      </c>
      <c r="DN63" s="53">
        <f t="shared" ref="DN63:DN89" si="799">+BZ63*EN63</f>
        <v>8923.8148999999958</v>
      </c>
      <c r="DO63" s="51">
        <f t="shared" ref="DO63:DO89" si="800">+DN63*3.3058</f>
        <v>29500.347296419986</v>
      </c>
      <c r="DP63" s="48">
        <f t="shared" ref="DP63:DP89" si="801">+BZ63*EO63</f>
        <v>8621.3126999999968</v>
      </c>
      <c r="DQ63" s="51">
        <f t="shared" ref="DQ63:DQ89" si="802">+DP63*3.3058</f>
        <v>28500.335523659989</v>
      </c>
      <c r="DT63" s="48">
        <v>1</v>
      </c>
      <c r="DU63" s="48">
        <v>0.97</v>
      </c>
      <c r="DV63" s="48">
        <v>0.95</v>
      </c>
      <c r="DW63" s="48">
        <v>0.93</v>
      </c>
      <c r="DX63" s="48">
        <f t="shared" ref="DX63:EO63" si="803">+DW63-0.02</f>
        <v>0.91</v>
      </c>
      <c r="DY63" s="48">
        <f t="shared" si="803"/>
        <v>0.89</v>
      </c>
      <c r="DZ63" s="48">
        <f t="shared" si="803"/>
        <v>0.87</v>
      </c>
      <c r="EA63" s="48">
        <f t="shared" si="803"/>
        <v>0.85</v>
      </c>
      <c r="EB63" s="48">
        <f t="shared" si="803"/>
        <v>0.83</v>
      </c>
      <c r="EC63" s="48">
        <f t="shared" si="803"/>
        <v>0.80999999999999994</v>
      </c>
      <c r="ED63" s="48">
        <f t="shared" si="803"/>
        <v>0.78999999999999992</v>
      </c>
      <c r="EE63" s="48">
        <f t="shared" si="803"/>
        <v>0.76999999999999991</v>
      </c>
      <c r="EF63" s="48">
        <f t="shared" si="803"/>
        <v>0.74999999999999989</v>
      </c>
      <c r="EG63" s="48">
        <f t="shared" si="803"/>
        <v>0.72999999999999987</v>
      </c>
      <c r="EH63" s="48">
        <f t="shared" si="803"/>
        <v>0.70999999999999985</v>
      </c>
      <c r="EI63" s="48">
        <f t="shared" si="803"/>
        <v>0.68999999999999984</v>
      </c>
      <c r="EJ63" s="48">
        <f t="shared" si="803"/>
        <v>0.66999999999999982</v>
      </c>
      <c r="EK63" s="48">
        <f t="shared" si="803"/>
        <v>0.6499999999999998</v>
      </c>
      <c r="EL63" s="48">
        <f t="shared" si="803"/>
        <v>0.62999999999999978</v>
      </c>
      <c r="EM63" s="48">
        <f t="shared" si="803"/>
        <v>0.60999999999999976</v>
      </c>
      <c r="EN63" s="48">
        <f t="shared" si="803"/>
        <v>0.58999999999999975</v>
      </c>
      <c r="EO63" s="48">
        <f t="shared" si="803"/>
        <v>0.56999999999999973</v>
      </c>
      <c r="EQ63" s="48">
        <f t="shared" si="188"/>
        <v>13763.850100000001</v>
      </c>
      <c r="ER63" s="48">
        <f t="shared" si="116"/>
        <v>13763.850100000001</v>
      </c>
      <c r="ES63" s="51">
        <f t="shared" ref="ES63" si="804">+ER63*3.3058</f>
        <v>45500.535660580004</v>
      </c>
      <c r="ET63" s="48">
        <f t="shared" ref="ET63:ET89" si="805">+ER63*GM63</f>
        <v>13350.934597000001</v>
      </c>
      <c r="EU63" s="51">
        <f t="shared" ref="EU63:EU89" si="806">+ET63*3.3058</f>
        <v>44135.519590762604</v>
      </c>
      <c r="EV63" s="48">
        <f t="shared" ref="EV63:EV89" si="807">+ER63*GN63</f>
        <v>13075.657595000001</v>
      </c>
      <c r="EW63" s="51">
        <f t="shared" ref="EW63:EW89" si="808">+EV63*3.3058</f>
        <v>43225.508877551001</v>
      </c>
      <c r="EX63" s="48">
        <f t="shared" ref="EX63:EX89" si="809">+ER63*GO63</f>
        <v>12800.380593000002</v>
      </c>
      <c r="EY63" s="51">
        <f t="shared" ref="EY63:EY89" si="810">+EX63*3.3058</f>
        <v>42315.498164339406</v>
      </c>
      <c r="EZ63" s="52">
        <f t="shared" ref="EZ63:EZ89" si="811">+ER63*GP63</f>
        <v>12525.103591000001</v>
      </c>
      <c r="FA63" s="51">
        <f t="shared" ref="FA63:FA89" si="812">+EZ63*3.3058</f>
        <v>41405.487451127803</v>
      </c>
      <c r="FB63" s="48">
        <f t="shared" ref="FB63:FB89" si="813">+ER63*GQ63</f>
        <v>12249.826589000002</v>
      </c>
      <c r="FC63" s="51">
        <f t="shared" ref="FC63:FC89" si="814">+FB63*3.3058</f>
        <v>40495.476737916208</v>
      </c>
      <c r="FD63" s="52">
        <f t="shared" ref="FD63:FD89" si="815">+ER63*GR63</f>
        <v>11974.549587000001</v>
      </c>
      <c r="FE63" s="51">
        <f t="shared" ref="FE63:FE89" si="816">+FD63*3.3058</f>
        <v>39585.466024704605</v>
      </c>
      <c r="FF63" s="53">
        <f t="shared" ref="FF63:FF89" si="817">+ER63*GS63</f>
        <v>11699.272585000001</v>
      </c>
      <c r="FG63" s="51">
        <f t="shared" ref="FG63:FG89" si="818">+FF63*3.3058</f>
        <v>38675.455311493002</v>
      </c>
      <c r="FH63" s="52">
        <f t="shared" ref="FH63:FH89" si="819">+ER63*GT63</f>
        <v>11423.995583</v>
      </c>
      <c r="FI63" s="51">
        <f t="shared" ref="FI63:FI89" si="820">+FH63*3.3058</f>
        <v>37765.4445982814</v>
      </c>
      <c r="FJ63" s="48">
        <f t="shared" ref="FJ63:FJ89" si="821">+ER63*GU63</f>
        <v>11148.718581000001</v>
      </c>
      <c r="FK63" s="51">
        <f t="shared" ref="FK63:FK89" si="822">+FJ63*3.3058</f>
        <v>36855.433885069804</v>
      </c>
      <c r="FL63" s="53">
        <f t="shared" ref="FL63:FL89" si="823">+ER63*GV63</f>
        <v>10873.441579</v>
      </c>
      <c r="FM63" s="51">
        <f t="shared" ref="FM63:FM89" si="824">+FL63*3.3058</f>
        <v>35945.423171858201</v>
      </c>
      <c r="FN63" s="53">
        <f t="shared" ref="FN63:FN89" si="825">+ER63*GW63</f>
        <v>10598.164577</v>
      </c>
      <c r="FO63" s="51">
        <f t="shared" ref="FO63:FO89" si="826">+FN63*3.3058</f>
        <v>35035.412458646599</v>
      </c>
      <c r="FP63" s="53">
        <f t="shared" ref="FP63:FP89" si="827">+ER63*GX63</f>
        <v>10322.887574999999</v>
      </c>
      <c r="FQ63" s="51">
        <f t="shared" ref="FQ63:FQ89" si="828">+FP63*3.3058</f>
        <v>34125.401745434996</v>
      </c>
      <c r="FR63" s="48">
        <f t="shared" ref="FR63:FR89" si="829">+ER63*GY63</f>
        <v>10047.610573</v>
      </c>
      <c r="FS63" s="51">
        <f t="shared" ref="FS63:FS89" si="830">+FR63*3.3058</f>
        <v>33215.391032223401</v>
      </c>
      <c r="FT63" s="53">
        <f t="shared" ref="FT63:FT89" si="831">+ER63*GZ63</f>
        <v>9772.3335709999992</v>
      </c>
      <c r="FU63" s="51">
        <f t="shared" ref="FU63:FU89" si="832">+FT63*3.3058</f>
        <v>32305.380319011798</v>
      </c>
      <c r="FV63" s="53">
        <f t="shared" ref="FV63:FV89" si="833">+ER63*HA63</f>
        <v>9497.0565689999985</v>
      </c>
      <c r="FW63" s="51">
        <f t="shared" ref="FW63:FW89" si="834">+FV63*3.3058</f>
        <v>31395.369605800195</v>
      </c>
      <c r="FX63" s="53">
        <f t="shared" ref="FX63:FX89" si="835">+ER63*HB63</f>
        <v>9221.7795669999978</v>
      </c>
      <c r="FY63" s="51">
        <f t="shared" ref="FY63:FY89" si="836">+FX63*3.3058</f>
        <v>30485.358892588592</v>
      </c>
      <c r="FZ63" s="53">
        <f t="shared" ref="FZ63:FZ89" si="837">+ER63*HC63</f>
        <v>8946.5025649999989</v>
      </c>
      <c r="GA63" s="51">
        <f t="shared" ref="GA63:GA89" si="838">+FZ63*3.3058</f>
        <v>29575.348179376997</v>
      </c>
      <c r="GB63" s="48">
        <f t="shared" ref="GB63:GB89" si="839">+ER63*HD63</f>
        <v>8671.2255629999981</v>
      </c>
      <c r="GC63" s="51">
        <f t="shared" ref="GC63:GC89" si="840">+GB63*3.3058</f>
        <v>28665.337466165394</v>
      </c>
      <c r="GD63" s="53">
        <f t="shared" ref="GD63:GD89" si="841">+ER63*HE63</f>
        <v>8395.9485609999974</v>
      </c>
      <c r="GE63" s="51">
        <f t="shared" ref="GE63:GE89" si="842">+GD63*3.3058</f>
        <v>27755.326752953792</v>
      </c>
      <c r="GF63" s="53">
        <f t="shared" ref="GF63:GF89" si="843">+ER63*HF63</f>
        <v>8120.6715589999976</v>
      </c>
      <c r="GG63" s="51">
        <f t="shared" ref="GG63:GG89" si="844">+GF63*3.3058</f>
        <v>26845.316039742193</v>
      </c>
      <c r="GH63" s="48">
        <f t="shared" ref="GH63:GH89" si="845">+ER63*HG63</f>
        <v>7845.3945569999969</v>
      </c>
      <c r="GI63" s="51">
        <f t="shared" ref="GI63:GI89" si="846">+GH63*3.3058</f>
        <v>25935.30532653059</v>
      </c>
      <c r="GJ63" s="48"/>
      <c r="GK63" s="48"/>
      <c r="GL63" s="48">
        <v>1</v>
      </c>
      <c r="GM63" s="48">
        <v>0.97</v>
      </c>
      <c r="GN63" s="48">
        <v>0.95</v>
      </c>
      <c r="GO63" s="48">
        <v>0.93</v>
      </c>
      <c r="GP63" s="48">
        <f t="shared" ref="GP63:HG63" si="847">+GO63-0.02</f>
        <v>0.91</v>
      </c>
      <c r="GQ63" s="48">
        <f t="shared" si="847"/>
        <v>0.89</v>
      </c>
      <c r="GR63" s="48">
        <f t="shared" si="847"/>
        <v>0.87</v>
      </c>
      <c r="GS63" s="48">
        <f t="shared" si="847"/>
        <v>0.85</v>
      </c>
      <c r="GT63" s="48">
        <f t="shared" si="847"/>
        <v>0.83</v>
      </c>
      <c r="GU63" s="48">
        <f t="shared" si="847"/>
        <v>0.80999999999999994</v>
      </c>
      <c r="GV63" s="48">
        <f t="shared" si="847"/>
        <v>0.78999999999999992</v>
      </c>
      <c r="GW63" s="48">
        <f t="shared" si="847"/>
        <v>0.76999999999999991</v>
      </c>
      <c r="GX63" s="48">
        <f t="shared" si="847"/>
        <v>0.74999999999999989</v>
      </c>
      <c r="GY63" s="48">
        <f t="shared" si="847"/>
        <v>0.72999999999999987</v>
      </c>
      <c r="GZ63" s="48">
        <f t="shared" si="847"/>
        <v>0.70999999999999985</v>
      </c>
      <c r="HA63" s="48">
        <f t="shared" si="847"/>
        <v>0.68999999999999984</v>
      </c>
      <c r="HB63" s="48">
        <f t="shared" si="847"/>
        <v>0.66999999999999982</v>
      </c>
      <c r="HC63" s="48">
        <f t="shared" si="847"/>
        <v>0.6499999999999998</v>
      </c>
      <c r="HD63" s="48">
        <f t="shared" si="847"/>
        <v>0.62999999999999978</v>
      </c>
      <c r="HE63" s="48">
        <f t="shared" si="847"/>
        <v>0.60999999999999976</v>
      </c>
      <c r="HF63" s="48">
        <f t="shared" si="847"/>
        <v>0.58999999999999975</v>
      </c>
      <c r="HG63" s="48">
        <f t="shared" si="847"/>
        <v>0.56999999999999973</v>
      </c>
    </row>
    <row r="64" spans="1:215" ht="16.5" customHeight="1" x14ac:dyDescent="0.3">
      <c r="A64" s="2">
        <v>2</v>
      </c>
      <c r="C64" s="39" t="s">
        <v>133</v>
      </c>
      <c r="D64" s="44">
        <f>TRUNC(78.4965094262914,-1)</f>
        <v>70</v>
      </c>
      <c r="E64" s="73">
        <f t="shared" si="716"/>
        <v>230</v>
      </c>
      <c r="G64" s="48">
        <f t="shared" si="61"/>
        <v>77</v>
      </c>
      <c r="H64" s="48">
        <f t="shared" si="62"/>
        <v>77</v>
      </c>
      <c r="I64" s="51">
        <f t="shared" si="63"/>
        <v>254.54660000000001</v>
      </c>
      <c r="J64" s="48">
        <f t="shared" si="717"/>
        <v>74.69</v>
      </c>
      <c r="K64" s="51">
        <f t="shared" si="718"/>
        <v>246.910202</v>
      </c>
      <c r="L64" s="48">
        <f t="shared" si="719"/>
        <v>73.149999999999991</v>
      </c>
      <c r="M64" s="51">
        <f t="shared" si="720"/>
        <v>241.81926999999999</v>
      </c>
      <c r="N64" s="48">
        <f t="shared" si="721"/>
        <v>71.61</v>
      </c>
      <c r="O64" s="51">
        <f t="shared" si="722"/>
        <v>236.72833800000001</v>
      </c>
      <c r="P64" s="52">
        <f t="shared" si="723"/>
        <v>70.070000000000007</v>
      </c>
      <c r="Q64" s="51">
        <f t="shared" si="724"/>
        <v>231.63740600000003</v>
      </c>
      <c r="R64" s="48">
        <f t="shared" si="725"/>
        <v>68.53</v>
      </c>
      <c r="S64" s="51">
        <f t="shared" si="726"/>
        <v>226.54647400000002</v>
      </c>
      <c r="T64" s="52">
        <f t="shared" si="727"/>
        <v>66.989999999999995</v>
      </c>
      <c r="U64" s="51">
        <f t="shared" si="728"/>
        <v>221.45554199999998</v>
      </c>
      <c r="V64" s="53">
        <f t="shared" si="729"/>
        <v>65.45</v>
      </c>
      <c r="W64" s="51">
        <f t="shared" si="730"/>
        <v>216.36461000000003</v>
      </c>
      <c r="X64" s="52">
        <f t="shared" si="731"/>
        <v>63.91</v>
      </c>
      <c r="Y64" s="51">
        <f t="shared" si="732"/>
        <v>211.27367799999999</v>
      </c>
      <c r="Z64" s="48">
        <f t="shared" si="733"/>
        <v>62.37</v>
      </c>
      <c r="AA64" s="51">
        <f t="shared" si="734"/>
        <v>206.18274600000001</v>
      </c>
      <c r="AB64" s="53">
        <f t="shared" si="735"/>
        <v>60.829999999999991</v>
      </c>
      <c r="AC64" s="51">
        <f t="shared" si="736"/>
        <v>201.09181399999997</v>
      </c>
      <c r="AD64" s="53">
        <f t="shared" si="737"/>
        <v>59.289999999999992</v>
      </c>
      <c r="AE64" s="51">
        <f t="shared" si="738"/>
        <v>196.00088199999999</v>
      </c>
      <c r="AF64" s="53">
        <f t="shared" si="739"/>
        <v>57.749999999999993</v>
      </c>
      <c r="AG64" s="51">
        <f t="shared" si="740"/>
        <v>190.90994999999998</v>
      </c>
      <c r="AH64" s="48">
        <f t="shared" si="741"/>
        <v>56.209999999999987</v>
      </c>
      <c r="AI64" s="51">
        <f t="shared" si="742"/>
        <v>185.81901799999997</v>
      </c>
      <c r="AJ64" s="53">
        <f t="shared" si="743"/>
        <v>54.669999999999987</v>
      </c>
      <c r="AK64" s="51">
        <f t="shared" si="744"/>
        <v>180.72808599999996</v>
      </c>
      <c r="AL64" s="53">
        <f t="shared" si="745"/>
        <v>53.129999999999988</v>
      </c>
      <c r="AM64" s="51">
        <f t="shared" si="746"/>
        <v>175.63715399999995</v>
      </c>
      <c r="AN64" s="53">
        <f t="shared" si="747"/>
        <v>51.589999999999989</v>
      </c>
      <c r="AO64" s="51">
        <f t="shared" si="748"/>
        <v>170.54622199999997</v>
      </c>
      <c r="AP64" s="53">
        <f t="shared" si="749"/>
        <v>50.049999999999983</v>
      </c>
      <c r="AQ64" s="51">
        <f t="shared" si="750"/>
        <v>165.45528999999993</v>
      </c>
      <c r="AR64" s="48">
        <f t="shared" si="751"/>
        <v>48.509999999999984</v>
      </c>
      <c r="AS64" s="51">
        <f t="shared" si="752"/>
        <v>160.36435799999995</v>
      </c>
      <c r="AT64" s="53">
        <f t="shared" si="753"/>
        <v>46.969999999999985</v>
      </c>
      <c r="AU64" s="51">
        <f t="shared" si="754"/>
        <v>155.27342599999994</v>
      </c>
      <c r="AV64" s="53">
        <f t="shared" si="755"/>
        <v>45.429999999999978</v>
      </c>
      <c r="AW64" s="51">
        <f t="shared" si="756"/>
        <v>150.18249399999993</v>
      </c>
      <c r="AX64" s="48">
        <f t="shared" si="757"/>
        <v>43.889999999999979</v>
      </c>
      <c r="AY64" s="51">
        <f t="shared" si="758"/>
        <v>145.09156199999993</v>
      </c>
      <c r="BB64" s="48">
        <v>1</v>
      </c>
      <c r="BC64" s="48">
        <v>0.97</v>
      </c>
      <c r="BD64" s="48">
        <v>0.95</v>
      </c>
      <c r="BE64" s="48">
        <v>0.93</v>
      </c>
      <c r="BF64" s="48">
        <f t="shared" ref="BF64:BW64" si="848">+BE64-0.02</f>
        <v>0.91</v>
      </c>
      <c r="BG64" s="48">
        <f t="shared" si="848"/>
        <v>0.89</v>
      </c>
      <c r="BH64" s="48">
        <f t="shared" si="848"/>
        <v>0.87</v>
      </c>
      <c r="BI64" s="48">
        <f t="shared" si="848"/>
        <v>0.85</v>
      </c>
      <c r="BJ64" s="48">
        <f t="shared" si="848"/>
        <v>0.83</v>
      </c>
      <c r="BK64" s="48">
        <f t="shared" si="848"/>
        <v>0.80999999999999994</v>
      </c>
      <c r="BL64" s="48">
        <f t="shared" si="848"/>
        <v>0.78999999999999992</v>
      </c>
      <c r="BM64" s="48">
        <f t="shared" si="848"/>
        <v>0.76999999999999991</v>
      </c>
      <c r="BN64" s="48">
        <f t="shared" si="848"/>
        <v>0.74999999999999989</v>
      </c>
      <c r="BO64" s="48">
        <f t="shared" si="848"/>
        <v>0.72999999999999987</v>
      </c>
      <c r="BP64" s="48">
        <f t="shared" si="848"/>
        <v>0.70999999999999985</v>
      </c>
      <c r="BQ64" s="48">
        <f t="shared" si="848"/>
        <v>0.68999999999999984</v>
      </c>
      <c r="BR64" s="48">
        <f t="shared" si="848"/>
        <v>0.66999999999999982</v>
      </c>
      <c r="BS64" s="48">
        <f t="shared" si="848"/>
        <v>0.6499999999999998</v>
      </c>
      <c r="BT64" s="48">
        <f t="shared" si="848"/>
        <v>0.62999999999999978</v>
      </c>
      <c r="BU64" s="48">
        <f t="shared" si="848"/>
        <v>0.60999999999999976</v>
      </c>
      <c r="BV64" s="48">
        <f t="shared" si="848"/>
        <v>0.58999999999999975</v>
      </c>
      <c r="BW64" s="48">
        <f t="shared" si="848"/>
        <v>0.56999999999999973</v>
      </c>
      <c r="BY64" s="48">
        <f t="shared" si="88"/>
        <v>70.070000000000007</v>
      </c>
      <c r="BZ64" s="48">
        <f t="shared" si="89"/>
        <v>70.070000000000007</v>
      </c>
      <c r="CA64" s="51">
        <f t="shared" ref="CA64" si="849">+BZ64*3.3058</f>
        <v>231.63740600000003</v>
      </c>
      <c r="CB64" s="48">
        <f t="shared" si="761"/>
        <v>67.9679</v>
      </c>
      <c r="CC64" s="51">
        <f t="shared" si="762"/>
        <v>224.68828382000001</v>
      </c>
      <c r="CD64" s="48">
        <f t="shared" si="763"/>
        <v>66.566500000000005</v>
      </c>
      <c r="CE64" s="51">
        <f t="shared" si="764"/>
        <v>220.05553570000001</v>
      </c>
      <c r="CF64" s="48">
        <f t="shared" si="765"/>
        <v>65.16510000000001</v>
      </c>
      <c r="CG64" s="51">
        <f t="shared" si="766"/>
        <v>215.42278758000003</v>
      </c>
      <c r="CH64" s="52">
        <f t="shared" si="767"/>
        <v>63.763700000000007</v>
      </c>
      <c r="CI64" s="51">
        <f t="shared" si="768"/>
        <v>210.79003946000003</v>
      </c>
      <c r="CJ64" s="48">
        <f t="shared" si="769"/>
        <v>62.362300000000005</v>
      </c>
      <c r="CK64" s="51">
        <f t="shared" si="770"/>
        <v>206.15729134000003</v>
      </c>
      <c r="CL64" s="52">
        <f t="shared" si="771"/>
        <v>60.960900000000009</v>
      </c>
      <c r="CM64" s="51">
        <f t="shared" si="772"/>
        <v>201.52454322000003</v>
      </c>
      <c r="CN64" s="53">
        <f t="shared" si="773"/>
        <v>59.559500000000007</v>
      </c>
      <c r="CO64" s="51">
        <f t="shared" si="774"/>
        <v>196.89179510000002</v>
      </c>
      <c r="CP64" s="52">
        <f t="shared" si="775"/>
        <v>58.158100000000005</v>
      </c>
      <c r="CQ64" s="51">
        <f t="shared" si="776"/>
        <v>192.25904698000002</v>
      </c>
      <c r="CR64" s="48">
        <f t="shared" si="777"/>
        <v>56.756700000000002</v>
      </c>
      <c r="CS64" s="51">
        <f t="shared" si="778"/>
        <v>187.62629886000002</v>
      </c>
      <c r="CT64" s="53">
        <f t="shared" si="779"/>
        <v>55.3553</v>
      </c>
      <c r="CU64" s="51">
        <f t="shared" si="780"/>
        <v>182.99355073999999</v>
      </c>
      <c r="CV64" s="53">
        <f t="shared" si="781"/>
        <v>53.953899999999997</v>
      </c>
      <c r="CW64" s="51">
        <f t="shared" si="782"/>
        <v>178.36080261999999</v>
      </c>
      <c r="CX64" s="53">
        <f t="shared" si="783"/>
        <v>52.552499999999995</v>
      </c>
      <c r="CY64" s="51">
        <f t="shared" si="784"/>
        <v>173.72805449999998</v>
      </c>
      <c r="CZ64" s="48">
        <f t="shared" si="785"/>
        <v>51.1511</v>
      </c>
      <c r="DA64" s="51">
        <f t="shared" si="786"/>
        <v>169.09530638000001</v>
      </c>
      <c r="DB64" s="53">
        <f t="shared" si="787"/>
        <v>49.749699999999997</v>
      </c>
      <c r="DC64" s="51">
        <f t="shared" si="788"/>
        <v>164.46255825999998</v>
      </c>
      <c r="DD64" s="53">
        <f t="shared" si="789"/>
        <v>48.348299999999995</v>
      </c>
      <c r="DE64" s="51">
        <f t="shared" si="790"/>
        <v>159.82981013999998</v>
      </c>
      <c r="DF64" s="53">
        <f t="shared" si="791"/>
        <v>46.946899999999992</v>
      </c>
      <c r="DG64" s="51">
        <f t="shared" si="792"/>
        <v>155.19706201999998</v>
      </c>
      <c r="DH64" s="53">
        <f t="shared" si="793"/>
        <v>45.54549999999999</v>
      </c>
      <c r="DI64" s="51">
        <f t="shared" si="794"/>
        <v>150.56431389999997</v>
      </c>
      <c r="DJ64" s="48">
        <f t="shared" si="795"/>
        <v>44.144099999999987</v>
      </c>
      <c r="DK64" s="51">
        <f t="shared" si="796"/>
        <v>145.93156577999997</v>
      </c>
      <c r="DL64" s="53">
        <f t="shared" si="797"/>
        <v>42.742699999999985</v>
      </c>
      <c r="DM64" s="51">
        <f t="shared" si="798"/>
        <v>141.29881765999994</v>
      </c>
      <c r="DN64" s="53">
        <f t="shared" si="799"/>
        <v>41.34129999999999</v>
      </c>
      <c r="DO64" s="51">
        <f t="shared" si="800"/>
        <v>136.66606953999997</v>
      </c>
      <c r="DP64" s="48">
        <f t="shared" si="801"/>
        <v>39.939899999999987</v>
      </c>
      <c r="DQ64" s="51">
        <f t="shared" si="802"/>
        <v>132.03332141999996</v>
      </c>
      <c r="DT64" s="48">
        <v>1</v>
      </c>
      <c r="DU64" s="48">
        <v>0.97</v>
      </c>
      <c r="DV64" s="48">
        <v>0.95</v>
      </c>
      <c r="DW64" s="48">
        <v>0.93</v>
      </c>
      <c r="DX64" s="48">
        <f t="shared" ref="DX64:EO64" si="850">+DW64-0.02</f>
        <v>0.91</v>
      </c>
      <c r="DY64" s="48">
        <f t="shared" si="850"/>
        <v>0.89</v>
      </c>
      <c r="DZ64" s="48">
        <f t="shared" si="850"/>
        <v>0.87</v>
      </c>
      <c r="EA64" s="48">
        <f t="shared" si="850"/>
        <v>0.85</v>
      </c>
      <c r="EB64" s="48">
        <f t="shared" si="850"/>
        <v>0.83</v>
      </c>
      <c r="EC64" s="48">
        <f t="shared" si="850"/>
        <v>0.80999999999999994</v>
      </c>
      <c r="ED64" s="48">
        <f t="shared" si="850"/>
        <v>0.78999999999999992</v>
      </c>
      <c r="EE64" s="48">
        <f t="shared" si="850"/>
        <v>0.76999999999999991</v>
      </c>
      <c r="EF64" s="48">
        <f t="shared" si="850"/>
        <v>0.74999999999999989</v>
      </c>
      <c r="EG64" s="48">
        <f t="shared" si="850"/>
        <v>0.72999999999999987</v>
      </c>
      <c r="EH64" s="48">
        <f t="shared" si="850"/>
        <v>0.70999999999999985</v>
      </c>
      <c r="EI64" s="48">
        <f t="shared" si="850"/>
        <v>0.68999999999999984</v>
      </c>
      <c r="EJ64" s="48">
        <f t="shared" si="850"/>
        <v>0.66999999999999982</v>
      </c>
      <c r="EK64" s="48">
        <f t="shared" si="850"/>
        <v>0.6499999999999998</v>
      </c>
      <c r="EL64" s="48">
        <f t="shared" si="850"/>
        <v>0.62999999999999978</v>
      </c>
      <c r="EM64" s="48">
        <f t="shared" si="850"/>
        <v>0.60999999999999976</v>
      </c>
      <c r="EN64" s="48">
        <f t="shared" si="850"/>
        <v>0.58999999999999975</v>
      </c>
      <c r="EO64" s="48">
        <f t="shared" si="850"/>
        <v>0.56999999999999973</v>
      </c>
      <c r="EQ64" s="48">
        <f t="shared" si="188"/>
        <v>63.763700000000007</v>
      </c>
      <c r="ER64" s="48">
        <f t="shared" si="116"/>
        <v>63.763700000000007</v>
      </c>
      <c r="ES64" s="51">
        <f t="shared" ref="ES64" si="851">+ER64*3.3058</f>
        <v>210.79003946000003</v>
      </c>
      <c r="ET64" s="48">
        <f t="shared" si="805"/>
        <v>61.850789000000006</v>
      </c>
      <c r="EU64" s="51">
        <f t="shared" si="806"/>
        <v>204.46633827620002</v>
      </c>
      <c r="EV64" s="48">
        <f t="shared" si="807"/>
        <v>60.575515000000003</v>
      </c>
      <c r="EW64" s="51">
        <f t="shared" si="808"/>
        <v>200.250537487</v>
      </c>
      <c r="EX64" s="48">
        <f t="shared" si="809"/>
        <v>59.300241000000007</v>
      </c>
      <c r="EY64" s="51">
        <f t="shared" si="810"/>
        <v>196.03473669780001</v>
      </c>
      <c r="EZ64" s="52">
        <f t="shared" si="811"/>
        <v>58.024967000000011</v>
      </c>
      <c r="FA64" s="51">
        <f t="shared" si="812"/>
        <v>191.81893590860005</v>
      </c>
      <c r="FB64" s="48">
        <f t="shared" si="813"/>
        <v>56.749693000000008</v>
      </c>
      <c r="FC64" s="51">
        <f t="shared" si="814"/>
        <v>187.60313511940004</v>
      </c>
      <c r="FD64" s="52">
        <f t="shared" si="815"/>
        <v>55.474419000000005</v>
      </c>
      <c r="FE64" s="51">
        <f t="shared" si="816"/>
        <v>183.38733433020002</v>
      </c>
      <c r="FF64" s="53">
        <f t="shared" si="817"/>
        <v>54.199145000000001</v>
      </c>
      <c r="FG64" s="51">
        <f t="shared" si="818"/>
        <v>179.171533541</v>
      </c>
      <c r="FH64" s="52">
        <f t="shared" si="819"/>
        <v>52.923871000000005</v>
      </c>
      <c r="FI64" s="51">
        <f t="shared" si="820"/>
        <v>174.95573275180001</v>
      </c>
      <c r="FJ64" s="48">
        <f t="shared" si="821"/>
        <v>51.648597000000002</v>
      </c>
      <c r="FK64" s="51">
        <f t="shared" si="822"/>
        <v>170.73993196260002</v>
      </c>
      <c r="FL64" s="53">
        <f t="shared" si="823"/>
        <v>50.373322999999999</v>
      </c>
      <c r="FM64" s="51">
        <f t="shared" si="824"/>
        <v>166.52413117340001</v>
      </c>
      <c r="FN64" s="53">
        <f t="shared" si="825"/>
        <v>49.098048999999996</v>
      </c>
      <c r="FO64" s="51">
        <f t="shared" si="826"/>
        <v>162.30833038419999</v>
      </c>
      <c r="FP64" s="53">
        <f t="shared" si="827"/>
        <v>47.822775</v>
      </c>
      <c r="FQ64" s="51">
        <f t="shared" si="828"/>
        <v>158.092529595</v>
      </c>
      <c r="FR64" s="48">
        <f t="shared" si="829"/>
        <v>46.547500999999997</v>
      </c>
      <c r="FS64" s="51">
        <f t="shared" si="830"/>
        <v>153.87672880579998</v>
      </c>
      <c r="FT64" s="53">
        <f t="shared" si="831"/>
        <v>45.272226999999994</v>
      </c>
      <c r="FU64" s="51">
        <f t="shared" si="832"/>
        <v>149.6609280166</v>
      </c>
      <c r="FV64" s="53">
        <f t="shared" si="833"/>
        <v>43.996952999999998</v>
      </c>
      <c r="FW64" s="51">
        <f t="shared" si="834"/>
        <v>145.44512722740001</v>
      </c>
      <c r="FX64" s="53">
        <f t="shared" si="835"/>
        <v>42.721678999999995</v>
      </c>
      <c r="FY64" s="51">
        <f t="shared" si="836"/>
        <v>141.22932643819999</v>
      </c>
      <c r="FZ64" s="53">
        <f t="shared" si="837"/>
        <v>41.446404999999992</v>
      </c>
      <c r="GA64" s="51">
        <f t="shared" si="838"/>
        <v>137.01352564899997</v>
      </c>
      <c r="GB64" s="48">
        <f t="shared" si="839"/>
        <v>40.171130999999988</v>
      </c>
      <c r="GC64" s="51">
        <f t="shared" si="840"/>
        <v>132.79772485979996</v>
      </c>
      <c r="GD64" s="53">
        <f t="shared" si="841"/>
        <v>38.895856999999992</v>
      </c>
      <c r="GE64" s="51">
        <f t="shared" si="842"/>
        <v>128.58192407059997</v>
      </c>
      <c r="GF64" s="53">
        <f t="shared" si="843"/>
        <v>37.620582999999989</v>
      </c>
      <c r="GG64" s="51">
        <f t="shared" si="844"/>
        <v>124.36612328139996</v>
      </c>
      <c r="GH64" s="48">
        <f t="shared" si="845"/>
        <v>36.345308999999986</v>
      </c>
      <c r="GI64" s="51">
        <f t="shared" si="846"/>
        <v>120.15032249219996</v>
      </c>
      <c r="GJ64" s="48"/>
      <c r="GK64" s="48"/>
      <c r="GL64" s="48">
        <v>1</v>
      </c>
      <c r="GM64" s="48">
        <v>0.97</v>
      </c>
      <c r="GN64" s="48">
        <v>0.95</v>
      </c>
      <c r="GO64" s="48">
        <v>0.93</v>
      </c>
      <c r="GP64" s="48">
        <f t="shared" ref="GP64:HG64" si="852">+GO64-0.02</f>
        <v>0.91</v>
      </c>
      <c r="GQ64" s="48">
        <f t="shared" si="852"/>
        <v>0.89</v>
      </c>
      <c r="GR64" s="48">
        <f t="shared" si="852"/>
        <v>0.87</v>
      </c>
      <c r="GS64" s="48">
        <f t="shared" si="852"/>
        <v>0.85</v>
      </c>
      <c r="GT64" s="48">
        <f t="shared" si="852"/>
        <v>0.83</v>
      </c>
      <c r="GU64" s="48">
        <f t="shared" si="852"/>
        <v>0.80999999999999994</v>
      </c>
      <c r="GV64" s="48">
        <f t="shared" si="852"/>
        <v>0.78999999999999992</v>
      </c>
      <c r="GW64" s="48">
        <f t="shared" si="852"/>
        <v>0.76999999999999991</v>
      </c>
      <c r="GX64" s="48">
        <f t="shared" si="852"/>
        <v>0.74999999999999989</v>
      </c>
      <c r="GY64" s="48">
        <f t="shared" si="852"/>
        <v>0.72999999999999987</v>
      </c>
      <c r="GZ64" s="48">
        <f t="shared" si="852"/>
        <v>0.70999999999999985</v>
      </c>
      <c r="HA64" s="48">
        <f t="shared" si="852"/>
        <v>0.68999999999999984</v>
      </c>
      <c r="HB64" s="48">
        <f t="shared" si="852"/>
        <v>0.66999999999999982</v>
      </c>
      <c r="HC64" s="48">
        <f t="shared" si="852"/>
        <v>0.6499999999999998</v>
      </c>
      <c r="HD64" s="48">
        <f t="shared" si="852"/>
        <v>0.62999999999999978</v>
      </c>
      <c r="HE64" s="48">
        <f t="shared" si="852"/>
        <v>0.60999999999999976</v>
      </c>
      <c r="HF64" s="48">
        <f t="shared" si="852"/>
        <v>0.58999999999999975</v>
      </c>
      <c r="HG64" s="48">
        <f t="shared" si="852"/>
        <v>0.56999999999999973</v>
      </c>
    </row>
    <row r="65" spans="1:215" x14ac:dyDescent="0.3">
      <c r="A65" s="2">
        <v>3</v>
      </c>
      <c r="C65" s="39" t="s">
        <v>134</v>
      </c>
      <c r="D65" s="44">
        <f>TRUNC(16404.4878323595,-1)</f>
        <v>16400</v>
      </c>
      <c r="E65" s="73">
        <f t="shared" si="716"/>
        <v>54210</v>
      </c>
      <c r="G65" s="48">
        <f t="shared" si="61"/>
        <v>18040</v>
      </c>
      <c r="H65" s="48">
        <f t="shared" si="62"/>
        <v>18040</v>
      </c>
      <c r="I65" s="51">
        <f t="shared" si="63"/>
        <v>59636.631999999998</v>
      </c>
      <c r="J65" s="48">
        <f t="shared" si="717"/>
        <v>17498.8</v>
      </c>
      <c r="K65" s="51">
        <f t="shared" si="718"/>
        <v>57847.533040000002</v>
      </c>
      <c r="L65" s="48">
        <f t="shared" si="719"/>
        <v>17138</v>
      </c>
      <c r="M65" s="51">
        <f t="shared" si="720"/>
        <v>56654.8004</v>
      </c>
      <c r="N65" s="48">
        <f t="shared" si="721"/>
        <v>16777.2</v>
      </c>
      <c r="O65" s="51">
        <f t="shared" si="722"/>
        <v>55462.067760000005</v>
      </c>
      <c r="P65" s="52">
        <f t="shared" si="723"/>
        <v>16416.400000000001</v>
      </c>
      <c r="Q65" s="51">
        <f t="shared" si="724"/>
        <v>54269.335120000003</v>
      </c>
      <c r="R65" s="48">
        <f t="shared" si="725"/>
        <v>16055.6</v>
      </c>
      <c r="S65" s="51">
        <f t="shared" si="726"/>
        <v>53076.602480000001</v>
      </c>
      <c r="T65" s="52">
        <f t="shared" si="727"/>
        <v>15694.8</v>
      </c>
      <c r="U65" s="51">
        <f t="shared" si="728"/>
        <v>51883.869839999999</v>
      </c>
      <c r="V65" s="53">
        <f t="shared" si="729"/>
        <v>15334</v>
      </c>
      <c r="W65" s="51">
        <f t="shared" si="730"/>
        <v>50691.137200000005</v>
      </c>
      <c r="X65" s="52">
        <f t="shared" si="731"/>
        <v>14973.199999999999</v>
      </c>
      <c r="Y65" s="51">
        <f t="shared" si="732"/>
        <v>49498.404559999995</v>
      </c>
      <c r="Z65" s="48">
        <f t="shared" si="733"/>
        <v>14612.4</v>
      </c>
      <c r="AA65" s="51">
        <f t="shared" si="734"/>
        <v>48305.671920000001</v>
      </c>
      <c r="AB65" s="53">
        <f t="shared" si="735"/>
        <v>14251.599999999999</v>
      </c>
      <c r="AC65" s="51">
        <f t="shared" si="736"/>
        <v>47112.939279999999</v>
      </c>
      <c r="AD65" s="53">
        <f t="shared" si="737"/>
        <v>13890.799999999997</v>
      </c>
      <c r="AE65" s="51">
        <f t="shared" si="738"/>
        <v>45920.206639999989</v>
      </c>
      <c r="AF65" s="53">
        <f t="shared" si="739"/>
        <v>13529.999999999998</v>
      </c>
      <c r="AG65" s="51">
        <f t="shared" si="740"/>
        <v>44727.473999999995</v>
      </c>
      <c r="AH65" s="48">
        <f t="shared" si="741"/>
        <v>13169.199999999997</v>
      </c>
      <c r="AI65" s="51">
        <f t="shared" si="742"/>
        <v>43534.741359999993</v>
      </c>
      <c r="AJ65" s="53">
        <f t="shared" si="743"/>
        <v>12808.399999999998</v>
      </c>
      <c r="AK65" s="51">
        <f t="shared" si="744"/>
        <v>42342.008719999991</v>
      </c>
      <c r="AL65" s="53">
        <f t="shared" si="745"/>
        <v>12447.599999999997</v>
      </c>
      <c r="AM65" s="51">
        <f t="shared" si="746"/>
        <v>41149.276079999989</v>
      </c>
      <c r="AN65" s="53">
        <f t="shared" si="747"/>
        <v>12086.799999999997</v>
      </c>
      <c r="AO65" s="51">
        <f t="shared" si="748"/>
        <v>39956.543439999994</v>
      </c>
      <c r="AP65" s="53">
        <f t="shared" si="749"/>
        <v>11725.999999999996</v>
      </c>
      <c r="AQ65" s="51">
        <f t="shared" si="750"/>
        <v>38763.810799999992</v>
      </c>
      <c r="AR65" s="48">
        <f t="shared" si="751"/>
        <v>11365.199999999995</v>
      </c>
      <c r="AS65" s="51">
        <f t="shared" si="752"/>
        <v>37571.078159999983</v>
      </c>
      <c r="AT65" s="53">
        <f t="shared" si="753"/>
        <v>11004.399999999996</v>
      </c>
      <c r="AU65" s="51">
        <f t="shared" si="754"/>
        <v>36378.345519999988</v>
      </c>
      <c r="AV65" s="53">
        <f t="shared" si="755"/>
        <v>10643.599999999995</v>
      </c>
      <c r="AW65" s="51">
        <f t="shared" si="756"/>
        <v>35185.612879999986</v>
      </c>
      <c r="AX65" s="48">
        <f t="shared" si="757"/>
        <v>10282.799999999996</v>
      </c>
      <c r="AY65" s="51">
        <f t="shared" si="758"/>
        <v>33992.880239999984</v>
      </c>
      <c r="BB65" s="48">
        <v>1</v>
      </c>
      <c r="BC65" s="48">
        <v>0.97</v>
      </c>
      <c r="BD65" s="48">
        <v>0.95</v>
      </c>
      <c r="BE65" s="48">
        <v>0.93</v>
      </c>
      <c r="BF65" s="48">
        <f t="shared" ref="BF65:BW65" si="853">+BE65-0.02</f>
        <v>0.91</v>
      </c>
      <c r="BG65" s="48">
        <f t="shared" si="853"/>
        <v>0.89</v>
      </c>
      <c r="BH65" s="48">
        <f t="shared" si="853"/>
        <v>0.87</v>
      </c>
      <c r="BI65" s="48">
        <f t="shared" si="853"/>
        <v>0.85</v>
      </c>
      <c r="BJ65" s="48">
        <f t="shared" si="853"/>
        <v>0.83</v>
      </c>
      <c r="BK65" s="48">
        <f t="shared" si="853"/>
        <v>0.80999999999999994</v>
      </c>
      <c r="BL65" s="48">
        <f t="shared" si="853"/>
        <v>0.78999999999999992</v>
      </c>
      <c r="BM65" s="48">
        <f t="shared" si="853"/>
        <v>0.76999999999999991</v>
      </c>
      <c r="BN65" s="48">
        <f t="shared" si="853"/>
        <v>0.74999999999999989</v>
      </c>
      <c r="BO65" s="48">
        <f t="shared" si="853"/>
        <v>0.72999999999999987</v>
      </c>
      <c r="BP65" s="48">
        <f t="shared" si="853"/>
        <v>0.70999999999999985</v>
      </c>
      <c r="BQ65" s="48">
        <f t="shared" si="853"/>
        <v>0.68999999999999984</v>
      </c>
      <c r="BR65" s="48">
        <f t="shared" si="853"/>
        <v>0.66999999999999982</v>
      </c>
      <c r="BS65" s="48">
        <f t="shared" si="853"/>
        <v>0.6499999999999998</v>
      </c>
      <c r="BT65" s="48">
        <f t="shared" si="853"/>
        <v>0.62999999999999978</v>
      </c>
      <c r="BU65" s="48">
        <f t="shared" si="853"/>
        <v>0.60999999999999976</v>
      </c>
      <c r="BV65" s="48">
        <f t="shared" si="853"/>
        <v>0.58999999999999975</v>
      </c>
      <c r="BW65" s="48">
        <f t="shared" si="853"/>
        <v>0.56999999999999973</v>
      </c>
      <c r="BY65" s="48">
        <f t="shared" si="88"/>
        <v>16416.400000000001</v>
      </c>
      <c r="BZ65" s="48">
        <f t="shared" si="89"/>
        <v>16416.400000000001</v>
      </c>
      <c r="CA65" s="51">
        <f t="shared" ref="CA65" si="854">+BZ65*3.3058</f>
        <v>54269.335120000003</v>
      </c>
      <c r="CB65" s="48">
        <f t="shared" si="761"/>
        <v>15923.908000000001</v>
      </c>
      <c r="CC65" s="51">
        <f t="shared" si="762"/>
        <v>52641.255066400008</v>
      </c>
      <c r="CD65" s="48">
        <f t="shared" si="763"/>
        <v>15595.58</v>
      </c>
      <c r="CE65" s="51">
        <f t="shared" si="764"/>
        <v>51555.868364000002</v>
      </c>
      <c r="CF65" s="48">
        <f t="shared" si="765"/>
        <v>15267.252000000002</v>
      </c>
      <c r="CG65" s="51">
        <f t="shared" si="766"/>
        <v>50470.48166160001</v>
      </c>
      <c r="CH65" s="52">
        <f t="shared" si="767"/>
        <v>14938.924000000003</v>
      </c>
      <c r="CI65" s="51">
        <f t="shared" si="768"/>
        <v>49385.094959200011</v>
      </c>
      <c r="CJ65" s="48">
        <f t="shared" si="769"/>
        <v>14610.596000000001</v>
      </c>
      <c r="CK65" s="51">
        <f t="shared" si="770"/>
        <v>48299.708256800004</v>
      </c>
      <c r="CL65" s="52">
        <f t="shared" si="771"/>
        <v>14282.268000000002</v>
      </c>
      <c r="CM65" s="51">
        <f t="shared" si="772"/>
        <v>47214.321554400005</v>
      </c>
      <c r="CN65" s="53">
        <f t="shared" si="773"/>
        <v>13953.94</v>
      </c>
      <c r="CO65" s="51">
        <f t="shared" si="774"/>
        <v>46128.934852000006</v>
      </c>
      <c r="CP65" s="52">
        <f t="shared" si="775"/>
        <v>13625.612000000001</v>
      </c>
      <c r="CQ65" s="51">
        <f t="shared" si="776"/>
        <v>45043.548149600007</v>
      </c>
      <c r="CR65" s="48">
        <f t="shared" si="777"/>
        <v>13297.284</v>
      </c>
      <c r="CS65" s="51">
        <f t="shared" si="778"/>
        <v>43958.1614472</v>
      </c>
      <c r="CT65" s="53">
        <f t="shared" si="779"/>
        <v>12968.956</v>
      </c>
      <c r="CU65" s="51">
        <f t="shared" si="780"/>
        <v>42872.774744800001</v>
      </c>
      <c r="CV65" s="53">
        <f t="shared" si="781"/>
        <v>12640.627999999999</v>
      </c>
      <c r="CW65" s="51">
        <f t="shared" si="782"/>
        <v>41787.388042399994</v>
      </c>
      <c r="CX65" s="53">
        <f t="shared" si="783"/>
        <v>12312.3</v>
      </c>
      <c r="CY65" s="51">
        <f t="shared" si="784"/>
        <v>40702.001339999995</v>
      </c>
      <c r="CZ65" s="48">
        <f t="shared" si="785"/>
        <v>11983.972</v>
      </c>
      <c r="DA65" s="51">
        <f t="shared" si="786"/>
        <v>39616.614637600003</v>
      </c>
      <c r="DB65" s="53">
        <f t="shared" si="787"/>
        <v>11655.643999999998</v>
      </c>
      <c r="DC65" s="51">
        <f t="shared" si="788"/>
        <v>38531.227935199997</v>
      </c>
      <c r="DD65" s="53">
        <f t="shared" si="789"/>
        <v>11327.315999999999</v>
      </c>
      <c r="DE65" s="51">
        <f t="shared" si="790"/>
        <v>37445.841232799998</v>
      </c>
      <c r="DF65" s="53">
        <f t="shared" si="791"/>
        <v>10998.987999999998</v>
      </c>
      <c r="DG65" s="51">
        <f t="shared" si="792"/>
        <v>36360.454530399991</v>
      </c>
      <c r="DH65" s="53">
        <f t="shared" si="793"/>
        <v>10670.659999999998</v>
      </c>
      <c r="DI65" s="51">
        <f t="shared" si="794"/>
        <v>35275.067827999992</v>
      </c>
      <c r="DJ65" s="48">
        <f t="shared" si="795"/>
        <v>10342.331999999997</v>
      </c>
      <c r="DK65" s="51">
        <f t="shared" si="796"/>
        <v>34189.681125599993</v>
      </c>
      <c r="DL65" s="53">
        <f t="shared" si="797"/>
        <v>10014.003999999997</v>
      </c>
      <c r="DM65" s="51">
        <f t="shared" si="798"/>
        <v>33104.294423199994</v>
      </c>
      <c r="DN65" s="53">
        <f t="shared" si="799"/>
        <v>9685.6759999999958</v>
      </c>
      <c r="DO65" s="51">
        <f t="shared" si="800"/>
        <v>32018.907720799987</v>
      </c>
      <c r="DP65" s="48">
        <f t="shared" si="801"/>
        <v>9357.3479999999963</v>
      </c>
      <c r="DQ65" s="51">
        <f t="shared" si="802"/>
        <v>30933.521018399988</v>
      </c>
      <c r="DT65" s="48">
        <v>1</v>
      </c>
      <c r="DU65" s="48">
        <v>0.97</v>
      </c>
      <c r="DV65" s="48">
        <v>0.95</v>
      </c>
      <c r="DW65" s="48">
        <v>0.93</v>
      </c>
      <c r="DX65" s="48">
        <f t="shared" ref="DX65:EO65" si="855">+DW65-0.02</f>
        <v>0.91</v>
      </c>
      <c r="DY65" s="48">
        <f t="shared" si="855"/>
        <v>0.89</v>
      </c>
      <c r="DZ65" s="48">
        <f t="shared" si="855"/>
        <v>0.87</v>
      </c>
      <c r="EA65" s="48">
        <f t="shared" si="855"/>
        <v>0.85</v>
      </c>
      <c r="EB65" s="48">
        <f t="shared" si="855"/>
        <v>0.83</v>
      </c>
      <c r="EC65" s="48">
        <f t="shared" si="855"/>
        <v>0.80999999999999994</v>
      </c>
      <c r="ED65" s="48">
        <f t="shared" si="855"/>
        <v>0.78999999999999992</v>
      </c>
      <c r="EE65" s="48">
        <f t="shared" si="855"/>
        <v>0.76999999999999991</v>
      </c>
      <c r="EF65" s="48">
        <f t="shared" si="855"/>
        <v>0.74999999999999989</v>
      </c>
      <c r="EG65" s="48">
        <f t="shared" si="855"/>
        <v>0.72999999999999987</v>
      </c>
      <c r="EH65" s="48">
        <f t="shared" si="855"/>
        <v>0.70999999999999985</v>
      </c>
      <c r="EI65" s="48">
        <f t="shared" si="855"/>
        <v>0.68999999999999984</v>
      </c>
      <c r="EJ65" s="48">
        <f t="shared" si="855"/>
        <v>0.66999999999999982</v>
      </c>
      <c r="EK65" s="48">
        <f t="shared" si="855"/>
        <v>0.6499999999999998</v>
      </c>
      <c r="EL65" s="48">
        <f t="shared" si="855"/>
        <v>0.62999999999999978</v>
      </c>
      <c r="EM65" s="48">
        <f t="shared" si="855"/>
        <v>0.60999999999999976</v>
      </c>
      <c r="EN65" s="48">
        <f t="shared" si="855"/>
        <v>0.58999999999999975</v>
      </c>
      <c r="EO65" s="48">
        <f t="shared" si="855"/>
        <v>0.56999999999999973</v>
      </c>
      <c r="EQ65" s="48">
        <f t="shared" si="188"/>
        <v>14938.924000000003</v>
      </c>
      <c r="ER65" s="48">
        <f t="shared" si="116"/>
        <v>14938.924000000003</v>
      </c>
      <c r="ES65" s="51">
        <f t="shared" ref="ES65" si="856">+ER65*3.3058</f>
        <v>49385.094959200011</v>
      </c>
      <c r="ET65" s="48">
        <f t="shared" si="805"/>
        <v>14490.756280000001</v>
      </c>
      <c r="EU65" s="51">
        <f t="shared" si="806"/>
        <v>47903.542110424009</v>
      </c>
      <c r="EV65" s="48">
        <f t="shared" si="807"/>
        <v>14191.977800000002</v>
      </c>
      <c r="EW65" s="51">
        <f t="shared" si="808"/>
        <v>46915.840211240007</v>
      </c>
      <c r="EX65" s="48">
        <f t="shared" si="809"/>
        <v>13893.199320000003</v>
      </c>
      <c r="EY65" s="51">
        <f t="shared" si="810"/>
        <v>45928.138312056013</v>
      </c>
      <c r="EZ65" s="52">
        <f t="shared" si="811"/>
        <v>13594.420840000002</v>
      </c>
      <c r="FA65" s="51">
        <f t="shared" si="812"/>
        <v>44940.436412872012</v>
      </c>
      <c r="FB65" s="48">
        <f t="shared" si="813"/>
        <v>13295.642360000003</v>
      </c>
      <c r="FC65" s="51">
        <f t="shared" si="814"/>
        <v>43952.73451368801</v>
      </c>
      <c r="FD65" s="52">
        <f t="shared" si="815"/>
        <v>12996.863880000003</v>
      </c>
      <c r="FE65" s="51">
        <f t="shared" si="816"/>
        <v>42965.032614504009</v>
      </c>
      <c r="FF65" s="53">
        <f t="shared" si="817"/>
        <v>12698.085400000002</v>
      </c>
      <c r="FG65" s="51">
        <f t="shared" si="818"/>
        <v>41977.330715320008</v>
      </c>
      <c r="FH65" s="52">
        <f t="shared" si="819"/>
        <v>12399.306920000001</v>
      </c>
      <c r="FI65" s="51">
        <f t="shared" si="820"/>
        <v>40989.628816136006</v>
      </c>
      <c r="FJ65" s="48">
        <f t="shared" si="821"/>
        <v>12100.528440000002</v>
      </c>
      <c r="FK65" s="51">
        <f t="shared" si="822"/>
        <v>40001.926916952005</v>
      </c>
      <c r="FL65" s="53">
        <f t="shared" si="823"/>
        <v>11801.749960000001</v>
      </c>
      <c r="FM65" s="51">
        <f t="shared" si="824"/>
        <v>39014.225017768003</v>
      </c>
      <c r="FN65" s="53">
        <f t="shared" si="825"/>
        <v>11502.97148</v>
      </c>
      <c r="FO65" s="51">
        <f t="shared" si="826"/>
        <v>38026.523118584002</v>
      </c>
      <c r="FP65" s="53">
        <f t="shared" si="827"/>
        <v>11204.193000000001</v>
      </c>
      <c r="FQ65" s="51">
        <f t="shared" si="828"/>
        <v>37038.821219400008</v>
      </c>
      <c r="FR65" s="48">
        <f t="shared" si="829"/>
        <v>10905.41452</v>
      </c>
      <c r="FS65" s="51">
        <f t="shared" si="830"/>
        <v>36051.119320215999</v>
      </c>
      <c r="FT65" s="53">
        <f t="shared" si="831"/>
        <v>10606.636039999999</v>
      </c>
      <c r="FU65" s="51">
        <f t="shared" si="832"/>
        <v>35063.417421031998</v>
      </c>
      <c r="FV65" s="53">
        <f t="shared" si="833"/>
        <v>10307.857559999999</v>
      </c>
      <c r="FW65" s="51">
        <f t="shared" si="834"/>
        <v>34075.715521847997</v>
      </c>
      <c r="FX65" s="53">
        <f t="shared" si="835"/>
        <v>10009.07908</v>
      </c>
      <c r="FY65" s="51">
        <f t="shared" si="836"/>
        <v>33088.013622664002</v>
      </c>
      <c r="FZ65" s="53">
        <f t="shared" si="837"/>
        <v>9710.3005999999987</v>
      </c>
      <c r="GA65" s="51">
        <f t="shared" si="838"/>
        <v>32100.311723479997</v>
      </c>
      <c r="GB65" s="48">
        <f t="shared" si="839"/>
        <v>9411.5221199999978</v>
      </c>
      <c r="GC65" s="51">
        <f t="shared" si="840"/>
        <v>31112.609824295992</v>
      </c>
      <c r="GD65" s="53">
        <f t="shared" si="841"/>
        <v>9112.7436399999988</v>
      </c>
      <c r="GE65" s="51">
        <f t="shared" si="842"/>
        <v>30124.907925111998</v>
      </c>
      <c r="GF65" s="53">
        <f t="shared" si="843"/>
        <v>8813.9651599999979</v>
      </c>
      <c r="GG65" s="51">
        <f t="shared" si="844"/>
        <v>29137.206025927993</v>
      </c>
      <c r="GH65" s="48">
        <f t="shared" si="845"/>
        <v>8515.1866799999971</v>
      </c>
      <c r="GI65" s="51">
        <f t="shared" si="846"/>
        <v>28149.504126743992</v>
      </c>
      <c r="GJ65" s="48"/>
      <c r="GK65" s="48"/>
      <c r="GL65" s="48">
        <v>1</v>
      </c>
      <c r="GM65" s="48">
        <v>0.97</v>
      </c>
      <c r="GN65" s="48">
        <v>0.95</v>
      </c>
      <c r="GO65" s="48">
        <v>0.93</v>
      </c>
      <c r="GP65" s="48">
        <f t="shared" ref="GP65:HG65" si="857">+GO65-0.02</f>
        <v>0.91</v>
      </c>
      <c r="GQ65" s="48">
        <f t="shared" si="857"/>
        <v>0.89</v>
      </c>
      <c r="GR65" s="48">
        <f t="shared" si="857"/>
        <v>0.87</v>
      </c>
      <c r="GS65" s="48">
        <f t="shared" si="857"/>
        <v>0.85</v>
      </c>
      <c r="GT65" s="48">
        <f t="shared" si="857"/>
        <v>0.83</v>
      </c>
      <c r="GU65" s="48">
        <f t="shared" si="857"/>
        <v>0.80999999999999994</v>
      </c>
      <c r="GV65" s="48">
        <f t="shared" si="857"/>
        <v>0.78999999999999992</v>
      </c>
      <c r="GW65" s="48">
        <f t="shared" si="857"/>
        <v>0.76999999999999991</v>
      </c>
      <c r="GX65" s="48">
        <f t="shared" si="857"/>
        <v>0.74999999999999989</v>
      </c>
      <c r="GY65" s="48">
        <f t="shared" si="857"/>
        <v>0.72999999999999987</v>
      </c>
      <c r="GZ65" s="48">
        <f t="shared" si="857"/>
        <v>0.70999999999999985</v>
      </c>
      <c r="HA65" s="48">
        <f t="shared" si="857"/>
        <v>0.68999999999999984</v>
      </c>
      <c r="HB65" s="48">
        <f t="shared" si="857"/>
        <v>0.66999999999999982</v>
      </c>
      <c r="HC65" s="48">
        <f t="shared" si="857"/>
        <v>0.6499999999999998</v>
      </c>
      <c r="HD65" s="48">
        <f t="shared" si="857"/>
        <v>0.62999999999999978</v>
      </c>
      <c r="HE65" s="48">
        <f t="shared" si="857"/>
        <v>0.60999999999999976</v>
      </c>
      <c r="HF65" s="48">
        <f t="shared" si="857"/>
        <v>0.58999999999999975</v>
      </c>
      <c r="HG65" s="48">
        <f t="shared" si="857"/>
        <v>0.56999999999999973</v>
      </c>
    </row>
    <row r="66" spans="1:215" x14ac:dyDescent="0.3">
      <c r="A66" s="2">
        <v>4</v>
      </c>
      <c r="C66" s="39" t="s">
        <v>135</v>
      </c>
      <c r="D66" s="44">
        <f>TRUNC(2533.3945335641,-1)</f>
        <v>2530</v>
      </c>
      <c r="E66" s="73">
        <f t="shared" si="716"/>
        <v>8360</v>
      </c>
      <c r="G66" s="48">
        <f t="shared" si="61"/>
        <v>2783</v>
      </c>
      <c r="H66" s="48">
        <f t="shared" si="62"/>
        <v>2783</v>
      </c>
      <c r="I66" s="51">
        <f t="shared" si="63"/>
        <v>9200.0414000000001</v>
      </c>
      <c r="J66" s="48">
        <f t="shared" si="717"/>
        <v>2699.5099999999998</v>
      </c>
      <c r="K66" s="51">
        <f t="shared" si="718"/>
        <v>8924.0401579999998</v>
      </c>
      <c r="L66" s="48">
        <f t="shared" si="719"/>
        <v>2643.85</v>
      </c>
      <c r="M66" s="51">
        <f t="shared" si="720"/>
        <v>8740.0393299999996</v>
      </c>
      <c r="N66" s="48">
        <f t="shared" si="721"/>
        <v>2588.19</v>
      </c>
      <c r="O66" s="51">
        <f t="shared" si="722"/>
        <v>8556.0385020000012</v>
      </c>
      <c r="P66" s="52">
        <f t="shared" si="723"/>
        <v>2532.5300000000002</v>
      </c>
      <c r="Q66" s="51">
        <f t="shared" si="724"/>
        <v>8372.0376740000011</v>
      </c>
      <c r="R66" s="48">
        <f t="shared" si="725"/>
        <v>2476.87</v>
      </c>
      <c r="S66" s="51">
        <f t="shared" si="726"/>
        <v>8188.036846</v>
      </c>
      <c r="T66" s="52">
        <f t="shared" si="727"/>
        <v>2421.21</v>
      </c>
      <c r="U66" s="51">
        <f t="shared" si="728"/>
        <v>8004.0360180000007</v>
      </c>
      <c r="V66" s="53">
        <f t="shared" si="729"/>
        <v>2365.5499999999997</v>
      </c>
      <c r="W66" s="51">
        <f t="shared" si="730"/>
        <v>7820.0351899999996</v>
      </c>
      <c r="X66" s="52">
        <f t="shared" si="731"/>
        <v>2309.89</v>
      </c>
      <c r="Y66" s="51">
        <f t="shared" si="732"/>
        <v>7636.0343619999994</v>
      </c>
      <c r="Z66" s="48">
        <f t="shared" si="733"/>
        <v>2254.23</v>
      </c>
      <c r="AA66" s="51">
        <f t="shared" si="734"/>
        <v>7452.0335340000001</v>
      </c>
      <c r="AB66" s="53">
        <f t="shared" si="735"/>
        <v>2198.5699999999997</v>
      </c>
      <c r="AC66" s="51">
        <f t="shared" si="736"/>
        <v>7268.0327059999991</v>
      </c>
      <c r="AD66" s="53">
        <f t="shared" si="737"/>
        <v>2142.91</v>
      </c>
      <c r="AE66" s="51">
        <f t="shared" si="738"/>
        <v>7084.0318779999998</v>
      </c>
      <c r="AF66" s="53">
        <f t="shared" si="739"/>
        <v>2087.2499999999995</v>
      </c>
      <c r="AG66" s="51">
        <f t="shared" si="740"/>
        <v>6900.0310499999987</v>
      </c>
      <c r="AH66" s="48">
        <f t="shared" si="741"/>
        <v>2031.5899999999997</v>
      </c>
      <c r="AI66" s="51">
        <f t="shared" si="742"/>
        <v>6716.0302219999994</v>
      </c>
      <c r="AJ66" s="53">
        <f t="shared" si="743"/>
        <v>1975.9299999999996</v>
      </c>
      <c r="AK66" s="51">
        <f t="shared" si="744"/>
        <v>6532.0293939999992</v>
      </c>
      <c r="AL66" s="53">
        <f t="shared" si="745"/>
        <v>1920.2699999999995</v>
      </c>
      <c r="AM66" s="51">
        <f t="shared" si="746"/>
        <v>6348.0285659999981</v>
      </c>
      <c r="AN66" s="53">
        <f t="shared" si="747"/>
        <v>1864.6099999999994</v>
      </c>
      <c r="AO66" s="51">
        <f t="shared" si="748"/>
        <v>6164.027737999998</v>
      </c>
      <c r="AP66" s="53">
        <f t="shared" si="749"/>
        <v>1808.9499999999994</v>
      </c>
      <c r="AQ66" s="51">
        <f t="shared" si="750"/>
        <v>5980.0269099999978</v>
      </c>
      <c r="AR66" s="48">
        <f t="shared" si="751"/>
        <v>1753.2899999999993</v>
      </c>
      <c r="AS66" s="51">
        <f t="shared" si="752"/>
        <v>5796.0260819999976</v>
      </c>
      <c r="AT66" s="53">
        <f t="shared" si="753"/>
        <v>1697.6299999999994</v>
      </c>
      <c r="AU66" s="51">
        <f t="shared" si="754"/>
        <v>5612.0252539999983</v>
      </c>
      <c r="AV66" s="53">
        <f t="shared" si="755"/>
        <v>1641.9699999999993</v>
      </c>
      <c r="AW66" s="51">
        <f t="shared" si="756"/>
        <v>5428.0244259999981</v>
      </c>
      <c r="AX66" s="48">
        <f t="shared" si="757"/>
        <v>1586.3099999999993</v>
      </c>
      <c r="AY66" s="51">
        <f t="shared" si="758"/>
        <v>5244.0235979999979</v>
      </c>
      <c r="BB66" s="48">
        <v>1</v>
      </c>
      <c r="BC66" s="48">
        <v>0.97</v>
      </c>
      <c r="BD66" s="48">
        <v>0.95</v>
      </c>
      <c r="BE66" s="48">
        <v>0.93</v>
      </c>
      <c r="BF66" s="48">
        <f t="shared" ref="BF66:BW66" si="858">+BE66-0.02</f>
        <v>0.91</v>
      </c>
      <c r="BG66" s="48">
        <f t="shared" si="858"/>
        <v>0.89</v>
      </c>
      <c r="BH66" s="48">
        <f t="shared" si="858"/>
        <v>0.87</v>
      </c>
      <c r="BI66" s="48">
        <f t="shared" si="858"/>
        <v>0.85</v>
      </c>
      <c r="BJ66" s="48">
        <f t="shared" si="858"/>
        <v>0.83</v>
      </c>
      <c r="BK66" s="48">
        <f t="shared" si="858"/>
        <v>0.80999999999999994</v>
      </c>
      <c r="BL66" s="48">
        <f t="shared" si="858"/>
        <v>0.78999999999999992</v>
      </c>
      <c r="BM66" s="48">
        <f t="shared" si="858"/>
        <v>0.76999999999999991</v>
      </c>
      <c r="BN66" s="48">
        <f t="shared" si="858"/>
        <v>0.74999999999999989</v>
      </c>
      <c r="BO66" s="48">
        <f t="shared" si="858"/>
        <v>0.72999999999999987</v>
      </c>
      <c r="BP66" s="48">
        <f t="shared" si="858"/>
        <v>0.70999999999999985</v>
      </c>
      <c r="BQ66" s="48">
        <f t="shared" si="858"/>
        <v>0.68999999999999984</v>
      </c>
      <c r="BR66" s="48">
        <f t="shared" si="858"/>
        <v>0.66999999999999982</v>
      </c>
      <c r="BS66" s="48">
        <f t="shared" si="858"/>
        <v>0.6499999999999998</v>
      </c>
      <c r="BT66" s="48">
        <f t="shared" si="858"/>
        <v>0.62999999999999978</v>
      </c>
      <c r="BU66" s="48">
        <f t="shared" si="858"/>
        <v>0.60999999999999976</v>
      </c>
      <c r="BV66" s="48">
        <f t="shared" si="858"/>
        <v>0.58999999999999975</v>
      </c>
      <c r="BW66" s="48">
        <f t="shared" si="858"/>
        <v>0.56999999999999973</v>
      </c>
      <c r="BY66" s="48">
        <f t="shared" si="88"/>
        <v>2532.5300000000002</v>
      </c>
      <c r="BZ66" s="48">
        <f t="shared" si="89"/>
        <v>2532.5300000000002</v>
      </c>
      <c r="CA66" s="51">
        <f t="shared" ref="CA66" si="859">+BZ66*3.3058</f>
        <v>8372.0376740000011</v>
      </c>
      <c r="CB66" s="48">
        <f t="shared" si="761"/>
        <v>2456.5541000000003</v>
      </c>
      <c r="CC66" s="51">
        <f t="shared" si="762"/>
        <v>8120.8765437800012</v>
      </c>
      <c r="CD66" s="48">
        <f t="shared" si="763"/>
        <v>2405.9034999999999</v>
      </c>
      <c r="CE66" s="51">
        <f t="shared" si="764"/>
        <v>7953.4357903</v>
      </c>
      <c r="CF66" s="48">
        <f t="shared" si="765"/>
        <v>2355.2529000000004</v>
      </c>
      <c r="CG66" s="51">
        <f t="shared" si="766"/>
        <v>7785.9950368200016</v>
      </c>
      <c r="CH66" s="52">
        <f t="shared" si="767"/>
        <v>2304.6023000000005</v>
      </c>
      <c r="CI66" s="51">
        <f t="shared" si="768"/>
        <v>7618.5542833400013</v>
      </c>
      <c r="CJ66" s="48">
        <f t="shared" si="769"/>
        <v>2253.9517000000001</v>
      </c>
      <c r="CK66" s="51">
        <f t="shared" si="770"/>
        <v>7451.1135298600002</v>
      </c>
      <c r="CL66" s="52">
        <f t="shared" si="771"/>
        <v>2203.3011000000001</v>
      </c>
      <c r="CM66" s="51">
        <f t="shared" si="772"/>
        <v>7283.6727763800009</v>
      </c>
      <c r="CN66" s="53">
        <f t="shared" si="773"/>
        <v>2152.6505000000002</v>
      </c>
      <c r="CO66" s="51">
        <f t="shared" si="774"/>
        <v>7116.2320229000006</v>
      </c>
      <c r="CP66" s="52">
        <f t="shared" si="775"/>
        <v>2101.9999000000003</v>
      </c>
      <c r="CQ66" s="51">
        <f t="shared" si="776"/>
        <v>6948.7912694200013</v>
      </c>
      <c r="CR66" s="48">
        <f t="shared" si="777"/>
        <v>2051.3492999999999</v>
      </c>
      <c r="CS66" s="51">
        <f t="shared" si="778"/>
        <v>6781.3505159399992</v>
      </c>
      <c r="CT66" s="53">
        <f t="shared" si="779"/>
        <v>2000.6986999999999</v>
      </c>
      <c r="CU66" s="51">
        <f t="shared" si="780"/>
        <v>6613.9097624599999</v>
      </c>
      <c r="CV66" s="53">
        <f t="shared" si="781"/>
        <v>1950.0481</v>
      </c>
      <c r="CW66" s="51">
        <f t="shared" si="782"/>
        <v>6446.4690089799997</v>
      </c>
      <c r="CX66" s="53">
        <f t="shared" si="783"/>
        <v>1899.3974999999998</v>
      </c>
      <c r="CY66" s="51">
        <f t="shared" si="784"/>
        <v>6279.0282554999994</v>
      </c>
      <c r="CZ66" s="48">
        <f t="shared" si="785"/>
        <v>1848.7468999999999</v>
      </c>
      <c r="DA66" s="51">
        <f t="shared" si="786"/>
        <v>6111.5875020200001</v>
      </c>
      <c r="DB66" s="53">
        <f t="shared" si="787"/>
        <v>1798.0962999999997</v>
      </c>
      <c r="DC66" s="51">
        <f t="shared" si="788"/>
        <v>5944.146748539999</v>
      </c>
      <c r="DD66" s="53">
        <f t="shared" si="789"/>
        <v>1747.4456999999998</v>
      </c>
      <c r="DE66" s="51">
        <f t="shared" si="790"/>
        <v>5776.7059950599996</v>
      </c>
      <c r="DF66" s="53">
        <f t="shared" si="791"/>
        <v>1696.7950999999996</v>
      </c>
      <c r="DG66" s="51">
        <f t="shared" si="792"/>
        <v>5609.2652415799985</v>
      </c>
      <c r="DH66" s="53">
        <f t="shared" si="793"/>
        <v>1646.1444999999997</v>
      </c>
      <c r="DI66" s="51">
        <f t="shared" si="794"/>
        <v>5441.8244880999991</v>
      </c>
      <c r="DJ66" s="48">
        <f t="shared" si="795"/>
        <v>1595.4938999999995</v>
      </c>
      <c r="DK66" s="51">
        <f t="shared" si="796"/>
        <v>5274.383734619998</v>
      </c>
      <c r="DL66" s="53">
        <f t="shared" si="797"/>
        <v>1544.8432999999995</v>
      </c>
      <c r="DM66" s="51">
        <f t="shared" si="798"/>
        <v>5106.9429811399987</v>
      </c>
      <c r="DN66" s="53">
        <f t="shared" si="799"/>
        <v>1494.1926999999994</v>
      </c>
      <c r="DO66" s="51">
        <f t="shared" si="800"/>
        <v>4939.5022276599984</v>
      </c>
      <c r="DP66" s="48">
        <f t="shared" si="801"/>
        <v>1443.5420999999994</v>
      </c>
      <c r="DQ66" s="51">
        <f t="shared" si="802"/>
        <v>4772.0614741799982</v>
      </c>
      <c r="DT66" s="48">
        <v>1</v>
      </c>
      <c r="DU66" s="48">
        <v>0.97</v>
      </c>
      <c r="DV66" s="48">
        <v>0.95</v>
      </c>
      <c r="DW66" s="48">
        <v>0.93</v>
      </c>
      <c r="DX66" s="48">
        <f t="shared" ref="DX66:EO66" si="860">+DW66-0.02</f>
        <v>0.91</v>
      </c>
      <c r="DY66" s="48">
        <f t="shared" si="860"/>
        <v>0.89</v>
      </c>
      <c r="DZ66" s="48">
        <f t="shared" si="860"/>
        <v>0.87</v>
      </c>
      <c r="EA66" s="48">
        <f t="shared" si="860"/>
        <v>0.85</v>
      </c>
      <c r="EB66" s="48">
        <f t="shared" si="860"/>
        <v>0.83</v>
      </c>
      <c r="EC66" s="48">
        <f t="shared" si="860"/>
        <v>0.80999999999999994</v>
      </c>
      <c r="ED66" s="48">
        <f t="shared" si="860"/>
        <v>0.78999999999999992</v>
      </c>
      <c r="EE66" s="48">
        <f t="shared" si="860"/>
        <v>0.76999999999999991</v>
      </c>
      <c r="EF66" s="48">
        <f t="shared" si="860"/>
        <v>0.74999999999999989</v>
      </c>
      <c r="EG66" s="48">
        <f t="shared" si="860"/>
        <v>0.72999999999999987</v>
      </c>
      <c r="EH66" s="48">
        <f t="shared" si="860"/>
        <v>0.70999999999999985</v>
      </c>
      <c r="EI66" s="48">
        <f t="shared" si="860"/>
        <v>0.68999999999999984</v>
      </c>
      <c r="EJ66" s="48">
        <f t="shared" si="860"/>
        <v>0.66999999999999982</v>
      </c>
      <c r="EK66" s="48">
        <f t="shared" si="860"/>
        <v>0.6499999999999998</v>
      </c>
      <c r="EL66" s="48">
        <f t="shared" si="860"/>
        <v>0.62999999999999978</v>
      </c>
      <c r="EM66" s="48">
        <f t="shared" si="860"/>
        <v>0.60999999999999976</v>
      </c>
      <c r="EN66" s="48">
        <f t="shared" si="860"/>
        <v>0.58999999999999975</v>
      </c>
      <c r="EO66" s="48">
        <f t="shared" si="860"/>
        <v>0.56999999999999973</v>
      </c>
      <c r="EQ66" s="48">
        <f t="shared" si="188"/>
        <v>2304.6023000000005</v>
      </c>
      <c r="ER66" s="48">
        <f t="shared" si="116"/>
        <v>2304.6023000000005</v>
      </c>
      <c r="ES66" s="51">
        <f t="shared" ref="ES66" si="861">+ER66*3.3058</f>
        <v>7618.5542833400013</v>
      </c>
      <c r="ET66" s="48">
        <f t="shared" si="805"/>
        <v>2235.4642310000004</v>
      </c>
      <c r="EU66" s="51">
        <f t="shared" si="806"/>
        <v>7389.9976548398017</v>
      </c>
      <c r="EV66" s="48">
        <f t="shared" si="807"/>
        <v>2189.3721850000002</v>
      </c>
      <c r="EW66" s="51">
        <f t="shared" si="808"/>
        <v>7237.6265691730005</v>
      </c>
      <c r="EX66" s="48">
        <f t="shared" si="809"/>
        <v>2143.2801390000004</v>
      </c>
      <c r="EY66" s="51">
        <f t="shared" si="810"/>
        <v>7085.2554835062019</v>
      </c>
      <c r="EZ66" s="52">
        <f t="shared" si="811"/>
        <v>2097.1880930000007</v>
      </c>
      <c r="FA66" s="51">
        <f t="shared" si="812"/>
        <v>6932.8843978394025</v>
      </c>
      <c r="FB66" s="48">
        <f t="shared" si="813"/>
        <v>2051.0960470000005</v>
      </c>
      <c r="FC66" s="51">
        <f t="shared" si="814"/>
        <v>6780.5133121726012</v>
      </c>
      <c r="FD66" s="52">
        <f t="shared" si="815"/>
        <v>2005.0040010000005</v>
      </c>
      <c r="FE66" s="51">
        <f t="shared" si="816"/>
        <v>6628.1422265058018</v>
      </c>
      <c r="FF66" s="53">
        <f t="shared" si="817"/>
        <v>1958.9119550000003</v>
      </c>
      <c r="FG66" s="51">
        <f t="shared" si="818"/>
        <v>6475.7711408390014</v>
      </c>
      <c r="FH66" s="52">
        <f t="shared" si="819"/>
        <v>1912.8199090000003</v>
      </c>
      <c r="FI66" s="51">
        <f t="shared" si="820"/>
        <v>6323.4000551722011</v>
      </c>
      <c r="FJ66" s="48">
        <f t="shared" si="821"/>
        <v>1866.7278630000003</v>
      </c>
      <c r="FK66" s="51">
        <f t="shared" si="822"/>
        <v>6171.0289695054007</v>
      </c>
      <c r="FL66" s="53">
        <f t="shared" si="823"/>
        <v>1820.6358170000001</v>
      </c>
      <c r="FM66" s="51">
        <f t="shared" si="824"/>
        <v>6018.6578838386004</v>
      </c>
      <c r="FN66" s="53">
        <f t="shared" si="825"/>
        <v>1774.5437710000001</v>
      </c>
      <c r="FO66" s="51">
        <f t="shared" si="826"/>
        <v>5866.2867981718009</v>
      </c>
      <c r="FP66" s="53">
        <f t="shared" si="827"/>
        <v>1728.4517250000001</v>
      </c>
      <c r="FQ66" s="51">
        <f t="shared" si="828"/>
        <v>5713.9157125050006</v>
      </c>
      <c r="FR66" s="48">
        <f t="shared" si="829"/>
        <v>1682.3596790000001</v>
      </c>
      <c r="FS66" s="51">
        <f t="shared" si="830"/>
        <v>5561.5446268382002</v>
      </c>
      <c r="FT66" s="53">
        <f t="shared" si="831"/>
        <v>1636.2676329999999</v>
      </c>
      <c r="FU66" s="51">
        <f t="shared" si="832"/>
        <v>5409.1735411713998</v>
      </c>
      <c r="FV66" s="53">
        <f t="shared" si="833"/>
        <v>1590.175587</v>
      </c>
      <c r="FW66" s="51">
        <f t="shared" si="834"/>
        <v>5256.8024555046004</v>
      </c>
      <c r="FX66" s="53">
        <f t="shared" si="835"/>
        <v>1544.083541</v>
      </c>
      <c r="FY66" s="51">
        <f t="shared" si="836"/>
        <v>5104.4313698378</v>
      </c>
      <c r="FZ66" s="53">
        <f t="shared" si="837"/>
        <v>1497.9914949999998</v>
      </c>
      <c r="GA66" s="51">
        <f t="shared" si="838"/>
        <v>4952.0602841709997</v>
      </c>
      <c r="GB66" s="48">
        <f t="shared" si="839"/>
        <v>1451.8994489999998</v>
      </c>
      <c r="GC66" s="51">
        <f t="shared" si="840"/>
        <v>4799.6891985041993</v>
      </c>
      <c r="GD66" s="53">
        <f t="shared" si="841"/>
        <v>1405.8074029999998</v>
      </c>
      <c r="GE66" s="51">
        <f t="shared" si="842"/>
        <v>4647.318112837399</v>
      </c>
      <c r="GF66" s="53">
        <f t="shared" si="843"/>
        <v>1359.7153569999996</v>
      </c>
      <c r="GG66" s="51">
        <f t="shared" si="844"/>
        <v>4494.9470271705986</v>
      </c>
      <c r="GH66" s="48">
        <f t="shared" si="845"/>
        <v>1313.6233109999996</v>
      </c>
      <c r="GI66" s="51">
        <f t="shared" si="846"/>
        <v>4342.5759415037992</v>
      </c>
      <c r="GJ66" s="48"/>
      <c r="GK66" s="48"/>
      <c r="GL66" s="48">
        <v>1</v>
      </c>
      <c r="GM66" s="48">
        <v>0.97</v>
      </c>
      <c r="GN66" s="48">
        <v>0.95</v>
      </c>
      <c r="GO66" s="48">
        <v>0.93</v>
      </c>
      <c r="GP66" s="48">
        <f t="shared" ref="GP66:HG66" si="862">+GO66-0.02</f>
        <v>0.91</v>
      </c>
      <c r="GQ66" s="48">
        <f t="shared" si="862"/>
        <v>0.89</v>
      </c>
      <c r="GR66" s="48">
        <f t="shared" si="862"/>
        <v>0.87</v>
      </c>
      <c r="GS66" s="48">
        <f t="shared" si="862"/>
        <v>0.85</v>
      </c>
      <c r="GT66" s="48">
        <f t="shared" si="862"/>
        <v>0.83</v>
      </c>
      <c r="GU66" s="48">
        <f t="shared" si="862"/>
        <v>0.80999999999999994</v>
      </c>
      <c r="GV66" s="48">
        <f t="shared" si="862"/>
        <v>0.78999999999999992</v>
      </c>
      <c r="GW66" s="48">
        <f t="shared" si="862"/>
        <v>0.76999999999999991</v>
      </c>
      <c r="GX66" s="48">
        <f t="shared" si="862"/>
        <v>0.74999999999999989</v>
      </c>
      <c r="GY66" s="48">
        <f t="shared" si="862"/>
        <v>0.72999999999999987</v>
      </c>
      <c r="GZ66" s="48">
        <f t="shared" si="862"/>
        <v>0.70999999999999985</v>
      </c>
      <c r="HA66" s="48">
        <f t="shared" si="862"/>
        <v>0.68999999999999984</v>
      </c>
      <c r="HB66" s="48">
        <f t="shared" si="862"/>
        <v>0.66999999999999982</v>
      </c>
      <c r="HC66" s="48">
        <f t="shared" si="862"/>
        <v>0.6499999999999998</v>
      </c>
      <c r="HD66" s="48">
        <f t="shared" si="862"/>
        <v>0.62999999999999978</v>
      </c>
      <c r="HE66" s="48">
        <f t="shared" si="862"/>
        <v>0.60999999999999976</v>
      </c>
      <c r="HF66" s="48">
        <f t="shared" si="862"/>
        <v>0.58999999999999975</v>
      </c>
      <c r="HG66" s="48">
        <f t="shared" si="862"/>
        <v>0.56999999999999973</v>
      </c>
    </row>
    <row r="67" spans="1:215" x14ac:dyDescent="0.3">
      <c r="A67" s="2">
        <v>5</v>
      </c>
      <c r="C67" s="39" t="s">
        <v>136</v>
      </c>
      <c r="D67" s="44">
        <v>0</v>
      </c>
      <c r="E67" s="73">
        <f t="shared" si="716"/>
        <v>0</v>
      </c>
      <c r="G67" s="48">
        <f t="shared" si="61"/>
        <v>0</v>
      </c>
      <c r="H67" s="48">
        <f t="shared" si="62"/>
        <v>0</v>
      </c>
      <c r="I67" s="51">
        <f t="shared" si="63"/>
        <v>0</v>
      </c>
      <c r="J67" s="48">
        <f t="shared" si="717"/>
        <v>0</v>
      </c>
      <c r="K67" s="51">
        <f t="shared" si="718"/>
        <v>0</v>
      </c>
      <c r="L67" s="48">
        <f t="shared" si="719"/>
        <v>0</v>
      </c>
      <c r="M67" s="51">
        <f t="shared" si="720"/>
        <v>0</v>
      </c>
      <c r="N67" s="48">
        <f t="shared" si="721"/>
        <v>0</v>
      </c>
      <c r="O67" s="51">
        <f t="shared" si="722"/>
        <v>0</v>
      </c>
      <c r="P67" s="52">
        <f t="shared" si="723"/>
        <v>0</v>
      </c>
      <c r="Q67" s="51">
        <f t="shared" si="724"/>
        <v>0</v>
      </c>
      <c r="R67" s="48">
        <f t="shared" si="725"/>
        <v>0</v>
      </c>
      <c r="S67" s="51">
        <f t="shared" si="726"/>
        <v>0</v>
      </c>
      <c r="T67" s="52">
        <f t="shared" si="727"/>
        <v>0</v>
      </c>
      <c r="U67" s="51">
        <f t="shared" si="728"/>
        <v>0</v>
      </c>
      <c r="V67" s="53">
        <f t="shared" si="729"/>
        <v>0</v>
      </c>
      <c r="W67" s="51">
        <f t="shared" si="730"/>
        <v>0</v>
      </c>
      <c r="X67" s="52">
        <f t="shared" si="731"/>
        <v>0</v>
      </c>
      <c r="Y67" s="51">
        <f t="shared" si="732"/>
        <v>0</v>
      </c>
      <c r="Z67" s="48">
        <f t="shared" si="733"/>
        <v>0</v>
      </c>
      <c r="AA67" s="51">
        <f t="shared" si="734"/>
        <v>0</v>
      </c>
      <c r="AB67" s="53">
        <f t="shared" si="735"/>
        <v>0</v>
      </c>
      <c r="AC67" s="51">
        <f t="shared" si="736"/>
        <v>0</v>
      </c>
      <c r="AD67" s="53">
        <f t="shared" si="737"/>
        <v>0</v>
      </c>
      <c r="AE67" s="51">
        <f t="shared" si="738"/>
        <v>0</v>
      </c>
      <c r="AF67" s="53">
        <f t="shared" si="739"/>
        <v>0</v>
      </c>
      <c r="AG67" s="51">
        <f t="shared" si="740"/>
        <v>0</v>
      </c>
      <c r="AH67" s="48">
        <f t="shared" si="741"/>
        <v>0</v>
      </c>
      <c r="AI67" s="51">
        <f t="shared" si="742"/>
        <v>0</v>
      </c>
      <c r="AJ67" s="53">
        <f t="shared" si="743"/>
        <v>0</v>
      </c>
      <c r="AK67" s="51">
        <f t="shared" si="744"/>
        <v>0</v>
      </c>
      <c r="AL67" s="53">
        <f t="shared" si="745"/>
        <v>0</v>
      </c>
      <c r="AM67" s="51">
        <f t="shared" si="746"/>
        <v>0</v>
      </c>
      <c r="AN67" s="53">
        <f t="shared" si="747"/>
        <v>0</v>
      </c>
      <c r="AO67" s="51">
        <f t="shared" si="748"/>
        <v>0</v>
      </c>
      <c r="AP67" s="53">
        <f t="shared" si="749"/>
        <v>0</v>
      </c>
      <c r="AQ67" s="51">
        <f t="shared" si="750"/>
        <v>0</v>
      </c>
      <c r="AR67" s="48">
        <f t="shared" si="751"/>
        <v>0</v>
      </c>
      <c r="AS67" s="51">
        <f t="shared" si="752"/>
        <v>0</v>
      </c>
      <c r="AT67" s="53">
        <f t="shared" si="753"/>
        <v>0</v>
      </c>
      <c r="AU67" s="51">
        <f t="shared" si="754"/>
        <v>0</v>
      </c>
      <c r="AV67" s="53">
        <f t="shared" si="755"/>
        <v>0</v>
      </c>
      <c r="AW67" s="51">
        <f t="shared" si="756"/>
        <v>0</v>
      </c>
      <c r="AX67" s="48">
        <f t="shared" si="757"/>
        <v>0</v>
      </c>
      <c r="AY67" s="51">
        <f t="shared" si="758"/>
        <v>0</v>
      </c>
      <c r="BB67" s="48">
        <v>1</v>
      </c>
      <c r="BC67" s="48">
        <v>0.97</v>
      </c>
      <c r="BD67" s="48">
        <v>0.95</v>
      </c>
      <c r="BE67" s="48">
        <v>0.93</v>
      </c>
      <c r="BF67" s="48">
        <f t="shared" ref="BF67:BW67" si="863">+BE67-0.02</f>
        <v>0.91</v>
      </c>
      <c r="BG67" s="48">
        <f t="shared" si="863"/>
        <v>0.89</v>
      </c>
      <c r="BH67" s="48">
        <f t="shared" si="863"/>
        <v>0.87</v>
      </c>
      <c r="BI67" s="48">
        <f t="shared" si="863"/>
        <v>0.85</v>
      </c>
      <c r="BJ67" s="48">
        <f t="shared" si="863"/>
        <v>0.83</v>
      </c>
      <c r="BK67" s="48">
        <f t="shared" si="863"/>
        <v>0.80999999999999994</v>
      </c>
      <c r="BL67" s="48">
        <f t="shared" si="863"/>
        <v>0.78999999999999992</v>
      </c>
      <c r="BM67" s="48">
        <f t="shared" si="863"/>
        <v>0.76999999999999991</v>
      </c>
      <c r="BN67" s="48">
        <f t="shared" si="863"/>
        <v>0.74999999999999989</v>
      </c>
      <c r="BO67" s="48">
        <f t="shared" si="863"/>
        <v>0.72999999999999987</v>
      </c>
      <c r="BP67" s="48">
        <f t="shared" si="863"/>
        <v>0.70999999999999985</v>
      </c>
      <c r="BQ67" s="48">
        <f t="shared" si="863"/>
        <v>0.68999999999999984</v>
      </c>
      <c r="BR67" s="48">
        <f t="shared" si="863"/>
        <v>0.66999999999999982</v>
      </c>
      <c r="BS67" s="48">
        <f t="shared" si="863"/>
        <v>0.6499999999999998</v>
      </c>
      <c r="BT67" s="48">
        <f t="shared" si="863"/>
        <v>0.62999999999999978</v>
      </c>
      <c r="BU67" s="48">
        <f t="shared" si="863"/>
        <v>0.60999999999999976</v>
      </c>
      <c r="BV67" s="48">
        <f t="shared" si="863"/>
        <v>0.58999999999999975</v>
      </c>
      <c r="BW67" s="48">
        <f t="shared" si="863"/>
        <v>0.56999999999999973</v>
      </c>
      <c r="BY67" s="48">
        <f t="shared" si="88"/>
        <v>0</v>
      </c>
      <c r="BZ67" s="48">
        <f t="shared" si="89"/>
        <v>0</v>
      </c>
      <c r="CA67" s="51">
        <f t="shared" ref="CA67" si="864">+BZ67*3.3058</f>
        <v>0</v>
      </c>
      <c r="CB67" s="48">
        <f t="shared" si="761"/>
        <v>0</v>
      </c>
      <c r="CC67" s="51">
        <f t="shared" si="762"/>
        <v>0</v>
      </c>
      <c r="CD67" s="48">
        <f t="shared" si="763"/>
        <v>0</v>
      </c>
      <c r="CE67" s="51">
        <f t="shared" si="764"/>
        <v>0</v>
      </c>
      <c r="CF67" s="48">
        <f t="shared" si="765"/>
        <v>0</v>
      </c>
      <c r="CG67" s="51">
        <f t="shared" si="766"/>
        <v>0</v>
      </c>
      <c r="CH67" s="52">
        <f t="shared" si="767"/>
        <v>0</v>
      </c>
      <c r="CI67" s="51">
        <f t="shared" si="768"/>
        <v>0</v>
      </c>
      <c r="CJ67" s="48">
        <f t="shared" si="769"/>
        <v>0</v>
      </c>
      <c r="CK67" s="51">
        <f t="shared" si="770"/>
        <v>0</v>
      </c>
      <c r="CL67" s="52">
        <f t="shared" si="771"/>
        <v>0</v>
      </c>
      <c r="CM67" s="51">
        <f t="shared" si="772"/>
        <v>0</v>
      </c>
      <c r="CN67" s="53">
        <f t="shared" si="773"/>
        <v>0</v>
      </c>
      <c r="CO67" s="51">
        <f t="shared" si="774"/>
        <v>0</v>
      </c>
      <c r="CP67" s="52">
        <f t="shared" si="775"/>
        <v>0</v>
      </c>
      <c r="CQ67" s="51">
        <f t="shared" si="776"/>
        <v>0</v>
      </c>
      <c r="CR67" s="48">
        <f t="shared" si="777"/>
        <v>0</v>
      </c>
      <c r="CS67" s="51">
        <f t="shared" si="778"/>
        <v>0</v>
      </c>
      <c r="CT67" s="53">
        <f t="shared" si="779"/>
        <v>0</v>
      </c>
      <c r="CU67" s="51">
        <f t="shared" si="780"/>
        <v>0</v>
      </c>
      <c r="CV67" s="53">
        <f t="shared" si="781"/>
        <v>0</v>
      </c>
      <c r="CW67" s="51">
        <f t="shared" si="782"/>
        <v>0</v>
      </c>
      <c r="CX67" s="53">
        <f t="shared" si="783"/>
        <v>0</v>
      </c>
      <c r="CY67" s="51">
        <f t="shared" si="784"/>
        <v>0</v>
      </c>
      <c r="CZ67" s="48">
        <f t="shared" si="785"/>
        <v>0</v>
      </c>
      <c r="DA67" s="51">
        <f t="shared" si="786"/>
        <v>0</v>
      </c>
      <c r="DB67" s="53">
        <f t="shared" si="787"/>
        <v>0</v>
      </c>
      <c r="DC67" s="51">
        <f t="shared" si="788"/>
        <v>0</v>
      </c>
      <c r="DD67" s="53">
        <f t="shared" si="789"/>
        <v>0</v>
      </c>
      <c r="DE67" s="51">
        <f t="shared" si="790"/>
        <v>0</v>
      </c>
      <c r="DF67" s="53">
        <f t="shared" si="791"/>
        <v>0</v>
      </c>
      <c r="DG67" s="51">
        <f t="shared" si="792"/>
        <v>0</v>
      </c>
      <c r="DH67" s="53">
        <f t="shared" si="793"/>
        <v>0</v>
      </c>
      <c r="DI67" s="51">
        <f t="shared" si="794"/>
        <v>0</v>
      </c>
      <c r="DJ67" s="48">
        <f t="shared" si="795"/>
        <v>0</v>
      </c>
      <c r="DK67" s="51">
        <f t="shared" si="796"/>
        <v>0</v>
      </c>
      <c r="DL67" s="53">
        <f t="shared" si="797"/>
        <v>0</v>
      </c>
      <c r="DM67" s="51">
        <f t="shared" si="798"/>
        <v>0</v>
      </c>
      <c r="DN67" s="53">
        <f t="shared" si="799"/>
        <v>0</v>
      </c>
      <c r="DO67" s="51">
        <f t="shared" si="800"/>
        <v>0</v>
      </c>
      <c r="DP67" s="48">
        <f t="shared" si="801"/>
        <v>0</v>
      </c>
      <c r="DQ67" s="51">
        <f t="shared" si="802"/>
        <v>0</v>
      </c>
      <c r="DT67" s="48">
        <v>1</v>
      </c>
      <c r="DU67" s="48">
        <v>0.97</v>
      </c>
      <c r="DV67" s="48">
        <v>0.95</v>
      </c>
      <c r="DW67" s="48">
        <v>0.93</v>
      </c>
      <c r="DX67" s="48">
        <f t="shared" ref="DX67:EO67" si="865">+DW67-0.02</f>
        <v>0.91</v>
      </c>
      <c r="DY67" s="48">
        <f t="shared" si="865"/>
        <v>0.89</v>
      </c>
      <c r="DZ67" s="48">
        <f t="shared" si="865"/>
        <v>0.87</v>
      </c>
      <c r="EA67" s="48">
        <f t="shared" si="865"/>
        <v>0.85</v>
      </c>
      <c r="EB67" s="48">
        <f t="shared" si="865"/>
        <v>0.83</v>
      </c>
      <c r="EC67" s="48">
        <f t="shared" si="865"/>
        <v>0.80999999999999994</v>
      </c>
      <c r="ED67" s="48">
        <f t="shared" si="865"/>
        <v>0.78999999999999992</v>
      </c>
      <c r="EE67" s="48">
        <f t="shared" si="865"/>
        <v>0.76999999999999991</v>
      </c>
      <c r="EF67" s="48">
        <f t="shared" si="865"/>
        <v>0.74999999999999989</v>
      </c>
      <c r="EG67" s="48">
        <f t="shared" si="865"/>
        <v>0.72999999999999987</v>
      </c>
      <c r="EH67" s="48">
        <f t="shared" si="865"/>
        <v>0.70999999999999985</v>
      </c>
      <c r="EI67" s="48">
        <f t="shared" si="865"/>
        <v>0.68999999999999984</v>
      </c>
      <c r="EJ67" s="48">
        <f t="shared" si="865"/>
        <v>0.66999999999999982</v>
      </c>
      <c r="EK67" s="48">
        <f t="shared" si="865"/>
        <v>0.6499999999999998</v>
      </c>
      <c r="EL67" s="48">
        <f t="shared" si="865"/>
        <v>0.62999999999999978</v>
      </c>
      <c r="EM67" s="48">
        <f t="shared" si="865"/>
        <v>0.60999999999999976</v>
      </c>
      <c r="EN67" s="48">
        <f t="shared" si="865"/>
        <v>0.58999999999999975</v>
      </c>
      <c r="EO67" s="48">
        <f t="shared" si="865"/>
        <v>0.56999999999999973</v>
      </c>
      <c r="EQ67" s="48">
        <f t="shared" si="188"/>
        <v>0</v>
      </c>
      <c r="ER67" s="48">
        <f t="shared" si="116"/>
        <v>0</v>
      </c>
      <c r="ES67" s="51">
        <f t="shared" ref="ES67" si="866">+ER67*3.3058</f>
        <v>0</v>
      </c>
      <c r="ET67" s="48">
        <f t="shared" si="805"/>
        <v>0</v>
      </c>
      <c r="EU67" s="51">
        <f t="shared" si="806"/>
        <v>0</v>
      </c>
      <c r="EV67" s="48">
        <f t="shared" si="807"/>
        <v>0</v>
      </c>
      <c r="EW67" s="51">
        <f t="shared" si="808"/>
        <v>0</v>
      </c>
      <c r="EX67" s="48">
        <f t="shared" si="809"/>
        <v>0</v>
      </c>
      <c r="EY67" s="51">
        <f t="shared" si="810"/>
        <v>0</v>
      </c>
      <c r="EZ67" s="52">
        <f t="shared" si="811"/>
        <v>0</v>
      </c>
      <c r="FA67" s="51">
        <f t="shared" si="812"/>
        <v>0</v>
      </c>
      <c r="FB67" s="48">
        <f t="shared" si="813"/>
        <v>0</v>
      </c>
      <c r="FC67" s="51">
        <f t="shared" si="814"/>
        <v>0</v>
      </c>
      <c r="FD67" s="52">
        <f t="shared" si="815"/>
        <v>0</v>
      </c>
      <c r="FE67" s="51">
        <f t="shared" si="816"/>
        <v>0</v>
      </c>
      <c r="FF67" s="53">
        <f t="shared" si="817"/>
        <v>0</v>
      </c>
      <c r="FG67" s="51">
        <f t="shared" si="818"/>
        <v>0</v>
      </c>
      <c r="FH67" s="52">
        <f t="shared" si="819"/>
        <v>0</v>
      </c>
      <c r="FI67" s="51">
        <f t="shared" si="820"/>
        <v>0</v>
      </c>
      <c r="FJ67" s="48">
        <f t="shared" si="821"/>
        <v>0</v>
      </c>
      <c r="FK67" s="51">
        <f t="shared" si="822"/>
        <v>0</v>
      </c>
      <c r="FL67" s="53">
        <f t="shared" si="823"/>
        <v>0</v>
      </c>
      <c r="FM67" s="51">
        <f t="shared" si="824"/>
        <v>0</v>
      </c>
      <c r="FN67" s="53">
        <f t="shared" si="825"/>
        <v>0</v>
      </c>
      <c r="FO67" s="51">
        <f t="shared" si="826"/>
        <v>0</v>
      </c>
      <c r="FP67" s="53">
        <f t="shared" si="827"/>
        <v>0</v>
      </c>
      <c r="FQ67" s="51">
        <f t="shared" si="828"/>
        <v>0</v>
      </c>
      <c r="FR67" s="48">
        <f t="shared" si="829"/>
        <v>0</v>
      </c>
      <c r="FS67" s="51">
        <f t="shared" si="830"/>
        <v>0</v>
      </c>
      <c r="FT67" s="53">
        <f t="shared" si="831"/>
        <v>0</v>
      </c>
      <c r="FU67" s="51">
        <f t="shared" si="832"/>
        <v>0</v>
      </c>
      <c r="FV67" s="53">
        <f t="shared" si="833"/>
        <v>0</v>
      </c>
      <c r="FW67" s="51">
        <f t="shared" si="834"/>
        <v>0</v>
      </c>
      <c r="FX67" s="53">
        <f t="shared" si="835"/>
        <v>0</v>
      </c>
      <c r="FY67" s="51">
        <f t="shared" si="836"/>
        <v>0</v>
      </c>
      <c r="FZ67" s="53">
        <f t="shared" si="837"/>
        <v>0</v>
      </c>
      <c r="GA67" s="51">
        <f t="shared" si="838"/>
        <v>0</v>
      </c>
      <c r="GB67" s="48">
        <f t="shared" si="839"/>
        <v>0</v>
      </c>
      <c r="GC67" s="51">
        <f t="shared" si="840"/>
        <v>0</v>
      </c>
      <c r="GD67" s="53">
        <f t="shared" si="841"/>
        <v>0</v>
      </c>
      <c r="GE67" s="51">
        <f t="shared" si="842"/>
        <v>0</v>
      </c>
      <c r="GF67" s="53">
        <f t="shared" si="843"/>
        <v>0</v>
      </c>
      <c r="GG67" s="51">
        <f t="shared" si="844"/>
        <v>0</v>
      </c>
      <c r="GH67" s="48">
        <f t="shared" si="845"/>
        <v>0</v>
      </c>
      <c r="GI67" s="51">
        <f t="shared" si="846"/>
        <v>0</v>
      </c>
      <c r="GJ67" s="48"/>
      <c r="GK67" s="48"/>
      <c r="GL67" s="48">
        <v>1</v>
      </c>
      <c r="GM67" s="48">
        <v>0.97</v>
      </c>
      <c r="GN67" s="48">
        <v>0.95</v>
      </c>
      <c r="GO67" s="48">
        <v>0.93</v>
      </c>
      <c r="GP67" s="48">
        <f t="shared" ref="GP67:HG67" si="867">+GO67-0.02</f>
        <v>0.91</v>
      </c>
      <c r="GQ67" s="48">
        <f t="shared" si="867"/>
        <v>0.89</v>
      </c>
      <c r="GR67" s="48">
        <f t="shared" si="867"/>
        <v>0.87</v>
      </c>
      <c r="GS67" s="48">
        <f t="shared" si="867"/>
        <v>0.85</v>
      </c>
      <c r="GT67" s="48">
        <f t="shared" si="867"/>
        <v>0.83</v>
      </c>
      <c r="GU67" s="48">
        <f t="shared" si="867"/>
        <v>0.80999999999999994</v>
      </c>
      <c r="GV67" s="48">
        <f t="shared" si="867"/>
        <v>0.78999999999999992</v>
      </c>
      <c r="GW67" s="48">
        <f t="shared" si="867"/>
        <v>0.76999999999999991</v>
      </c>
      <c r="GX67" s="48">
        <f t="shared" si="867"/>
        <v>0.74999999999999989</v>
      </c>
      <c r="GY67" s="48">
        <f t="shared" si="867"/>
        <v>0.72999999999999987</v>
      </c>
      <c r="GZ67" s="48">
        <f t="shared" si="867"/>
        <v>0.70999999999999985</v>
      </c>
      <c r="HA67" s="48">
        <f t="shared" si="867"/>
        <v>0.68999999999999984</v>
      </c>
      <c r="HB67" s="48">
        <f t="shared" si="867"/>
        <v>0.66999999999999982</v>
      </c>
      <c r="HC67" s="48">
        <f t="shared" si="867"/>
        <v>0.6499999999999998</v>
      </c>
      <c r="HD67" s="48">
        <f t="shared" si="867"/>
        <v>0.62999999999999978</v>
      </c>
      <c r="HE67" s="48">
        <f t="shared" si="867"/>
        <v>0.60999999999999976</v>
      </c>
      <c r="HF67" s="48">
        <f t="shared" si="867"/>
        <v>0.58999999999999975</v>
      </c>
      <c r="HG67" s="48">
        <f t="shared" si="867"/>
        <v>0.56999999999999973</v>
      </c>
    </row>
    <row r="68" spans="1:215" x14ac:dyDescent="0.3">
      <c r="A68" s="2">
        <v>6</v>
      </c>
      <c r="C68" s="39" t="s">
        <v>137</v>
      </c>
      <c r="D68" s="44">
        <f>TRUNC(16059.2539464972,-1)</f>
        <v>16050</v>
      </c>
      <c r="E68" s="73">
        <f t="shared" si="716"/>
        <v>53050</v>
      </c>
      <c r="F68" s="2" t="s">
        <v>376</v>
      </c>
      <c r="G68" s="48">
        <f t="shared" si="61"/>
        <v>17655</v>
      </c>
      <c r="H68" s="48">
        <f t="shared" si="62"/>
        <v>17655</v>
      </c>
      <c r="I68" s="51">
        <f t="shared" si="63"/>
        <v>58363.899000000005</v>
      </c>
      <c r="J68" s="48">
        <f t="shared" si="717"/>
        <v>17125.349999999999</v>
      </c>
      <c r="K68" s="51">
        <f t="shared" si="718"/>
        <v>56612.982029999999</v>
      </c>
      <c r="L68" s="48">
        <f t="shared" si="719"/>
        <v>16772.25</v>
      </c>
      <c r="M68" s="51">
        <f t="shared" si="720"/>
        <v>55445.70405</v>
      </c>
      <c r="N68" s="48">
        <f t="shared" si="721"/>
        <v>16419.150000000001</v>
      </c>
      <c r="O68" s="51">
        <f t="shared" si="722"/>
        <v>54278.426070000009</v>
      </c>
      <c r="P68" s="52">
        <f t="shared" si="723"/>
        <v>16066.050000000001</v>
      </c>
      <c r="Q68" s="51">
        <f t="shared" si="724"/>
        <v>53111.148090000002</v>
      </c>
      <c r="R68" s="48">
        <f t="shared" si="725"/>
        <v>15712.95</v>
      </c>
      <c r="S68" s="51">
        <f t="shared" si="726"/>
        <v>51943.870110000003</v>
      </c>
      <c r="T68" s="52">
        <f t="shared" si="727"/>
        <v>15359.85</v>
      </c>
      <c r="U68" s="51">
        <f t="shared" si="728"/>
        <v>50776.592130000005</v>
      </c>
      <c r="V68" s="53">
        <f t="shared" si="729"/>
        <v>15006.75</v>
      </c>
      <c r="W68" s="51">
        <f t="shared" si="730"/>
        <v>49609.314149999998</v>
      </c>
      <c r="X68" s="52">
        <f t="shared" si="731"/>
        <v>14653.65</v>
      </c>
      <c r="Y68" s="51">
        <f t="shared" si="732"/>
        <v>48442.036169999999</v>
      </c>
      <c r="Z68" s="48">
        <f t="shared" si="733"/>
        <v>14300.55</v>
      </c>
      <c r="AA68" s="51">
        <f t="shared" si="734"/>
        <v>47274.75819</v>
      </c>
      <c r="AB68" s="53">
        <f t="shared" si="735"/>
        <v>13947.449999999999</v>
      </c>
      <c r="AC68" s="51">
        <f t="shared" si="736"/>
        <v>46107.480209999994</v>
      </c>
      <c r="AD68" s="53">
        <f t="shared" si="737"/>
        <v>13594.349999999999</v>
      </c>
      <c r="AE68" s="51">
        <f t="shared" si="738"/>
        <v>44940.202229999995</v>
      </c>
      <c r="AF68" s="53">
        <f t="shared" si="739"/>
        <v>13241.249999999998</v>
      </c>
      <c r="AG68" s="51">
        <f t="shared" si="740"/>
        <v>43772.924249999996</v>
      </c>
      <c r="AH68" s="48">
        <f t="shared" si="741"/>
        <v>12888.149999999998</v>
      </c>
      <c r="AI68" s="51">
        <f t="shared" si="742"/>
        <v>42605.64626999999</v>
      </c>
      <c r="AJ68" s="53">
        <f t="shared" si="743"/>
        <v>12535.049999999997</v>
      </c>
      <c r="AK68" s="51">
        <f t="shared" si="744"/>
        <v>41438.368289999991</v>
      </c>
      <c r="AL68" s="53">
        <f t="shared" si="745"/>
        <v>12181.949999999997</v>
      </c>
      <c r="AM68" s="51">
        <f t="shared" si="746"/>
        <v>40271.090309999992</v>
      </c>
      <c r="AN68" s="53">
        <f t="shared" si="747"/>
        <v>11828.849999999997</v>
      </c>
      <c r="AO68" s="51">
        <f t="shared" si="748"/>
        <v>39103.812329999993</v>
      </c>
      <c r="AP68" s="53">
        <f t="shared" si="749"/>
        <v>11475.749999999996</v>
      </c>
      <c r="AQ68" s="51">
        <f t="shared" si="750"/>
        <v>37936.534349999987</v>
      </c>
      <c r="AR68" s="48">
        <f t="shared" si="751"/>
        <v>11122.649999999996</v>
      </c>
      <c r="AS68" s="51">
        <f t="shared" si="752"/>
        <v>36769.256369999988</v>
      </c>
      <c r="AT68" s="53">
        <f t="shared" si="753"/>
        <v>10769.549999999996</v>
      </c>
      <c r="AU68" s="51">
        <f t="shared" si="754"/>
        <v>35601.978389999989</v>
      </c>
      <c r="AV68" s="53">
        <f t="shared" si="755"/>
        <v>10416.449999999995</v>
      </c>
      <c r="AW68" s="51">
        <f t="shared" si="756"/>
        <v>34434.700409999983</v>
      </c>
      <c r="AX68" s="48">
        <f t="shared" si="757"/>
        <v>10063.349999999995</v>
      </c>
      <c r="AY68" s="51">
        <f t="shared" si="758"/>
        <v>33267.422429999984</v>
      </c>
      <c r="BB68" s="48">
        <v>1</v>
      </c>
      <c r="BC68" s="48">
        <v>0.97</v>
      </c>
      <c r="BD68" s="48">
        <v>0.95</v>
      </c>
      <c r="BE68" s="48">
        <v>0.93</v>
      </c>
      <c r="BF68" s="48">
        <f t="shared" ref="BF68:BW68" si="868">+BE68-0.02</f>
        <v>0.91</v>
      </c>
      <c r="BG68" s="48">
        <f t="shared" si="868"/>
        <v>0.89</v>
      </c>
      <c r="BH68" s="48">
        <f t="shared" si="868"/>
        <v>0.87</v>
      </c>
      <c r="BI68" s="48">
        <f t="shared" si="868"/>
        <v>0.85</v>
      </c>
      <c r="BJ68" s="48">
        <f t="shared" si="868"/>
        <v>0.83</v>
      </c>
      <c r="BK68" s="48">
        <f t="shared" si="868"/>
        <v>0.80999999999999994</v>
      </c>
      <c r="BL68" s="48">
        <f t="shared" si="868"/>
        <v>0.78999999999999992</v>
      </c>
      <c r="BM68" s="48">
        <f t="shared" si="868"/>
        <v>0.76999999999999991</v>
      </c>
      <c r="BN68" s="48">
        <f t="shared" si="868"/>
        <v>0.74999999999999989</v>
      </c>
      <c r="BO68" s="48">
        <f t="shared" si="868"/>
        <v>0.72999999999999987</v>
      </c>
      <c r="BP68" s="48">
        <f t="shared" si="868"/>
        <v>0.70999999999999985</v>
      </c>
      <c r="BQ68" s="48">
        <f t="shared" si="868"/>
        <v>0.68999999999999984</v>
      </c>
      <c r="BR68" s="48">
        <f t="shared" si="868"/>
        <v>0.66999999999999982</v>
      </c>
      <c r="BS68" s="48">
        <f t="shared" si="868"/>
        <v>0.6499999999999998</v>
      </c>
      <c r="BT68" s="48">
        <f t="shared" si="868"/>
        <v>0.62999999999999978</v>
      </c>
      <c r="BU68" s="48">
        <f t="shared" si="868"/>
        <v>0.60999999999999976</v>
      </c>
      <c r="BV68" s="48">
        <f t="shared" si="868"/>
        <v>0.58999999999999975</v>
      </c>
      <c r="BW68" s="48">
        <f t="shared" si="868"/>
        <v>0.56999999999999973</v>
      </c>
      <c r="BY68" s="48">
        <f t="shared" si="88"/>
        <v>16066.050000000001</v>
      </c>
      <c r="BZ68" s="48">
        <f t="shared" si="89"/>
        <v>16066.050000000001</v>
      </c>
      <c r="CA68" s="51">
        <f t="shared" ref="CA68" si="869">+BZ68*3.3058</f>
        <v>53111.148090000002</v>
      </c>
      <c r="CB68" s="48">
        <f t="shared" si="761"/>
        <v>15584.068500000001</v>
      </c>
      <c r="CC68" s="51">
        <f t="shared" si="762"/>
        <v>51517.813647300005</v>
      </c>
      <c r="CD68" s="48">
        <f t="shared" si="763"/>
        <v>15262.747499999999</v>
      </c>
      <c r="CE68" s="51">
        <f t="shared" si="764"/>
        <v>50455.590685499999</v>
      </c>
      <c r="CF68" s="48">
        <f t="shared" si="765"/>
        <v>14941.426500000001</v>
      </c>
      <c r="CG68" s="51">
        <f t="shared" si="766"/>
        <v>49393.367723700008</v>
      </c>
      <c r="CH68" s="52">
        <f t="shared" si="767"/>
        <v>14620.105500000001</v>
      </c>
      <c r="CI68" s="51">
        <f t="shared" si="768"/>
        <v>48331.144761900003</v>
      </c>
      <c r="CJ68" s="48">
        <f t="shared" si="769"/>
        <v>14298.784500000002</v>
      </c>
      <c r="CK68" s="51">
        <f t="shared" si="770"/>
        <v>47268.921800100004</v>
      </c>
      <c r="CL68" s="52">
        <f t="shared" si="771"/>
        <v>13977.463500000002</v>
      </c>
      <c r="CM68" s="51">
        <f t="shared" si="772"/>
        <v>46206.698838300006</v>
      </c>
      <c r="CN68" s="53">
        <f t="shared" si="773"/>
        <v>13656.1425</v>
      </c>
      <c r="CO68" s="51">
        <f t="shared" si="774"/>
        <v>45144.475876500001</v>
      </c>
      <c r="CP68" s="52">
        <f t="shared" si="775"/>
        <v>13334.8215</v>
      </c>
      <c r="CQ68" s="51">
        <f t="shared" si="776"/>
        <v>44082.252914700002</v>
      </c>
      <c r="CR68" s="48">
        <f t="shared" si="777"/>
        <v>13013.5005</v>
      </c>
      <c r="CS68" s="51">
        <f t="shared" si="778"/>
        <v>43020.029952900004</v>
      </c>
      <c r="CT68" s="53">
        <f t="shared" si="779"/>
        <v>12692.1795</v>
      </c>
      <c r="CU68" s="51">
        <f t="shared" si="780"/>
        <v>41957.806991099998</v>
      </c>
      <c r="CV68" s="53">
        <f t="shared" si="781"/>
        <v>12370.858499999998</v>
      </c>
      <c r="CW68" s="51">
        <f t="shared" si="782"/>
        <v>40895.584029299993</v>
      </c>
      <c r="CX68" s="53">
        <f t="shared" si="783"/>
        <v>12049.537499999999</v>
      </c>
      <c r="CY68" s="51">
        <f t="shared" si="784"/>
        <v>39833.361067499995</v>
      </c>
      <c r="CZ68" s="48">
        <f t="shared" si="785"/>
        <v>11728.216499999999</v>
      </c>
      <c r="DA68" s="51">
        <f t="shared" si="786"/>
        <v>38771.138105699996</v>
      </c>
      <c r="DB68" s="53">
        <f t="shared" si="787"/>
        <v>11406.895499999999</v>
      </c>
      <c r="DC68" s="51">
        <f t="shared" si="788"/>
        <v>37708.915143899998</v>
      </c>
      <c r="DD68" s="53">
        <f t="shared" si="789"/>
        <v>11085.574499999999</v>
      </c>
      <c r="DE68" s="51">
        <f t="shared" si="790"/>
        <v>36646.6921821</v>
      </c>
      <c r="DF68" s="53">
        <f t="shared" si="791"/>
        <v>10764.253499999997</v>
      </c>
      <c r="DG68" s="51">
        <f t="shared" si="792"/>
        <v>35584.469220299994</v>
      </c>
      <c r="DH68" s="53">
        <f t="shared" si="793"/>
        <v>10442.932499999997</v>
      </c>
      <c r="DI68" s="51">
        <f t="shared" si="794"/>
        <v>34522.246258499988</v>
      </c>
      <c r="DJ68" s="48">
        <f t="shared" si="795"/>
        <v>10121.611499999997</v>
      </c>
      <c r="DK68" s="51">
        <f t="shared" si="796"/>
        <v>33460.02329669999</v>
      </c>
      <c r="DL68" s="53">
        <f t="shared" si="797"/>
        <v>9800.2904999999973</v>
      </c>
      <c r="DM68" s="51">
        <f t="shared" si="798"/>
        <v>32397.800334899992</v>
      </c>
      <c r="DN68" s="53">
        <f t="shared" si="799"/>
        <v>9478.9694999999974</v>
      </c>
      <c r="DO68" s="51">
        <f t="shared" si="800"/>
        <v>31335.577373099994</v>
      </c>
      <c r="DP68" s="48">
        <f t="shared" si="801"/>
        <v>9157.6484999999957</v>
      </c>
      <c r="DQ68" s="51">
        <f t="shared" si="802"/>
        <v>30273.354411299988</v>
      </c>
      <c r="DT68" s="48">
        <v>1</v>
      </c>
      <c r="DU68" s="48">
        <v>0.97</v>
      </c>
      <c r="DV68" s="48">
        <v>0.95</v>
      </c>
      <c r="DW68" s="48">
        <v>0.93</v>
      </c>
      <c r="DX68" s="48">
        <f t="shared" ref="DX68:EO68" si="870">+DW68-0.02</f>
        <v>0.91</v>
      </c>
      <c r="DY68" s="48">
        <f t="shared" si="870"/>
        <v>0.89</v>
      </c>
      <c r="DZ68" s="48">
        <f t="shared" si="870"/>
        <v>0.87</v>
      </c>
      <c r="EA68" s="48">
        <f t="shared" si="870"/>
        <v>0.85</v>
      </c>
      <c r="EB68" s="48">
        <f t="shared" si="870"/>
        <v>0.83</v>
      </c>
      <c r="EC68" s="48">
        <f t="shared" si="870"/>
        <v>0.80999999999999994</v>
      </c>
      <c r="ED68" s="48">
        <f t="shared" si="870"/>
        <v>0.78999999999999992</v>
      </c>
      <c r="EE68" s="48">
        <f t="shared" si="870"/>
        <v>0.76999999999999991</v>
      </c>
      <c r="EF68" s="48">
        <f t="shared" si="870"/>
        <v>0.74999999999999989</v>
      </c>
      <c r="EG68" s="48">
        <f t="shared" si="870"/>
        <v>0.72999999999999987</v>
      </c>
      <c r="EH68" s="48">
        <f t="shared" si="870"/>
        <v>0.70999999999999985</v>
      </c>
      <c r="EI68" s="48">
        <f t="shared" si="870"/>
        <v>0.68999999999999984</v>
      </c>
      <c r="EJ68" s="48">
        <f t="shared" si="870"/>
        <v>0.66999999999999982</v>
      </c>
      <c r="EK68" s="48">
        <f t="shared" si="870"/>
        <v>0.6499999999999998</v>
      </c>
      <c r="EL68" s="48">
        <f t="shared" si="870"/>
        <v>0.62999999999999978</v>
      </c>
      <c r="EM68" s="48">
        <f t="shared" si="870"/>
        <v>0.60999999999999976</v>
      </c>
      <c r="EN68" s="48">
        <f t="shared" si="870"/>
        <v>0.58999999999999975</v>
      </c>
      <c r="EO68" s="48">
        <f t="shared" si="870"/>
        <v>0.56999999999999973</v>
      </c>
      <c r="EQ68" s="48">
        <f t="shared" si="188"/>
        <v>14620.105500000001</v>
      </c>
      <c r="ER68" s="48">
        <f t="shared" si="116"/>
        <v>14620.105500000001</v>
      </c>
      <c r="ES68" s="51">
        <f t="shared" ref="ES68" si="871">+ER68*3.3058</f>
        <v>48331.144761900003</v>
      </c>
      <c r="ET68" s="48">
        <f t="shared" si="805"/>
        <v>14181.502335000001</v>
      </c>
      <c r="EU68" s="51">
        <f t="shared" si="806"/>
        <v>46881.210419043004</v>
      </c>
      <c r="EV68" s="48">
        <f t="shared" si="807"/>
        <v>13889.100225</v>
      </c>
      <c r="EW68" s="51">
        <f t="shared" si="808"/>
        <v>45914.587523804999</v>
      </c>
      <c r="EX68" s="48">
        <f t="shared" si="809"/>
        <v>13596.698115000003</v>
      </c>
      <c r="EY68" s="51">
        <f t="shared" si="810"/>
        <v>44947.96462856701</v>
      </c>
      <c r="EZ68" s="52">
        <f t="shared" si="811"/>
        <v>13304.296005000002</v>
      </c>
      <c r="FA68" s="51">
        <f t="shared" si="812"/>
        <v>43981.341733329005</v>
      </c>
      <c r="FB68" s="48">
        <f t="shared" si="813"/>
        <v>13011.893895000001</v>
      </c>
      <c r="FC68" s="51">
        <f t="shared" si="814"/>
        <v>43014.718838091001</v>
      </c>
      <c r="FD68" s="52">
        <f t="shared" si="815"/>
        <v>12719.491785000002</v>
      </c>
      <c r="FE68" s="51">
        <f t="shared" si="816"/>
        <v>42048.095942853004</v>
      </c>
      <c r="FF68" s="53">
        <f t="shared" si="817"/>
        <v>12427.089675000001</v>
      </c>
      <c r="FG68" s="51">
        <f t="shared" si="818"/>
        <v>41081.473047615007</v>
      </c>
      <c r="FH68" s="52">
        <f t="shared" si="819"/>
        <v>12134.687565</v>
      </c>
      <c r="FI68" s="51">
        <f t="shared" si="820"/>
        <v>40114.850152377003</v>
      </c>
      <c r="FJ68" s="48">
        <f t="shared" si="821"/>
        <v>11842.285455000001</v>
      </c>
      <c r="FK68" s="51">
        <f t="shared" si="822"/>
        <v>39148.227257139006</v>
      </c>
      <c r="FL68" s="53">
        <f t="shared" si="823"/>
        <v>11549.883345</v>
      </c>
      <c r="FM68" s="51">
        <f t="shared" si="824"/>
        <v>38181.604361901002</v>
      </c>
      <c r="FN68" s="53">
        <f t="shared" si="825"/>
        <v>11257.481234999999</v>
      </c>
      <c r="FO68" s="51">
        <f t="shared" si="826"/>
        <v>37214.981466662997</v>
      </c>
      <c r="FP68" s="53">
        <f t="shared" si="827"/>
        <v>10965.079125</v>
      </c>
      <c r="FQ68" s="51">
        <f t="shared" si="828"/>
        <v>36248.358571425</v>
      </c>
      <c r="FR68" s="48">
        <f t="shared" si="829"/>
        <v>10672.677014999999</v>
      </c>
      <c r="FS68" s="51">
        <f t="shared" si="830"/>
        <v>35281.735676186996</v>
      </c>
      <c r="FT68" s="53">
        <f t="shared" si="831"/>
        <v>10380.274904999998</v>
      </c>
      <c r="FU68" s="51">
        <f t="shared" si="832"/>
        <v>34315.112780948999</v>
      </c>
      <c r="FV68" s="53">
        <f t="shared" si="833"/>
        <v>10087.872794999999</v>
      </c>
      <c r="FW68" s="51">
        <f t="shared" si="834"/>
        <v>33348.489885711002</v>
      </c>
      <c r="FX68" s="53">
        <f t="shared" si="835"/>
        <v>9795.4706849999984</v>
      </c>
      <c r="FY68" s="51">
        <f t="shared" si="836"/>
        <v>32381.866990472994</v>
      </c>
      <c r="FZ68" s="53">
        <f t="shared" si="837"/>
        <v>9503.0685749999975</v>
      </c>
      <c r="GA68" s="51">
        <f t="shared" si="838"/>
        <v>31415.244095234993</v>
      </c>
      <c r="GB68" s="48">
        <f t="shared" si="839"/>
        <v>9210.6664649999984</v>
      </c>
      <c r="GC68" s="51">
        <f t="shared" si="840"/>
        <v>30448.621199996996</v>
      </c>
      <c r="GD68" s="53">
        <f t="shared" si="841"/>
        <v>8918.2643549999975</v>
      </c>
      <c r="GE68" s="51">
        <f t="shared" si="842"/>
        <v>29481.998304758992</v>
      </c>
      <c r="GF68" s="53">
        <f t="shared" si="843"/>
        <v>8625.8622449999966</v>
      </c>
      <c r="GG68" s="51">
        <f t="shared" si="844"/>
        <v>28515.375409520988</v>
      </c>
      <c r="GH68" s="48">
        <f t="shared" si="845"/>
        <v>8333.4601349999975</v>
      </c>
      <c r="GI68" s="51">
        <f t="shared" si="846"/>
        <v>27548.752514282991</v>
      </c>
      <c r="GJ68" s="48"/>
      <c r="GK68" s="48"/>
      <c r="GL68" s="48">
        <v>1</v>
      </c>
      <c r="GM68" s="48">
        <v>0.97</v>
      </c>
      <c r="GN68" s="48">
        <v>0.95</v>
      </c>
      <c r="GO68" s="48">
        <v>0.93</v>
      </c>
      <c r="GP68" s="48">
        <f t="shared" ref="GP68:HG68" si="872">+GO68-0.02</f>
        <v>0.91</v>
      </c>
      <c r="GQ68" s="48">
        <f t="shared" si="872"/>
        <v>0.89</v>
      </c>
      <c r="GR68" s="48">
        <f t="shared" si="872"/>
        <v>0.87</v>
      </c>
      <c r="GS68" s="48">
        <f t="shared" si="872"/>
        <v>0.85</v>
      </c>
      <c r="GT68" s="48">
        <f t="shared" si="872"/>
        <v>0.83</v>
      </c>
      <c r="GU68" s="48">
        <f t="shared" si="872"/>
        <v>0.80999999999999994</v>
      </c>
      <c r="GV68" s="48">
        <f t="shared" si="872"/>
        <v>0.78999999999999992</v>
      </c>
      <c r="GW68" s="48">
        <f t="shared" si="872"/>
        <v>0.76999999999999991</v>
      </c>
      <c r="GX68" s="48">
        <f t="shared" si="872"/>
        <v>0.74999999999999989</v>
      </c>
      <c r="GY68" s="48">
        <f t="shared" si="872"/>
        <v>0.72999999999999987</v>
      </c>
      <c r="GZ68" s="48">
        <f t="shared" si="872"/>
        <v>0.70999999999999985</v>
      </c>
      <c r="HA68" s="48">
        <f t="shared" si="872"/>
        <v>0.68999999999999984</v>
      </c>
      <c r="HB68" s="48">
        <f t="shared" si="872"/>
        <v>0.66999999999999982</v>
      </c>
      <c r="HC68" s="48">
        <f t="shared" si="872"/>
        <v>0.6499999999999998</v>
      </c>
      <c r="HD68" s="48">
        <f t="shared" si="872"/>
        <v>0.62999999999999978</v>
      </c>
      <c r="HE68" s="48">
        <f t="shared" si="872"/>
        <v>0.60999999999999976</v>
      </c>
      <c r="HF68" s="48">
        <f t="shared" si="872"/>
        <v>0.58999999999999975</v>
      </c>
      <c r="HG68" s="48">
        <f t="shared" si="872"/>
        <v>0.56999999999999973</v>
      </c>
    </row>
    <row r="69" spans="1:215" x14ac:dyDescent="0.3">
      <c r="A69" s="2">
        <v>7</v>
      </c>
      <c r="C69" s="39" t="s">
        <v>138</v>
      </c>
      <c r="D69" s="44">
        <f>TRUNC(5262.34748922627,-1)</f>
        <v>5260</v>
      </c>
      <c r="E69" s="73">
        <f t="shared" si="716"/>
        <v>17380</v>
      </c>
      <c r="G69" s="48">
        <f t="shared" si="61"/>
        <v>5786.0000000000009</v>
      </c>
      <c r="H69" s="48">
        <f t="shared" si="62"/>
        <v>5786.0000000000009</v>
      </c>
      <c r="I69" s="51">
        <f t="shared" si="63"/>
        <v>19127.358800000002</v>
      </c>
      <c r="J69" s="48">
        <f t="shared" si="717"/>
        <v>5612.420000000001</v>
      </c>
      <c r="K69" s="51">
        <f t="shared" si="718"/>
        <v>18553.538036000005</v>
      </c>
      <c r="L69" s="48">
        <f t="shared" si="719"/>
        <v>5496.7000000000007</v>
      </c>
      <c r="M69" s="51">
        <f t="shared" si="720"/>
        <v>18170.990860000002</v>
      </c>
      <c r="N69" s="48">
        <f t="shared" si="721"/>
        <v>5380.9800000000014</v>
      </c>
      <c r="O69" s="51">
        <f t="shared" si="722"/>
        <v>17788.443684000005</v>
      </c>
      <c r="P69" s="52">
        <f t="shared" si="723"/>
        <v>5265.2600000000011</v>
      </c>
      <c r="Q69" s="51">
        <f t="shared" si="724"/>
        <v>17405.896508000005</v>
      </c>
      <c r="R69" s="48">
        <f t="shared" si="725"/>
        <v>5149.5400000000009</v>
      </c>
      <c r="S69" s="51">
        <f t="shared" si="726"/>
        <v>17023.349332000002</v>
      </c>
      <c r="T69" s="52">
        <f t="shared" si="727"/>
        <v>5033.8200000000006</v>
      </c>
      <c r="U69" s="51">
        <f t="shared" si="728"/>
        <v>16640.802156000002</v>
      </c>
      <c r="V69" s="53">
        <f t="shared" si="729"/>
        <v>4918.1000000000004</v>
      </c>
      <c r="W69" s="51">
        <f t="shared" si="730"/>
        <v>16258.254980000002</v>
      </c>
      <c r="X69" s="52">
        <f t="shared" si="731"/>
        <v>4802.38</v>
      </c>
      <c r="Y69" s="51">
        <f t="shared" si="732"/>
        <v>15875.707804000001</v>
      </c>
      <c r="Z69" s="48">
        <f t="shared" si="733"/>
        <v>4686.6600000000008</v>
      </c>
      <c r="AA69" s="51">
        <f t="shared" si="734"/>
        <v>15493.160628000003</v>
      </c>
      <c r="AB69" s="53">
        <f t="shared" si="735"/>
        <v>4570.9400000000005</v>
      </c>
      <c r="AC69" s="51">
        <f t="shared" si="736"/>
        <v>15110.613452000001</v>
      </c>
      <c r="AD69" s="53">
        <f t="shared" si="737"/>
        <v>4455.22</v>
      </c>
      <c r="AE69" s="51">
        <f t="shared" si="738"/>
        <v>14728.066276000001</v>
      </c>
      <c r="AF69" s="53">
        <f t="shared" si="739"/>
        <v>4339.5</v>
      </c>
      <c r="AG69" s="51">
        <f t="shared" si="740"/>
        <v>14345.5191</v>
      </c>
      <c r="AH69" s="48">
        <f t="shared" si="741"/>
        <v>4223.78</v>
      </c>
      <c r="AI69" s="51">
        <f t="shared" si="742"/>
        <v>13962.971923999999</v>
      </c>
      <c r="AJ69" s="53">
        <f t="shared" si="743"/>
        <v>4108.0599999999995</v>
      </c>
      <c r="AK69" s="51">
        <f t="shared" si="744"/>
        <v>13580.424747999999</v>
      </c>
      <c r="AL69" s="53">
        <f t="shared" si="745"/>
        <v>3992.3399999999997</v>
      </c>
      <c r="AM69" s="51">
        <f t="shared" si="746"/>
        <v>13197.877571999999</v>
      </c>
      <c r="AN69" s="53">
        <f t="shared" si="747"/>
        <v>3876.6199999999994</v>
      </c>
      <c r="AO69" s="51">
        <f t="shared" si="748"/>
        <v>12815.330395999998</v>
      </c>
      <c r="AP69" s="53">
        <f t="shared" si="749"/>
        <v>3760.8999999999996</v>
      </c>
      <c r="AQ69" s="51">
        <f t="shared" si="750"/>
        <v>12432.783219999999</v>
      </c>
      <c r="AR69" s="48">
        <f t="shared" si="751"/>
        <v>3645.1799999999994</v>
      </c>
      <c r="AS69" s="51">
        <f t="shared" si="752"/>
        <v>12050.236043999997</v>
      </c>
      <c r="AT69" s="53">
        <f t="shared" si="753"/>
        <v>3529.4599999999991</v>
      </c>
      <c r="AU69" s="51">
        <f t="shared" si="754"/>
        <v>11667.688867999997</v>
      </c>
      <c r="AV69" s="53">
        <f t="shared" si="755"/>
        <v>3413.7399999999989</v>
      </c>
      <c r="AW69" s="51">
        <f t="shared" si="756"/>
        <v>11285.141691999997</v>
      </c>
      <c r="AX69" s="48">
        <f t="shared" si="757"/>
        <v>3298.0199999999991</v>
      </c>
      <c r="AY69" s="51">
        <f t="shared" si="758"/>
        <v>10902.594515999997</v>
      </c>
      <c r="BB69" s="48">
        <v>1</v>
      </c>
      <c r="BC69" s="48">
        <v>0.97</v>
      </c>
      <c r="BD69" s="48">
        <v>0.95</v>
      </c>
      <c r="BE69" s="48">
        <v>0.93</v>
      </c>
      <c r="BF69" s="48">
        <f t="shared" ref="BF69:BW69" si="873">+BE69-0.02</f>
        <v>0.91</v>
      </c>
      <c r="BG69" s="48">
        <f t="shared" si="873"/>
        <v>0.89</v>
      </c>
      <c r="BH69" s="48">
        <f t="shared" si="873"/>
        <v>0.87</v>
      </c>
      <c r="BI69" s="48">
        <f t="shared" si="873"/>
        <v>0.85</v>
      </c>
      <c r="BJ69" s="48">
        <f t="shared" si="873"/>
        <v>0.83</v>
      </c>
      <c r="BK69" s="48">
        <f t="shared" si="873"/>
        <v>0.80999999999999994</v>
      </c>
      <c r="BL69" s="48">
        <f t="shared" si="873"/>
        <v>0.78999999999999992</v>
      </c>
      <c r="BM69" s="48">
        <f t="shared" si="873"/>
        <v>0.76999999999999991</v>
      </c>
      <c r="BN69" s="48">
        <f t="shared" si="873"/>
        <v>0.74999999999999989</v>
      </c>
      <c r="BO69" s="48">
        <f t="shared" si="873"/>
        <v>0.72999999999999987</v>
      </c>
      <c r="BP69" s="48">
        <f t="shared" si="873"/>
        <v>0.70999999999999985</v>
      </c>
      <c r="BQ69" s="48">
        <f t="shared" si="873"/>
        <v>0.68999999999999984</v>
      </c>
      <c r="BR69" s="48">
        <f t="shared" si="873"/>
        <v>0.66999999999999982</v>
      </c>
      <c r="BS69" s="48">
        <f t="shared" si="873"/>
        <v>0.6499999999999998</v>
      </c>
      <c r="BT69" s="48">
        <f t="shared" si="873"/>
        <v>0.62999999999999978</v>
      </c>
      <c r="BU69" s="48">
        <f t="shared" si="873"/>
        <v>0.60999999999999976</v>
      </c>
      <c r="BV69" s="48">
        <f t="shared" si="873"/>
        <v>0.58999999999999975</v>
      </c>
      <c r="BW69" s="48">
        <f t="shared" si="873"/>
        <v>0.56999999999999973</v>
      </c>
      <c r="BY69" s="48">
        <f t="shared" si="88"/>
        <v>5265.2600000000011</v>
      </c>
      <c r="BZ69" s="48">
        <f t="shared" si="89"/>
        <v>5265.2600000000011</v>
      </c>
      <c r="CA69" s="51">
        <f t="shared" ref="CA69" si="874">+BZ69*3.3058</f>
        <v>17405.896508000005</v>
      </c>
      <c r="CB69" s="48">
        <f t="shared" si="761"/>
        <v>5107.302200000001</v>
      </c>
      <c r="CC69" s="51">
        <f t="shared" si="762"/>
        <v>16883.719612760004</v>
      </c>
      <c r="CD69" s="48">
        <f t="shared" si="763"/>
        <v>5001.9970000000012</v>
      </c>
      <c r="CE69" s="51">
        <f t="shared" si="764"/>
        <v>16535.601682600005</v>
      </c>
      <c r="CF69" s="48">
        <f t="shared" si="765"/>
        <v>4896.6918000000014</v>
      </c>
      <c r="CG69" s="51">
        <f t="shared" si="766"/>
        <v>16187.483752440005</v>
      </c>
      <c r="CH69" s="52">
        <f t="shared" si="767"/>
        <v>4791.3866000000016</v>
      </c>
      <c r="CI69" s="51">
        <f t="shared" si="768"/>
        <v>15839.365822280006</v>
      </c>
      <c r="CJ69" s="48">
        <f t="shared" si="769"/>
        <v>4686.0814000000009</v>
      </c>
      <c r="CK69" s="51">
        <f t="shared" si="770"/>
        <v>15491.247892120004</v>
      </c>
      <c r="CL69" s="52">
        <f t="shared" si="771"/>
        <v>4580.7762000000012</v>
      </c>
      <c r="CM69" s="51">
        <f t="shared" si="772"/>
        <v>15143.129961960005</v>
      </c>
      <c r="CN69" s="53">
        <f t="shared" si="773"/>
        <v>4475.4710000000005</v>
      </c>
      <c r="CO69" s="51">
        <f t="shared" si="774"/>
        <v>14795.012031800003</v>
      </c>
      <c r="CP69" s="52">
        <f t="shared" si="775"/>
        <v>4370.1658000000007</v>
      </c>
      <c r="CQ69" s="51">
        <f t="shared" si="776"/>
        <v>14446.894101640002</v>
      </c>
      <c r="CR69" s="48">
        <f t="shared" si="777"/>
        <v>4264.8606000000009</v>
      </c>
      <c r="CS69" s="51">
        <f t="shared" si="778"/>
        <v>14098.776171480004</v>
      </c>
      <c r="CT69" s="53">
        <f t="shared" si="779"/>
        <v>4159.5554000000002</v>
      </c>
      <c r="CU69" s="51">
        <f t="shared" si="780"/>
        <v>13750.658241320001</v>
      </c>
      <c r="CV69" s="53">
        <f t="shared" si="781"/>
        <v>4054.2502000000004</v>
      </c>
      <c r="CW69" s="51">
        <f t="shared" si="782"/>
        <v>13402.540311160001</v>
      </c>
      <c r="CX69" s="53">
        <f t="shared" si="783"/>
        <v>3948.9450000000002</v>
      </c>
      <c r="CY69" s="51">
        <f t="shared" si="784"/>
        <v>13054.422381</v>
      </c>
      <c r="CZ69" s="48">
        <f t="shared" si="785"/>
        <v>3843.6397999999999</v>
      </c>
      <c r="DA69" s="51">
        <f t="shared" si="786"/>
        <v>12706.30445084</v>
      </c>
      <c r="DB69" s="53">
        <f t="shared" si="787"/>
        <v>3738.3346000000001</v>
      </c>
      <c r="DC69" s="51">
        <f t="shared" si="788"/>
        <v>12358.186520680001</v>
      </c>
      <c r="DD69" s="53">
        <f t="shared" si="789"/>
        <v>3633.0293999999999</v>
      </c>
      <c r="DE69" s="51">
        <f t="shared" si="790"/>
        <v>12010.068590520001</v>
      </c>
      <c r="DF69" s="53">
        <f t="shared" si="791"/>
        <v>3527.7241999999997</v>
      </c>
      <c r="DG69" s="51">
        <f t="shared" si="792"/>
        <v>11661.950660359998</v>
      </c>
      <c r="DH69" s="53">
        <f t="shared" si="793"/>
        <v>3422.4189999999999</v>
      </c>
      <c r="DI69" s="51">
        <f t="shared" si="794"/>
        <v>11313.8327302</v>
      </c>
      <c r="DJ69" s="48">
        <f t="shared" si="795"/>
        <v>3317.1137999999996</v>
      </c>
      <c r="DK69" s="51">
        <f t="shared" si="796"/>
        <v>10965.714800039999</v>
      </c>
      <c r="DL69" s="53">
        <f t="shared" si="797"/>
        <v>3211.8085999999994</v>
      </c>
      <c r="DM69" s="51">
        <f t="shared" si="798"/>
        <v>10617.596869879999</v>
      </c>
      <c r="DN69" s="53">
        <f t="shared" si="799"/>
        <v>3106.5033999999991</v>
      </c>
      <c r="DO69" s="51">
        <f t="shared" si="800"/>
        <v>10269.478939719997</v>
      </c>
      <c r="DP69" s="48">
        <f t="shared" si="801"/>
        <v>3001.1981999999994</v>
      </c>
      <c r="DQ69" s="51">
        <f t="shared" si="802"/>
        <v>9921.3610095599979</v>
      </c>
      <c r="DT69" s="48">
        <v>1</v>
      </c>
      <c r="DU69" s="48">
        <v>0.97</v>
      </c>
      <c r="DV69" s="48">
        <v>0.95</v>
      </c>
      <c r="DW69" s="48">
        <v>0.93</v>
      </c>
      <c r="DX69" s="48">
        <f t="shared" ref="DX69:EO69" si="875">+DW69-0.02</f>
        <v>0.91</v>
      </c>
      <c r="DY69" s="48">
        <f t="shared" si="875"/>
        <v>0.89</v>
      </c>
      <c r="DZ69" s="48">
        <f t="shared" si="875"/>
        <v>0.87</v>
      </c>
      <c r="EA69" s="48">
        <f t="shared" si="875"/>
        <v>0.85</v>
      </c>
      <c r="EB69" s="48">
        <f t="shared" si="875"/>
        <v>0.83</v>
      </c>
      <c r="EC69" s="48">
        <f t="shared" si="875"/>
        <v>0.80999999999999994</v>
      </c>
      <c r="ED69" s="48">
        <f t="shared" si="875"/>
        <v>0.78999999999999992</v>
      </c>
      <c r="EE69" s="48">
        <f t="shared" si="875"/>
        <v>0.76999999999999991</v>
      </c>
      <c r="EF69" s="48">
        <f t="shared" si="875"/>
        <v>0.74999999999999989</v>
      </c>
      <c r="EG69" s="48">
        <f t="shared" si="875"/>
        <v>0.72999999999999987</v>
      </c>
      <c r="EH69" s="48">
        <f t="shared" si="875"/>
        <v>0.70999999999999985</v>
      </c>
      <c r="EI69" s="48">
        <f t="shared" si="875"/>
        <v>0.68999999999999984</v>
      </c>
      <c r="EJ69" s="48">
        <f t="shared" si="875"/>
        <v>0.66999999999999982</v>
      </c>
      <c r="EK69" s="48">
        <f t="shared" si="875"/>
        <v>0.6499999999999998</v>
      </c>
      <c r="EL69" s="48">
        <f t="shared" si="875"/>
        <v>0.62999999999999978</v>
      </c>
      <c r="EM69" s="48">
        <f t="shared" si="875"/>
        <v>0.60999999999999976</v>
      </c>
      <c r="EN69" s="48">
        <f t="shared" si="875"/>
        <v>0.58999999999999975</v>
      </c>
      <c r="EO69" s="48">
        <f t="shared" si="875"/>
        <v>0.56999999999999973</v>
      </c>
      <c r="EQ69" s="48">
        <f t="shared" si="188"/>
        <v>4791.3866000000016</v>
      </c>
      <c r="ER69" s="48">
        <f t="shared" si="116"/>
        <v>4791.3866000000016</v>
      </c>
      <c r="ES69" s="51">
        <f t="shared" ref="ES69" si="876">+ER69*3.3058</f>
        <v>15839.365822280006</v>
      </c>
      <c r="ET69" s="48">
        <f t="shared" si="805"/>
        <v>4647.6450020000011</v>
      </c>
      <c r="EU69" s="51">
        <f t="shared" si="806"/>
        <v>15364.184847611605</v>
      </c>
      <c r="EV69" s="48">
        <f t="shared" si="807"/>
        <v>4551.8172700000014</v>
      </c>
      <c r="EW69" s="51">
        <f t="shared" si="808"/>
        <v>15047.397531166005</v>
      </c>
      <c r="EX69" s="48">
        <f t="shared" si="809"/>
        <v>4455.9895380000016</v>
      </c>
      <c r="EY69" s="51">
        <f t="shared" si="810"/>
        <v>14730.610214720406</v>
      </c>
      <c r="EZ69" s="52">
        <f t="shared" si="811"/>
        <v>4360.1618060000019</v>
      </c>
      <c r="FA69" s="51">
        <f t="shared" si="812"/>
        <v>14413.822898274806</v>
      </c>
      <c r="FB69" s="48">
        <f t="shared" si="813"/>
        <v>4264.3340740000012</v>
      </c>
      <c r="FC69" s="51">
        <f t="shared" si="814"/>
        <v>14097.035581829205</v>
      </c>
      <c r="FD69" s="52">
        <f t="shared" si="815"/>
        <v>4168.5063420000015</v>
      </c>
      <c r="FE69" s="51">
        <f t="shared" si="816"/>
        <v>13780.248265383605</v>
      </c>
      <c r="FF69" s="53">
        <f t="shared" si="817"/>
        <v>4072.6786100000013</v>
      </c>
      <c r="FG69" s="51">
        <f t="shared" si="818"/>
        <v>13463.460948938005</v>
      </c>
      <c r="FH69" s="52">
        <f t="shared" si="819"/>
        <v>3976.8508780000011</v>
      </c>
      <c r="FI69" s="51">
        <f t="shared" si="820"/>
        <v>13146.673632492404</v>
      </c>
      <c r="FJ69" s="48">
        <f t="shared" si="821"/>
        <v>3881.0231460000009</v>
      </c>
      <c r="FK69" s="51">
        <f t="shared" si="822"/>
        <v>12829.886316046803</v>
      </c>
      <c r="FL69" s="53">
        <f t="shared" si="823"/>
        <v>3785.1954140000007</v>
      </c>
      <c r="FM69" s="51">
        <f t="shared" si="824"/>
        <v>12513.098999601203</v>
      </c>
      <c r="FN69" s="53">
        <f t="shared" si="825"/>
        <v>3689.367682000001</v>
      </c>
      <c r="FO69" s="51">
        <f t="shared" si="826"/>
        <v>12196.311683155604</v>
      </c>
      <c r="FP69" s="53">
        <f t="shared" si="827"/>
        <v>3593.5399500000008</v>
      </c>
      <c r="FQ69" s="51">
        <f t="shared" si="828"/>
        <v>11879.524366710002</v>
      </c>
      <c r="FR69" s="48">
        <f t="shared" si="829"/>
        <v>3497.7122180000006</v>
      </c>
      <c r="FS69" s="51">
        <f t="shared" si="830"/>
        <v>11562.737050264403</v>
      </c>
      <c r="FT69" s="53">
        <f t="shared" si="831"/>
        <v>3401.8844860000004</v>
      </c>
      <c r="FU69" s="51">
        <f t="shared" si="832"/>
        <v>11245.949733818801</v>
      </c>
      <c r="FV69" s="53">
        <f t="shared" si="833"/>
        <v>3306.0567540000002</v>
      </c>
      <c r="FW69" s="51">
        <f t="shared" si="834"/>
        <v>10929.162417373202</v>
      </c>
      <c r="FX69" s="53">
        <f t="shared" si="835"/>
        <v>3210.2290220000004</v>
      </c>
      <c r="FY69" s="51">
        <f t="shared" si="836"/>
        <v>10612.375100927602</v>
      </c>
      <c r="FZ69" s="53">
        <f t="shared" si="837"/>
        <v>3114.4012900000002</v>
      </c>
      <c r="GA69" s="51">
        <f t="shared" si="838"/>
        <v>10295.587784482001</v>
      </c>
      <c r="GB69" s="48">
        <f t="shared" si="839"/>
        <v>3018.573558</v>
      </c>
      <c r="GC69" s="51">
        <f t="shared" si="840"/>
        <v>9978.8004680364011</v>
      </c>
      <c r="GD69" s="53">
        <f t="shared" si="841"/>
        <v>2922.7458259999999</v>
      </c>
      <c r="GE69" s="51">
        <f t="shared" si="842"/>
        <v>9662.0131515907997</v>
      </c>
      <c r="GF69" s="53">
        <f t="shared" si="843"/>
        <v>2826.9180939999997</v>
      </c>
      <c r="GG69" s="51">
        <f t="shared" si="844"/>
        <v>9345.2258351451983</v>
      </c>
      <c r="GH69" s="48">
        <f t="shared" si="845"/>
        <v>2731.0903619999995</v>
      </c>
      <c r="GI69" s="51">
        <f t="shared" si="846"/>
        <v>9028.4385186995987</v>
      </c>
      <c r="GJ69" s="48"/>
      <c r="GK69" s="48"/>
      <c r="GL69" s="48">
        <v>1</v>
      </c>
      <c r="GM69" s="48">
        <v>0.97</v>
      </c>
      <c r="GN69" s="48">
        <v>0.95</v>
      </c>
      <c r="GO69" s="48">
        <v>0.93</v>
      </c>
      <c r="GP69" s="48">
        <f t="shared" ref="GP69:HG69" si="877">+GO69-0.02</f>
        <v>0.91</v>
      </c>
      <c r="GQ69" s="48">
        <f t="shared" si="877"/>
        <v>0.89</v>
      </c>
      <c r="GR69" s="48">
        <f t="shared" si="877"/>
        <v>0.87</v>
      </c>
      <c r="GS69" s="48">
        <f t="shared" si="877"/>
        <v>0.85</v>
      </c>
      <c r="GT69" s="48">
        <f t="shared" si="877"/>
        <v>0.83</v>
      </c>
      <c r="GU69" s="48">
        <f t="shared" si="877"/>
        <v>0.80999999999999994</v>
      </c>
      <c r="GV69" s="48">
        <f t="shared" si="877"/>
        <v>0.78999999999999992</v>
      </c>
      <c r="GW69" s="48">
        <f t="shared" si="877"/>
        <v>0.76999999999999991</v>
      </c>
      <c r="GX69" s="48">
        <f t="shared" si="877"/>
        <v>0.74999999999999989</v>
      </c>
      <c r="GY69" s="48">
        <f t="shared" si="877"/>
        <v>0.72999999999999987</v>
      </c>
      <c r="GZ69" s="48">
        <f t="shared" si="877"/>
        <v>0.70999999999999985</v>
      </c>
      <c r="HA69" s="48">
        <f t="shared" si="877"/>
        <v>0.68999999999999984</v>
      </c>
      <c r="HB69" s="48">
        <f t="shared" si="877"/>
        <v>0.66999999999999982</v>
      </c>
      <c r="HC69" s="48">
        <f t="shared" si="877"/>
        <v>0.6499999999999998</v>
      </c>
      <c r="HD69" s="48">
        <f t="shared" si="877"/>
        <v>0.62999999999999978</v>
      </c>
      <c r="HE69" s="48">
        <f t="shared" si="877"/>
        <v>0.60999999999999976</v>
      </c>
      <c r="HF69" s="48">
        <f t="shared" si="877"/>
        <v>0.58999999999999975</v>
      </c>
      <c r="HG69" s="48">
        <f t="shared" si="877"/>
        <v>0.56999999999999973</v>
      </c>
    </row>
    <row r="70" spans="1:215" x14ac:dyDescent="0.3">
      <c r="A70" s="2">
        <v>8</v>
      </c>
      <c r="C70" s="39" t="s">
        <v>139</v>
      </c>
      <c r="D70" s="44">
        <v>0</v>
      </c>
      <c r="E70" s="73">
        <f t="shared" si="716"/>
        <v>0</v>
      </c>
      <c r="G70" s="48">
        <f t="shared" si="61"/>
        <v>0</v>
      </c>
      <c r="H70" s="48">
        <f t="shared" si="62"/>
        <v>0</v>
      </c>
      <c r="I70" s="51">
        <f t="shared" si="63"/>
        <v>0</v>
      </c>
      <c r="J70" s="48">
        <f t="shared" si="717"/>
        <v>0</v>
      </c>
      <c r="K70" s="51">
        <f t="shared" si="718"/>
        <v>0</v>
      </c>
      <c r="L70" s="48">
        <f t="shared" si="719"/>
        <v>0</v>
      </c>
      <c r="M70" s="51">
        <f t="shared" si="720"/>
        <v>0</v>
      </c>
      <c r="N70" s="48">
        <f t="shared" si="721"/>
        <v>0</v>
      </c>
      <c r="O70" s="51">
        <f t="shared" si="722"/>
        <v>0</v>
      </c>
      <c r="P70" s="52">
        <f t="shared" si="723"/>
        <v>0</v>
      </c>
      <c r="Q70" s="51">
        <f t="shared" si="724"/>
        <v>0</v>
      </c>
      <c r="R70" s="48">
        <f t="shared" si="725"/>
        <v>0</v>
      </c>
      <c r="S70" s="51">
        <f t="shared" si="726"/>
        <v>0</v>
      </c>
      <c r="T70" s="52">
        <f t="shared" si="727"/>
        <v>0</v>
      </c>
      <c r="U70" s="51">
        <f t="shared" si="728"/>
        <v>0</v>
      </c>
      <c r="V70" s="53">
        <f t="shared" si="729"/>
        <v>0</v>
      </c>
      <c r="W70" s="51">
        <f t="shared" si="730"/>
        <v>0</v>
      </c>
      <c r="X70" s="52">
        <f t="shared" si="731"/>
        <v>0</v>
      </c>
      <c r="Y70" s="51">
        <f t="shared" si="732"/>
        <v>0</v>
      </c>
      <c r="Z70" s="48">
        <f t="shared" si="733"/>
        <v>0</v>
      </c>
      <c r="AA70" s="51">
        <f t="shared" si="734"/>
        <v>0</v>
      </c>
      <c r="AB70" s="53">
        <f t="shared" si="735"/>
        <v>0</v>
      </c>
      <c r="AC70" s="51">
        <f t="shared" si="736"/>
        <v>0</v>
      </c>
      <c r="AD70" s="53">
        <f t="shared" si="737"/>
        <v>0</v>
      </c>
      <c r="AE70" s="51">
        <f t="shared" si="738"/>
        <v>0</v>
      </c>
      <c r="AF70" s="53">
        <f t="shared" si="739"/>
        <v>0</v>
      </c>
      <c r="AG70" s="51">
        <f t="shared" si="740"/>
        <v>0</v>
      </c>
      <c r="AH70" s="48">
        <f t="shared" si="741"/>
        <v>0</v>
      </c>
      <c r="AI70" s="51">
        <f t="shared" si="742"/>
        <v>0</v>
      </c>
      <c r="AJ70" s="53">
        <f t="shared" si="743"/>
        <v>0</v>
      </c>
      <c r="AK70" s="51">
        <f t="shared" si="744"/>
        <v>0</v>
      </c>
      <c r="AL70" s="53">
        <f t="shared" si="745"/>
        <v>0</v>
      </c>
      <c r="AM70" s="51">
        <f t="shared" si="746"/>
        <v>0</v>
      </c>
      <c r="AN70" s="53">
        <f t="shared" si="747"/>
        <v>0</v>
      </c>
      <c r="AO70" s="51">
        <f t="shared" si="748"/>
        <v>0</v>
      </c>
      <c r="AP70" s="53">
        <f t="shared" si="749"/>
        <v>0</v>
      </c>
      <c r="AQ70" s="51">
        <f t="shared" si="750"/>
        <v>0</v>
      </c>
      <c r="AR70" s="48">
        <f t="shared" si="751"/>
        <v>0</v>
      </c>
      <c r="AS70" s="51">
        <f t="shared" si="752"/>
        <v>0</v>
      </c>
      <c r="AT70" s="53">
        <f t="shared" si="753"/>
        <v>0</v>
      </c>
      <c r="AU70" s="51">
        <f t="shared" si="754"/>
        <v>0</v>
      </c>
      <c r="AV70" s="53">
        <f t="shared" si="755"/>
        <v>0</v>
      </c>
      <c r="AW70" s="51">
        <f t="shared" si="756"/>
        <v>0</v>
      </c>
      <c r="AX70" s="48">
        <f t="shared" si="757"/>
        <v>0</v>
      </c>
      <c r="AY70" s="51">
        <f t="shared" si="758"/>
        <v>0</v>
      </c>
      <c r="BB70" s="48">
        <v>1</v>
      </c>
      <c r="BC70" s="48">
        <v>0.97</v>
      </c>
      <c r="BD70" s="48">
        <v>0.95</v>
      </c>
      <c r="BE70" s="48">
        <v>0.93</v>
      </c>
      <c r="BF70" s="48">
        <f t="shared" ref="BF70:BW70" si="878">+BE70-0.02</f>
        <v>0.91</v>
      </c>
      <c r="BG70" s="48">
        <f t="shared" si="878"/>
        <v>0.89</v>
      </c>
      <c r="BH70" s="48">
        <f t="shared" si="878"/>
        <v>0.87</v>
      </c>
      <c r="BI70" s="48">
        <f t="shared" si="878"/>
        <v>0.85</v>
      </c>
      <c r="BJ70" s="48">
        <f t="shared" si="878"/>
        <v>0.83</v>
      </c>
      <c r="BK70" s="48">
        <f t="shared" si="878"/>
        <v>0.80999999999999994</v>
      </c>
      <c r="BL70" s="48">
        <f t="shared" si="878"/>
        <v>0.78999999999999992</v>
      </c>
      <c r="BM70" s="48">
        <f t="shared" si="878"/>
        <v>0.76999999999999991</v>
      </c>
      <c r="BN70" s="48">
        <f t="shared" si="878"/>
        <v>0.74999999999999989</v>
      </c>
      <c r="BO70" s="48">
        <f t="shared" si="878"/>
        <v>0.72999999999999987</v>
      </c>
      <c r="BP70" s="48">
        <f t="shared" si="878"/>
        <v>0.70999999999999985</v>
      </c>
      <c r="BQ70" s="48">
        <f t="shared" si="878"/>
        <v>0.68999999999999984</v>
      </c>
      <c r="BR70" s="48">
        <f t="shared" si="878"/>
        <v>0.66999999999999982</v>
      </c>
      <c r="BS70" s="48">
        <f t="shared" si="878"/>
        <v>0.6499999999999998</v>
      </c>
      <c r="BT70" s="48">
        <f t="shared" si="878"/>
        <v>0.62999999999999978</v>
      </c>
      <c r="BU70" s="48">
        <f t="shared" si="878"/>
        <v>0.60999999999999976</v>
      </c>
      <c r="BV70" s="48">
        <f t="shared" si="878"/>
        <v>0.58999999999999975</v>
      </c>
      <c r="BW70" s="48">
        <f t="shared" si="878"/>
        <v>0.56999999999999973</v>
      </c>
      <c r="BY70" s="48">
        <f t="shared" si="88"/>
        <v>0</v>
      </c>
      <c r="BZ70" s="48">
        <f t="shared" si="89"/>
        <v>0</v>
      </c>
      <c r="CA70" s="51">
        <f t="shared" ref="CA70" si="879">+BZ70*3.3058</f>
        <v>0</v>
      </c>
      <c r="CB70" s="48">
        <f t="shared" si="761"/>
        <v>0</v>
      </c>
      <c r="CC70" s="51">
        <f t="shared" si="762"/>
        <v>0</v>
      </c>
      <c r="CD70" s="48">
        <f t="shared" si="763"/>
        <v>0</v>
      </c>
      <c r="CE70" s="51">
        <f t="shared" si="764"/>
        <v>0</v>
      </c>
      <c r="CF70" s="48">
        <f t="shared" si="765"/>
        <v>0</v>
      </c>
      <c r="CG70" s="51">
        <f t="shared" si="766"/>
        <v>0</v>
      </c>
      <c r="CH70" s="52">
        <f t="shared" si="767"/>
        <v>0</v>
      </c>
      <c r="CI70" s="51">
        <f t="shared" si="768"/>
        <v>0</v>
      </c>
      <c r="CJ70" s="48">
        <f t="shared" si="769"/>
        <v>0</v>
      </c>
      <c r="CK70" s="51">
        <f t="shared" si="770"/>
        <v>0</v>
      </c>
      <c r="CL70" s="52">
        <f t="shared" si="771"/>
        <v>0</v>
      </c>
      <c r="CM70" s="51">
        <f t="shared" si="772"/>
        <v>0</v>
      </c>
      <c r="CN70" s="53">
        <f t="shared" si="773"/>
        <v>0</v>
      </c>
      <c r="CO70" s="51">
        <f t="shared" si="774"/>
        <v>0</v>
      </c>
      <c r="CP70" s="52">
        <f t="shared" si="775"/>
        <v>0</v>
      </c>
      <c r="CQ70" s="51">
        <f t="shared" si="776"/>
        <v>0</v>
      </c>
      <c r="CR70" s="48">
        <f t="shared" si="777"/>
        <v>0</v>
      </c>
      <c r="CS70" s="51">
        <f t="shared" si="778"/>
        <v>0</v>
      </c>
      <c r="CT70" s="53">
        <f t="shared" si="779"/>
        <v>0</v>
      </c>
      <c r="CU70" s="51">
        <f t="shared" si="780"/>
        <v>0</v>
      </c>
      <c r="CV70" s="53">
        <f t="shared" si="781"/>
        <v>0</v>
      </c>
      <c r="CW70" s="51">
        <f t="shared" si="782"/>
        <v>0</v>
      </c>
      <c r="CX70" s="53">
        <f t="shared" si="783"/>
        <v>0</v>
      </c>
      <c r="CY70" s="51">
        <f t="shared" si="784"/>
        <v>0</v>
      </c>
      <c r="CZ70" s="48">
        <f t="shared" si="785"/>
        <v>0</v>
      </c>
      <c r="DA70" s="51">
        <f t="shared" si="786"/>
        <v>0</v>
      </c>
      <c r="DB70" s="53">
        <f t="shared" si="787"/>
        <v>0</v>
      </c>
      <c r="DC70" s="51">
        <f t="shared" si="788"/>
        <v>0</v>
      </c>
      <c r="DD70" s="53">
        <f t="shared" si="789"/>
        <v>0</v>
      </c>
      <c r="DE70" s="51">
        <f t="shared" si="790"/>
        <v>0</v>
      </c>
      <c r="DF70" s="53">
        <f t="shared" si="791"/>
        <v>0</v>
      </c>
      <c r="DG70" s="51">
        <f t="shared" si="792"/>
        <v>0</v>
      </c>
      <c r="DH70" s="53">
        <f t="shared" si="793"/>
        <v>0</v>
      </c>
      <c r="DI70" s="51">
        <f t="shared" si="794"/>
        <v>0</v>
      </c>
      <c r="DJ70" s="48">
        <f t="shared" si="795"/>
        <v>0</v>
      </c>
      <c r="DK70" s="51">
        <f t="shared" si="796"/>
        <v>0</v>
      </c>
      <c r="DL70" s="53">
        <f t="shared" si="797"/>
        <v>0</v>
      </c>
      <c r="DM70" s="51">
        <f t="shared" si="798"/>
        <v>0</v>
      </c>
      <c r="DN70" s="53">
        <f t="shared" si="799"/>
        <v>0</v>
      </c>
      <c r="DO70" s="51">
        <f t="shared" si="800"/>
        <v>0</v>
      </c>
      <c r="DP70" s="48">
        <f t="shared" si="801"/>
        <v>0</v>
      </c>
      <c r="DQ70" s="51">
        <f t="shared" si="802"/>
        <v>0</v>
      </c>
      <c r="DT70" s="48">
        <v>1</v>
      </c>
      <c r="DU70" s="48">
        <v>0.97</v>
      </c>
      <c r="DV70" s="48">
        <v>0.95</v>
      </c>
      <c r="DW70" s="48">
        <v>0.93</v>
      </c>
      <c r="DX70" s="48">
        <f t="shared" ref="DX70:EO70" si="880">+DW70-0.02</f>
        <v>0.91</v>
      </c>
      <c r="DY70" s="48">
        <f t="shared" si="880"/>
        <v>0.89</v>
      </c>
      <c r="DZ70" s="48">
        <f t="shared" si="880"/>
        <v>0.87</v>
      </c>
      <c r="EA70" s="48">
        <f t="shared" si="880"/>
        <v>0.85</v>
      </c>
      <c r="EB70" s="48">
        <f t="shared" si="880"/>
        <v>0.83</v>
      </c>
      <c r="EC70" s="48">
        <f t="shared" si="880"/>
        <v>0.80999999999999994</v>
      </c>
      <c r="ED70" s="48">
        <f t="shared" si="880"/>
        <v>0.78999999999999992</v>
      </c>
      <c r="EE70" s="48">
        <f t="shared" si="880"/>
        <v>0.76999999999999991</v>
      </c>
      <c r="EF70" s="48">
        <f t="shared" si="880"/>
        <v>0.74999999999999989</v>
      </c>
      <c r="EG70" s="48">
        <f t="shared" si="880"/>
        <v>0.72999999999999987</v>
      </c>
      <c r="EH70" s="48">
        <f t="shared" si="880"/>
        <v>0.70999999999999985</v>
      </c>
      <c r="EI70" s="48">
        <f t="shared" si="880"/>
        <v>0.68999999999999984</v>
      </c>
      <c r="EJ70" s="48">
        <f t="shared" si="880"/>
        <v>0.66999999999999982</v>
      </c>
      <c r="EK70" s="48">
        <f t="shared" si="880"/>
        <v>0.6499999999999998</v>
      </c>
      <c r="EL70" s="48">
        <f t="shared" si="880"/>
        <v>0.62999999999999978</v>
      </c>
      <c r="EM70" s="48">
        <f t="shared" si="880"/>
        <v>0.60999999999999976</v>
      </c>
      <c r="EN70" s="48">
        <f t="shared" si="880"/>
        <v>0.58999999999999975</v>
      </c>
      <c r="EO70" s="48">
        <f t="shared" si="880"/>
        <v>0.56999999999999973</v>
      </c>
      <c r="EQ70" s="48">
        <f t="shared" si="188"/>
        <v>0</v>
      </c>
      <c r="ER70" s="48">
        <f t="shared" si="116"/>
        <v>0</v>
      </c>
      <c r="ES70" s="51">
        <f t="shared" ref="ES70" si="881">+ER70*3.3058</f>
        <v>0</v>
      </c>
      <c r="ET70" s="48">
        <f t="shared" si="805"/>
        <v>0</v>
      </c>
      <c r="EU70" s="51">
        <f t="shared" si="806"/>
        <v>0</v>
      </c>
      <c r="EV70" s="48">
        <f t="shared" si="807"/>
        <v>0</v>
      </c>
      <c r="EW70" s="51">
        <f t="shared" si="808"/>
        <v>0</v>
      </c>
      <c r="EX70" s="48">
        <f t="shared" si="809"/>
        <v>0</v>
      </c>
      <c r="EY70" s="51">
        <f t="shared" si="810"/>
        <v>0</v>
      </c>
      <c r="EZ70" s="52">
        <f t="shared" si="811"/>
        <v>0</v>
      </c>
      <c r="FA70" s="51">
        <f t="shared" si="812"/>
        <v>0</v>
      </c>
      <c r="FB70" s="48">
        <f t="shared" si="813"/>
        <v>0</v>
      </c>
      <c r="FC70" s="51">
        <f t="shared" si="814"/>
        <v>0</v>
      </c>
      <c r="FD70" s="52">
        <f t="shared" si="815"/>
        <v>0</v>
      </c>
      <c r="FE70" s="51">
        <f t="shared" si="816"/>
        <v>0</v>
      </c>
      <c r="FF70" s="53">
        <f t="shared" si="817"/>
        <v>0</v>
      </c>
      <c r="FG70" s="51">
        <f t="shared" si="818"/>
        <v>0</v>
      </c>
      <c r="FH70" s="52">
        <f t="shared" si="819"/>
        <v>0</v>
      </c>
      <c r="FI70" s="51">
        <f t="shared" si="820"/>
        <v>0</v>
      </c>
      <c r="FJ70" s="48">
        <f t="shared" si="821"/>
        <v>0</v>
      </c>
      <c r="FK70" s="51">
        <f t="shared" si="822"/>
        <v>0</v>
      </c>
      <c r="FL70" s="53">
        <f t="shared" si="823"/>
        <v>0</v>
      </c>
      <c r="FM70" s="51">
        <f t="shared" si="824"/>
        <v>0</v>
      </c>
      <c r="FN70" s="53">
        <f t="shared" si="825"/>
        <v>0</v>
      </c>
      <c r="FO70" s="51">
        <f t="shared" si="826"/>
        <v>0</v>
      </c>
      <c r="FP70" s="53">
        <f t="shared" si="827"/>
        <v>0</v>
      </c>
      <c r="FQ70" s="51">
        <f t="shared" si="828"/>
        <v>0</v>
      </c>
      <c r="FR70" s="48">
        <f t="shared" si="829"/>
        <v>0</v>
      </c>
      <c r="FS70" s="51">
        <f t="shared" si="830"/>
        <v>0</v>
      </c>
      <c r="FT70" s="53">
        <f t="shared" si="831"/>
        <v>0</v>
      </c>
      <c r="FU70" s="51">
        <f t="shared" si="832"/>
        <v>0</v>
      </c>
      <c r="FV70" s="53">
        <f t="shared" si="833"/>
        <v>0</v>
      </c>
      <c r="FW70" s="51">
        <f t="shared" si="834"/>
        <v>0</v>
      </c>
      <c r="FX70" s="53">
        <f t="shared" si="835"/>
        <v>0</v>
      </c>
      <c r="FY70" s="51">
        <f t="shared" si="836"/>
        <v>0</v>
      </c>
      <c r="FZ70" s="53">
        <f t="shared" si="837"/>
        <v>0</v>
      </c>
      <c r="GA70" s="51">
        <f t="shared" si="838"/>
        <v>0</v>
      </c>
      <c r="GB70" s="48">
        <f t="shared" si="839"/>
        <v>0</v>
      </c>
      <c r="GC70" s="51">
        <f t="shared" si="840"/>
        <v>0</v>
      </c>
      <c r="GD70" s="53">
        <f t="shared" si="841"/>
        <v>0</v>
      </c>
      <c r="GE70" s="51">
        <f t="shared" si="842"/>
        <v>0</v>
      </c>
      <c r="GF70" s="53">
        <f t="shared" si="843"/>
        <v>0</v>
      </c>
      <c r="GG70" s="51">
        <f t="shared" si="844"/>
        <v>0</v>
      </c>
      <c r="GH70" s="48">
        <f t="shared" si="845"/>
        <v>0</v>
      </c>
      <c r="GI70" s="51">
        <f t="shared" si="846"/>
        <v>0</v>
      </c>
      <c r="GJ70" s="48"/>
      <c r="GK70" s="48"/>
      <c r="GL70" s="48">
        <v>1</v>
      </c>
      <c r="GM70" s="48">
        <v>0.97</v>
      </c>
      <c r="GN70" s="48">
        <v>0.95</v>
      </c>
      <c r="GO70" s="48">
        <v>0.93</v>
      </c>
      <c r="GP70" s="48">
        <f t="shared" ref="GP70:HG70" si="882">+GO70-0.02</f>
        <v>0.91</v>
      </c>
      <c r="GQ70" s="48">
        <f t="shared" si="882"/>
        <v>0.89</v>
      </c>
      <c r="GR70" s="48">
        <f t="shared" si="882"/>
        <v>0.87</v>
      </c>
      <c r="GS70" s="48">
        <f t="shared" si="882"/>
        <v>0.85</v>
      </c>
      <c r="GT70" s="48">
        <f t="shared" si="882"/>
        <v>0.83</v>
      </c>
      <c r="GU70" s="48">
        <f t="shared" si="882"/>
        <v>0.80999999999999994</v>
      </c>
      <c r="GV70" s="48">
        <f t="shared" si="882"/>
        <v>0.78999999999999992</v>
      </c>
      <c r="GW70" s="48">
        <f t="shared" si="882"/>
        <v>0.76999999999999991</v>
      </c>
      <c r="GX70" s="48">
        <f t="shared" si="882"/>
        <v>0.74999999999999989</v>
      </c>
      <c r="GY70" s="48">
        <f t="shared" si="882"/>
        <v>0.72999999999999987</v>
      </c>
      <c r="GZ70" s="48">
        <f t="shared" si="882"/>
        <v>0.70999999999999985</v>
      </c>
      <c r="HA70" s="48">
        <f t="shared" si="882"/>
        <v>0.68999999999999984</v>
      </c>
      <c r="HB70" s="48">
        <f t="shared" si="882"/>
        <v>0.66999999999999982</v>
      </c>
      <c r="HC70" s="48">
        <f t="shared" si="882"/>
        <v>0.6499999999999998</v>
      </c>
      <c r="HD70" s="48">
        <f t="shared" si="882"/>
        <v>0.62999999999999978</v>
      </c>
      <c r="HE70" s="48">
        <f t="shared" si="882"/>
        <v>0.60999999999999976</v>
      </c>
      <c r="HF70" s="48">
        <f t="shared" si="882"/>
        <v>0.58999999999999975</v>
      </c>
      <c r="HG70" s="48">
        <f t="shared" si="882"/>
        <v>0.56999999999999973</v>
      </c>
    </row>
    <row r="71" spans="1:215" x14ac:dyDescent="0.3">
      <c r="A71" s="2">
        <v>9</v>
      </c>
      <c r="C71" s="39" t="s">
        <v>140</v>
      </c>
      <c r="D71" s="44">
        <v>0</v>
      </c>
      <c r="E71" s="73">
        <f t="shared" si="716"/>
        <v>0</v>
      </c>
      <c r="G71" s="48">
        <f t="shared" si="61"/>
        <v>0</v>
      </c>
      <c r="H71" s="48">
        <f t="shared" si="62"/>
        <v>0</v>
      </c>
      <c r="I71" s="51">
        <f t="shared" si="63"/>
        <v>0</v>
      </c>
      <c r="J71" s="48">
        <f t="shared" si="717"/>
        <v>0</v>
      </c>
      <c r="K71" s="51">
        <f t="shared" si="718"/>
        <v>0</v>
      </c>
      <c r="L71" s="48">
        <f t="shared" si="719"/>
        <v>0</v>
      </c>
      <c r="M71" s="51">
        <f t="shared" si="720"/>
        <v>0</v>
      </c>
      <c r="N71" s="48">
        <f t="shared" si="721"/>
        <v>0</v>
      </c>
      <c r="O71" s="51">
        <f t="shared" si="722"/>
        <v>0</v>
      </c>
      <c r="P71" s="52">
        <f t="shared" si="723"/>
        <v>0</v>
      </c>
      <c r="Q71" s="51">
        <f t="shared" si="724"/>
        <v>0</v>
      </c>
      <c r="R71" s="48">
        <f t="shared" si="725"/>
        <v>0</v>
      </c>
      <c r="S71" s="51">
        <f t="shared" si="726"/>
        <v>0</v>
      </c>
      <c r="T71" s="52">
        <f t="shared" si="727"/>
        <v>0</v>
      </c>
      <c r="U71" s="51">
        <f t="shared" si="728"/>
        <v>0</v>
      </c>
      <c r="V71" s="53">
        <f t="shared" si="729"/>
        <v>0</v>
      </c>
      <c r="W71" s="51">
        <f t="shared" si="730"/>
        <v>0</v>
      </c>
      <c r="X71" s="52">
        <f t="shared" si="731"/>
        <v>0</v>
      </c>
      <c r="Y71" s="51">
        <f t="shared" si="732"/>
        <v>0</v>
      </c>
      <c r="Z71" s="48">
        <f t="shared" si="733"/>
        <v>0</v>
      </c>
      <c r="AA71" s="51">
        <f t="shared" si="734"/>
        <v>0</v>
      </c>
      <c r="AB71" s="53">
        <f t="shared" si="735"/>
        <v>0</v>
      </c>
      <c r="AC71" s="51">
        <f t="shared" si="736"/>
        <v>0</v>
      </c>
      <c r="AD71" s="53">
        <f t="shared" si="737"/>
        <v>0</v>
      </c>
      <c r="AE71" s="51">
        <f t="shared" si="738"/>
        <v>0</v>
      </c>
      <c r="AF71" s="53">
        <f t="shared" si="739"/>
        <v>0</v>
      </c>
      <c r="AG71" s="51">
        <f t="shared" si="740"/>
        <v>0</v>
      </c>
      <c r="AH71" s="48">
        <f t="shared" si="741"/>
        <v>0</v>
      </c>
      <c r="AI71" s="51">
        <f t="shared" si="742"/>
        <v>0</v>
      </c>
      <c r="AJ71" s="53">
        <f t="shared" si="743"/>
        <v>0</v>
      </c>
      <c r="AK71" s="51">
        <f t="shared" si="744"/>
        <v>0</v>
      </c>
      <c r="AL71" s="53">
        <f t="shared" si="745"/>
        <v>0</v>
      </c>
      <c r="AM71" s="51">
        <f t="shared" si="746"/>
        <v>0</v>
      </c>
      <c r="AN71" s="53">
        <f t="shared" si="747"/>
        <v>0</v>
      </c>
      <c r="AO71" s="51">
        <f t="shared" si="748"/>
        <v>0</v>
      </c>
      <c r="AP71" s="53">
        <f t="shared" si="749"/>
        <v>0</v>
      </c>
      <c r="AQ71" s="51">
        <f t="shared" si="750"/>
        <v>0</v>
      </c>
      <c r="AR71" s="48">
        <f t="shared" si="751"/>
        <v>0</v>
      </c>
      <c r="AS71" s="51">
        <f t="shared" si="752"/>
        <v>0</v>
      </c>
      <c r="AT71" s="53">
        <f t="shared" si="753"/>
        <v>0</v>
      </c>
      <c r="AU71" s="51">
        <f t="shared" si="754"/>
        <v>0</v>
      </c>
      <c r="AV71" s="53">
        <f t="shared" si="755"/>
        <v>0</v>
      </c>
      <c r="AW71" s="51">
        <f t="shared" si="756"/>
        <v>0</v>
      </c>
      <c r="AX71" s="48">
        <f t="shared" si="757"/>
        <v>0</v>
      </c>
      <c r="AY71" s="51">
        <f t="shared" si="758"/>
        <v>0</v>
      </c>
      <c r="BB71" s="48">
        <v>1</v>
      </c>
      <c r="BC71" s="48">
        <v>0.97</v>
      </c>
      <c r="BD71" s="48">
        <v>0.95</v>
      </c>
      <c r="BE71" s="48">
        <v>0.93</v>
      </c>
      <c r="BF71" s="48">
        <f t="shared" ref="BF71:BW71" si="883">+BE71-0.02</f>
        <v>0.91</v>
      </c>
      <c r="BG71" s="48">
        <f t="shared" si="883"/>
        <v>0.89</v>
      </c>
      <c r="BH71" s="48">
        <f t="shared" si="883"/>
        <v>0.87</v>
      </c>
      <c r="BI71" s="48">
        <f t="shared" si="883"/>
        <v>0.85</v>
      </c>
      <c r="BJ71" s="48">
        <f t="shared" si="883"/>
        <v>0.83</v>
      </c>
      <c r="BK71" s="48">
        <f t="shared" si="883"/>
        <v>0.80999999999999994</v>
      </c>
      <c r="BL71" s="48">
        <f t="shared" si="883"/>
        <v>0.78999999999999992</v>
      </c>
      <c r="BM71" s="48">
        <f t="shared" si="883"/>
        <v>0.76999999999999991</v>
      </c>
      <c r="BN71" s="48">
        <f t="shared" si="883"/>
        <v>0.74999999999999989</v>
      </c>
      <c r="BO71" s="48">
        <f t="shared" si="883"/>
        <v>0.72999999999999987</v>
      </c>
      <c r="BP71" s="48">
        <f t="shared" si="883"/>
        <v>0.70999999999999985</v>
      </c>
      <c r="BQ71" s="48">
        <f t="shared" si="883"/>
        <v>0.68999999999999984</v>
      </c>
      <c r="BR71" s="48">
        <f t="shared" si="883"/>
        <v>0.66999999999999982</v>
      </c>
      <c r="BS71" s="48">
        <f t="shared" si="883"/>
        <v>0.6499999999999998</v>
      </c>
      <c r="BT71" s="48">
        <f t="shared" si="883"/>
        <v>0.62999999999999978</v>
      </c>
      <c r="BU71" s="48">
        <f t="shared" si="883"/>
        <v>0.60999999999999976</v>
      </c>
      <c r="BV71" s="48">
        <f t="shared" si="883"/>
        <v>0.58999999999999975</v>
      </c>
      <c r="BW71" s="48">
        <f t="shared" si="883"/>
        <v>0.56999999999999973</v>
      </c>
      <c r="BY71" s="48">
        <f t="shared" si="88"/>
        <v>0</v>
      </c>
      <c r="BZ71" s="48">
        <f t="shared" si="89"/>
        <v>0</v>
      </c>
      <c r="CA71" s="51">
        <f t="shared" ref="CA71" si="884">+BZ71*3.3058</f>
        <v>0</v>
      </c>
      <c r="CB71" s="48">
        <f t="shared" si="761"/>
        <v>0</v>
      </c>
      <c r="CC71" s="51">
        <f t="shared" si="762"/>
        <v>0</v>
      </c>
      <c r="CD71" s="48">
        <f t="shared" si="763"/>
        <v>0</v>
      </c>
      <c r="CE71" s="51">
        <f t="shared" si="764"/>
        <v>0</v>
      </c>
      <c r="CF71" s="48">
        <f t="shared" si="765"/>
        <v>0</v>
      </c>
      <c r="CG71" s="51">
        <f t="shared" si="766"/>
        <v>0</v>
      </c>
      <c r="CH71" s="52">
        <f t="shared" si="767"/>
        <v>0</v>
      </c>
      <c r="CI71" s="51">
        <f t="shared" si="768"/>
        <v>0</v>
      </c>
      <c r="CJ71" s="48">
        <f t="shared" si="769"/>
        <v>0</v>
      </c>
      <c r="CK71" s="51">
        <f t="shared" si="770"/>
        <v>0</v>
      </c>
      <c r="CL71" s="52">
        <f t="shared" si="771"/>
        <v>0</v>
      </c>
      <c r="CM71" s="51">
        <f t="shared" si="772"/>
        <v>0</v>
      </c>
      <c r="CN71" s="53">
        <f t="shared" si="773"/>
        <v>0</v>
      </c>
      <c r="CO71" s="51">
        <f t="shared" si="774"/>
        <v>0</v>
      </c>
      <c r="CP71" s="52">
        <f t="shared" si="775"/>
        <v>0</v>
      </c>
      <c r="CQ71" s="51">
        <f t="shared" si="776"/>
        <v>0</v>
      </c>
      <c r="CR71" s="48">
        <f t="shared" si="777"/>
        <v>0</v>
      </c>
      <c r="CS71" s="51">
        <f t="shared" si="778"/>
        <v>0</v>
      </c>
      <c r="CT71" s="53">
        <f t="shared" si="779"/>
        <v>0</v>
      </c>
      <c r="CU71" s="51">
        <f t="shared" si="780"/>
        <v>0</v>
      </c>
      <c r="CV71" s="53">
        <f t="shared" si="781"/>
        <v>0</v>
      </c>
      <c r="CW71" s="51">
        <f t="shared" si="782"/>
        <v>0</v>
      </c>
      <c r="CX71" s="53">
        <f t="shared" si="783"/>
        <v>0</v>
      </c>
      <c r="CY71" s="51">
        <f t="shared" si="784"/>
        <v>0</v>
      </c>
      <c r="CZ71" s="48">
        <f t="shared" si="785"/>
        <v>0</v>
      </c>
      <c r="DA71" s="51">
        <f t="shared" si="786"/>
        <v>0</v>
      </c>
      <c r="DB71" s="53">
        <f t="shared" si="787"/>
        <v>0</v>
      </c>
      <c r="DC71" s="51">
        <f t="shared" si="788"/>
        <v>0</v>
      </c>
      <c r="DD71" s="53">
        <f t="shared" si="789"/>
        <v>0</v>
      </c>
      <c r="DE71" s="51">
        <f t="shared" si="790"/>
        <v>0</v>
      </c>
      <c r="DF71" s="53">
        <f t="shared" si="791"/>
        <v>0</v>
      </c>
      <c r="DG71" s="51">
        <f t="shared" si="792"/>
        <v>0</v>
      </c>
      <c r="DH71" s="53">
        <f t="shared" si="793"/>
        <v>0</v>
      </c>
      <c r="DI71" s="51">
        <f t="shared" si="794"/>
        <v>0</v>
      </c>
      <c r="DJ71" s="48">
        <f t="shared" si="795"/>
        <v>0</v>
      </c>
      <c r="DK71" s="51">
        <f t="shared" si="796"/>
        <v>0</v>
      </c>
      <c r="DL71" s="53">
        <f t="shared" si="797"/>
        <v>0</v>
      </c>
      <c r="DM71" s="51">
        <f t="shared" si="798"/>
        <v>0</v>
      </c>
      <c r="DN71" s="53">
        <f t="shared" si="799"/>
        <v>0</v>
      </c>
      <c r="DO71" s="51">
        <f t="shared" si="800"/>
        <v>0</v>
      </c>
      <c r="DP71" s="48">
        <f t="shared" si="801"/>
        <v>0</v>
      </c>
      <c r="DQ71" s="51">
        <f t="shared" si="802"/>
        <v>0</v>
      </c>
      <c r="DT71" s="48">
        <v>1</v>
      </c>
      <c r="DU71" s="48">
        <v>0.97</v>
      </c>
      <c r="DV71" s="48">
        <v>0.95</v>
      </c>
      <c r="DW71" s="48">
        <v>0.93</v>
      </c>
      <c r="DX71" s="48">
        <f t="shared" ref="DX71:EO71" si="885">+DW71-0.02</f>
        <v>0.91</v>
      </c>
      <c r="DY71" s="48">
        <f t="shared" si="885"/>
        <v>0.89</v>
      </c>
      <c r="DZ71" s="48">
        <f t="shared" si="885"/>
        <v>0.87</v>
      </c>
      <c r="EA71" s="48">
        <f t="shared" si="885"/>
        <v>0.85</v>
      </c>
      <c r="EB71" s="48">
        <f t="shared" si="885"/>
        <v>0.83</v>
      </c>
      <c r="EC71" s="48">
        <f t="shared" si="885"/>
        <v>0.80999999999999994</v>
      </c>
      <c r="ED71" s="48">
        <f t="shared" si="885"/>
        <v>0.78999999999999992</v>
      </c>
      <c r="EE71" s="48">
        <f t="shared" si="885"/>
        <v>0.76999999999999991</v>
      </c>
      <c r="EF71" s="48">
        <f t="shared" si="885"/>
        <v>0.74999999999999989</v>
      </c>
      <c r="EG71" s="48">
        <f t="shared" si="885"/>
        <v>0.72999999999999987</v>
      </c>
      <c r="EH71" s="48">
        <f t="shared" si="885"/>
        <v>0.70999999999999985</v>
      </c>
      <c r="EI71" s="48">
        <f t="shared" si="885"/>
        <v>0.68999999999999984</v>
      </c>
      <c r="EJ71" s="48">
        <f t="shared" si="885"/>
        <v>0.66999999999999982</v>
      </c>
      <c r="EK71" s="48">
        <f t="shared" si="885"/>
        <v>0.6499999999999998</v>
      </c>
      <c r="EL71" s="48">
        <f t="shared" si="885"/>
        <v>0.62999999999999978</v>
      </c>
      <c r="EM71" s="48">
        <f t="shared" si="885"/>
        <v>0.60999999999999976</v>
      </c>
      <c r="EN71" s="48">
        <f t="shared" si="885"/>
        <v>0.58999999999999975</v>
      </c>
      <c r="EO71" s="48">
        <f t="shared" si="885"/>
        <v>0.56999999999999973</v>
      </c>
      <c r="EQ71" s="48">
        <f t="shared" si="188"/>
        <v>0</v>
      </c>
      <c r="ER71" s="48">
        <f t="shared" si="116"/>
        <v>0</v>
      </c>
      <c r="ES71" s="51">
        <f t="shared" ref="ES71" si="886">+ER71*3.3058</f>
        <v>0</v>
      </c>
      <c r="ET71" s="48">
        <f t="shared" si="805"/>
        <v>0</v>
      </c>
      <c r="EU71" s="51">
        <f t="shared" si="806"/>
        <v>0</v>
      </c>
      <c r="EV71" s="48">
        <f t="shared" si="807"/>
        <v>0</v>
      </c>
      <c r="EW71" s="51">
        <f t="shared" si="808"/>
        <v>0</v>
      </c>
      <c r="EX71" s="48">
        <f t="shared" si="809"/>
        <v>0</v>
      </c>
      <c r="EY71" s="51">
        <f t="shared" si="810"/>
        <v>0</v>
      </c>
      <c r="EZ71" s="52">
        <f t="shared" si="811"/>
        <v>0</v>
      </c>
      <c r="FA71" s="51">
        <f t="shared" si="812"/>
        <v>0</v>
      </c>
      <c r="FB71" s="48">
        <f t="shared" si="813"/>
        <v>0</v>
      </c>
      <c r="FC71" s="51">
        <f t="shared" si="814"/>
        <v>0</v>
      </c>
      <c r="FD71" s="52">
        <f t="shared" si="815"/>
        <v>0</v>
      </c>
      <c r="FE71" s="51">
        <f t="shared" si="816"/>
        <v>0</v>
      </c>
      <c r="FF71" s="53">
        <f t="shared" si="817"/>
        <v>0</v>
      </c>
      <c r="FG71" s="51">
        <f t="shared" si="818"/>
        <v>0</v>
      </c>
      <c r="FH71" s="52">
        <f t="shared" si="819"/>
        <v>0</v>
      </c>
      <c r="FI71" s="51">
        <f t="shared" si="820"/>
        <v>0</v>
      </c>
      <c r="FJ71" s="48">
        <f t="shared" si="821"/>
        <v>0</v>
      </c>
      <c r="FK71" s="51">
        <f t="shared" si="822"/>
        <v>0</v>
      </c>
      <c r="FL71" s="53">
        <f t="shared" si="823"/>
        <v>0</v>
      </c>
      <c r="FM71" s="51">
        <f t="shared" si="824"/>
        <v>0</v>
      </c>
      <c r="FN71" s="53">
        <f t="shared" si="825"/>
        <v>0</v>
      </c>
      <c r="FO71" s="51">
        <f t="shared" si="826"/>
        <v>0</v>
      </c>
      <c r="FP71" s="53">
        <f t="shared" si="827"/>
        <v>0</v>
      </c>
      <c r="FQ71" s="51">
        <f t="shared" si="828"/>
        <v>0</v>
      </c>
      <c r="FR71" s="48">
        <f t="shared" si="829"/>
        <v>0</v>
      </c>
      <c r="FS71" s="51">
        <f t="shared" si="830"/>
        <v>0</v>
      </c>
      <c r="FT71" s="53">
        <f t="shared" si="831"/>
        <v>0</v>
      </c>
      <c r="FU71" s="51">
        <f t="shared" si="832"/>
        <v>0</v>
      </c>
      <c r="FV71" s="53">
        <f t="shared" si="833"/>
        <v>0</v>
      </c>
      <c r="FW71" s="51">
        <f t="shared" si="834"/>
        <v>0</v>
      </c>
      <c r="FX71" s="53">
        <f t="shared" si="835"/>
        <v>0</v>
      </c>
      <c r="FY71" s="51">
        <f t="shared" si="836"/>
        <v>0</v>
      </c>
      <c r="FZ71" s="53">
        <f t="shared" si="837"/>
        <v>0</v>
      </c>
      <c r="GA71" s="51">
        <f t="shared" si="838"/>
        <v>0</v>
      </c>
      <c r="GB71" s="48">
        <f t="shared" si="839"/>
        <v>0</v>
      </c>
      <c r="GC71" s="51">
        <f t="shared" si="840"/>
        <v>0</v>
      </c>
      <c r="GD71" s="53">
        <f t="shared" si="841"/>
        <v>0</v>
      </c>
      <c r="GE71" s="51">
        <f t="shared" si="842"/>
        <v>0</v>
      </c>
      <c r="GF71" s="53">
        <f t="shared" si="843"/>
        <v>0</v>
      </c>
      <c r="GG71" s="51">
        <f t="shared" si="844"/>
        <v>0</v>
      </c>
      <c r="GH71" s="48">
        <f t="shared" si="845"/>
        <v>0</v>
      </c>
      <c r="GI71" s="51">
        <f t="shared" si="846"/>
        <v>0</v>
      </c>
      <c r="GJ71" s="48"/>
      <c r="GK71" s="48"/>
      <c r="GL71" s="48">
        <v>1</v>
      </c>
      <c r="GM71" s="48">
        <v>0.97</v>
      </c>
      <c r="GN71" s="48">
        <v>0.95</v>
      </c>
      <c r="GO71" s="48">
        <v>0.93</v>
      </c>
      <c r="GP71" s="48">
        <f t="shared" ref="GP71:HG71" si="887">+GO71-0.02</f>
        <v>0.91</v>
      </c>
      <c r="GQ71" s="48">
        <f t="shared" si="887"/>
        <v>0.89</v>
      </c>
      <c r="GR71" s="48">
        <f t="shared" si="887"/>
        <v>0.87</v>
      </c>
      <c r="GS71" s="48">
        <f t="shared" si="887"/>
        <v>0.85</v>
      </c>
      <c r="GT71" s="48">
        <f t="shared" si="887"/>
        <v>0.83</v>
      </c>
      <c r="GU71" s="48">
        <f t="shared" si="887"/>
        <v>0.80999999999999994</v>
      </c>
      <c r="GV71" s="48">
        <f t="shared" si="887"/>
        <v>0.78999999999999992</v>
      </c>
      <c r="GW71" s="48">
        <f t="shared" si="887"/>
        <v>0.76999999999999991</v>
      </c>
      <c r="GX71" s="48">
        <f t="shared" si="887"/>
        <v>0.74999999999999989</v>
      </c>
      <c r="GY71" s="48">
        <f t="shared" si="887"/>
        <v>0.72999999999999987</v>
      </c>
      <c r="GZ71" s="48">
        <f t="shared" si="887"/>
        <v>0.70999999999999985</v>
      </c>
      <c r="HA71" s="48">
        <f t="shared" si="887"/>
        <v>0.68999999999999984</v>
      </c>
      <c r="HB71" s="48">
        <f t="shared" si="887"/>
        <v>0.66999999999999982</v>
      </c>
      <c r="HC71" s="48">
        <f t="shared" si="887"/>
        <v>0.6499999999999998</v>
      </c>
      <c r="HD71" s="48">
        <f t="shared" si="887"/>
        <v>0.62999999999999978</v>
      </c>
      <c r="HE71" s="48">
        <f t="shared" si="887"/>
        <v>0.60999999999999976</v>
      </c>
      <c r="HF71" s="48">
        <f t="shared" si="887"/>
        <v>0.58999999999999975</v>
      </c>
      <c r="HG71" s="48">
        <f t="shared" si="887"/>
        <v>0.56999999999999973</v>
      </c>
    </row>
    <row r="72" spans="1:215" x14ac:dyDescent="0.3">
      <c r="A72" s="2">
        <v>10</v>
      </c>
      <c r="C72" s="39" t="s">
        <v>141</v>
      </c>
      <c r="D72" s="44">
        <f>TRUNC(34553.2908966302,-1)</f>
        <v>34550</v>
      </c>
      <c r="E72" s="73">
        <f t="shared" si="716"/>
        <v>114210</v>
      </c>
      <c r="G72" s="48">
        <f t="shared" si="61"/>
        <v>38005</v>
      </c>
      <c r="H72" s="48">
        <f t="shared" si="62"/>
        <v>38005</v>
      </c>
      <c r="I72" s="51">
        <f t="shared" si="63"/>
        <v>125636.929</v>
      </c>
      <c r="J72" s="48">
        <f t="shared" si="717"/>
        <v>36864.85</v>
      </c>
      <c r="K72" s="51">
        <f t="shared" si="718"/>
        <v>121867.82113</v>
      </c>
      <c r="L72" s="48">
        <f t="shared" si="719"/>
        <v>36104.75</v>
      </c>
      <c r="M72" s="51">
        <f t="shared" si="720"/>
        <v>119355.08255000001</v>
      </c>
      <c r="N72" s="48">
        <f t="shared" si="721"/>
        <v>35344.65</v>
      </c>
      <c r="O72" s="51">
        <f t="shared" si="722"/>
        <v>116842.34397</v>
      </c>
      <c r="P72" s="52">
        <f t="shared" si="723"/>
        <v>34584.550000000003</v>
      </c>
      <c r="Q72" s="51">
        <f t="shared" si="724"/>
        <v>114329.60539000001</v>
      </c>
      <c r="R72" s="48">
        <f t="shared" si="725"/>
        <v>33824.449999999997</v>
      </c>
      <c r="S72" s="51">
        <f t="shared" si="726"/>
        <v>111816.86680999999</v>
      </c>
      <c r="T72" s="52">
        <f t="shared" si="727"/>
        <v>33064.35</v>
      </c>
      <c r="U72" s="51">
        <f t="shared" si="728"/>
        <v>109304.12823</v>
      </c>
      <c r="V72" s="53">
        <f t="shared" si="729"/>
        <v>32304.25</v>
      </c>
      <c r="W72" s="51">
        <f t="shared" si="730"/>
        <v>106791.38965</v>
      </c>
      <c r="X72" s="52">
        <f t="shared" si="731"/>
        <v>31544.149999999998</v>
      </c>
      <c r="Y72" s="51">
        <f t="shared" si="732"/>
        <v>104278.65106999999</v>
      </c>
      <c r="Z72" s="48">
        <f t="shared" si="733"/>
        <v>30784.05</v>
      </c>
      <c r="AA72" s="51">
        <f t="shared" si="734"/>
        <v>101765.91249</v>
      </c>
      <c r="AB72" s="53">
        <f t="shared" si="735"/>
        <v>30023.949999999997</v>
      </c>
      <c r="AC72" s="51">
        <f t="shared" si="736"/>
        <v>99253.173909999998</v>
      </c>
      <c r="AD72" s="53">
        <f t="shared" si="737"/>
        <v>29263.849999999995</v>
      </c>
      <c r="AE72" s="51">
        <f t="shared" si="738"/>
        <v>96740.435329999978</v>
      </c>
      <c r="AF72" s="53">
        <f t="shared" si="739"/>
        <v>28503.749999999996</v>
      </c>
      <c r="AG72" s="51">
        <f t="shared" si="740"/>
        <v>94227.696749999988</v>
      </c>
      <c r="AH72" s="48">
        <f t="shared" si="741"/>
        <v>27743.649999999994</v>
      </c>
      <c r="AI72" s="51">
        <f t="shared" si="742"/>
        <v>91714.958169999984</v>
      </c>
      <c r="AJ72" s="53">
        <f t="shared" si="743"/>
        <v>26983.549999999996</v>
      </c>
      <c r="AK72" s="51">
        <f t="shared" si="744"/>
        <v>89202.219589999993</v>
      </c>
      <c r="AL72" s="53">
        <f t="shared" si="745"/>
        <v>26223.449999999993</v>
      </c>
      <c r="AM72" s="51">
        <f t="shared" si="746"/>
        <v>86689.481009999974</v>
      </c>
      <c r="AN72" s="53">
        <f t="shared" si="747"/>
        <v>25463.349999999991</v>
      </c>
      <c r="AO72" s="51">
        <f t="shared" si="748"/>
        <v>84176.742429999969</v>
      </c>
      <c r="AP72" s="53">
        <f t="shared" si="749"/>
        <v>24703.249999999993</v>
      </c>
      <c r="AQ72" s="51">
        <f t="shared" si="750"/>
        <v>81664.003849999979</v>
      </c>
      <c r="AR72" s="48">
        <f t="shared" si="751"/>
        <v>23943.149999999991</v>
      </c>
      <c r="AS72" s="51">
        <f t="shared" si="752"/>
        <v>79151.265269999974</v>
      </c>
      <c r="AT72" s="53">
        <f t="shared" si="753"/>
        <v>23183.049999999992</v>
      </c>
      <c r="AU72" s="51">
        <f t="shared" si="754"/>
        <v>76638.52668999997</v>
      </c>
      <c r="AV72" s="53">
        <f t="shared" si="755"/>
        <v>22422.94999999999</v>
      </c>
      <c r="AW72" s="51">
        <f t="shared" si="756"/>
        <v>74125.788109999965</v>
      </c>
      <c r="AX72" s="48">
        <f t="shared" si="757"/>
        <v>21662.849999999991</v>
      </c>
      <c r="AY72" s="51">
        <f t="shared" si="758"/>
        <v>71613.049529999975</v>
      </c>
      <c r="BB72" s="48">
        <v>1</v>
      </c>
      <c r="BC72" s="48">
        <v>0.97</v>
      </c>
      <c r="BD72" s="48">
        <v>0.95</v>
      </c>
      <c r="BE72" s="48">
        <v>0.93</v>
      </c>
      <c r="BF72" s="48">
        <f t="shared" ref="BF72:BW72" si="888">+BE72-0.02</f>
        <v>0.91</v>
      </c>
      <c r="BG72" s="48">
        <f t="shared" si="888"/>
        <v>0.89</v>
      </c>
      <c r="BH72" s="48">
        <f t="shared" si="888"/>
        <v>0.87</v>
      </c>
      <c r="BI72" s="48">
        <f t="shared" si="888"/>
        <v>0.85</v>
      </c>
      <c r="BJ72" s="48">
        <f t="shared" si="888"/>
        <v>0.83</v>
      </c>
      <c r="BK72" s="48">
        <f t="shared" si="888"/>
        <v>0.80999999999999994</v>
      </c>
      <c r="BL72" s="48">
        <f t="shared" si="888"/>
        <v>0.78999999999999992</v>
      </c>
      <c r="BM72" s="48">
        <f t="shared" si="888"/>
        <v>0.76999999999999991</v>
      </c>
      <c r="BN72" s="48">
        <f t="shared" si="888"/>
        <v>0.74999999999999989</v>
      </c>
      <c r="BO72" s="48">
        <f t="shared" si="888"/>
        <v>0.72999999999999987</v>
      </c>
      <c r="BP72" s="48">
        <f t="shared" si="888"/>
        <v>0.70999999999999985</v>
      </c>
      <c r="BQ72" s="48">
        <f t="shared" si="888"/>
        <v>0.68999999999999984</v>
      </c>
      <c r="BR72" s="48">
        <f t="shared" si="888"/>
        <v>0.66999999999999982</v>
      </c>
      <c r="BS72" s="48">
        <f t="shared" si="888"/>
        <v>0.6499999999999998</v>
      </c>
      <c r="BT72" s="48">
        <f t="shared" si="888"/>
        <v>0.62999999999999978</v>
      </c>
      <c r="BU72" s="48">
        <f t="shared" si="888"/>
        <v>0.60999999999999976</v>
      </c>
      <c r="BV72" s="48">
        <f t="shared" si="888"/>
        <v>0.58999999999999975</v>
      </c>
      <c r="BW72" s="48">
        <f t="shared" si="888"/>
        <v>0.56999999999999973</v>
      </c>
      <c r="BY72" s="48">
        <f t="shared" si="88"/>
        <v>34584.550000000003</v>
      </c>
      <c r="BZ72" s="48">
        <f t="shared" si="89"/>
        <v>34584.550000000003</v>
      </c>
      <c r="CA72" s="51">
        <f t="shared" ref="CA72" si="889">+BZ72*3.3058</f>
        <v>114329.60539000001</v>
      </c>
      <c r="CB72" s="48">
        <f t="shared" si="761"/>
        <v>33547.013500000001</v>
      </c>
      <c r="CC72" s="51">
        <f t="shared" si="762"/>
        <v>110899.71722830001</v>
      </c>
      <c r="CD72" s="48">
        <f t="shared" si="763"/>
        <v>32855.322500000002</v>
      </c>
      <c r="CE72" s="51">
        <f t="shared" si="764"/>
        <v>108613.12512050002</v>
      </c>
      <c r="CF72" s="48">
        <f t="shared" si="765"/>
        <v>32163.631500000003</v>
      </c>
      <c r="CG72" s="51">
        <f t="shared" si="766"/>
        <v>106326.53301270002</v>
      </c>
      <c r="CH72" s="52">
        <f t="shared" si="767"/>
        <v>31471.940500000004</v>
      </c>
      <c r="CI72" s="51">
        <f t="shared" si="768"/>
        <v>104039.94090490001</v>
      </c>
      <c r="CJ72" s="48">
        <f t="shared" si="769"/>
        <v>30780.249500000002</v>
      </c>
      <c r="CK72" s="51">
        <f t="shared" si="770"/>
        <v>101753.34879710001</v>
      </c>
      <c r="CL72" s="52">
        <f t="shared" si="771"/>
        <v>30088.558500000003</v>
      </c>
      <c r="CM72" s="51">
        <f t="shared" si="772"/>
        <v>99466.756689300018</v>
      </c>
      <c r="CN72" s="53">
        <f t="shared" si="773"/>
        <v>29396.8675</v>
      </c>
      <c r="CO72" s="51">
        <f t="shared" si="774"/>
        <v>97180.164581500008</v>
      </c>
      <c r="CP72" s="52">
        <f t="shared" si="775"/>
        <v>28705.176500000001</v>
      </c>
      <c r="CQ72" s="51">
        <f t="shared" si="776"/>
        <v>94893.572473700013</v>
      </c>
      <c r="CR72" s="48">
        <f t="shared" si="777"/>
        <v>28013.485499999999</v>
      </c>
      <c r="CS72" s="51">
        <f t="shared" si="778"/>
        <v>92606.980365900003</v>
      </c>
      <c r="CT72" s="53">
        <f t="shared" si="779"/>
        <v>27321.7945</v>
      </c>
      <c r="CU72" s="51">
        <f t="shared" si="780"/>
        <v>90320.388258100007</v>
      </c>
      <c r="CV72" s="53">
        <f t="shared" si="781"/>
        <v>26630.103499999997</v>
      </c>
      <c r="CW72" s="51">
        <f t="shared" si="782"/>
        <v>88033.796150299997</v>
      </c>
      <c r="CX72" s="53">
        <f t="shared" si="783"/>
        <v>25938.412499999999</v>
      </c>
      <c r="CY72" s="51">
        <f t="shared" si="784"/>
        <v>85747.204042500001</v>
      </c>
      <c r="CZ72" s="48">
        <f t="shared" si="785"/>
        <v>25246.721499999996</v>
      </c>
      <c r="DA72" s="51">
        <f t="shared" si="786"/>
        <v>83460.611934699991</v>
      </c>
      <c r="DB72" s="53">
        <f t="shared" si="787"/>
        <v>24555.030499999997</v>
      </c>
      <c r="DC72" s="51">
        <f t="shared" si="788"/>
        <v>81174.019826899996</v>
      </c>
      <c r="DD72" s="53">
        <f t="shared" si="789"/>
        <v>23863.339499999995</v>
      </c>
      <c r="DE72" s="51">
        <f t="shared" si="790"/>
        <v>78887.427719099986</v>
      </c>
      <c r="DF72" s="53">
        <f t="shared" si="791"/>
        <v>23171.648499999996</v>
      </c>
      <c r="DG72" s="51">
        <f t="shared" si="792"/>
        <v>76600.83561129999</v>
      </c>
      <c r="DH72" s="53">
        <f t="shared" si="793"/>
        <v>22479.957499999997</v>
      </c>
      <c r="DI72" s="51">
        <f t="shared" si="794"/>
        <v>74314.243503499994</v>
      </c>
      <c r="DJ72" s="48">
        <f t="shared" si="795"/>
        <v>21788.266499999994</v>
      </c>
      <c r="DK72" s="51">
        <f t="shared" si="796"/>
        <v>72027.651395699984</v>
      </c>
      <c r="DL72" s="53">
        <f t="shared" si="797"/>
        <v>21096.575499999995</v>
      </c>
      <c r="DM72" s="51">
        <f t="shared" si="798"/>
        <v>69741.059287899989</v>
      </c>
      <c r="DN72" s="53">
        <f t="shared" si="799"/>
        <v>20404.884499999993</v>
      </c>
      <c r="DO72" s="51">
        <f t="shared" si="800"/>
        <v>67454.467180099979</v>
      </c>
      <c r="DP72" s="48">
        <f t="shared" si="801"/>
        <v>19713.193499999994</v>
      </c>
      <c r="DQ72" s="51">
        <f t="shared" si="802"/>
        <v>65167.875072299983</v>
      </c>
      <c r="DT72" s="48">
        <v>1</v>
      </c>
      <c r="DU72" s="48">
        <v>0.97</v>
      </c>
      <c r="DV72" s="48">
        <v>0.95</v>
      </c>
      <c r="DW72" s="48">
        <v>0.93</v>
      </c>
      <c r="DX72" s="48">
        <f t="shared" ref="DX72:EO72" si="890">+DW72-0.02</f>
        <v>0.91</v>
      </c>
      <c r="DY72" s="48">
        <f t="shared" si="890"/>
        <v>0.89</v>
      </c>
      <c r="DZ72" s="48">
        <f t="shared" si="890"/>
        <v>0.87</v>
      </c>
      <c r="EA72" s="48">
        <f t="shared" si="890"/>
        <v>0.85</v>
      </c>
      <c r="EB72" s="48">
        <f t="shared" si="890"/>
        <v>0.83</v>
      </c>
      <c r="EC72" s="48">
        <f t="shared" si="890"/>
        <v>0.80999999999999994</v>
      </c>
      <c r="ED72" s="48">
        <f t="shared" si="890"/>
        <v>0.78999999999999992</v>
      </c>
      <c r="EE72" s="48">
        <f t="shared" si="890"/>
        <v>0.76999999999999991</v>
      </c>
      <c r="EF72" s="48">
        <f t="shared" si="890"/>
        <v>0.74999999999999989</v>
      </c>
      <c r="EG72" s="48">
        <f t="shared" si="890"/>
        <v>0.72999999999999987</v>
      </c>
      <c r="EH72" s="48">
        <f t="shared" si="890"/>
        <v>0.70999999999999985</v>
      </c>
      <c r="EI72" s="48">
        <f t="shared" si="890"/>
        <v>0.68999999999999984</v>
      </c>
      <c r="EJ72" s="48">
        <f t="shared" si="890"/>
        <v>0.66999999999999982</v>
      </c>
      <c r="EK72" s="48">
        <f t="shared" si="890"/>
        <v>0.6499999999999998</v>
      </c>
      <c r="EL72" s="48">
        <f t="shared" si="890"/>
        <v>0.62999999999999978</v>
      </c>
      <c r="EM72" s="48">
        <f t="shared" si="890"/>
        <v>0.60999999999999976</v>
      </c>
      <c r="EN72" s="48">
        <f t="shared" si="890"/>
        <v>0.58999999999999975</v>
      </c>
      <c r="EO72" s="48">
        <f t="shared" si="890"/>
        <v>0.56999999999999973</v>
      </c>
      <c r="EQ72" s="48">
        <f t="shared" si="188"/>
        <v>31471.940500000004</v>
      </c>
      <c r="ER72" s="48">
        <f t="shared" si="116"/>
        <v>31471.940500000004</v>
      </c>
      <c r="ES72" s="51">
        <f t="shared" ref="ES72" si="891">+ER72*3.3058</f>
        <v>104039.94090490001</v>
      </c>
      <c r="ET72" s="48">
        <f t="shared" si="805"/>
        <v>30527.782285000005</v>
      </c>
      <c r="EU72" s="51">
        <f t="shared" si="806"/>
        <v>100918.74267775302</v>
      </c>
      <c r="EV72" s="48">
        <f t="shared" si="807"/>
        <v>29898.343475000001</v>
      </c>
      <c r="EW72" s="51">
        <f t="shared" si="808"/>
        <v>98837.943859655003</v>
      </c>
      <c r="EX72" s="48">
        <f t="shared" si="809"/>
        <v>29268.904665000005</v>
      </c>
      <c r="EY72" s="51">
        <f t="shared" si="810"/>
        <v>96757.145041557014</v>
      </c>
      <c r="EZ72" s="52">
        <f t="shared" si="811"/>
        <v>28639.465855000006</v>
      </c>
      <c r="FA72" s="51">
        <f t="shared" si="812"/>
        <v>94676.346223459026</v>
      </c>
      <c r="FB72" s="48">
        <f t="shared" si="813"/>
        <v>28010.027045000003</v>
      </c>
      <c r="FC72" s="51">
        <f t="shared" si="814"/>
        <v>92595.547405361009</v>
      </c>
      <c r="FD72" s="52">
        <f t="shared" si="815"/>
        <v>27380.588235000003</v>
      </c>
      <c r="FE72" s="51">
        <f t="shared" si="816"/>
        <v>90514.748587263006</v>
      </c>
      <c r="FF72" s="53">
        <f t="shared" si="817"/>
        <v>26751.149425000003</v>
      </c>
      <c r="FG72" s="51">
        <f t="shared" si="818"/>
        <v>88433.949769165018</v>
      </c>
      <c r="FH72" s="52">
        <f t="shared" si="819"/>
        <v>26121.710615000004</v>
      </c>
      <c r="FI72" s="51">
        <f t="shared" si="820"/>
        <v>86353.150951067015</v>
      </c>
      <c r="FJ72" s="48">
        <f t="shared" si="821"/>
        <v>25492.271805</v>
      </c>
      <c r="FK72" s="51">
        <f t="shared" si="822"/>
        <v>84272.352132968997</v>
      </c>
      <c r="FL72" s="53">
        <f t="shared" si="823"/>
        <v>24862.832995000001</v>
      </c>
      <c r="FM72" s="51">
        <f t="shared" si="824"/>
        <v>82191.553314871009</v>
      </c>
      <c r="FN72" s="53">
        <f t="shared" si="825"/>
        <v>24233.394185000001</v>
      </c>
      <c r="FO72" s="51">
        <f t="shared" si="826"/>
        <v>80110.754496773006</v>
      </c>
      <c r="FP72" s="53">
        <f t="shared" si="827"/>
        <v>23603.955375000001</v>
      </c>
      <c r="FQ72" s="51">
        <f t="shared" si="828"/>
        <v>78029.955678675004</v>
      </c>
      <c r="FR72" s="48">
        <f t="shared" si="829"/>
        <v>22974.516564999998</v>
      </c>
      <c r="FS72" s="51">
        <f t="shared" si="830"/>
        <v>75949.156860577001</v>
      </c>
      <c r="FT72" s="53">
        <f t="shared" si="831"/>
        <v>22345.077754999998</v>
      </c>
      <c r="FU72" s="51">
        <f t="shared" si="832"/>
        <v>73868.358042478998</v>
      </c>
      <c r="FV72" s="53">
        <f t="shared" si="833"/>
        <v>21715.638944999999</v>
      </c>
      <c r="FW72" s="51">
        <f t="shared" si="834"/>
        <v>71787.559224380995</v>
      </c>
      <c r="FX72" s="53">
        <f t="shared" si="835"/>
        <v>21086.200134999995</v>
      </c>
      <c r="FY72" s="51">
        <f t="shared" si="836"/>
        <v>69706.760406282992</v>
      </c>
      <c r="FZ72" s="53">
        <f t="shared" si="837"/>
        <v>20456.761324999996</v>
      </c>
      <c r="GA72" s="51">
        <f t="shared" si="838"/>
        <v>67625.96158818499</v>
      </c>
      <c r="GB72" s="48">
        <f t="shared" si="839"/>
        <v>19827.322514999996</v>
      </c>
      <c r="GC72" s="51">
        <f t="shared" si="840"/>
        <v>65545.162770086987</v>
      </c>
      <c r="GD72" s="53">
        <f t="shared" si="841"/>
        <v>19197.883704999997</v>
      </c>
      <c r="GE72" s="51">
        <f t="shared" si="842"/>
        <v>63464.363951988991</v>
      </c>
      <c r="GF72" s="53">
        <f t="shared" si="843"/>
        <v>18568.444894999993</v>
      </c>
      <c r="GG72" s="51">
        <f t="shared" si="844"/>
        <v>61383.565133890981</v>
      </c>
      <c r="GH72" s="48">
        <f t="shared" si="845"/>
        <v>17939.006084999994</v>
      </c>
      <c r="GI72" s="51">
        <f t="shared" si="846"/>
        <v>59302.766315792978</v>
      </c>
      <c r="GJ72" s="48"/>
      <c r="GK72" s="48"/>
      <c r="GL72" s="48">
        <v>1</v>
      </c>
      <c r="GM72" s="48">
        <v>0.97</v>
      </c>
      <c r="GN72" s="48">
        <v>0.95</v>
      </c>
      <c r="GO72" s="48">
        <v>0.93</v>
      </c>
      <c r="GP72" s="48">
        <f t="shared" ref="GP72:HG72" si="892">+GO72-0.02</f>
        <v>0.91</v>
      </c>
      <c r="GQ72" s="48">
        <f t="shared" si="892"/>
        <v>0.89</v>
      </c>
      <c r="GR72" s="48">
        <f t="shared" si="892"/>
        <v>0.87</v>
      </c>
      <c r="GS72" s="48">
        <f t="shared" si="892"/>
        <v>0.85</v>
      </c>
      <c r="GT72" s="48">
        <f t="shared" si="892"/>
        <v>0.83</v>
      </c>
      <c r="GU72" s="48">
        <f t="shared" si="892"/>
        <v>0.80999999999999994</v>
      </c>
      <c r="GV72" s="48">
        <f t="shared" si="892"/>
        <v>0.78999999999999992</v>
      </c>
      <c r="GW72" s="48">
        <f t="shared" si="892"/>
        <v>0.76999999999999991</v>
      </c>
      <c r="GX72" s="48">
        <f t="shared" si="892"/>
        <v>0.74999999999999989</v>
      </c>
      <c r="GY72" s="48">
        <f t="shared" si="892"/>
        <v>0.72999999999999987</v>
      </c>
      <c r="GZ72" s="48">
        <f t="shared" si="892"/>
        <v>0.70999999999999985</v>
      </c>
      <c r="HA72" s="48">
        <f t="shared" si="892"/>
        <v>0.68999999999999984</v>
      </c>
      <c r="HB72" s="48">
        <f t="shared" si="892"/>
        <v>0.66999999999999982</v>
      </c>
      <c r="HC72" s="48">
        <f t="shared" si="892"/>
        <v>0.6499999999999998</v>
      </c>
      <c r="HD72" s="48">
        <f t="shared" si="892"/>
        <v>0.62999999999999978</v>
      </c>
      <c r="HE72" s="48">
        <f t="shared" si="892"/>
        <v>0.60999999999999976</v>
      </c>
      <c r="HF72" s="48">
        <f t="shared" si="892"/>
        <v>0.58999999999999975</v>
      </c>
      <c r="HG72" s="48">
        <f t="shared" si="892"/>
        <v>0.56999999999999973</v>
      </c>
    </row>
    <row r="73" spans="1:215" x14ac:dyDescent="0.3">
      <c r="A73" s="2">
        <v>11</v>
      </c>
      <c r="C73" s="39" t="s">
        <v>142</v>
      </c>
      <c r="D73" s="44">
        <v>0</v>
      </c>
      <c r="E73" s="73">
        <f t="shared" si="716"/>
        <v>0</v>
      </c>
      <c r="G73" s="48">
        <f t="shared" si="61"/>
        <v>0</v>
      </c>
      <c r="H73" s="48">
        <f t="shared" si="62"/>
        <v>0</v>
      </c>
      <c r="I73" s="51">
        <f t="shared" si="63"/>
        <v>0</v>
      </c>
      <c r="J73" s="48">
        <f t="shared" si="717"/>
        <v>0</v>
      </c>
      <c r="K73" s="51">
        <f t="shared" si="718"/>
        <v>0</v>
      </c>
      <c r="L73" s="48">
        <f t="shared" si="719"/>
        <v>0</v>
      </c>
      <c r="M73" s="51">
        <f t="shared" si="720"/>
        <v>0</v>
      </c>
      <c r="N73" s="48">
        <f t="shared" si="721"/>
        <v>0</v>
      </c>
      <c r="O73" s="51">
        <f t="shared" si="722"/>
        <v>0</v>
      </c>
      <c r="P73" s="52">
        <f t="shared" si="723"/>
        <v>0</v>
      </c>
      <c r="Q73" s="51">
        <f t="shared" si="724"/>
        <v>0</v>
      </c>
      <c r="R73" s="48">
        <f t="shared" si="725"/>
        <v>0</v>
      </c>
      <c r="S73" s="51">
        <f t="shared" si="726"/>
        <v>0</v>
      </c>
      <c r="T73" s="52">
        <f t="shared" si="727"/>
        <v>0</v>
      </c>
      <c r="U73" s="51">
        <f t="shared" si="728"/>
        <v>0</v>
      </c>
      <c r="V73" s="53">
        <f t="shared" si="729"/>
        <v>0</v>
      </c>
      <c r="W73" s="51">
        <f t="shared" si="730"/>
        <v>0</v>
      </c>
      <c r="X73" s="52">
        <f t="shared" si="731"/>
        <v>0</v>
      </c>
      <c r="Y73" s="51">
        <f t="shared" si="732"/>
        <v>0</v>
      </c>
      <c r="Z73" s="48">
        <f t="shared" si="733"/>
        <v>0</v>
      </c>
      <c r="AA73" s="51">
        <f t="shared" si="734"/>
        <v>0</v>
      </c>
      <c r="AB73" s="53">
        <f t="shared" si="735"/>
        <v>0</v>
      </c>
      <c r="AC73" s="51">
        <f t="shared" si="736"/>
        <v>0</v>
      </c>
      <c r="AD73" s="53">
        <f t="shared" si="737"/>
        <v>0</v>
      </c>
      <c r="AE73" s="51">
        <f t="shared" si="738"/>
        <v>0</v>
      </c>
      <c r="AF73" s="53">
        <f t="shared" si="739"/>
        <v>0</v>
      </c>
      <c r="AG73" s="51">
        <f t="shared" si="740"/>
        <v>0</v>
      </c>
      <c r="AH73" s="48">
        <f t="shared" si="741"/>
        <v>0</v>
      </c>
      <c r="AI73" s="51">
        <f t="shared" si="742"/>
        <v>0</v>
      </c>
      <c r="AJ73" s="53">
        <f t="shared" si="743"/>
        <v>0</v>
      </c>
      <c r="AK73" s="51">
        <f t="shared" si="744"/>
        <v>0</v>
      </c>
      <c r="AL73" s="53">
        <f t="shared" si="745"/>
        <v>0</v>
      </c>
      <c r="AM73" s="51">
        <f t="shared" si="746"/>
        <v>0</v>
      </c>
      <c r="AN73" s="53">
        <f t="shared" si="747"/>
        <v>0</v>
      </c>
      <c r="AO73" s="51">
        <f t="shared" si="748"/>
        <v>0</v>
      </c>
      <c r="AP73" s="53">
        <f t="shared" si="749"/>
        <v>0</v>
      </c>
      <c r="AQ73" s="51">
        <f t="shared" si="750"/>
        <v>0</v>
      </c>
      <c r="AR73" s="48">
        <f t="shared" si="751"/>
        <v>0</v>
      </c>
      <c r="AS73" s="51">
        <f t="shared" si="752"/>
        <v>0</v>
      </c>
      <c r="AT73" s="53">
        <f t="shared" si="753"/>
        <v>0</v>
      </c>
      <c r="AU73" s="51">
        <f t="shared" si="754"/>
        <v>0</v>
      </c>
      <c r="AV73" s="53">
        <f t="shared" si="755"/>
        <v>0</v>
      </c>
      <c r="AW73" s="51">
        <f t="shared" si="756"/>
        <v>0</v>
      </c>
      <c r="AX73" s="48">
        <f t="shared" si="757"/>
        <v>0</v>
      </c>
      <c r="AY73" s="51">
        <f t="shared" si="758"/>
        <v>0</v>
      </c>
      <c r="BB73" s="48">
        <v>1</v>
      </c>
      <c r="BC73" s="48">
        <v>0.97</v>
      </c>
      <c r="BD73" s="48">
        <v>0.95</v>
      </c>
      <c r="BE73" s="48">
        <v>0.93</v>
      </c>
      <c r="BF73" s="48">
        <f t="shared" ref="BF73:BW73" si="893">+BE73-0.02</f>
        <v>0.91</v>
      </c>
      <c r="BG73" s="48">
        <f t="shared" si="893"/>
        <v>0.89</v>
      </c>
      <c r="BH73" s="48">
        <f t="shared" si="893"/>
        <v>0.87</v>
      </c>
      <c r="BI73" s="48">
        <f t="shared" si="893"/>
        <v>0.85</v>
      </c>
      <c r="BJ73" s="48">
        <f t="shared" si="893"/>
        <v>0.83</v>
      </c>
      <c r="BK73" s="48">
        <f t="shared" si="893"/>
        <v>0.80999999999999994</v>
      </c>
      <c r="BL73" s="48">
        <f t="shared" si="893"/>
        <v>0.78999999999999992</v>
      </c>
      <c r="BM73" s="48">
        <f t="shared" si="893"/>
        <v>0.76999999999999991</v>
      </c>
      <c r="BN73" s="48">
        <f t="shared" si="893"/>
        <v>0.74999999999999989</v>
      </c>
      <c r="BO73" s="48">
        <f t="shared" si="893"/>
        <v>0.72999999999999987</v>
      </c>
      <c r="BP73" s="48">
        <f t="shared" si="893"/>
        <v>0.70999999999999985</v>
      </c>
      <c r="BQ73" s="48">
        <f t="shared" si="893"/>
        <v>0.68999999999999984</v>
      </c>
      <c r="BR73" s="48">
        <f t="shared" si="893"/>
        <v>0.66999999999999982</v>
      </c>
      <c r="BS73" s="48">
        <f t="shared" si="893"/>
        <v>0.6499999999999998</v>
      </c>
      <c r="BT73" s="48">
        <f t="shared" si="893"/>
        <v>0.62999999999999978</v>
      </c>
      <c r="BU73" s="48">
        <f t="shared" si="893"/>
        <v>0.60999999999999976</v>
      </c>
      <c r="BV73" s="48">
        <f t="shared" si="893"/>
        <v>0.58999999999999975</v>
      </c>
      <c r="BW73" s="48">
        <f t="shared" si="893"/>
        <v>0.56999999999999973</v>
      </c>
      <c r="BY73" s="48">
        <f t="shared" si="88"/>
        <v>0</v>
      </c>
      <c r="BZ73" s="48">
        <f t="shared" si="89"/>
        <v>0</v>
      </c>
      <c r="CA73" s="51">
        <f t="shared" ref="CA73" si="894">+BZ73*3.3058</f>
        <v>0</v>
      </c>
      <c r="CB73" s="48">
        <f t="shared" si="761"/>
        <v>0</v>
      </c>
      <c r="CC73" s="51">
        <f t="shared" si="762"/>
        <v>0</v>
      </c>
      <c r="CD73" s="48">
        <f t="shared" si="763"/>
        <v>0</v>
      </c>
      <c r="CE73" s="51">
        <f t="shared" si="764"/>
        <v>0</v>
      </c>
      <c r="CF73" s="48">
        <f t="shared" si="765"/>
        <v>0</v>
      </c>
      <c r="CG73" s="51">
        <f t="shared" si="766"/>
        <v>0</v>
      </c>
      <c r="CH73" s="52">
        <f t="shared" si="767"/>
        <v>0</v>
      </c>
      <c r="CI73" s="51">
        <f t="shared" si="768"/>
        <v>0</v>
      </c>
      <c r="CJ73" s="48">
        <f t="shared" si="769"/>
        <v>0</v>
      </c>
      <c r="CK73" s="51">
        <f t="shared" si="770"/>
        <v>0</v>
      </c>
      <c r="CL73" s="52">
        <f t="shared" si="771"/>
        <v>0</v>
      </c>
      <c r="CM73" s="51">
        <f t="shared" si="772"/>
        <v>0</v>
      </c>
      <c r="CN73" s="53">
        <f t="shared" si="773"/>
        <v>0</v>
      </c>
      <c r="CO73" s="51">
        <f t="shared" si="774"/>
        <v>0</v>
      </c>
      <c r="CP73" s="52">
        <f t="shared" si="775"/>
        <v>0</v>
      </c>
      <c r="CQ73" s="51">
        <f t="shared" si="776"/>
        <v>0</v>
      </c>
      <c r="CR73" s="48">
        <f t="shared" si="777"/>
        <v>0</v>
      </c>
      <c r="CS73" s="51">
        <f t="shared" si="778"/>
        <v>0</v>
      </c>
      <c r="CT73" s="53">
        <f t="shared" si="779"/>
        <v>0</v>
      </c>
      <c r="CU73" s="51">
        <f t="shared" si="780"/>
        <v>0</v>
      </c>
      <c r="CV73" s="53">
        <f t="shared" si="781"/>
        <v>0</v>
      </c>
      <c r="CW73" s="51">
        <f t="shared" si="782"/>
        <v>0</v>
      </c>
      <c r="CX73" s="53">
        <f t="shared" si="783"/>
        <v>0</v>
      </c>
      <c r="CY73" s="51">
        <f t="shared" si="784"/>
        <v>0</v>
      </c>
      <c r="CZ73" s="48">
        <f t="shared" si="785"/>
        <v>0</v>
      </c>
      <c r="DA73" s="51">
        <f t="shared" si="786"/>
        <v>0</v>
      </c>
      <c r="DB73" s="53">
        <f t="shared" si="787"/>
        <v>0</v>
      </c>
      <c r="DC73" s="51">
        <f t="shared" si="788"/>
        <v>0</v>
      </c>
      <c r="DD73" s="53">
        <f t="shared" si="789"/>
        <v>0</v>
      </c>
      <c r="DE73" s="51">
        <f t="shared" si="790"/>
        <v>0</v>
      </c>
      <c r="DF73" s="53">
        <f t="shared" si="791"/>
        <v>0</v>
      </c>
      <c r="DG73" s="51">
        <f t="shared" si="792"/>
        <v>0</v>
      </c>
      <c r="DH73" s="53">
        <f t="shared" si="793"/>
        <v>0</v>
      </c>
      <c r="DI73" s="51">
        <f t="shared" si="794"/>
        <v>0</v>
      </c>
      <c r="DJ73" s="48">
        <f t="shared" si="795"/>
        <v>0</v>
      </c>
      <c r="DK73" s="51">
        <f t="shared" si="796"/>
        <v>0</v>
      </c>
      <c r="DL73" s="53">
        <f t="shared" si="797"/>
        <v>0</v>
      </c>
      <c r="DM73" s="51">
        <f t="shared" si="798"/>
        <v>0</v>
      </c>
      <c r="DN73" s="53">
        <f t="shared" si="799"/>
        <v>0</v>
      </c>
      <c r="DO73" s="51">
        <f t="shared" si="800"/>
        <v>0</v>
      </c>
      <c r="DP73" s="48">
        <f t="shared" si="801"/>
        <v>0</v>
      </c>
      <c r="DQ73" s="51">
        <f t="shared" si="802"/>
        <v>0</v>
      </c>
      <c r="DT73" s="48">
        <v>1</v>
      </c>
      <c r="DU73" s="48">
        <v>0.97</v>
      </c>
      <c r="DV73" s="48">
        <v>0.95</v>
      </c>
      <c r="DW73" s="48">
        <v>0.93</v>
      </c>
      <c r="DX73" s="48">
        <f t="shared" ref="DX73:EO73" si="895">+DW73-0.02</f>
        <v>0.91</v>
      </c>
      <c r="DY73" s="48">
        <f t="shared" si="895"/>
        <v>0.89</v>
      </c>
      <c r="DZ73" s="48">
        <f t="shared" si="895"/>
        <v>0.87</v>
      </c>
      <c r="EA73" s="48">
        <f t="shared" si="895"/>
        <v>0.85</v>
      </c>
      <c r="EB73" s="48">
        <f t="shared" si="895"/>
        <v>0.83</v>
      </c>
      <c r="EC73" s="48">
        <f t="shared" si="895"/>
        <v>0.80999999999999994</v>
      </c>
      <c r="ED73" s="48">
        <f t="shared" si="895"/>
        <v>0.78999999999999992</v>
      </c>
      <c r="EE73" s="48">
        <f t="shared" si="895"/>
        <v>0.76999999999999991</v>
      </c>
      <c r="EF73" s="48">
        <f t="shared" si="895"/>
        <v>0.74999999999999989</v>
      </c>
      <c r="EG73" s="48">
        <f t="shared" si="895"/>
        <v>0.72999999999999987</v>
      </c>
      <c r="EH73" s="48">
        <f t="shared" si="895"/>
        <v>0.70999999999999985</v>
      </c>
      <c r="EI73" s="48">
        <f t="shared" si="895"/>
        <v>0.68999999999999984</v>
      </c>
      <c r="EJ73" s="48">
        <f t="shared" si="895"/>
        <v>0.66999999999999982</v>
      </c>
      <c r="EK73" s="48">
        <f t="shared" si="895"/>
        <v>0.6499999999999998</v>
      </c>
      <c r="EL73" s="48">
        <f t="shared" si="895"/>
        <v>0.62999999999999978</v>
      </c>
      <c r="EM73" s="48">
        <f t="shared" si="895"/>
        <v>0.60999999999999976</v>
      </c>
      <c r="EN73" s="48">
        <f t="shared" si="895"/>
        <v>0.58999999999999975</v>
      </c>
      <c r="EO73" s="48">
        <f t="shared" si="895"/>
        <v>0.56999999999999973</v>
      </c>
      <c r="EQ73" s="48">
        <f t="shared" si="188"/>
        <v>0</v>
      </c>
      <c r="ER73" s="48">
        <f t="shared" si="116"/>
        <v>0</v>
      </c>
      <c r="ES73" s="51">
        <f t="shared" ref="ES73" si="896">+ER73*3.3058</f>
        <v>0</v>
      </c>
      <c r="ET73" s="48">
        <f t="shared" si="805"/>
        <v>0</v>
      </c>
      <c r="EU73" s="51">
        <f t="shared" si="806"/>
        <v>0</v>
      </c>
      <c r="EV73" s="48">
        <f t="shared" si="807"/>
        <v>0</v>
      </c>
      <c r="EW73" s="51">
        <f t="shared" si="808"/>
        <v>0</v>
      </c>
      <c r="EX73" s="48">
        <f t="shared" si="809"/>
        <v>0</v>
      </c>
      <c r="EY73" s="51">
        <f t="shared" si="810"/>
        <v>0</v>
      </c>
      <c r="EZ73" s="52">
        <f t="shared" si="811"/>
        <v>0</v>
      </c>
      <c r="FA73" s="51">
        <f t="shared" si="812"/>
        <v>0</v>
      </c>
      <c r="FB73" s="48">
        <f t="shared" si="813"/>
        <v>0</v>
      </c>
      <c r="FC73" s="51">
        <f t="shared" si="814"/>
        <v>0</v>
      </c>
      <c r="FD73" s="52">
        <f t="shared" si="815"/>
        <v>0</v>
      </c>
      <c r="FE73" s="51">
        <f t="shared" si="816"/>
        <v>0</v>
      </c>
      <c r="FF73" s="53">
        <f t="shared" si="817"/>
        <v>0</v>
      </c>
      <c r="FG73" s="51">
        <f t="shared" si="818"/>
        <v>0</v>
      </c>
      <c r="FH73" s="52">
        <f t="shared" si="819"/>
        <v>0</v>
      </c>
      <c r="FI73" s="51">
        <f t="shared" si="820"/>
        <v>0</v>
      </c>
      <c r="FJ73" s="48">
        <f t="shared" si="821"/>
        <v>0</v>
      </c>
      <c r="FK73" s="51">
        <f t="shared" si="822"/>
        <v>0</v>
      </c>
      <c r="FL73" s="53">
        <f t="shared" si="823"/>
        <v>0</v>
      </c>
      <c r="FM73" s="51">
        <f t="shared" si="824"/>
        <v>0</v>
      </c>
      <c r="FN73" s="53">
        <f t="shared" si="825"/>
        <v>0</v>
      </c>
      <c r="FO73" s="51">
        <f t="shared" si="826"/>
        <v>0</v>
      </c>
      <c r="FP73" s="53">
        <f t="shared" si="827"/>
        <v>0</v>
      </c>
      <c r="FQ73" s="51">
        <f t="shared" si="828"/>
        <v>0</v>
      </c>
      <c r="FR73" s="48">
        <f t="shared" si="829"/>
        <v>0</v>
      </c>
      <c r="FS73" s="51">
        <f t="shared" si="830"/>
        <v>0</v>
      </c>
      <c r="FT73" s="53">
        <f t="shared" si="831"/>
        <v>0</v>
      </c>
      <c r="FU73" s="51">
        <f t="shared" si="832"/>
        <v>0</v>
      </c>
      <c r="FV73" s="53">
        <f t="shared" si="833"/>
        <v>0</v>
      </c>
      <c r="FW73" s="51">
        <f t="shared" si="834"/>
        <v>0</v>
      </c>
      <c r="FX73" s="53">
        <f t="shared" si="835"/>
        <v>0</v>
      </c>
      <c r="FY73" s="51">
        <f t="shared" si="836"/>
        <v>0</v>
      </c>
      <c r="FZ73" s="53">
        <f t="shared" si="837"/>
        <v>0</v>
      </c>
      <c r="GA73" s="51">
        <f t="shared" si="838"/>
        <v>0</v>
      </c>
      <c r="GB73" s="48">
        <f t="shared" si="839"/>
        <v>0</v>
      </c>
      <c r="GC73" s="51">
        <f t="shared" si="840"/>
        <v>0</v>
      </c>
      <c r="GD73" s="53">
        <f t="shared" si="841"/>
        <v>0</v>
      </c>
      <c r="GE73" s="51">
        <f t="shared" si="842"/>
        <v>0</v>
      </c>
      <c r="GF73" s="53">
        <f t="shared" si="843"/>
        <v>0</v>
      </c>
      <c r="GG73" s="51">
        <f t="shared" si="844"/>
        <v>0</v>
      </c>
      <c r="GH73" s="48">
        <f t="shared" si="845"/>
        <v>0</v>
      </c>
      <c r="GI73" s="51">
        <f t="shared" si="846"/>
        <v>0</v>
      </c>
      <c r="GJ73" s="48"/>
      <c r="GK73" s="48"/>
      <c r="GL73" s="48">
        <v>1</v>
      </c>
      <c r="GM73" s="48">
        <v>0.97</v>
      </c>
      <c r="GN73" s="48">
        <v>0.95</v>
      </c>
      <c r="GO73" s="48">
        <v>0.93</v>
      </c>
      <c r="GP73" s="48">
        <f t="shared" ref="GP73:HG73" si="897">+GO73-0.02</f>
        <v>0.91</v>
      </c>
      <c r="GQ73" s="48">
        <f t="shared" si="897"/>
        <v>0.89</v>
      </c>
      <c r="GR73" s="48">
        <f t="shared" si="897"/>
        <v>0.87</v>
      </c>
      <c r="GS73" s="48">
        <f t="shared" si="897"/>
        <v>0.85</v>
      </c>
      <c r="GT73" s="48">
        <f t="shared" si="897"/>
        <v>0.83</v>
      </c>
      <c r="GU73" s="48">
        <f t="shared" si="897"/>
        <v>0.80999999999999994</v>
      </c>
      <c r="GV73" s="48">
        <f t="shared" si="897"/>
        <v>0.78999999999999992</v>
      </c>
      <c r="GW73" s="48">
        <f t="shared" si="897"/>
        <v>0.76999999999999991</v>
      </c>
      <c r="GX73" s="48">
        <f t="shared" si="897"/>
        <v>0.74999999999999989</v>
      </c>
      <c r="GY73" s="48">
        <f t="shared" si="897"/>
        <v>0.72999999999999987</v>
      </c>
      <c r="GZ73" s="48">
        <f t="shared" si="897"/>
        <v>0.70999999999999985</v>
      </c>
      <c r="HA73" s="48">
        <f t="shared" si="897"/>
        <v>0.68999999999999984</v>
      </c>
      <c r="HB73" s="48">
        <f t="shared" si="897"/>
        <v>0.66999999999999982</v>
      </c>
      <c r="HC73" s="48">
        <f t="shared" si="897"/>
        <v>0.6499999999999998</v>
      </c>
      <c r="HD73" s="48">
        <f t="shared" si="897"/>
        <v>0.62999999999999978</v>
      </c>
      <c r="HE73" s="48">
        <f t="shared" si="897"/>
        <v>0.60999999999999976</v>
      </c>
      <c r="HF73" s="48">
        <f t="shared" si="897"/>
        <v>0.58999999999999975</v>
      </c>
      <c r="HG73" s="48">
        <f t="shared" si="897"/>
        <v>0.56999999999999973</v>
      </c>
    </row>
    <row r="74" spans="1:215" x14ac:dyDescent="0.3">
      <c r="A74" s="2">
        <v>12</v>
      </c>
      <c r="C74" s="39" t="s">
        <v>143</v>
      </c>
      <c r="D74" s="44">
        <v>0</v>
      </c>
      <c r="E74" s="73">
        <f t="shared" si="716"/>
        <v>0</v>
      </c>
      <c r="G74" s="48">
        <f t="shared" si="61"/>
        <v>0</v>
      </c>
      <c r="H74" s="48">
        <f t="shared" si="62"/>
        <v>0</v>
      </c>
      <c r="I74" s="51">
        <f t="shared" si="63"/>
        <v>0</v>
      </c>
      <c r="J74" s="48">
        <f t="shared" si="717"/>
        <v>0</v>
      </c>
      <c r="K74" s="51">
        <f t="shared" si="718"/>
        <v>0</v>
      </c>
      <c r="L74" s="48">
        <f t="shared" si="719"/>
        <v>0</v>
      </c>
      <c r="M74" s="51">
        <f t="shared" si="720"/>
        <v>0</v>
      </c>
      <c r="N74" s="48">
        <f t="shared" si="721"/>
        <v>0</v>
      </c>
      <c r="O74" s="51">
        <f t="shared" si="722"/>
        <v>0</v>
      </c>
      <c r="P74" s="52">
        <f t="shared" si="723"/>
        <v>0</v>
      </c>
      <c r="Q74" s="51">
        <f t="shared" si="724"/>
        <v>0</v>
      </c>
      <c r="R74" s="48">
        <f t="shared" si="725"/>
        <v>0</v>
      </c>
      <c r="S74" s="51">
        <f t="shared" si="726"/>
        <v>0</v>
      </c>
      <c r="T74" s="52">
        <f t="shared" si="727"/>
        <v>0</v>
      </c>
      <c r="U74" s="51">
        <f t="shared" si="728"/>
        <v>0</v>
      </c>
      <c r="V74" s="53">
        <f t="shared" si="729"/>
        <v>0</v>
      </c>
      <c r="W74" s="51">
        <f t="shared" si="730"/>
        <v>0</v>
      </c>
      <c r="X74" s="52">
        <f t="shared" si="731"/>
        <v>0</v>
      </c>
      <c r="Y74" s="51">
        <f t="shared" si="732"/>
        <v>0</v>
      </c>
      <c r="Z74" s="48">
        <f t="shared" si="733"/>
        <v>0</v>
      </c>
      <c r="AA74" s="51">
        <f t="shared" si="734"/>
        <v>0</v>
      </c>
      <c r="AB74" s="53">
        <f t="shared" si="735"/>
        <v>0</v>
      </c>
      <c r="AC74" s="51">
        <f t="shared" si="736"/>
        <v>0</v>
      </c>
      <c r="AD74" s="53">
        <f t="shared" si="737"/>
        <v>0</v>
      </c>
      <c r="AE74" s="51">
        <f t="shared" si="738"/>
        <v>0</v>
      </c>
      <c r="AF74" s="53">
        <f t="shared" si="739"/>
        <v>0</v>
      </c>
      <c r="AG74" s="51">
        <f t="shared" si="740"/>
        <v>0</v>
      </c>
      <c r="AH74" s="48">
        <f t="shared" si="741"/>
        <v>0</v>
      </c>
      <c r="AI74" s="51">
        <f t="shared" si="742"/>
        <v>0</v>
      </c>
      <c r="AJ74" s="53">
        <f t="shared" si="743"/>
        <v>0</v>
      </c>
      <c r="AK74" s="51">
        <f t="shared" si="744"/>
        <v>0</v>
      </c>
      <c r="AL74" s="53">
        <f t="shared" si="745"/>
        <v>0</v>
      </c>
      <c r="AM74" s="51">
        <f t="shared" si="746"/>
        <v>0</v>
      </c>
      <c r="AN74" s="53">
        <f t="shared" si="747"/>
        <v>0</v>
      </c>
      <c r="AO74" s="51">
        <f t="shared" si="748"/>
        <v>0</v>
      </c>
      <c r="AP74" s="53">
        <f t="shared" si="749"/>
        <v>0</v>
      </c>
      <c r="AQ74" s="51">
        <f t="shared" si="750"/>
        <v>0</v>
      </c>
      <c r="AR74" s="48">
        <f t="shared" si="751"/>
        <v>0</v>
      </c>
      <c r="AS74" s="51">
        <f t="shared" si="752"/>
        <v>0</v>
      </c>
      <c r="AT74" s="53">
        <f t="shared" si="753"/>
        <v>0</v>
      </c>
      <c r="AU74" s="51">
        <f t="shared" si="754"/>
        <v>0</v>
      </c>
      <c r="AV74" s="53">
        <f t="shared" si="755"/>
        <v>0</v>
      </c>
      <c r="AW74" s="51">
        <f t="shared" si="756"/>
        <v>0</v>
      </c>
      <c r="AX74" s="48">
        <f t="shared" si="757"/>
        <v>0</v>
      </c>
      <c r="AY74" s="51">
        <f t="shared" si="758"/>
        <v>0</v>
      </c>
      <c r="BB74" s="48">
        <v>1</v>
      </c>
      <c r="BC74" s="48">
        <v>0.97</v>
      </c>
      <c r="BD74" s="48">
        <v>0.95</v>
      </c>
      <c r="BE74" s="48">
        <v>0.93</v>
      </c>
      <c r="BF74" s="48">
        <f t="shared" ref="BF74:BW74" si="898">+BE74-0.02</f>
        <v>0.91</v>
      </c>
      <c r="BG74" s="48">
        <f t="shared" si="898"/>
        <v>0.89</v>
      </c>
      <c r="BH74" s="48">
        <f t="shared" si="898"/>
        <v>0.87</v>
      </c>
      <c r="BI74" s="48">
        <f t="shared" si="898"/>
        <v>0.85</v>
      </c>
      <c r="BJ74" s="48">
        <f t="shared" si="898"/>
        <v>0.83</v>
      </c>
      <c r="BK74" s="48">
        <f t="shared" si="898"/>
        <v>0.80999999999999994</v>
      </c>
      <c r="BL74" s="48">
        <f t="shared" si="898"/>
        <v>0.78999999999999992</v>
      </c>
      <c r="BM74" s="48">
        <f t="shared" si="898"/>
        <v>0.76999999999999991</v>
      </c>
      <c r="BN74" s="48">
        <f t="shared" si="898"/>
        <v>0.74999999999999989</v>
      </c>
      <c r="BO74" s="48">
        <f t="shared" si="898"/>
        <v>0.72999999999999987</v>
      </c>
      <c r="BP74" s="48">
        <f t="shared" si="898"/>
        <v>0.70999999999999985</v>
      </c>
      <c r="BQ74" s="48">
        <f t="shared" si="898"/>
        <v>0.68999999999999984</v>
      </c>
      <c r="BR74" s="48">
        <f t="shared" si="898"/>
        <v>0.66999999999999982</v>
      </c>
      <c r="BS74" s="48">
        <f t="shared" si="898"/>
        <v>0.6499999999999998</v>
      </c>
      <c r="BT74" s="48">
        <f t="shared" si="898"/>
        <v>0.62999999999999978</v>
      </c>
      <c r="BU74" s="48">
        <f t="shared" si="898"/>
        <v>0.60999999999999976</v>
      </c>
      <c r="BV74" s="48">
        <f t="shared" si="898"/>
        <v>0.58999999999999975</v>
      </c>
      <c r="BW74" s="48">
        <f t="shared" si="898"/>
        <v>0.56999999999999973</v>
      </c>
      <c r="BY74" s="48">
        <f t="shared" si="88"/>
        <v>0</v>
      </c>
      <c r="BZ74" s="48">
        <f t="shared" si="89"/>
        <v>0</v>
      </c>
      <c r="CA74" s="51">
        <f t="shared" ref="CA74" si="899">+BZ74*3.3058</f>
        <v>0</v>
      </c>
      <c r="CB74" s="48">
        <f t="shared" si="761"/>
        <v>0</v>
      </c>
      <c r="CC74" s="51">
        <f t="shared" si="762"/>
        <v>0</v>
      </c>
      <c r="CD74" s="48">
        <f t="shared" si="763"/>
        <v>0</v>
      </c>
      <c r="CE74" s="51">
        <f t="shared" si="764"/>
        <v>0</v>
      </c>
      <c r="CF74" s="48">
        <f t="shared" si="765"/>
        <v>0</v>
      </c>
      <c r="CG74" s="51">
        <f t="shared" si="766"/>
        <v>0</v>
      </c>
      <c r="CH74" s="52">
        <f t="shared" si="767"/>
        <v>0</v>
      </c>
      <c r="CI74" s="51">
        <f t="shared" si="768"/>
        <v>0</v>
      </c>
      <c r="CJ74" s="48">
        <f t="shared" si="769"/>
        <v>0</v>
      </c>
      <c r="CK74" s="51">
        <f t="shared" si="770"/>
        <v>0</v>
      </c>
      <c r="CL74" s="52">
        <f t="shared" si="771"/>
        <v>0</v>
      </c>
      <c r="CM74" s="51">
        <f t="shared" si="772"/>
        <v>0</v>
      </c>
      <c r="CN74" s="53">
        <f t="shared" si="773"/>
        <v>0</v>
      </c>
      <c r="CO74" s="51">
        <f t="shared" si="774"/>
        <v>0</v>
      </c>
      <c r="CP74" s="52">
        <f t="shared" si="775"/>
        <v>0</v>
      </c>
      <c r="CQ74" s="51">
        <f t="shared" si="776"/>
        <v>0</v>
      </c>
      <c r="CR74" s="48">
        <f t="shared" si="777"/>
        <v>0</v>
      </c>
      <c r="CS74" s="51">
        <f t="shared" si="778"/>
        <v>0</v>
      </c>
      <c r="CT74" s="53">
        <f t="shared" si="779"/>
        <v>0</v>
      </c>
      <c r="CU74" s="51">
        <f t="shared" si="780"/>
        <v>0</v>
      </c>
      <c r="CV74" s="53">
        <f t="shared" si="781"/>
        <v>0</v>
      </c>
      <c r="CW74" s="51">
        <f t="shared" si="782"/>
        <v>0</v>
      </c>
      <c r="CX74" s="53">
        <f t="shared" si="783"/>
        <v>0</v>
      </c>
      <c r="CY74" s="51">
        <f t="shared" si="784"/>
        <v>0</v>
      </c>
      <c r="CZ74" s="48">
        <f t="shared" si="785"/>
        <v>0</v>
      </c>
      <c r="DA74" s="51">
        <f t="shared" si="786"/>
        <v>0</v>
      </c>
      <c r="DB74" s="53">
        <f t="shared" si="787"/>
        <v>0</v>
      </c>
      <c r="DC74" s="51">
        <f t="shared" si="788"/>
        <v>0</v>
      </c>
      <c r="DD74" s="53">
        <f t="shared" si="789"/>
        <v>0</v>
      </c>
      <c r="DE74" s="51">
        <f t="shared" si="790"/>
        <v>0</v>
      </c>
      <c r="DF74" s="53">
        <f t="shared" si="791"/>
        <v>0</v>
      </c>
      <c r="DG74" s="51">
        <f t="shared" si="792"/>
        <v>0</v>
      </c>
      <c r="DH74" s="53">
        <f t="shared" si="793"/>
        <v>0</v>
      </c>
      <c r="DI74" s="51">
        <f t="shared" si="794"/>
        <v>0</v>
      </c>
      <c r="DJ74" s="48">
        <f t="shared" si="795"/>
        <v>0</v>
      </c>
      <c r="DK74" s="51">
        <f t="shared" si="796"/>
        <v>0</v>
      </c>
      <c r="DL74" s="53">
        <f t="shared" si="797"/>
        <v>0</v>
      </c>
      <c r="DM74" s="51">
        <f t="shared" si="798"/>
        <v>0</v>
      </c>
      <c r="DN74" s="53">
        <f t="shared" si="799"/>
        <v>0</v>
      </c>
      <c r="DO74" s="51">
        <f t="shared" si="800"/>
        <v>0</v>
      </c>
      <c r="DP74" s="48">
        <f t="shared" si="801"/>
        <v>0</v>
      </c>
      <c r="DQ74" s="51">
        <f t="shared" si="802"/>
        <v>0</v>
      </c>
      <c r="DT74" s="48">
        <v>1</v>
      </c>
      <c r="DU74" s="48">
        <v>0.97</v>
      </c>
      <c r="DV74" s="48">
        <v>0.95</v>
      </c>
      <c r="DW74" s="48">
        <v>0.93</v>
      </c>
      <c r="DX74" s="48">
        <f t="shared" ref="DX74:EO74" si="900">+DW74-0.02</f>
        <v>0.91</v>
      </c>
      <c r="DY74" s="48">
        <f t="shared" si="900"/>
        <v>0.89</v>
      </c>
      <c r="DZ74" s="48">
        <f t="shared" si="900"/>
        <v>0.87</v>
      </c>
      <c r="EA74" s="48">
        <f t="shared" si="900"/>
        <v>0.85</v>
      </c>
      <c r="EB74" s="48">
        <f t="shared" si="900"/>
        <v>0.83</v>
      </c>
      <c r="EC74" s="48">
        <f t="shared" si="900"/>
        <v>0.80999999999999994</v>
      </c>
      <c r="ED74" s="48">
        <f t="shared" si="900"/>
        <v>0.78999999999999992</v>
      </c>
      <c r="EE74" s="48">
        <f t="shared" si="900"/>
        <v>0.76999999999999991</v>
      </c>
      <c r="EF74" s="48">
        <f t="shared" si="900"/>
        <v>0.74999999999999989</v>
      </c>
      <c r="EG74" s="48">
        <f t="shared" si="900"/>
        <v>0.72999999999999987</v>
      </c>
      <c r="EH74" s="48">
        <f t="shared" si="900"/>
        <v>0.70999999999999985</v>
      </c>
      <c r="EI74" s="48">
        <f t="shared" si="900"/>
        <v>0.68999999999999984</v>
      </c>
      <c r="EJ74" s="48">
        <f t="shared" si="900"/>
        <v>0.66999999999999982</v>
      </c>
      <c r="EK74" s="48">
        <f t="shared" si="900"/>
        <v>0.6499999999999998</v>
      </c>
      <c r="EL74" s="48">
        <f t="shared" si="900"/>
        <v>0.62999999999999978</v>
      </c>
      <c r="EM74" s="48">
        <f t="shared" si="900"/>
        <v>0.60999999999999976</v>
      </c>
      <c r="EN74" s="48">
        <f t="shared" si="900"/>
        <v>0.58999999999999975</v>
      </c>
      <c r="EO74" s="48">
        <f t="shared" si="900"/>
        <v>0.56999999999999973</v>
      </c>
      <c r="EQ74" s="48">
        <f t="shared" si="188"/>
        <v>0</v>
      </c>
      <c r="ER74" s="48">
        <f t="shared" si="116"/>
        <v>0</v>
      </c>
      <c r="ES74" s="51">
        <f t="shared" ref="ES74" si="901">+ER74*3.3058</f>
        <v>0</v>
      </c>
      <c r="ET74" s="48">
        <f t="shared" si="805"/>
        <v>0</v>
      </c>
      <c r="EU74" s="51">
        <f t="shared" si="806"/>
        <v>0</v>
      </c>
      <c r="EV74" s="48">
        <f t="shared" si="807"/>
        <v>0</v>
      </c>
      <c r="EW74" s="51">
        <f t="shared" si="808"/>
        <v>0</v>
      </c>
      <c r="EX74" s="48">
        <f t="shared" si="809"/>
        <v>0</v>
      </c>
      <c r="EY74" s="51">
        <f t="shared" si="810"/>
        <v>0</v>
      </c>
      <c r="EZ74" s="52">
        <f t="shared" si="811"/>
        <v>0</v>
      </c>
      <c r="FA74" s="51">
        <f t="shared" si="812"/>
        <v>0</v>
      </c>
      <c r="FB74" s="48">
        <f t="shared" si="813"/>
        <v>0</v>
      </c>
      <c r="FC74" s="51">
        <f t="shared" si="814"/>
        <v>0</v>
      </c>
      <c r="FD74" s="52">
        <f t="shared" si="815"/>
        <v>0</v>
      </c>
      <c r="FE74" s="51">
        <f t="shared" si="816"/>
        <v>0</v>
      </c>
      <c r="FF74" s="53">
        <f t="shared" si="817"/>
        <v>0</v>
      </c>
      <c r="FG74" s="51">
        <f t="shared" si="818"/>
        <v>0</v>
      </c>
      <c r="FH74" s="52">
        <f t="shared" si="819"/>
        <v>0</v>
      </c>
      <c r="FI74" s="51">
        <f t="shared" si="820"/>
        <v>0</v>
      </c>
      <c r="FJ74" s="48">
        <f t="shared" si="821"/>
        <v>0</v>
      </c>
      <c r="FK74" s="51">
        <f t="shared" si="822"/>
        <v>0</v>
      </c>
      <c r="FL74" s="53">
        <f t="shared" si="823"/>
        <v>0</v>
      </c>
      <c r="FM74" s="51">
        <f t="shared" si="824"/>
        <v>0</v>
      </c>
      <c r="FN74" s="53">
        <f t="shared" si="825"/>
        <v>0</v>
      </c>
      <c r="FO74" s="51">
        <f t="shared" si="826"/>
        <v>0</v>
      </c>
      <c r="FP74" s="53">
        <f t="shared" si="827"/>
        <v>0</v>
      </c>
      <c r="FQ74" s="51">
        <f t="shared" si="828"/>
        <v>0</v>
      </c>
      <c r="FR74" s="48">
        <f t="shared" si="829"/>
        <v>0</v>
      </c>
      <c r="FS74" s="51">
        <f t="shared" si="830"/>
        <v>0</v>
      </c>
      <c r="FT74" s="53">
        <f t="shared" si="831"/>
        <v>0</v>
      </c>
      <c r="FU74" s="51">
        <f t="shared" si="832"/>
        <v>0</v>
      </c>
      <c r="FV74" s="53">
        <f t="shared" si="833"/>
        <v>0</v>
      </c>
      <c r="FW74" s="51">
        <f t="shared" si="834"/>
        <v>0</v>
      </c>
      <c r="FX74" s="53">
        <f t="shared" si="835"/>
        <v>0</v>
      </c>
      <c r="FY74" s="51">
        <f t="shared" si="836"/>
        <v>0</v>
      </c>
      <c r="FZ74" s="53">
        <f t="shared" si="837"/>
        <v>0</v>
      </c>
      <c r="GA74" s="51">
        <f t="shared" si="838"/>
        <v>0</v>
      </c>
      <c r="GB74" s="48">
        <f t="shared" si="839"/>
        <v>0</v>
      </c>
      <c r="GC74" s="51">
        <f t="shared" si="840"/>
        <v>0</v>
      </c>
      <c r="GD74" s="53">
        <f t="shared" si="841"/>
        <v>0</v>
      </c>
      <c r="GE74" s="51">
        <f t="shared" si="842"/>
        <v>0</v>
      </c>
      <c r="GF74" s="53">
        <f t="shared" si="843"/>
        <v>0</v>
      </c>
      <c r="GG74" s="51">
        <f t="shared" si="844"/>
        <v>0</v>
      </c>
      <c r="GH74" s="48">
        <f t="shared" si="845"/>
        <v>0</v>
      </c>
      <c r="GI74" s="51">
        <f t="shared" si="846"/>
        <v>0</v>
      </c>
      <c r="GJ74" s="48"/>
      <c r="GK74" s="48"/>
      <c r="GL74" s="48">
        <v>1</v>
      </c>
      <c r="GM74" s="48">
        <v>0.97</v>
      </c>
      <c r="GN74" s="48">
        <v>0.95</v>
      </c>
      <c r="GO74" s="48">
        <v>0.93</v>
      </c>
      <c r="GP74" s="48">
        <f t="shared" ref="GP74:HG74" si="902">+GO74-0.02</f>
        <v>0.91</v>
      </c>
      <c r="GQ74" s="48">
        <f t="shared" si="902"/>
        <v>0.89</v>
      </c>
      <c r="GR74" s="48">
        <f t="shared" si="902"/>
        <v>0.87</v>
      </c>
      <c r="GS74" s="48">
        <f t="shared" si="902"/>
        <v>0.85</v>
      </c>
      <c r="GT74" s="48">
        <f t="shared" si="902"/>
        <v>0.83</v>
      </c>
      <c r="GU74" s="48">
        <f t="shared" si="902"/>
        <v>0.80999999999999994</v>
      </c>
      <c r="GV74" s="48">
        <f t="shared" si="902"/>
        <v>0.78999999999999992</v>
      </c>
      <c r="GW74" s="48">
        <f t="shared" si="902"/>
        <v>0.76999999999999991</v>
      </c>
      <c r="GX74" s="48">
        <f t="shared" si="902"/>
        <v>0.74999999999999989</v>
      </c>
      <c r="GY74" s="48">
        <f t="shared" si="902"/>
        <v>0.72999999999999987</v>
      </c>
      <c r="GZ74" s="48">
        <f t="shared" si="902"/>
        <v>0.70999999999999985</v>
      </c>
      <c r="HA74" s="48">
        <f t="shared" si="902"/>
        <v>0.68999999999999984</v>
      </c>
      <c r="HB74" s="48">
        <f t="shared" si="902"/>
        <v>0.66999999999999982</v>
      </c>
      <c r="HC74" s="48">
        <f t="shared" si="902"/>
        <v>0.6499999999999998</v>
      </c>
      <c r="HD74" s="48">
        <f t="shared" si="902"/>
        <v>0.62999999999999978</v>
      </c>
      <c r="HE74" s="48">
        <f t="shared" si="902"/>
        <v>0.60999999999999976</v>
      </c>
      <c r="HF74" s="48">
        <f t="shared" si="902"/>
        <v>0.58999999999999975</v>
      </c>
      <c r="HG74" s="48">
        <f t="shared" si="902"/>
        <v>0.56999999999999973</v>
      </c>
    </row>
    <row r="75" spans="1:215" x14ac:dyDescent="0.3">
      <c r="A75" s="2">
        <v>13</v>
      </c>
      <c r="C75" s="39" t="s">
        <v>144</v>
      </c>
      <c r="D75" s="44">
        <v>0</v>
      </c>
      <c r="E75" s="73">
        <f t="shared" si="716"/>
        <v>0</v>
      </c>
      <c r="G75" s="48">
        <f t="shared" si="61"/>
        <v>0</v>
      </c>
      <c r="H75" s="48">
        <f t="shared" si="62"/>
        <v>0</v>
      </c>
      <c r="I75" s="51">
        <f t="shared" si="63"/>
        <v>0</v>
      </c>
      <c r="J75" s="48">
        <f t="shared" si="717"/>
        <v>0</v>
      </c>
      <c r="K75" s="51">
        <f t="shared" si="718"/>
        <v>0</v>
      </c>
      <c r="L75" s="48">
        <f t="shared" si="719"/>
        <v>0</v>
      </c>
      <c r="M75" s="51">
        <f t="shared" si="720"/>
        <v>0</v>
      </c>
      <c r="N75" s="48">
        <f t="shared" si="721"/>
        <v>0</v>
      </c>
      <c r="O75" s="51">
        <f t="shared" si="722"/>
        <v>0</v>
      </c>
      <c r="P75" s="52">
        <f t="shared" si="723"/>
        <v>0</v>
      </c>
      <c r="Q75" s="51">
        <f t="shared" si="724"/>
        <v>0</v>
      </c>
      <c r="R75" s="48">
        <f t="shared" si="725"/>
        <v>0</v>
      </c>
      <c r="S75" s="51">
        <f t="shared" si="726"/>
        <v>0</v>
      </c>
      <c r="T75" s="52">
        <f t="shared" si="727"/>
        <v>0</v>
      </c>
      <c r="U75" s="51">
        <f t="shared" si="728"/>
        <v>0</v>
      </c>
      <c r="V75" s="53">
        <f t="shared" si="729"/>
        <v>0</v>
      </c>
      <c r="W75" s="51">
        <f t="shared" si="730"/>
        <v>0</v>
      </c>
      <c r="X75" s="52">
        <f t="shared" si="731"/>
        <v>0</v>
      </c>
      <c r="Y75" s="51">
        <f t="shared" si="732"/>
        <v>0</v>
      </c>
      <c r="Z75" s="48">
        <f t="shared" si="733"/>
        <v>0</v>
      </c>
      <c r="AA75" s="51">
        <f t="shared" si="734"/>
        <v>0</v>
      </c>
      <c r="AB75" s="53">
        <f t="shared" si="735"/>
        <v>0</v>
      </c>
      <c r="AC75" s="51">
        <f t="shared" si="736"/>
        <v>0</v>
      </c>
      <c r="AD75" s="53">
        <f t="shared" si="737"/>
        <v>0</v>
      </c>
      <c r="AE75" s="51">
        <f t="shared" si="738"/>
        <v>0</v>
      </c>
      <c r="AF75" s="53">
        <f t="shared" si="739"/>
        <v>0</v>
      </c>
      <c r="AG75" s="51">
        <f t="shared" si="740"/>
        <v>0</v>
      </c>
      <c r="AH75" s="48">
        <f t="shared" si="741"/>
        <v>0</v>
      </c>
      <c r="AI75" s="51">
        <f t="shared" si="742"/>
        <v>0</v>
      </c>
      <c r="AJ75" s="53">
        <f t="shared" si="743"/>
        <v>0</v>
      </c>
      <c r="AK75" s="51">
        <f t="shared" si="744"/>
        <v>0</v>
      </c>
      <c r="AL75" s="53">
        <f t="shared" si="745"/>
        <v>0</v>
      </c>
      <c r="AM75" s="51">
        <f t="shared" si="746"/>
        <v>0</v>
      </c>
      <c r="AN75" s="53">
        <f t="shared" si="747"/>
        <v>0</v>
      </c>
      <c r="AO75" s="51">
        <f t="shared" si="748"/>
        <v>0</v>
      </c>
      <c r="AP75" s="53">
        <f t="shared" si="749"/>
        <v>0</v>
      </c>
      <c r="AQ75" s="51">
        <f t="shared" si="750"/>
        <v>0</v>
      </c>
      <c r="AR75" s="48">
        <f t="shared" si="751"/>
        <v>0</v>
      </c>
      <c r="AS75" s="51">
        <f t="shared" si="752"/>
        <v>0</v>
      </c>
      <c r="AT75" s="53">
        <f t="shared" si="753"/>
        <v>0</v>
      </c>
      <c r="AU75" s="51">
        <f t="shared" si="754"/>
        <v>0</v>
      </c>
      <c r="AV75" s="53">
        <f t="shared" si="755"/>
        <v>0</v>
      </c>
      <c r="AW75" s="51">
        <f t="shared" si="756"/>
        <v>0</v>
      </c>
      <c r="AX75" s="48">
        <f t="shared" si="757"/>
        <v>0</v>
      </c>
      <c r="AY75" s="51">
        <f t="shared" si="758"/>
        <v>0</v>
      </c>
      <c r="BB75" s="48">
        <v>1</v>
      </c>
      <c r="BC75" s="48">
        <v>0.97</v>
      </c>
      <c r="BD75" s="48">
        <v>0.95</v>
      </c>
      <c r="BE75" s="48">
        <v>0.93</v>
      </c>
      <c r="BF75" s="48">
        <f t="shared" ref="BF75:BW75" si="903">+BE75-0.02</f>
        <v>0.91</v>
      </c>
      <c r="BG75" s="48">
        <f t="shared" si="903"/>
        <v>0.89</v>
      </c>
      <c r="BH75" s="48">
        <f t="shared" si="903"/>
        <v>0.87</v>
      </c>
      <c r="BI75" s="48">
        <f t="shared" si="903"/>
        <v>0.85</v>
      </c>
      <c r="BJ75" s="48">
        <f t="shared" si="903"/>
        <v>0.83</v>
      </c>
      <c r="BK75" s="48">
        <f t="shared" si="903"/>
        <v>0.80999999999999994</v>
      </c>
      <c r="BL75" s="48">
        <f t="shared" si="903"/>
        <v>0.78999999999999992</v>
      </c>
      <c r="BM75" s="48">
        <f t="shared" si="903"/>
        <v>0.76999999999999991</v>
      </c>
      <c r="BN75" s="48">
        <f t="shared" si="903"/>
        <v>0.74999999999999989</v>
      </c>
      <c r="BO75" s="48">
        <f t="shared" si="903"/>
        <v>0.72999999999999987</v>
      </c>
      <c r="BP75" s="48">
        <f t="shared" si="903"/>
        <v>0.70999999999999985</v>
      </c>
      <c r="BQ75" s="48">
        <f t="shared" si="903"/>
        <v>0.68999999999999984</v>
      </c>
      <c r="BR75" s="48">
        <f t="shared" si="903"/>
        <v>0.66999999999999982</v>
      </c>
      <c r="BS75" s="48">
        <f t="shared" si="903"/>
        <v>0.6499999999999998</v>
      </c>
      <c r="BT75" s="48">
        <f t="shared" si="903"/>
        <v>0.62999999999999978</v>
      </c>
      <c r="BU75" s="48">
        <f t="shared" si="903"/>
        <v>0.60999999999999976</v>
      </c>
      <c r="BV75" s="48">
        <f t="shared" si="903"/>
        <v>0.58999999999999975</v>
      </c>
      <c r="BW75" s="48">
        <f t="shared" si="903"/>
        <v>0.56999999999999973</v>
      </c>
      <c r="BY75" s="48">
        <f t="shared" si="88"/>
        <v>0</v>
      </c>
      <c r="BZ75" s="48">
        <f t="shared" si="89"/>
        <v>0</v>
      </c>
      <c r="CA75" s="51">
        <f t="shared" ref="CA75" si="904">+BZ75*3.3058</f>
        <v>0</v>
      </c>
      <c r="CB75" s="48">
        <f t="shared" si="761"/>
        <v>0</v>
      </c>
      <c r="CC75" s="51">
        <f t="shared" si="762"/>
        <v>0</v>
      </c>
      <c r="CD75" s="48">
        <f t="shared" si="763"/>
        <v>0</v>
      </c>
      <c r="CE75" s="51">
        <f t="shared" si="764"/>
        <v>0</v>
      </c>
      <c r="CF75" s="48">
        <f t="shared" si="765"/>
        <v>0</v>
      </c>
      <c r="CG75" s="51">
        <f t="shared" si="766"/>
        <v>0</v>
      </c>
      <c r="CH75" s="52">
        <f t="shared" si="767"/>
        <v>0</v>
      </c>
      <c r="CI75" s="51">
        <f t="shared" si="768"/>
        <v>0</v>
      </c>
      <c r="CJ75" s="48">
        <f t="shared" si="769"/>
        <v>0</v>
      </c>
      <c r="CK75" s="51">
        <f t="shared" si="770"/>
        <v>0</v>
      </c>
      <c r="CL75" s="52">
        <f t="shared" si="771"/>
        <v>0</v>
      </c>
      <c r="CM75" s="51">
        <f t="shared" si="772"/>
        <v>0</v>
      </c>
      <c r="CN75" s="53">
        <f t="shared" si="773"/>
        <v>0</v>
      </c>
      <c r="CO75" s="51">
        <f t="shared" si="774"/>
        <v>0</v>
      </c>
      <c r="CP75" s="52">
        <f t="shared" si="775"/>
        <v>0</v>
      </c>
      <c r="CQ75" s="51">
        <f t="shared" si="776"/>
        <v>0</v>
      </c>
      <c r="CR75" s="48">
        <f t="shared" si="777"/>
        <v>0</v>
      </c>
      <c r="CS75" s="51">
        <f t="shared" si="778"/>
        <v>0</v>
      </c>
      <c r="CT75" s="53">
        <f t="shared" si="779"/>
        <v>0</v>
      </c>
      <c r="CU75" s="51">
        <f t="shared" si="780"/>
        <v>0</v>
      </c>
      <c r="CV75" s="53">
        <f t="shared" si="781"/>
        <v>0</v>
      </c>
      <c r="CW75" s="51">
        <f t="shared" si="782"/>
        <v>0</v>
      </c>
      <c r="CX75" s="53">
        <f t="shared" si="783"/>
        <v>0</v>
      </c>
      <c r="CY75" s="51">
        <f t="shared" si="784"/>
        <v>0</v>
      </c>
      <c r="CZ75" s="48">
        <f t="shared" si="785"/>
        <v>0</v>
      </c>
      <c r="DA75" s="51">
        <f t="shared" si="786"/>
        <v>0</v>
      </c>
      <c r="DB75" s="53">
        <f t="shared" si="787"/>
        <v>0</v>
      </c>
      <c r="DC75" s="51">
        <f t="shared" si="788"/>
        <v>0</v>
      </c>
      <c r="DD75" s="53">
        <f t="shared" si="789"/>
        <v>0</v>
      </c>
      <c r="DE75" s="51">
        <f t="shared" si="790"/>
        <v>0</v>
      </c>
      <c r="DF75" s="53">
        <f t="shared" si="791"/>
        <v>0</v>
      </c>
      <c r="DG75" s="51">
        <f t="shared" si="792"/>
        <v>0</v>
      </c>
      <c r="DH75" s="53">
        <f t="shared" si="793"/>
        <v>0</v>
      </c>
      <c r="DI75" s="51">
        <f t="shared" si="794"/>
        <v>0</v>
      </c>
      <c r="DJ75" s="48">
        <f t="shared" si="795"/>
        <v>0</v>
      </c>
      <c r="DK75" s="51">
        <f t="shared" si="796"/>
        <v>0</v>
      </c>
      <c r="DL75" s="53">
        <f t="shared" si="797"/>
        <v>0</v>
      </c>
      <c r="DM75" s="51">
        <f t="shared" si="798"/>
        <v>0</v>
      </c>
      <c r="DN75" s="53">
        <f t="shared" si="799"/>
        <v>0</v>
      </c>
      <c r="DO75" s="51">
        <f t="shared" si="800"/>
        <v>0</v>
      </c>
      <c r="DP75" s="48">
        <f t="shared" si="801"/>
        <v>0</v>
      </c>
      <c r="DQ75" s="51">
        <f t="shared" si="802"/>
        <v>0</v>
      </c>
      <c r="DT75" s="48">
        <v>1</v>
      </c>
      <c r="DU75" s="48">
        <v>0.97</v>
      </c>
      <c r="DV75" s="48">
        <v>0.95</v>
      </c>
      <c r="DW75" s="48">
        <v>0.93</v>
      </c>
      <c r="DX75" s="48">
        <f t="shared" ref="DX75:EO75" si="905">+DW75-0.02</f>
        <v>0.91</v>
      </c>
      <c r="DY75" s="48">
        <f t="shared" si="905"/>
        <v>0.89</v>
      </c>
      <c r="DZ75" s="48">
        <f t="shared" si="905"/>
        <v>0.87</v>
      </c>
      <c r="EA75" s="48">
        <f t="shared" si="905"/>
        <v>0.85</v>
      </c>
      <c r="EB75" s="48">
        <f t="shared" si="905"/>
        <v>0.83</v>
      </c>
      <c r="EC75" s="48">
        <f t="shared" si="905"/>
        <v>0.80999999999999994</v>
      </c>
      <c r="ED75" s="48">
        <f t="shared" si="905"/>
        <v>0.78999999999999992</v>
      </c>
      <c r="EE75" s="48">
        <f t="shared" si="905"/>
        <v>0.76999999999999991</v>
      </c>
      <c r="EF75" s="48">
        <f t="shared" si="905"/>
        <v>0.74999999999999989</v>
      </c>
      <c r="EG75" s="48">
        <f t="shared" si="905"/>
        <v>0.72999999999999987</v>
      </c>
      <c r="EH75" s="48">
        <f t="shared" si="905"/>
        <v>0.70999999999999985</v>
      </c>
      <c r="EI75" s="48">
        <f t="shared" si="905"/>
        <v>0.68999999999999984</v>
      </c>
      <c r="EJ75" s="48">
        <f t="shared" si="905"/>
        <v>0.66999999999999982</v>
      </c>
      <c r="EK75" s="48">
        <f t="shared" si="905"/>
        <v>0.6499999999999998</v>
      </c>
      <c r="EL75" s="48">
        <f t="shared" si="905"/>
        <v>0.62999999999999978</v>
      </c>
      <c r="EM75" s="48">
        <f t="shared" si="905"/>
        <v>0.60999999999999976</v>
      </c>
      <c r="EN75" s="48">
        <f t="shared" si="905"/>
        <v>0.58999999999999975</v>
      </c>
      <c r="EO75" s="48">
        <f t="shared" si="905"/>
        <v>0.56999999999999973</v>
      </c>
      <c r="EQ75" s="48">
        <f t="shared" si="188"/>
        <v>0</v>
      </c>
      <c r="ER75" s="48">
        <f t="shared" si="116"/>
        <v>0</v>
      </c>
      <c r="ES75" s="51">
        <f t="shared" ref="ES75" si="906">+ER75*3.3058</f>
        <v>0</v>
      </c>
      <c r="ET75" s="48">
        <f t="shared" si="805"/>
        <v>0</v>
      </c>
      <c r="EU75" s="51">
        <f t="shared" si="806"/>
        <v>0</v>
      </c>
      <c r="EV75" s="48">
        <f t="shared" si="807"/>
        <v>0</v>
      </c>
      <c r="EW75" s="51">
        <f t="shared" si="808"/>
        <v>0</v>
      </c>
      <c r="EX75" s="48">
        <f t="shared" si="809"/>
        <v>0</v>
      </c>
      <c r="EY75" s="51">
        <f t="shared" si="810"/>
        <v>0</v>
      </c>
      <c r="EZ75" s="52">
        <f t="shared" si="811"/>
        <v>0</v>
      </c>
      <c r="FA75" s="51">
        <f t="shared" si="812"/>
        <v>0</v>
      </c>
      <c r="FB75" s="48">
        <f t="shared" si="813"/>
        <v>0</v>
      </c>
      <c r="FC75" s="51">
        <f t="shared" si="814"/>
        <v>0</v>
      </c>
      <c r="FD75" s="52">
        <f t="shared" si="815"/>
        <v>0</v>
      </c>
      <c r="FE75" s="51">
        <f t="shared" si="816"/>
        <v>0</v>
      </c>
      <c r="FF75" s="53">
        <f t="shared" si="817"/>
        <v>0</v>
      </c>
      <c r="FG75" s="51">
        <f t="shared" si="818"/>
        <v>0</v>
      </c>
      <c r="FH75" s="52">
        <f t="shared" si="819"/>
        <v>0</v>
      </c>
      <c r="FI75" s="51">
        <f t="shared" si="820"/>
        <v>0</v>
      </c>
      <c r="FJ75" s="48">
        <f t="shared" si="821"/>
        <v>0</v>
      </c>
      <c r="FK75" s="51">
        <f t="shared" si="822"/>
        <v>0</v>
      </c>
      <c r="FL75" s="53">
        <f t="shared" si="823"/>
        <v>0</v>
      </c>
      <c r="FM75" s="51">
        <f t="shared" si="824"/>
        <v>0</v>
      </c>
      <c r="FN75" s="53">
        <f t="shared" si="825"/>
        <v>0</v>
      </c>
      <c r="FO75" s="51">
        <f t="shared" si="826"/>
        <v>0</v>
      </c>
      <c r="FP75" s="53">
        <f t="shared" si="827"/>
        <v>0</v>
      </c>
      <c r="FQ75" s="51">
        <f t="shared" si="828"/>
        <v>0</v>
      </c>
      <c r="FR75" s="48">
        <f t="shared" si="829"/>
        <v>0</v>
      </c>
      <c r="FS75" s="51">
        <f t="shared" si="830"/>
        <v>0</v>
      </c>
      <c r="FT75" s="53">
        <f t="shared" si="831"/>
        <v>0</v>
      </c>
      <c r="FU75" s="51">
        <f t="shared" si="832"/>
        <v>0</v>
      </c>
      <c r="FV75" s="53">
        <f t="shared" si="833"/>
        <v>0</v>
      </c>
      <c r="FW75" s="51">
        <f t="shared" si="834"/>
        <v>0</v>
      </c>
      <c r="FX75" s="53">
        <f t="shared" si="835"/>
        <v>0</v>
      </c>
      <c r="FY75" s="51">
        <f t="shared" si="836"/>
        <v>0</v>
      </c>
      <c r="FZ75" s="53">
        <f t="shared" si="837"/>
        <v>0</v>
      </c>
      <c r="GA75" s="51">
        <f t="shared" si="838"/>
        <v>0</v>
      </c>
      <c r="GB75" s="48">
        <f t="shared" si="839"/>
        <v>0</v>
      </c>
      <c r="GC75" s="51">
        <f t="shared" si="840"/>
        <v>0</v>
      </c>
      <c r="GD75" s="53">
        <f t="shared" si="841"/>
        <v>0</v>
      </c>
      <c r="GE75" s="51">
        <f t="shared" si="842"/>
        <v>0</v>
      </c>
      <c r="GF75" s="53">
        <f t="shared" si="843"/>
        <v>0</v>
      </c>
      <c r="GG75" s="51">
        <f t="shared" si="844"/>
        <v>0</v>
      </c>
      <c r="GH75" s="48">
        <f t="shared" si="845"/>
        <v>0</v>
      </c>
      <c r="GI75" s="51">
        <f t="shared" si="846"/>
        <v>0</v>
      </c>
      <c r="GJ75" s="48"/>
      <c r="GK75" s="48"/>
      <c r="GL75" s="48">
        <v>1</v>
      </c>
      <c r="GM75" s="48">
        <v>0.97</v>
      </c>
      <c r="GN75" s="48">
        <v>0.95</v>
      </c>
      <c r="GO75" s="48">
        <v>0.93</v>
      </c>
      <c r="GP75" s="48">
        <f t="shared" ref="GP75:HG75" si="907">+GO75-0.02</f>
        <v>0.91</v>
      </c>
      <c r="GQ75" s="48">
        <f t="shared" si="907"/>
        <v>0.89</v>
      </c>
      <c r="GR75" s="48">
        <f t="shared" si="907"/>
        <v>0.87</v>
      </c>
      <c r="GS75" s="48">
        <f t="shared" si="907"/>
        <v>0.85</v>
      </c>
      <c r="GT75" s="48">
        <f t="shared" si="907"/>
        <v>0.83</v>
      </c>
      <c r="GU75" s="48">
        <f t="shared" si="907"/>
        <v>0.80999999999999994</v>
      </c>
      <c r="GV75" s="48">
        <f t="shared" si="907"/>
        <v>0.78999999999999992</v>
      </c>
      <c r="GW75" s="48">
        <f t="shared" si="907"/>
        <v>0.76999999999999991</v>
      </c>
      <c r="GX75" s="48">
        <f t="shared" si="907"/>
        <v>0.74999999999999989</v>
      </c>
      <c r="GY75" s="48">
        <f t="shared" si="907"/>
        <v>0.72999999999999987</v>
      </c>
      <c r="GZ75" s="48">
        <f t="shared" si="907"/>
        <v>0.70999999999999985</v>
      </c>
      <c r="HA75" s="48">
        <f t="shared" si="907"/>
        <v>0.68999999999999984</v>
      </c>
      <c r="HB75" s="48">
        <f t="shared" si="907"/>
        <v>0.66999999999999982</v>
      </c>
      <c r="HC75" s="48">
        <f t="shared" si="907"/>
        <v>0.6499999999999998</v>
      </c>
      <c r="HD75" s="48">
        <f t="shared" si="907"/>
        <v>0.62999999999999978</v>
      </c>
      <c r="HE75" s="48">
        <f t="shared" si="907"/>
        <v>0.60999999999999976</v>
      </c>
      <c r="HF75" s="48">
        <f t="shared" si="907"/>
        <v>0.58999999999999975</v>
      </c>
      <c r="HG75" s="48">
        <f t="shared" si="907"/>
        <v>0.56999999999999973</v>
      </c>
    </row>
    <row r="76" spans="1:215" x14ac:dyDescent="0.3">
      <c r="A76" s="2">
        <v>14</v>
      </c>
      <c r="C76" s="39" t="s">
        <v>145</v>
      </c>
      <c r="D76" s="44">
        <v>0</v>
      </c>
      <c r="E76" s="73">
        <f t="shared" si="716"/>
        <v>0</v>
      </c>
      <c r="G76" s="48">
        <f t="shared" si="61"/>
        <v>0</v>
      </c>
      <c r="H76" s="48">
        <f t="shared" si="62"/>
        <v>0</v>
      </c>
      <c r="I76" s="51">
        <f t="shared" si="63"/>
        <v>0</v>
      </c>
      <c r="J76" s="48">
        <f t="shared" si="717"/>
        <v>0</v>
      </c>
      <c r="K76" s="51">
        <f t="shared" si="718"/>
        <v>0</v>
      </c>
      <c r="L76" s="48">
        <f t="shared" si="719"/>
        <v>0</v>
      </c>
      <c r="M76" s="51">
        <f t="shared" si="720"/>
        <v>0</v>
      </c>
      <c r="N76" s="48">
        <f t="shared" si="721"/>
        <v>0</v>
      </c>
      <c r="O76" s="51">
        <f t="shared" si="722"/>
        <v>0</v>
      </c>
      <c r="P76" s="52">
        <f t="shared" si="723"/>
        <v>0</v>
      </c>
      <c r="Q76" s="51">
        <f t="shared" si="724"/>
        <v>0</v>
      </c>
      <c r="R76" s="48">
        <f t="shared" si="725"/>
        <v>0</v>
      </c>
      <c r="S76" s="51">
        <f t="shared" si="726"/>
        <v>0</v>
      </c>
      <c r="T76" s="52">
        <f t="shared" si="727"/>
        <v>0</v>
      </c>
      <c r="U76" s="51">
        <f t="shared" si="728"/>
        <v>0</v>
      </c>
      <c r="V76" s="53">
        <f t="shared" si="729"/>
        <v>0</v>
      </c>
      <c r="W76" s="51">
        <f t="shared" si="730"/>
        <v>0</v>
      </c>
      <c r="X76" s="52">
        <f t="shared" si="731"/>
        <v>0</v>
      </c>
      <c r="Y76" s="51">
        <f t="shared" si="732"/>
        <v>0</v>
      </c>
      <c r="Z76" s="48">
        <f t="shared" si="733"/>
        <v>0</v>
      </c>
      <c r="AA76" s="51">
        <f t="shared" si="734"/>
        <v>0</v>
      </c>
      <c r="AB76" s="53">
        <f t="shared" si="735"/>
        <v>0</v>
      </c>
      <c r="AC76" s="51">
        <f t="shared" si="736"/>
        <v>0</v>
      </c>
      <c r="AD76" s="53">
        <f t="shared" si="737"/>
        <v>0</v>
      </c>
      <c r="AE76" s="51">
        <f t="shared" si="738"/>
        <v>0</v>
      </c>
      <c r="AF76" s="53">
        <f t="shared" si="739"/>
        <v>0</v>
      </c>
      <c r="AG76" s="51">
        <f t="shared" si="740"/>
        <v>0</v>
      </c>
      <c r="AH76" s="48">
        <f t="shared" si="741"/>
        <v>0</v>
      </c>
      <c r="AI76" s="51">
        <f t="shared" si="742"/>
        <v>0</v>
      </c>
      <c r="AJ76" s="53">
        <f t="shared" si="743"/>
        <v>0</v>
      </c>
      <c r="AK76" s="51">
        <f t="shared" si="744"/>
        <v>0</v>
      </c>
      <c r="AL76" s="53">
        <f t="shared" si="745"/>
        <v>0</v>
      </c>
      <c r="AM76" s="51">
        <f t="shared" si="746"/>
        <v>0</v>
      </c>
      <c r="AN76" s="53">
        <f t="shared" si="747"/>
        <v>0</v>
      </c>
      <c r="AO76" s="51">
        <f t="shared" si="748"/>
        <v>0</v>
      </c>
      <c r="AP76" s="53">
        <f t="shared" si="749"/>
        <v>0</v>
      </c>
      <c r="AQ76" s="51">
        <f t="shared" si="750"/>
        <v>0</v>
      </c>
      <c r="AR76" s="48">
        <f t="shared" si="751"/>
        <v>0</v>
      </c>
      <c r="AS76" s="51">
        <f t="shared" si="752"/>
        <v>0</v>
      </c>
      <c r="AT76" s="53">
        <f t="shared" si="753"/>
        <v>0</v>
      </c>
      <c r="AU76" s="51">
        <f t="shared" si="754"/>
        <v>0</v>
      </c>
      <c r="AV76" s="53">
        <f t="shared" si="755"/>
        <v>0</v>
      </c>
      <c r="AW76" s="51">
        <f t="shared" si="756"/>
        <v>0</v>
      </c>
      <c r="AX76" s="48">
        <f t="shared" si="757"/>
        <v>0</v>
      </c>
      <c r="AY76" s="51">
        <f t="shared" si="758"/>
        <v>0</v>
      </c>
      <c r="BB76" s="48">
        <v>1</v>
      </c>
      <c r="BC76" s="48">
        <v>0.97</v>
      </c>
      <c r="BD76" s="48">
        <v>0.95</v>
      </c>
      <c r="BE76" s="48">
        <v>0.93</v>
      </c>
      <c r="BF76" s="48">
        <f t="shared" ref="BF76:BW76" si="908">+BE76-0.02</f>
        <v>0.91</v>
      </c>
      <c r="BG76" s="48">
        <f t="shared" si="908"/>
        <v>0.89</v>
      </c>
      <c r="BH76" s="48">
        <f t="shared" si="908"/>
        <v>0.87</v>
      </c>
      <c r="BI76" s="48">
        <f t="shared" si="908"/>
        <v>0.85</v>
      </c>
      <c r="BJ76" s="48">
        <f t="shared" si="908"/>
        <v>0.83</v>
      </c>
      <c r="BK76" s="48">
        <f t="shared" si="908"/>
        <v>0.80999999999999994</v>
      </c>
      <c r="BL76" s="48">
        <f t="shared" si="908"/>
        <v>0.78999999999999992</v>
      </c>
      <c r="BM76" s="48">
        <f t="shared" si="908"/>
        <v>0.76999999999999991</v>
      </c>
      <c r="BN76" s="48">
        <f t="shared" si="908"/>
        <v>0.74999999999999989</v>
      </c>
      <c r="BO76" s="48">
        <f t="shared" si="908"/>
        <v>0.72999999999999987</v>
      </c>
      <c r="BP76" s="48">
        <f t="shared" si="908"/>
        <v>0.70999999999999985</v>
      </c>
      <c r="BQ76" s="48">
        <f t="shared" si="908"/>
        <v>0.68999999999999984</v>
      </c>
      <c r="BR76" s="48">
        <f t="shared" si="908"/>
        <v>0.66999999999999982</v>
      </c>
      <c r="BS76" s="48">
        <f t="shared" si="908"/>
        <v>0.6499999999999998</v>
      </c>
      <c r="BT76" s="48">
        <f t="shared" si="908"/>
        <v>0.62999999999999978</v>
      </c>
      <c r="BU76" s="48">
        <f t="shared" si="908"/>
        <v>0.60999999999999976</v>
      </c>
      <c r="BV76" s="48">
        <f t="shared" si="908"/>
        <v>0.58999999999999975</v>
      </c>
      <c r="BW76" s="48">
        <f t="shared" si="908"/>
        <v>0.56999999999999973</v>
      </c>
      <c r="BY76" s="48">
        <f t="shared" si="88"/>
        <v>0</v>
      </c>
      <c r="BZ76" s="48">
        <f t="shared" si="89"/>
        <v>0</v>
      </c>
      <c r="CA76" s="51">
        <f t="shared" ref="CA76" si="909">+BZ76*3.3058</f>
        <v>0</v>
      </c>
      <c r="CB76" s="48">
        <f t="shared" si="761"/>
        <v>0</v>
      </c>
      <c r="CC76" s="51">
        <f t="shared" si="762"/>
        <v>0</v>
      </c>
      <c r="CD76" s="48">
        <f t="shared" si="763"/>
        <v>0</v>
      </c>
      <c r="CE76" s="51">
        <f t="shared" si="764"/>
        <v>0</v>
      </c>
      <c r="CF76" s="48">
        <f t="shared" si="765"/>
        <v>0</v>
      </c>
      <c r="CG76" s="51">
        <f t="shared" si="766"/>
        <v>0</v>
      </c>
      <c r="CH76" s="52">
        <f t="shared" si="767"/>
        <v>0</v>
      </c>
      <c r="CI76" s="51">
        <f t="shared" si="768"/>
        <v>0</v>
      </c>
      <c r="CJ76" s="48">
        <f t="shared" si="769"/>
        <v>0</v>
      </c>
      <c r="CK76" s="51">
        <f t="shared" si="770"/>
        <v>0</v>
      </c>
      <c r="CL76" s="52">
        <f t="shared" si="771"/>
        <v>0</v>
      </c>
      <c r="CM76" s="51">
        <f t="shared" si="772"/>
        <v>0</v>
      </c>
      <c r="CN76" s="53">
        <f t="shared" si="773"/>
        <v>0</v>
      </c>
      <c r="CO76" s="51">
        <f t="shared" si="774"/>
        <v>0</v>
      </c>
      <c r="CP76" s="52">
        <f t="shared" si="775"/>
        <v>0</v>
      </c>
      <c r="CQ76" s="51">
        <f t="shared" si="776"/>
        <v>0</v>
      </c>
      <c r="CR76" s="48">
        <f t="shared" si="777"/>
        <v>0</v>
      </c>
      <c r="CS76" s="51">
        <f t="shared" si="778"/>
        <v>0</v>
      </c>
      <c r="CT76" s="53">
        <f t="shared" si="779"/>
        <v>0</v>
      </c>
      <c r="CU76" s="51">
        <f t="shared" si="780"/>
        <v>0</v>
      </c>
      <c r="CV76" s="53">
        <f t="shared" si="781"/>
        <v>0</v>
      </c>
      <c r="CW76" s="51">
        <f t="shared" si="782"/>
        <v>0</v>
      </c>
      <c r="CX76" s="53">
        <f t="shared" si="783"/>
        <v>0</v>
      </c>
      <c r="CY76" s="51">
        <f t="shared" si="784"/>
        <v>0</v>
      </c>
      <c r="CZ76" s="48">
        <f t="shared" si="785"/>
        <v>0</v>
      </c>
      <c r="DA76" s="51">
        <f t="shared" si="786"/>
        <v>0</v>
      </c>
      <c r="DB76" s="53">
        <f t="shared" si="787"/>
        <v>0</v>
      </c>
      <c r="DC76" s="51">
        <f t="shared" si="788"/>
        <v>0</v>
      </c>
      <c r="DD76" s="53">
        <f t="shared" si="789"/>
        <v>0</v>
      </c>
      <c r="DE76" s="51">
        <f t="shared" si="790"/>
        <v>0</v>
      </c>
      <c r="DF76" s="53">
        <f t="shared" si="791"/>
        <v>0</v>
      </c>
      <c r="DG76" s="51">
        <f t="shared" si="792"/>
        <v>0</v>
      </c>
      <c r="DH76" s="53">
        <f t="shared" si="793"/>
        <v>0</v>
      </c>
      <c r="DI76" s="51">
        <f t="shared" si="794"/>
        <v>0</v>
      </c>
      <c r="DJ76" s="48">
        <f t="shared" si="795"/>
        <v>0</v>
      </c>
      <c r="DK76" s="51">
        <f t="shared" si="796"/>
        <v>0</v>
      </c>
      <c r="DL76" s="53">
        <f t="shared" si="797"/>
        <v>0</v>
      </c>
      <c r="DM76" s="51">
        <f t="shared" si="798"/>
        <v>0</v>
      </c>
      <c r="DN76" s="53">
        <f t="shared" si="799"/>
        <v>0</v>
      </c>
      <c r="DO76" s="51">
        <f t="shared" si="800"/>
        <v>0</v>
      </c>
      <c r="DP76" s="48">
        <f t="shared" si="801"/>
        <v>0</v>
      </c>
      <c r="DQ76" s="51">
        <f t="shared" si="802"/>
        <v>0</v>
      </c>
      <c r="DT76" s="48">
        <v>1</v>
      </c>
      <c r="DU76" s="48">
        <v>0.97</v>
      </c>
      <c r="DV76" s="48">
        <v>0.95</v>
      </c>
      <c r="DW76" s="48">
        <v>0.93</v>
      </c>
      <c r="DX76" s="48">
        <f t="shared" ref="DX76:EO76" si="910">+DW76-0.02</f>
        <v>0.91</v>
      </c>
      <c r="DY76" s="48">
        <f t="shared" si="910"/>
        <v>0.89</v>
      </c>
      <c r="DZ76" s="48">
        <f t="shared" si="910"/>
        <v>0.87</v>
      </c>
      <c r="EA76" s="48">
        <f t="shared" si="910"/>
        <v>0.85</v>
      </c>
      <c r="EB76" s="48">
        <f t="shared" si="910"/>
        <v>0.83</v>
      </c>
      <c r="EC76" s="48">
        <f t="shared" si="910"/>
        <v>0.80999999999999994</v>
      </c>
      <c r="ED76" s="48">
        <f t="shared" si="910"/>
        <v>0.78999999999999992</v>
      </c>
      <c r="EE76" s="48">
        <f t="shared" si="910"/>
        <v>0.76999999999999991</v>
      </c>
      <c r="EF76" s="48">
        <f t="shared" si="910"/>
        <v>0.74999999999999989</v>
      </c>
      <c r="EG76" s="48">
        <f t="shared" si="910"/>
        <v>0.72999999999999987</v>
      </c>
      <c r="EH76" s="48">
        <f t="shared" si="910"/>
        <v>0.70999999999999985</v>
      </c>
      <c r="EI76" s="48">
        <f t="shared" si="910"/>
        <v>0.68999999999999984</v>
      </c>
      <c r="EJ76" s="48">
        <f t="shared" si="910"/>
        <v>0.66999999999999982</v>
      </c>
      <c r="EK76" s="48">
        <f t="shared" si="910"/>
        <v>0.6499999999999998</v>
      </c>
      <c r="EL76" s="48">
        <f t="shared" si="910"/>
        <v>0.62999999999999978</v>
      </c>
      <c r="EM76" s="48">
        <f t="shared" si="910"/>
        <v>0.60999999999999976</v>
      </c>
      <c r="EN76" s="48">
        <f t="shared" si="910"/>
        <v>0.58999999999999975</v>
      </c>
      <c r="EO76" s="48">
        <f t="shared" si="910"/>
        <v>0.56999999999999973</v>
      </c>
      <c r="EQ76" s="48">
        <f t="shared" si="188"/>
        <v>0</v>
      </c>
      <c r="ER76" s="48">
        <f t="shared" si="116"/>
        <v>0</v>
      </c>
      <c r="ES76" s="51">
        <f t="shared" ref="ES76" si="911">+ER76*3.3058</f>
        <v>0</v>
      </c>
      <c r="ET76" s="48">
        <f t="shared" si="805"/>
        <v>0</v>
      </c>
      <c r="EU76" s="51">
        <f t="shared" si="806"/>
        <v>0</v>
      </c>
      <c r="EV76" s="48">
        <f t="shared" si="807"/>
        <v>0</v>
      </c>
      <c r="EW76" s="51">
        <f t="shared" si="808"/>
        <v>0</v>
      </c>
      <c r="EX76" s="48">
        <f t="shared" si="809"/>
        <v>0</v>
      </c>
      <c r="EY76" s="51">
        <f t="shared" si="810"/>
        <v>0</v>
      </c>
      <c r="EZ76" s="52">
        <f t="shared" si="811"/>
        <v>0</v>
      </c>
      <c r="FA76" s="51">
        <f t="shared" si="812"/>
        <v>0</v>
      </c>
      <c r="FB76" s="48">
        <f t="shared" si="813"/>
        <v>0</v>
      </c>
      <c r="FC76" s="51">
        <f t="shared" si="814"/>
        <v>0</v>
      </c>
      <c r="FD76" s="52">
        <f t="shared" si="815"/>
        <v>0</v>
      </c>
      <c r="FE76" s="51">
        <f t="shared" si="816"/>
        <v>0</v>
      </c>
      <c r="FF76" s="53">
        <f t="shared" si="817"/>
        <v>0</v>
      </c>
      <c r="FG76" s="51">
        <f t="shared" si="818"/>
        <v>0</v>
      </c>
      <c r="FH76" s="52">
        <f t="shared" si="819"/>
        <v>0</v>
      </c>
      <c r="FI76" s="51">
        <f t="shared" si="820"/>
        <v>0</v>
      </c>
      <c r="FJ76" s="48">
        <f t="shared" si="821"/>
        <v>0</v>
      </c>
      <c r="FK76" s="51">
        <f t="shared" si="822"/>
        <v>0</v>
      </c>
      <c r="FL76" s="53">
        <f t="shared" si="823"/>
        <v>0</v>
      </c>
      <c r="FM76" s="51">
        <f t="shared" si="824"/>
        <v>0</v>
      </c>
      <c r="FN76" s="53">
        <f t="shared" si="825"/>
        <v>0</v>
      </c>
      <c r="FO76" s="51">
        <f t="shared" si="826"/>
        <v>0</v>
      </c>
      <c r="FP76" s="53">
        <f t="shared" si="827"/>
        <v>0</v>
      </c>
      <c r="FQ76" s="51">
        <f t="shared" si="828"/>
        <v>0</v>
      </c>
      <c r="FR76" s="48">
        <f t="shared" si="829"/>
        <v>0</v>
      </c>
      <c r="FS76" s="51">
        <f t="shared" si="830"/>
        <v>0</v>
      </c>
      <c r="FT76" s="53">
        <f t="shared" si="831"/>
        <v>0</v>
      </c>
      <c r="FU76" s="51">
        <f t="shared" si="832"/>
        <v>0</v>
      </c>
      <c r="FV76" s="53">
        <f t="shared" si="833"/>
        <v>0</v>
      </c>
      <c r="FW76" s="51">
        <f t="shared" si="834"/>
        <v>0</v>
      </c>
      <c r="FX76" s="53">
        <f t="shared" si="835"/>
        <v>0</v>
      </c>
      <c r="FY76" s="51">
        <f t="shared" si="836"/>
        <v>0</v>
      </c>
      <c r="FZ76" s="53">
        <f t="shared" si="837"/>
        <v>0</v>
      </c>
      <c r="GA76" s="51">
        <f t="shared" si="838"/>
        <v>0</v>
      </c>
      <c r="GB76" s="48">
        <f t="shared" si="839"/>
        <v>0</v>
      </c>
      <c r="GC76" s="51">
        <f t="shared" si="840"/>
        <v>0</v>
      </c>
      <c r="GD76" s="53">
        <f t="shared" si="841"/>
        <v>0</v>
      </c>
      <c r="GE76" s="51">
        <f t="shared" si="842"/>
        <v>0</v>
      </c>
      <c r="GF76" s="53">
        <f t="shared" si="843"/>
        <v>0</v>
      </c>
      <c r="GG76" s="51">
        <f t="shared" si="844"/>
        <v>0</v>
      </c>
      <c r="GH76" s="48">
        <f t="shared" si="845"/>
        <v>0</v>
      </c>
      <c r="GI76" s="51">
        <f t="shared" si="846"/>
        <v>0</v>
      </c>
      <c r="GJ76" s="48"/>
      <c r="GK76" s="48"/>
      <c r="GL76" s="48">
        <v>1</v>
      </c>
      <c r="GM76" s="48">
        <v>0.97</v>
      </c>
      <c r="GN76" s="48">
        <v>0.95</v>
      </c>
      <c r="GO76" s="48">
        <v>0.93</v>
      </c>
      <c r="GP76" s="48">
        <f t="shared" ref="GP76:HG76" si="912">+GO76-0.02</f>
        <v>0.91</v>
      </c>
      <c r="GQ76" s="48">
        <f t="shared" si="912"/>
        <v>0.89</v>
      </c>
      <c r="GR76" s="48">
        <f t="shared" si="912"/>
        <v>0.87</v>
      </c>
      <c r="GS76" s="48">
        <f t="shared" si="912"/>
        <v>0.85</v>
      </c>
      <c r="GT76" s="48">
        <f t="shared" si="912"/>
        <v>0.83</v>
      </c>
      <c r="GU76" s="48">
        <f t="shared" si="912"/>
        <v>0.80999999999999994</v>
      </c>
      <c r="GV76" s="48">
        <f t="shared" si="912"/>
        <v>0.78999999999999992</v>
      </c>
      <c r="GW76" s="48">
        <f t="shared" si="912"/>
        <v>0.76999999999999991</v>
      </c>
      <c r="GX76" s="48">
        <f t="shared" si="912"/>
        <v>0.74999999999999989</v>
      </c>
      <c r="GY76" s="48">
        <f t="shared" si="912"/>
        <v>0.72999999999999987</v>
      </c>
      <c r="GZ76" s="48">
        <f t="shared" si="912"/>
        <v>0.70999999999999985</v>
      </c>
      <c r="HA76" s="48">
        <f t="shared" si="912"/>
        <v>0.68999999999999984</v>
      </c>
      <c r="HB76" s="48">
        <f t="shared" si="912"/>
        <v>0.66999999999999982</v>
      </c>
      <c r="HC76" s="48">
        <f t="shared" si="912"/>
        <v>0.6499999999999998</v>
      </c>
      <c r="HD76" s="48">
        <f t="shared" si="912"/>
        <v>0.62999999999999978</v>
      </c>
      <c r="HE76" s="48">
        <f t="shared" si="912"/>
        <v>0.60999999999999976</v>
      </c>
      <c r="HF76" s="48">
        <f t="shared" si="912"/>
        <v>0.58999999999999975</v>
      </c>
      <c r="HG76" s="48">
        <f t="shared" si="912"/>
        <v>0.56999999999999973</v>
      </c>
    </row>
    <row r="77" spans="1:215" x14ac:dyDescent="0.3">
      <c r="A77" s="2">
        <v>15</v>
      </c>
      <c r="C77" s="39" t="s">
        <v>146</v>
      </c>
      <c r="D77" s="44">
        <v>0</v>
      </c>
      <c r="E77" s="73">
        <f t="shared" si="716"/>
        <v>0</v>
      </c>
      <c r="G77" s="48">
        <f t="shared" si="61"/>
        <v>0</v>
      </c>
      <c r="H77" s="48">
        <f t="shared" si="62"/>
        <v>0</v>
      </c>
      <c r="I77" s="51">
        <f t="shared" si="63"/>
        <v>0</v>
      </c>
      <c r="J77" s="48">
        <f t="shared" si="717"/>
        <v>0</v>
      </c>
      <c r="K77" s="51">
        <f t="shared" si="718"/>
        <v>0</v>
      </c>
      <c r="L77" s="48">
        <f t="shared" si="719"/>
        <v>0</v>
      </c>
      <c r="M77" s="51">
        <f t="shared" si="720"/>
        <v>0</v>
      </c>
      <c r="N77" s="48">
        <f t="shared" si="721"/>
        <v>0</v>
      </c>
      <c r="O77" s="51">
        <f t="shared" si="722"/>
        <v>0</v>
      </c>
      <c r="P77" s="52">
        <f t="shared" si="723"/>
        <v>0</v>
      </c>
      <c r="Q77" s="51">
        <f t="shared" si="724"/>
        <v>0</v>
      </c>
      <c r="R77" s="48">
        <f t="shared" si="725"/>
        <v>0</v>
      </c>
      <c r="S77" s="51">
        <f t="shared" si="726"/>
        <v>0</v>
      </c>
      <c r="T77" s="52">
        <f t="shared" si="727"/>
        <v>0</v>
      </c>
      <c r="U77" s="51">
        <f t="shared" si="728"/>
        <v>0</v>
      </c>
      <c r="V77" s="53">
        <f t="shared" si="729"/>
        <v>0</v>
      </c>
      <c r="W77" s="51">
        <f t="shared" si="730"/>
        <v>0</v>
      </c>
      <c r="X77" s="52">
        <f t="shared" si="731"/>
        <v>0</v>
      </c>
      <c r="Y77" s="51">
        <f t="shared" si="732"/>
        <v>0</v>
      </c>
      <c r="Z77" s="48">
        <f t="shared" si="733"/>
        <v>0</v>
      </c>
      <c r="AA77" s="51">
        <f t="shared" si="734"/>
        <v>0</v>
      </c>
      <c r="AB77" s="53">
        <f t="shared" si="735"/>
        <v>0</v>
      </c>
      <c r="AC77" s="51">
        <f t="shared" si="736"/>
        <v>0</v>
      </c>
      <c r="AD77" s="53">
        <f t="shared" si="737"/>
        <v>0</v>
      </c>
      <c r="AE77" s="51">
        <f t="shared" si="738"/>
        <v>0</v>
      </c>
      <c r="AF77" s="53">
        <f t="shared" si="739"/>
        <v>0</v>
      </c>
      <c r="AG77" s="51">
        <f t="shared" si="740"/>
        <v>0</v>
      </c>
      <c r="AH77" s="48">
        <f t="shared" si="741"/>
        <v>0</v>
      </c>
      <c r="AI77" s="51">
        <f t="shared" si="742"/>
        <v>0</v>
      </c>
      <c r="AJ77" s="53">
        <f t="shared" si="743"/>
        <v>0</v>
      </c>
      <c r="AK77" s="51">
        <f t="shared" si="744"/>
        <v>0</v>
      </c>
      <c r="AL77" s="53">
        <f t="shared" si="745"/>
        <v>0</v>
      </c>
      <c r="AM77" s="51">
        <f t="shared" si="746"/>
        <v>0</v>
      </c>
      <c r="AN77" s="53">
        <f t="shared" si="747"/>
        <v>0</v>
      </c>
      <c r="AO77" s="51">
        <f t="shared" si="748"/>
        <v>0</v>
      </c>
      <c r="AP77" s="53">
        <f t="shared" si="749"/>
        <v>0</v>
      </c>
      <c r="AQ77" s="51">
        <f t="shared" si="750"/>
        <v>0</v>
      </c>
      <c r="AR77" s="48">
        <f t="shared" si="751"/>
        <v>0</v>
      </c>
      <c r="AS77" s="51">
        <f t="shared" si="752"/>
        <v>0</v>
      </c>
      <c r="AT77" s="53">
        <f t="shared" si="753"/>
        <v>0</v>
      </c>
      <c r="AU77" s="51">
        <f t="shared" si="754"/>
        <v>0</v>
      </c>
      <c r="AV77" s="53">
        <f t="shared" si="755"/>
        <v>0</v>
      </c>
      <c r="AW77" s="51">
        <f t="shared" si="756"/>
        <v>0</v>
      </c>
      <c r="AX77" s="48">
        <f t="shared" si="757"/>
        <v>0</v>
      </c>
      <c r="AY77" s="51">
        <f t="shared" si="758"/>
        <v>0</v>
      </c>
      <c r="BB77" s="48">
        <v>1</v>
      </c>
      <c r="BC77" s="48">
        <v>0.97</v>
      </c>
      <c r="BD77" s="48">
        <v>0.95</v>
      </c>
      <c r="BE77" s="48">
        <v>0.93</v>
      </c>
      <c r="BF77" s="48">
        <f t="shared" ref="BF77:BW77" si="913">+BE77-0.02</f>
        <v>0.91</v>
      </c>
      <c r="BG77" s="48">
        <f t="shared" si="913"/>
        <v>0.89</v>
      </c>
      <c r="BH77" s="48">
        <f t="shared" si="913"/>
        <v>0.87</v>
      </c>
      <c r="BI77" s="48">
        <f t="shared" si="913"/>
        <v>0.85</v>
      </c>
      <c r="BJ77" s="48">
        <f t="shared" si="913"/>
        <v>0.83</v>
      </c>
      <c r="BK77" s="48">
        <f t="shared" si="913"/>
        <v>0.80999999999999994</v>
      </c>
      <c r="BL77" s="48">
        <f t="shared" si="913"/>
        <v>0.78999999999999992</v>
      </c>
      <c r="BM77" s="48">
        <f t="shared" si="913"/>
        <v>0.76999999999999991</v>
      </c>
      <c r="BN77" s="48">
        <f t="shared" si="913"/>
        <v>0.74999999999999989</v>
      </c>
      <c r="BO77" s="48">
        <f t="shared" si="913"/>
        <v>0.72999999999999987</v>
      </c>
      <c r="BP77" s="48">
        <f t="shared" si="913"/>
        <v>0.70999999999999985</v>
      </c>
      <c r="BQ77" s="48">
        <f t="shared" si="913"/>
        <v>0.68999999999999984</v>
      </c>
      <c r="BR77" s="48">
        <f t="shared" si="913"/>
        <v>0.66999999999999982</v>
      </c>
      <c r="BS77" s="48">
        <f t="shared" si="913"/>
        <v>0.6499999999999998</v>
      </c>
      <c r="BT77" s="48">
        <f t="shared" si="913"/>
        <v>0.62999999999999978</v>
      </c>
      <c r="BU77" s="48">
        <f t="shared" si="913"/>
        <v>0.60999999999999976</v>
      </c>
      <c r="BV77" s="48">
        <f t="shared" si="913"/>
        <v>0.58999999999999975</v>
      </c>
      <c r="BW77" s="48">
        <f t="shared" si="913"/>
        <v>0.56999999999999973</v>
      </c>
      <c r="BY77" s="48">
        <f t="shared" si="88"/>
        <v>0</v>
      </c>
      <c r="BZ77" s="48">
        <f t="shared" si="89"/>
        <v>0</v>
      </c>
      <c r="CA77" s="51">
        <f t="shared" ref="CA77" si="914">+BZ77*3.3058</f>
        <v>0</v>
      </c>
      <c r="CB77" s="48">
        <f t="shared" si="761"/>
        <v>0</v>
      </c>
      <c r="CC77" s="51">
        <f t="shared" si="762"/>
        <v>0</v>
      </c>
      <c r="CD77" s="48">
        <f t="shared" si="763"/>
        <v>0</v>
      </c>
      <c r="CE77" s="51">
        <f t="shared" si="764"/>
        <v>0</v>
      </c>
      <c r="CF77" s="48">
        <f t="shared" si="765"/>
        <v>0</v>
      </c>
      <c r="CG77" s="51">
        <f t="shared" si="766"/>
        <v>0</v>
      </c>
      <c r="CH77" s="52">
        <f t="shared" si="767"/>
        <v>0</v>
      </c>
      <c r="CI77" s="51">
        <f t="shared" si="768"/>
        <v>0</v>
      </c>
      <c r="CJ77" s="48">
        <f t="shared" si="769"/>
        <v>0</v>
      </c>
      <c r="CK77" s="51">
        <f t="shared" si="770"/>
        <v>0</v>
      </c>
      <c r="CL77" s="52">
        <f t="shared" si="771"/>
        <v>0</v>
      </c>
      <c r="CM77" s="51">
        <f t="shared" si="772"/>
        <v>0</v>
      </c>
      <c r="CN77" s="53">
        <f t="shared" si="773"/>
        <v>0</v>
      </c>
      <c r="CO77" s="51">
        <f t="shared" si="774"/>
        <v>0</v>
      </c>
      <c r="CP77" s="52">
        <f t="shared" si="775"/>
        <v>0</v>
      </c>
      <c r="CQ77" s="51">
        <f t="shared" si="776"/>
        <v>0</v>
      </c>
      <c r="CR77" s="48">
        <f t="shared" si="777"/>
        <v>0</v>
      </c>
      <c r="CS77" s="51">
        <f t="shared" si="778"/>
        <v>0</v>
      </c>
      <c r="CT77" s="53">
        <f t="shared" si="779"/>
        <v>0</v>
      </c>
      <c r="CU77" s="51">
        <f t="shared" si="780"/>
        <v>0</v>
      </c>
      <c r="CV77" s="53">
        <f t="shared" si="781"/>
        <v>0</v>
      </c>
      <c r="CW77" s="51">
        <f t="shared" si="782"/>
        <v>0</v>
      </c>
      <c r="CX77" s="53">
        <f t="shared" si="783"/>
        <v>0</v>
      </c>
      <c r="CY77" s="51">
        <f t="shared" si="784"/>
        <v>0</v>
      </c>
      <c r="CZ77" s="48">
        <f t="shared" si="785"/>
        <v>0</v>
      </c>
      <c r="DA77" s="51">
        <f t="shared" si="786"/>
        <v>0</v>
      </c>
      <c r="DB77" s="53">
        <f t="shared" si="787"/>
        <v>0</v>
      </c>
      <c r="DC77" s="51">
        <f t="shared" si="788"/>
        <v>0</v>
      </c>
      <c r="DD77" s="53">
        <f t="shared" si="789"/>
        <v>0</v>
      </c>
      <c r="DE77" s="51">
        <f t="shared" si="790"/>
        <v>0</v>
      </c>
      <c r="DF77" s="53">
        <f t="shared" si="791"/>
        <v>0</v>
      </c>
      <c r="DG77" s="51">
        <f t="shared" si="792"/>
        <v>0</v>
      </c>
      <c r="DH77" s="53">
        <f t="shared" si="793"/>
        <v>0</v>
      </c>
      <c r="DI77" s="51">
        <f t="shared" si="794"/>
        <v>0</v>
      </c>
      <c r="DJ77" s="48">
        <f t="shared" si="795"/>
        <v>0</v>
      </c>
      <c r="DK77" s="51">
        <f t="shared" si="796"/>
        <v>0</v>
      </c>
      <c r="DL77" s="53">
        <f t="shared" si="797"/>
        <v>0</v>
      </c>
      <c r="DM77" s="51">
        <f t="shared" si="798"/>
        <v>0</v>
      </c>
      <c r="DN77" s="53">
        <f t="shared" si="799"/>
        <v>0</v>
      </c>
      <c r="DO77" s="51">
        <f t="shared" si="800"/>
        <v>0</v>
      </c>
      <c r="DP77" s="48">
        <f t="shared" si="801"/>
        <v>0</v>
      </c>
      <c r="DQ77" s="51">
        <f t="shared" si="802"/>
        <v>0</v>
      </c>
      <c r="DT77" s="48">
        <v>1</v>
      </c>
      <c r="DU77" s="48">
        <v>0.97</v>
      </c>
      <c r="DV77" s="48">
        <v>0.95</v>
      </c>
      <c r="DW77" s="48">
        <v>0.93</v>
      </c>
      <c r="DX77" s="48">
        <f t="shared" ref="DX77:EO77" si="915">+DW77-0.02</f>
        <v>0.91</v>
      </c>
      <c r="DY77" s="48">
        <f t="shared" si="915"/>
        <v>0.89</v>
      </c>
      <c r="DZ77" s="48">
        <f t="shared" si="915"/>
        <v>0.87</v>
      </c>
      <c r="EA77" s="48">
        <f t="shared" si="915"/>
        <v>0.85</v>
      </c>
      <c r="EB77" s="48">
        <f t="shared" si="915"/>
        <v>0.83</v>
      </c>
      <c r="EC77" s="48">
        <f t="shared" si="915"/>
        <v>0.80999999999999994</v>
      </c>
      <c r="ED77" s="48">
        <f t="shared" si="915"/>
        <v>0.78999999999999992</v>
      </c>
      <c r="EE77" s="48">
        <f t="shared" si="915"/>
        <v>0.76999999999999991</v>
      </c>
      <c r="EF77" s="48">
        <f t="shared" si="915"/>
        <v>0.74999999999999989</v>
      </c>
      <c r="EG77" s="48">
        <f t="shared" si="915"/>
        <v>0.72999999999999987</v>
      </c>
      <c r="EH77" s="48">
        <f t="shared" si="915"/>
        <v>0.70999999999999985</v>
      </c>
      <c r="EI77" s="48">
        <f t="shared" si="915"/>
        <v>0.68999999999999984</v>
      </c>
      <c r="EJ77" s="48">
        <f t="shared" si="915"/>
        <v>0.66999999999999982</v>
      </c>
      <c r="EK77" s="48">
        <f t="shared" si="915"/>
        <v>0.6499999999999998</v>
      </c>
      <c r="EL77" s="48">
        <f t="shared" si="915"/>
        <v>0.62999999999999978</v>
      </c>
      <c r="EM77" s="48">
        <f t="shared" si="915"/>
        <v>0.60999999999999976</v>
      </c>
      <c r="EN77" s="48">
        <f t="shared" si="915"/>
        <v>0.58999999999999975</v>
      </c>
      <c r="EO77" s="48">
        <f t="shared" si="915"/>
        <v>0.56999999999999973</v>
      </c>
      <c r="EQ77" s="48">
        <f t="shared" si="188"/>
        <v>0</v>
      </c>
      <c r="ER77" s="48">
        <f t="shared" si="116"/>
        <v>0</v>
      </c>
      <c r="ES77" s="51">
        <f t="shared" ref="ES77" si="916">+ER77*3.3058</f>
        <v>0</v>
      </c>
      <c r="ET77" s="48">
        <f t="shared" si="805"/>
        <v>0</v>
      </c>
      <c r="EU77" s="51">
        <f t="shared" si="806"/>
        <v>0</v>
      </c>
      <c r="EV77" s="48">
        <f t="shared" si="807"/>
        <v>0</v>
      </c>
      <c r="EW77" s="51">
        <f t="shared" si="808"/>
        <v>0</v>
      </c>
      <c r="EX77" s="48">
        <f t="shared" si="809"/>
        <v>0</v>
      </c>
      <c r="EY77" s="51">
        <f t="shared" si="810"/>
        <v>0</v>
      </c>
      <c r="EZ77" s="52">
        <f t="shared" si="811"/>
        <v>0</v>
      </c>
      <c r="FA77" s="51">
        <f t="shared" si="812"/>
        <v>0</v>
      </c>
      <c r="FB77" s="48">
        <f t="shared" si="813"/>
        <v>0</v>
      </c>
      <c r="FC77" s="51">
        <f t="shared" si="814"/>
        <v>0</v>
      </c>
      <c r="FD77" s="52">
        <f t="shared" si="815"/>
        <v>0</v>
      </c>
      <c r="FE77" s="51">
        <f t="shared" si="816"/>
        <v>0</v>
      </c>
      <c r="FF77" s="53">
        <f t="shared" si="817"/>
        <v>0</v>
      </c>
      <c r="FG77" s="51">
        <f t="shared" si="818"/>
        <v>0</v>
      </c>
      <c r="FH77" s="52">
        <f t="shared" si="819"/>
        <v>0</v>
      </c>
      <c r="FI77" s="51">
        <f t="shared" si="820"/>
        <v>0</v>
      </c>
      <c r="FJ77" s="48">
        <f t="shared" si="821"/>
        <v>0</v>
      </c>
      <c r="FK77" s="51">
        <f t="shared" si="822"/>
        <v>0</v>
      </c>
      <c r="FL77" s="53">
        <f t="shared" si="823"/>
        <v>0</v>
      </c>
      <c r="FM77" s="51">
        <f t="shared" si="824"/>
        <v>0</v>
      </c>
      <c r="FN77" s="53">
        <f t="shared" si="825"/>
        <v>0</v>
      </c>
      <c r="FO77" s="51">
        <f t="shared" si="826"/>
        <v>0</v>
      </c>
      <c r="FP77" s="53">
        <f t="shared" si="827"/>
        <v>0</v>
      </c>
      <c r="FQ77" s="51">
        <f t="shared" si="828"/>
        <v>0</v>
      </c>
      <c r="FR77" s="48">
        <f t="shared" si="829"/>
        <v>0</v>
      </c>
      <c r="FS77" s="51">
        <f t="shared" si="830"/>
        <v>0</v>
      </c>
      <c r="FT77" s="53">
        <f t="shared" si="831"/>
        <v>0</v>
      </c>
      <c r="FU77" s="51">
        <f t="shared" si="832"/>
        <v>0</v>
      </c>
      <c r="FV77" s="53">
        <f t="shared" si="833"/>
        <v>0</v>
      </c>
      <c r="FW77" s="51">
        <f t="shared" si="834"/>
        <v>0</v>
      </c>
      <c r="FX77" s="53">
        <f t="shared" si="835"/>
        <v>0</v>
      </c>
      <c r="FY77" s="51">
        <f t="shared" si="836"/>
        <v>0</v>
      </c>
      <c r="FZ77" s="53">
        <f t="shared" si="837"/>
        <v>0</v>
      </c>
      <c r="GA77" s="51">
        <f t="shared" si="838"/>
        <v>0</v>
      </c>
      <c r="GB77" s="48">
        <f t="shared" si="839"/>
        <v>0</v>
      </c>
      <c r="GC77" s="51">
        <f t="shared" si="840"/>
        <v>0</v>
      </c>
      <c r="GD77" s="53">
        <f t="shared" si="841"/>
        <v>0</v>
      </c>
      <c r="GE77" s="51">
        <f t="shared" si="842"/>
        <v>0</v>
      </c>
      <c r="GF77" s="53">
        <f t="shared" si="843"/>
        <v>0</v>
      </c>
      <c r="GG77" s="51">
        <f t="shared" si="844"/>
        <v>0</v>
      </c>
      <c r="GH77" s="48">
        <f t="shared" si="845"/>
        <v>0</v>
      </c>
      <c r="GI77" s="51">
        <f t="shared" si="846"/>
        <v>0</v>
      </c>
      <c r="GJ77" s="48"/>
      <c r="GK77" s="48"/>
      <c r="GL77" s="48">
        <v>1</v>
      </c>
      <c r="GM77" s="48">
        <v>0.97</v>
      </c>
      <c r="GN77" s="48">
        <v>0.95</v>
      </c>
      <c r="GO77" s="48">
        <v>0.93</v>
      </c>
      <c r="GP77" s="48">
        <f t="shared" ref="GP77:HG77" si="917">+GO77-0.02</f>
        <v>0.91</v>
      </c>
      <c r="GQ77" s="48">
        <f t="shared" si="917"/>
        <v>0.89</v>
      </c>
      <c r="GR77" s="48">
        <f t="shared" si="917"/>
        <v>0.87</v>
      </c>
      <c r="GS77" s="48">
        <f t="shared" si="917"/>
        <v>0.85</v>
      </c>
      <c r="GT77" s="48">
        <f t="shared" si="917"/>
        <v>0.83</v>
      </c>
      <c r="GU77" s="48">
        <f t="shared" si="917"/>
        <v>0.80999999999999994</v>
      </c>
      <c r="GV77" s="48">
        <f t="shared" si="917"/>
        <v>0.78999999999999992</v>
      </c>
      <c r="GW77" s="48">
        <f t="shared" si="917"/>
        <v>0.76999999999999991</v>
      </c>
      <c r="GX77" s="48">
        <f t="shared" si="917"/>
        <v>0.74999999999999989</v>
      </c>
      <c r="GY77" s="48">
        <f t="shared" si="917"/>
        <v>0.72999999999999987</v>
      </c>
      <c r="GZ77" s="48">
        <f t="shared" si="917"/>
        <v>0.70999999999999985</v>
      </c>
      <c r="HA77" s="48">
        <f t="shared" si="917"/>
        <v>0.68999999999999984</v>
      </c>
      <c r="HB77" s="48">
        <f t="shared" si="917"/>
        <v>0.66999999999999982</v>
      </c>
      <c r="HC77" s="48">
        <f t="shared" si="917"/>
        <v>0.6499999999999998</v>
      </c>
      <c r="HD77" s="48">
        <f t="shared" si="917"/>
        <v>0.62999999999999978</v>
      </c>
      <c r="HE77" s="48">
        <f t="shared" si="917"/>
        <v>0.60999999999999976</v>
      </c>
      <c r="HF77" s="48">
        <f t="shared" si="917"/>
        <v>0.58999999999999975</v>
      </c>
      <c r="HG77" s="48">
        <f t="shared" si="917"/>
        <v>0.56999999999999973</v>
      </c>
    </row>
    <row r="78" spans="1:215" x14ac:dyDescent="0.3">
      <c r="A78" s="2">
        <v>16</v>
      </c>
      <c r="C78" s="39" t="s">
        <v>147</v>
      </c>
      <c r="D78" s="44">
        <v>0</v>
      </c>
      <c r="E78" s="73">
        <f t="shared" si="716"/>
        <v>0</v>
      </c>
      <c r="G78" s="48">
        <f t="shared" si="61"/>
        <v>0</v>
      </c>
      <c r="H78" s="48">
        <f t="shared" si="62"/>
        <v>0</v>
      </c>
      <c r="I78" s="51">
        <f t="shared" si="63"/>
        <v>0</v>
      </c>
      <c r="J78" s="48">
        <f t="shared" si="717"/>
        <v>0</v>
      </c>
      <c r="K78" s="51">
        <f t="shared" si="718"/>
        <v>0</v>
      </c>
      <c r="L78" s="48">
        <f t="shared" si="719"/>
        <v>0</v>
      </c>
      <c r="M78" s="51">
        <f t="shared" si="720"/>
        <v>0</v>
      </c>
      <c r="N78" s="48">
        <f t="shared" si="721"/>
        <v>0</v>
      </c>
      <c r="O78" s="51">
        <f t="shared" si="722"/>
        <v>0</v>
      </c>
      <c r="P78" s="52">
        <f t="shared" si="723"/>
        <v>0</v>
      </c>
      <c r="Q78" s="51">
        <f t="shared" si="724"/>
        <v>0</v>
      </c>
      <c r="R78" s="48">
        <f t="shared" si="725"/>
        <v>0</v>
      </c>
      <c r="S78" s="51">
        <f t="shared" si="726"/>
        <v>0</v>
      </c>
      <c r="T78" s="52">
        <f t="shared" si="727"/>
        <v>0</v>
      </c>
      <c r="U78" s="51">
        <f t="shared" si="728"/>
        <v>0</v>
      </c>
      <c r="V78" s="53">
        <f t="shared" si="729"/>
        <v>0</v>
      </c>
      <c r="W78" s="51">
        <f t="shared" si="730"/>
        <v>0</v>
      </c>
      <c r="X78" s="52">
        <f t="shared" si="731"/>
        <v>0</v>
      </c>
      <c r="Y78" s="51">
        <f t="shared" si="732"/>
        <v>0</v>
      </c>
      <c r="Z78" s="48">
        <f t="shared" si="733"/>
        <v>0</v>
      </c>
      <c r="AA78" s="51">
        <f t="shared" si="734"/>
        <v>0</v>
      </c>
      <c r="AB78" s="53">
        <f t="shared" si="735"/>
        <v>0</v>
      </c>
      <c r="AC78" s="51">
        <f t="shared" si="736"/>
        <v>0</v>
      </c>
      <c r="AD78" s="53">
        <f t="shared" si="737"/>
        <v>0</v>
      </c>
      <c r="AE78" s="51">
        <f t="shared" si="738"/>
        <v>0</v>
      </c>
      <c r="AF78" s="53">
        <f t="shared" si="739"/>
        <v>0</v>
      </c>
      <c r="AG78" s="51">
        <f t="shared" si="740"/>
        <v>0</v>
      </c>
      <c r="AH78" s="48">
        <f t="shared" si="741"/>
        <v>0</v>
      </c>
      <c r="AI78" s="51">
        <f t="shared" si="742"/>
        <v>0</v>
      </c>
      <c r="AJ78" s="53">
        <f t="shared" si="743"/>
        <v>0</v>
      </c>
      <c r="AK78" s="51">
        <f t="shared" si="744"/>
        <v>0</v>
      </c>
      <c r="AL78" s="53">
        <f t="shared" si="745"/>
        <v>0</v>
      </c>
      <c r="AM78" s="51">
        <f t="shared" si="746"/>
        <v>0</v>
      </c>
      <c r="AN78" s="53">
        <f t="shared" si="747"/>
        <v>0</v>
      </c>
      <c r="AO78" s="51">
        <f t="shared" si="748"/>
        <v>0</v>
      </c>
      <c r="AP78" s="53">
        <f t="shared" si="749"/>
        <v>0</v>
      </c>
      <c r="AQ78" s="51">
        <f t="shared" si="750"/>
        <v>0</v>
      </c>
      <c r="AR78" s="48">
        <f t="shared" si="751"/>
        <v>0</v>
      </c>
      <c r="AS78" s="51">
        <f t="shared" si="752"/>
        <v>0</v>
      </c>
      <c r="AT78" s="53">
        <f t="shared" si="753"/>
        <v>0</v>
      </c>
      <c r="AU78" s="51">
        <f t="shared" si="754"/>
        <v>0</v>
      </c>
      <c r="AV78" s="53">
        <f t="shared" si="755"/>
        <v>0</v>
      </c>
      <c r="AW78" s="51">
        <f t="shared" si="756"/>
        <v>0</v>
      </c>
      <c r="AX78" s="48">
        <f t="shared" si="757"/>
        <v>0</v>
      </c>
      <c r="AY78" s="51">
        <f t="shared" si="758"/>
        <v>0</v>
      </c>
      <c r="BB78" s="48">
        <v>1</v>
      </c>
      <c r="BC78" s="48">
        <v>0.97</v>
      </c>
      <c r="BD78" s="48">
        <v>0.95</v>
      </c>
      <c r="BE78" s="48">
        <v>0.93</v>
      </c>
      <c r="BF78" s="48">
        <f t="shared" ref="BF78:BW78" si="918">+BE78-0.02</f>
        <v>0.91</v>
      </c>
      <c r="BG78" s="48">
        <f t="shared" si="918"/>
        <v>0.89</v>
      </c>
      <c r="BH78" s="48">
        <f t="shared" si="918"/>
        <v>0.87</v>
      </c>
      <c r="BI78" s="48">
        <f t="shared" si="918"/>
        <v>0.85</v>
      </c>
      <c r="BJ78" s="48">
        <f t="shared" si="918"/>
        <v>0.83</v>
      </c>
      <c r="BK78" s="48">
        <f t="shared" si="918"/>
        <v>0.80999999999999994</v>
      </c>
      <c r="BL78" s="48">
        <f t="shared" si="918"/>
        <v>0.78999999999999992</v>
      </c>
      <c r="BM78" s="48">
        <f t="shared" si="918"/>
        <v>0.76999999999999991</v>
      </c>
      <c r="BN78" s="48">
        <f t="shared" si="918"/>
        <v>0.74999999999999989</v>
      </c>
      <c r="BO78" s="48">
        <f t="shared" si="918"/>
        <v>0.72999999999999987</v>
      </c>
      <c r="BP78" s="48">
        <f t="shared" si="918"/>
        <v>0.70999999999999985</v>
      </c>
      <c r="BQ78" s="48">
        <f t="shared" si="918"/>
        <v>0.68999999999999984</v>
      </c>
      <c r="BR78" s="48">
        <f t="shared" si="918"/>
        <v>0.66999999999999982</v>
      </c>
      <c r="BS78" s="48">
        <f t="shared" si="918"/>
        <v>0.6499999999999998</v>
      </c>
      <c r="BT78" s="48">
        <f t="shared" si="918"/>
        <v>0.62999999999999978</v>
      </c>
      <c r="BU78" s="48">
        <f t="shared" si="918"/>
        <v>0.60999999999999976</v>
      </c>
      <c r="BV78" s="48">
        <f t="shared" si="918"/>
        <v>0.58999999999999975</v>
      </c>
      <c r="BW78" s="48">
        <f t="shared" si="918"/>
        <v>0.56999999999999973</v>
      </c>
      <c r="BY78" s="48">
        <f t="shared" si="88"/>
        <v>0</v>
      </c>
      <c r="BZ78" s="48">
        <f t="shared" si="89"/>
        <v>0</v>
      </c>
      <c r="CA78" s="51">
        <f t="shared" ref="CA78" si="919">+BZ78*3.3058</f>
        <v>0</v>
      </c>
      <c r="CB78" s="48">
        <f t="shared" si="761"/>
        <v>0</v>
      </c>
      <c r="CC78" s="51">
        <f t="shared" si="762"/>
        <v>0</v>
      </c>
      <c r="CD78" s="48">
        <f t="shared" si="763"/>
        <v>0</v>
      </c>
      <c r="CE78" s="51">
        <f t="shared" si="764"/>
        <v>0</v>
      </c>
      <c r="CF78" s="48">
        <f t="shared" si="765"/>
        <v>0</v>
      </c>
      <c r="CG78" s="51">
        <f t="shared" si="766"/>
        <v>0</v>
      </c>
      <c r="CH78" s="52">
        <f t="shared" si="767"/>
        <v>0</v>
      </c>
      <c r="CI78" s="51">
        <f t="shared" si="768"/>
        <v>0</v>
      </c>
      <c r="CJ78" s="48">
        <f t="shared" si="769"/>
        <v>0</v>
      </c>
      <c r="CK78" s="51">
        <f t="shared" si="770"/>
        <v>0</v>
      </c>
      <c r="CL78" s="52">
        <f t="shared" si="771"/>
        <v>0</v>
      </c>
      <c r="CM78" s="51">
        <f t="shared" si="772"/>
        <v>0</v>
      </c>
      <c r="CN78" s="53">
        <f t="shared" si="773"/>
        <v>0</v>
      </c>
      <c r="CO78" s="51">
        <f t="shared" si="774"/>
        <v>0</v>
      </c>
      <c r="CP78" s="52">
        <f t="shared" si="775"/>
        <v>0</v>
      </c>
      <c r="CQ78" s="51">
        <f t="shared" si="776"/>
        <v>0</v>
      </c>
      <c r="CR78" s="48">
        <f t="shared" si="777"/>
        <v>0</v>
      </c>
      <c r="CS78" s="51">
        <f t="shared" si="778"/>
        <v>0</v>
      </c>
      <c r="CT78" s="53">
        <f t="shared" si="779"/>
        <v>0</v>
      </c>
      <c r="CU78" s="51">
        <f t="shared" si="780"/>
        <v>0</v>
      </c>
      <c r="CV78" s="53">
        <f t="shared" si="781"/>
        <v>0</v>
      </c>
      <c r="CW78" s="51">
        <f t="shared" si="782"/>
        <v>0</v>
      </c>
      <c r="CX78" s="53">
        <f t="shared" si="783"/>
        <v>0</v>
      </c>
      <c r="CY78" s="51">
        <f t="shared" si="784"/>
        <v>0</v>
      </c>
      <c r="CZ78" s="48">
        <f t="shared" si="785"/>
        <v>0</v>
      </c>
      <c r="DA78" s="51">
        <f t="shared" si="786"/>
        <v>0</v>
      </c>
      <c r="DB78" s="53">
        <f t="shared" si="787"/>
        <v>0</v>
      </c>
      <c r="DC78" s="51">
        <f t="shared" si="788"/>
        <v>0</v>
      </c>
      <c r="DD78" s="53">
        <f t="shared" si="789"/>
        <v>0</v>
      </c>
      <c r="DE78" s="51">
        <f t="shared" si="790"/>
        <v>0</v>
      </c>
      <c r="DF78" s="53">
        <f t="shared" si="791"/>
        <v>0</v>
      </c>
      <c r="DG78" s="51">
        <f t="shared" si="792"/>
        <v>0</v>
      </c>
      <c r="DH78" s="53">
        <f t="shared" si="793"/>
        <v>0</v>
      </c>
      <c r="DI78" s="51">
        <f t="shared" si="794"/>
        <v>0</v>
      </c>
      <c r="DJ78" s="48">
        <f t="shared" si="795"/>
        <v>0</v>
      </c>
      <c r="DK78" s="51">
        <f t="shared" si="796"/>
        <v>0</v>
      </c>
      <c r="DL78" s="53">
        <f t="shared" si="797"/>
        <v>0</v>
      </c>
      <c r="DM78" s="51">
        <f t="shared" si="798"/>
        <v>0</v>
      </c>
      <c r="DN78" s="53">
        <f t="shared" si="799"/>
        <v>0</v>
      </c>
      <c r="DO78" s="51">
        <f t="shared" si="800"/>
        <v>0</v>
      </c>
      <c r="DP78" s="48">
        <f t="shared" si="801"/>
        <v>0</v>
      </c>
      <c r="DQ78" s="51">
        <f t="shared" si="802"/>
        <v>0</v>
      </c>
      <c r="DT78" s="48">
        <v>1</v>
      </c>
      <c r="DU78" s="48">
        <v>0.97</v>
      </c>
      <c r="DV78" s="48">
        <v>0.95</v>
      </c>
      <c r="DW78" s="48">
        <v>0.93</v>
      </c>
      <c r="DX78" s="48">
        <f t="shared" ref="DX78:EO78" si="920">+DW78-0.02</f>
        <v>0.91</v>
      </c>
      <c r="DY78" s="48">
        <f t="shared" si="920"/>
        <v>0.89</v>
      </c>
      <c r="DZ78" s="48">
        <f t="shared" si="920"/>
        <v>0.87</v>
      </c>
      <c r="EA78" s="48">
        <f t="shared" si="920"/>
        <v>0.85</v>
      </c>
      <c r="EB78" s="48">
        <f t="shared" si="920"/>
        <v>0.83</v>
      </c>
      <c r="EC78" s="48">
        <f t="shared" si="920"/>
        <v>0.80999999999999994</v>
      </c>
      <c r="ED78" s="48">
        <f t="shared" si="920"/>
        <v>0.78999999999999992</v>
      </c>
      <c r="EE78" s="48">
        <f t="shared" si="920"/>
        <v>0.76999999999999991</v>
      </c>
      <c r="EF78" s="48">
        <f t="shared" si="920"/>
        <v>0.74999999999999989</v>
      </c>
      <c r="EG78" s="48">
        <f t="shared" si="920"/>
        <v>0.72999999999999987</v>
      </c>
      <c r="EH78" s="48">
        <f t="shared" si="920"/>
        <v>0.70999999999999985</v>
      </c>
      <c r="EI78" s="48">
        <f t="shared" si="920"/>
        <v>0.68999999999999984</v>
      </c>
      <c r="EJ78" s="48">
        <f t="shared" si="920"/>
        <v>0.66999999999999982</v>
      </c>
      <c r="EK78" s="48">
        <f t="shared" si="920"/>
        <v>0.6499999999999998</v>
      </c>
      <c r="EL78" s="48">
        <f t="shared" si="920"/>
        <v>0.62999999999999978</v>
      </c>
      <c r="EM78" s="48">
        <f t="shared" si="920"/>
        <v>0.60999999999999976</v>
      </c>
      <c r="EN78" s="48">
        <f t="shared" si="920"/>
        <v>0.58999999999999975</v>
      </c>
      <c r="EO78" s="48">
        <f t="shared" si="920"/>
        <v>0.56999999999999973</v>
      </c>
      <c r="EQ78" s="48">
        <f t="shared" si="188"/>
        <v>0</v>
      </c>
      <c r="ER78" s="48">
        <f t="shared" si="116"/>
        <v>0</v>
      </c>
      <c r="ES78" s="51">
        <f t="shared" ref="ES78" si="921">+ER78*3.3058</f>
        <v>0</v>
      </c>
      <c r="ET78" s="48">
        <f t="shared" si="805"/>
        <v>0</v>
      </c>
      <c r="EU78" s="51">
        <f t="shared" si="806"/>
        <v>0</v>
      </c>
      <c r="EV78" s="48">
        <f t="shared" si="807"/>
        <v>0</v>
      </c>
      <c r="EW78" s="51">
        <f t="shared" si="808"/>
        <v>0</v>
      </c>
      <c r="EX78" s="48">
        <f t="shared" si="809"/>
        <v>0</v>
      </c>
      <c r="EY78" s="51">
        <f t="shared" si="810"/>
        <v>0</v>
      </c>
      <c r="EZ78" s="52">
        <f t="shared" si="811"/>
        <v>0</v>
      </c>
      <c r="FA78" s="51">
        <f t="shared" si="812"/>
        <v>0</v>
      </c>
      <c r="FB78" s="48">
        <f t="shared" si="813"/>
        <v>0</v>
      </c>
      <c r="FC78" s="51">
        <f t="shared" si="814"/>
        <v>0</v>
      </c>
      <c r="FD78" s="52">
        <f t="shared" si="815"/>
        <v>0</v>
      </c>
      <c r="FE78" s="51">
        <f t="shared" si="816"/>
        <v>0</v>
      </c>
      <c r="FF78" s="53">
        <f t="shared" si="817"/>
        <v>0</v>
      </c>
      <c r="FG78" s="51">
        <f t="shared" si="818"/>
        <v>0</v>
      </c>
      <c r="FH78" s="52">
        <f t="shared" si="819"/>
        <v>0</v>
      </c>
      <c r="FI78" s="51">
        <f t="shared" si="820"/>
        <v>0</v>
      </c>
      <c r="FJ78" s="48">
        <f t="shared" si="821"/>
        <v>0</v>
      </c>
      <c r="FK78" s="51">
        <f t="shared" si="822"/>
        <v>0</v>
      </c>
      <c r="FL78" s="53">
        <f t="shared" si="823"/>
        <v>0</v>
      </c>
      <c r="FM78" s="51">
        <f t="shared" si="824"/>
        <v>0</v>
      </c>
      <c r="FN78" s="53">
        <f t="shared" si="825"/>
        <v>0</v>
      </c>
      <c r="FO78" s="51">
        <f t="shared" si="826"/>
        <v>0</v>
      </c>
      <c r="FP78" s="53">
        <f t="shared" si="827"/>
        <v>0</v>
      </c>
      <c r="FQ78" s="51">
        <f t="shared" si="828"/>
        <v>0</v>
      </c>
      <c r="FR78" s="48">
        <f t="shared" si="829"/>
        <v>0</v>
      </c>
      <c r="FS78" s="51">
        <f t="shared" si="830"/>
        <v>0</v>
      </c>
      <c r="FT78" s="53">
        <f t="shared" si="831"/>
        <v>0</v>
      </c>
      <c r="FU78" s="51">
        <f t="shared" si="832"/>
        <v>0</v>
      </c>
      <c r="FV78" s="53">
        <f t="shared" si="833"/>
        <v>0</v>
      </c>
      <c r="FW78" s="51">
        <f t="shared" si="834"/>
        <v>0</v>
      </c>
      <c r="FX78" s="53">
        <f t="shared" si="835"/>
        <v>0</v>
      </c>
      <c r="FY78" s="51">
        <f t="shared" si="836"/>
        <v>0</v>
      </c>
      <c r="FZ78" s="53">
        <f t="shared" si="837"/>
        <v>0</v>
      </c>
      <c r="GA78" s="51">
        <f t="shared" si="838"/>
        <v>0</v>
      </c>
      <c r="GB78" s="48">
        <f t="shared" si="839"/>
        <v>0</v>
      </c>
      <c r="GC78" s="51">
        <f t="shared" si="840"/>
        <v>0</v>
      </c>
      <c r="GD78" s="53">
        <f t="shared" si="841"/>
        <v>0</v>
      </c>
      <c r="GE78" s="51">
        <f t="shared" si="842"/>
        <v>0</v>
      </c>
      <c r="GF78" s="53">
        <f t="shared" si="843"/>
        <v>0</v>
      </c>
      <c r="GG78" s="51">
        <f t="shared" si="844"/>
        <v>0</v>
      </c>
      <c r="GH78" s="48">
        <f t="shared" si="845"/>
        <v>0</v>
      </c>
      <c r="GI78" s="51">
        <f t="shared" si="846"/>
        <v>0</v>
      </c>
      <c r="GJ78" s="48"/>
      <c r="GK78" s="48"/>
      <c r="GL78" s="48">
        <v>1</v>
      </c>
      <c r="GM78" s="48">
        <v>0.97</v>
      </c>
      <c r="GN78" s="48">
        <v>0.95</v>
      </c>
      <c r="GO78" s="48">
        <v>0.93</v>
      </c>
      <c r="GP78" s="48">
        <f t="shared" ref="GP78:HG78" si="922">+GO78-0.02</f>
        <v>0.91</v>
      </c>
      <c r="GQ78" s="48">
        <f t="shared" si="922"/>
        <v>0.89</v>
      </c>
      <c r="GR78" s="48">
        <f t="shared" si="922"/>
        <v>0.87</v>
      </c>
      <c r="GS78" s="48">
        <f t="shared" si="922"/>
        <v>0.85</v>
      </c>
      <c r="GT78" s="48">
        <f t="shared" si="922"/>
        <v>0.83</v>
      </c>
      <c r="GU78" s="48">
        <f t="shared" si="922"/>
        <v>0.80999999999999994</v>
      </c>
      <c r="GV78" s="48">
        <f t="shared" si="922"/>
        <v>0.78999999999999992</v>
      </c>
      <c r="GW78" s="48">
        <f t="shared" si="922"/>
        <v>0.76999999999999991</v>
      </c>
      <c r="GX78" s="48">
        <f t="shared" si="922"/>
        <v>0.74999999999999989</v>
      </c>
      <c r="GY78" s="48">
        <f t="shared" si="922"/>
        <v>0.72999999999999987</v>
      </c>
      <c r="GZ78" s="48">
        <f t="shared" si="922"/>
        <v>0.70999999999999985</v>
      </c>
      <c r="HA78" s="48">
        <f t="shared" si="922"/>
        <v>0.68999999999999984</v>
      </c>
      <c r="HB78" s="48">
        <f t="shared" si="922"/>
        <v>0.66999999999999982</v>
      </c>
      <c r="HC78" s="48">
        <f t="shared" si="922"/>
        <v>0.6499999999999998</v>
      </c>
      <c r="HD78" s="48">
        <f t="shared" si="922"/>
        <v>0.62999999999999978</v>
      </c>
      <c r="HE78" s="48">
        <f t="shared" si="922"/>
        <v>0.60999999999999976</v>
      </c>
      <c r="HF78" s="48">
        <f t="shared" si="922"/>
        <v>0.58999999999999975</v>
      </c>
      <c r="HG78" s="48">
        <f t="shared" si="922"/>
        <v>0.56999999999999973</v>
      </c>
    </row>
    <row r="79" spans="1:215" x14ac:dyDescent="0.3">
      <c r="A79" s="2">
        <v>17</v>
      </c>
      <c r="C79" s="39" t="s">
        <v>148</v>
      </c>
      <c r="D79" s="44">
        <v>0</v>
      </c>
      <c r="E79" s="73">
        <f t="shared" si="716"/>
        <v>0</v>
      </c>
      <c r="G79" s="48">
        <f t="shared" si="61"/>
        <v>0</v>
      </c>
      <c r="H79" s="48">
        <f t="shared" si="62"/>
        <v>0</v>
      </c>
      <c r="I79" s="51">
        <f t="shared" si="63"/>
        <v>0</v>
      </c>
      <c r="J79" s="48">
        <f t="shared" si="717"/>
        <v>0</v>
      </c>
      <c r="K79" s="51">
        <f t="shared" si="718"/>
        <v>0</v>
      </c>
      <c r="L79" s="48">
        <f t="shared" si="719"/>
        <v>0</v>
      </c>
      <c r="M79" s="51">
        <f t="shared" si="720"/>
        <v>0</v>
      </c>
      <c r="N79" s="48">
        <f t="shared" si="721"/>
        <v>0</v>
      </c>
      <c r="O79" s="51">
        <f t="shared" si="722"/>
        <v>0</v>
      </c>
      <c r="P79" s="52">
        <f t="shared" si="723"/>
        <v>0</v>
      </c>
      <c r="Q79" s="51">
        <f t="shared" si="724"/>
        <v>0</v>
      </c>
      <c r="R79" s="48">
        <f t="shared" si="725"/>
        <v>0</v>
      </c>
      <c r="S79" s="51">
        <f t="shared" si="726"/>
        <v>0</v>
      </c>
      <c r="T79" s="52">
        <f t="shared" si="727"/>
        <v>0</v>
      </c>
      <c r="U79" s="51">
        <f t="shared" si="728"/>
        <v>0</v>
      </c>
      <c r="V79" s="53">
        <f t="shared" si="729"/>
        <v>0</v>
      </c>
      <c r="W79" s="51">
        <f t="shared" si="730"/>
        <v>0</v>
      </c>
      <c r="X79" s="52">
        <f t="shared" si="731"/>
        <v>0</v>
      </c>
      <c r="Y79" s="51">
        <f t="shared" si="732"/>
        <v>0</v>
      </c>
      <c r="Z79" s="48">
        <f t="shared" si="733"/>
        <v>0</v>
      </c>
      <c r="AA79" s="51">
        <f t="shared" si="734"/>
        <v>0</v>
      </c>
      <c r="AB79" s="53">
        <f t="shared" si="735"/>
        <v>0</v>
      </c>
      <c r="AC79" s="51">
        <f t="shared" si="736"/>
        <v>0</v>
      </c>
      <c r="AD79" s="53">
        <f t="shared" si="737"/>
        <v>0</v>
      </c>
      <c r="AE79" s="51">
        <f t="shared" si="738"/>
        <v>0</v>
      </c>
      <c r="AF79" s="53">
        <f t="shared" si="739"/>
        <v>0</v>
      </c>
      <c r="AG79" s="51">
        <f t="shared" si="740"/>
        <v>0</v>
      </c>
      <c r="AH79" s="48">
        <f t="shared" si="741"/>
        <v>0</v>
      </c>
      <c r="AI79" s="51">
        <f t="shared" si="742"/>
        <v>0</v>
      </c>
      <c r="AJ79" s="53">
        <f t="shared" si="743"/>
        <v>0</v>
      </c>
      <c r="AK79" s="51">
        <f t="shared" si="744"/>
        <v>0</v>
      </c>
      <c r="AL79" s="53">
        <f t="shared" si="745"/>
        <v>0</v>
      </c>
      <c r="AM79" s="51">
        <f t="shared" si="746"/>
        <v>0</v>
      </c>
      <c r="AN79" s="53">
        <f t="shared" si="747"/>
        <v>0</v>
      </c>
      <c r="AO79" s="51">
        <f t="shared" si="748"/>
        <v>0</v>
      </c>
      <c r="AP79" s="53">
        <f t="shared" si="749"/>
        <v>0</v>
      </c>
      <c r="AQ79" s="51">
        <f t="shared" si="750"/>
        <v>0</v>
      </c>
      <c r="AR79" s="48">
        <f t="shared" si="751"/>
        <v>0</v>
      </c>
      <c r="AS79" s="51">
        <f t="shared" si="752"/>
        <v>0</v>
      </c>
      <c r="AT79" s="53">
        <f t="shared" si="753"/>
        <v>0</v>
      </c>
      <c r="AU79" s="51">
        <f t="shared" si="754"/>
        <v>0</v>
      </c>
      <c r="AV79" s="53">
        <f t="shared" si="755"/>
        <v>0</v>
      </c>
      <c r="AW79" s="51">
        <f t="shared" si="756"/>
        <v>0</v>
      </c>
      <c r="AX79" s="48">
        <f t="shared" si="757"/>
        <v>0</v>
      </c>
      <c r="AY79" s="51">
        <f t="shared" si="758"/>
        <v>0</v>
      </c>
      <c r="BB79" s="48">
        <v>1</v>
      </c>
      <c r="BC79" s="48">
        <v>0.97</v>
      </c>
      <c r="BD79" s="48">
        <v>0.95</v>
      </c>
      <c r="BE79" s="48">
        <v>0.93</v>
      </c>
      <c r="BF79" s="48">
        <f t="shared" ref="BF79:BW79" si="923">+BE79-0.02</f>
        <v>0.91</v>
      </c>
      <c r="BG79" s="48">
        <f t="shared" si="923"/>
        <v>0.89</v>
      </c>
      <c r="BH79" s="48">
        <f t="shared" si="923"/>
        <v>0.87</v>
      </c>
      <c r="BI79" s="48">
        <f t="shared" si="923"/>
        <v>0.85</v>
      </c>
      <c r="BJ79" s="48">
        <f t="shared" si="923"/>
        <v>0.83</v>
      </c>
      <c r="BK79" s="48">
        <f t="shared" si="923"/>
        <v>0.80999999999999994</v>
      </c>
      <c r="BL79" s="48">
        <f t="shared" si="923"/>
        <v>0.78999999999999992</v>
      </c>
      <c r="BM79" s="48">
        <f t="shared" si="923"/>
        <v>0.76999999999999991</v>
      </c>
      <c r="BN79" s="48">
        <f t="shared" si="923"/>
        <v>0.74999999999999989</v>
      </c>
      <c r="BO79" s="48">
        <f t="shared" si="923"/>
        <v>0.72999999999999987</v>
      </c>
      <c r="BP79" s="48">
        <f t="shared" si="923"/>
        <v>0.70999999999999985</v>
      </c>
      <c r="BQ79" s="48">
        <f t="shared" si="923"/>
        <v>0.68999999999999984</v>
      </c>
      <c r="BR79" s="48">
        <f t="shared" si="923"/>
        <v>0.66999999999999982</v>
      </c>
      <c r="BS79" s="48">
        <f t="shared" si="923"/>
        <v>0.6499999999999998</v>
      </c>
      <c r="BT79" s="48">
        <f t="shared" si="923"/>
        <v>0.62999999999999978</v>
      </c>
      <c r="BU79" s="48">
        <f t="shared" si="923"/>
        <v>0.60999999999999976</v>
      </c>
      <c r="BV79" s="48">
        <f t="shared" si="923"/>
        <v>0.58999999999999975</v>
      </c>
      <c r="BW79" s="48">
        <f t="shared" si="923"/>
        <v>0.56999999999999973</v>
      </c>
      <c r="BY79" s="48">
        <f t="shared" si="88"/>
        <v>0</v>
      </c>
      <c r="BZ79" s="48">
        <f t="shared" si="89"/>
        <v>0</v>
      </c>
      <c r="CA79" s="51">
        <f t="shared" ref="CA79" si="924">+BZ79*3.3058</f>
        <v>0</v>
      </c>
      <c r="CB79" s="48">
        <f t="shared" si="761"/>
        <v>0</v>
      </c>
      <c r="CC79" s="51">
        <f t="shared" si="762"/>
        <v>0</v>
      </c>
      <c r="CD79" s="48">
        <f t="shared" si="763"/>
        <v>0</v>
      </c>
      <c r="CE79" s="51">
        <f t="shared" si="764"/>
        <v>0</v>
      </c>
      <c r="CF79" s="48">
        <f t="shared" si="765"/>
        <v>0</v>
      </c>
      <c r="CG79" s="51">
        <f t="shared" si="766"/>
        <v>0</v>
      </c>
      <c r="CH79" s="52">
        <f t="shared" si="767"/>
        <v>0</v>
      </c>
      <c r="CI79" s="51">
        <f t="shared" si="768"/>
        <v>0</v>
      </c>
      <c r="CJ79" s="48">
        <f t="shared" si="769"/>
        <v>0</v>
      </c>
      <c r="CK79" s="51">
        <f t="shared" si="770"/>
        <v>0</v>
      </c>
      <c r="CL79" s="52">
        <f t="shared" si="771"/>
        <v>0</v>
      </c>
      <c r="CM79" s="51">
        <f t="shared" si="772"/>
        <v>0</v>
      </c>
      <c r="CN79" s="53">
        <f t="shared" si="773"/>
        <v>0</v>
      </c>
      <c r="CO79" s="51">
        <f t="shared" si="774"/>
        <v>0</v>
      </c>
      <c r="CP79" s="52">
        <f t="shared" si="775"/>
        <v>0</v>
      </c>
      <c r="CQ79" s="51">
        <f t="shared" si="776"/>
        <v>0</v>
      </c>
      <c r="CR79" s="48">
        <f t="shared" si="777"/>
        <v>0</v>
      </c>
      <c r="CS79" s="51">
        <f t="shared" si="778"/>
        <v>0</v>
      </c>
      <c r="CT79" s="53">
        <f t="shared" si="779"/>
        <v>0</v>
      </c>
      <c r="CU79" s="51">
        <f t="shared" si="780"/>
        <v>0</v>
      </c>
      <c r="CV79" s="53">
        <f t="shared" si="781"/>
        <v>0</v>
      </c>
      <c r="CW79" s="51">
        <f t="shared" si="782"/>
        <v>0</v>
      </c>
      <c r="CX79" s="53">
        <f t="shared" si="783"/>
        <v>0</v>
      </c>
      <c r="CY79" s="51">
        <f t="shared" si="784"/>
        <v>0</v>
      </c>
      <c r="CZ79" s="48">
        <f t="shared" si="785"/>
        <v>0</v>
      </c>
      <c r="DA79" s="51">
        <f t="shared" si="786"/>
        <v>0</v>
      </c>
      <c r="DB79" s="53">
        <f t="shared" si="787"/>
        <v>0</v>
      </c>
      <c r="DC79" s="51">
        <f t="shared" si="788"/>
        <v>0</v>
      </c>
      <c r="DD79" s="53">
        <f t="shared" si="789"/>
        <v>0</v>
      </c>
      <c r="DE79" s="51">
        <f t="shared" si="790"/>
        <v>0</v>
      </c>
      <c r="DF79" s="53">
        <f t="shared" si="791"/>
        <v>0</v>
      </c>
      <c r="DG79" s="51">
        <f t="shared" si="792"/>
        <v>0</v>
      </c>
      <c r="DH79" s="53">
        <f t="shared" si="793"/>
        <v>0</v>
      </c>
      <c r="DI79" s="51">
        <f t="shared" si="794"/>
        <v>0</v>
      </c>
      <c r="DJ79" s="48">
        <f t="shared" si="795"/>
        <v>0</v>
      </c>
      <c r="DK79" s="51">
        <f t="shared" si="796"/>
        <v>0</v>
      </c>
      <c r="DL79" s="53">
        <f t="shared" si="797"/>
        <v>0</v>
      </c>
      <c r="DM79" s="51">
        <f t="shared" si="798"/>
        <v>0</v>
      </c>
      <c r="DN79" s="53">
        <f t="shared" si="799"/>
        <v>0</v>
      </c>
      <c r="DO79" s="51">
        <f t="shared" si="800"/>
        <v>0</v>
      </c>
      <c r="DP79" s="48">
        <f t="shared" si="801"/>
        <v>0</v>
      </c>
      <c r="DQ79" s="51">
        <f t="shared" si="802"/>
        <v>0</v>
      </c>
      <c r="DT79" s="48">
        <v>1</v>
      </c>
      <c r="DU79" s="48">
        <v>0.97</v>
      </c>
      <c r="DV79" s="48">
        <v>0.95</v>
      </c>
      <c r="DW79" s="48">
        <v>0.93</v>
      </c>
      <c r="DX79" s="48">
        <f t="shared" ref="DX79:EO79" si="925">+DW79-0.02</f>
        <v>0.91</v>
      </c>
      <c r="DY79" s="48">
        <f t="shared" si="925"/>
        <v>0.89</v>
      </c>
      <c r="DZ79" s="48">
        <f t="shared" si="925"/>
        <v>0.87</v>
      </c>
      <c r="EA79" s="48">
        <f t="shared" si="925"/>
        <v>0.85</v>
      </c>
      <c r="EB79" s="48">
        <f t="shared" si="925"/>
        <v>0.83</v>
      </c>
      <c r="EC79" s="48">
        <f t="shared" si="925"/>
        <v>0.80999999999999994</v>
      </c>
      <c r="ED79" s="48">
        <f t="shared" si="925"/>
        <v>0.78999999999999992</v>
      </c>
      <c r="EE79" s="48">
        <f t="shared" si="925"/>
        <v>0.76999999999999991</v>
      </c>
      <c r="EF79" s="48">
        <f t="shared" si="925"/>
        <v>0.74999999999999989</v>
      </c>
      <c r="EG79" s="48">
        <f t="shared" si="925"/>
        <v>0.72999999999999987</v>
      </c>
      <c r="EH79" s="48">
        <f t="shared" si="925"/>
        <v>0.70999999999999985</v>
      </c>
      <c r="EI79" s="48">
        <f t="shared" si="925"/>
        <v>0.68999999999999984</v>
      </c>
      <c r="EJ79" s="48">
        <f t="shared" si="925"/>
        <v>0.66999999999999982</v>
      </c>
      <c r="EK79" s="48">
        <f t="shared" si="925"/>
        <v>0.6499999999999998</v>
      </c>
      <c r="EL79" s="48">
        <f t="shared" si="925"/>
        <v>0.62999999999999978</v>
      </c>
      <c r="EM79" s="48">
        <f t="shared" si="925"/>
        <v>0.60999999999999976</v>
      </c>
      <c r="EN79" s="48">
        <f t="shared" si="925"/>
        <v>0.58999999999999975</v>
      </c>
      <c r="EO79" s="48">
        <f t="shared" si="925"/>
        <v>0.56999999999999973</v>
      </c>
      <c r="EQ79" s="48">
        <f t="shared" si="188"/>
        <v>0</v>
      </c>
      <c r="ER79" s="48">
        <f t="shared" si="116"/>
        <v>0</v>
      </c>
      <c r="ES79" s="51">
        <f t="shared" ref="ES79" si="926">+ER79*3.3058</f>
        <v>0</v>
      </c>
      <c r="ET79" s="48">
        <f t="shared" si="805"/>
        <v>0</v>
      </c>
      <c r="EU79" s="51">
        <f t="shared" si="806"/>
        <v>0</v>
      </c>
      <c r="EV79" s="48">
        <f t="shared" si="807"/>
        <v>0</v>
      </c>
      <c r="EW79" s="51">
        <f t="shared" si="808"/>
        <v>0</v>
      </c>
      <c r="EX79" s="48">
        <f t="shared" si="809"/>
        <v>0</v>
      </c>
      <c r="EY79" s="51">
        <f t="shared" si="810"/>
        <v>0</v>
      </c>
      <c r="EZ79" s="52">
        <f t="shared" si="811"/>
        <v>0</v>
      </c>
      <c r="FA79" s="51">
        <f t="shared" si="812"/>
        <v>0</v>
      </c>
      <c r="FB79" s="48">
        <f t="shared" si="813"/>
        <v>0</v>
      </c>
      <c r="FC79" s="51">
        <f t="shared" si="814"/>
        <v>0</v>
      </c>
      <c r="FD79" s="52">
        <f t="shared" si="815"/>
        <v>0</v>
      </c>
      <c r="FE79" s="51">
        <f t="shared" si="816"/>
        <v>0</v>
      </c>
      <c r="FF79" s="53">
        <f t="shared" si="817"/>
        <v>0</v>
      </c>
      <c r="FG79" s="51">
        <f t="shared" si="818"/>
        <v>0</v>
      </c>
      <c r="FH79" s="52">
        <f t="shared" si="819"/>
        <v>0</v>
      </c>
      <c r="FI79" s="51">
        <f t="shared" si="820"/>
        <v>0</v>
      </c>
      <c r="FJ79" s="48">
        <f t="shared" si="821"/>
        <v>0</v>
      </c>
      <c r="FK79" s="51">
        <f t="shared" si="822"/>
        <v>0</v>
      </c>
      <c r="FL79" s="53">
        <f t="shared" si="823"/>
        <v>0</v>
      </c>
      <c r="FM79" s="51">
        <f t="shared" si="824"/>
        <v>0</v>
      </c>
      <c r="FN79" s="53">
        <f t="shared" si="825"/>
        <v>0</v>
      </c>
      <c r="FO79" s="51">
        <f t="shared" si="826"/>
        <v>0</v>
      </c>
      <c r="FP79" s="53">
        <f t="shared" si="827"/>
        <v>0</v>
      </c>
      <c r="FQ79" s="51">
        <f t="shared" si="828"/>
        <v>0</v>
      </c>
      <c r="FR79" s="48">
        <f t="shared" si="829"/>
        <v>0</v>
      </c>
      <c r="FS79" s="51">
        <f t="shared" si="830"/>
        <v>0</v>
      </c>
      <c r="FT79" s="53">
        <f t="shared" si="831"/>
        <v>0</v>
      </c>
      <c r="FU79" s="51">
        <f t="shared" si="832"/>
        <v>0</v>
      </c>
      <c r="FV79" s="53">
        <f t="shared" si="833"/>
        <v>0</v>
      </c>
      <c r="FW79" s="51">
        <f t="shared" si="834"/>
        <v>0</v>
      </c>
      <c r="FX79" s="53">
        <f t="shared" si="835"/>
        <v>0</v>
      </c>
      <c r="FY79" s="51">
        <f t="shared" si="836"/>
        <v>0</v>
      </c>
      <c r="FZ79" s="53">
        <f t="shared" si="837"/>
        <v>0</v>
      </c>
      <c r="GA79" s="51">
        <f t="shared" si="838"/>
        <v>0</v>
      </c>
      <c r="GB79" s="48">
        <f t="shared" si="839"/>
        <v>0</v>
      </c>
      <c r="GC79" s="51">
        <f t="shared" si="840"/>
        <v>0</v>
      </c>
      <c r="GD79" s="53">
        <f t="shared" si="841"/>
        <v>0</v>
      </c>
      <c r="GE79" s="51">
        <f t="shared" si="842"/>
        <v>0</v>
      </c>
      <c r="GF79" s="53">
        <f t="shared" si="843"/>
        <v>0</v>
      </c>
      <c r="GG79" s="51">
        <f t="shared" si="844"/>
        <v>0</v>
      </c>
      <c r="GH79" s="48">
        <f t="shared" si="845"/>
        <v>0</v>
      </c>
      <c r="GI79" s="51">
        <f t="shared" si="846"/>
        <v>0</v>
      </c>
      <c r="GJ79" s="48"/>
      <c r="GK79" s="48"/>
      <c r="GL79" s="48">
        <v>1</v>
      </c>
      <c r="GM79" s="48">
        <v>0.97</v>
      </c>
      <c r="GN79" s="48">
        <v>0.95</v>
      </c>
      <c r="GO79" s="48">
        <v>0.93</v>
      </c>
      <c r="GP79" s="48">
        <f t="shared" ref="GP79:HG79" si="927">+GO79-0.02</f>
        <v>0.91</v>
      </c>
      <c r="GQ79" s="48">
        <f t="shared" si="927"/>
        <v>0.89</v>
      </c>
      <c r="GR79" s="48">
        <f t="shared" si="927"/>
        <v>0.87</v>
      </c>
      <c r="GS79" s="48">
        <f t="shared" si="927"/>
        <v>0.85</v>
      </c>
      <c r="GT79" s="48">
        <f t="shared" si="927"/>
        <v>0.83</v>
      </c>
      <c r="GU79" s="48">
        <f t="shared" si="927"/>
        <v>0.80999999999999994</v>
      </c>
      <c r="GV79" s="48">
        <f t="shared" si="927"/>
        <v>0.78999999999999992</v>
      </c>
      <c r="GW79" s="48">
        <f t="shared" si="927"/>
        <v>0.76999999999999991</v>
      </c>
      <c r="GX79" s="48">
        <f t="shared" si="927"/>
        <v>0.74999999999999989</v>
      </c>
      <c r="GY79" s="48">
        <f t="shared" si="927"/>
        <v>0.72999999999999987</v>
      </c>
      <c r="GZ79" s="48">
        <f t="shared" si="927"/>
        <v>0.70999999999999985</v>
      </c>
      <c r="HA79" s="48">
        <f t="shared" si="927"/>
        <v>0.68999999999999984</v>
      </c>
      <c r="HB79" s="48">
        <f t="shared" si="927"/>
        <v>0.66999999999999982</v>
      </c>
      <c r="HC79" s="48">
        <f t="shared" si="927"/>
        <v>0.6499999999999998</v>
      </c>
      <c r="HD79" s="48">
        <f t="shared" si="927"/>
        <v>0.62999999999999978</v>
      </c>
      <c r="HE79" s="48">
        <f t="shared" si="927"/>
        <v>0.60999999999999976</v>
      </c>
      <c r="HF79" s="48">
        <f t="shared" si="927"/>
        <v>0.58999999999999975</v>
      </c>
      <c r="HG79" s="48">
        <f t="shared" si="927"/>
        <v>0.56999999999999973</v>
      </c>
    </row>
    <row r="80" spans="1:215" x14ac:dyDescent="0.3">
      <c r="A80" s="2">
        <v>18</v>
      </c>
      <c r="C80" s="39" t="s">
        <v>149</v>
      </c>
      <c r="D80" s="44">
        <v>0</v>
      </c>
      <c r="E80" s="73">
        <f t="shared" si="716"/>
        <v>0</v>
      </c>
      <c r="G80" s="48">
        <f t="shared" si="61"/>
        <v>0</v>
      </c>
      <c r="H80" s="48">
        <f t="shared" si="62"/>
        <v>0</v>
      </c>
      <c r="I80" s="51">
        <f t="shared" si="63"/>
        <v>0</v>
      </c>
      <c r="J80" s="48">
        <f t="shared" si="717"/>
        <v>0</v>
      </c>
      <c r="K80" s="51">
        <f t="shared" si="718"/>
        <v>0</v>
      </c>
      <c r="L80" s="48">
        <f t="shared" si="719"/>
        <v>0</v>
      </c>
      <c r="M80" s="51">
        <f t="shared" si="720"/>
        <v>0</v>
      </c>
      <c r="N80" s="48">
        <f t="shared" si="721"/>
        <v>0</v>
      </c>
      <c r="O80" s="51">
        <f t="shared" si="722"/>
        <v>0</v>
      </c>
      <c r="P80" s="52">
        <f t="shared" si="723"/>
        <v>0</v>
      </c>
      <c r="Q80" s="51">
        <f t="shared" si="724"/>
        <v>0</v>
      </c>
      <c r="R80" s="48">
        <f t="shared" si="725"/>
        <v>0</v>
      </c>
      <c r="S80" s="51">
        <f t="shared" si="726"/>
        <v>0</v>
      </c>
      <c r="T80" s="52">
        <f t="shared" si="727"/>
        <v>0</v>
      </c>
      <c r="U80" s="51">
        <f t="shared" si="728"/>
        <v>0</v>
      </c>
      <c r="V80" s="53">
        <f t="shared" si="729"/>
        <v>0</v>
      </c>
      <c r="W80" s="51">
        <f t="shared" si="730"/>
        <v>0</v>
      </c>
      <c r="X80" s="52">
        <f t="shared" si="731"/>
        <v>0</v>
      </c>
      <c r="Y80" s="51">
        <f t="shared" si="732"/>
        <v>0</v>
      </c>
      <c r="Z80" s="48">
        <f t="shared" si="733"/>
        <v>0</v>
      </c>
      <c r="AA80" s="51">
        <f t="shared" si="734"/>
        <v>0</v>
      </c>
      <c r="AB80" s="53">
        <f t="shared" si="735"/>
        <v>0</v>
      </c>
      <c r="AC80" s="51">
        <f t="shared" si="736"/>
        <v>0</v>
      </c>
      <c r="AD80" s="53">
        <f t="shared" si="737"/>
        <v>0</v>
      </c>
      <c r="AE80" s="51">
        <f t="shared" si="738"/>
        <v>0</v>
      </c>
      <c r="AF80" s="53">
        <f t="shared" si="739"/>
        <v>0</v>
      </c>
      <c r="AG80" s="51">
        <f t="shared" si="740"/>
        <v>0</v>
      </c>
      <c r="AH80" s="48">
        <f t="shared" si="741"/>
        <v>0</v>
      </c>
      <c r="AI80" s="51">
        <f t="shared" si="742"/>
        <v>0</v>
      </c>
      <c r="AJ80" s="53">
        <f t="shared" si="743"/>
        <v>0</v>
      </c>
      <c r="AK80" s="51">
        <f t="shared" si="744"/>
        <v>0</v>
      </c>
      <c r="AL80" s="53">
        <f t="shared" si="745"/>
        <v>0</v>
      </c>
      <c r="AM80" s="51">
        <f t="shared" si="746"/>
        <v>0</v>
      </c>
      <c r="AN80" s="53">
        <f t="shared" si="747"/>
        <v>0</v>
      </c>
      <c r="AO80" s="51">
        <f t="shared" si="748"/>
        <v>0</v>
      </c>
      <c r="AP80" s="53">
        <f t="shared" si="749"/>
        <v>0</v>
      </c>
      <c r="AQ80" s="51">
        <f t="shared" si="750"/>
        <v>0</v>
      </c>
      <c r="AR80" s="48">
        <f t="shared" si="751"/>
        <v>0</v>
      </c>
      <c r="AS80" s="51">
        <f t="shared" si="752"/>
        <v>0</v>
      </c>
      <c r="AT80" s="53">
        <f t="shared" si="753"/>
        <v>0</v>
      </c>
      <c r="AU80" s="51">
        <f t="shared" si="754"/>
        <v>0</v>
      </c>
      <c r="AV80" s="53">
        <f t="shared" si="755"/>
        <v>0</v>
      </c>
      <c r="AW80" s="51">
        <f t="shared" si="756"/>
        <v>0</v>
      </c>
      <c r="AX80" s="48">
        <f t="shared" si="757"/>
        <v>0</v>
      </c>
      <c r="AY80" s="51">
        <f t="shared" si="758"/>
        <v>0</v>
      </c>
      <c r="BB80" s="48">
        <v>1</v>
      </c>
      <c r="BC80" s="48">
        <v>0.97</v>
      </c>
      <c r="BD80" s="48">
        <v>0.95</v>
      </c>
      <c r="BE80" s="48">
        <v>0.93</v>
      </c>
      <c r="BF80" s="48">
        <f t="shared" ref="BF80:BW80" si="928">+BE80-0.02</f>
        <v>0.91</v>
      </c>
      <c r="BG80" s="48">
        <f t="shared" si="928"/>
        <v>0.89</v>
      </c>
      <c r="BH80" s="48">
        <f t="shared" si="928"/>
        <v>0.87</v>
      </c>
      <c r="BI80" s="48">
        <f t="shared" si="928"/>
        <v>0.85</v>
      </c>
      <c r="BJ80" s="48">
        <f t="shared" si="928"/>
        <v>0.83</v>
      </c>
      <c r="BK80" s="48">
        <f t="shared" si="928"/>
        <v>0.80999999999999994</v>
      </c>
      <c r="BL80" s="48">
        <f t="shared" si="928"/>
        <v>0.78999999999999992</v>
      </c>
      <c r="BM80" s="48">
        <f t="shared" si="928"/>
        <v>0.76999999999999991</v>
      </c>
      <c r="BN80" s="48">
        <f t="shared" si="928"/>
        <v>0.74999999999999989</v>
      </c>
      <c r="BO80" s="48">
        <f t="shared" si="928"/>
        <v>0.72999999999999987</v>
      </c>
      <c r="BP80" s="48">
        <f t="shared" si="928"/>
        <v>0.70999999999999985</v>
      </c>
      <c r="BQ80" s="48">
        <f t="shared" si="928"/>
        <v>0.68999999999999984</v>
      </c>
      <c r="BR80" s="48">
        <f t="shared" si="928"/>
        <v>0.66999999999999982</v>
      </c>
      <c r="BS80" s="48">
        <f t="shared" si="928"/>
        <v>0.6499999999999998</v>
      </c>
      <c r="BT80" s="48">
        <f t="shared" si="928"/>
        <v>0.62999999999999978</v>
      </c>
      <c r="BU80" s="48">
        <f t="shared" si="928"/>
        <v>0.60999999999999976</v>
      </c>
      <c r="BV80" s="48">
        <f t="shared" si="928"/>
        <v>0.58999999999999975</v>
      </c>
      <c r="BW80" s="48">
        <f t="shared" si="928"/>
        <v>0.56999999999999973</v>
      </c>
      <c r="BY80" s="48">
        <f t="shared" si="88"/>
        <v>0</v>
      </c>
      <c r="BZ80" s="48">
        <f t="shared" si="89"/>
        <v>0</v>
      </c>
      <c r="CA80" s="51">
        <f t="shared" ref="CA80" si="929">+BZ80*3.3058</f>
        <v>0</v>
      </c>
      <c r="CB80" s="48">
        <f t="shared" si="761"/>
        <v>0</v>
      </c>
      <c r="CC80" s="51">
        <f t="shared" si="762"/>
        <v>0</v>
      </c>
      <c r="CD80" s="48">
        <f t="shared" si="763"/>
        <v>0</v>
      </c>
      <c r="CE80" s="51">
        <f t="shared" si="764"/>
        <v>0</v>
      </c>
      <c r="CF80" s="48">
        <f t="shared" si="765"/>
        <v>0</v>
      </c>
      <c r="CG80" s="51">
        <f t="shared" si="766"/>
        <v>0</v>
      </c>
      <c r="CH80" s="52">
        <f t="shared" si="767"/>
        <v>0</v>
      </c>
      <c r="CI80" s="51">
        <f t="shared" si="768"/>
        <v>0</v>
      </c>
      <c r="CJ80" s="48">
        <f t="shared" si="769"/>
        <v>0</v>
      </c>
      <c r="CK80" s="51">
        <f t="shared" si="770"/>
        <v>0</v>
      </c>
      <c r="CL80" s="52">
        <f t="shared" si="771"/>
        <v>0</v>
      </c>
      <c r="CM80" s="51">
        <f t="shared" si="772"/>
        <v>0</v>
      </c>
      <c r="CN80" s="53">
        <f t="shared" si="773"/>
        <v>0</v>
      </c>
      <c r="CO80" s="51">
        <f t="shared" si="774"/>
        <v>0</v>
      </c>
      <c r="CP80" s="52">
        <f t="shared" si="775"/>
        <v>0</v>
      </c>
      <c r="CQ80" s="51">
        <f t="shared" si="776"/>
        <v>0</v>
      </c>
      <c r="CR80" s="48">
        <f t="shared" si="777"/>
        <v>0</v>
      </c>
      <c r="CS80" s="51">
        <f t="shared" si="778"/>
        <v>0</v>
      </c>
      <c r="CT80" s="53">
        <f t="shared" si="779"/>
        <v>0</v>
      </c>
      <c r="CU80" s="51">
        <f t="shared" si="780"/>
        <v>0</v>
      </c>
      <c r="CV80" s="53">
        <f t="shared" si="781"/>
        <v>0</v>
      </c>
      <c r="CW80" s="51">
        <f t="shared" si="782"/>
        <v>0</v>
      </c>
      <c r="CX80" s="53">
        <f t="shared" si="783"/>
        <v>0</v>
      </c>
      <c r="CY80" s="51">
        <f t="shared" si="784"/>
        <v>0</v>
      </c>
      <c r="CZ80" s="48">
        <f t="shared" si="785"/>
        <v>0</v>
      </c>
      <c r="DA80" s="51">
        <f t="shared" si="786"/>
        <v>0</v>
      </c>
      <c r="DB80" s="53">
        <f t="shared" si="787"/>
        <v>0</v>
      </c>
      <c r="DC80" s="51">
        <f t="shared" si="788"/>
        <v>0</v>
      </c>
      <c r="DD80" s="53">
        <f t="shared" si="789"/>
        <v>0</v>
      </c>
      <c r="DE80" s="51">
        <f t="shared" si="790"/>
        <v>0</v>
      </c>
      <c r="DF80" s="53">
        <f t="shared" si="791"/>
        <v>0</v>
      </c>
      <c r="DG80" s="51">
        <f t="shared" si="792"/>
        <v>0</v>
      </c>
      <c r="DH80" s="53">
        <f t="shared" si="793"/>
        <v>0</v>
      </c>
      <c r="DI80" s="51">
        <f t="shared" si="794"/>
        <v>0</v>
      </c>
      <c r="DJ80" s="48">
        <f t="shared" si="795"/>
        <v>0</v>
      </c>
      <c r="DK80" s="51">
        <f t="shared" si="796"/>
        <v>0</v>
      </c>
      <c r="DL80" s="53">
        <f t="shared" si="797"/>
        <v>0</v>
      </c>
      <c r="DM80" s="51">
        <f t="shared" si="798"/>
        <v>0</v>
      </c>
      <c r="DN80" s="53">
        <f t="shared" si="799"/>
        <v>0</v>
      </c>
      <c r="DO80" s="51">
        <f t="shared" si="800"/>
        <v>0</v>
      </c>
      <c r="DP80" s="48">
        <f t="shared" si="801"/>
        <v>0</v>
      </c>
      <c r="DQ80" s="51">
        <f t="shared" si="802"/>
        <v>0</v>
      </c>
      <c r="DT80" s="48">
        <v>1</v>
      </c>
      <c r="DU80" s="48">
        <v>0.97</v>
      </c>
      <c r="DV80" s="48">
        <v>0.95</v>
      </c>
      <c r="DW80" s="48">
        <v>0.93</v>
      </c>
      <c r="DX80" s="48">
        <f t="shared" ref="DX80:EO80" si="930">+DW80-0.02</f>
        <v>0.91</v>
      </c>
      <c r="DY80" s="48">
        <f t="shared" si="930"/>
        <v>0.89</v>
      </c>
      <c r="DZ80" s="48">
        <f t="shared" si="930"/>
        <v>0.87</v>
      </c>
      <c r="EA80" s="48">
        <f t="shared" si="930"/>
        <v>0.85</v>
      </c>
      <c r="EB80" s="48">
        <f t="shared" si="930"/>
        <v>0.83</v>
      </c>
      <c r="EC80" s="48">
        <f t="shared" si="930"/>
        <v>0.80999999999999994</v>
      </c>
      <c r="ED80" s="48">
        <f t="shared" si="930"/>
        <v>0.78999999999999992</v>
      </c>
      <c r="EE80" s="48">
        <f t="shared" si="930"/>
        <v>0.76999999999999991</v>
      </c>
      <c r="EF80" s="48">
        <f t="shared" si="930"/>
        <v>0.74999999999999989</v>
      </c>
      <c r="EG80" s="48">
        <f t="shared" si="930"/>
        <v>0.72999999999999987</v>
      </c>
      <c r="EH80" s="48">
        <f t="shared" si="930"/>
        <v>0.70999999999999985</v>
      </c>
      <c r="EI80" s="48">
        <f t="shared" si="930"/>
        <v>0.68999999999999984</v>
      </c>
      <c r="EJ80" s="48">
        <f t="shared" si="930"/>
        <v>0.66999999999999982</v>
      </c>
      <c r="EK80" s="48">
        <f t="shared" si="930"/>
        <v>0.6499999999999998</v>
      </c>
      <c r="EL80" s="48">
        <f t="shared" si="930"/>
        <v>0.62999999999999978</v>
      </c>
      <c r="EM80" s="48">
        <f t="shared" si="930"/>
        <v>0.60999999999999976</v>
      </c>
      <c r="EN80" s="48">
        <f t="shared" si="930"/>
        <v>0.58999999999999975</v>
      </c>
      <c r="EO80" s="48">
        <f t="shared" si="930"/>
        <v>0.56999999999999973</v>
      </c>
      <c r="EQ80" s="48">
        <f t="shared" si="188"/>
        <v>0</v>
      </c>
      <c r="ER80" s="48">
        <f t="shared" si="116"/>
        <v>0</v>
      </c>
      <c r="ES80" s="51">
        <f t="shared" ref="ES80" si="931">+ER80*3.3058</f>
        <v>0</v>
      </c>
      <c r="ET80" s="48">
        <f t="shared" si="805"/>
        <v>0</v>
      </c>
      <c r="EU80" s="51">
        <f t="shared" si="806"/>
        <v>0</v>
      </c>
      <c r="EV80" s="48">
        <f t="shared" si="807"/>
        <v>0</v>
      </c>
      <c r="EW80" s="51">
        <f t="shared" si="808"/>
        <v>0</v>
      </c>
      <c r="EX80" s="48">
        <f t="shared" si="809"/>
        <v>0</v>
      </c>
      <c r="EY80" s="51">
        <f t="shared" si="810"/>
        <v>0</v>
      </c>
      <c r="EZ80" s="52">
        <f t="shared" si="811"/>
        <v>0</v>
      </c>
      <c r="FA80" s="51">
        <f t="shared" si="812"/>
        <v>0</v>
      </c>
      <c r="FB80" s="48">
        <f t="shared" si="813"/>
        <v>0</v>
      </c>
      <c r="FC80" s="51">
        <f t="shared" si="814"/>
        <v>0</v>
      </c>
      <c r="FD80" s="52">
        <f t="shared" si="815"/>
        <v>0</v>
      </c>
      <c r="FE80" s="51">
        <f t="shared" si="816"/>
        <v>0</v>
      </c>
      <c r="FF80" s="53">
        <f t="shared" si="817"/>
        <v>0</v>
      </c>
      <c r="FG80" s="51">
        <f t="shared" si="818"/>
        <v>0</v>
      </c>
      <c r="FH80" s="52">
        <f t="shared" si="819"/>
        <v>0</v>
      </c>
      <c r="FI80" s="51">
        <f t="shared" si="820"/>
        <v>0</v>
      </c>
      <c r="FJ80" s="48">
        <f t="shared" si="821"/>
        <v>0</v>
      </c>
      <c r="FK80" s="51">
        <f t="shared" si="822"/>
        <v>0</v>
      </c>
      <c r="FL80" s="53">
        <f t="shared" si="823"/>
        <v>0</v>
      </c>
      <c r="FM80" s="51">
        <f t="shared" si="824"/>
        <v>0</v>
      </c>
      <c r="FN80" s="53">
        <f t="shared" si="825"/>
        <v>0</v>
      </c>
      <c r="FO80" s="51">
        <f t="shared" si="826"/>
        <v>0</v>
      </c>
      <c r="FP80" s="53">
        <f t="shared" si="827"/>
        <v>0</v>
      </c>
      <c r="FQ80" s="51">
        <f t="shared" si="828"/>
        <v>0</v>
      </c>
      <c r="FR80" s="48">
        <f t="shared" si="829"/>
        <v>0</v>
      </c>
      <c r="FS80" s="51">
        <f t="shared" si="830"/>
        <v>0</v>
      </c>
      <c r="FT80" s="53">
        <f t="shared" si="831"/>
        <v>0</v>
      </c>
      <c r="FU80" s="51">
        <f t="shared" si="832"/>
        <v>0</v>
      </c>
      <c r="FV80" s="53">
        <f t="shared" si="833"/>
        <v>0</v>
      </c>
      <c r="FW80" s="51">
        <f t="shared" si="834"/>
        <v>0</v>
      </c>
      <c r="FX80" s="53">
        <f t="shared" si="835"/>
        <v>0</v>
      </c>
      <c r="FY80" s="51">
        <f t="shared" si="836"/>
        <v>0</v>
      </c>
      <c r="FZ80" s="53">
        <f t="shared" si="837"/>
        <v>0</v>
      </c>
      <c r="GA80" s="51">
        <f t="shared" si="838"/>
        <v>0</v>
      </c>
      <c r="GB80" s="48">
        <f t="shared" si="839"/>
        <v>0</v>
      </c>
      <c r="GC80" s="51">
        <f t="shared" si="840"/>
        <v>0</v>
      </c>
      <c r="GD80" s="53">
        <f t="shared" si="841"/>
        <v>0</v>
      </c>
      <c r="GE80" s="51">
        <f t="shared" si="842"/>
        <v>0</v>
      </c>
      <c r="GF80" s="53">
        <f t="shared" si="843"/>
        <v>0</v>
      </c>
      <c r="GG80" s="51">
        <f t="shared" si="844"/>
        <v>0</v>
      </c>
      <c r="GH80" s="48">
        <f t="shared" si="845"/>
        <v>0</v>
      </c>
      <c r="GI80" s="51">
        <f t="shared" si="846"/>
        <v>0</v>
      </c>
      <c r="GJ80" s="48"/>
      <c r="GK80" s="48"/>
      <c r="GL80" s="48">
        <v>1</v>
      </c>
      <c r="GM80" s="48">
        <v>0.97</v>
      </c>
      <c r="GN80" s="48">
        <v>0.95</v>
      </c>
      <c r="GO80" s="48">
        <v>0.93</v>
      </c>
      <c r="GP80" s="48">
        <f t="shared" ref="GP80:HG80" si="932">+GO80-0.02</f>
        <v>0.91</v>
      </c>
      <c r="GQ80" s="48">
        <f t="shared" si="932"/>
        <v>0.89</v>
      </c>
      <c r="GR80" s="48">
        <f t="shared" si="932"/>
        <v>0.87</v>
      </c>
      <c r="GS80" s="48">
        <f t="shared" si="932"/>
        <v>0.85</v>
      </c>
      <c r="GT80" s="48">
        <f t="shared" si="932"/>
        <v>0.83</v>
      </c>
      <c r="GU80" s="48">
        <f t="shared" si="932"/>
        <v>0.80999999999999994</v>
      </c>
      <c r="GV80" s="48">
        <f t="shared" si="932"/>
        <v>0.78999999999999992</v>
      </c>
      <c r="GW80" s="48">
        <f t="shared" si="932"/>
        <v>0.76999999999999991</v>
      </c>
      <c r="GX80" s="48">
        <f t="shared" si="932"/>
        <v>0.74999999999999989</v>
      </c>
      <c r="GY80" s="48">
        <f t="shared" si="932"/>
        <v>0.72999999999999987</v>
      </c>
      <c r="GZ80" s="48">
        <f t="shared" si="932"/>
        <v>0.70999999999999985</v>
      </c>
      <c r="HA80" s="48">
        <f t="shared" si="932"/>
        <v>0.68999999999999984</v>
      </c>
      <c r="HB80" s="48">
        <f t="shared" si="932"/>
        <v>0.66999999999999982</v>
      </c>
      <c r="HC80" s="48">
        <f t="shared" si="932"/>
        <v>0.6499999999999998</v>
      </c>
      <c r="HD80" s="48">
        <f t="shared" si="932"/>
        <v>0.62999999999999978</v>
      </c>
      <c r="HE80" s="48">
        <f t="shared" si="932"/>
        <v>0.60999999999999976</v>
      </c>
      <c r="HF80" s="48">
        <f t="shared" si="932"/>
        <v>0.58999999999999975</v>
      </c>
      <c r="HG80" s="48">
        <f t="shared" si="932"/>
        <v>0.56999999999999973</v>
      </c>
    </row>
    <row r="81" spans="1:215" x14ac:dyDescent="0.3">
      <c r="A81" s="2">
        <v>19</v>
      </c>
      <c r="C81" s="39" t="s">
        <v>150</v>
      </c>
      <c r="D81" s="44">
        <v>0</v>
      </c>
      <c r="E81" s="73">
        <f t="shared" si="716"/>
        <v>0</v>
      </c>
      <c r="G81" s="48">
        <f t="shared" si="61"/>
        <v>0</v>
      </c>
      <c r="H81" s="48">
        <f t="shared" si="62"/>
        <v>0</v>
      </c>
      <c r="I81" s="51">
        <f t="shared" si="63"/>
        <v>0</v>
      </c>
      <c r="J81" s="48">
        <f t="shared" si="717"/>
        <v>0</v>
      </c>
      <c r="K81" s="51">
        <f t="shared" si="718"/>
        <v>0</v>
      </c>
      <c r="L81" s="48">
        <f t="shared" si="719"/>
        <v>0</v>
      </c>
      <c r="M81" s="51">
        <f t="shared" si="720"/>
        <v>0</v>
      </c>
      <c r="N81" s="48">
        <f t="shared" si="721"/>
        <v>0</v>
      </c>
      <c r="O81" s="51">
        <f t="shared" si="722"/>
        <v>0</v>
      </c>
      <c r="P81" s="52">
        <f t="shared" si="723"/>
        <v>0</v>
      </c>
      <c r="Q81" s="51">
        <f t="shared" si="724"/>
        <v>0</v>
      </c>
      <c r="R81" s="48">
        <f t="shared" si="725"/>
        <v>0</v>
      </c>
      <c r="S81" s="51">
        <f t="shared" si="726"/>
        <v>0</v>
      </c>
      <c r="T81" s="52">
        <f t="shared" si="727"/>
        <v>0</v>
      </c>
      <c r="U81" s="51">
        <f t="shared" si="728"/>
        <v>0</v>
      </c>
      <c r="V81" s="53">
        <f t="shared" si="729"/>
        <v>0</v>
      </c>
      <c r="W81" s="51">
        <f t="shared" si="730"/>
        <v>0</v>
      </c>
      <c r="X81" s="52">
        <f t="shared" si="731"/>
        <v>0</v>
      </c>
      <c r="Y81" s="51">
        <f t="shared" si="732"/>
        <v>0</v>
      </c>
      <c r="Z81" s="48">
        <f t="shared" si="733"/>
        <v>0</v>
      </c>
      <c r="AA81" s="51">
        <f t="shared" si="734"/>
        <v>0</v>
      </c>
      <c r="AB81" s="53">
        <f t="shared" si="735"/>
        <v>0</v>
      </c>
      <c r="AC81" s="51">
        <f t="shared" si="736"/>
        <v>0</v>
      </c>
      <c r="AD81" s="53">
        <f t="shared" si="737"/>
        <v>0</v>
      </c>
      <c r="AE81" s="51">
        <f t="shared" si="738"/>
        <v>0</v>
      </c>
      <c r="AF81" s="53">
        <f t="shared" si="739"/>
        <v>0</v>
      </c>
      <c r="AG81" s="51">
        <f t="shared" si="740"/>
        <v>0</v>
      </c>
      <c r="AH81" s="48">
        <f t="shared" si="741"/>
        <v>0</v>
      </c>
      <c r="AI81" s="51">
        <f t="shared" si="742"/>
        <v>0</v>
      </c>
      <c r="AJ81" s="53">
        <f t="shared" si="743"/>
        <v>0</v>
      </c>
      <c r="AK81" s="51">
        <f t="shared" si="744"/>
        <v>0</v>
      </c>
      <c r="AL81" s="53">
        <f t="shared" si="745"/>
        <v>0</v>
      </c>
      <c r="AM81" s="51">
        <f t="shared" si="746"/>
        <v>0</v>
      </c>
      <c r="AN81" s="53">
        <f t="shared" si="747"/>
        <v>0</v>
      </c>
      <c r="AO81" s="51">
        <f t="shared" si="748"/>
        <v>0</v>
      </c>
      <c r="AP81" s="53">
        <f t="shared" si="749"/>
        <v>0</v>
      </c>
      <c r="AQ81" s="51">
        <f t="shared" si="750"/>
        <v>0</v>
      </c>
      <c r="AR81" s="48">
        <f t="shared" si="751"/>
        <v>0</v>
      </c>
      <c r="AS81" s="51">
        <f t="shared" si="752"/>
        <v>0</v>
      </c>
      <c r="AT81" s="53">
        <f t="shared" si="753"/>
        <v>0</v>
      </c>
      <c r="AU81" s="51">
        <f t="shared" si="754"/>
        <v>0</v>
      </c>
      <c r="AV81" s="53">
        <f t="shared" si="755"/>
        <v>0</v>
      </c>
      <c r="AW81" s="51">
        <f t="shared" si="756"/>
        <v>0</v>
      </c>
      <c r="AX81" s="48">
        <f t="shared" si="757"/>
        <v>0</v>
      </c>
      <c r="AY81" s="51">
        <f t="shared" si="758"/>
        <v>0</v>
      </c>
      <c r="BB81" s="48">
        <v>1</v>
      </c>
      <c r="BC81" s="48">
        <v>0.97</v>
      </c>
      <c r="BD81" s="48">
        <v>0.95</v>
      </c>
      <c r="BE81" s="48">
        <v>0.93</v>
      </c>
      <c r="BF81" s="48">
        <f t="shared" ref="BF81:BW81" si="933">+BE81-0.02</f>
        <v>0.91</v>
      </c>
      <c r="BG81" s="48">
        <f t="shared" si="933"/>
        <v>0.89</v>
      </c>
      <c r="BH81" s="48">
        <f t="shared" si="933"/>
        <v>0.87</v>
      </c>
      <c r="BI81" s="48">
        <f t="shared" si="933"/>
        <v>0.85</v>
      </c>
      <c r="BJ81" s="48">
        <f t="shared" si="933"/>
        <v>0.83</v>
      </c>
      <c r="BK81" s="48">
        <f t="shared" si="933"/>
        <v>0.80999999999999994</v>
      </c>
      <c r="BL81" s="48">
        <f t="shared" si="933"/>
        <v>0.78999999999999992</v>
      </c>
      <c r="BM81" s="48">
        <f t="shared" si="933"/>
        <v>0.76999999999999991</v>
      </c>
      <c r="BN81" s="48">
        <f t="shared" si="933"/>
        <v>0.74999999999999989</v>
      </c>
      <c r="BO81" s="48">
        <f t="shared" si="933"/>
        <v>0.72999999999999987</v>
      </c>
      <c r="BP81" s="48">
        <f t="shared" si="933"/>
        <v>0.70999999999999985</v>
      </c>
      <c r="BQ81" s="48">
        <f t="shared" si="933"/>
        <v>0.68999999999999984</v>
      </c>
      <c r="BR81" s="48">
        <f t="shared" si="933"/>
        <v>0.66999999999999982</v>
      </c>
      <c r="BS81" s="48">
        <f t="shared" si="933"/>
        <v>0.6499999999999998</v>
      </c>
      <c r="BT81" s="48">
        <f t="shared" si="933"/>
        <v>0.62999999999999978</v>
      </c>
      <c r="BU81" s="48">
        <f t="shared" si="933"/>
        <v>0.60999999999999976</v>
      </c>
      <c r="BV81" s="48">
        <f t="shared" si="933"/>
        <v>0.58999999999999975</v>
      </c>
      <c r="BW81" s="48">
        <f t="shared" si="933"/>
        <v>0.56999999999999973</v>
      </c>
      <c r="BY81" s="48">
        <f t="shared" si="88"/>
        <v>0</v>
      </c>
      <c r="BZ81" s="48">
        <f t="shared" si="89"/>
        <v>0</v>
      </c>
      <c r="CA81" s="51">
        <f t="shared" ref="CA81" si="934">+BZ81*3.3058</f>
        <v>0</v>
      </c>
      <c r="CB81" s="48">
        <f t="shared" si="761"/>
        <v>0</v>
      </c>
      <c r="CC81" s="51">
        <f t="shared" si="762"/>
        <v>0</v>
      </c>
      <c r="CD81" s="48">
        <f t="shared" si="763"/>
        <v>0</v>
      </c>
      <c r="CE81" s="51">
        <f t="shared" si="764"/>
        <v>0</v>
      </c>
      <c r="CF81" s="48">
        <f t="shared" si="765"/>
        <v>0</v>
      </c>
      <c r="CG81" s="51">
        <f t="shared" si="766"/>
        <v>0</v>
      </c>
      <c r="CH81" s="52">
        <f t="shared" si="767"/>
        <v>0</v>
      </c>
      <c r="CI81" s="51">
        <f t="shared" si="768"/>
        <v>0</v>
      </c>
      <c r="CJ81" s="48">
        <f t="shared" si="769"/>
        <v>0</v>
      </c>
      <c r="CK81" s="51">
        <f t="shared" si="770"/>
        <v>0</v>
      </c>
      <c r="CL81" s="52">
        <f t="shared" si="771"/>
        <v>0</v>
      </c>
      <c r="CM81" s="51">
        <f t="shared" si="772"/>
        <v>0</v>
      </c>
      <c r="CN81" s="53">
        <f t="shared" si="773"/>
        <v>0</v>
      </c>
      <c r="CO81" s="51">
        <f t="shared" si="774"/>
        <v>0</v>
      </c>
      <c r="CP81" s="52">
        <f t="shared" si="775"/>
        <v>0</v>
      </c>
      <c r="CQ81" s="51">
        <f t="shared" si="776"/>
        <v>0</v>
      </c>
      <c r="CR81" s="48">
        <f t="shared" si="777"/>
        <v>0</v>
      </c>
      <c r="CS81" s="51">
        <f t="shared" si="778"/>
        <v>0</v>
      </c>
      <c r="CT81" s="53">
        <f t="shared" si="779"/>
        <v>0</v>
      </c>
      <c r="CU81" s="51">
        <f t="shared" si="780"/>
        <v>0</v>
      </c>
      <c r="CV81" s="53">
        <f t="shared" si="781"/>
        <v>0</v>
      </c>
      <c r="CW81" s="51">
        <f t="shared" si="782"/>
        <v>0</v>
      </c>
      <c r="CX81" s="53">
        <f t="shared" si="783"/>
        <v>0</v>
      </c>
      <c r="CY81" s="51">
        <f t="shared" si="784"/>
        <v>0</v>
      </c>
      <c r="CZ81" s="48">
        <f t="shared" si="785"/>
        <v>0</v>
      </c>
      <c r="DA81" s="51">
        <f t="shared" si="786"/>
        <v>0</v>
      </c>
      <c r="DB81" s="53">
        <f t="shared" si="787"/>
        <v>0</v>
      </c>
      <c r="DC81" s="51">
        <f t="shared" si="788"/>
        <v>0</v>
      </c>
      <c r="DD81" s="53">
        <f t="shared" si="789"/>
        <v>0</v>
      </c>
      <c r="DE81" s="51">
        <f t="shared" si="790"/>
        <v>0</v>
      </c>
      <c r="DF81" s="53">
        <f t="shared" si="791"/>
        <v>0</v>
      </c>
      <c r="DG81" s="51">
        <f t="shared" si="792"/>
        <v>0</v>
      </c>
      <c r="DH81" s="53">
        <f t="shared" si="793"/>
        <v>0</v>
      </c>
      <c r="DI81" s="51">
        <f t="shared" si="794"/>
        <v>0</v>
      </c>
      <c r="DJ81" s="48">
        <f t="shared" si="795"/>
        <v>0</v>
      </c>
      <c r="DK81" s="51">
        <f t="shared" si="796"/>
        <v>0</v>
      </c>
      <c r="DL81" s="53">
        <f t="shared" si="797"/>
        <v>0</v>
      </c>
      <c r="DM81" s="51">
        <f t="shared" si="798"/>
        <v>0</v>
      </c>
      <c r="DN81" s="53">
        <f t="shared" si="799"/>
        <v>0</v>
      </c>
      <c r="DO81" s="51">
        <f t="shared" si="800"/>
        <v>0</v>
      </c>
      <c r="DP81" s="48">
        <f t="shared" si="801"/>
        <v>0</v>
      </c>
      <c r="DQ81" s="51">
        <f t="shared" si="802"/>
        <v>0</v>
      </c>
      <c r="DT81" s="48">
        <v>1</v>
      </c>
      <c r="DU81" s="48">
        <v>0.97</v>
      </c>
      <c r="DV81" s="48">
        <v>0.95</v>
      </c>
      <c r="DW81" s="48">
        <v>0.93</v>
      </c>
      <c r="DX81" s="48">
        <f t="shared" ref="DX81:EO81" si="935">+DW81-0.02</f>
        <v>0.91</v>
      </c>
      <c r="DY81" s="48">
        <f t="shared" si="935"/>
        <v>0.89</v>
      </c>
      <c r="DZ81" s="48">
        <f t="shared" si="935"/>
        <v>0.87</v>
      </c>
      <c r="EA81" s="48">
        <f t="shared" si="935"/>
        <v>0.85</v>
      </c>
      <c r="EB81" s="48">
        <f t="shared" si="935"/>
        <v>0.83</v>
      </c>
      <c r="EC81" s="48">
        <f t="shared" si="935"/>
        <v>0.80999999999999994</v>
      </c>
      <c r="ED81" s="48">
        <f t="shared" si="935"/>
        <v>0.78999999999999992</v>
      </c>
      <c r="EE81" s="48">
        <f t="shared" si="935"/>
        <v>0.76999999999999991</v>
      </c>
      <c r="EF81" s="48">
        <f t="shared" si="935"/>
        <v>0.74999999999999989</v>
      </c>
      <c r="EG81" s="48">
        <f t="shared" si="935"/>
        <v>0.72999999999999987</v>
      </c>
      <c r="EH81" s="48">
        <f t="shared" si="935"/>
        <v>0.70999999999999985</v>
      </c>
      <c r="EI81" s="48">
        <f t="shared" si="935"/>
        <v>0.68999999999999984</v>
      </c>
      <c r="EJ81" s="48">
        <f t="shared" si="935"/>
        <v>0.66999999999999982</v>
      </c>
      <c r="EK81" s="48">
        <f t="shared" si="935"/>
        <v>0.6499999999999998</v>
      </c>
      <c r="EL81" s="48">
        <f t="shared" si="935"/>
        <v>0.62999999999999978</v>
      </c>
      <c r="EM81" s="48">
        <f t="shared" si="935"/>
        <v>0.60999999999999976</v>
      </c>
      <c r="EN81" s="48">
        <f t="shared" si="935"/>
        <v>0.58999999999999975</v>
      </c>
      <c r="EO81" s="48">
        <f t="shared" si="935"/>
        <v>0.56999999999999973</v>
      </c>
      <c r="EQ81" s="48">
        <f t="shared" si="188"/>
        <v>0</v>
      </c>
      <c r="ER81" s="48">
        <f t="shared" si="116"/>
        <v>0</v>
      </c>
      <c r="ES81" s="51">
        <f t="shared" ref="ES81" si="936">+ER81*3.3058</f>
        <v>0</v>
      </c>
      <c r="ET81" s="48">
        <f t="shared" si="805"/>
        <v>0</v>
      </c>
      <c r="EU81" s="51">
        <f t="shared" si="806"/>
        <v>0</v>
      </c>
      <c r="EV81" s="48">
        <f t="shared" si="807"/>
        <v>0</v>
      </c>
      <c r="EW81" s="51">
        <f t="shared" si="808"/>
        <v>0</v>
      </c>
      <c r="EX81" s="48">
        <f t="shared" si="809"/>
        <v>0</v>
      </c>
      <c r="EY81" s="51">
        <f t="shared" si="810"/>
        <v>0</v>
      </c>
      <c r="EZ81" s="52">
        <f t="shared" si="811"/>
        <v>0</v>
      </c>
      <c r="FA81" s="51">
        <f t="shared" si="812"/>
        <v>0</v>
      </c>
      <c r="FB81" s="48">
        <f t="shared" si="813"/>
        <v>0</v>
      </c>
      <c r="FC81" s="51">
        <f t="shared" si="814"/>
        <v>0</v>
      </c>
      <c r="FD81" s="52">
        <f t="shared" si="815"/>
        <v>0</v>
      </c>
      <c r="FE81" s="51">
        <f t="shared" si="816"/>
        <v>0</v>
      </c>
      <c r="FF81" s="53">
        <f t="shared" si="817"/>
        <v>0</v>
      </c>
      <c r="FG81" s="51">
        <f t="shared" si="818"/>
        <v>0</v>
      </c>
      <c r="FH81" s="52">
        <f t="shared" si="819"/>
        <v>0</v>
      </c>
      <c r="FI81" s="51">
        <f t="shared" si="820"/>
        <v>0</v>
      </c>
      <c r="FJ81" s="48">
        <f t="shared" si="821"/>
        <v>0</v>
      </c>
      <c r="FK81" s="51">
        <f t="shared" si="822"/>
        <v>0</v>
      </c>
      <c r="FL81" s="53">
        <f t="shared" si="823"/>
        <v>0</v>
      </c>
      <c r="FM81" s="51">
        <f t="shared" si="824"/>
        <v>0</v>
      </c>
      <c r="FN81" s="53">
        <f t="shared" si="825"/>
        <v>0</v>
      </c>
      <c r="FO81" s="51">
        <f t="shared" si="826"/>
        <v>0</v>
      </c>
      <c r="FP81" s="53">
        <f t="shared" si="827"/>
        <v>0</v>
      </c>
      <c r="FQ81" s="51">
        <f t="shared" si="828"/>
        <v>0</v>
      </c>
      <c r="FR81" s="48">
        <f t="shared" si="829"/>
        <v>0</v>
      </c>
      <c r="FS81" s="51">
        <f t="shared" si="830"/>
        <v>0</v>
      </c>
      <c r="FT81" s="53">
        <f t="shared" si="831"/>
        <v>0</v>
      </c>
      <c r="FU81" s="51">
        <f t="shared" si="832"/>
        <v>0</v>
      </c>
      <c r="FV81" s="53">
        <f t="shared" si="833"/>
        <v>0</v>
      </c>
      <c r="FW81" s="51">
        <f t="shared" si="834"/>
        <v>0</v>
      </c>
      <c r="FX81" s="53">
        <f t="shared" si="835"/>
        <v>0</v>
      </c>
      <c r="FY81" s="51">
        <f t="shared" si="836"/>
        <v>0</v>
      </c>
      <c r="FZ81" s="53">
        <f t="shared" si="837"/>
        <v>0</v>
      </c>
      <c r="GA81" s="51">
        <f t="shared" si="838"/>
        <v>0</v>
      </c>
      <c r="GB81" s="48">
        <f t="shared" si="839"/>
        <v>0</v>
      </c>
      <c r="GC81" s="51">
        <f t="shared" si="840"/>
        <v>0</v>
      </c>
      <c r="GD81" s="53">
        <f t="shared" si="841"/>
        <v>0</v>
      </c>
      <c r="GE81" s="51">
        <f t="shared" si="842"/>
        <v>0</v>
      </c>
      <c r="GF81" s="53">
        <f t="shared" si="843"/>
        <v>0</v>
      </c>
      <c r="GG81" s="51">
        <f t="shared" si="844"/>
        <v>0</v>
      </c>
      <c r="GH81" s="48">
        <f t="shared" si="845"/>
        <v>0</v>
      </c>
      <c r="GI81" s="51">
        <f t="shared" si="846"/>
        <v>0</v>
      </c>
      <c r="GJ81" s="48"/>
      <c r="GK81" s="48"/>
      <c r="GL81" s="48">
        <v>1</v>
      </c>
      <c r="GM81" s="48">
        <v>0.97</v>
      </c>
      <c r="GN81" s="48">
        <v>0.95</v>
      </c>
      <c r="GO81" s="48">
        <v>0.93</v>
      </c>
      <c r="GP81" s="48">
        <f t="shared" ref="GP81:HG81" si="937">+GO81-0.02</f>
        <v>0.91</v>
      </c>
      <c r="GQ81" s="48">
        <f t="shared" si="937"/>
        <v>0.89</v>
      </c>
      <c r="GR81" s="48">
        <f t="shared" si="937"/>
        <v>0.87</v>
      </c>
      <c r="GS81" s="48">
        <f t="shared" si="937"/>
        <v>0.85</v>
      </c>
      <c r="GT81" s="48">
        <f t="shared" si="937"/>
        <v>0.83</v>
      </c>
      <c r="GU81" s="48">
        <f t="shared" si="937"/>
        <v>0.80999999999999994</v>
      </c>
      <c r="GV81" s="48">
        <f t="shared" si="937"/>
        <v>0.78999999999999992</v>
      </c>
      <c r="GW81" s="48">
        <f t="shared" si="937"/>
        <v>0.76999999999999991</v>
      </c>
      <c r="GX81" s="48">
        <f t="shared" si="937"/>
        <v>0.74999999999999989</v>
      </c>
      <c r="GY81" s="48">
        <f t="shared" si="937"/>
        <v>0.72999999999999987</v>
      </c>
      <c r="GZ81" s="48">
        <f t="shared" si="937"/>
        <v>0.70999999999999985</v>
      </c>
      <c r="HA81" s="48">
        <f t="shared" si="937"/>
        <v>0.68999999999999984</v>
      </c>
      <c r="HB81" s="48">
        <f t="shared" si="937"/>
        <v>0.66999999999999982</v>
      </c>
      <c r="HC81" s="48">
        <f t="shared" si="937"/>
        <v>0.6499999999999998</v>
      </c>
      <c r="HD81" s="48">
        <f t="shared" si="937"/>
        <v>0.62999999999999978</v>
      </c>
      <c r="HE81" s="48">
        <f t="shared" si="937"/>
        <v>0.60999999999999976</v>
      </c>
      <c r="HF81" s="48">
        <f t="shared" si="937"/>
        <v>0.58999999999999975</v>
      </c>
      <c r="HG81" s="48">
        <f t="shared" si="937"/>
        <v>0.56999999999999973</v>
      </c>
    </row>
    <row r="82" spans="1:215" x14ac:dyDescent="0.3">
      <c r="A82" s="2">
        <v>20</v>
      </c>
      <c r="C82" s="39" t="s">
        <v>151</v>
      </c>
      <c r="D82" s="44">
        <v>0</v>
      </c>
      <c r="E82" s="73">
        <f t="shared" si="716"/>
        <v>0</v>
      </c>
      <c r="G82" s="48">
        <f t="shared" si="61"/>
        <v>0</v>
      </c>
      <c r="H82" s="48">
        <f t="shared" si="62"/>
        <v>0</v>
      </c>
      <c r="I82" s="51">
        <f t="shared" si="63"/>
        <v>0</v>
      </c>
      <c r="J82" s="48">
        <f t="shared" si="717"/>
        <v>0</v>
      </c>
      <c r="K82" s="51">
        <f t="shared" si="718"/>
        <v>0</v>
      </c>
      <c r="L82" s="48">
        <f t="shared" si="719"/>
        <v>0</v>
      </c>
      <c r="M82" s="51">
        <f t="shared" si="720"/>
        <v>0</v>
      </c>
      <c r="N82" s="48">
        <f t="shared" si="721"/>
        <v>0</v>
      </c>
      <c r="O82" s="51">
        <f t="shared" si="722"/>
        <v>0</v>
      </c>
      <c r="P82" s="52">
        <f t="shared" si="723"/>
        <v>0</v>
      </c>
      <c r="Q82" s="51">
        <f t="shared" si="724"/>
        <v>0</v>
      </c>
      <c r="R82" s="48">
        <f t="shared" si="725"/>
        <v>0</v>
      </c>
      <c r="S82" s="51">
        <f t="shared" si="726"/>
        <v>0</v>
      </c>
      <c r="T82" s="52">
        <f t="shared" si="727"/>
        <v>0</v>
      </c>
      <c r="U82" s="51">
        <f t="shared" si="728"/>
        <v>0</v>
      </c>
      <c r="V82" s="53">
        <f t="shared" si="729"/>
        <v>0</v>
      </c>
      <c r="W82" s="51">
        <f t="shared" si="730"/>
        <v>0</v>
      </c>
      <c r="X82" s="52">
        <f t="shared" si="731"/>
        <v>0</v>
      </c>
      <c r="Y82" s="51">
        <f t="shared" si="732"/>
        <v>0</v>
      </c>
      <c r="Z82" s="48">
        <f t="shared" si="733"/>
        <v>0</v>
      </c>
      <c r="AA82" s="51">
        <f t="shared" si="734"/>
        <v>0</v>
      </c>
      <c r="AB82" s="53">
        <f t="shared" si="735"/>
        <v>0</v>
      </c>
      <c r="AC82" s="51">
        <f t="shared" si="736"/>
        <v>0</v>
      </c>
      <c r="AD82" s="53">
        <f t="shared" si="737"/>
        <v>0</v>
      </c>
      <c r="AE82" s="51">
        <f t="shared" si="738"/>
        <v>0</v>
      </c>
      <c r="AF82" s="53">
        <f t="shared" si="739"/>
        <v>0</v>
      </c>
      <c r="AG82" s="51">
        <f t="shared" si="740"/>
        <v>0</v>
      </c>
      <c r="AH82" s="48">
        <f t="shared" si="741"/>
        <v>0</v>
      </c>
      <c r="AI82" s="51">
        <f t="shared" si="742"/>
        <v>0</v>
      </c>
      <c r="AJ82" s="53">
        <f t="shared" si="743"/>
        <v>0</v>
      </c>
      <c r="AK82" s="51">
        <f t="shared" si="744"/>
        <v>0</v>
      </c>
      <c r="AL82" s="53">
        <f t="shared" si="745"/>
        <v>0</v>
      </c>
      <c r="AM82" s="51">
        <f t="shared" si="746"/>
        <v>0</v>
      </c>
      <c r="AN82" s="53">
        <f t="shared" si="747"/>
        <v>0</v>
      </c>
      <c r="AO82" s="51">
        <f t="shared" si="748"/>
        <v>0</v>
      </c>
      <c r="AP82" s="53">
        <f t="shared" si="749"/>
        <v>0</v>
      </c>
      <c r="AQ82" s="51">
        <f t="shared" si="750"/>
        <v>0</v>
      </c>
      <c r="AR82" s="48">
        <f t="shared" si="751"/>
        <v>0</v>
      </c>
      <c r="AS82" s="51">
        <f t="shared" si="752"/>
        <v>0</v>
      </c>
      <c r="AT82" s="53">
        <f t="shared" si="753"/>
        <v>0</v>
      </c>
      <c r="AU82" s="51">
        <f t="shared" si="754"/>
        <v>0</v>
      </c>
      <c r="AV82" s="53">
        <f t="shared" si="755"/>
        <v>0</v>
      </c>
      <c r="AW82" s="51">
        <f t="shared" si="756"/>
        <v>0</v>
      </c>
      <c r="AX82" s="48">
        <f t="shared" si="757"/>
        <v>0</v>
      </c>
      <c r="AY82" s="51">
        <f t="shared" si="758"/>
        <v>0</v>
      </c>
      <c r="BB82" s="48">
        <v>1</v>
      </c>
      <c r="BC82" s="48">
        <v>0.97</v>
      </c>
      <c r="BD82" s="48">
        <v>0.95</v>
      </c>
      <c r="BE82" s="48">
        <v>0.93</v>
      </c>
      <c r="BF82" s="48">
        <f t="shared" ref="BF82:BW82" si="938">+BE82-0.02</f>
        <v>0.91</v>
      </c>
      <c r="BG82" s="48">
        <f t="shared" si="938"/>
        <v>0.89</v>
      </c>
      <c r="BH82" s="48">
        <f t="shared" si="938"/>
        <v>0.87</v>
      </c>
      <c r="BI82" s="48">
        <f t="shared" si="938"/>
        <v>0.85</v>
      </c>
      <c r="BJ82" s="48">
        <f t="shared" si="938"/>
        <v>0.83</v>
      </c>
      <c r="BK82" s="48">
        <f t="shared" si="938"/>
        <v>0.80999999999999994</v>
      </c>
      <c r="BL82" s="48">
        <f t="shared" si="938"/>
        <v>0.78999999999999992</v>
      </c>
      <c r="BM82" s="48">
        <f t="shared" si="938"/>
        <v>0.76999999999999991</v>
      </c>
      <c r="BN82" s="48">
        <f t="shared" si="938"/>
        <v>0.74999999999999989</v>
      </c>
      <c r="BO82" s="48">
        <f t="shared" si="938"/>
        <v>0.72999999999999987</v>
      </c>
      <c r="BP82" s="48">
        <f t="shared" si="938"/>
        <v>0.70999999999999985</v>
      </c>
      <c r="BQ82" s="48">
        <f t="shared" si="938"/>
        <v>0.68999999999999984</v>
      </c>
      <c r="BR82" s="48">
        <f t="shared" si="938"/>
        <v>0.66999999999999982</v>
      </c>
      <c r="BS82" s="48">
        <f t="shared" si="938"/>
        <v>0.6499999999999998</v>
      </c>
      <c r="BT82" s="48">
        <f t="shared" si="938"/>
        <v>0.62999999999999978</v>
      </c>
      <c r="BU82" s="48">
        <f t="shared" si="938"/>
        <v>0.60999999999999976</v>
      </c>
      <c r="BV82" s="48">
        <f t="shared" si="938"/>
        <v>0.58999999999999975</v>
      </c>
      <c r="BW82" s="48">
        <f t="shared" si="938"/>
        <v>0.56999999999999973</v>
      </c>
      <c r="BY82" s="48">
        <f t="shared" si="88"/>
        <v>0</v>
      </c>
      <c r="BZ82" s="48">
        <f t="shared" si="89"/>
        <v>0</v>
      </c>
      <c r="CA82" s="51">
        <f t="shared" ref="CA82" si="939">+BZ82*3.3058</f>
        <v>0</v>
      </c>
      <c r="CB82" s="48">
        <f t="shared" si="761"/>
        <v>0</v>
      </c>
      <c r="CC82" s="51">
        <f t="shared" si="762"/>
        <v>0</v>
      </c>
      <c r="CD82" s="48">
        <f t="shared" si="763"/>
        <v>0</v>
      </c>
      <c r="CE82" s="51">
        <f t="shared" si="764"/>
        <v>0</v>
      </c>
      <c r="CF82" s="48">
        <f t="shared" si="765"/>
        <v>0</v>
      </c>
      <c r="CG82" s="51">
        <f t="shared" si="766"/>
        <v>0</v>
      </c>
      <c r="CH82" s="52">
        <f t="shared" si="767"/>
        <v>0</v>
      </c>
      <c r="CI82" s="51">
        <f t="shared" si="768"/>
        <v>0</v>
      </c>
      <c r="CJ82" s="48">
        <f t="shared" si="769"/>
        <v>0</v>
      </c>
      <c r="CK82" s="51">
        <f t="shared" si="770"/>
        <v>0</v>
      </c>
      <c r="CL82" s="52">
        <f t="shared" si="771"/>
        <v>0</v>
      </c>
      <c r="CM82" s="51">
        <f t="shared" si="772"/>
        <v>0</v>
      </c>
      <c r="CN82" s="53">
        <f t="shared" si="773"/>
        <v>0</v>
      </c>
      <c r="CO82" s="51">
        <f t="shared" si="774"/>
        <v>0</v>
      </c>
      <c r="CP82" s="52">
        <f t="shared" si="775"/>
        <v>0</v>
      </c>
      <c r="CQ82" s="51">
        <f t="shared" si="776"/>
        <v>0</v>
      </c>
      <c r="CR82" s="48">
        <f t="shared" si="777"/>
        <v>0</v>
      </c>
      <c r="CS82" s="51">
        <f t="shared" si="778"/>
        <v>0</v>
      </c>
      <c r="CT82" s="53">
        <f t="shared" si="779"/>
        <v>0</v>
      </c>
      <c r="CU82" s="51">
        <f t="shared" si="780"/>
        <v>0</v>
      </c>
      <c r="CV82" s="53">
        <f t="shared" si="781"/>
        <v>0</v>
      </c>
      <c r="CW82" s="51">
        <f t="shared" si="782"/>
        <v>0</v>
      </c>
      <c r="CX82" s="53">
        <f t="shared" si="783"/>
        <v>0</v>
      </c>
      <c r="CY82" s="51">
        <f t="shared" si="784"/>
        <v>0</v>
      </c>
      <c r="CZ82" s="48">
        <f t="shared" si="785"/>
        <v>0</v>
      </c>
      <c r="DA82" s="51">
        <f t="shared" si="786"/>
        <v>0</v>
      </c>
      <c r="DB82" s="53">
        <f t="shared" si="787"/>
        <v>0</v>
      </c>
      <c r="DC82" s="51">
        <f t="shared" si="788"/>
        <v>0</v>
      </c>
      <c r="DD82" s="53">
        <f t="shared" si="789"/>
        <v>0</v>
      </c>
      <c r="DE82" s="51">
        <f t="shared" si="790"/>
        <v>0</v>
      </c>
      <c r="DF82" s="53">
        <f t="shared" si="791"/>
        <v>0</v>
      </c>
      <c r="DG82" s="51">
        <f t="shared" si="792"/>
        <v>0</v>
      </c>
      <c r="DH82" s="53">
        <f t="shared" si="793"/>
        <v>0</v>
      </c>
      <c r="DI82" s="51">
        <f t="shared" si="794"/>
        <v>0</v>
      </c>
      <c r="DJ82" s="48">
        <f t="shared" si="795"/>
        <v>0</v>
      </c>
      <c r="DK82" s="51">
        <f t="shared" si="796"/>
        <v>0</v>
      </c>
      <c r="DL82" s="53">
        <f t="shared" si="797"/>
        <v>0</v>
      </c>
      <c r="DM82" s="51">
        <f t="shared" si="798"/>
        <v>0</v>
      </c>
      <c r="DN82" s="53">
        <f t="shared" si="799"/>
        <v>0</v>
      </c>
      <c r="DO82" s="51">
        <f t="shared" si="800"/>
        <v>0</v>
      </c>
      <c r="DP82" s="48">
        <f t="shared" si="801"/>
        <v>0</v>
      </c>
      <c r="DQ82" s="51">
        <f t="shared" si="802"/>
        <v>0</v>
      </c>
      <c r="DT82" s="48">
        <v>1</v>
      </c>
      <c r="DU82" s="48">
        <v>0.97</v>
      </c>
      <c r="DV82" s="48">
        <v>0.95</v>
      </c>
      <c r="DW82" s="48">
        <v>0.93</v>
      </c>
      <c r="DX82" s="48">
        <f t="shared" ref="DX82:EO82" si="940">+DW82-0.02</f>
        <v>0.91</v>
      </c>
      <c r="DY82" s="48">
        <f t="shared" si="940"/>
        <v>0.89</v>
      </c>
      <c r="DZ82" s="48">
        <f t="shared" si="940"/>
        <v>0.87</v>
      </c>
      <c r="EA82" s="48">
        <f t="shared" si="940"/>
        <v>0.85</v>
      </c>
      <c r="EB82" s="48">
        <f t="shared" si="940"/>
        <v>0.83</v>
      </c>
      <c r="EC82" s="48">
        <f t="shared" si="940"/>
        <v>0.80999999999999994</v>
      </c>
      <c r="ED82" s="48">
        <f t="shared" si="940"/>
        <v>0.78999999999999992</v>
      </c>
      <c r="EE82" s="48">
        <f t="shared" si="940"/>
        <v>0.76999999999999991</v>
      </c>
      <c r="EF82" s="48">
        <f t="shared" si="940"/>
        <v>0.74999999999999989</v>
      </c>
      <c r="EG82" s="48">
        <f t="shared" si="940"/>
        <v>0.72999999999999987</v>
      </c>
      <c r="EH82" s="48">
        <f t="shared" si="940"/>
        <v>0.70999999999999985</v>
      </c>
      <c r="EI82" s="48">
        <f t="shared" si="940"/>
        <v>0.68999999999999984</v>
      </c>
      <c r="EJ82" s="48">
        <f t="shared" si="940"/>
        <v>0.66999999999999982</v>
      </c>
      <c r="EK82" s="48">
        <f t="shared" si="940"/>
        <v>0.6499999999999998</v>
      </c>
      <c r="EL82" s="48">
        <f t="shared" si="940"/>
        <v>0.62999999999999978</v>
      </c>
      <c r="EM82" s="48">
        <f t="shared" si="940"/>
        <v>0.60999999999999976</v>
      </c>
      <c r="EN82" s="48">
        <f t="shared" si="940"/>
        <v>0.58999999999999975</v>
      </c>
      <c r="EO82" s="48">
        <f t="shared" si="940"/>
        <v>0.56999999999999973</v>
      </c>
      <c r="EQ82" s="48">
        <f t="shared" si="188"/>
        <v>0</v>
      </c>
      <c r="ER82" s="48">
        <f t="shared" si="116"/>
        <v>0</v>
      </c>
      <c r="ES82" s="51">
        <f t="shared" ref="ES82" si="941">+ER82*3.3058</f>
        <v>0</v>
      </c>
      <c r="ET82" s="48">
        <f t="shared" si="805"/>
        <v>0</v>
      </c>
      <c r="EU82" s="51">
        <f t="shared" si="806"/>
        <v>0</v>
      </c>
      <c r="EV82" s="48">
        <f t="shared" si="807"/>
        <v>0</v>
      </c>
      <c r="EW82" s="51">
        <f t="shared" si="808"/>
        <v>0</v>
      </c>
      <c r="EX82" s="48">
        <f t="shared" si="809"/>
        <v>0</v>
      </c>
      <c r="EY82" s="51">
        <f t="shared" si="810"/>
        <v>0</v>
      </c>
      <c r="EZ82" s="52">
        <f t="shared" si="811"/>
        <v>0</v>
      </c>
      <c r="FA82" s="51">
        <f t="shared" si="812"/>
        <v>0</v>
      </c>
      <c r="FB82" s="48">
        <f t="shared" si="813"/>
        <v>0</v>
      </c>
      <c r="FC82" s="51">
        <f t="shared" si="814"/>
        <v>0</v>
      </c>
      <c r="FD82" s="52">
        <f t="shared" si="815"/>
        <v>0</v>
      </c>
      <c r="FE82" s="51">
        <f t="shared" si="816"/>
        <v>0</v>
      </c>
      <c r="FF82" s="53">
        <f t="shared" si="817"/>
        <v>0</v>
      </c>
      <c r="FG82" s="51">
        <f t="shared" si="818"/>
        <v>0</v>
      </c>
      <c r="FH82" s="52">
        <f t="shared" si="819"/>
        <v>0</v>
      </c>
      <c r="FI82" s="51">
        <f t="shared" si="820"/>
        <v>0</v>
      </c>
      <c r="FJ82" s="48">
        <f t="shared" si="821"/>
        <v>0</v>
      </c>
      <c r="FK82" s="51">
        <f t="shared" si="822"/>
        <v>0</v>
      </c>
      <c r="FL82" s="53">
        <f t="shared" si="823"/>
        <v>0</v>
      </c>
      <c r="FM82" s="51">
        <f t="shared" si="824"/>
        <v>0</v>
      </c>
      <c r="FN82" s="53">
        <f t="shared" si="825"/>
        <v>0</v>
      </c>
      <c r="FO82" s="51">
        <f t="shared" si="826"/>
        <v>0</v>
      </c>
      <c r="FP82" s="53">
        <f t="shared" si="827"/>
        <v>0</v>
      </c>
      <c r="FQ82" s="51">
        <f t="shared" si="828"/>
        <v>0</v>
      </c>
      <c r="FR82" s="48">
        <f t="shared" si="829"/>
        <v>0</v>
      </c>
      <c r="FS82" s="51">
        <f t="shared" si="830"/>
        <v>0</v>
      </c>
      <c r="FT82" s="53">
        <f t="shared" si="831"/>
        <v>0</v>
      </c>
      <c r="FU82" s="51">
        <f t="shared" si="832"/>
        <v>0</v>
      </c>
      <c r="FV82" s="53">
        <f t="shared" si="833"/>
        <v>0</v>
      </c>
      <c r="FW82" s="51">
        <f t="shared" si="834"/>
        <v>0</v>
      </c>
      <c r="FX82" s="53">
        <f t="shared" si="835"/>
        <v>0</v>
      </c>
      <c r="FY82" s="51">
        <f t="shared" si="836"/>
        <v>0</v>
      </c>
      <c r="FZ82" s="53">
        <f t="shared" si="837"/>
        <v>0</v>
      </c>
      <c r="GA82" s="51">
        <f t="shared" si="838"/>
        <v>0</v>
      </c>
      <c r="GB82" s="48">
        <f t="shared" si="839"/>
        <v>0</v>
      </c>
      <c r="GC82" s="51">
        <f t="shared" si="840"/>
        <v>0</v>
      </c>
      <c r="GD82" s="53">
        <f t="shared" si="841"/>
        <v>0</v>
      </c>
      <c r="GE82" s="51">
        <f t="shared" si="842"/>
        <v>0</v>
      </c>
      <c r="GF82" s="53">
        <f t="shared" si="843"/>
        <v>0</v>
      </c>
      <c r="GG82" s="51">
        <f t="shared" si="844"/>
        <v>0</v>
      </c>
      <c r="GH82" s="48">
        <f t="shared" si="845"/>
        <v>0</v>
      </c>
      <c r="GI82" s="51">
        <f t="shared" si="846"/>
        <v>0</v>
      </c>
      <c r="GJ82" s="48"/>
      <c r="GK82" s="48"/>
      <c r="GL82" s="48">
        <v>1</v>
      </c>
      <c r="GM82" s="48">
        <v>0.97</v>
      </c>
      <c r="GN82" s="48">
        <v>0.95</v>
      </c>
      <c r="GO82" s="48">
        <v>0.93</v>
      </c>
      <c r="GP82" s="48">
        <f t="shared" ref="GP82:HG82" si="942">+GO82-0.02</f>
        <v>0.91</v>
      </c>
      <c r="GQ82" s="48">
        <f t="shared" si="942"/>
        <v>0.89</v>
      </c>
      <c r="GR82" s="48">
        <f t="shared" si="942"/>
        <v>0.87</v>
      </c>
      <c r="GS82" s="48">
        <f t="shared" si="942"/>
        <v>0.85</v>
      </c>
      <c r="GT82" s="48">
        <f t="shared" si="942"/>
        <v>0.83</v>
      </c>
      <c r="GU82" s="48">
        <f t="shared" si="942"/>
        <v>0.80999999999999994</v>
      </c>
      <c r="GV82" s="48">
        <f t="shared" si="942"/>
        <v>0.78999999999999992</v>
      </c>
      <c r="GW82" s="48">
        <f t="shared" si="942"/>
        <v>0.76999999999999991</v>
      </c>
      <c r="GX82" s="48">
        <f t="shared" si="942"/>
        <v>0.74999999999999989</v>
      </c>
      <c r="GY82" s="48">
        <f t="shared" si="942"/>
        <v>0.72999999999999987</v>
      </c>
      <c r="GZ82" s="48">
        <f t="shared" si="942"/>
        <v>0.70999999999999985</v>
      </c>
      <c r="HA82" s="48">
        <f t="shared" si="942"/>
        <v>0.68999999999999984</v>
      </c>
      <c r="HB82" s="48">
        <f t="shared" si="942"/>
        <v>0.66999999999999982</v>
      </c>
      <c r="HC82" s="48">
        <f t="shared" si="942"/>
        <v>0.6499999999999998</v>
      </c>
      <c r="HD82" s="48">
        <f t="shared" si="942"/>
        <v>0.62999999999999978</v>
      </c>
      <c r="HE82" s="48">
        <f t="shared" si="942"/>
        <v>0.60999999999999976</v>
      </c>
      <c r="HF82" s="48">
        <f t="shared" si="942"/>
        <v>0.58999999999999975</v>
      </c>
      <c r="HG82" s="48">
        <f t="shared" si="942"/>
        <v>0.56999999999999973</v>
      </c>
    </row>
    <row r="83" spans="1:215" x14ac:dyDescent="0.3">
      <c r="A83" s="2">
        <v>21</v>
      </c>
      <c r="C83" s="39" t="s">
        <v>152</v>
      </c>
      <c r="D83" s="44">
        <v>0</v>
      </c>
      <c r="E83" s="73">
        <f t="shared" si="716"/>
        <v>0</v>
      </c>
      <c r="G83" s="48">
        <f t="shared" si="61"/>
        <v>0</v>
      </c>
      <c r="H83" s="48">
        <f t="shared" si="62"/>
        <v>0</v>
      </c>
      <c r="I83" s="51">
        <f t="shared" si="63"/>
        <v>0</v>
      </c>
      <c r="J83" s="48">
        <f t="shared" si="717"/>
        <v>0</v>
      </c>
      <c r="K83" s="51">
        <f t="shared" si="718"/>
        <v>0</v>
      </c>
      <c r="L83" s="48">
        <f t="shared" si="719"/>
        <v>0</v>
      </c>
      <c r="M83" s="51">
        <f t="shared" si="720"/>
        <v>0</v>
      </c>
      <c r="N83" s="48">
        <f t="shared" si="721"/>
        <v>0</v>
      </c>
      <c r="O83" s="51">
        <f t="shared" si="722"/>
        <v>0</v>
      </c>
      <c r="P83" s="52">
        <f t="shared" si="723"/>
        <v>0</v>
      </c>
      <c r="Q83" s="51">
        <f t="shared" si="724"/>
        <v>0</v>
      </c>
      <c r="R83" s="48">
        <f t="shared" si="725"/>
        <v>0</v>
      </c>
      <c r="S83" s="51">
        <f t="shared" si="726"/>
        <v>0</v>
      </c>
      <c r="T83" s="52">
        <f t="shared" si="727"/>
        <v>0</v>
      </c>
      <c r="U83" s="51">
        <f t="shared" si="728"/>
        <v>0</v>
      </c>
      <c r="V83" s="53">
        <f t="shared" si="729"/>
        <v>0</v>
      </c>
      <c r="W83" s="51">
        <f t="shared" si="730"/>
        <v>0</v>
      </c>
      <c r="X83" s="52">
        <f t="shared" si="731"/>
        <v>0</v>
      </c>
      <c r="Y83" s="51">
        <f t="shared" si="732"/>
        <v>0</v>
      </c>
      <c r="Z83" s="48">
        <f t="shared" si="733"/>
        <v>0</v>
      </c>
      <c r="AA83" s="51">
        <f t="shared" si="734"/>
        <v>0</v>
      </c>
      <c r="AB83" s="53">
        <f t="shared" si="735"/>
        <v>0</v>
      </c>
      <c r="AC83" s="51">
        <f t="shared" si="736"/>
        <v>0</v>
      </c>
      <c r="AD83" s="53">
        <f t="shared" si="737"/>
        <v>0</v>
      </c>
      <c r="AE83" s="51">
        <f t="shared" si="738"/>
        <v>0</v>
      </c>
      <c r="AF83" s="53">
        <f t="shared" si="739"/>
        <v>0</v>
      </c>
      <c r="AG83" s="51">
        <f t="shared" si="740"/>
        <v>0</v>
      </c>
      <c r="AH83" s="48">
        <f t="shared" si="741"/>
        <v>0</v>
      </c>
      <c r="AI83" s="51">
        <f t="shared" si="742"/>
        <v>0</v>
      </c>
      <c r="AJ83" s="53">
        <f t="shared" si="743"/>
        <v>0</v>
      </c>
      <c r="AK83" s="51">
        <f t="shared" si="744"/>
        <v>0</v>
      </c>
      <c r="AL83" s="53">
        <f t="shared" si="745"/>
        <v>0</v>
      </c>
      <c r="AM83" s="51">
        <f t="shared" si="746"/>
        <v>0</v>
      </c>
      <c r="AN83" s="53">
        <f t="shared" si="747"/>
        <v>0</v>
      </c>
      <c r="AO83" s="51">
        <f t="shared" si="748"/>
        <v>0</v>
      </c>
      <c r="AP83" s="53">
        <f t="shared" si="749"/>
        <v>0</v>
      </c>
      <c r="AQ83" s="51">
        <f t="shared" si="750"/>
        <v>0</v>
      </c>
      <c r="AR83" s="48">
        <f t="shared" si="751"/>
        <v>0</v>
      </c>
      <c r="AS83" s="51">
        <f t="shared" si="752"/>
        <v>0</v>
      </c>
      <c r="AT83" s="53">
        <f t="shared" si="753"/>
        <v>0</v>
      </c>
      <c r="AU83" s="51">
        <f t="shared" si="754"/>
        <v>0</v>
      </c>
      <c r="AV83" s="53">
        <f t="shared" si="755"/>
        <v>0</v>
      </c>
      <c r="AW83" s="51">
        <f t="shared" si="756"/>
        <v>0</v>
      </c>
      <c r="AX83" s="48">
        <f t="shared" si="757"/>
        <v>0</v>
      </c>
      <c r="AY83" s="51">
        <f t="shared" si="758"/>
        <v>0</v>
      </c>
      <c r="BB83" s="48">
        <v>1</v>
      </c>
      <c r="BC83" s="48">
        <v>0.97</v>
      </c>
      <c r="BD83" s="48">
        <v>0.95</v>
      </c>
      <c r="BE83" s="48">
        <v>0.93</v>
      </c>
      <c r="BF83" s="48">
        <f t="shared" ref="BF83:BW83" si="943">+BE83-0.02</f>
        <v>0.91</v>
      </c>
      <c r="BG83" s="48">
        <f t="shared" si="943"/>
        <v>0.89</v>
      </c>
      <c r="BH83" s="48">
        <f t="shared" si="943"/>
        <v>0.87</v>
      </c>
      <c r="BI83" s="48">
        <f t="shared" si="943"/>
        <v>0.85</v>
      </c>
      <c r="BJ83" s="48">
        <f t="shared" si="943"/>
        <v>0.83</v>
      </c>
      <c r="BK83" s="48">
        <f t="shared" si="943"/>
        <v>0.80999999999999994</v>
      </c>
      <c r="BL83" s="48">
        <f t="shared" si="943"/>
        <v>0.78999999999999992</v>
      </c>
      <c r="BM83" s="48">
        <f t="shared" si="943"/>
        <v>0.76999999999999991</v>
      </c>
      <c r="BN83" s="48">
        <f t="shared" si="943"/>
        <v>0.74999999999999989</v>
      </c>
      <c r="BO83" s="48">
        <f t="shared" si="943"/>
        <v>0.72999999999999987</v>
      </c>
      <c r="BP83" s="48">
        <f t="shared" si="943"/>
        <v>0.70999999999999985</v>
      </c>
      <c r="BQ83" s="48">
        <f t="shared" si="943"/>
        <v>0.68999999999999984</v>
      </c>
      <c r="BR83" s="48">
        <f t="shared" si="943"/>
        <v>0.66999999999999982</v>
      </c>
      <c r="BS83" s="48">
        <f t="shared" si="943"/>
        <v>0.6499999999999998</v>
      </c>
      <c r="BT83" s="48">
        <f t="shared" si="943"/>
        <v>0.62999999999999978</v>
      </c>
      <c r="BU83" s="48">
        <f t="shared" si="943"/>
        <v>0.60999999999999976</v>
      </c>
      <c r="BV83" s="48">
        <f t="shared" si="943"/>
        <v>0.58999999999999975</v>
      </c>
      <c r="BW83" s="48">
        <f t="shared" si="943"/>
        <v>0.56999999999999973</v>
      </c>
      <c r="BY83" s="48">
        <f t="shared" si="88"/>
        <v>0</v>
      </c>
      <c r="BZ83" s="48">
        <f t="shared" si="89"/>
        <v>0</v>
      </c>
      <c r="CA83" s="51">
        <f t="shared" ref="CA83" si="944">+BZ83*3.3058</f>
        <v>0</v>
      </c>
      <c r="CB83" s="48">
        <f t="shared" si="761"/>
        <v>0</v>
      </c>
      <c r="CC83" s="51">
        <f t="shared" si="762"/>
        <v>0</v>
      </c>
      <c r="CD83" s="48">
        <f t="shared" si="763"/>
        <v>0</v>
      </c>
      <c r="CE83" s="51">
        <f t="shared" si="764"/>
        <v>0</v>
      </c>
      <c r="CF83" s="48">
        <f t="shared" si="765"/>
        <v>0</v>
      </c>
      <c r="CG83" s="51">
        <f t="shared" si="766"/>
        <v>0</v>
      </c>
      <c r="CH83" s="52">
        <f t="shared" si="767"/>
        <v>0</v>
      </c>
      <c r="CI83" s="51">
        <f t="shared" si="768"/>
        <v>0</v>
      </c>
      <c r="CJ83" s="48">
        <f t="shared" si="769"/>
        <v>0</v>
      </c>
      <c r="CK83" s="51">
        <f t="shared" si="770"/>
        <v>0</v>
      </c>
      <c r="CL83" s="52">
        <f t="shared" si="771"/>
        <v>0</v>
      </c>
      <c r="CM83" s="51">
        <f t="shared" si="772"/>
        <v>0</v>
      </c>
      <c r="CN83" s="53">
        <f t="shared" si="773"/>
        <v>0</v>
      </c>
      <c r="CO83" s="51">
        <f t="shared" si="774"/>
        <v>0</v>
      </c>
      <c r="CP83" s="52">
        <f t="shared" si="775"/>
        <v>0</v>
      </c>
      <c r="CQ83" s="51">
        <f t="shared" si="776"/>
        <v>0</v>
      </c>
      <c r="CR83" s="48">
        <f t="shared" si="777"/>
        <v>0</v>
      </c>
      <c r="CS83" s="51">
        <f t="shared" si="778"/>
        <v>0</v>
      </c>
      <c r="CT83" s="53">
        <f t="shared" si="779"/>
        <v>0</v>
      </c>
      <c r="CU83" s="51">
        <f t="shared" si="780"/>
        <v>0</v>
      </c>
      <c r="CV83" s="53">
        <f t="shared" si="781"/>
        <v>0</v>
      </c>
      <c r="CW83" s="51">
        <f t="shared" si="782"/>
        <v>0</v>
      </c>
      <c r="CX83" s="53">
        <f t="shared" si="783"/>
        <v>0</v>
      </c>
      <c r="CY83" s="51">
        <f t="shared" si="784"/>
        <v>0</v>
      </c>
      <c r="CZ83" s="48">
        <f t="shared" si="785"/>
        <v>0</v>
      </c>
      <c r="DA83" s="51">
        <f t="shared" si="786"/>
        <v>0</v>
      </c>
      <c r="DB83" s="53">
        <f t="shared" si="787"/>
        <v>0</v>
      </c>
      <c r="DC83" s="51">
        <f t="shared" si="788"/>
        <v>0</v>
      </c>
      <c r="DD83" s="53">
        <f t="shared" si="789"/>
        <v>0</v>
      </c>
      <c r="DE83" s="51">
        <f t="shared" si="790"/>
        <v>0</v>
      </c>
      <c r="DF83" s="53">
        <f t="shared" si="791"/>
        <v>0</v>
      </c>
      <c r="DG83" s="51">
        <f t="shared" si="792"/>
        <v>0</v>
      </c>
      <c r="DH83" s="53">
        <f t="shared" si="793"/>
        <v>0</v>
      </c>
      <c r="DI83" s="51">
        <f t="shared" si="794"/>
        <v>0</v>
      </c>
      <c r="DJ83" s="48">
        <f t="shared" si="795"/>
        <v>0</v>
      </c>
      <c r="DK83" s="51">
        <f t="shared" si="796"/>
        <v>0</v>
      </c>
      <c r="DL83" s="53">
        <f t="shared" si="797"/>
        <v>0</v>
      </c>
      <c r="DM83" s="51">
        <f t="shared" si="798"/>
        <v>0</v>
      </c>
      <c r="DN83" s="53">
        <f t="shared" si="799"/>
        <v>0</v>
      </c>
      <c r="DO83" s="51">
        <f t="shared" si="800"/>
        <v>0</v>
      </c>
      <c r="DP83" s="48">
        <f t="shared" si="801"/>
        <v>0</v>
      </c>
      <c r="DQ83" s="51">
        <f t="shared" si="802"/>
        <v>0</v>
      </c>
      <c r="DT83" s="48">
        <v>1</v>
      </c>
      <c r="DU83" s="48">
        <v>0.97</v>
      </c>
      <c r="DV83" s="48">
        <v>0.95</v>
      </c>
      <c r="DW83" s="48">
        <v>0.93</v>
      </c>
      <c r="DX83" s="48">
        <f t="shared" ref="DX83:EO83" si="945">+DW83-0.02</f>
        <v>0.91</v>
      </c>
      <c r="DY83" s="48">
        <f t="shared" si="945"/>
        <v>0.89</v>
      </c>
      <c r="DZ83" s="48">
        <f t="shared" si="945"/>
        <v>0.87</v>
      </c>
      <c r="EA83" s="48">
        <f t="shared" si="945"/>
        <v>0.85</v>
      </c>
      <c r="EB83" s="48">
        <f t="shared" si="945"/>
        <v>0.83</v>
      </c>
      <c r="EC83" s="48">
        <f t="shared" si="945"/>
        <v>0.80999999999999994</v>
      </c>
      <c r="ED83" s="48">
        <f t="shared" si="945"/>
        <v>0.78999999999999992</v>
      </c>
      <c r="EE83" s="48">
        <f t="shared" si="945"/>
        <v>0.76999999999999991</v>
      </c>
      <c r="EF83" s="48">
        <f t="shared" si="945"/>
        <v>0.74999999999999989</v>
      </c>
      <c r="EG83" s="48">
        <f t="shared" si="945"/>
        <v>0.72999999999999987</v>
      </c>
      <c r="EH83" s="48">
        <f t="shared" si="945"/>
        <v>0.70999999999999985</v>
      </c>
      <c r="EI83" s="48">
        <f t="shared" si="945"/>
        <v>0.68999999999999984</v>
      </c>
      <c r="EJ83" s="48">
        <f t="shared" si="945"/>
        <v>0.66999999999999982</v>
      </c>
      <c r="EK83" s="48">
        <f t="shared" si="945"/>
        <v>0.6499999999999998</v>
      </c>
      <c r="EL83" s="48">
        <f t="shared" si="945"/>
        <v>0.62999999999999978</v>
      </c>
      <c r="EM83" s="48">
        <f t="shared" si="945"/>
        <v>0.60999999999999976</v>
      </c>
      <c r="EN83" s="48">
        <f t="shared" si="945"/>
        <v>0.58999999999999975</v>
      </c>
      <c r="EO83" s="48">
        <f t="shared" si="945"/>
        <v>0.56999999999999973</v>
      </c>
      <c r="EQ83" s="48">
        <f t="shared" si="188"/>
        <v>0</v>
      </c>
      <c r="ER83" s="48">
        <f t="shared" si="116"/>
        <v>0</v>
      </c>
      <c r="ES83" s="51">
        <f t="shared" ref="ES83" si="946">+ER83*3.3058</f>
        <v>0</v>
      </c>
      <c r="ET83" s="48">
        <f t="shared" si="805"/>
        <v>0</v>
      </c>
      <c r="EU83" s="51">
        <f t="shared" si="806"/>
        <v>0</v>
      </c>
      <c r="EV83" s="48">
        <f t="shared" si="807"/>
        <v>0</v>
      </c>
      <c r="EW83" s="51">
        <f t="shared" si="808"/>
        <v>0</v>
      </c>
      <c r="EX83" s="48">
        <f t="shared" si="809"/>
        <v>0</v>
      </c>
      <c r="EY83" s="51">
        <f t="shared" si="810"/>
        <v>0</v>
      </c>
      <c r="EZ83" s="52">
        <f t="shared" si="811"/>
        <v>0</v>
      </c>
      <c r="FA83" s="51">
        <f t="shared" si="812"/>
        <v>0</v>
      </c>
      <c r="FB83" s="48">
        <f t="shared" si="813"/>
        <v>0</v>
      </c>
      <c r="FC83" s="51">
        <f t="shared" si="814"/>
        <v>0</v>
      </c>
      <c r="FD83" s="52">
        <f t="shared" si="815"/>
        <v>0</v>
      </c>
      <c r="FE83" s="51">
        <f t="shared" si="816"/>
        <v>0</v>
      </c>
      <c r="FF83" s="53">
        <f t="shared" si="817"/>
        <v>0</v>
      </c>
      <c r="FG83" s="51">
        <f t="shared" si="818"/>
        <v>0</v>
      </c>
      <c r="FH83" s="52">
        <f t="shared" si="819"/>
        <v>0</v>
      </c>
      <c r="FI83" s="51">
        <f t="shared" si="820"/>
        <v>0</v>
      </c>
      <c r="FJ83" s="48">
        <f t="shared" si="821"/>
        <v>0</v>
      </c>
      <c r="FK83" s="51">
        <f t="shared" si="822"/>
        <v>0</v>
      </c>
      <c r="FL83" s="53">
        <f t="shared" si="823"/>
        <v>0</v>
      </c>
      <c r="FM83" s="51">
        <f t="shared" si="824"/>
        <v>0</v>
      </c>
      <c r="FN83" s="53">
        <f t="shared" si="825"/>
        <v>0</v>
      </c>
      <c r="FO83" s="51">
        <f t="shared" si="826"/>
        <v>0</v>
      </c>
      <c r="FP83" s="53">
        <f t="shared" si="827"/>
        <v>0</v>
      </c>
      <c r="FQ83" s="51">
        <f t="shared" si="828"/>
        <v>0</v>
      </c>
      <c r="FR83" s="48">
        <f t="shared" si="829"/>
        <v>0</v>
      </c>
      <c r="FS83" s="51">
        <f t="shared" si="830"/>
        <v>0</v>
      </c>
      <c r="FT83" s="53">
        <f t="shared" si="831"/>
        <v>0</v>
      </c>
      <c r="FU83" s="51">
        <f t="shared" si="832"/>
        <v>0</v>
      </c>
      <c r="FV83" s="53">
        <f t="shared" si="833"/>
        <v>0</v>
      </c>
      <c r="FW83" s="51">
        <f t="shared" si="834"/>
        <v>0</v>
      </c>
      <c r="FX83" s="53">
        <f t="shared" si="835"/>
        <v>0</v>
      </c>
      <c r="FY83" s="51">
        <f t="shared" si="836"/>
        <v>0</v>
      </c>
      <c r="FZ83" s="53">
        <f t="shared" si="837"/>
        <v>0</v>
      </c>
      <c r="GA83" s="51">
        <f t="shared" si="838"/>
        <v>0</v>
      </c>
      <c r="GB83" s="48">
        <f t="shared" si="839"/>
        <v>0</v>
      </c>
      <c r="GC83" s="51">
        <f t="shared" si="840"/>
        <v>0</v>
      </c>
      <c r="GD83" s="53">
        <f t="shared" si="841"/>
        <v>0</v>
      </c>
      <c r="GE83" s="51">
        <f t="shared" si="842"/>
        <v>0</v>
      </c>
      <c r="GF83" s="53">
        <f t="shared" si="843"/>
        <v>0</v>
      </c>
      <c r="GG83" s="51">
        <f t="shared" si="844"/>
        <v>0</v>
      </c>
      <c r="GH83" s="48">
        <f t="shared" si="845"/>
        <v>0</v>
      </c>
      <c r="GI83" s="51">
        <f t="shared" si="846"/>
        <v>0</v>
      </c>
      <c r="GJ83" s="48"/>
      <c r="GK83" s="48"/>
      <c r="GL83" s="48">
        <v>1</v>
      </c>
      <c r="GM83" s="48">
        <v>0.97</v>
      </c>
      <c r="GN83" s="48">
        <v>0.95</v>
      </c>
      <c r="GO83" s="48">
        <v>0.93</v>
      </c>
      <c r="GP83" s="48">
        <f t="shared" ref="GP83:HG83" si="947">+GO83-0.02</f>
        <v>0.91</v>
      </c>
      <c r="GQ83" s="48">
        <f t="shared" si="947"/>
        <v>0.89</v>
      </c>
      <c r="GR83" s="48">
        <f t="shared" si="947"/>
        <v>0.87</v>
      </c>
      <c r="GS83" s="48">
        <f t="shared" si="947"/>
        <v>0.85</v>
      </c>
      <c r="GT83" s="48">
        <f t="shared" si="947"/>
        <v>0.83</v>
      </c>
      <c r="GU83" s="48">
        <f t="shared" si="947"/>
        <v>0.80999999999999994</v>
      </c>
      <c r="GV83" s="48">
        <f t="shared" si="947"/>
        <v>0.78999999999999992</v>
      </c>
      <c r="GW83" s="48">
        <f t="shared" si="947"/>
        <v>0.76999999999999991</v>
      </c>
      <c r="GX83" s="48">
        <f t="shared" si="947"/>
        <v>0.74999999999999989</v>
      </c>
      <c r="GY83" s="48">
        <f t="shared" si="947"/>
        <v>0.72999999999999987</v>
      </c>
      <c r="GZ83" s="48">
        <f t="shared" si="947"/>
        <v>0.70999999999999985</v>
      </c>
      <c r="HA83" s="48">
        <f t="shared" si="947"/>
        <v>0.68999999999999984</v>
      </c>
      <c r="HB83" s="48">
        <f t="shared" si="947"/>
        <v>0.66999999999999982</v>
      </c>
      <c r="HC83" s="48">
        <f t="shared" si="947"/>
        <v>0.6499999999999998</v>
      </c>
      <c r="HD83" s="48">
        <f t="shared" si="947"/>
        <v>0.62999999999999978</v>
      </c>
      <c r="HE83" s="48">
        <f t="shared" si="947"/>
        <v>0.60999999999999976</v>
      </c>
      <c r="HF83" s="48">
        <f t="shared" si="947"/>
        <v>0.58999999999999975</v>
      </c>
      <c r="HG83" s="48">
        <f t="shared" si="947"/>
        <v>0.56999999999999973</v>
      </c>
    </row>
    <row r="84" spans="1:215" x14ac:dyDescent="0.3">
      <c r="A84" s="2">
        <v>22</v>
      </c>
      <c r="C84" s="39" t="s">
        <v>153</v>
      </c>
      <c r="D84" s="44">
        <f>TRUNC(3601.42708127635,-1)</f>
        <v>3600</v>
      </c>
      <c r="E84" s="73">
        <f t="shared" si="716"/>
        <v>11900</v>
      </c>
      <c r="G84" s="48">
        <f t="shared" ref="G84:G147" si="948">+D84*1.1</f>
        <v>3960.0000000000005</v>
      </c>
      <c r="H84" s="48">
        <f t="shared" ref="H84:H147" si="949">+G84</f>
        <v>3960.0000000000005</v>
      </c>
      <c r="I84" s="51">
        <f t="shared" ref="I84:I147" si="950">+H84*3.3058</f>
        <v>13090.968000000003</v>
      </c>
      <c r="J84" s="48">
        <f t="shared" si="717"/>
        <v>3841.2000000000003</v>
      </c>
      <c r="K84" s="51">
        <f t="shared" si="718"/>
        <v>12698.238960000001</v>
      </c>
      <c r="L84" s="48">
        <f t="shared" si="719"/>
        <v>3762.0000000000005</v>
      </c>
      <c r="M84" s="51">
        <f t="shared" si="720"/>
        <v>12436.419600000001</v>
      </c>
      <c r="N84" s="48">
        <f t="shared" si="721"/>
        <v>3682.8000000000006</v>
      </c>
      <c r="O84" s="51">
        <f t="shared" si="722"/>
        <v>12174.600240000002</v>
      </c>
      <c r="P84" s="52">
        <f t="shared" si="723"/>
        <v>3603.6000000000004</v>
      </c>
      <c r="Q84" s="51">
        <f t="shared" si="724"/>
        <v>11912.780880000002</v>
      </c>
      <c r="R84" s="48">
        <f t="shared" si="725"/>
        <v>3524.4000000000005</v>
      </c>
      <c r="S84" s="51">
        <f t="shared" si="726"/>
        <v>11650.961520000003</v>
      </c>
      <c r="T84" s="52">
        <f t="shared" si="727"/>
        <v>3445.2000000000003</v>
      </c>
      <c r="U84" s="51">
        <f t="shared" si="728"/>
        <v>11389.142160000001</v>
      </c>
      <c r="V84" s="53">
        <f t="shared" si="729"/>
        <v>3366.0000000000005</v>
      </c>
      <c r="W84" s="51">
        <f t="shared" si="730"/>
        <v>11127.322800000002</v>
      </c>
      <c r="X84" s="52">
        <f t="shared" si="731"/>
        <v>3286.8</v>
      </c>
      <c r="Y84" s="51">
        <f t="shared" si="732"/>
        <v>10865.50344</v>
      </c>
      <c r="Z84" s="48">
        <f t="shared" si="733"/>
        <v>3207.6000000000004</v>
      </c>
      <c r="AA84" s="51">
        <f t="shared" si="734"/>
        <v>10603.684080000001</v>
      </c>
      <c r="AB84" s="53">
        <f t="shared" si="735"/>
        <v>3128.4</v>
      </c>
      <c r="AC84" s="51">
        <f t="shared" si="736"/>
        <v>10341.864720000001</v>
      </c>
      <c r="AD84" s="53">
        <f t="shared" si="737"/>
        <v>3049.2</v>
      </c>
      <c r="AE84" s="51">
        <f t="shared" si="738"/>
        <v>10080.04536</v>
      </c>
      <c r="AF84" s="53">
        <f t="shared" si="739"/>
        <v>2970</v>
      </c>
      <c r="AG84" s="51">
        <f t="shared" si="740"/>
        <v>9818.2260000000006</v>
      </c>
      <c r="AH84" s="48">
        <f t="shared" si="741"/>
        <v>2890.7999999999997</v>
      </c>
      <c r="AI84" s="51">
        <f t="shared" si="742"/>
        <v>9556.4066399999992</v>
      </c>
      <c r="AJ84" s="53">
        <f t="shared" si="743"/>
        <v>2811.6</v>
      </c>
      <c r="AK84" s="51">
        <f t="shared" si="744"/>
        <v>9294.5872799999997</v>
      </c>
      <c r="AL84" s="53">
        <f t="shared" si="745"/>
        <v>2732.3999999999996</v>
      </c>
      <c r="AM84" s="51">
        <f t="shared" si="746"/>
        <v>9032.7679199999984</v>
      </c>
      <c r="AN84" s="53">
        <f t="shared" si="747"/>
        <v>2653.1999999999994</v>
      </c>
      <c r="AO84" s="51">
        <f t="shared" si="748"/>
        <v>8770.9485599999989</v>
      </c>
      <c r="AP84" s="53">
        <f t="shared" si="749"/>
        <v>2573.9999999999995</v>
      </c>
      <c r="AQ84" s="51">
        <f t="shared" si="750"/>
        <v>8509.1291999999994</v>
      </c>
      <c r="AR84" s="48">
        <f t="shared" si="751"/>
        <v>2494.7999999999993</v>
      </c>
      <c r="AS84" s="51">
        <f t="shared" si="752"/>
        <v>8247.3098399999981</v>
      </c>
      <c r="AT84" s="53">
        <f t="shared" si="753"/>
        <v>2415.5999999999995</v>
      </c>
      <c r="AU84" s="51">
        <f t="shared" si="754"/>
        <v>7985.4904799999986</v>
      </c>
      <c r="AV84" s="53">
        <f t="shared" si="755"/>
        <v>2336.3999999999992</v>
      </c>
      <c r="AW84" s="51">
        <f t="shared" si="756"/>
        <v>7723.6711199999972</v>
      </c>
      <c r="AX84" s="48">
        <f t="shared" si="757"/>
        <v>2257.1999999999994</v>
      </c>
      <c r="AY84" s="51">
        <f t="shared" si="758"/>
        <v>7461.8517599999977</v>
      </c>
      <c r="BB84" s="48">
        <v>1</v>
      </c>
      <c r="BC84" s="48">
        <v>0.97</v>
      </c>
      <c r="BD84" s="48">
        <v>0.95</v>
      </c>
      <c r="BE84" s="48">
        <v>0.93</v>
      </c>
      <c r="BF84" s="48">
        <f t="shared" ref="BF84:BW84" si="951">+BE84-0.02</f>
        <v>0.91</v>
      </c>
      <c r="BG84" s="48">
        <f t="shared" si="951"/>
        <v>0.89</v>
      </c>
      <c r="BH84" s="48">
        <f t="shared" si="951"/>
        <v>0.87</v>
      </c>
      <c r="BI84" s="48">
        <f t="shared" si="951"/>
        <v>0.85</v>
      </c>
      <c r="BJ84" s="48">
        <f t="shared" si="951"/>
        <v>0.83</v>
      </c>
      <c r="BK84" s="48">
        <f t="shared" si="951"/>
        <v>0.80999999999999994</v>
      </c>
      <c r="BL84" s="48">
        <f t="shared" si="951"/>
        <v>0.78999999999999992</v>
      </c>
      <c r="BM84" s="48">
        <f t="shared" si="951"/>
        <v>0.76999999999999991</v>
      </c>
      <c r="BN84" s="48">
        <f t="shared" si="951"/>
        <v>0.74999999999999989</v>
      </c>
      <c r="BO84" s="48">
        <f t="shared" si="951"/>
        <v>0.72999999999999987</v>
      </c>
      <c r="BP84" s="48">
        <f t="shared" si="951"/>
        <v>0.70999999999999985</v>
      </c>
      <c r="BQ84" s="48">
        <f t="shared" si="951"/>
        <v>0.68999999999999984</v>
      </c>
      <c r="BR84" s="48">
        <f t="shared" si="951"/>
        <v>0.66999999999999982</v>
      </c>
      <c r="BS84" s="48">
        <f t="shared" si="951"/>
        <v>0.6499999999999998</v>
      </c>
      <c r="BT84" s="48">
        <f t="shared" si="951"/>
        <v>0.62999999999999978</v>
      </c>
      <c r="BU84" s="48">
        <f t="shared" si="951"/>
        <v>0.60999999999999976</v>
      </c>
      <c r="BV84" s="48">
        <f t="shared" si="951"/>
        <v>0.58999999999999975</v>
      </c>
      <c r="BW84" s="48">
        <f t="shared" si="951"/>
        <v>0.56999999999999973</v>
      </c>
      <c r="BY84" s="48">
        <f t="shared" ref="BY84:BY147" si="952">+G84*0.91</f>
        <v>3603.6000000000004</v>
      </c>
      <c r="BZ84" s="48">
        <f t="shared" ref="BZ84:BZ147" si="953">+BY84</f>
        <v>3603.6000000000004</v>
      </c>
      <c r="CA84" s="51">
        <f t="shared" ref="CA84" si="954">+BZ84*3.3058</f>
        <v>11912.780880000002</v>
      </c>
      <c r="CB84" s="48">
        <f t="shared" si="761"/>
        <v>3495.4920000000002</v>
      </c>
      <c r="CC84" s="51">
        <f t="shared" si="762"/>
        <v>11555.397453600001</v>
      </c>
      <c r="CD84" s="48">
        <f t="shared" si="763"/>
        <v>3423.42</v>
      </c>
      <c r="CE84" s="51">
        <f t="shared" si="764"/>
        <v>11317.141836000001</v>
      </c>
      <c r="CF84" s="48">
        <f t="shared" si="765"/>
        <v>3351.3480000000004</v>
      </c>
      <c r="CG84" s="51">
        <f t="shared" si="766"/>
        <v>11078.886218400001</v>
      </c>
      <c r="CH84" s="52">
        <f t="shared" si="767"/>
        <v>3279.2760000000003</v>
      </c>
      <c r="CI84" s="51">
        <f t="shared" si="768"/>
        <v>10840.630600800001</v>
      </c>
      <c r="CJ84" s="48">
        <f t="shared" si="769"/>
        <v>3207.2040000000002</v>
      </c>
      <c r="CK84" s="51">
        <f t="shared" si="770"/>
        <v>10602.374983200001</v>
      </c>
      <c r="CL84" s="52">
        <f t="shared" si="771"/>
        <v>3135.1320000000005</v>
      </c>
      <c r="CM84" s="51">
        <f t="shared" si="772"/>
        <v>10364.119365600001</v>
      </c>
      <c r="CN84" s="53">
        <f t="shared" si="773"/>
        <v>3063.0600000000004</v>
      </c>
      <c r="CO84" s="51">
        <f t="shared" si="774"/>
        <v>10125.863748000002</v>
      </c>
      <c r="CP84" s="52">
        <f t="shared" si="775"/>
        <v>2990.9880000000003</v>
      </c>
      <c r="CQ84" s="51">
        <f t="shared" si="776"/>
        <v>9887.6081304000018</v>
      </c>
      <c r="CR84" s="48">
        <f t="shared" si="777"/>
        <v>2918.9160000000002</v>
      </c>
      <c r="CS84" s="51">
        <f t="shared" si="778"/>
        <v>9649.3525128000001</v>
      </c>
      <c r="CT84" s="53">
        <f t="shared" si="779"/>
        <v>2846.8440000000001</v>
      </c>
      <c r="CU84" s="51">
        <f t="shared" si="780"/>
        <v>9411.0968952000003</v>
      </c>
      <c r="CV84" s="53">
        <f t="shared" si="781"/>
        <v>2774.7719999999999</v>
      </c>
      <c r="CW84" s="51">
        <f t="shared" si="782"/>
        <v>9172.8412776000005</v>
      </c>
      <c r="CX84" s="53">
        <f t="shared" si="783"/>
        <v>2702.7</v>
      </c>
      <c r="CY84" s="51">
        <f t="shared" si="784"/>
        <v>8934.5856599999988</v>
      </c>
      <c r="CZ84" s="48">
        <f t="shared" si="785"/>
        <v>2630.6279999999997</v>
      </c>
      <c r="DA84" s="51">
        <f t="shared" si="786"/>
        <v>8696.330042399999</v>
      </c>
      <c r="DB84" s="53">
        <f t="shared" si="787"/>
        <v>2558.5559999999996</v>
      </c>
      <c r="DC84" s="51">
        <f t="shared" si="788"/>
        <v>8458.0744247999992</v>
      </c>
      <c r="DD84" s="53">
        <f t="shared" si="789"/>
        <v>2486.4839999999995</v>
      </c>
      <c r="DE84" s="51">
        <f t="shared" si="790"/>
        <v>8219.8188071999975</v>
      </c>
      <c r="DF84" s="53">
        <f t="shared" si="791"/>
        <v>2414.4119999999998</v>
      </c>
      <c r="DG84" s="51">
        <f t="shared" si="792"/>
        <v>7981.5631895999995</v>
      </c>
      <c r="DH84" s="53">
        <f t="shared" si="793"/>
        <v>2342.3399999999997</v>
      </c>
      <c r="DI84" s="51">
        <f t="shared" si="794"/>
        <v>7743.3075719999988</v>
      </c>
      <c r="DJ84" s="48">
        <f t="shared" si="795"/>
        <v>2270.2679999999996</v>
      </c>
      <c r="DK84" s="51">
        <f t="shared" si="796"/>
        <v>7505.051954399999</v>
      </c>
      <c r="DL84" s="53">
        <f t="shared" si="797"/>
        <v>2198.1959999999995</v>
      </c>
      <c r="DM84" s="51">
        <f t="shared" si="798"/>
        <v>7266.7963367999982</v>
      </c>
      <c r="DN84" s="53">
        <f t="shared" si="799"/>
        <v>2126.1239999999993</v>
      </c>
      <c r="DO84" s="51">
        <f t="shared" si="800"/>
        <v>7028.5407191999984</v>
      </c>
      <c r="DP84" s="48">
        <f t="shared" si="801"/>
        <v>2054.0519999999992</v>
      </c>
      <c r="DQ84" s="51">
        <f t="shared" si="802"/>
        <v>6790.2851015999977</v>
      </c>
      <c r="DT84" s="48">
        <v>1</v>
      </c>
      <c r="DU84" s="48">
        <v>0.97</v>
      </c>
      <c r="DV84" s="48">
        <v>0.95</v>
      </c>
      <c r="DW84" s="48">
        <v>0.93</v>
      </c>
      <c r="DX84" s="48">
        <f t="shared" ref="DX84:EO84" si="955">+DW84-0.02</f>
        <v>0.91</v>
      </c>
      <c r="DY84" s="48">
        <f t="shared" si="955"/>
        <v>0.89</v>
      </c>
      <c r="DZ84" s="48">
        <f t="shared" si="955"/>
        <v>0.87</v>
      </c>
      <c r="EA84" s="48">
        <f t="shared" si="955"/>
        <v>0.85</v>
      </c>
      <c r="EB84" s="48">
        <f t="shared" si="955"/>
        <v>0.83</v>
      </c>
      <c r="EC84" s="48">
        <f t="shared" si="955"/>
        <v>0.80999999999999994</v>
      </c>
      <c r="ED84" s="48">
        <f t="shared" si="955"/>
        <v>0.78999999999999992</v>
      </c>
      <c r="EE84" s="48">
        <f t="shared" si="955"/>
        <v>0.76999999999999991</v>
      </c>
      <c r="EF84" s="48">
        <f t="shared" si="955"/>
        <v>0.74999999999999989</v>
      </c>
      <c r="EG84" s="48">
        <f t="shared" si="955"/>
        <v>0.72999999999999987</v>
      </c>
      <c r="EH84" s="48">
        <f t="shared" si="955"/>
        <v>0.70999999999999985</v>
      </c>
      <c r="EI84" s="48">
        <f t="shared" si="955"/>
        <v>0.68999999999999984</v>
      </c>
      <c r="EJ84" s="48">
        <f t="shared" si="955"/>
        <v>0.66999999999999982</v>
      </c>
      <c r="EK84" s="48">
        <f t="shared" si="955"/>
        <v>0.6499999999999998</v>
      </c>
      <c r="EL84" s="48">
        <f t="shared" si="955"/>
        <v>0.62999999999999978</v>
      </c>
      <c r="EM84" s="48">
        <f t="shared" si="955"/>
        <v>0.60999999999999976</v>
      </c>
      <c r="EN84" s="48">
        <f t="shared" si="955"/>
        <v>0.58999999999999975</v>
      </c>
      <c r="EO84" s="48">
        <f t="shared" si="955"/>
        <v>0.56999999999999973</v>
      </c>
      <c r="EQ84" s="48">
        <f t="shared" si="188"/>
        <v>3279.2760000000003</v>
      </c>
      <c r="ER84" s="48">
        <f t="shared" ref="ER84:ER147" si="956">+EQ84</f>
        <v>3279.2760000000003</v>
      </c>
      <c r="ES84" s="51">
        <f t="shared" ref="ES84" si="957">+ER84*3.3058</f>
        <v>10840.630600800001</v>
      </c>
      <c r="ET84" s="48">
        <f t="shared" si="805"/>
        <v>3180.8977200000004</v>
      </c>
      <c r="EU84" s="51">
        <f t="shared" si="806"/>
        <v>10515.411682776001</v>
      </c>
      <c r="EV84" s="48">
        <f t="shared" si="807"/>
        <v>3115.3122000000003</v>
      </c>
      <c r="EW84" s="51">
        <f t="shared" si="808"/>
        <v>10298.599070760001</v>
      </c>
      <c r="EX84" s="48">
        <f t="shared" si="809"/>
        <v>3049.7266800000002</v>
      </c>
      <c r="EY84" s="51">
        <f t="shared" si="810"/>
        <v>10081.786458744002</v>
      </c>
      <c r="EZ84" s="52">
        <f t="shared" si="811"/>
        <v>2984.1411600000006</v>
      </c>
      <c r="FA84" s="51">
        <f t="shared" si="812"/>
        <v>9864.9738467280022</v>
      </c>
      <c r="FB84" s="48">
        <f t="shared" si="813"/>
        <v>2918.5556400000005</v>
      </c>
      <c r="FC84" s="51">
        <f t="shared" si="814"/>
        <v>9648.1612347120026</v>
      </c>
      <c r="FD84" s="52">
        <f t="shared" si="815"/>
        <v>2852.9701200000004</v>
      </c>
      <c r="FE84" s="51">
        <f t="shared" si="816"/>
        <v>9431.3486226960013</v>
      </c>
      <c r="FF84" s="53">
        <f t="shared" si="817"/>
        <v>2787.3846000000003</v>
      </c>
      <c r="FG84" s="51">
        <f t="shared" si="818"/>
        <v>9214.5360106800017</v>
      </c>
      <c r="FH84" s="52">
        <f t="shared" si="819"/>
        <v>2721.7990800000002</v>
      </c>
      <c r="FI84" s="51">
        <f t="shared" si="820"/>
        <v>8997.7233986640003</v>
      </c>
      <c r="FJ84" s="48">
        <f t="shared" si="821"/>
        <v>2656.2135600000001</v>
      </c>
      <c r="FK84" s="51">
        <f t="shared" si="822"/>
        <v>8780.9107866480008</v>
      </c>
      <c r="FL84" s="53">
        <f t="shared" si="823"/>
        <v>2590.6280400000001</v>
      </c>
      <c r="FM84" s="51">
        <f t="shared" si="824"/>
        <v>8564.0981746320012</v>
      </c>
      <c r="FN84" s="53">
        <f t="shared" si="825"/>
        <v>2525.04252</v>
      </c>
      <c r="FO84" s="51">
        <f t="shared" si="826"/>
        <v>8347.2855626159999</v>
      </c>
      <c r="FP84" s="53">
        <f t="shared" si="827"/>
        <v>2459.4569999999999</v>
      </c>
      <c r="FQ84" s="51">
        <f t="shared" si="828"/>
        <v>8130.4729505999994</v>
      </c>
      <c r="FR84" s="48">
        <f t="shared" si="829"/>
        <v>2393.8714799999998</v>
      </c>
      <c r="FS84" s="51">
        <f t="shared" si="830"/>
        <v>7913.6603385839999</v>
      </c>
      <c r="FT84" s="53">
        <f t="shared" si="831"/>
        <v>2328.2859599999997</v>
      </c>
      <c r="FU84" s="51">
        <f t="shared" si="832"/>
        <v>7696.8477265679994</v>
      </c>
      <c r="FV84" s="53">
        <f t="shared" si="833"/>
        <v>2262.7004399999996</v>
      </c>
      <c r="FW84" s="51">
        <f t="shared" si="834"/>
        <v>7480.035114551999</v>
      </c>
      <c r="FX84" s="53">
        <f t="shared" si="835"/>
        <v>2197.1149199999995</v>
      </c>
      <c r="FY84" s="51">
        <f t="shared" si="836"/>
        <v>7263.2225025359985</v>
      </c>
      <c r="FZ84" s="53">
        <f t="shared" si="837"/>
        <v>2131.5293999999994</v>
      </c>
      <c r="GA84" s="51">
        <f t="shared" si="838"/>
        <v>7046.409890519998</v>
      </c>
      <c r="GB84" s="48">
        <f t="shared" si="839"/>
        <v>2065.9438799999994</v>
      </c>
      <c r="GC84" s="51">
        <f t="shared" si="840"/>
        <v>6829.5972785039976</v>
      </c>
      <c r="GD84" s="53">
        <f t="shared" si="841"/>
        <v>2000.3583599999995</v>
      </c>
      <c r="GE84" s="51">
        <f t="shared" si="842"/>
        <v>6612.784666487998</v>
      </c>
      <c r="GF84" s="53">
        <f t="shared" si="843"/>
        <v>1934.7728399999994</v>
      </c>
      <c r="GG84" s="51">
        <f t="shared" si="844"/>
        <v>6395.9720544719985</v>
      </c>
      <c r="GH84" s="48">
        <f t="shared" si="845"/>
        <v>1869.1873199999993</v>
      </c>
      <c r="GI84" s="51">
        <f t="shared" si="846"/>
        <v>6179.159442455998</v>
      </c>
      <c r="GJ84" s="48"/>
      <c r="GK84" s="48"/>
      <c r="GL84" s="48">
        <v>1</v>
      </c>
      <c r="GM84" s="48">
        <v>0.97</v>
      </c>
      <c r="GN84" s="48">
        <v>0.95</v>
      </c>
      <c r="GO84" s="48">
        <v>0.93</v>
      </c>
      <c r="GP84" s="48">
        <f t="shared" ref="GP84:HG84" si="958">+GO84-0.02</f>
        <v>0.91</v>
      </c>
      <c r="GQ84" s="48">
        <f t="shared" si="958"/>
        <v>0.89</v>
      </c>
      <c r="GR84" s="48">
        <f t="shared" si="958"/>
        <v>0.87</v>
      </c>
      <c r="GS84" s="48">
        <f t="shared" si="958"/>
        <v>0.85</v>
      </c>
      <c r="GT84" s="48">
        <f t="shared" si="958"/>
        <v>0.83</v>
      </c>
      <c r="GU84" s="48">
        <f t="shared" si="958"/>
        <v>0.80999999999999994</v>
      </c>
      <c r="GV84" s="48">
        <f t="shared" si="958"/>
        <v>0.78999999999999992</v>
      </c>
      <c r="GW84" s="48">
        <f t="shared" si="958"/>
        <v>0.76999999999999991</v>
      </c>
      <c r="GX84" s="48">
        <f t="shared" si="958"/>
        <v>0.74999999999999989</v>
      </c>
      <c r="GY84" s="48">
        <f t="shared" si="958"/>
        <v>0.72999999999999987</v>
      </c>
      <c r="GZ84" s="48">
        <f t="shared" si="958"/>
        <v>0.70999999999999985</v>
      </c>
      <c r="HA84" s="48">
        <f t="shared" si="958"/>
        <v>0.68999999999999984</v>
      </c>
      <c r="HB84" s="48">
        <f t="shared" si="958"/>
        <v>0.66999999999999982</v>
      </c>
      <c r="HC84" s="48">
        <f t="shared" si="958"/>
        <v>0.6499999999999998</v>
      </c>
      <c r="HD84" s="48">
        <f t="shared" si="958"/>
        <v>0.62999999999999978</v>
      </c>
      <c r="HE84" s="48">
        <f t="shared" si="958"/>
        <v>0.60999999999999976</v>
      </c>
      <c r="HF84" s="48">
        <f t="shared" si="958"/>
        <v>0.58999999999999975</v>
      </c>
      <c r="HG84" s="48">
        <f t="shared" si="958"/>
        <v>0.56999999999999973</v>
      </c>
    </row>
    <row r="85" spans="1:215" x14ac:dyDescent="0.3">
      <c r="A85" s="2">
        <v>23</v>
      </c>
      <c r="C85" s="39" t="s">
        <v>154</v>
      </c>
      <c r="D85" s="44">
        <v>0</v>
      </c>
      <c r="E85" s="73">
        <f t="shared" si="716"/>
        <v>0</v>
      </c>
      <c r="G85" s="48">
        <f t="shared" si="948"/>
        <v>0</v>
      </c>
      <c r="H85" s="48">
        <f t="shared" si="949"/>
        <v>0</v>
      </c>
      <c r="I85" s="51">
        <f t="shared" si="950"/>
        <v>0</v>
      </c>
      <c r="J85" s="48">
        <f t="shared" si="717"/>
        <v>0</v>
      </c>
      <c r="K85" s="51">
        <f t="shared" si="718"/>
        <v>0</v>
      </c>
      <c r="L85" s="48">
        <f t="shared" si="719"/>
        <v>0</v>
      </c>
      <c r="M85" s="51">
        <f t="shared" si="720"/>
        <v>0</v>
      </c>
      <c r="N85" s="48">
        <f t="shared" si="721"/>
        <v>0</v>
      </c>
      <c r="O85" s="51">
        <f t="shared" si="722"/>
        <v>0</v>
      </c>
      <c r="P85" s="52">
        <f t="shared" si="723"/>
        <v>0</v>
      </c>
      <c r="Q85" s="51">
        <f t="shared" si="724"/>
        <v>0</v>
      </c>
      <c r="R85" s="48">
        <f t="shared" si="725"/>
        <v>0</v>
      </c>
      <c r="S85" s="51">
        <f t="shared" si="726"/>
        <v>0</v>
      </c>
      <c r="T85" s="52">
        <f t="shared" si="727"/>
        <v>0</v>
      </c>
      <c r="U85" s="51">
        <f t="shared" si="728"/>
        <v>0</v>
      </c>
      <c r="V85" s="53">
        <f t="shared" si="729"/>
        <v>0</v>
      </c>
      <c r="W85" s="51">
        <f t="shared" si="730"/>
        <v>0</v>
      </c>
      <c r="X85" s="52">
        <f t="shared" si="731"/>
        <v>0</v>
      </c>
      <c r="Y85" s="51">
        <f t="shared" si="732"/>
        <v>0</v>
      </c>
      <c r="Z85" s="48">
        <f t="shared" si="733"/>
        <v>0</v>
      </c>
      <c r="AA85" s="51">
        <f t="shared" si="734"/>
        <v>0</v>
      </c>
      <c r="AB85" s="53">
        <f t="shared" si="735"/>
        <v>0</v>
      </c>
      <c r="AC85" s="51">
        <f t="shared" si="736"/>
        <v>0</v>
      </c>
      <c r="AD85" s="53">
        <f t="shared" si="737"/>
        <v>0</v>
      </c>
      <c r="AE85" s="51">
        <f t="shared" si="738"/>
        <v>0</v>
      </c>
      <c r="AF85" s="53">
        <f t="shared" si="739"/>
        <v>0</v>
      </c>
      <c r="AG85" s="51">
        <f t="shared" si="740"/>
        <v>0</v>
      </c>
      <c r="AH85" s="48">
        <f t="shared" si="741"/>
        <v>0</v>
      </c>
      <c r="AI85" s="51">
        <f t="shared" si="742"/>
        <v>0</v>
      </c>
      <c r="AJ85" s="53">
        <f t="shared" si="743"/>
        <v>0</v>
      </c>
      <c r="AK85" s="51">
        <f t="shared" si="744"/>
        <v>0</v>
      </c>
      <c r="AL85" s="53">
        <f t="shared" si="745"/>
        <v>0</v>
      </c>
      <c r="AM85" s="51">
        <f t="shared" si="746"/>
        <v>0</v>
      </c>
      <c r="AN85" s="53">
        <f t="shared" si="747"/>
        <v>0</v>
      </c>
      <c r="AO85" s="51">
        <f t="shared" si="748"/>
        <v>0</v>
      </c>
      <c r="AP85" s="53">
        <f t="shared" si="749"/>
        <v>0</v>
      </c>
      <c r="AQ85" s="51">
        <f t="shared" si="750"/>
        <v>0</v>
      </c>
      <c r="AR85" s="48">
        <f t="shared" si="751"/>
        <v>0</v>
      </c>
      <c r="AS85" s="51">
        <f t="shared" si="752"/>
        <v>0</v>
      </c>
      <c r="AT85" s="53">
        <f t="shared" si="753"/>
        <v>0</v>
      </c>
      <c r="AU85" s="51">
        <f t="shared" si="754"/>
        <v>0</v>
      </c>
      <c r="AV85" s="53">
        <f t="shared" si="755"/>
        <v>0</v>
      </c>
      <c r="AW85" s="51">
        <f t="shared" si="756"/>
        <v>0</v>
      </c>
      <c r="AX85" s="48">
        <f t="shared" si="757"/>
        <v>0</v>
      </c>
      <c r="AY85" s="51">
        <f t="shared" si="758"/>
        <v>0</v>
      </c>
      <c r="BB85" s="48">
        <v>1</v>
      </c>
      <c r="BC85" s="48">
        <v>0.97</v>
      </c>
      <c r="BD85" s="48">
        <v>0.95</v>
      </c>
      <c r="BE85" s="48">
        <v>0.93</v>
      </c>
      <c r="BF85" s="48">
        <f t="shared" ref="BF85:BW85" si="959">+BE85-0.02</f>
        <v>0.91</v>
      </c>
      <c r="BG85" s="48">
        <f t="shared" si="959"/>
        <v>0.89</v>
      </c>
      <c r="BH85" s="48">
        <f t="shared" si="959"/>
        <v>0.87</v>
      </c>
      <c r="BI85" s="48">
        <f t="shared" si="959"/>
        <v>0.85</v>
      </c>
      <c r="BJ85" s="48">
        <f t="shared" si="959"/>
        <v>0.83</v>
      </c>
      <c r="BK85" s="48">
        <f t="shared" si="959"/>
        <v>0.80999999999999994</v>
      </c>
      <c r="BL85" s="48">
        <f t="shared" si="959"/>
        <v>0.78999999999999992</v>
      </c>
      <c r="BM85" s="48">
        <f t="shared" si="959"/>
        <v>0.76999999999999991</v>
      </c>
      <c r="BN85" s="48">
        <f t="shared" si="959"/>
        <v>0.74999999999999989</v>
      </c>
      <c r="BO85" s="48">
        <f t="shared" si="959"/>
        <v>0.72999999999999987</v>
      </c>
      <c r="BP85" s="48">
        <f t="shared" si="959"/>
        <v>0.70999999999999985</v>
      </c>
      <c r="BQ85" s="48">
        <f t="shared" si="959"/>
        <v>0.68999999999999984</v>
      </c>
      <c r="BR85" s="48">
        <f t="shared" si="959"/>
        <v>0.66999999999999982</v>
      </c>
      <c r="BS85" s="48">
        <f t="shared" si="959"/>
        <v>0.6499999999999998</v>
      </c>
      <c r="BT85" s="48">
        <f t="shared" si="959"/>
        <v>0.62999999999999978</v>
      </c>
      <c r="BU85" s="48">
        <f t="shared" si="959"/>
        <v>0.60999999999999976</v>
      </c>
      <c r="BV85" s="48">
        <f t="shared" si="959"/>
        <v>0.58999999999999975</v>
      </c>
      <c r="BW85" s="48">
        <f t="shared" si="959"/>
        <v>0.56999999999999973</v>
      </c>
      <c r="BY85" s="48">
        <f t="shared" si="952"/>
        <v>0</v>
      </c>
      <c r="BZ85" s="48">
        <f t="shared" si="953"/>
        <v>0</v>
      </c>
      <c r="CA85" s="51">
        <f t="shared" ref="CA85" si="960">+BZ85*3.3058</f>
        <v>0</v>
      </c>
      <c r="CB85" s="48">
        <f t="shared" si="761"/>
        <v>0</v>
      </c>
      <c r="CC85" s="51">
        <f t="shared" si="762"/>
        <v>0</v>
      </c>
      <c r="CD85" s="48">
        <f t="shared" si="763"/>
        <v>0</v>
      </c>
      <c r="CE85" s="51">
        <f t="shared" si="764"/>
        <v>0</v>
      </c>
      <c r="CF85" s="48">
        <f t="shared" si="765"/>
        <v>0</v>
      </c>
      <c r="CG85" s="51">
        <f t="shared" si="766"/>
        <v>0</v>
      </c>
      <c r="CH85" s="52">
        <f t="shared" si="767"/>
        <v>0</v>
      </c>
      <c r="CI85" s="51">
        <f t="shared" si="768"/>
        <v>0</v>
      </c>
      <c r="CJ85" s="48">
        <f t="shared" si="769"/>
        <v>0</v>
      </c>
      <c r="CK85" s="51">
        <f t="shared" si="770"/>
        <v>0</v>
      </c>
      <c r="CL85" s="52">
        <f t="shared" si="771"/>
        <v>0</v>
      </c>
      <c r="CM85" s="51">
        <f t="shared" si="772"/>
        <v>0</v>
      </c>
      <c r="CN85" s="53">
        <f t="shared" si="773"/>
        <v>0</v>
      </c>
      <c r="CO85" s="51">
        <f t="shared" si="774"/>
        <v>0</v>
      </c>
      <c r="CP85" s="52">
        <f t="shared" si="775"/>
        <v>0</v>
      </c>
      <c r="CQ85" s="51">
        <f t="shared" si="776"/>
        <v>0</v>
      </c>
      <c r="CR85" s="48">
        <f t="shared" si="777"/>
        <v>0</v>
      </c>
      <c r="CS85" s="51">
        <f t="shared" si="778"/>
        <v>0</v>
      </c>
      <c r="CT85" s="53">
        <f t="shared" si="779"/>
        <v>0</v>
      </c>
      <c r="CU85" s="51">
        <f t="shared" si="780"/>
        <v>0</v>
      </c>
      <c r="CV85" s="53">
        <f t="shared" si="781"/>
        <v>0</v>
      </c>
      <c r="CW85" s="51">
        <f t="shared" si="782"/>
        <v>0</v>
      </c>
      <c r="CX85" s="53">
        <f t="shared" si="783"/>
        <v>0</v>
      </c>
      <c r="CY85" s="51">
        <f t="shared" si="784"/>
        <v>0</v>
      </c>
      <c r="CZ85" s="48">
        <f t="shared" si="785"/>
        <v>0</v>
      </c>
      <c r="DA85" s="51">
        <f t="shared" si="786"/>
        <v>0</v>
      </c>
      <c r="DB85" s="53">
        <f t="shared" si="787"/>
        <v>0</v>
      </c>
      <c r="DC85" s="51">
        <f t="shared" si="788"/>
        <v>0</v>
      </c>
      <c r="DD85" s="53">
        <f t="shared" si="789"/>
        <v>0</v>
      </c>
      <c r="DE85" s="51">
        <f t="shared" si="790"/>
        <v>0</v>
      </c>
      <c r="DF85" s="53">
        <f t="shared" si="791"/>
        <v>0</v>
      </c>
      <c r="DG85" s="51">
        <f t="shared" si="792"/>
        <v>0</v>
      </c>
      <c r="DH85" s="53">
        <f t="shared" si="793"/>
        <v>0</v>
      </c>
      <c r="DI85" s="51">
        <f t="shared" si="794"/>
        <v>0</v>
      </c>
      <c r="DJ85" s="48">
        <f t="shared" si="795"/>
        <v>0</v>
      </c>
      <c r="DK85" s="51">
        <f t="shared" si="796"/>
        <v>0</v>
      </c>
      <c r="DL85" s="53">
        <f t="shared" si="797"/>
        <v>0</v>
      </c>
      <c r="DM85" s="51">
        <f t="shared" si="798"/>
        <v>0</v>
      </c>
      <c r="DN85" s="53">
        <f t="shared" si="799"/>
        <v>0</v>
      </c>
      <c r="DO85" s="51">
        <f t="shared" si="800"/>
        <v>0</v>
      </c>
      <c r="DP85" s="48">
        <f t="shared" si="801"/>
        <v>0</v>
      </c>
      <c r="DQ85" s="51">
        <f t="shared" si="802"/>
        <v>0</v>
      </c>
      <c r="DT85" s="48">
        <v>1</v>
      </c>
      <c r="DU85" s="48">
        <v>0.97</v>
      </c>
      <c r="DV85" s="48">
        <v>0.95</v>
      </c>
      <c r="DW85" s="48">
        <v>0.93</v>
      </c>
      <c r="DX85" s="48">
        <f t="shared" ref="DX85:EO85" si="961">+DW85-0.02</f>
        <v>0.91</v>
      </c>
      <c r="DY85" s="48">
        <f t="shared" si="961"/>
        <v>0.89</v>
      </c>
      <c r="DZ85" s="48">
        <f t="shared" si="961"/>
        <v>0.87</v>
      </c>
      <c r="EA85" s="48">
        <f t="shared" si="961"/>
        <v>0.85</v>
      </c>
      <c r="EB85" s="48">
        <f t="shared" si="961"/>
        <v>0.83</v>
      </c>
      <c r="EC85" s="48">
        <f t="shared" si="961"/>
        <v>0.80999999999999994</v>
      </c>
      <c r="ED85" s="48">
        <f t="shared" si="961"/>
        <v>0.78999999999999992</v>
      </c>
      <c r="EE85" s="48">
        <f t="shared" si="961"/>
        <v>0.76999999999999991</v>
      </c>
      <c r="EF85" s="48">
        <f t="shared" si="961"/>
        <v>0.74999999999999989</v>
      </c>
      <c r="EG85" s="48">
        <f t="shared" si="961"/>
        <v>0.72999999999999987</v>
      </c>
      <c r="EH85" s="48">
        <f t="shared" si="961"/>
        <v>0.70999999999999985</v>
      </c>
      <c r="EI85" s="48">
        <f t="shared" si="961"/>
        <v>0.68999999999999984</v>
      </c>
      <c r="EJ85" s="48">
        <f t="shared" si="961"/>
        <v>0.66999999999999982</v>
      </c>
      <c r="EK85" s="48">
        <f t="shared" si="961"/>
        <v>0.6499999999999998</v>
      </c>
      <c r="EL85" s="48">
        <f t="shared" si="961"/>
        <v>0.62999999999999978</v>
      </c>
      <c r="EM85" s="48">
        <f t="shared" si="961"/>
        <v>0.60999999999999976</v>
      </c>
      <c r="EN85" s="48">
        <f t="shared" si="961"/>
        <v>0.58999999999999975</v>
      </c>
      <c r="EO85" s="48">
        <f t="shared" si="961"/>
        <v>0.56999999999999973</v>
      </c>
      <c r="EQ85" s="48">
        <f t="shared" si="188"/>
        <v>0</v>
      </c>
      <c r="ER85" s="48">
        <f t="shared" si="956"/>
        <v>0</v>
      </c>
      <c r="ES85" s="51">
        <f t="shared" ref="ES85" si="962">+ER85*3.3058</f>
        <v>0</v>
      </c>
      <c r="ET85" s="48">
        <f t="shared" si="805"/>
        <v>0</v>
      </c>
      <c r="EU85" s="51">
        <f t="shared" si="806"/>
        <v>0</v>
      </c>
      <c r="EV85" s="48">
        <f t="shared" si="807"/>
        <v>0</v>
      </c>
      <c r="EW85" s="51">
        <f t="shared" si="808"/>
        <v>0</v>
      </c>
      <c r="EX85" s="48">
        <f t="shared" si="809"/>
        <v>0</v>
      </c>
      <c r="EY85" s="51">
        <f t="shared" si="810"/>
        <v>0</v>
      </c>
      <c r="EZ85" s="52">
        <f t="shared" si="811"/>
        <v>0</v>
      </c>
      <c r="FA85" s="51">
        <f t="shared" si="812"/>
        <v>0</v>
      </c>
      <c r="FB85" s="48">
        <f t="shared" si="813"/>
        <v>0</v>
      </c>
      <c r="FC85" s="51">
        <f t="shared" si="814"/>
        <v>0</v>
      </c>
      <c r="FD85" s="52">
        <f t="shared" si="815"/>
        <v>0</v>
      </c>
      <c r="FE85" s="51">
        <f t="shared" si="816"/>
        <v>0</v>
      </c>
      <c r="FF85" s="53">
        <f t="shared" si="817"/>
        <v>0</v>
      </c>
      <c r="FG85" s="51">
        <f t="shared" si="818"/>
        <v>0</v>
      </c>
      <c r="FH85" s="52">
        <f t="shared" si="819"/>
        <v>0</v>
      </c>
      <c r="FI85" s="51">
        <f t="shared" si="820"/>
        <v>0</v>
      </c>
      <c r="FJ85" s="48">
        <f t="shared" si="821"/>
        <v>0</v>
      </c>
      <c r="FK85" s="51">
        <f t="shared" si="822"/>
        <v>0</v>
      </c>
      <c r="FL85" s="53">
        <f t="shared" si="823"/>
        <v>0</v>
      </c>
      <c r="FM85" s="51">
        <f t="shared" si="824"/>
        <v>0</v>
      </c>
      <c r="FN85" s="53">
        <f t="shared" si="825"/>
        <v>0</v>
      </c>
      <c r="FO85" s="51">
        <f t="shared" si="826"/>
        <v>0</v>
      </c>
      <c r="FP85" s="53">
        <f t="shared" si="827"/>
        <v>0</v>
      </c>
      <c r="FQ85" s="51">
        <f t="shared" si="828"/>
        <v>0</v>
      </c>
      <c r="FR85" s="48">
        <f t="shared" si="829"/>
        <v>0</v>
      </c>
      <c r="FS85" s="51">
        <f t="shared" si="830"/>
        <v>0</v>
      </c>
      <c r="FT85" s="53">
        <f t="shared" si="831"/>
        <v>0</v>
      </c>
      <c r="FU85" s="51">
        <f t="shared" si="832"/>
        <v>0</v>
      </c>
      <c r="FV85" s="53">
        <f t="shared" si="833"/>
        <v>0</v>
      </c>
      <c r="FW85" s="51">
        <f t="shared" si="834"/>
        <v>0</v>
      </c>
      <c r="FX85" s="53">
        <f t="shared" si="835"/>
        <v>0</v>
      </c>
      <c r="FY85" s="51">
        <f t="shared" si="836"/>
        <v>0</v>
      </c>
      <c r="FZ85" s="53">
        <f t="shared" si="837"/>
        <v>0</v>
      </c>
      <c r="GA85" s="51">
        <f t="shared" si="838"/>
        <v>0</v>
      </c>
      <c r="GB85" s="48">
        <f t="shared" si="839"/>
        <v>0</v>
      </c>
      <c r="GC85" s="51">
        <f t="shared" si="840"/>
        <v>0</v>
      </c>
      <c r="GD85" s="53">
        <f t="shared" si="841"/>
        <v>0</v>
      </c>
      <c r="GE85" s="51">
        <f t="shared" si="842"/>
        <v>0</v>
      </c>
      <c r="GF85" s="53">
        <f t="shared" si="843"/>
        <v>0</v>
      </c>
      <c r="GG85" s="51">
        <f t="shared" si="844"/>
        <v>0</v>
      </c>
      <c r="GH85" s="48">
        <f t="shared" si="845"/>
        <v>0</v>
      </c>
      <c r="GI85" s="51">
        <f t="shared" si="846"/>
        <v>0</v>
      </c>
      <c r="GJ85" s="48"/>
      <c r="GK85" s="48"/>
      <c r="GL85" s="48">
        <v>1</v>
      </c>
      <c r="GM85" s="48">
        <v>0.97</v>
      </c>
      <c r="GN85" s="48">
        <v>0.95</v>
      </c>
      <c r="GO85" s="48">
        <v>0.93</v>
      </c>
      <c r="GP85" s="48">
        <f t="shared" ref="GP85:HG85" si="963">+GO85-0.02</f>
        <v>0.91</v>
      </c>
      <c r="GQ85" s="48">
        <f t="shared" si="963"/>
        <v>0.89</v>
      </c>
      <c r="GR85" s="48">
        <f t="shared" si="963"/>
        <v>0.87</v>
      </c>
      <c r="GS85" s="48">
        <f t="shared" si="963"/>
        <v>0.85</v>
      </c>
      <c r="GT85" s="48">
        <f t="shared" si="963"/>
        <v>0.83</v>
      </c>
      <c r="GU85" s="48">
        <f t="shared" si="963"/>
        <v>0.80999999999999994</v>
      </c>
      <c r="GV85" s="48">
        <f t="shared" si="963"/>
        <v>0.78999999999999992</v>
      </c>
      <c r="GW85" s="48">
        <f t="shared" si="963"/>
        <v>0.76999999999999991</v>
      </c>
      <c r="GX85" s="48">
        <f t="shared" si="963"/>
        <v>0.74999999999999989</v>
      </c>
      <c r="GY85" s="48">
        <f t="shared" si="963"/>
        <v>0.72999999999999987</v>
      </c>
      <c r="GZ85" s="48">
        <f t="shared" si="963"/>
        <v>0.70999999999999985</v>
      </c>
      <c r="HA85" s="48">
        <f t="shared" si="963"/>
        <v>0.68999999999999984</v>
      </c>
      <c r="HB85" s="48">
        <f t="shared" si="963"/>
        <v>0.66999999999999982</v>
      </c>
      <c r="HC85" s="48">
        <f t="shared" si="963"/>
        <v>0.6499999999999998</v>
      </c>
      <c r="HD85" s="48">
        <f t="shared" si="963"/>
        <v>0.62999999999999978</v>
      </c>
      <c r="HE85" s="48">
        <f t="shared" si="963"/>
        <v>0.60999999999999976</v>
      </c>
      <c r="HF85" s="48">
        <f t="shared" si="963"/>
        <v>0.58999999999999975</v>
      </c>
      <c r="HG85" s="48">
        <f t="shared" si="963"/>
        <v>0.56999999999999973</v>
      </c>
    </row>
    <row r="86" spans="1:215" x14ac:dyDescent="0.3">
      <c r="A86" s="2">
        <v>24</v>
      </c>
      <c r="C86" s="39" t="s">
        <v>155</v>
      </c>
      <c r="D86" s="44">
        <v>0</v>
      </c>
      <c r="E86" s="73">
        <f t="shared" si="716"/>
        <v>0</v>
      </c>
      <c r="G86" s="48">
        <f t="shared" si="948"/>
        <v>0</v>
      </c>
      <c r="H86" s="48">
        <f t="shared" si="949"/>
        <v>0</v>
      </c>
      <c r="I86" s="51">
        <f t="shared" si="950"/>
        <v>0</v>
      </c>
      <c r="J86" s="48">
        <f t="shared" si="717"/>
        <v>0</v>
      </c>
      <c r="K86" s="51">
        <f t="shared" si="718"/>
        <v>0</v>
      </c>
      <c r="L86" s="48">
        <f t="shared" si="719"/>
        <v>0</v>
      </c>
      <c r="M86" s="51">
        <f t="shared" si="720"/>
        <v>0</v>
      </c>
      <c r="N86" s="48">
        <f t="shared" si="721"/>
        <v>0</v>
      </c>
      <c r="O86" s="51">
        <f t="shared" si="722"/>
        <v>0</v>
      </c>
      <c r="P86" s="52">
        <f t="shared" si="723"/>
        <v>0</v>
      </c>
      <c r="Q86" s="51">
        <f t="shared" si="724"/>
        <v>0</v>
      </c>
      <c r="R86" s="48">
        <f t="shared" si="725"/>
        <v>0</v>
      </c>
      <c r="S86" s="51">
        <f t="shared" si="726"/>
        <v>0</v>
      </c>
      <c r="T86" s="52">
        <f t="shared" si="727"/>
        <v>0</v>
      </c>
      <c r="U86" s="51">
        <f t="shared" si="728"/>
        <v>0</v>
      </c>
      <c r="V86" s="53">
        <f t="shared" si="729"/>
        <v>0</v>
      </c>
      <c r="W86" s="51">
        <f t="shared" si="730"/>
        <v>0</v>
      </c>
      <c r="X86" s="52">
        <f t="shared" si="731"/>
        <v>0</v>
      </c>
      <c r="Y86" s="51">
        <f t="shared" si="732"/>
        <v>0</v>
      </c>
      <c r="Z86" s="48">
        <f t="shared" si="733"/>
        <v>0</v>
      </c>
      <c r="AA86" s="51">
        <f t="shared" si="734"/>
        <v>0</v>
      </c>
      <c r="AB86" s="53">
        <f t="shared" si="735"/>
        <v>0</v>
      </c>
      <c r="AC86" s="51">
        <f t="shared" si="736"/>
        <v>0</v>
      </c>
      <c r="AD86" s="53">
        <f t="shared" si="737"/>
        <v>0</v>
      </c>
      <c r="AE86" s="51">
        <f t="shared" si="738"/>
        <v>0</v>
      </c>
      <c r="AF86" s="53">
        <f t="shared" si="739"/>
        <v>0</v>
      </c>
      <c r="AG86" s="51">
        <f t="shared" si="740"/>
        <v>0</v>
      </c>
      <c r="AH86" s="48">
        <f t="shared" si="741"/>
        <v>0</v>
      </c>
      <c r="AI86" s="51">
        <f t="shared" si="742"/>
        <v>0</v>
      </c>
      <c r="AJ86" s="53">
        <f t="shared" si="743"/>
        <v>0</v>
      </c>
      <c r="AK86" s="51">
        <f t="shared" si="744"/>
        <v>0</v>
      </c>
      <c r="AL86" s="53">
        <f t="shared" si="745"/>
        <v>0</v>
      </c>
      <c r="AM86" s="51">
        <f t="shared" si="746"/>
        <v>0</v>
      </c>
      <c r="AN86" s="53">
        <f t="shared" si="747"/>
        <v>0</v>
      </c>
      <c r="AO86" s="51">
        <f t="shared" si="748"/>
        <v>0</v>
      </c>
      <c r="AP86" s="53">
        <f t="shared" si="749"/>
        <v>0</v>
      </c>
      <c r="AQ86" s="51">
        <f t="shared" si="750"/>
        <v>0</v>
      </c>
      <c r="AR86" s="48">
        <f t="shared" si="751"/>
        <v>0</v>
      </c>
      <c r="AS86" s="51">
        <f t="shared" si="752"/>
        <v>0</v>
      </c>
      <c r="AT86" s="53">
        <f t="shared" si="753"/>
        <v>0</v>
      </c>
      <c r="AU86" s="51">
        <f t="shared" si="754"/>
        <v>0</v>
      </c>
      <c r="AV86" s="53">
        <f t="shared" si="755"/>
        <v>0</v>
      </c>
      <c r="AW86" s="51">
        <f t="shared" si="756"/>
        <v>0</v>
      </c>
      <c r="AX86" s="48">
        <f t="shared" si="757"/>
        <v>0</v>
      </c>
      <c r="AY86" s="51">
        <f t="shared" si="758"/>
        <v>0</v>
      </c>
      <c r="BB86" s="48">
        <v>1</v>
      </c>
      <c r="BC86" s="48">
        <v>0.97</v>
      </c>
      <c r="BD86" s="48">
        <v>0.95</v>
      </c>
      <c r="BE86" s="48">
        <v>0.93</v>
      </c>
      <c r="BF86" s="48">
        <f t="shared" ref="BF86:BW86" si="964">+BE86-0.02</f>
        <v>0.91</v>
      </c>
      <c r="BG86" s="48">
        <f t="shared" si="964"/>
        <v>0.89</v>
      </c>
      <c r="BH86" s="48">
        <f t="shared" si="964"/>
        <v>0.87</v>
      </c>
      <c r="BI86" s="48">
        <f t="shared" si="964"/>
        <v>0.85</v>
      </c>
      <c r="BJ86" s="48">
        <f t="shared" si="964"/>
        <v>0.83</v>
      </c>
      <c r="BK86" s="48">
        <f t="shared" si="964"/>
        <v>0.80999999999999994</v>
      </c>
      <c r="BL86" s="48">
        <f t="shared" si="964"/>
        <v>0.78999999999999992</v>
      </c>
      <c r="BM86" s="48">
        <f t="shared" si="964"/>
        <v>0.76999999999999991</v>
      </c>
      <c r="BN86" s="48">
        <f t="shared" si="964"/>
        <v>0.74999999999999989</v>
      </c>
      <c r="BO86" s="48">
        <f t="shared" si="964"/>
        <v>0.72999999999999987</v>
      </c>
      <c r="BP86" s="48">
        <f t="shared" si="964"/>
        <v>0.70999999999999985</v>
      </c>
      <c r="BQ86" s="48">
        <f t="shared" si="964"/>
        <v>0.68999999999999984</v>
      </c>
      <c r="BR86" s="48">
        <f t="shared" si="964"/>
        <v>0.66999999999999982</v>
      </c>
      <c r="BS86" s="48">
        <f t="shared" si="964"/>
        <v>0.6499999999999998</v>
      </c>
      <c r="BT86" s="48">
        <f t="shared" si="964"/>
        <v>0.62999999999999978</v>
      </c>
      <c r="BU86" s="48">
        <f t="shared" si="964"/>
        <v>0.60999999999999976</v>
      </c>
      <c r="BV86" s="48">
        <f t="shared" si="964"/>
        <v>0.58999999999999975</v>
      </c>
      <c r="BW86" s="48">
        <f t="shared" si="964"/>
        <v>0.56999999999999973</v>
      </c>
      <c r="BY86" s="48">
        <f t="shared" si="952"/>
        <v>0</v>
      </c>
      <c r="BZ86" s="48">
        <f t="shared" si="953"/>
        <v>0</v>
      </c>
      <c r="CA86" s="51">
        <f t="shared" ref="CA86" si="965">+BZ86*3.3058</f>
        <v>0</v>
      </c>
      <c r="CB86" s="48">
        <f t="shared" si="761"/>
        <v>0</v>
      </c>
      <c r="CC86" s="51">
        <f t="shared" si="762"/>
        <v>0</v>
      </c>
      <c r="CD86" s="48">
        <f t="shared" si="763"/>
        <v>0</v>
      </c>
      <c r="CE86" s="51">
        <f t="shared" si="764"/>
        <v>0</v>
      </c>
      <c r="CF86" s="48">
        <f t="shared" si="765"/>
        <v>0</v>
      </c>
      <c r="CG86" s="51">
        <f t="shared" si="766"/>
        <v>0</v>
      </c>
      <c r="CH86" s="52">
        <f t="shared" si="767"/>
        <v>0</v>
      </c>
      <c r="CI86" s="51">
        <f t="shared" si="768"/>
        <v>0</v>
      </c>
      <c r="CJ86" s="48">
        <f t="shared" si="769"/>
        <v>0</v>
      </c>
      <c r="CK86" s="51">
        <f t="shared" si="770"/>
        <v>0</v>
      </c>
      <c r="CL86" s="52">
        <f t="shared" si="771"/>
        <v>0</v>
      </c>
      <c r="CM86" s="51">
        <f t="shared" si="772"/>
        <v>0</v>
      </c>
      <c r="CN86" s="53">
        <f t="shared" si="773"/>
        <v>0</v>
      </c>
      <c r="CO86" s="51">
        <f t="shared" si="774"/>
        <v>0</v>
      </c>
      <c r="CP86" s="52">
        <f t="shared" si="775"/>
        <v>0</v>
      </c>
      <c r="CQ86" s="51">
        <f t="shared" si="776"/>
        <v>0</v>
      </c>
      <c r="CR86" s="48">
        <f t="shared" si="777"/>
        <v>0</v>
      </c>
      <c r="CS86" s="51">
        <f t="shared" si="778"/>
        <v>0</v>
      </c>
      <c r="CT86" s="53">
        <f t="shared" si="779"/>
        <v>0</v>
      </c>
      <c r="CU86" s="51">
        <f t="shared" si="780"/>
        <v>0</v>
      </c>
      <c r="CV86" s="53">
        <f t="shared" si="781"/>
        <v>0</v>
      </c>
      <c r="CW86" s="51">
        <f t="shared" si="782"/>
        <v>0</v>
      </c>
      <c r="CX86" s="53">
        <f t="shared" si="783"/>
        <v>0</v>
      </c>
      <c r="CY86" s="51">
        <f t="shared" si="784"/>
        <v>0</v>
      </c>
      <c r="CZ86" s="48">
        <f t="shared" si="785"/>
        <v>0</v>
      </c>
      <c r="DA86" s="51">
        <f t="shared" si="786"/>
        <v>0</v>
      </c>
      <c r="DB86" s="53">
        <f t="shared" si="787"/>
        <v>0</v>
      </c>
      <c r="DC86" s="51">
        <f t="shared" si="788"/>
        <v>0</v>
      </c>
      <c r="DD86" s="53">
        <f t="shared" si="789"/>
        <v>0</v>
      </c>
      <c r="DE86" s="51">
        <f t="shared" si="790"/>
        <v>0</v>
      </c>
      <c r="DF86" s="53">
        <f t="shared" si="791"/>
        <v>0</v>
      </c>
      <c r="DG86" s="51">
        <f t="shared" si="792"/>
        <v>0</v>
      </c>
      <c r="DH86" s="53">
        <f t="shared" si="793"/>
        <v>0</v>
      </c>
      <c r="DI86" s="51">
        <f t="shared" si="794"/>
        <v>0</v>
      </c>
      <c r="DJ86" s="48">
        <f t="shared" si="795"/>
        <v>0</v>
      </c>
      <c r="DK86" s="51">
        <f t="shared" si="796"/>
        <v>0</v>
      </c>
      <c r="DL86" s="53">
        <f t="shared" si="797"/>
        <v>0</v>
      </c>
      <c r="DM86" s="51">
        <f t="shared" si="798"/>
        <v>0</v>
      </c>
      <c r="DN86" s="53">
        <f t="shared" si="799"/>
        <v>0</v>
      </c>
      <c r="DO86" s="51">
        <f t="shared" si="800"/>
        <v>0</v>
      </c>
      <c r="DP86" s="48">
        <f t="shared" si="801"/>
        <v>0</v>
      </c>
      <c r="DQ86" s="51">
        <f t="shared" si="802"/>
        <v>0</v>
      </c>
      <c r="DT86" s="48">
        <v>1</v>
      </c>
      <c r="DU86" s="48">
        <v>0.97</v>
      </c>
      <c r="DV86" s="48">
        <v>0.95</v>
      </c>
      <c r="DW86" s="48">
        <v>0.93</v>
      </c>
      <c r="DX86" s="48">
        <f t="shared" ref="DX86:EO86" si="966">+DW86-0.02</f>
        <v>0.91</v>
      </c>
      <c r="DY86" s="48">
        <f t="shared" si="966"/>
        <v>0.89</v>
      </c>
      <c r="DZ86" s="48">
        <f t="shared" si="966"/>
        <v>0.87</v>
      </c>
      <c r="EA86" s="48">
        <f t="shared" si="966"/>
        <v>0.85</v>
      </c>
      <c r="EB86" s="48">
        <f t="shared" si="966"/>
        <v>0.83</v>
      </c>
      <c r="EC86" s="48">
        <f t="shared" si="966"/>
        <v>0.80999999999999994</v>
      </c>
      <c r="ED86" s="48">
        <f t="shared" si="966"/>
        <v>0.78999999999999992</v>
      </c>
      <c r="EE86" s="48">
        <f t="shared" si="966"/>
        <v>0.76999999999999991</v>
      </c>
      <c r="EF86" s="48">
        <f t="shared" si="966"/>
        <v>0.74999999999999989</v>
      </c>
      <c r="EG86" s="48">
        <f t="shared" si="966"/>
        <v>0.72999999999999987</v>
      </c>
      <c r="EH86" s="48">
        <f t="shared" si="966"/>
        <v>0.70999999999999985</v>
      </c>
      <c r="EI86" s="48">
        <f t="shared" si="966"/>
        <v>0.68999999999999984</v>
      </c>
      <c r="EJ86" s="48">
        <f t="shared" si="966"/>
        <v>0.66999999999999982</v>
      </c>
      <c r="EK86" s="48">
        <f t="shared" si="966"/>
        <v>0.6499999999999998</v>
      </c>
      <c r="EL86" s="48">
        <f t="shared" si="966"/>
        <v>0.62999999999999978</v>
      </c>
      <c r="EM86" s="48">
        <f t="shared" si="966"/>
        <v>0.60999999999999976</v>
      </c>
      <c r="EN86" s="48">
        <f t="shared" si="966"/>
        <v>0.58999999999999975</v>
      </c>
      <c r="EO86" s="48">
        <f t="shared" si="966"/>
        <v>0.56999999999999973</v>
      </c>
      <c r="EQ86" s="48">
        <f t="shared" si="188"/>
        <v>0</v>
      </c>
      <c r="ER86" s="48">
        <f t="shared" si="956"/>
        <v>0</v>
      </c>
      <c r="ES86" s="51">
        <f t="shared" ref="ES86" si="967">+ER86*3.3058</f>
        <v>0</v>
      </c>
      <c r="ET86" s="48">
        <f t="shared" si="805"/>
        <v>0</v>
      </c>
      <c r="EU86" s="51">
        <f t="shared" si="806"/>
        <v>0</v>
      </c>
      <c r="EV86" s="48">
        <f t="shared" si="807"/>
        <v>0</v>
      </c>
      <c r="EW86" s="51">
        <f t="shared" si="808"/>
        <v>0</v>
      </c>
      <c r="EX86" s="48">
        <f t="shared" si="809"/>
        <v>0</v>
      </c>
      <c r="EY86" s="51">
        <f t="shared" si="810"/>
        <v>0</v>
      </c>
      <c r="EZ86" s="52">
        <f t="shared" si="811"/>
        <v>0</v>
      </c>
      <c r="FA86" s="51">
        <f t="shared" si="812"/>
        <v>0</v>
      </c>
      <c r="FB86" s="48">
        <f t="shared" si="813"/>
        <v>0</v>
      </c>
      <c r="FC86" s="51">
        <f t="shared" si="814"/>
        <v>0</v>
      </c>
      <c r="FD86" s="52">
        <f t="shared" si="815"/>
        <v>0</v>
      </c>
      <c r="FE86" s="51">
        <f t="shared" si="816"/>
        <v>0</v>
      </c>
      <c r="FF86" s="53">
        <f t="shared" si="817"/>
        <v>0</v>
      </c>
      <c r="FG86" s="51">
        <f t="shared" si="818"/>
        <v>0</v>
      </c>
      <c r="FH86" s="52">
        <f t="shared" si="819"/>
        <v>0</v>
      </c>
      <c r="FI86" s="51">
        <f t="shared" si="820"/>
        <v>0</v>
      </c>
      <c r="FJ86" s="48">
        <f t="shared" si="821"/>
        <v>0</v>
      </c>
      <c r="FK86" s="51">
        <f t="shared" si="822"/>
        <v>0</v>
      </c>
      <c r="FL86" s="53">
        <f t="shared" si="823"/>
        <v>0</v>
      </c>
      <c r="FM86" s="51">
        <f t="shared" si="824"/>
        <v>0</v>
      </c>
      <c r="FN86" s="53">
        <f t="shared" si="825"/>
        <v>0</v>
      </c>
      <c r="FO86" s="51">
        <f t="shared" si="826"/>
        <v>0</v>
      </c>
      <c r="FP86" s="53">
        <f t="shared" si="827"/>
        <v>0</v>
      </c>
      <c r="FQ86" s="51">
        <f t="shared" si="828"/>
        <v>0</v>
      </c>
      <c r="FR86" s="48">
        <f t="shared" si="829"/>
        <v>0</v>
      </c>
      <c r="FS86" s="51">
        <f t="shared" si="830"/>
        <v>0</v>
      </c>
      <c r="FT86" s="53">
        <f t="shared" si="831"/>
        <v>0</v>
      </c>
      <c r="FU86" s="51">
        <f t="shared" si="832"/>
        <v>0</v>
      </c>
      <c r="FV86" s="53">
        <f t="shared" si="833"/>
        <v>0</v>
      </c>
      <c r="FW86" s="51">
        <f t="shared" si="834"/>
        <v>0</v>
      </c>
      <c r="FX86" s="53">
        <f t="shared" si="835"/>
        <v>0</v>
      </c>
      <c r="FY86" s="51">
        <f t="shared" si="836"/>
        <v>0</v>
      </c>
      <c r="FZ86" s="53">
        <f t="shared" si="837"/>
        <v>0</v>
      </c>
      <c r="GA86" s="51">
        <f t="shared" si="838"/>
        <v>0</v>
      </c>
      <c r="GB86" s="48">
        <f t="shared" si="839"/>
        <v>0</v>
      </c>
      <c r="GC86" s="51">
        <f t="shared" si="840"/>
        <v>0</v>
      </c>
      <c r="GD86" s="53">
        <f t="shared" si="841"/>
        <v>0</v>
      </c>
      <c r="GE86" s="51">
        <f t="shared" si="842"/>
        <v>0</v>
      </c>
      <c r="GF86" s="53">
        <f t="shared" si="843"/>
        <v>0</v>
      </c>
      <c r="GG86" s="51">
        <f t="shared" si="844"/>
        <v>0</v>
      </c>
      <c r="GH86" s="48">
        <f t="shared" si="845"/>
        <v>0</v>
      </c>
      <c r="GI86" s="51">
        <f t="shared" si="846"/>
        <v>0</v>
      </c>
      <c r="GJ86" s="48"/>
      <c r="GK86" s="48"/>
      <c r="GL86" s="48">
        <v>1</v>
      </c>
      <c r="GM86" s="48">
        <v>0.97</v>
      </c>
      <c r="GN86" s="48">
        <v>0.95</v>
      </c>
      <c r="GO86" s="48">
        <v>0.93</v>
      </c>
      <c r="GP86" s="48">
        <f t="shared" ref="GP86:HG86" si="968">+GO86-0.02</f>
        <v>0.91</v>
      </c>
      <c r="GQ86" s="48">
        <f t="shared" si="968"/>
        <v>0.89</v>
      </c>
      <c r="GR86" s="48">
        <f t="shared" si="968"/>
        <v>0.87</v>
      </c>
      <c r="GS86" s="48">
        <f t="shared" si="968"/>
        <v>0.85</v>
      </c>
      <c r="GT86" s="48">
        <f t="shared" si="968"/>
        <v>0.83</v>
      </c>
      <c r="GU86" s="48">
        <f t="shared" si="968"/>
        <v>0.80999999999999994</v>
      </c>
      <c r="GV86" s="48">
        <f t="shared" si="968"/>
        <v>0.78999999999999992</v>
      </c>
      <c r="GW86" s="48">
        <f t="shared" si="968"/>
        <v>0.76999999999999991</v>
      </c>
      <c r="GX86" s="48">
        <f t="shared" si="968"/>
        <v>0.74999999999999989</v>
      </c>
      <c r="GY86" s="48">
        <f t="shared" si="968"/>
        <v>0.72999999999999987</v>
      </c>
      <c r="GZ86" s="48">
        <f t="shared" si="968"/>
        <v>0.70999999999999985</v>
      </c>
      <c r="HA86" s="48">
        <f t="shared" si="968"/>
        <v>0.68999999999999984</v>
      </c>
      <c r="HB86" s="48">
        <f t="shared" si="968"/>
        <v>0.66999999999999982</v>
      </c>
      <c r="HC86" s="48">
        <f t="shared" si="968"/>
        <v>0.6499999999999998</v>
      </c>
      <c r="HD86" s="48">
        <f t="shared" si="968"/>
        <v>0.62999999999999978</v>
      </c>
      <c r="HE86" s="48">
        <f t="shared" si="968"/>
        <v>0.60999999999999976</v>
      </c>
      <c r="HF86" s="48">
        <f t="shared" si="968"/>
        <v>0.58999999999999975</v>
      </c>
      <c r="HG86" s="48">
        <f t="shared" si="968"/>
        <v>0.56999999999999973</v>
      </c>
    </row>
    <row r="87" spans="1:215" x14ac:dyDescent="0.3">
      <c r="A87" s="2">
        <v>25</v>
      </c>
      <c r="C87" s="39" t="s">
        <v>156</v>
      </c>
      <c r="D87" s="44">
        <f>TRUNC(68096.60932291,-1)</f>
        <v>68090</v>
      </c>
      <c r="E87" s="73">
        <f t="shared" si="716"/>
        <v>225090</v>
      </c>
      <c r="G87" s="48">
        <f t="shared" si="948"/>
        <v>74899</v>
      </c>
      <c r="H87" s="48">
        <f t="shared" si="949"/>
        <v>74899</v>
      </c>
      <c r="I87" s="51">
        <f t="shared" si="950"/>
        <v>247601.11420000001</v>
      </c>
      <c r="J87" s="48">
        <f t="shared" si="717"/>
        <v>72652.03</v>
      </c>
      <c r="K87" s="51">
        <f t="shared" si="718"/>
        <v>240173.080774</v>
      </c>
      <c r="L87" s="48">
        <f t="shared" si="719"/>
        <v>71154.05</v>
      </c>
      <c r="M87" s="51">
        <f t="shared" si="720"/>
        <v>235221.05849000002</v>
      </c>
      <c r="N87" s="48">
        <f t="shared" si="721"/>
        <v>69656.070000000007</v>
      </c>
      <c r="O87" s="51">
        <f t="shared" si="722"/>
        <v>230269.03620600002</v>
      </c>
      <c r="P87" s="52">
        <f t="shared" si="723"/>
        <v>68158.09</v>
      </c>
      <c r="Q87" s="51">
        <f t="shared" si="724"/>
        <v>225317.01392199998</v>
      </c>
      <c r="R87" s="48">
        <f t="shared" si="725"/>
        <v>66660.11</v>
      </c>
      <c r="S87" s="51">
        <f t="shared" si="726"/>
        <v>220364.99163800001</v>
      </c>
      <c r="T87" s="52">
        <f t="shared" si="727"/>
        <v>65162.13</v>
      </c>
      <c r="U87" s="51">
        <f t="shared" si="728"/>
        <v>215412.969354</v>
      </c>
      <c r="V87" s="53">
        <f t="shared" si="729"/>
        <v>63664.15</v>
      </c>
      <c r="W87" s="51">
        <f t="shared" si="730"/>
        <v>210460.94707000002</v>
      </c>
      <c r="X87" s="52">
        <f t="shared" si="731"/>
        <v>62166.17</v>
      </c>
      <c r="Y87" s="51">
        <f t="shared" si="732"/>
        <v>205508.92478599999</v>
      </c>
      <c r="Z87" s="48">
        <f t="shared" si="733"/>
        <v>60668.189999999995</v>
      </c>
      <c r="AA87" s="51">
        <f t="shared" si="734"/>
        <v>200556.90250199998</v>
      </c>
      <c r="AB87" s="53">
        <f t="shared" si="735"/>
        <v>59170.209999999992</v>
      </c>
      <c r="AC87" s="51">
        <f t="shared" si="736"/>
        <v>195604.88021799998</v>
      </c>
      <c r="AD87" s="53">
        <f t="shared" si="737"/>
        <v>57672.229999999996</v>
      </c>
      <c r="AE87" s="51">
        <f t="shared" si="738"/>
        <v>190652.857934</v>
      </c>
      <c r="AF87" s="53">
        <f t="shared" si="739"/>
        <v>56174.249999999993</v>
      </c>
      <c r="AG87" s="51">
        <f t="shared" si="740"/>
        <v>185700.83564999999</v>
      </c>
      <c r="AH87" s="48">
        <f t="shared" si="741"/>
        <v>54676.26999999999</v>
      </c>
      <c r="AI87" s="51">
        <f t="shared" si="742"/>
        <v>180748.81336599996</v>
      </c>
      <c r="AJ87" s="53">
        <f t="shared" si="743"/>
        <v>53178.289999999986</v>
      </c>
      <c r="AK87" s="51">
        <f t="shared" si="744"/>
        <v>175796.79108199995</v>
      </c>
      <c r="AL87" s="53">
        <f t="shared" si="745"/>
        <v>51680.30999999999</v>
      </c>
      <c r="AM87" s="51">
        <f t="shared" si="746"/>
        <v>170844.76879799998</v>
      </c>
      <c r="AN87" s="53">
        <f t="shared" si="747"/>
        <v>50182.329999999987</v>
      </c>
      <c r="AO87" s="51">
        <f t="shared" si="748"/>
        <v>165892.74651399997</v>
      </c>
      <c r="AP87" s="53">
        <f t="shared" si="749"/>
        <v>48684.349999999984</v>
      </c>
      <c r="AQ87" s="51">
        <f t="shared" si="750"/>
        <v>160940.72422999996</v>
      </c>
      <c r="AR87" s="48">
        <f t="shared" si="751"/>
        <v>47186.369999999981</v>
      </c>
      <c r="AS87" s="51">
        <f t="shared" si="752"/>
        <v>155988.70194599993</v>
      </c>
      <c r="AT87" s="53">
        <f t="shared" si="753"/>
        <v>45688.389999999985</v>
      </c>
      <c r="AU87" s="51">
        <f t="shared" si="754"/>
        <v>151036.67966199995</v>
      </c>
      <c r="AV87" s="53">
        <f t="shared" si="755"/>
        <v>44190.409999999982</v>
      </c>
      <c r="AW87" s="51">
        <f t="shared" si="756"/>
        <v>146084.65737799995</v>
      </c>
      <c r="AX87" s="48">
        <f t="shared" si="757"/>
        <v>42692.429999999978</v>
      </c>
      <c r="AY87" s="51">
        <f t="shared" si="758"/>
        <v>141132.63509399994</v>
      </c>
      <c r="BB87" s="48">
        <v>1</v>
      </c>
      <c r="BC87" s="48">
        <v>0.97</v>
      </c>
      <c r="BD87" s="48">
        <v>0.95</v>
      </c>
      <c r="BE87" s="48">
        <v>0.93</v>
      </c>
      <c r="BF87" s="48">
        <f t="shared" ref="BF87:BW87" si="969">+BE87-0.02</f>
        <v>0.91</v>
      </c>
      <c r="BG87" s="48">
        <f t="shared" si="969"/>
        <v>0.89</v>
      </c>
      <c r="BH87" s="48">
        <f t="shared" si="969"/>
        <v>0.87</v>
      </c>
      <c r="BI87" s="48">
        <f t="shared" si="969"/>
        <v>0.85</v>
      </c>
      <c r="BJ87" s="48">
        <f t="shared" si="969"/>
        <v>0.83</v>
      </c>
      <c r="BK87" s="48">
        <f t="shared" si="969"/>
        <v>0.80999999999999994</v>
      </c>
      <c r="BL87" s="48">
        <f t="shared" si="969"/>
        <v>0.78999999999999992</v>
      </c>
      <c r="BM87" s="48">
        <f t="shared" si="969"/>
        <v>0.76999999999999991</v>
      </c>
      <c r="BN87" s="48">
        <f t="shared" si="969"/>
        <v>0.74999999999999989</v>
      </c>
      <c r="BO87" s="48">
        <f t="shared" si="969"/>
        <v>0.72999999999999987</v>
      </c>
      <c r="BP87" s="48">
        <f t="shared" si="969"/>
        <v>0.70999999999999985</v>
      </c>
      <c r="BQ87" s="48">
        <f t="shared" si="969"/>
        <v>0.68999999999999984</v>
      </c>
      <c r="BR87" s="48">
        <f t="shared" si="969"/>
        <v>0.66999999999999982</v>
      </c>
      <c r="BS87" s="48">
        <f t="shared" si="969"/>
        <v>0.6499999999999998</v>
      </c>
      <c r="BT87" s="48">
        <f t="shared" si="969"/>
        <v>0.62999999999999978</v>
      </c>
      <c r="BU87" s="48">
        <f t="shared" si="969"/>
        <v>0.60999999999999976</v>
      </c>
      <c r="BV87" s="48">
        <f t="shared" si="969"/>
        <v>0.58999999999999975</v>
      </c>
      <c r="BW87" s="48">
        <f t="shared" si="969"/>
        <v>0.56999999999999973</v>
      </c>
      <c r="BY87" s="48">
        <f t="shared" si="952"/>
        <v>68158.09</v>
      </c>
      <c r="BZ87" s="48">
        <f t="shared" si="953"/>
        <v>68158.09</v>
      </c>
      <c r="CA87" s="51">
        <f t="shared" ref="CA87" si="970">+BZ87*3.3058</f>
        <v>225317.01392199998</v>
      </c>
      <c r="CB87" s="48">
        <f t="shared" si="761"/>
        <v>66113.347299999994</v>
      </c>
      <c r="CC87" s="51">
        <f t="shared" si="762"/>
        <v>218557.50350433998</v>
      </c>
      <c r="CD87" s="48">
        <f t="shared" si="763"/>
        <v>64750.185499999992</v>
      </c>
      <c r="CE87" s="51">
        <f t="shared" si="764"/>
        <v>214051.16322589997</v>
      </c>
      <c r="CF87" s="48">
        <f t="shared" si="765"/>
        <v>63387.023699999998</v>
      </c>
      <c r="CG87" s="51">
        <f t="shared" si="766"/>
        <v>209544.82294745999</v>
      </c>
      <c r="CH87" s="52">
        <f t="shared" si="767"/>
        <v>62023.861899999996</v>
      </c>
      <c r="CI87" s="51">
        <f t="shared" si="768"/>
        <v>205038.48266901998</v>
      </c>
      <c r="CJ87" s="48">
        <f t="shared" si="769"/>
        <v>60660.700099999995</v>
      </c>
      <c r="CK87" s="51">
        <f t="shared" si="770"/>
        <v>200532.14239057997</v>
      </c>
      <c r="CL87" s="52">
        <f t="shared" si="771"/>
        <v>59297.5383</v>
      </c>
      <c r="CM87" s="51">
        <f t="shared" si="772"/>
        <v>196025.80211213999</v>
      </c>
      <c r="CN87" s="53">
        <f t="shared" si="773"/>
        <v>57934.376499999998</v>
      </c>
      <c r="CO87" s="51">
        <f t="shared" si="774"/>
        <v>191519.46183369998</v>
      </c>
      <c r="CP87" s="52">
        <f t="shared" si="775"/>
        <v>56571.214699999997</v>
      </c>
      <c r="CQ87" s="51">
        <f t="shared" si="776"/>
        <v>187013.12155526</v>
      </c>
      <c r="CR87" s="48">
        <f t="shared" si="777"/>
        <v>55208.052899999995</v>
      </c>
      <c r="CS87" s="51">
        <f t="shared" si="778"/>
        <v>182506.78127681999</v>
      </c>
      <c r="CT87" s="53">
        <f t="shared" si="779"/>
        <v>53844.891099999993</v>
      </c>
      <c r="CU87" s="51">
        <f t="shared" si="780"/>
        <v>178000.44099837999</v>
      </c>
      <c r="CV87" s="53">
        <f t="shared" si="781"/>
        <v>52481.729299999992</v>
      </c>
      <c r="CW87" s="51">
        <f t="shared" si="782"/>
        <v>173494.10071993998</v>
      </c>
      <c r="CX87" s="53">
        <f t="shared" si="783"/>
        <v>51118.56749999999</v>
      </c>
      <c r="CY87" s="51">
        <f t="shared" si="784"/>
        <v>168987.76044149997</v>
      </c>
      <c r="CZ87" s="48">
        <f t="shared" si="785"/>
        <v>49755.405699999988</v>
      </c>
      <c r="DA87" s="51">
        <f t="shared" si="786"/>
        <v>164481.42016305996</v>
      </c>
      <c r="DB87" s="53">
        <f t="shared" si="787"/>
        <v>48392.243899999987</v>
      </c>
      <c r="DC87" s="51">
        <f t="shared" si="788"/>
        <v>159975.07988461995</v>
      </c>
      <c r="DD87" s="53">
        <f t="shared" si="789"/>
        <v>47029.082099999985</v>
      </c>
      <c r="DE87" s="51">
        <f t="shared" si="790"/>
        <v>155468.73960617997</v>
      </c>
      <c r="DF87" s="53">
        <f t="shared" si="791"/>
        <v>45665.920299999983</v>
      </c>
      <c r="DG87" s="51">
        <f t="shared" si="792"/>
        <v>150962.39932773996</v>
      </c>
      <c r="DH87" s="53">
        <f t="shared" si="793"/>
        <v>44302.758499999982</v>
      </c>
      <c r="DI87" s="51">
        <f t="shared" si="794"/>
        <v>146456.05904929995</v>
      </c>
      <c r="DJ87" s="48">
        <f t="shared" si="795"/>
        <v>42939.59669999998</v>
      </c>
      <c r="DK87" s="51">
        <f t="shared" si="796"/>
        <v>141949.71877085994</v>
      </c>
      <c r="DL87" s="53">
        <f t="shared" si="797"/>
        <v>41576.434899999978</v>
      </c>
      <c r="DM87" s="51">
        <f t="shared" si="798"/>
        <v>137443.37849241993</v>
      </c>
      <c r="DN87" s="53">
        <f t="shared" si="799"/>
        <v>40213.273099999984</v>
      </c>
      <c r="DO87" s="51">
        <f t="shared" si="800"/>
        <v>132937.03821397995</v>
      </c>
      <c r="DP87" s="48">
        <f t="shared" si="801"/>
        <v>38850.111299999982</v>
      </c>
      <c r="DQ87" s="51">
        <f t="shared" si="802"/>
        <v>128430.69793553994</v>
      </c>
      <c r="DT87" s="48">
        <v>1</v>
      </c>
      <c r="DU87" s="48">
        <v>0.97</v>
      </c>
      <c r="DV87" s="48">
        <v>0.95</v>
      </c>
      <c r="DW87" s="48">
        <v>0.93</v>
      </c>
      <c r="DX87" s="48">
        <f t="shared" ref="DX87:EO87" si="971">+DW87-0.02</f>
        <v>0.91</v>
      </c>
      <c r="DY87" s="48">
        <f t="shared" si="971"/>
        <v>0.89</v>
      </c>
      <c r="DZ87" s="48">
        <f t="shared" si="971"/>
        <v>0.87</v>
      </c>
      <c r="EA87" s="48">
        <f t="shared" si="971"/>
        <v>0.85</v>
      </c>
      <c r="EB87" s="48">
        <f t="shared" si="971"/>
        <v>0.83</v>
      </c>
      <c r="EC87" s="48">
        <f t="shared" si="971"/>
        <v>0.80999999999999994</v>
      </c>
      <c r="ED87" s="48">
        <f t="shared" si="971"/>
        <v>0.78999999999999992</v>
      </c>
      <c r="EE87" s="48">
        <f t="shared" si="971"/>
        <v>0.76999999999999991</v>
      </c>
      <c r="EF87" s="48">
        <f t="shared" si="971"/>
        <v>0.74999999999999989</v>
      </c>
      <c r="EG87" s="48">
        <f t="shared" si="971"/>
        <v>0.72999999999999987</v>
      </c>
      <c r="EH87" s="48">
        <f t="shared" si="971"/>
        <v>0.70999999999999985</v>
      </c>
      <c r="EI87" s="48">
        <f t="shared" si="971"/>
        <v>0.68999999999999984</v>
      </c>
      <c r="EJ87" s="48">
        <f t="shared" si="971"/>
        <v>0.66999999999999982</v>
      </c>
      <c r="EK87" s="48">
        <f t="shared" si="971"/>
        <v>0.6499999999999998</v>
      </c>
      <c r="EL87" s="48">
        <f t="shared" si="971"/>
        <v>0.62999999999999978</v>
      </c>
      <c r="EM87" s="48">
        <f t="shared" si="971"/>
        <v>0.60999999999999976</v>
      </c>
      <c r="EN87" s="48">
        <f t="shared" si="971"/>
        <v>0.58999999999999975</v>
      </c>
      <c r="EO87" s="48">
        <f t="shared" si="971"/>
        <v>0.56999999999999973</v>
      </c>
      <c r="EQ87" s="48">
        <f t="shared" si="188"/>
        <v>62023.861899999996</v>
      </c>
      <c r="ER87" s="48">
        <f t="shared" si="956"/>
        <v>62023.861899999996</v>
      </c>
      <c r="ES87" s="51">
        <f t="shared" ref="ES87" si="972">+ER87*3.3058</f>
        <v>205038.48266901998</v>
      </c>
      <c r="ET87" s="48">
        <f t="shared" si="805"/>
        <v>60163.146042999993</v>
      </c>
      <c r="EU87" s="51">
        <f t="shared" si="806"/>
        <v>198887.32818894938</v>
      </c>
      <c r="EV87" s="48">
        <f t="shared" si="807"/>
        <v>58922.668804999994</v>
      </c>
      <c r="EW87" s="51">
        <f t="shared" si="808"/>
        <v>194786.558535569</v>
      </c>
      <c r="EX87" s="48">
        <f t="shared" si="809"/>
        <v>57682.191567000002</v>
      </c>
      <c r="EY87" s="51">
        <f t="shared" si="810"/>
        <v>190685.78888218862</v>
      </c>
      <c r="EZ87" s="52">
        <f t="shared" si="811"/>
        <v>56441.714328999995</v>
      </c>
      <c r="FA87" s="51">
        <f t="shared" si="812"/>
        <v>186585.01922880817</v>
      </c>
      <c r="FB87" s="48">
        <f t="shared" si="813"/>
        <v>55201.237090999995</v>
      </c>
      <c r="FC87" s="51">
        <f t="shared" si="814"/>
        <v>182484.24957542779</v>
      </c>
      <c r="FD87" s="52">
        <f t="shared" si="815"/>
        <v>53960.759852999996</v>
      </c>
      <c r="FE87" s="51">
        <f t="shared" si="816"/>
        <v>178383.47992204738</v>
      </c>
      <c r="FF87" s="53">
        <f t="shared" si="817"/>
        <v>52720.282614999996</v>
      </c>
      <c r="FG87" s="51">
        <f t="shared" si="818"/>
        <v>174282.710268667</v>
      </c>
      <c r="FH87" s="52">
        <f t="shared" si="819"/>
        <v>51479.805376999997</v>
      </c>
      <c r="FI87" s="51">
        <f t="shared" si="820"/>
        <v>170181.94061528658</v>
      </c>
      <c r="FJ87" s="48">
        <f t="shared" si="821"/>
        <v>50239.32813899999</v>
      </c>
      <c r="FK87" s="51">
        <f t="shared" si="822"/>
        <v>166081.17096190617</v>
      </c>
      <c r="FL87" s="53">
        <f t="shared" si="823"/>
        <v>48998.850900999991</v>
      </c>
      <c r="FM87" s="51">
        <f t="shared" si="824"/>
        <v>161980.40130852576</v>
      </c>
      <c r="FN87" s="53">
        <f t="shared" si="825"/>
        <v>47758.373662999991</v>
      </c>
      <c r="FO87" s="51">
        <f t="shared" si="826"/>
        <v>157879.63165514538</v>
      </c>
      <c r="FP87" s="53">
        <f t="shared" si="827"/>
        <v>46517.896424999992</v>
      </c>
      <c r="FQ87" s="51">
        <f t="shared" si="828"/>
        <v>153778.86200176497</v>
      </c>
      <c r="FR87" s="48">
        <f t="shared" si="829"/>
        <v>45277.419186999992</v>
      </c>
      <c r="FS87" s="51">
        <f t="shared" si="830"/>
        <v>149678.09234838458</v>
      </c>
      <c r="FT87" s="53">
        <f t="shared" si="831"/>
        <v>44036.941948999985</v>
      </c>
      <c r="FU87" s="51">
        <f t="shared" si="832"/>
        <v>145577.32269500414</v>
      </c>
      <c r="FV87" s="53">
        <f t="shared" si="833"/>
        <v>42796.464710999986</v>
      </c>
      <c r="FW87" s="51">
        <f t="shared" si="834"/>
        <v>141476.55304162376</v>
      </c>
      <c r="FX87" s="53">
        <f t="shared" si="835"/>
        <v>41555.987472999986</v>
      </c>
      <c r="FY87" s="51">
        <f t="shared" si="836"/>
        <v>137375.78338824335</v>
      </c>
      <c r="FZ87" s="53">
        <f t="shared" si="837"/>
        <v>40315.510234999987</v>
      </c>
      <c r="GA87" s="51">
        <f t="shared" si="838"/>
        <v>133275.01373486297</v>
      </c>
      <c r="GB87" s="48">
        <f t="shared" si="839"/>
        <v>39075.032996999988</v>
      </c>
      <c r="GC87" s="51">
        <f t="shared" si="840"/>
        <v>129174.24408148257</v>
      </c>
      <c r="GD87" s="53">
        <f t="shared" si="841"/>
        <v>37834.555758999981</v>
      </c>
      <c r="GE87" s="51">
        <f t="shared" si="842"/>
        <v>125073.47442810214</v>
      </c>
      <c r="GF87" s="53">
        <f t="shared" si="843"/>
        <v>36594.078520999981</v>
      </c>
      <c r="GG87" s="51">
        <f t="shared" si="844"/>
        <v>120972.70477472174</v>
      </c>
      <c r="GH87" s="48">
        <f t="shared" si="845"/>
        <v>35353.601282999982</v>
      </c>
      <c r="GI87" s="51">
        <f t="shared" si="846"/>
        <v>116871.93512134135</v>
      </c>
      <c r="GJ87" s="48"/>
      <c r="GK87" s="48"/>
      <c r="GL87" s="48">
        <v>1</v>
      </c>
      <c r="GM87" s="48">
        <v>0.97</v>
      </c>
      <c r="GN87" s="48">
        <v>0.95</v>
      </c>
      <c r="GO87" s="48">
        <v>0.93</v>
      </c>
      <c r="GP87" s="48">
        <f t="shared" ref="GP87:HG87" si="973">+GO87-0.02</f>
        <v>0.91</v>
      </c>
      <c r="GQ87" s="48">
        <f t="shared" si="973"/>
        <v>0.89</v>
      </c>
      <c r="GR87" s="48">
        <f t="shared" si="973"/>
        <v>0.87</v>
      </c>
      <c r="GS87" s="48">
        <f t="shared" si="973"/>
        <v>0.85</v>
      </c>
      <c r="GT87" s="48">
        <f t="shared" si="973"/>
        <v>0.83</v>
      </c>
      <c r="GU87" s="48">
        <f t="shared" si="973"/>
        <v>0.80999999999999994</v>
      </c>
      <c r="GV87" s="48">
        <f t="shared" si="973"/>
        <v>0.78999999999999992</v>
      </c>
      <c r="GW87" s="48">
        <f t="shared" si="973"/>
        <v>0.76999999999999991</v>
      </c>
      <c r="GX87" s="48">
        <f t="shared" si="973"/>
        <v>0.74999999999999989</v>
      </c>
      <c r="GY87" s="48">
        <f t="shared" si="973"/>
        <v>0.72999999999999987</v>
      </c>
      <c r="GZ87" s="48">
        <f t="shared" si="973"/>
        <v>0.70999999999999985</v>
      </c>
      <c r="HA87" s="48">
        <f t="shared" si="973"/>
        <v>0.68999999999999984</v>
      </c>
      <c r="HB87" s="48">
        <f t="shared" si="973"/>
        <v>0.66999999999999982</v>
      </c>
      <c r="HC87" s="48">
        <f t="shared" si="973"/>
        <v>0.6499999999999998</v>
      </c>
      <c r="HD87" s="48">
        <f t="shared" si="973"/>
        <v>0.62999999999999978</v>
      </c>
      <c r="HE87" s="48">
        <f t="shared" si="973"/>
        <v>0.60999999999999976</v>
      </c>
      <c r="HF87" s="48">
        <f t="shared" si="973"/>
        <v>0.58999999999999975</v>
      </c>
      <c r="HG87" s="48">
        <f t="shared" si="973"/>
        <v>0.56999999999999973</v>
      </c>
    </row>
    <row r="88" spans="1:215" ht="17.25" thickBot="1" x14ac:dyDescent="0.35">
      <c r="A88" s="2">
        <v>26</v>
      </c>
      <c r="C88" s="39" t="s">
        <v>157</v>
      </c>
      <c r="D88" s="45">
        <f>TRUNC(21240.7106715144+29293.6990091649
+115.177618511076
+1883.06162227462
+14572.4082054618
+9377.58117761851
+5095.34098433017
+2769.87234141412
+4886.93381268222
+945.286378050622
+5250.0127542427
+4787.0099548142,-1)</f>
        <v>100210</v>
      </c>
      <c r="E88" s="74">
        <f t="shared" si="716"/>
        <v>331270</v>
      </c>
      <c r="F88" s="2" t="s">
        <v>375</v>
      </c>
      <c r="G88" s="48">
        <f t="shared" si="948"/>
        <v>110231.00000000001</v>
      </c>
      <c r="H88" s="48">
        <f t="shared" si="949"/>
        <v>110231.00000000001</v>
      </c>
      <c r="I88" s="51">
        <f t="shared" si="950"/>
        <v>364401.63980000006</v>
      </c>
      <c r="J88" s="48">
        <f t="shared" si="717"/>
        <v>106924.07</v>
      </c>
      <c r="K88" s="51">
        <f t="shared" si="718"/>
        <v>353469.59060600004</v>
      </c>
      <c r="L88" s="48">
        <f t="shared" si="719"/>
        <v>104719.45000000001</v>
      </c>
      <c r="M88" s="51">
        <f t="shared" si="720"/>
        <v>346181.55781000003</v>
      </c>
      <c r="N88" s="48">
        <f t="shared" si="721"/>
        <v>102514.83000000002</v>
      </c>
      <c r="O88" s="51">
        <f t="shared" si="722"/>
        <v>338893.52501400007</v>
      </c>
      <c r="P88" s="52">
        <f t="shared" si="723"/>
        <v>100310.21000000002</v>
      </c>
      <c r="Q88" s="51">
        <f t="shared" si="724"/>
        <v>331605.49221800006</v>
      </c>
      <c r="R88" s="48">
        <f t="shared" si="725"/>
        <v>98105.590000000011</v>
      </c>
      <c r="S88" s="51">
        <f t="shared" si="726"/>
        <v>324317.45942200004</v>
      </c>
      <c r="T88" s="52">
        <f t="shared" si="727"/>
        <v>95900.970000000016</v>
      </c>
      <c r="U88" s="51">
        <f t="shared" si="728"/>
        <v>317029.42662600009</v>
      </c>
      <c r="V88" s="53">
        <f t="shared" si="729"/>
        <v>93696.35</v>
      </c>
      <c r="W88" s="51">
        <f t="shared" si="730"/>
        <v>309741.39383000002</v>
      </c>
      <c r="X88" s="52">
        <f t="shared" si="731"/>
        <v>91491.73000000001</v>
      </c>
      <c r="Y88" s="51">
        <f t="shared" si="732"/>
        <v>302453.36103400006</v>
      </c>
      <c r="Z88" s="48">
        <f t="shared" si="733"/>
        <v>89287.11</v>
      </c>
      <c r="AA88" s="51">
        <f t="shared" si="734"/>
        <v>295165.32823799999</v>
      </c>
      <c r="AB88" s="53">
        <f t="shared" si="735"/>
        <v>87082.49</v>
      </c>
      <c r="AC88" s="51">
        <f t="shared" si="736"/>
        <v>287877.29544200003</v>
      </c>
      <c r="AD88" s="53">
        <f t="shared" si="737"/>
        <v>84877.87</v>
      </c>
      <c r="AE88" s="51">
        <f t="shared" si="738"/>
        <v>280589.26264600002</v>
      </c>
      <c r="AF88" s="53">
        <f t="shared" si="739"/>
        <v>82673.25</v>
      </c>
      <c r="AG88" s="51">
        <f t="shared" si="740"/>
        <v>273301.22985</v>
      </c>
      <c r="AH88" s="48">
        <f t="shared" si="741"/>
        <v>80468.62999999999</v>
      </c>
      <c r="AI88" s="51">
        <f t="shared" si="742"/>
        <v>266013.19705399999</v>
      </c>
      <c r="AJ88" s="53">
        <f t="shared" si="743"/>
        <v>78264.009999999995</v>
      </c>
      <c r="AK88" s="51">
        <f t="shared" si="744"/>
        <v>258725.16425799998</v>
      </c>
      <c r="AL88" s="53">
        <f t="shared" si="745"/>
        <v>76059.389999999985</v>
      </c>
      <c r="AM88" s="51">
        <f t="shared" si="746"/>
        <v>251437.13146199996</v>
      </c>
      <c r="AN88" s="53">
        <f t="shared" si="747"/>
        <v>73854.76999999999</v>
      </c>
      <c r="AO88" s="51">
        <f t="shared" si="748"/>
        <v>244149.09866599998</v>
      </c>
      <c r="AP88" s="53">
        <f t="shared" si="749"/>
        <v>71650.149999999994</v>
      </c>
      <c r="AQ88" s="51">
        <f t="shared" si="750"/>
        <v>236861.06586999999</v>
      </c>
      <c r="AR88" s="48">
        <f t="shared" si="751"/>
        <v>69445.529999999984</v>
      </c>
      <c r="AS88" s="51">
        <f t="shared" si="752"/>
        <v>229573.03307399995</v>
      </c>
      <c r="AT88" s="53">
        <f t="shared" si="753"/>
        <v>67240.909999999989</v>
      </c>
      <c r="AU88" s="51">
        <f t="shared" si="754"/>
        <v>222285.00027799996</v>
      </c>
      <c r="AV88" s="53">
        <f t="shared" si="755"/>
        <v>65036.289999999979</v>
      </c>
      <c r="AW88" s="51">
        <f t="shared" si="756"/>
        <v>214996.96748199995</v>
      </c>
      <c r="AX88" s="48">
        <f t="shared" si="757"/>
        <v>62831.669999999976</v>
      </c>
      <c r="AY88" s="51">
        <f t="shared" si="758"/>
        <v>207708.93468599994</v>
      </c>
      <c r="BB88" s="48">
        <v>1</v>
      </c>
      <c r="BC88" s="48">
        <v>0.97</v>
      </c>
      <c r="BD88" s="48">
        <v>0.95</v>
      </c>
      <c r="BE88" s="48">
        <v>0.93</v>
      </c>
      <c r="BF88" s="48">
        <f t="shared" ref="BF88:BW88" si="974">+BE88-0.02</f>
        <v>0.91</v>
      </c>
      <c r="BG88" s="48">
        <f t="shared" si="974"/>
        <v>0.89</v>
      </c>
      <c r="BH88" s="48">
        <f t="shared" si="974"/>
        <v>0.87</v>
      </c>
      <c r="BI88" s="48">
        <f t="shared" si="974"/>
        <v>0.85</v>
      </c>
      <c r="BJ88" s="48">
        <f t="shared" si="974"/>
        <v>0.83</v>
      </c>
      <c r="BK88" s="48">
        <f t="shared" si="974"/>
        <v>0.80999999999999994</v>
      </c>
      <c r="BL88" s="48">
        <f t="shared" si="974"/>
        <v>0.78999999999999992</v>
      </c>
      <c r="BM88" s="48">
        <f t="shared" si="974"/>
        <v>0.76999999999999991</v>
      </c>
      <c r="BN88" s="48">
        <f t="shared" si="974"/>
        <v>0.74999999999999989</v>
      </c>
      <c r="BO88" s="48">
        <f t="shared" si="974"/>
        <v>0.72999999999999987</v>
      </c>
      <c r="BP88" s="48">
        <f t="shared" si="974"/>
        <v>0.70999999999999985</v>
      </c>
      <c r="BQ88" s="48">
        <f t="shared" si="974"/>
        <v>0.68999999999999984</v>
      </c>
      <c r="BR88" s="48">
        <f t="shared" si="974"/>
        <v>0.66999999999999982</v>
      </c>
      <c r="BS88" s="48">
        <f t="shared" si="974"/>
        <v>0.6499999999999998</v>
      </c>
      <c r="BT88" s="48">
        <f t="shared" si="974"/>
        <v>0.62999999999999978</v>
      </c>
      <c r="BU88" s="48">
        <f t="shared" si="974"/>
        <v>0.60999999999999976</v>
      </c>
      <c r="BV88" s="48">
        <f t="shared" si="974"/>
        <v>0.58999999999999975</v>
      </c>
      <c r="BW88" s="48">
        <f t="shared" si="974"/>
        <v>0.56999999999999973</v>
      </c>
      <c r="BY88" s="48">
        <f t="shared" si="952"/>
        <v>100310.21000000002</v>
      </c>
      <c r="BZ88" s="48">
        <f t="shared" si="953"/>
        <v>100310.21000000002</v>
      </c>
      <c r="CA88" s="51">
        <f t="shared" ref="CA88" si="975">+BZ88*3.3058</f>
        <v>331605.49221800006</v>
      </c>
      <c r="CB88" s="48">
        <f t="shared" si="761"/>
        <v>97300.903700000024</v>
      </c>
      <c r="CC88" s="51">
        <f t="shared" si="762"/>
        <v>321657.32745146006</v>
      </c>
      <c r="CD88" s="48">
        <f t="shared" si="763"/>
        <v>95294.699500000017</v>
      </c>
      <c r="CE88" s="51">
        <f t="shared" si="764"/>
        <v>315025.21760710009</v>
      </c>
      <c r="CF88" s="48">
        <f t="shared" si="765"/>
        <v>93288.495300000024</v>
      </c>
      <c r="CG88" s="51">
        <f t="shared" si="766"/>
        <v>308393.10776274011</v>
      </c>
      <c r="CH88" s="52">
        <f t="shared" si="767"/>
        <v>91282.291100000017</v>
      </c>
      <c r="CI88" s="51">
        <f t="shared" si="768"/>
        <v>301760.99791838008</v>
      </c>
      <c r="CJ88" s="48">
        <f t="shared" si="769"/>
        <v>89276.086900000024</v>
      </c>
      <c r="CK88" s="51">
        <f t="shared" si="770"/>
        <v>295128.8880740201</v>
      </c>
      <c r="CL88" s="52">
        <f t="shared" si="771"/>
        <v>87269.882700000016</v>
      </c>
      <c r="CM88" s="51">
        <f t="shared" si="772"/>
        <v>288496.77822966006</v>
      </c>
      <c r="CN88" s="53">
        <f t="shared" si="773"/>
        <v>85263.678500000009</v>
      </c>
      <c r="CO88" s="51">
        <f t="shared" si="774"/>
        <v>281864.66838530003</v>
      </c>
      <c r="CP88" s="52">
        <f t="shared" si="775"/>
        <v>83257.474300000016</v>
      </c>
      <c r="CQ88" s="51">
        <f t="shared" si="776"/>
        <v>275232.55854094005</v>
      </c>
      <c r="CR88" s="48">
        <f t="shared" si="777"/>
        <v>81251.270100000009</v>
      </c>
      <c r="CS88" s="51">
        <f t="shared" si="778"/>
        <v>268600.44869658002</v>
      </c>
      <c r="CT88" s="53">
        <f t="shared" si="779"/>
        <v>79245.065900000016</v>
      </c>
      <c r="CU88" s="51">
        <f t="shared" si="780"/>
        <v>261968.33885222007</v>
      </c>
      <c r="CV88" s="53">
        <f t="shared" si="781"/>
        <v>77238.861700000009</v>
      </c>
      <c r="CW88" s="51">
        <f t="shared" si="782"/>
        <v>255336.22900786003</v>
      </c>
      <c r="CX88" s="53">
        <f t="shared" si="783"/>
        <v>75232.657500000001</v>
      </c>
      <c r="CY88" s="51">
        <f t="shared" si="784"/>
        <v>248704.1191635</v>
      </c>
      <c r="CZ88" s="48">
        <f t="shared" si="785"/>
        <v>73226.453300000008</v>
      </c>
      <c r="DA88" s="51">
        <f t="shared" si="786"/>
        <v>242072.00931914002</v>
      </c>
      <c r="DB88" s="53">
        <f t="shared" si="787"/>
        <v>71220.249100000001</v>
      </c>
      <c r="DC88" s="51">
        <f t="shared" si="788"/>
        <v>235439.89947478002</v>
      </c>
      <c r="DD88" s="53">
        <f t="shared" si="789"/>
        <v>69214.044899999994</v>
      </c>
      <c r="DE88" s="51">
        <f t="shared" si="790"/>
        <v>228807.78963041998</v>
      </c>
      <c r="DF88" s="53">
        <f t="shared" si="791"/>
        <v>67207.840700000001</v>
      </c>
      <c r="DG88" s="51">
        <f t="shared" si="792"/>
        <v>222175.67978606001</v>
      </c>
      <c r="DH88" s="53">
        <f t="shared" si="793"/>
        <v>65201.636499999993</v>
      </c>
      <c r="DI88" s="51">
        <f t="shared" si="794"/>
        <v>215543.56994169997</v>
      </c>
      <c r="DJ88" s="48">
        <f t="shared" si="795"/>
        <v>63195.432299999993</v>
      </c>
      <c r="DK88" s="51">
        <f t="shared" si="796"/>
        <v>208911.46009733999</v>
      </c>
      <c r="DL88" s="53">
        <f t="shared" si="797"/>
        <v>61189.228099999986</v>
      </c>
      <c r="DM88" s="51">
        <f t="shared" si="798"/>
        <v>202279.35025297996</v>
      </c>
      <c r="DN88" s="53">
        <f t="shared" si="799"/>
        <v>59183.023899999986</v>
      </c>
      <c r="DO88" s="51">
        <f t="shared" si="800"/>
        <v>195647.24040861995</v>
      </c>
      <c r="DP88" s="48">
        <f t="shared" si="801"/>
        <v>57176.819699999985</v>
      </c>
      <c r="DQ88" s="51">
        <f t="shared" si="802"/>
        <v>189015.13056425995</v>
      </c>
      <c r="DT88" s="48">
        <v>1</v>
      </c>
      <c r="DU88" s="48">
        <v>0.97</v>
      </c>
      <c r="DV88" s="48">
        <v>0.95</v>
      </c>
      <c r="DW88" s="48">
        <v>0.93</v>
      </c>
      <c r="DX88" s="48">
        <f t="shared" ref="DX88:EO88" si="976">+DW88-0.02</f>
        <v>0.91</v>
      </c>
      <c r="DY88" s="48">
        <f t="shared" si="976"/>
        <v>0.89</v>
      </c>
      <c r="DZ88" s="48">
        <f t="shared" si="976"/>
        <v>0.87</v>
      </c>
      <c r="EA88" s="48">
        <f t="shared" si="976"/>
        <v>0.85</v>
      </c>
      <c r="EB88" s="48">
        <f t="shared" si="976"/>
        <v>0.83</v>
      </c>
      <c r="EC88" s="48">
        <f t="shared" si="976"/>
        <v>0.80999999999999994</v>
      </c>
      <c r="ED88" s="48">
        <f t="shared" si="976"/>
        <v>0.78999999999999992</v>
      </c>
      <c r="EE88" s="48">
        <f t="shared" si="976"/>
        <v>0.76999999999999991</v>
      </c>
      <c r="EF88" s="48">
        <f t="shared" si="976"/>
        <v>0.74999999999999989</v>
      </c>
      <c r="EG88" s="48">
        <f t="shared" si="976"/>
        <v>0.72999999999999987</v>
      </c>
      <c r="EH88" s="48">
        <f t="shared" si="976"/>
        <v>0.70999999999999985</v>
      </c>
      <c r="EI88" s="48">
        <f t="shared" si="976"/>
        <v>0.68999999999999984</v>
      </c>
      <c r="EJ88" s="48">
        <f t="shared" si="976"/>
        <v>0.66999999999999982</v>
      </c>
      <c r="EK88" s="48">
        <f t="shared" si="976"/>
        <v>0.6499999999999998</v>
      </c>
      <c r="EL88" s="48">
        <f t="shared" si="976"/>
        <v>0.62999999999999978</v>
      </c>
      <c r="EM88" s="48">
        <f t="shared" si="976"/>
        <v>0.60999999999999976</v>
      </c>
      <c r="EN88" s="48">
        <f t="shared" si="976"/>
        <v>0.58999999999999975</v>
      </c>
      <c r="EO88" s="48">
        <f t="shared" si="976"/>
        <v>0.56999999999999973</v>
      </c>
      <c r="EQ88" s="48">
        <f t="shared" si="188"/>
        <v>91282.291100000017</v>
      </c>
      <c r="ER88" s="48">
        <f t="shared" si="956"/>
        <v>91282.291100000017</v>
      </c>
      <c r="ES88" s="51">
        <f t="shared" ref="ES88" si="977">+ER88*3.3058</f>
        <v>301760.99791838008</v>
      </c>
      <c r="ET88" s="48">
        <f t="shared" si="805"/>
        <v>88543.822367000015</v>
      </c>
      <c r="EU88" s="51">
        <f t="shared" si="806"/>
        <v>292708.16798082867</v>
      </c>
      <c r="EV88" s="48">
        <f t="shared" si="807"/>
        <v>86718.176545000009</v>
      </c>
      <c r="EW88" s="51">
        <f t="shared" si="808"/>
        <v>286672.94802246103</v>
      </c>
      <c r="EX88" s="48">
        <f t="shared" si="809"/>
        <v>84892.530723000018</v>
      </c>
      <c r="EY88" s="51">
        <f t="shared" si="810"/>
        <v>280637.72806409345</v>
      </c>
      <c r="EZ88" s="52">
        <f t="shared" si="811"/>
        <v>83066.884901000012</v>
      </c>
      <c r="FA88" s="51">
        <f t="shared" si="812"/>
        <v>274602.50810572586</v>
      </c>
      <c r="FB88" s="48">
        <f t="shared" si="813"/>
        <v>81241.239079000021</v>
      </c>
      <c r="FC88" s="51">
        <f t="shared" si="814"/>
        <v>268567.28814735828</v>
      </c>
      <c r="FD88" s="52">
        <f t="shared" si="815"/>
        <v>79415.593257000015</v>
      </c>
      <c r="FE88" s="51">
        <f t="shared" si="816"/>
        <v>262532.06818899064</v>
      </c>
      <c r="FF88" s="53">
        <f t="shared" si="817"/>
        <v>77589.947435000009</v>
      </c>
      <c r="FG88" s="51">
        <f t="shared" si="818"/>
        <v>256496.84823062303</v>
      </c>
      <c r="FH88" s="52">
        <f t="shared" si="819"/>
        <v>75764.301613000003</v>
      </c>
      <c r="FI88" s="51">
        <f t="shared" si="820"/>
        <v>250461.62827225542</v>
      </c>
      <c r="FJ88" s="48">
        <f t="shared" si="821"/>
        <v>73938.655791000012</v>
      </c>
      <c r="FK88" s="51">
        <f t="shared" si="822"/>
        <v>244426.40831388783</v>
      </c>
      <c r="FL88" s="53">
        <f t="shared" si="823"/>
        <v>72113.009969000006</v>
      </c>
      <c r="FM88" s="51">
        <f t="shared" si="824"/>
        <v>238391.18835552022</v>
      </c>
      <c r="FN88" s="53">
        <f t="shared" si="825"/>
        <v>70287.364147</v>
      </c>
      <c r="FO88" s="51">
        <f t="shared" si="826"/>
        <v>232355.96839715261</v>
      </c>
      <c r="FP88" s="53">
        <f t="shared" si="827"/>
        <v>68461.718325000009</v>
      </c>
      <c r="FQ88" s="51">
        <f t="shared" si="828"/>
        <v>226320.74843878503</v>
      </c>
      <c r="FR88" s="48">
        <f t="shared" si="829"/>
        <v>66636.072503000003</v>
      </c>
      <c r="FS88" s="51">
        <f t="shared" si="830"/>
        <v>220285.52848041742</v>
      </c>
      <c r="FT88" s="53">
        <f t="shared" si="831"/>
        <v>64810.426680999997</v>
      </c>
      <c r="FU88" s="51">
        <f t="shared" si="832"/>
        <v>214250.3085220498</v>
      </c>
      <c r="FV88" s="53">
        <f t="shared" si="833"/>
        <v>62984.780858999999</v>
      </c>
      <c r="FW88" s="51">
        <f t="shared" si="834"/>
        <v>208215.08856368219</v>
      </c>
      <c r="FX88" s="53">
        <f t="shared" si="835"/>
        <v>61159.135036999993</v>
      </c>
      <c r="FY88" s="51">
        <f t="shared" si="836"/>
        <v>202179.86860531458</v>
      </c>
      <c r="FZ88" s="53">
        <f t="shared" si="837"/>
        <v>59333.489214999994</v>
      </c>
      <c r="GA88" s="51">
        <f t="shared" si="838"/>
        <v>196144.648646947</v>
      </c>
      <c r="GB88" s="48">
        <f t="shared" si="839"/>
        <v>57507.843392999988</v>
      </c>
      <c r="GC88" s="51">
        <f t="shared" si="840"/>
        <v>190109.42868857936</v>
      </c>
      <c r="GD88" s="53">
        <f t="shared" si="841"/>
        <v>55682.19757099999</v>
      </c>
      <c r="GE88" s="51">
        <f t="shared" si="842"/>
        <v>184074.20873021177</v>
      </c>
      <c r="GF88" s="53">
        <f t="shared" si="843"/>
        <v>53856.551748999984</v>
      </c>
      <c r="GG88" s="51">
        <f t="shared" si="844"/>
        <v>178038.98877184416</v>
      </c>
      <c r="GH88" s="48">
        <f t="shared" si="845"/>
        <v>52030.905926999985</v>
      </c>
      <c r="GI88" s="51">
        <f t="shared" si="846"/>
        <v>172003.76881347655</v>
      </c>
      <c r="GJ88" s="48"/>
      <c r="GK88" s="48"/>
      <c r="GL88" s="48">
        <v>1</v>
      </c>
      <c r="GM88" s="48">
        <v>0.97</v>
      </c>
      <c r="GN88" s="48">
        <v>0.95</v>
      </c>
      <c r="GO88" s="48">
        <v>0.93</v>
      </c>
      <c r="GP88" s="48">
        <f t="shared" ref="GP88:HG88" si="978">+GO88-0.02</f>
        <v>0.91</v>
      </c>
      <c r="GQ88" s="48">
        <f t="shared" si="978"/>
        <v>0.89</v>
      </c>
      <c r="GR88" s="48">
        <f t="shared" si="978"/>
        <v>0.87</v>
      </c>
      <c r="GS88" s="48">
        <f t="shared" si="978"/>
        <v>0.85</v>
      </c>
      <c r="GT88" s="48">
        <f t="shared" si="978"/>
        <v>0.83</v>
      </c>
      <c r="GU88" s="48">
        <f t="shared" si="978"/>
        <v>0.80999999999999994</v>
      </c>
      <c r="GV88" s="48">
        <f t="shared" si="978"/>
        <v>0.78999999999999992</v>
      </c>
      <c r="GW88" s="48">
        <f t="shared" si="978"/>
        <v>0.76999999999999991</v>
      </c>
      <c r="GX88" s="48">
        <f t="shared" si="978"/>
        <v>0.74999999999999989</v>
      </c>
      <c r="GY88" s="48">
        <f t="shared" si="978"/>
        <v>0.72999999999999987</v>
      </c>
      <c r="GZ88" s="48">
        <f t="shared" si="978"/>
        <v>0.70999999999999985</v>
      </c>
      <c r="HA88" s="48">
        <f t="shared" si="978"/>
        <v>0.68999999999999984</v>
      </c>
      <c r="HB88" s="48">
        <f t="shared" si="978"/>
        <v>0.66999999999999982</v>
      </c>
      <c r="HC88" s="48">
        <f t="shared" si="978"/>
        <v>0.6499999999999998</v>
      </c>
      <c r="HD88" s="48">
        <f t="shared" si="978"/>
        <v>0.62999999999999978</v>
      </c>
      <c r="HE88" s="48">
        <f t="shared" si="978"/>
        <v>0.60999999999999976</v>
      </c>
      <c r="HF88" s="48">
        <f t="shared" si="978"/>
        <v>0.58999999999999975</v>
      </c>
      <c r="HG88" s="48">
        <f t="shared" si="978"/>
        <v>0.56999999999999973</v>
      </c>
    </row>
    <row r="89" spans="1:215" x14ac:dyDescent="0.3">
      <c r="A89" s="2">
        <v>27</v>
      </c>
      <c r="C89" s="27" t="s">
        <v>158</v>
      </c>
      <c r="D89" s="40">
        <f>SUM(D63:D88)</f>
        <v>261870</v>
      </c>
      <c r="E89" s="40">
        <f>SUM(E63:E88)</f>
        <v>865650</v>
      </c>
      <c r="G89" s="48">
        <f t="shared" si="948"/>
        <v>288057</v>
      </c>
      <c r="H89" s="48">
        <f t="shared" si="949"/>
        <v>288057</v>
      </c>
      <c r="I89" s="51">
        <f t="shared" si="950"/>
        <v>952258.83059999999</v>
      </c>
      <c r="J89" s="48">
        <f t="shared" si="717"/>
        <v>279415.28999999998</v>
      </c>
      <c r="K89" s="51">
        <f t="shared" si="718"/>
        <v>923691.0656819999</v>
      </c>
      <c r="L89" s="48">
        <f t="shared" si="719"/>
        <v>273654.14999999997</v>
      </c>
      <c r="M89" s="51">
        <f t="shared" si="720"/>
        <v>904645.88906999992</v>
      </c>
      <c r="N89" s="48">
        <f t="shared" si="721"/>
        <v>267893.01</v>
      </c>
      <c r="O89" s="51">
        <f t="shared" si="722"/>
        <v>885600.71245800005</v>
      </c>
      <c r="P89" s="52">
        <f t="shared" si="723"/>
        <v>262131.87</v>
      </c>
      <c r="Q89" s="51">
        <f t="shared" si="724"/>
        <v>866555.53584599996</v>
      </c>
      <c r="R89" s="48">
        <f t="shared" si="725"/>
        <v>256370.73</v>
      </c>
      <c r="S89" s="51">
        <f t="shared" si="726"/>
        <v>847510.35923400009</v>
      </c>
      <c r="T89" s="52">
        <f t="shared" si="727"/>
        <v>250609.59</v>
      </c>
      <c r="U89" s="51">
        <f t="shared" si="728"/>
        <v>828465.18262199999</v>
      </c>
      <c r="V89" s="53">
        <f t="shared" si="729"/>
        <v>244848.44999999998</v>
      </c>
      <c r="W89" s="51">
        <f t="shared" si="730"/>
        <v>809420.00601000001</v>
      </c>
      <c r="X89" s="52">
        <f t="shared" si="731"/>
        <v>239087.31</v>
      </c>
      <c r="Y89" s="51">
        <f t="shared" si="732"/>
        <v>790374.82939800003</v>
      </c>
      <c r="Z89" s="48">
        <f t="shared" si="733"/>
        <v>233326.16999999998</v>
      </c>
      <c r="AA89" s="51">
        <f t="shared" si="734"/>
        <v>771329.65278599993</v>
      </c>
      <c r="AB89" s="53">
        <f t="shared" si="735"/>
        <v>227565.02999999997</v>
      </c>
      <c r="AC89" s="51">
        <f t="shared" si="736"/>
        <v>752284.47617399995</v>
      </c>
      <c r="AD89" s="53">
        <f t="shared" si="737"/>
        <v>221803.88999999998</v>
      </c>
      <c r="AE89" s="51">
        <f t="shared" si="738"/>
        <v>733239.29956199997</v>
      </c>
      <c r="AF89" s="53">
        <f t="shared" si="739"/>
        <v>216042.74999999997</v>
      </c>
      <c r="AG89" s="51">
        <f t="shared" si="740"/>
        <v>714194.12294999987</v>
      </c>
      <c r="AH89" s="48">
        <f t="shared" si="741"/>
        <v>210281.60999999996</v>
      </c>
      <c r="AI89" s="51">
        <f t="shared" si="742"/>
        <v>695148.94633799989</v>
      </c>
      <c r="AJ89" s="53">
        <f t="shared" si="743"/>
        <v>204520.46999999997</v>
      </c>
      <c r="AK89" s="51">
        <f t="shared" si="744"/>
        <v>676103.76972599991</v>
      </c>
      <c r="AL89" s="53">
        <f t="shared" si="745"/>
        <v>198759.32999999996</v>
      </c>
      <c r="AM89" s="51">
        <f t="shared" si="746"/>
        <v>657058.59311399993</v>
      </c>
      <c r="AN89" s="53">
        <f t="shared" si="747"/>
        <v>192998.18999999994</v>
      </c>
      <c r="AO89" s="51">
        <f t="shared" si="748"/>
        <v>638013.41650199983</v>
      </c>
      <c r="AP89" s="53">
        <f t="shared" si="749"/>
        <v>187237.04999999993</v>
      </c>
      <c r="AQ89" s="51">
        <f t="shared" si="750"/>
        <v>618968.23988999974</v>
      </c>
      <c r="AR89" s="48">
        <f t="shared" si="751"/>
        <v>181475.90999999995</v>
      </c>
      <c r="AS89" s="51">
        <f t="shared" si="752"/>
        <v>599923.06327799987</v>
      </c>
      <c r="AT89" s="53">
        <f t="shared" si="753"/>
        <v>175714.76999999993</v>
      </c>
      <c r="AU89" s="51">
        <f t="shared" si="754"/>
        <v>580877.88666599977</v>
      </c>
      <c r="AV89" s="53">
        <f t="shared" si="755"/>
        <v>169953.62999999992</v>
      </c>
      <c r="AW89" s="51">
        <f t="shared" si="756"/>
        <v>561832.71005399979</v>
      </c>
      <c r="AX89" s="48">
        <f t="shared" si="757"/>
        <v>164192.48999999993</v>
      </c>
      <c r="AY89" s="51">
        <f t="shared" si="758"/>
        <v>542787.53344199981</v>
      </c>
      <c r="BB89" s="48">
        <v>1</v>
      </c>
      <c r="BC89" s="48">
        <v>0.97</v>
      </c>
      <c r="BD89" s="48">
        <v>0.95</v>
      </c>
      <c r="BE89" s="48">
        <v>0.93</v>
      </c>
      <c r="BF89" s="48">
        <f t="shared" ref="BF89:BW89" si="979">+BE89-0.02</f>
        <v>0.91</v>
      </c>
      <c r="BG89" s="48">
        <f t="shared" si="979"/>
        <v>0.89</v>
      </c>
      <c r="BH89" s="48">
        <f t="shared" si="979"/>
        <v>0.87</v>
      </c>
      <c r="BI89" s="48">
        <f t="shared" si="979"/>
        <v>0.85</v>
      </c>
      <c r="BJ89" s="48">
        <f t="shared" si="979"/>
        <v>0.83</v>
      </c>
      <c r="BK89" s="48">
        <f t="shared" si="979"/>
        <v>0.80999999999999994</v>
      </c>
      <c r="BL89" s="48">
        <f t="shared" si="979"/>
        <v>0.78999999999999992</v>
      </c>
      <c r="BM89" s="48">
        <f t="shared" si="979"/>
        <v>0.76999999999999991</v>
      </c>
      <c r="BN89" s="48">
        <f t="shared" si="979"/>
        <v>0.74999999999999989</v>
      </c>
      <c r="BO89" s="48">
        <f t="shared" si="979"/>
        <v>0.72999999999999987</v>
      </c>
      <c r="BP89" s="48">
        <f t="shared" si="979"/>
        <v>0.70999999999999985</v>
      </c>
      <c r="BQ89" s="48">
        <f t="shared" si="979"/>
        <v>0.68999999999999984</v>
      </c>
      <c r="BR89" s="48">
        <f t="shared" si="979"/>
        <v>0.66999999999999982</v>
      </c>
      <c r="BS89" s="48">
        <f t="shared" si="979"/>
        <v>0.6499999999999998</v>
      </c>
      <c r="BT89" s="48">
        <f t="shared" si="979"/>
        <v>0.62999999999999978</v>
      </c>
      <c r="BU89" s="48">
        <f t="shared" si="979"/>
        <v>0.60999999999999976</v>
      </c>
      <c r="BV89" s="48">
        <f t="shared" si="979"/>
        <v>0.58999999999999975</v>
      </c>
      <c r="BW89" s="48">
        <f t="shared" si="979"/>
        <v>0.56999999999999973</v>
      </c>
      <c r="BY89" s="48">
        <f t="shared" si="952"/>
        <v>262131.87</v>
      </c>
      <c r="BZ89" s="48">
        <f t="shared" si="953"/>
        <v>262131.87</v>
      </c>
      <c r="CA89" s="51">
        <f t="shared" ref="CA89" si="980">+BZ89*3.3058</f>
        <v>866555.53584599996</v>
      </c>
      <c r="CB89" s="48">
        <f t="shared" si="761"/>
        <v>254267.91389999999</v>
      </c>
      <c r="CC89" s="51">
        <f t="shared" si="762"/>
        <v>840558.86977062002</v>
      </c>
      <c r="CD89" s="48">
        <f t="shared" si="763"/>
        <v>249025.27649999998</v>
      </c>
      <c r="CE89" s="51">
        <f t="shared" si="764"/>
        <v>823227.75905369991</v>
      </c>
      <c r="CF89" s="48">
        <f t="shared" si="765"/>
        <v>243782.6391</v>
      </c>
      <c r="CG89" s="51">
        <f t="shared" si="766"/>
        <v>805896.64833678002</v>
      </c>
      <c r="CH89" s="52">
        <f t="shared" si="767"/>
        <v>238540.00169999999</v>
      </c>
      <c r="CI89" s="51">
        <f t="shared" si="768"/>
        <v>788565.53761986003</v>
      </c>
      <c r="CJ89" s="48">
        <f t="shared" si="769"/>
        <v>233297.36429999999</v>
      </c>
      <c r="CK89" s="51">
        <f t="shared" si="770"/>
        <v>771234.42690293991</v>
      </c>
      <c r="CL89" s="52">
        <f t="shared" si="771"/>
        <v>228054.72690000001</v>
      </c>
      <c r="CM89" s="51">
        <f t="shared" si="772"/>
        <v>753903.31618602003</v>
      </c>
      <c r="CN89" s="53">
        <f t="shared" si="773"/>
        <v>222812.0895</v>
      </c>
      <c r="CO89" s="51">
        <f t="shared" si="774"/>
        <v>736572.20546910004</v>
      </c>
      <c r="CP89" s="52">
        <f t="shared" si="775"/>
        <v>217569.45209999999</v>
      </c>
      <c r="CQ89" s="51">
        <f t="shared" si="776"/>
        <v>719241.09475218004</v>
      </c>
      <c r="CR89" s="48">
        <f t="shared" si="777"/>
        <v>212326.81469999999</v>
      </c>
      <c r="CS89" s="51">
        <f t="shared" si="778"/>
        <v>701909.98403525993</v>
      </c>
      <c r="CT89" s="53">
        <f t="shared" si="779"/>
        <v>207084.17729999998</v>
      </c>
      <c r="CU89" s="51">
        <f t="shared" si="780"/>
        <v>684578.87331833993</v>
      </c>
      <c r="CV89" s="53">
        <f t="shared" si="781"/>
        <v>201841.53989999997</v>
      </c>
      <c r="CW89" s="51">
        <f t="shared" si="782"/>
        <v>667247.76260141993</v>
      </c>
      <c r="CX89" s="53">
        <f t="shared" si="783"/>
        <v>196598.90249999997</v>
      </c>
      <c r="CY89" s="51">
        <f t="shared" si="784"/>
        <v>649916.65188449994</v>
      </c>
      <c r="CZ89" s="48">
        <f t="shared" si="785"/>
        <v>191356.26509999996</v>
      </c>
      <c r="DA89" s="51">
        <f t="shared" si="786"/>
        <v>632585.54116757994</v>
      </c>
      <c r="DB89" s="53">
        <f t="shared" si="787"/>
        <v>186113.62769999995</v>
      </c>
      <c r="DC89" s="51">
        <f t="shared" si="788"/>
        <v>615254.43045065983</v>
      </c>
      <c r="DD89" s="53">
        <f t="shared" si="789"/>
        <v>180870.99029999995</v>
      </c>
      <c r="DE89" s="51">
        <f t="shared" si="790"/>
        <v>597923.31973373983</v>
      </c>
      <c r="DF89" s="53">
        <f t="shared" si="791"/>
        <v>175628.35289999994</v>
      </c>
      <c r="DG89" s="51">
        <f t="shared" si="792"/>
        <v>580592.20901681983</v>
      </c>
      <c r="DH89" s="53">
        <f t="shared" si="793"/>
        <v>170385.71549999993</v>
      </c>
      <c r="DI89" s="51">
        <f t="shared" si="794"/>
        <v>563261.09829989984</v>
      </c>
      <c r="DJ89" s="48">
        <f t="shared" si="795"/>
        <v>165143.07809999993</v>
      </c>
      <c r="DK89" s="51">
        <f t="shared" si="796"/>
        <v>545929.98758297972</v>
      </c>
      <c r="DL89" s="53">
        <f t="shared" si="797"/>
        <v>159900.44069999995</v>
      </c>
      <c r="DM89" s="51">
        <f t="shared" si="798"/>
        <v>528598.87686605984</v>
      </c>
      <c r="DN89" s="53">
        <f t="shared" si="799"/>
        <v>154657.80329999994</v>
      </c>
      <c r="DO89" s="51">
        <f t="shared" si="800"/>
        <v>511267.76614913979</v>
      </c>
      <c r="DP89" s="48">
        <f t="shared" si="801"/>
        <v>149415.16589999993</v>
      </c>
      <c r="DQ89" s="51">
        <f t="shared" si="802"/>
        <v>493936.65543221979</v>
      </c>
      <c r="DT89" s="48">
        <v>1</v>
      </c>
      <c r="DU89" s="48">
        <v>0.97</v>
      </c>
      <c r="DV89" s="48">
        <v>0.95</v>
      </c>
      <c r="DW89" s="48">
        <v>0.93</v>
      </c>
      <c r="DX89" s="48">
        <f t="shared" ref="DX89:EO89" si="981">+DW89-0.02</f>
        <v>0.91</v>
      </c>
      <c r="DY89" s="48">
        <f t="shared" si="981"/>
        <v>0.89</v>
      </c>
      <c r="DZ89" s="48">
        <f t="shared" si="981"/>
        <v>0.87</v>
      </c>
      <c r="EA89" s="48">
        <f t="shared" si="981"/>
        <v>0.85</v>
      </c>
      <c r="EB89" s="48">
        <f t="shared" si="981"/>
        <v>0.83</v>
      </c>
      <c r="EC89" s="48">
        <f t="shared" si="981"/>
        <v>0.80999999999999994</v>
      </c>
      <c r="ED89" s="48">
        <f t="shared" si="981"/>
        <v>0.78999999999999992</v>
      </c>
      <c r="EE89" s="48">
        <f t="shared" si="981"/>
        <v>0.76999999999999991</v>
      </c>
      <c r="EF89" s="48">
        <f t="shared" si="981"/>
        <v>0.74999999999999989</v>
      </c>
      <c r="EG89" s="48">
        <f t="shared" si="981"/>
        <v>0.72999999999999987</v>
      </c>
      <c r="EH89" s="48">
        <f t="shared" si="981"/>
        <v>0.70999999999999985</v>
      </c>
      <c r="EI89" s="48">
        <f t="shared" si="981"/>
        <v>0.68999999999999984</v>
      </c>
      <c r="EJ89" s="48">
        <f t="shared" si="981"/>
        <v>0.66999999999999982</v>
      </c>
      <c r="EK89" s="48">
        <f t="shared" si="981"/>
        <v>0.6499999999999998</v>
      </c>
      <c r="EL89" s="48">
        <f t="shared" si="981"/>
        <v>0.62999999999999978</v>
      </c>
      <c r="EM89" s="48">
        <f t="shared" si="981"/>
        <v>0.60999999999999976</v>
      </c>
      <c r="EN89" s="48">
        <f t="shared" si="981"/>
        <v>0.58999999999999975</v>
      </c>
      <c r="EO89" s="48">
        <f t="shared" si="981"/>
        <v>0.56999999999999973</v>
      </c>
      <c r="EQ89" s="48">
        <f t="shared" si="188"/>
        <v>238540.00169999999</v>
      </c>
      <c r="ER89" s="48">
        <f t="shared" si="956"/>
        <v>238540.00169999999</v>
      </c>
      <c r="ES89" s="51">
        <f t="shared" ref="ES89" si="982">+ER89*3.3058</f>
        <v>788565.53761986003</v>
      </c>
      <c r="ET89" s="48">
        <f t="shared" si="805"/>
        <v>231383.801649</v>
      </c>
      <c r="EU89" s="51">
        <f t="shared" si="806"/>
        <v>764908.57149126427</v>
      </c>
      <c r="EV89" s="48">
        <f t="shared" si="807"/>
        <v>226613.00161499999</v>
      </c>
      <c r="EW89" s="51">
        <f t="shared" si="808"/>
        <v>749137.26073886699</v>
      </c>
      <c r="EX89" s="48">
        <f t="shared" si="809"/>
        <v>221842.201581</v>
      </c>
      <c r="EY89" s="51">
        <f t="shared" si="810"/>
        <v>733365.94998646982</v>
      </c>
      <c r="EZ89" s="52">
        <f t="shared" si="811"/>
        <v>217071.40154700002</v>
      </c>
      <c r="FA89" s="51">
        <f t="shared" si="812"/>
        <v>717594.63923407265</v>
      </c>
      <c r="FB89" s="48">
        <f t="shared" si="813"/>
        <v>212300.601513</v>
      </c>
      <c r="FC89" s="51">
        <f t="shared" si="814"/>
        <v>701823.32848167547</v>
      </c>
      <c r="FD89" s="52">
        <f t="shared" si="815"/>
        <v>207529.80147899999</v>
      </c>
      <c r="FE89" s="51">
        <f t="shared" si="816"/>
        <v>686052.01772927819</v>
      </c>
      <c r="FF89" s="53">
        <f t="shared" si="817"/>
        <v>202759.001445</v>
      </c>
      <c r="FG89" s="51">
        <f t="shared" si="818"/>
        <v>670280.70697688102</v>
      </c>
      <c r="FH89" s="52">
        <f t="shared" si="819"/>
        <v>197988.20141099999</v>
      </c>
      <c r="FI89" s="51">
        <f t="shared" si="820"/>
        <v>654509.39622448373</v>
      </c>
      <c r="FJ89" s="48">
        <f t="shared" si="821"/>
        <v>193217.40137699997</v>
      </c>
      <c r="FK89" s="51">
        <f t="shared" si="822"/>
        <v>638738.08547208656</v>
      </c>
      <c r="FL89" s="53">
        <f t="shared" si="823"/>
        <v>188446.60134299999</v>
      </c>
      <c r="FM89" s="51">
        <f t="shared" si="824"/>
        <v>622966.77471968939</v>
      </c>
      <c r="FN89" s="53">
        <f t="shared" si="825"/>
        <v>183675.80130899997</v>
      </c>
      <c r="FO89" s="51">
        <f t="shared" si="826"/>
        <v>607195.4639672921</v>
      </c>
      <c r="FP89" s="53">
        <f t="shared" si="827"/>
        <v>178905.00127499996</v>
      </c>
      <c r="FQ89" s="51">
        <f t="shared" si="828"/>
        <v>591424.15321489493</v>
      </c>
      <c r="FR89" s="48">
        <f t="shared" si="829"/>
        <v>174134.20124099997</v>
      </c>
      <c r="FS89" s="51">
        <f t="shared" si="830"/>
        <v>575652.84246249776</v>
      </c>
      <c r="FT89" s="53">
        <f t="shared" si="831"/>
        <v>169363.40120699996</v>
      </c>
      <c r="FU89" s="51">
        <f t="shared" si="832"/>
        <v>559881.53171010048</v>
      </c>
      <c r="FV89" s="53">
        <f t="shared" si="833"/>
        <v>164592.60117299994</v>
      </c>
      <c r="FW89" s="51">
        <f t="shared" si="834"/>
        <v>544110.22095770319</v>
      </c>
      <c r="FX89" s="53">
        <f t="shared" si="835"/>
        <v>159821.80113899996</v>
      </c>
      <c r="FY89" s="51">
        <f t="shared" si="836"/>
        <v>528338.91020530602</v>
      </c>
      <c r="FZ89" s="53">
        <f t="shared" si="837"/>
        <v>155051.00110499994</v>
      </c>
      <c r="GA89" s="51">
        <f t="shared" si="838"/>
        <v>512567.59945290885</v>
      </c>
      <c r="GB89" s="48">
        <f t="shared" si="839"/>
        <v>150280.20107099993</v>
      </c>
      <c r="GC89" s="51">
        <f t="shared" si="840"/>
        <v>496796.28870051156</v>
      </c>
      <c r="GD89" s="53">
        <f t="shared" si="841"/>
        <v>145509.40103699995</v>
      </c>
      <c r="GE89" s="51">
        <f t="shared" si="842"/>
        <v>481024.97794811445</v>
      </c>
      <c r="GF89" s="53">
        <f t="shared" si="843"/>
        <v>140738.60100299993</v>
      </c>
      <c r="GG89" s="51">
        <f t="shared" si="844"/>
        <v>465253.66719571716</v>
      </c>
      <c r="GH89" s="48">
        <f t="shared" si="845"/>
        <v>135967.80096899995</v>
      </c>
      <c r="GI89" s="51">
        <f t="shared" si="846"/>
        <v>449482.35644332005</v>
      </c>
      <c r="GJ89" s="48"/>
      <c r="GK89" s="48"/>
      <c r="GL89" s="48">
        <v>1</v>
      </c>
      <c r="GM89" s="48">
        <v>0.97</v>
      </c>
      <c r="GN89" s="48">
        <v>0.95</v>
      </c>
      <c r="GO89" s="48">
        <v>0.93</v>
      </c>
      <c r="GP89" s="48">
        <f t="shared" ref="GP89:HG89" si="983">+GO89-0.02</f>
        <v>0.91</v>
      </c>
      <c r="GQ89" s="48">
        <f t="shared" si="983"/>
        <v>0.89</v>
      </c>
      <c r="GR89" s="48">
        <f t="shared" si="983"/>
        <v>0.87</v>
      </c>
      <c r="GS89" s="48">
        <f t="shared" si="983"/>
        <v>0.85</v>
      </c>
      <c r="GT89" s="48">
        <f t="shared" si="983"/>
        <v>0.83</v>
      </c>
      <c r="GU89" s="48">
        <f t="shared" si="983"/>
        <v>0.80999999999999994</v>
      </c>
      <c r="GV89" s="48">
        <f t="shared" si="983"/>
        <v>0.78999999999999992</v>
      </c>
      <c r="GW89" s="48">
        <f t="shared" si="983"/>
        <v>0.76999999999999991</v>
      </c>
      <c r="GX89" s="48">
        <f t="shared" si="983"/>
        <v>0.74999999999999989</v>
      </c>
      <c r="GY89" s="48">
        <f t="shared" si="983"/>
        <v>0.72999999999999987</v>
      </c>
      <c r="GZ89" s="48">
        <f t="shared" si="983"/>
        <v>0.70999999999999985</v>
      </c>
      <c r="HA89" s="48">
        <f t="shared" si="983"/>
        <v>0.68999999999999984</v>
      </c>
      <c r="HB89" s="48">
        <f t="shared" si="983"/>
        <v>0.66999999999999982</v>
      </c>
      <c r="HC89" s="48">
        <f t="shared" si="983"/>
        <v>0.6499999999999998</v>
      </c>
      <c r="HD89" s="48">
        <f t="shared" si="983"/>
        <v>0.62999999999999978</v>
      </c>
      <c r="HE89" s="48">
        <f t="shared" si="983"/>
        <v>0.60999999999999976</v>
      </c>
      <c r="HF89" s="48">
        <f t="shared" si="983"/>
        <v>0.58999999999999975</v>
      </c>
      <c r="HG89" s="48">
        <f t="shared" si="983"/>
        <v>0.56999999999999973</v>
      </c>
    </row>
    <row r="90" spans="1:215" s="54" customFormat="1" x14ac:dyDescent="0.3">
      <c r="C90" s="55"/>
      <c r="D90" s="55"/>
      <c r="E90" s="55"/>
      <c r="G90" s="56"/>
      <c r="H90" s="56"/>
      <c r="I90" s="56"/>
      <c r="J90" s="56"/>
      <c r="K90" s="56"/>
      <c r="L90" s="56"/>
      <c r="M90" s="56"/>
      <c r="N90" s="56"/>
      <c r="O90" s="56"/>
      <c r="P90" s="57"/>
      <c r="Q90" s="56"/>
      <c r="R90" s="56"/>
      <c r="S90" s="56"/>
      <c r="T90" s="57"/>
      <c r="U90" s="56"/>
      <c r="V90" s="58"/>
      <c r="W90" s="56"/>
      <c r="X90" s="57"/>
      <c r="Y90" s="56"/>
      <c r="Z90" s="56"/>
      <c r="AA90" s="56"/>
      <c r="AB90" s="58"/>
      <c r="AC90" s="56"/>
      <c r="AD90" s="58"/>
      <c r="AE90" s="56"/>
      <c r="AF90" s="58"/>
      <c r="AG90" s="56"/>
      <c r="AH90" s="56"/>
      <c r="AI90" s="56"/>
      <c r="AJ90" s="58"/>
      <c r="AK90" s="56"/>
      <c r="AL90" s="58"/>
      <c r="AM90" s="56"/>
      <c r="AN90" s="58"/>
      <c r="AO90" s="56"/>
      <c r="AP90" s="58"/>
      <c r="AQ90" s="56"/>
      <c r="AR90" s="56"/>
      <c r="AS90" s="56"/>
      <c r="AT90" s="58"/>
      <c r="AU90" s="56"/>
      <c r="AV90" s="58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>
        <f t="shared" si="952"/>
        <v>0</v>
      </c>
      <c r="BZ90" s="56"/>
      <c r="CA90" s="56"/>
      <c r="CB90" s="56"/>
      <c r="CC90" s="56"/>
      <c r="CD90" s="56"/>
      <c r="CE90" s="56"/>
      <c r="CF90" s="56"/>
      <c r="CG90" s="56"/>
      <c r="CH90" s="57"/>
      <c r="CI90" s="56"/>
      <c r="CJ90" s="56"/>
      <c r="CK90" s="56"/>
      <c r="CL90" s="57"/>
      <c r="CM90" s="56"/>
      <c r="CN90" s="58"/>
      <c r="CO90" s="56"/>
      <c r="CP90" s="57"/>
      <c r="CQ90" s="56"/>
      <c r="CR90" s="56"/>
      <c r="CS90" s="56"/>
      <c r="CT90" s="58"/>
      <c r="CU90" s="56"/>
      <c r="CV90" s="58"/>
      <c r="CW90" s="56"/>
      <c r="CX90" s="58"/>
      <c r="CY90" s="56"/>
      <c r="CZ90" s="56"/>
      <c r="DA90" s="56"/>
      <c r="DB90" s="58"/>
      <c r="DC90" s="56"/>
      <c r="DD90" s="58"/>
      <c r="DE90" s="56"/>
      <c r="DF90" s="58"/>
      <c r="DG90" s="56"/>
      <c r="DH90" s="58"/>
      <c r="DI90" s="56"/>
      <c r="DJ90" s="56"/>
      <c r="DK90" s="56"/>
      <c r="DL90" s="58"/>
      <c r="DM90" s="56"/>
      <c r="DN90" s="58"/>
      <c r="DO90" s="56"/>
      <c r="DP90" s="56"/>
      <c r="DQ90" s="56"/>
      <c r="DR90" s="56"/>
      <c r="DS90" s="56"/>
      <c r="DT90" s="56">
        <v>1</v>
      </c>
      <c r="DU90" s="56">
        <v>0.97</v>
      </c>
      <c r="DV90" s="56">
        <v>0.95</v>
      </c>
      <c r="DW90" s="56">
        <v>0.93</v>
      </c>
      <c r="DX90" s="56">
        <f t="shared" ref="DX90:EO90" si="984">+DW90-0.02</f>
        <v>0.91</v>
      </c>
      <c r="DY90" s="56">
        <f t="shared" si="984"/>
        <v>0.89</v>
      </c>
      <c r="DZ90" s="56">
        <f t="shared" si="984"/>
        <v>0.87</v>
      </c>
      <c r="EA90" s="56">
        <f t="shared" si="984"/>
        <v>0.85</v>
      </c>
      <c r="EB90" s="56">
        <f t="shared" si="984"/>
        <v>0.83</v>
      </c>
      <c r="EC90" s="56">
        <f t="shared" si="984"/>
        <v>0.80999999999999994</v>
      </c>
      <c r="ED90" s="56">
        <f t="shared" si="984"/>
        <v>0.78999999999999992</v>
      </c>
      <c r="EE90" s="56">
        <f t="shared" si="984"/>
        <v>0.76999999999999991</v>
      </c>
      <c r="EF90" s="56">
        <f t="shared" si="984"/>
        <v>0.74999999999999989</v>
      </c>
      <c r="EG90" s="56">
        <f t="shared" si="984"/>
        <v>0.72999999999999987</v>
      </c>
      <c r="EH90" s="56">
        <f t="shared" si="984"/>
        <v>0.70999999999999985</v>
      </c>
      <c r="EI90" s="56">
        <f t="shared" si="984"/>
        <v>0.68999999999999984</v>
      </c>
      <c r="EJ90" s="56">
        <f t="shared" si="984"/>
        <v>0.66999999999999982</v>
      </c>
      <c r="EK90" s="56">
        <f t="shared" si="984"/>
        <v>0.6499999999999998</v>
      </c>
      <c r="EL90" s="56">
        <f t="shared" si="984"/>
        <v>0.62999999999999978</v>
      </c>
      <c r="EM90" s="56">
        <f t="shared" si="984"/>
        <v>0.60999999999999976</v>
      </c>
      <c r="EN90" s="56">
        <f t="shared" si="984"/>
        <v>0.58999999999999975</v>
      </c>
      <c r="EO90" s="56">
        <f t="shared" si="984"/>
        <v>0.56999999999999973</v>
      </c>
      <c r="EQ90" s="56">
        <f t="shared" si="188"/>
        <v>0</v>
      </c>
      <c r="ER90" s="56"/>
      <c r="ES90" s="56"/>
      <c r="ET90" s="56"/>
      <c r="EU90" s="56"/>
      <c r="EV90" s="56"/>
      <c r="EW90" s="56"/>
      <c r="EX90" s="56"/>
      <c r="EY90" s="56"/>
      <c r="EZ90" s="57"/>
      <c r="FA90" s="56"/>
      <c r="FB90" s="56"/>
      <c r="FC90" s="56"/>
      <c r="FD90" s="57"/>
      <c r="FE90" s="56"/>
      <c r="FF90" s="58"/>
      <c r="FG90" s="56"/>
      <c r="FH90" s="57"/>
      <c r="FI90" s="56"/>
      <c r="FJ90" s="56"/>
      <c r="FK90" s="56"/>
      <c r="FL90" s="58"/>
      <c r="FM90" s="56"/>
      <c r="FN90" s="58"/>
      <c r="FO90" s="56"/>
      <c r="FP90" s="58"/>
      <c r="FQ90" s="56"/>
      <c r="FR90" s="56"/>
      <c r="FS90" s="56"/>
      <c r="FT90" s="58"/>
      <c r="FU90" s="56"/>
      <c r="FV90" s="58"/>
      <c r="FW90" s="56"/>
      <c r="FX90" s="58"/>
      <c r="FY90" s="56"/>
      <c r="FZ90" s="58"/>
      <c r="GA90" s="56"/>
      <c r="GB90" s="56"/>
      <c r="GC90" s="56"/>
      <c r="GD90" s="58"/>
      <c r="GE90" s="56"/>
      <c r="GF90" s="58"/>
      <c r="GG90" s="56"/>
      <c r="GH90" s="56"/>
      <c r="GI90" s="56"/>
      <c r="GJ90" s="56"/>
      <c r="GK90" s="56"/>
      <c r="GL90" s="56">
        <v>1</v>
      </c>
      <c r="GM90" s="56">
        <v>0.97</v>
      </c>
      <c r="GN90" s="56">
        <v>0.95</v>
      </c>
      <c r="GO90" s="56">
        <v>0.93</v>
      </c>
      <c r="GP90" s="56">
        <f t="shared" ref="GP90:HG90" si="985">+GO90-0.02</f>
        <v>0.91</v>
      </c>
      <c r="GQ90" s="56">
        <f t="shared" si="985"/>
        <v>0.89</v>
      </c>
      <c r="GR90" s="56">
        <f t="shared" si="985"/>
        <v>0.87</v>
      </c>
      <c r="GS90" s="56">
        <f t="shared" si="985"/>
        <v>0.85</v>
      </c>
      <c r="GT90" s="56">
        <f t="shared" si="985"/>
        <v>0.83</v>
      </c>
      <c r="GU90" s="56">
        <f t="shared" si="985"/>
        <v>0.80999999999999994</v>
      </c>
      <c r="GV90" s="56">
        <f t="shared" si="985"/>
        <v>0.78999999999999992</v>
      </c>
      <c r="GW90" s="56">
        <f t="shared" si="985"/>
        <v>0.76999999999999991</v>
      </c>
      <c r="GX90" s="56">
        <f t="shared" si="985"/>
        <v>0.74999999999999989</v>
      </c>
      <c r="GY90" s="56">
        <f t="shared" si="985"/>
        <v>0.72999999999999987</v>
      </c>
      <c r="GZ90" s="56">
        <f t="shared" si="985"/>
        <v>0.70999999999999985</v>
      </c>
      <c r="HA90" s="56">
        <f t="shared" si="985"/>
        <v>0.68999999999999984</v>
      </c>
      <c r="HB90" s="56">
        <f t="shared" si="985"/>
        <v>0.66999999999999982</v>
      </c>
      <c r="HC90" s="56">
        <f t="shared" si="985"/>
        <v>0.6499999999999998</v>
      </c>
      <c r="HD90" s="56">
        <f t="shared" si="985"/>
        <v>0.62999999999999978</v>
      </c>
      <c r="HE90" s="56">
        <f t="shared" si="985"/>
        <v>0.60999999999999976</v>
      </c>
      <c r="HF90" s="56">
        <f t="shared" si="985"/>
        <v>0.58999999999999975</v>
      </c>
      <c r="HG90" s="56">
        <f t="shared" si="985"/>
        <v>0.56999999999999973</v>
      </c>
    </row>
    <row r="91" spans="1:215" s="54" customFormat="1" ht="17.25" thickBot="1" x14ac:dyDescent="0.35">
      <c r="B91" s="54" t="s">
        <v>159</v>
      </c>
      <c r="C91" s="54" t="s">
        <v>131</v>
      </c>
      <c r="D91" s="55" t="s">
        <v>49</v>
      </c>
      <c r="E91" s="55" t="s">
        <v>61</v>
      </c>
      <c r="G91" s="56"/>
      <c r="H91" s="56"/>
      <c r="I91" s="56"/>
      <c r="J91" s="56"/>
      <c r="K91" s="56"/>
      <c r="L91" s="56"/>
      <c r="M91" s="56"/>
      <c r="N91" s="56"/>
      <c r="O91" s="56"/>
      <c r="P91" s="57"/>
      <c r="Q91" s="56"/>
      <c r="R91" s="56"/>
      <c r="S91" s="56"/>
      <c r="T91" s="57"/>
      <c r="U91" s="56"/>
      <c r="V91" s="58"/>
      <c r="W91" s="56"/>
      <c r="X91" s="57"/>
      <c r="Y91" s="56"/>
      <c r="Z91" s="56"/>
      <c r="AA91" s="56"/>
      <c r="AB91" s="58"/>
      <c r="AC91" s="56"/>
      <c r="AD91" s="58"/>
      <c r="AE91" s="56"/>
      <c r="AF91" s="58"/>
      <c r="AG91" s="56"/>
      <c r="AH91" s="56"/>
      <c r="AI91" s="56"/>
      <c r="AJ91" s="58"/>
      <c r="AK91" s="56"/>
      <c r="AL91" s="58"/>
      <c r="AM91" s="56"/>
      <c r="AN91" s="58"/>
      <c r="AO91" s="56"/>
      <c r="AP91" s="58"/>
      <c r="AQ91" s="56"/>
      <c r="AR91" s="56"/>
      <c r="AS91" s="56"/>
      <c r="AT91" s="58"/>
      <c r="AU91" s="56"/>
      <c r="AV91" s="58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>
        <f t="shared" si="952"/>
        <v>0</v>
      </c>
      <c r="BZ91" s="56"/>
      <c r="CA91" s="56"/>
      <c r="CB91" s="56"/>
      <c r="CC91" s="56"/>
      <c r="CD91" s="56"/>
      <c r="CE91" s="56"/>
      <c r="CF91" s="56"/>
      <c r="CG91" s="56"/>
      <c r="CH91" s="57"/>
      <c r="CI91" s="56"/>
      <c r="CJ91" s="56"/>
      <c r="CK91" s="56"/>
      <c r="CL91" s="57"/>
      <c r="CM91" s="56"/>
      <c r="CN91" s="58"/>
      <c r="CO91" s="56"/>
      <c r="CP91" s="57"/>
      <c r="CQ91" s="56"/>
      <c r="CR91" s="56"/>
      <c r="CS91" s="56"/>
      <c r="CT91" s="58"/>
      <c r="CU91" s="56"/>
      <c r="CV91" s="58"/>
      <c r="CW91" s="56"/>
      <c r="CX91" s="58"/>
      <c r="CY91" s="56"/>
      <c r="CZ91" s="56"/>
      <c r="DA91" s="56"/>
      <c r="DB91" s="58"/>
      <c r="DC91" s="56"/>
      <c r="DD91" s="58"/>
      <c r="DE91" s="56"/>
      <c r="DF91" s="58"/>
      <c r="DG91" s="56"/>
      <c r="DH91" s="58"/>
      <c r="DI91" s="56"/>
      <c r="DJ91" s="56"/>
      <c r="DK91" s="56"/>
      <c r="DL91" s="58"/>
      <c r="DM91" s="56"/>
      <c r="DN91" s="58"/>
      <c r="DO91" s="56"/>
      <c r="DP91" s="56"/>
      <c r="DQ91" s="56"/>
      <c r="DR91" s="56"/>
      <c r="DS91" s="56"/>
      <c r="DT91" s="56">
        <v>1</v>
      </c>
      <c r="DU91" s="56">
        <v>0.97</v>
      </c>
      <c r="DV91" s="56">
        <v>0.95</v>
      </c>
      <c r="DW91" s="56">
        <v>0.93</v>
      </c>
      <c r="DX91" s="56">
        <f t="shared" ref="DX91:EO91" si="986">+DW91-0.02</f>
        <v>0.91</v>
      </c>
      <c r="DY91" s="56">
        <f t="shared" si="986"/>
        <v>0.89</v>
      </c>
      <c r="DZ91" s="56">
        <f t="shared" si="986"/>
        <v>0.87</v>
      </c>
      <c r="EA91" s="56">
        <f t="shared" si="986"/>
        <v>0.85</v>
      </c>
      <c r="EB91" s="56">
        <f t="shared" si="986"/>
        <v>0.83</v>
      </c>
      <c r="EC91" s="56">
        <f t="shared" si="986"/>
        <v>0.80999999999999994</v>
      </c>
      <c r="ED91" s="56">
        <f t="shared" si="986"/>
        <v>0.78999999999999992</v>
      </c>
      <c r="EE91" s="56">
        <f t="shared" si="986"/>
        <v>0.76999999999999991</v>
      </c>
      <c r="EF91" s="56">
        <f t="shared" si="986"/>
        <v>0.74999999999999989</v>
      </c>
      <c r="EG91" s="56">
        <f t="shared" si="986"/>
        <v>0.72999999999999987</v>
      </c>
      <c r="EH91" s="56">
        <f t="shared" si="986"/>
        <v>0.70999999999999985</v>
      </c>
      <c r="EI91" s="56">
        <f t="shared" si="986"/>
        <v>0.68999999999999984</v>
      </c>
      <c r="EJ91" s="56">
        <f t="shared" si="986"/>
        <v>0.66999999999999982</v>
      </c>
      <c r="EK91" s="56">
        <f t="shared" si="986"/>
        <v>0.6499999999999998</v>
      </c>
      <c r="EL91" s="56">
        <f t="shared" si="986"/>
        <v>0.62999999999999978</v>
      </c>
      <c r="EM91" s="56">
        <f t="shared" si="986"/>
        <v>0.60999999999999976</v>
      </c>
      <c r="EN91" s="56">
        <f t="shared" si="986"/>
        <v>0.58999999999999975</v>
      </c>
      <c r="EO91" s="56">
        <f t="shared" si="986"/>
        <v>0.56999999999999973</v>
      </c>
      <c r="EQ91" s="56">
        <f t="shared" si="188"/>
        <v>0</v>
      </c>
      <c r="ER91" s="56"/>
      <c r="ES91" s="56"/>
      <c r="ET91" s="56"/>
      <c r="EU91" s="56"/>
      <c r="EV91" s="56"/>
      <c r="EW91" s="56"/>
      <c r="EX91" s="56"/>
      <c r="EY91" s="56"/>
      <c r="EZ91" s="57"/>
      <c r="FA91" s="56"/>
      <c r="FB91" s="56"/>
      <c r="FC91" s="56"/>
      <c r="FD91" s="57"/>
      <c r="FE91" s="56"/>
      <c r="FF91" s="58"/>
      <c r="FG91" s="56"/>
      <c r="FH91" s="57"/>
      <c r="FI91" s="56"/>
      <c r="FJ91" s="56"/>
      <c r="FK91" s="56"/>
      <c r="FL91" s="58"/>
      <c r="FM91" s="56"/>
      <c r="FN91" s="58"/>
      <c r="FO91" s="56"/>
      <c r="FP91" s="58"/>
      <c r="FQ91" s="56"/>
      <c r="FR91" s="56"/>
      <c r="FS91" s="56"/>
      <c r="FT91" s="58"/>
      <c r="FU91" s="56"/>
      <c r="FV91" s="58"/>
      <c r="FW91" s="56"/>
      <c r="FX91" s="58"/>
      <c r="FY91" s="56"/>
      <c r="FZ91" s="58"/>
      <c r="GA91" s="56"/>
      <c r="GB91" s="56"/>
      <c r="GC91" s="56"/>
      <c r="GD91" s="58"/>
      <c r="GE91" s="56"/>
      <c r="GF91" s="58"/>
      <c r="GG91" s="56"/>
      <c r="GH91" s="56"/>
      <c r="GI91" s="56"/>
      <c r="GJ91" s="56"/>
      <c r="GK91" s="56"/>
      <c r="GL91" s="56">
        <v>1</v>
      </c>
      <c r="GM91" s="56">
        <v>0.97</v>
      </c>
      <c r="GN91" s="56">
        <v>0.95</v>
      </c>
      <c r="GO91" s="56">
        <v>0.93</v>
      </c>
      <c r="GP91" s="56">
        <f t="shared" ref="GP91:HG91" si="987">+GO91-0.02</f>
        <v>0.91</v>
      </c>
      <c r="GQ91" s="56">
        <f t="shared" si="987"/>
        <v>0.89</v>
      </c>
      <c r="GR91" s="56">
        <f t="shared" si="987"/>
        <v>0.87</v>
      </c>
      <c r="GS91" s="56">
        <f t="shared" si="987"/>
        <v>0.85</v>
      </c>
      <c r="GT91" s="56">
        <f t="shared" si="987"/>
        <v>0.83</v>
      </c>
      <c r="GU91" s="56">
        <f t="shared" si="987"/>
        <v>0.80999999999999994</v>
      </c>
      <c r="GV91" s="56">
        <f t="shared" si="987"/>
        <v>0.78999999999999992</v>
      </c>
      <c r="GW91" s="56">
        <f t="shared" si="987"/>
        <v>0.76999999999999991</v>
      </c>
      <c r="GX91" s="56">
        <f t="shared" si="987"/>
        <v>0.74999999999999989</v>
      </c>
      <c r="GY91" s="56">
        <f t="shared" si="987"/>
        <v>0.72999999999999987</v>
      </c>
      <c r="GZ91" s="56">
        <f t="shared" si="987"/>
        <v>0.70999999999999985</v>
      </c>
      <c r="HA91" s="56">
        <f t="shared" si="987"/>
        <v>0.68999999999999984</v>
      </c>
      <c r="HB91" s="56">
        <f t="shared" si="987"/>
        <v>0.66999999999999982</v>
      </c>
      <c r="HC91" s="56">
        <f t="shared" si="987"/>
        <v>0.6499999999999998</v>
      </c>
      <c r="HD91" s="56">
        <f t="shared" si="987"/>
        <v>0.62999999999999978</v>
      </c>
      <c r="HE91" s="56">
        <f t="shared" si="987"/>
        <v>0.60999999999999976</v>
      </c>
      <c r="HF91" s="56">
        <f t="shared" si="987"/>
        <v>0.58999999999999975</v>
      </c>
      <c r="HG91" s="56">
        <f t="shared" si="987"/>
        <v>0.56999999999999973</v>
      </c>
    </row>
    <row r="92" spans="1:215" x14ac:dyDescent="0.3">
      <c r="A92" s="2">
        <v>1</v>
      </c>
      <c r="C92" s="29" t="s">
        <v>160</v>
      </c>
      <c r="D92" s="42">
        <f>TRUNC(16379.3183565845,-1)</f>
        <v>16370</v>
      </c>
      <c r="E92" s="72">
        <f t="shared" ref="E92:E112" si="988">TRUNC(+D92*3.3058,-1)</f>
        <v>54110</v>
      </c>
      <c r="G92" s="48">
        <f t="shared" si="948"/>
        <v>18007</v>
      </c>
      <c r="H92" s="48">
        <f t="shared" si="949"/>
        <v>18007</v>
      </c>
      <c r="I92" s="51">
        <f t="shared" si="950"/>
        <v>59527.5406</v>
      </c>
      <c r="J92" s="48">
        <f t="shared" ref="J92:J113" si="989">+H92*BC92</f>
        <v>17466.79</v>
      </c>
      <c r="K92" s="51">
        <f t="shared" ref="K92:K113" si="990">+J92*3.3058</f>
        <v>57741.714382000006</v>
      </c>
      <c r="L92" s="48">
        <f t="shared" ref="L92:L113" si="991">+H92*BD92</f>
        <v>17106.649999999998</v>
      </c>
      <c r="M92" s="51">
        <f t="shared" ref="M92:M113" si="992">+L92*3.3058</f>
        <v>56551.163569999997</v>
      </c>
      <c r="N92" s="48">
        <f t="shared" ref="N92:N113" si="993">+H92*BE92</f>
        <v>16746.510000000002</v>
      </c>
      <c r="O92" s="51">
        <f t="shared" ref="O92:O113" si="994">+N92*3.3058</f>
        <v>55360.61275800001</v>
      </c>
      <c r="P92" s="52">
        <f t="shared" ref="P92:P113" si="995">+H92*BF92</f>
        <v>16386.37</v>
      </c>
      <c r="Q92" s="51">
        <f t="shared" ref="Q92:Q113" si="996">+P92*3.3058</f>
        <v>54170.061945999994</v>
      </c>
      <c r="R92" s="48">
        <f t="shared" ref="R92:R113" si="997">+H92*BG92</f>
        <v>16026.23</v>
      </c>
      <c r="S92" s="51">
        <f t="shared" ref="S92:S113" si="998">+R92*3.3058</f>
        <v>52979.511134</v>
      </c>
      <c r="T92" s="52">
        <f t="shared" ref="T92:T113" si="999">+H92*BH92</f>
        <v>15666.09</v>
      </c>
      <c r="U92" s="51">
        <f t="shared" ref="U92:U113" si="1000">+T92*3.3058</f>
        <v>51788.960321999999</v>
      </c>
      <c r="V92" s="53">
        <f t="shared" ref="V92:V113" si="1001">+H92*BI92</f>
        <v>15305.949999999999</v>
      </c>
      <c r="W92" s="51">
        <f t="shared" ref="W92:W113" si="1002">+V92*3.3058</f>
        <v>50598.409509999998</v>
      </c>
      <c r="X92" s="52">
        <f t="shared" ref="X92:X113" si="1003">+H92*BJ92</f>
        <v>14945.81</v>
      </c>
      <c r="Y92" s="51">
        <f t="shared" ref="Y92:Y113" si="1004">+X92*3.3058</f>
        <v>49407.858697999996</v>
      </c>
      <c r="Z92" s="48">
        <f t="shared" ref="Z92:Z113" si="1005">+H92*BK92</f>
        <v>14585.669999999998</v>
      </c>
      <c r="AA92" s="51">
        <f t="shared" ref="AA92:AA113" si="1006">+Z92*3.3058</f>
        <v>48217.307885999995</v>
      </c>
      <c r="AB92" s="53">
        <f t="shared" ref="AB92:AB113" si="1007">+H92*BL92</f>
        <v>14225.529999999999</v>
      </c>
      <c r="AC92" s="51">
        <f t="shared" ref="AC92:AC113" si="1008">+AB92*3.3058</f>
        <v>47026.757073999994</v>
      </c>
      <c r="AD92" s="53">
        <f t="shared" ref="AD92:AD113" si="1009">+H92*BM92</f>
        <v>13865.389999999998</v>
      </c>
      <c r="AE92" s="51">
        <f t="shared" ref="AE92:AE113" si="1010">+AD92*3.3058</f>
        <v>45836.206261999992</v>
      </c>
      <c r="AF92" s="53">
        <f t="shared" ref="AF92:AF113" si="1011">+H92*BN92</f>
        <v>13505.249999999998</v>
      </c>
      <c r="AG92" s="51">
        <f t="shared" ref="AG92:AG113" si="1012">+AF92*3.3058</f>
        <v>44645.655449999998</v>
      </c>
      <c r="AH92" s="48">
        <f t="shared" ref="AH92:AH113" si="1013">+H92*BO92</f>
        <v>13145.109999999997</v>
      </c>
      <c r="AI92" s="51">
        <f t="shared" ref="AI92:AI113" si="1014">+AH92*3.3058</f>
        <v>43455.10463799999</v>
      </c>
      <c r="AJ92" s="53">
        <f t="shared" ref="AJ92:AJ113" si="1015">+H92*BP92</f>
        <v>12784.969999999998</v>
      </c>
      <c r="AK92" s="51">
        <f t="shared" ref="AK92:AK113" si="1016">+AJ92*3.3058</f>
        <v>42264.553825999996</v>
      </c>
      <c r="AL92" s="53">
        <f t="shared" ref="AL92:AL113" si="1017">+H92*BQ92</f>
        <v>12424.829999999996</v>
      </c>
      <c r="AM92" s="51">
        <f t="shared" ref="AM92:AM113" si="1018">+AL92*3.3058</f>
        <v>41074.003013999987</v>
      </c>
      <c r="AN92" s="53">
        <f t="shared" ref="AN92:AN113" si="1019">+H92*BR92</f>
        <v>12064.689999999997</v>
      </c>
      <c r="AO92" s="51">
        <f t="shared" ref="AO92:AO113" si="1020">+AN92*3.3058</f>
        <v>39883.452201999993</v>
      </c>
      <c r="AP92" s="53">
        <f t="shared" ref="AP92:AP113" si="1021">+H92*BS92</f>
        <v>11704.549999999996</v>
      </c>
      <c r="AQ92" s="51">
        <f t="shared" ref="AQ92:AQ113" si="1022">+AP92*3.3058</f>
        <v>38692.901389999985</v>
      </c>
      <c r="AR92" s="48">
        <f t="shared" ref="AR92:AR113" si="1023">+H92*BT92</f>
        <v>11344.409999999996</v>
      </c>
      <c r="AS92" s="51">
        <f t="shared" ref="AS92:AS113" si="1024">+AR92*3.3058</f>
        <v>37502.35057799999</v>
      </c>
      <c r="AT92" s="53">
        <f t="shared" ref="AT92:AT113" si="1025">+H92*BU92</f>
        <v>10984.269999999995</v>
      </c>
      <c r="AU92" s="51">
        <f t="shared" ref="AU92:AU113" si="1026">+AT92*3.3058</f>
        <v>36311.799765999982</v>
      </c>
      <c r="AV92" s="53">
        <f t="shared" ref="AV92:AV113" si="1027">+H92*BV92</f>
        <v>10624.129999999996</v>
      </c>
      <c r="AW92" s="51">
        <f t="shared" ref="AW92:AW113" si="1028">+AV92*3.3058</f>
        <v>35121.248953999988</v>
      </c>
      <c r="AX92" s="48">
        <f t="shared" ref="AX92:AX113" si="1029">+H92*BW92</f>
        <v>10263.989999999994</v>
      </c>
      <c r="AY92" s="51">
        <f t="shared" ref="AY92:AY113" si="1030">+AX92*3.3058</f>
        <v>33930.698141999979</v>
      </c>
      <c r="BB92" s="48">
        <v>1</v>
      </c>
      <c r="BC92" s="48">
        <v>0.97</v>
      </c>
      <c r="BD92" s="48">
        <v>0.95</v>
      </c>
      <c r="BE92" s="48">
        <v>0.93</v>
      </c>
      <c r="BF92" s="48">
        <f t="shared" ref="BF92:BW92" si="1031">+BE92-0.02</f>
        <v>0.91</v>
      </c>
      <c r="BG92" s="48">
        <f t="shared" si="1031"/>
        <v>0.89</v>
      </c>
      <c r="BH92" s="48">
        <f t="shared" si="1031"/>
        <v>0.87</v>
      </c>
      <c r="BI92" s="48">
        <f t="shared" si="1031"/>
        <v>0.85</v>
      </c>
      <c r="BJ92" s="48">
        <f t="shared" si="1031"/>
        <v>0.83</v>
      </c>
      <c r="BK92" s="48">
        <f t="shared" si="1031"/>
        <v>0.80999999999999994</v>
      </c>
      <c r="BL92" s="48">
        <f t="shared" si="1031"/>
        <v>0.78999999999999992</v>
      </c>
      <c r="BM92" s="48">
        <f t="shared" si="1031"/>
        <v>0.76999999999999991</v>
      </c>
      <c r="BN92" s="48">
        <f t="shared" si="1031"/>
        <v>0.74999999999999989</v>
      </c>
      <c r="BO92" s="48">
        <f t="shared" si="1031"/>
        <v>0.72999999999999987</v>
      </c>
      <c r="BP92" s="48">
        <f t="shared" si="1031"/>
        <v>0.70999999999999985</v>
      </c>
      <c r="BQ92" s="48">
        <f t="shared" si="1031"/>
        <v>0.68999999999999984</v>
      </c>
      <c r="BR92" s="48">
        <f t="shared" si="1031"/>
        <v>0.66999999999999982</v>
      </c>
      <c r="BS92" s="48">
        <f t="shared" si="1031"/>
        <v>0.6499999999999998</v>
      </c>
      <c r="BT92" s="48">
        <f t="shared" si="1031"/>
        <v>0.62999999999999978</v>
      </c>
      <c r="BU92" s="48">
        <f t="shared" si="1031"/>
        <v>0.60999999999999976</v>
      </c>
      <c r="BV92" s="48">
        <f t="shared" si="1031"/>
        <v>0.58999999999999975</v>
      </c>
      <c r="BW92" s="48">
        <f t="shared" si="1031"/>
        <v>0.56999999999999973</v>
      </c>
      <c r="BY92" s="48">
        <f t="shared" si="952"/>
        <v>16386.37</v>
      </c>
      <c r="BZ92" s="48">
        <f t="shared" si="953"/>
        <v>16386.37</v>
      </c>
      <c r="CA92" s="51">
        <f t="shared" ref="CA92" si="1032">+BZ92*3.3058</f>
        <v>54170.061945999994</v>
      </c>
      <c r="CB92" s="48">
        <f t="shared" ref="CB92:CB113" si="1033">+BZ92*DU92</f>
        <v>15894.778899999999</v>
      </c>
      <c r="CC92" s="51">
        <f t="shared" ref="CC92:CC113" si="1034">+CB92*3.3058</f>
        <v>52544.960087619998</v>
      </c>
      <c r="CD92" s="48">
        <f t="shared" ref="CD92:CD113" si="1035">+BZ92*DV92</f>
        <v>15567.051499999998</v>
      </c>
      <c r="CE92" s="51">
        <f t="shared" ref="CE92:CE113" si="1036">+CD92*3.3058</f>
        <v>51461.558848699991</v>
      </c>
      <c r="CF92" s="48">
        <f t="shared" ref="CF92:CF113" si="1037">+BZ92*DW92</f>
        <v>15239.3241</v>
      </c>
      <c r="CG92" s="51">
        <f t="shared" ref="CG92:CG113" si="1038">+CF92*3.3058</f>
        <v>50378.157609779999</v>
      </c>
      <c r="CH92" s="52">
        <f t="shared" ref="CH92:CH113" si="1039">+BZ92*DX92</f>
        <v>14911.5967</v>
      </c>
      <c r="CI92" s="51">
        <f t="shared" ref="CI92:CI113" si="1040">+CH92*3.3058</f>
        <v>49294.756370859999</v>
      </c>
      <c r="CJ92" s="48">
        <f t="shared" ref="CJ92:CJ113" si="1041">+BZ92*DY92</f>
        <v>14583.869299999998</v>
      </c>
      <c r="CK92" s="51">
        <f t="shared" ref="CK92:CK113" si="1042">+CJ92*3.3058</f>
        <v>48211.355131939999</v>
      </c>
      <c r="CL92" s="52">
        <f t="shared" ref="CL92:CL113" si="1043">+BZ92*DZ92</f>
        <v>14256.141899999999</v>
      </c>
      <c r="CM92" s="51">
        <f t="shared" ref="CM92:CM113" si="1044">+CL92*3.3058</f>
        <v>47127.95389302</v>
      </c>
      <c r="CN92" s="53">
        <f t="shared" ref="CN92:CN113" si="1045">+BZ92*EA92</f>
        <v>13928.414499999999</v>
      </c>
      <c r="CO92" s="51">
        <f t="shared" ref="CO92:CO113" si="1046">+CN92*3.3058</f>
        <v>46044.5526541</v>
      </c>
      <c r="CP92" s="52">
        <f t="shared" ref="CP92:CP113" si="1047">+BZ92*EB92</f>
        <v>13600.687099999999</v>
      </c>
      <c r="CQ92" s="51">
        <f t="shared" ref="CQ92:CQ113" si="1048">+CP92*3.3058</f>
        <v>44961.15141518</v>
      </c>
      <c r="CR92" s="48">
        <f t="shared" ref="CR92:CR113" si="1049">+BZ92*EC92</f>
        <v>13272.959699999998</v>
      </c>
      <c r="CS92" s="51">
        <f t="shared" ref="CS92:CS113" si="1050">+CR92*3.3058</f>
        <v>43877.750176259993</v>
      </c>
      <c r="CT92" s="53">
        <f t="shared" ref="CT92:CT113" si="1051">+BZ92*ED92</f>
        <v>12945.232299999998</v>
      </c>
      <c r="CU92" s="51">
        <f t="shared" ref="CU92:CU113" si="1052">+CT92*3.3058</f>
        <v>42794.348937339993</v>
      </c>
      <c r="CV92" s="53">
        <f t="shared" ref="CV92:CV113" si="1053">+BZ92*EE92</f>
        <v>12617.504899999998</v>
      </c>
      <c r="CW92" s="51">
        <f t="shared" ref="CW92:CW113" si="1054">+CV92*3.3058</f>
        <v>41710.947698419994</v>
      </c>
      <c r="CX92" s="53">
        <f t="shared" ref="CX92:CX113" si="1055">+BZ92*EF92</f>
        <v>12289.777499999997</v>
      </c>
      <c r="CY92" s="51">
        <f t="shared" ref="CY92:CY113" si="1056">+CX92*3.3058</f>
        <v>40627.546459499987</v>
      </c>
      <c r="CZ92" s="48">
        <f t="shared" ref="CZ92:CZ113" si="1057">+BZ92*EG92</f>
        <v>11962.050099999997</v>
      </c>
      <c r="DA92" s="51">
        <f t="shared" ref="DA92:DA113" si="1058">+CZ92*3.3058</f>
        <v>39544.145220579987</v>
      </c>
      <c r="DB92" s="53">
        <f t="shared" ref="DB92:DB113" si="1059">+BZ92*EH92</f>
        <v>11634.322699999997</v>
      </c>
      <c r="DC92" s="51">
        <f t="shared" ref="DC92:DC113" si="1060">+DB92*3.3058</f>
        <v>38460.743981659994</v>
      </c>
      <c r="DD92" s="53">
        <f t="shared" ref="DD92:DD113" si="1061">+BZ92*EI92</f>
        <v>11306.595299999997</v>
      </c>
      <c r="DE92" s="51">
        <f t="shared" ref="DE92:DE113" si="1062">+DD92*3.3058</f>
        <v>37377.342742739995</v>
      </c>
      <c r="DF92" s="53">
        <f t="shared" ref="DF92:DF113" si="1063">+BZ92*EJ92</f>
        <v>10978.867899999996</v>
      </c>
      <c r="DG92" s="51">
        <f t="shared" ref="DG92:DG113" si="1064">+DF92*3.3058</f>
        <v>36293.941503819988</v>
      </c>
      <c r="DH92" s="53">
        <f t="shared" ref="DH92:DH113" si="1065">+BZ92*EK92</f>
        <v>10651.140499999996</v>
      </c>
      <c r="DI92" s="51">
        <f t="shared" ref="DI92:DI113" si="1066">+DH92*3.3058</f>
        <v>35210.540264899988</v>
      </c>
      <c r="DJ92" s="48">
        <f t="shared" ref="DJ92:DJ113" si="1067">+BZ92*EL92</f>
        <v>10323.413099999996</v>
      </c>
      <c r="DK92" s="51">
        <f t="shared" ref="DK92:DK113" si="1068">+DJ92*3.3058</f>
        <v>34127.139025979988</v>
      </c>
      <c r="DL92" s="53">
        <f t="shared" ref="DL92:DL113" si="1069">+BZ92*EM92</f>
        <v>9995.6856999999964</v>
      </c>
      <c r="DM92" s="51">
        <f t="shared" ref="DM92:DM113" si="1070">+DL92*3.3058</f>
        <v>33043.737787059988</v>
      </c>
      <c r="DN92" s="53">
        <f t="shared" ref="DN92:DN113" si="1071">+BZ92*EN92</f>
        <v>9667.9582999999948</v>
      </c>
      <c r="DO92" s="51">
        <f t="shared" ref="DO92:DO113" si="1072">+DN92*3.3058</f>
        <v>31960.336548139985</v>
      </c>
      <c r="DP92" s="48">
        <f t="shared" ref="DP92:DP113" si="1073">+BZ92*EO92</f>
        <v>9340.230899999995</v>
      </c>
      <c r="DQ92" s="51">
        <f t="shared" ref="DQ92:DQ113" si="1074">+DP92*3.3058</f>
        <v>30876.935309219985</v>
      </c>
      <c r="DT92" s="48">
        <v>1</v>
      </c>
      <c r="DU92" s="48">
        <v>0.97</v>
      </c>
      <c r="DV92" s="48">
        <v>0.95</v>
      </c>
      <c r="DW92" s="48">
        <v>0.93</v>
      </c>
      <c r="DX92" s="48">
        <f t="shared" ref="DX92:EO92" si="1075">+DW92-0.02</f>
        <v>0.91</v>
      </c>
      <c r="DY92" s="48">
        <f t="shared" si="1075"/>
        <v>0.89</v>
      </c>
      <c r="DZ92" s="48">
        <f t="shared" si="1075"/>
        <v>0.87</v>
      </c>
      <c r="EA92" s="48">
        <f t="shared" si="1075"/>
        <v>0.85</v>
      </c>
      <c r="EB92" s="48">
        <f t="shared" si="1075"/>
        <v>0.83</v>
      </c>
      <c r="EC92" s="48">
        <f t="shared" si="1075"/>
        <v>0.80999999999999994</v>
      </c>
      <c r="ED92" s="48">
        <f t="shared" si="1075"/>
        <v>0.78999999999999992</v>
      </c>
      <c r="EE92" s="48">
        <f t="shared" si="1075"/>
        <v>0.76999999999999991</v>
      </c>
      <c r="EF92" s="48">
        <f t="shared" si="1075"/>
        <v>0.74999999999999989</v>
      </c>
      <c r="EG92" s="48">
        <f t="shared" si="1075"/>
        <v>0.72999999999999987</v>
      </c>
      <c r="EH92" s="48">
        <f t="shared" si="1075"/>
        <v>0.70999999999999985</v>
      </c>
      <c r="EI92" s="48">
        <f t="shared" si="1075"/>
        <v>0.68999999999999984</v>
      </c>
      <c r="EJ92" s="48">
        <f t="shared" si="1075"/>
        <v>0.66999999999999982</v>
      </c>
      <c r="EK92" s="48">
        <f t="shared" si="1075"/>
        <v>0.6499999999999998</v>
      </c>
      <c r="EL92" s="48">
        <f t="shared" si="1075"/>
        <v>0.62999999999999978</v>
      </c>
      <c r="EM92" s="48">
        <f t="shared" si="1075"/>
        <v>0.60999999999999976</v>
      </c>
      <c r="EN92" s="48">
        <f t="shared" si="1075"/>
        <v>0.58999999999999975</v>
      </c>
      <c r="EO92" s="48">
        <f t="shared" si="1075"/>
        <v>0.56999999999999973</v>
      </c>
      <c r="EQ92" s="48">
        <f t="shared" si="188"/>
        <v>14911.5967</v>
      </c>
      <c r="ER92" s="48">
        <f t="shared" si="956"/>
        <v>14911.5967</v>
      </c>
      <c r="ES92" s="51">
        <f t="shared" ref="ES92" si="1076">+ER92*3.3058</f>
        <v>49294.756370859999</v>
      </c>
      <c r="ET92" s="48">
        <f t="shared" ref="ET92:ET113" si="1077">+ER92*GM92</f>
        <v>14464.248798999999</v>
      </c>
      <c r="EU92" s="51">
        <f t="shared" ref="EU92:EU113" si="1078">+ET92*3.3058</f>
        <v>47815.9136797342</v>
      </c>
      <c r="EV92" s="48">
        <f t="shared" ref="EV92:EV113" si="1079">+ER92*GN92</f>
        <v>14166.016865</v>
      </c>
      <c r="EW92" s="51">
        <f t="shared" ref="EW92:EW113" si="1080">+EV92*3.3058</f>
        <v>46830.018552317</v>
      </c>
      <c r="EX92" s="48">
        <f t="shared" ref="EX92:EX113" si="1081">+ER92*GO92</f>
        <v>13867.784931</v>
      </c>
      <c r="EY92" s="51">
        <f t="shared" ref="EY92:EY113" si="1082">+EX92*3.3058</f>
        <v>45844.123424899801</v>
      </c>
      <c r="EZ92" s="52">
        <f t="shared" ref="EZ92:EZ113" si="1083">+ER92*GP92</f>
        <v>13569.552997000001</v>
      </c>
      <c r="FA92" s="51">
        <f t="shared" ref="FA92:FA113" si="1084">+EZ92*3.3058</f>
        <v>44858.228297482601</v>
      </c>
      <c r="FB92" s="48">
        <f t="shared" ref="FB92:FB113" si="1085">+ER92*GQ92</f>
        <v>13271.321062999999</v>
      </c>
      <c r="FC92" s="51">
        <f t="shared" ref="FC92:FC113" si="1086">+FB92*3.3058</f>
        <v>43872.333170065402</v>
      </c>
      <c r="FD92" s="52">
        <f t="shared" ref="FD92:FD113" si="1087">+ER92*GR92</f>
        <v>12973.089129</v>
      </c>
      <c r="FE92" s="51">
        <f t="shared" ref="FE92:FE113" si="1088">+FD92*3.3058</f>
        <v>42886.438042648202</v>
      </c>
      <c r="FF92" s="53">
        <f t="shared" ref="FF92:FF113" si="1089">+ER92*GS92</f>
        <v>12674.857195000001</v>
      </c>
      <c r="FG92" s="51">
        <f t="shared" ref="FG92:FG113" si="1090">+FF92*3.3058</f>
        <v>41900.542915231003</v>
      </c>
      <c r="FH92" s="52">
        <f t="shared" ref="FH92:FH113" si="1091">+ER92*GT92</f>
        <v>12376.625260999999</v>
      </c>
      <c r="FI92" s="51">
        <f t="shared" ref="FI92:FI113" si="1092">+FH92*3.3058</f>
        <v>40914.647787813796</v>
      </c>
      <c r="FJ92" s="48">
        <f t="shared" ref="FJ92:FJ113" si="1093">+ER92*GU92</f>
        <v>12078.393327</v>
      </c>
      <c r="FK92" s="51">
        <f t="shared" ref="FK92:FK113" si="1094">+FJ92*3.3058</f>
        <v>39928.752660396603</v>
      </c>
      <c r="FL92" s="53">
        <f t="shared" ref="FL92:FL113" si="1095">+ER92*GV92</f>
        <v>11780.161392999998</v>
      </c>
      <c r="FM92" s="51">
        <f t="shared" ref="FM92:FM113" si="1096">+FL92*3.3058</f>
        <v>38942.857532979397</v>
      </c>
      <c r="FN92" s="53">
        <f t="shared" ref="FN92:FN113" si="1097">+ER92*GW92</f>
        <v>11481.929458999999</v>
      </c>
      <c r="FO92" s="51">
        <f t="shared" ref="FO92:FO113" si="1098">+FN92*3.3058</f>
        <v>37956.962405562197</v>
      </c>
      <c r="FP92" s="53">
        <f t="shared" ref="FP92:FP113" si="1099">+ER92*GX92</f>
        <v>11183.697524999998</v>
      </c>
      <c r="FQ92" s="51">
        <f t="shared" ref="FQ92:FQ113" si="1100">+FP92*3.3058</f>
        <v>36971.06727814499</v>
      </c>
      <c r="FR92" s="48">
        <f t="shared" ref="FR92:FR113" si="1101">+ER92*GY92</f>
        <v>10885.465590999998</v>
      </c>
      <c r="FS92" s="51">
        <f t="shared" ref="FS92:FS113" si="1102">+FR92*3.3058</f>
        <v>35985.172150727798</v>
      </c>
      <c r="FT92" s="53">
        <f t="shared" ref="FT92:FT113" si="1103">+ER92*GZ92</f>
        <v>10587.233656999997</v>
      </c>
      <c r="FU92" s="51">
        <f t="shared" ref="FU92:FU113" si="1104">+FT92*3.3058</f>
        <v>34999.277023310591</v>
      </c>
      <c r="FV92" s="53">
        <f t="shared" ref="FV92:FV113" si="1105">+ER92*HA92</f>
        <v>10289.001722999998</v>
      </c>
      <c r="FW92" s="51">
        <f t="shared" ref="FW92:FW113" si="1106">+FV92*3.3058</f>
        <v>34013.381895893392</v>
      </c>
      <c r="FX92" s="53">
        <f t="shared" ref="FX92:FX113" si="1107">+ER92*HB92</f>
        <v>9990.7697889999981</v>
      </c>
      <c r="FY92" s="51">
        <f t="shared" ref="FY92:FY113" si="1108">+FX92*3.3058</f>
        <v>33027.486768476192</v>
      </c>
      <c r="FZ92" s="53">
        <f t="shared" ref="FZ92:FZ113" si="1109">+ER92*HC92</f>
        <v>9692.5378549999969</v>
      </c>
      <c r="GA92" s="51">
        <f t="shared" ref="GA92:GA113" si="1110">+FZ92*3.3058</f>
        <v>32041.591641058989</v>
      </c>
      <c r="GB92" s="48">
        <f t="shared" ref="GB92:GB113" si="1111">+ER92*HD92</f>
        <v>9394.3059209999974</v>
      </c>
      <c r="GC92" s="51">
        <f t="shared" ref="GC92:GC113" si="1112">+GB92*3.3058</f>
        <v>31055.696513641793</v>
      </c>
      <c r="GD92" s="53">
        <f t="shared" ref="GD92:GD113" si="1113">+ER92*HE92</f>
        <v>9096.0739869999961</v>
      </c>
      <c r="GE92" s="51">
        <f t="shared" ref="GE92:GE113" si="1114">+GD92*3.3058</f>
        <v>30069.801386224586</v>
      </c>
      <c r="GF92" s="53">
        <f t="shared" ref="GF92:GF113" si="1115">+ER92*HF92</f>
        <v>8797.8420529999967</v>
      </c>
      <c r="GG92" s="51">
        <f t="shared" ref="GG92:GG113" si="1116">+GF92*3.3058</f>
        <v>29083.90625880739</v>
      </c>
      <c r="GH92" s="48">
        <f t="shared" ref="GH92:GH113" si="1117">+ER92*HG92</f>
        <v>8499.6101189999954</v>
      </c>
      <c r="GI92" s="51">
        <f t="shared" ref="GI92:GI113" si="1118">+GH92*3.3058</f>
        <v>28098.011131390187</v>
      </c>
      <c r="GJ92" s="48"/>
      <c r="GK92" s="48"/>
      <c r="GL92" s="48">
        <v>1</v>
      </c>
      <c r="GM92" s="48">
        <v>0.97</v>
      </c>
      <c r="GN92" s="48">
        <v>0.95</v>
      </c>
      <c r="GO92" s="48">
        <v>0.93</v>
      </c>
      <c r="GP92" s="48">
        <f t="shared" ref="GP92:HG92" si="1119">+GO92-0.02</f>
        <v>0.91</v>
      </c>
      <c r="GQ92" s="48">
        <f t="shared" si="1119"/>
        <v>0.89</v>
      </c>
      <c r="GR92" s="48">
        <f t="shared" si="1119"/>
        <v>0.87</v>
      </c>
      <c r="GS92" s="48">
        <f t="shared" si="1119"/>
        <v>0.85</v>
      </c>
      <c r="GT92" s="48">
        <f t="shared" si="1119"/>
        <v>0.83</v>
      </c>
      <c r="GU92" s="48">
        <f t="shared" si="1119"/>
        <v>0.80999999999999994</v>
      </c>
      <c r="GV92" s="48">
        <f t="shared" si="1119"/>
        <v>0.78999999999999992</v>
      </c>
      <c r="GW92" s="48">
        <f t="shared" si="1119"/>
        <v>0.76999999999999991</v>
      </c>
      <c r="GX92" s="48">
        <f t="shared" si="1119"/>
        <v>0.74999999999999989</v>
      </c>
      <c r="GY92" s="48">
        <f t="shared" si="1119"/>
        <v>0.72999999999999987</v>
      </c>
      <c r="GZ92" s="48">
        <f t="shared" si="1119"/>
        <v>0.70999999999999985</v>
      </c>
      <c r="HA92" s="48">
        <f t="shared" si="1119"/>
        <v>0.68999999999999984</v>
      </c>
      <c r="HB92" s="48">
        <f t="shared" si="1119"/>
        <v>0.66999999999999982</v>
      </c>
      <c r="HC92" s="48">
        <f t="shared" si="1119"/>
        <v>0.6499999999999998</v>
      </c>
      <c r="HD92" s="48">
        <f t="shared" si="1119"/>
        <v>0.62999999999999978</v>
      </c>
      <c r="HE92" s="48">
        <f t="shared" si="1119"/>
        <v>0.60999999999999976</v>
      </c>
      <c r="HF92" s="48">
        <f t="shared" si="1119"/>
        <v>0.58999999999999975</v>
      </c>
      <c r="HG92" s="48">
        <f t="shared" si="1119"/>
        <v>0.56999999999999973</v>
      </c>
    </row>
    <row r="93" spans="1:215" x14ac:dyDescent="0.3">
      <c r="A93" s="2">
        <v>2</v>
      </c>
      <c r="C93" s="29" t="s">
        <v>161</v>
      </c>
      <c r="D93" s="44">
        <f>TRUNC(4682.00637712135,-1)</f>
        <v>4680</v>
      </c>
      <c r="E93" s="73">
        <f t="shared" si="988"/>
        <v>15470</v>
      </c>
      <c r="G93" s="48">
        <f t="shared" si="948"/>
        <v>5148</v>
      </c>
      <c r="H93" s="48">
        <f t="shared" si="949"/>
        <v>5148</v>
      </c>
      <c r="I93" s="51">
        <f t="shared" si="950"/>
        <v>17018.258399999999</v>
      </c>
      <c r="J93" s="48">
        <f t="shared" si="989"/>
        <v>4993.5599999999995</v>
      </c>
      <c r="K93" s="51">
        <f t="shared" si="990"/>
        <v>16507.710648</v>
      </c>
      <c r="L93" s="48">
        <f t="shared" si="991"/>
        <v>4890.5999999999995</v>
      </c>
      <c r="M93" s="51">
        <f t="shared" si="992"/>
        <v>16167.345479999998</v>
      </c>
      <c r="N93" s="48">
        <f t="shared" si="993"/>
        <v>4787.6400000000003</v>
      </c>
      <c r="O93" s="51">
        <f t="shared" si="994"/>
        <v>15826.980312000002</v>
      </c>
      <c r="P93" s="52">
        <f t="shared" si="995"/>
        <v>4684.68</v>
      </c>
      <c r="Q93" s="51">
        <f t="shared" si="996"/>
        <v>15486.615144000001</v>
      </c>
      <c r="R93" s="48">
        <f t="shared" si="997"/>
        <v>4581.72</v>
      </c>
      <c r="S93" s="51">
        <f t="shared" si="998"/>
        <v>15146.249976000001</v>
      </c>
      <c r="T93" s="52">
        <f t="shared" si="999"/>
        <v>4478.76</v>
      </c>
      <c r="U93" s="51">
        <f t="shared" si="1000"/>
        <v>14805.884808000001</v>
      </c>
      <c r="V93" s="53">
        <f t="shared" si="1001"/>
        <v>4375.8</v>
      </c>
      <c r="W93" s="51">
        <f t="shared" si="1002"/>
        <v>14465.51964</v>
      </c>
      <c r="X93" s="52">
        <f t="shared" si="1003"/>
        <v>4272.84</v>
      </c>
      <c r="Y93" s="51">
        <f t="shared" si="1004"/>
        <v>14125.154472</v>
      </c>
      <c r="Z93" s="48">
        <f t="shared" si="1005"/>
        <v>4169.88</v>
      </c>
      <c r="AA93" s="51">
        <f t="shared" si="1006"/>
        <v>13784.789304</v>
      </c>
      <c r="AB93" s="53">
        <f t="shared" si="1007"/>
        <v>4066.9199999999996</v>
      </c>
      <c r="AC93" s="51">
        <f t="shared" si="1008"/>
        <v>13444.424136</v>
      </c>
      <c r="AD93" s="53">
        <f t="shared" si="1009"/>
        <v>3963.9599999999996</v>
      </c>
      <c r="AE93" s="51">
        <f t="shared" si="1010"/>
        <v>13104.058967999999</v>
      </c>
      <c r="AF93" s="53">
        <f t="shared" si="1011"/>
        <v>3860.9999999999995</v>
      </c>
      <c r="AG93" s="51">
        <f t="shared" si="1012"/>
        <v>12763.693799999999</v>
      </c>
      <c r="AH93" s="48">
        <f t="shared" si="1013"/>
        <v>3758.0399999999995</v>
      </c>
      <c r="AI93" s="51">
        <f t="shared" si="1014"/>
        <v>12423.328631999999</v>
      </c>
      <c r="AJ93" s="53">
        <f t="shared" si="1015"/>
        <v>3655.0799999999995</v>
      </c>
      <c r="AK93" s="51">
        <f t="shared" si="1016"/>
        <v>12082.963463999999</v>
      </c>
      <c r="AL93" s="53">
        <f t="shared" si="1017"/>
        <v>3552.119999999999</v>
      </c>
      <c r="AM93" s="51">
        <f t="shared" si="1018"/>
        <v>11742.598295999996</v>
      </c>
      <c r="AN93" s="53">
        <f t="shared" si="1019"/>
        <v>3449.1599999999989</v>
      </c>
      <c r="AO93" s="51">
        <f t="shared" si="1020"/>
        <v>11402.233127999996</v>
      </c>
      <c r="AP93" s="53">
        <f t="shared" si="1021"/>
        <v>3346.1999999999989</v>
      </c>
      <c r="AQ93" s="51">
        <f t="shared" si="1022"/>
        <v>11061.867959999996</v>
      </c>
      <c r="AR93" s="48">
        <f t="shared" si="1023"/>
        <v>3243.2399999999989</v>
      </c>
      <c r="AS93" s="51">
        <f t="shared" si="1024"/>
        <v>10721.502791999996</v>
      </c>
      <c r="AT93" s="53">
        <f t="shared" si="1025"/>
        <v>3140.2799999999988</v>
      </c>
      <c r="AU93" s="51">
        <f t="shared" si="1026"/>
        <v>10381.137623999997</v>
      </c>
      <c r="AV93" s="53">
        <f t="shared" si="1027"/>
        <v>3037.3199999999988</v>
      </c>
      <c r="AW93" s="51">
        <f t="shared" si="1028"/>
        <v>10040.772455999997</v>
      </c>
      <c r="AX93" s="48">
        <f t="shared" si="1029"/>
        <v>2934.3599999999988</v>
      </c>
      <c r="AY93" s="51">
        <f t="shared" si="1030"/>
        <v>9700.4072879999967</v>
      </c>
      <c r="BB93" s="48">
        <v>1</v>
      </c>
      <c r="BC93" s="48">
        <v>0.97</v>
      </c>
      <c r="BD93" s="48">
        <v>0.95</v>
      </c>
      <c r="BE93" s="48">
        <v>0.93</v>
      </c>
      <c r="BF93" s="48">
        <f t="shared" ref="BF93:BW93" si="1120">+BE93-0.02</f>
        <v>0.91</v>
      </c>
      <c r="BG93" s="48">
        <f t="shared" si="1120"/>
        <v>0.89</v>
      </c>
      <c r="BH93" s="48">
        <f t="shared" si="1120"/>
        <v>0.87</v>
      </c>
      <c r="BI93" s="48">
        <f t="shared" si="1120"/>
        <v>0.85</v>
      </c>
      <c r="BJ93" s="48">
        <f t="shared" si="1120"/>
        <v>0.83</v>
      </c>
      <c r="BK93" s="48">
        <f t="shared" si="1120"/>
        <v>0.80999999999999994</v>
      </c>
      <c r="BL93" s="48">
        <f t="shared" si="1120"/>
        <v>0.78999999999999992</v>
      </c>
      <c r="BM93" s="48">
        <f t="shared" si="1120"/>
        <v>0.76999999999999991</v>
      </c>
      <c r="BN93" s="48">
        <f t="shared" si="1120"/>
        <v>0.74999999999999989</v>
      </c>
      <c r="BO93" s="48">
        <f t="shared" si="1120"/>
        <v>0.72999999999999987</v>
      </c>
      <c r="BP93" s="48">
        <f t="shared" si="1120"/>
        <v>0.70999999999999985</v>
      </c>
      <c r="BQ93" s="48">
        <f t="shared" si="1120"/>
        <v>0.68999999999999984</v>
      </c>
      <c r="BR93" s="48">
        <f t="shared" si="1120"/>
        <v>0.66999999999999982</v>
      </c>
      <c r="BS93" s="48">
        <f t="shared" si="1120"/>
        <v>0.6499999999999998</v>
      </c>
      <c r="BT93" s="48">
        <f t="shared" si="1120"/>
        <v>0.62999999999999978</v>
      </c>
      <c r="BU93" s="48">
        <f t="shared" si="1120"/>
        <v>0.60999999999999976</v>
      </c>
      <c r="BV93" s="48">
        <f t="shared" si="1120"/>
        <v>0.58999999999999975</v>
      </c>
      <c r="BW93" s="48">
        <f t="shared" si="1120"/>
        <v>0.56999999999999973</v>
      </c>
      <c r="BY93" s="48">
        <f t="shared" si="952"/>
        <v>4684.68</v>
      </c>
      <c r="BZ93" s="48">
        <f t="shared" si="953"/>
        <v>4684.68</v>
      </c>
      <c r="CA93" s="51">
        <f t="shared" ref="CA93" si="1121">+BZ93*3.3058</f>
        <v>15486.615144000001</v>
      </c>
      <c r="CB93" s="48">
        <f t="shared" si="1033"/>
        <v>4544.1396000000004</v>
      </c>
      <c r="CC93" s="51">
        <f t="shared" si="1034"/>
        <v>15022.016689680002</v>
      </c>
      <c r="CD93" s="48">
        <f t="shared" si="1035"/>
        <v>4450.4459999999999</v>
      </c>
      <c r="CE93" s="51">
        <f t="shared" si="1036"/>
        <v>14712.2843868</v>
      </c>
      <c r="CF93" s="48">
        <f t="shared" si="1037"/>
        <v>4356.7524000000003</v>
      </c>
      <c r="CG93" s="51">
        <f t="shared" si="1038"/>
        <v>14402.552083920002</v>
      </c>
      <c r="CH93" s="52">
        <f t="shared" si="1039"/>
        <v>4263.0588000000007</v>
      </c>
      <c r="CI93" s="51">
        <f t="shared" si="1040"/>
        <v>14092.819781040003</v>
      </c>
      <c r="CJ93" s="48">
        <f t="shared" si="1041"/>
        <v>4169.3652000000002</v>
      </c>
      <c r="CK93" s="51">
        <f t="shared" si="1042"/>
        <v>13783.087478160001</v>
      </c>
      <c r="CL93" s="52">
        <f t="shared" si="1043"/>
        <v>4075.6716000000001</v>
      </c>
      <c r="CM93" s="51">
        <f t="shared" si="1044"/>
        <v>13473.355175280001</v>
      </c>
      <c r="CN93" s="53">
        <f t="shared" si="1045"/>
        <v>3981.9780000000001</v>
      </c>
      <c r="CO93" s="51">
        <f t="shared" si="1046"/>
        <v>13163.622872400001</v>
      </c>
      <c r="CP93" s="52">
        <f t="shared" si="1047"/>
        <v>3888.2844</v>
      </c>
      <c r="CQ93" s="51">
        <f t="shared" si="1048"/>
        <v>12853.890569520001</v>
      </c>
      <c r="CR93" s="48">
        <f t="shared" si="1049"/>
        <v>3794.5907999999999</v>
      </c>
      <c r="CS93" s="51">
        <f t="shared" si="1050"/>
        <v>12544.158266640001</v>
      </c>
      <c r="CT93" s="53">
        <f t="shared" si="1051"/>
        <v>3700.8971999999999</v>
      </c>
      <c r="CU93" s="51">
        <f t="shared" si="1052"/>
        <v>12234.425963760001</v>
      </c>
      <c r="CV93" s="53">
        <f t="shared" si="1053"/>
        <v>3607.2035999999998</v>
      </c>
      <c r="CW93" s="51">
        <f t="shared" si="1054"/>
        <v>11924.693660879999</v>
      </c>
      <c r="CX93" s="53">
        <f t="shared" si="1055"/>
        <v>3513.5099999999998</v>
      </c>
      <c r="CY93" s="51">
        <f t="shared" si="1056"/>
        <v>11614.961357999999</v>
      </c>
      <c r="CZ93" s="48">
        <f t="shared" si="1057"/>
        <v>3419.8163999999997</v>
      </c>
      <c r="DA93" s="51">
        <f t="shared" si="1058"/>
        <v>11305.229055119999</v>
      </c>
      <c r="DB93" s="53">
        <f t="shared" si="1059"/>
        <v>3326.1227999999996</v>
      </c>
      <c r="DC93" s="51">
        <f t="shared" si="1060"/>
        <v>10995.496752239998</v>
      </c>
      <c r="DD93" s="53">
        <f t="shared" si="1061"/>
        <v>3232.4291999999996</v>
      </c>
      <c r="DE93" s="51">
        <f t="shared" si="1062"/>
        <v>10685.764449359998</v>
      </c>
      <c r="DF93" s="53">
        <f t="shared" si="1063"/>
        <v>3138.7355999999995</v>
      </c>
      <c r="DG93" s="51">
        <f t="shared" si="1064"/>
        <v>10376.032146479998</v>
      </c>
      <c r="DH93" s="53">
        <f t="shared" si="1065"/>
        <v>3045.0419999999995</v>
      </c>
      <c r="DI93" s="51">
        <f t="shared" si="1066"/>
        <v>10066.299843599998</v>
      </c>
      <c r="DJ93" s="48">
        <f t="shared" si="1067"/>
        <v>2951.3483999999989</v>
      </c>
      <c r="DK93" s="51">
        <f t="shared" si="1068"/>
        <v>9756.567540719996</v>
      </c>
      <c r="DL93" s="53">
        <f t="shared" si="1069"/>
        <v>2857.6547999999989</v>
      </c>
      <c r="DM93" s="51">
        <f t="shared" si="1070"/>
        <v>9446.8352378399959</v>
      </c>
      <c r="DN93" s="53">
        <f t="shared" si="1071"/>
        <v>2763.9611999999988</v>
      </c>
      <c r="DO93" s="51">
        <f t="shared" si="1072"/>
        <v>9137.1029349599958</v>
      </c>
      <c r="DP93" s="48">
        <f t="shared" si="1073"/>
        <v>2670.2675999999988</v>
      </c>
      <c r="DQ93" s="51">
        <f t="shared" si="1074"/>
        <v>8827.3706320799956</v>
      </c>
      <c r="DT93" s="48">
        <v>1</v>
      </c>
      <c r="DU93" s="48">
        <v>0.97</v>
      </c>
      <c r="DV93" s="48">
        <v>0.95</v>
      </c>
      <c r="DW93" s="48">
        <v>0.93</v>
      </c>
      <c r="DX93" s="48">
        <f t="shared" ref="DX93:EO93" si="1122">+DW93-0.02</f>
        <v>0.91</v>
      </c>
      <c r="DY93" s="48">
        <f t="shared" si="1122"/>
        <v>0.89</v>
      </c>
      <c r="DZ93" s="48">
        <f t="shared" si="1122"/>
        <v>0.87</v>
      </c>
      <c r="EA93" s="48">
        <f t="shared" si="1122"/>
        <v>0.85</v>
      </c>
      <c r="EB93" s="48">
        <f t="shared" si="1122"/>
        <v>0.83</v>
      </c>
      <c r="EC93" s="48">
        <f t="shared" si="1122"/>
        <v>0.80999999999999994</v>
      </c>
      <c r="ED93" s="48">
        <f t="shared" si="1122"/>
        <v>0.78999999999999992</v>
      </c>
      <c r="EE93" s="48">
        <f t="shared" si="1122"/>
        <v>0.76999999999999991</v>
      </c>
      <c r="EF93" s="48">
        <f t="shared" si="1122"/>
        <v>0.74999999999999989</v>
      </c>
      <c r="EG93" s="48">
        <f t="shared" si="1122"/>
        <v>0.72999999999999987</v>
      </c>
      <c r="EH93" s="48">
        <f t="shared" si="1122"/>
        <v>0.70999999999999985</v>
      </c>
      <c r="EI93" s="48">
        <f t="shared" si="1122"/>
        <v>0.68999999999999984</v>
      </c>
      <c r="EJ93" s="48">
        <f t="shared" si="1122"/>
        <v>0.66999999999999982</v>
      </c>
      <c r="EK93" s="48">
        <f t="shared" si="1122"/>
        <v>0.6499999999999998</v>
      </c>
      <c r="EL93" s="48">
        <f t="shared" si="1122"/>
        <v>0.62999999999999978</v>
      </c>
      <c r="EM93" s="48">
        <f t="shared" si="1122"/>
        <v>0.60999999999999976</v>
      </c>
      <c r="EN93" s="48">
        <f t="shared" si="1122"/>
        <v>0.58999999999999975</v>
      </c>
      <c r="EO93" s="48">
        <f t="shared" si="1122"/>
        <v>0.56999999999999973</v>
      </c>
      <c r="EQ93" s="48">
        <f t="shared" si="188"/>
        <v>4263.0588000000007</v>
      </c>
      <c r="ER93" s="48">
        <f t="shared" si="956"/>
        <v>4263.0588000000007</v>
      </c>
      <c r="ES93" s="51">
        <f t="shared" ref="ES93" si="1123">+ER93*3.3058</f>
        <v>14092.819781040003</v>
      </c>
      <c r="ET93" s="48">
        <f t="shared" si="1077"/>
        <v>4135.1670360000007</v>
      </c>
      <c r="EU93" s="51">
        <f t="shared" si="1078"/>
        <v>13670.035187608803</v>
      </c>
      <c r="EV93" s="48">
        <f t="shared" si="1079"/>
        <v>4049.9058600000003</v>
      </c>
      <c r="EW93" s="51">
        <f t="shared" si="1080"/>
        <v>13388.178791988001</v>
      </c>
      <c r="EX93" s="48">
        <f t="shared" si="1081"/>
        <v>3964.6446840000008</v>
      </c>
      <c r="EY93" s="51">
        <f t="shared" si="1082"/>
        <v>13106.322396367203</v>
      </c>
      <c r="EZ93" s="52">
        <f t="shared" si="1083"/>
        <v>3879.3835080000008</v>
      </c>
      <c r="FA93" s="51">
        <f t="shared" si="1084"/>
        <v>12824.466000746403</v>
      </c>
      <c r="FB93" s="48">
        <f t="shared" si="1085"/>
        <v>3794.1223320000008</v>
      </c>
      <c r="FC93" s="51">
        <f t="shared" si="1086"/>
        <v>12542.609605125603</v>
      </c>
      <c r="FD93" s="52">
        <f t="shared" si="1087"/>
        <v>3708.8611560000004</v>
      </c>
      <c r="FE93" s="51">
        <f t="shared" si="1088"/>
        <v>12260.753209504801</v>
      </c>
      <c r="FF93" s="53">
        <f t="shared" si="1089"/>
        <v>3623.5999800000004</v>
      </c>
      <c r="FG93" s="51">
        <f t="shared" si="1090"/>
        <v>11978.896813884001</v>
      </c>
      <c r="FH93" s="52">
        <f t="shared" si="1091"/>
        <v>3538.3388040000004</v>
      </c>
      <c r="FI93" s="51">
        <f t="shared" si="1092"/>
        <v>11697.040418263201</v>
      </c>
      <c r="FJ93" s="48">
        <f t="shared" si="1093"/>
        <v>3453.0776280000005</v>
      </c>
      <c r="FK93" s="51">
        <f t="shared" si="1094"/>
        <v>11415.184022642401</v>
      </c>
      <c r="FL93" s="53">
        <f t="shared" si="1095"/>
        <v>3367.816452</v>
      </c>
      <c r="FM93" s="51">
        <f t="shared" si="1096"/>
        <v>11133.327627021601</v>
      </c>
      <c r="FN93" s="53">
        <f t="shared" si="1097"/>
        <v>3282.555276</v>
      </c>
      <c r="FO93" s="51">
        <f t="shared" si="1098"/>
        <v>10851.471231400801</v>
      </c>
      <c r="FP93" s="53">
        <f t="shared" si="1099"/>
        <v>3197.2941000000001</v>
      </c>
      <c r="FQ93" s="51">
        <f t="shared" si="1100"/>
        <v>10569.614835780001</v>
      </c>
      <c r="FR93" s="48">
        <f t="shared" si="1101"/>
        <v>3112.0329240000001</v>
      </c>
      <c r="FS93" s="51">
        <f t="shared" si="1102"/>
        <v>10287.758440159201</v>
      </c>
      <c r="FT93" s="53">
        <f t="shared" si="1103"/>
        <v>3026.7717479999997</v>
      </c>
      <c r="FU93" s="51">
        <f t="shared" si="1104"/>
        <v>10005.902044538399</v>
      </c>
      <c r="FV93" s="53">
        <f t="shared" si="1105"/>
        <v>2941.5105719999997</v>
      </c>
      <c r="FW93" s="51">
        <f t="shared" si="1106"/>
        <v>9724.0456489175995</v>
      </c>
      <c r="FX93" s="53">
        <f t="shared" si="1107"/>
        <v>2856.2493959999997</v>
      </c>
      <c r="FY93" s="51">
        <f t="shared" si="1108"/>
        <v>9442.1892532967995</v>
      </c>
      <c r="FZ93" s="53">
        <f t="shared" si="1109"/>
        <v>2770.9882199999997</v>
      </c>
      <c r="GA93" s="51">
        <f t="shared" si="1110"/>
        <v>9160.3328576759995</v>
      </c>
      <c r="GB93" s="48">
        <f t="shared" si="1111"/>
        <v>2685.7270439999993</v>
      </c>
      <c r="GC93" s="51">
        <f t="shared" si="1112"/>
        <v>8878.4764620551978</v>
      </c>
      <c r="GD93" s="53">
        <f t="shared" si="1113"/>
        <v>2600.4658679999993</v>
      </c>
      <c r="GE93" s="51">
        <f t="shared" si="1114"/>
        <v>8596.6200664343978</v>
      </c>
      <c r="GF93" s="53">
        <f t="shared" si="1115"/>
        <v>2515.2046919999993</v>
      </c>
      <c r="GG93" s="51">
        <f t="shared" si="1116"/>
        <v>8314.7636708135979</v>
      </c>
      <c r="GH93" s="48">
        <f t="shared" si="1117"/>
        <v>2429.9435159999994</v>
      </c>
      <c r="GI93" s="51">
        <f t="shared" si="1118"/>
        <v>8032.9072751927979</v>
      </c>
      <c r="GJ93" s="48"/>
      <c r="GK93" s="48"/>
      <c r="GL93" s="48">
        <v>1</v>
      </c>
      <c r="GM93" s="48">
        <v>0.97</v>
      </c>
      <c r="GN93" s="48">
        <v>0.95</v>
      </c>
      <c r="GO93" s="48">
        <v>0.93</v>
      </c>
      <c r="GP93" s="48">
        <f t="shared" ref="GP93:HG93" si="1124">+GO93-0.02</f>
        <v>0.91</v>
      </c>
      <c r="GQ93" s="48">
        <f t="shared" si="1124"/>
        <v>0.89</v>
      </c>
      <c r="GR93" s="48">
        <f t="shared" si="1124"/>
        <v>0.87</v>
      </c>
      <c r="GS93" s="48">
        <f t="shared" si="1124"/>
        <v>0.85</v>
      </c>
      <c r="GT93" s="48">
        <f t="shared" si="1124"/>
        <v>0.83</v>
      </c>
      <c r="GU93" s="48">
        <f t="shared" si="1124"/>
        <v>0.80999999999999994</v>
      </c>
      <c r="GV93" s="48">
        <f t="shared" si="1124"/>
        <v>0.78999999999999992</v>
      </c>
      <c r="GW93" s="48">
        <f t="shared" si="1124"/>
        <v>0.76999999999999991</v>
      </c>
      <c r="GX93" s="48">
        <f t="shared" si="1124"/>
        <v>0.74999999999999989</v>
      </c>
      <c r="GY93" s="48">
        <f t="shared" si="1124"/>
        <v>0.72999999999999987</v>
      </c>
      <c r="GZ93" s="48">
        <f t="shared" si="1124"/>
        <v>0.70999999999999985</v>
      </c>
      <c r="HA93" s="48">
        <f t="shared" si="1124"/>
        <v>0.68999999999999984</v>
      </c>
      <c r="HB93" s="48">
        <f t="shared" si="1124"/>
        <v>0.66999999999999982</v>
      </c>
      <c r="HC93" s="48">
        <f t="shared" si="1124"/>
        <v>0.6499999999999998</v>
      </c>
      <c r="HD93" s="48">
        <f t="shared" si="1124"/>
        <v>0.62999999999999978</v>
      </c>
      <c r="HE93" s="48">
        <f t="shared" si="1124"/>
        <v>0.60999999999999976</v>
      </c>
      <c r="HF93" s="48">
        <f t="shared" si="1124"/>
        <v>0.58999999999999975</v>
      </c>
      <c r="HG93" s="48">
        <f t="shared" si="1124"/>
        <v>0.56999999999999973</v>
      </c>
    </row>
    <row r="94" spans="1:215" x14ac:dyDescent="0.3">
      <c r="A94" s="2">
        <v>3</v>
      </c>
      <c r="C94" s="29" t="s">
        <v>162</v>
      </c>
      <c r="D94" s="44">
        <f>TRUNC(21570.3892947996,-1)</f>
        <v>21570</v>
      </c>
      <c r="E94" s="73">
        <f t="shared" si="988"/>
        <v>71300</v>
      </c>
      <c r="G94" s="48">
        <f t="shared" si="948"/>
        <v>23727.000000000004</v>
      </c>
      <c r="H94" s="48">
        <f t="shared" si="949"/>
        <v>23727.000000000004</v>
      </c>
      <c r="I94" s="51">
        <f t="shared" si="950"/>
        <v>78436.716600000014</v>
      </c>
      <c r="J94" s="48">
        <f t="shared" si="989"/>
        <v>23015.190000000002</v>
      </c>
      <c r="K94" s="51">
        <f t="shared" si="990"/>
        <v>76083.615102000011</v>
      </c>
      <c r="L94" s="48">
        <f t="shared" si="991"/>
        <v>22540.65</v>
      </c>
      <c r="M94" s="51">
        <f t="shared" si="992"/>
        <v>74514.880770000003</v>
      </c>
      <c r="N94" s="48">
        <f t="shared" si="993"/>
        <v>22066.110000000004</v>
      </c>
      <c r="O94" s="51">
        <f t="shared" si="994"/>
        <v>72946.146438000011</v>
      </c>
      <c r="P94" s="52">
        <f t="shared" si="995"/>
        <v>21591.570000000003</v>
      </c>
      <c r="Q94" s="51">
        <f t="shared" si="996"/>
        <v>71377.412106000018</v>
      </c>
      <c r="R94" s="48">
        <f t="shared" si="997"/>
        <v>21117.030000000002</v>
      </c>
      <c r="S94" s="51">
        <f t="shared" si="998"/>
        <v>69808.677774000011</v>
      </c>
      <c r="T94" s="52">
        <f t="shared" si="999"/>
        <v>20642.490000000002</v>
      </c>
      <c r="U94" s="51">
        <f t="shared" si="1000"/>
        <v>68239.943442000003</v>
      </c>
      <c r="V94" s="53">
        <f t="shared" si="1001"/>
        <v>20167.950000000004</v>
      </c>
      <c r="W94" s="51">
        <f t="shared" si="1002"/>
        <v>66671.209110000011</v>
      </c>
      <c r="X94" s="52">
        <f t="shared" si="1003"/>
        <v>19693.410000000003</v>
      </c>
      <c r="Y94" s="51">
        <f t="shared" si="1004"/>
        <v>65102.474778000011</v>
      </c>
      <c r="Z94" s="48">
        <f t="shared" si="1005"/>
        <v>19218.870000000003</v>
      </c>
      <c r="AA94" s="51">
        <f t="shared" si="1006"/>
        <v>63533.740446000011</v>
      </c>
      <c r="AB94" s="53">
        <f t="shared" si="1007"/>
        <v>18744.330000000002</v>
      </c>
      <c r="AC94" s="51">
        <f t="shared" si="1008"/>
        <v>61965.006114000011</v>
      </c>
      <c r="AD94" s="53">
        <f t="shared" si="1009"/>
        <v>18269.79</v>
      </c>
      <c r="AE94" s="51">
        <f t="shared" si="1010"/>
        <v>60396.271782000003</v>
      </c>
      <c r="AF94" s="53">
        <f t="shared" si="1011"/>
        <v>17795.25</v>
      </c>
      <c r="AG94" s="51">
        <f t="shared" si="1012"/>
        <v>58827.537450000003</v>
      </c>
      <c r="AH94" s="48">
        <f t="shared" si="1013"/>
        <v>17320.71</v>
      </c>
      <c r="AI94" s="51">
        <f t="shared" si="1014"/>
        <v>57258.803117999996</v>
      </c>
      <c r="AJ94" s="53">
        <f t="shared" si="1015"/>
        <v>16846.169999999998</v>
      </c>
      <c r="AK94" s="51">
        <f t="shared" si="1016"/>
        <v>55690.068785999996</v>
      </c>
      <c r="AL94" s="53">
        <f t="shared" si="1017"/>
        <v>16371.63</v>
      </c>
      <c r="AM94" s="51">
        <f t="shared" si="1018"/>
        <v>54121.334453999996</v>
      </c>
      <c r="AN94" s="53">
        <f t="shared" si="1019"/>
        <v>15897.089999999998</v>
      </c>
      <c r="AO94" s="51">
        <f t="shared" si="1020"/>
        <v>52552.600121999996</v>
      </c>
      <c r="AP94" s="53">
        <f t="shared" si="1021"/>
        <v>15422.549999999997</v>
      </c>
      <c r="AQ94" s="51">
        <f t="shared" si="1022"/>
        <v>50983.865789999996</v>
      </c>
      <c r="AR94" s="48">
        <f t="shared" si="1023"/>
        <v>14948.009999999997</v>
      </c>
      <c r="AS94" s="51">
        <f t="shared" si="1024"/>
        <v>49415.131457999989</v>
      </c>
      <c r="AT94" s="53">
        <f t="shared" si="1025"/>
        <v>14473.469999999998</v>
      </c>
      <c r="AU94" s="51">
        <f t="shared" si="1026"/>
        <v>47846.397125999996</v>
      </c>
      <c r="AV94" s="53">
        <f t="shared" si="1027"/>
        <v>13998.929999999997</v>
      </c>
      <c r="AW94" s="51">
        <f t="shared" si="1028"/>
        <v>46277.662793999989</v>
      </c>
      <c r="AX94" s="48">
        <f t="shared" si="1029"/>
        <v>13524.389999999996</v>
      </c>
      <c r="AY94" s="51">
        <f t="shared" si="1030"/>
        <v>44708.928461999989</v>
      </c>
      <c r="BB94" s="48">
        <v>1</v>
      </c>
      <c r="BC94" s="48">
        <v>0.97</v>
      </c>
      <c r="BD94" s="48">
        <v>0.95</v>
      </c>
      <c r="BE94" s="48">
        <v>0.93</v>
      </c>
      <c r="BF94" s="48">
        <f t="shared" ref="BF94:BW94" si="1125">+BE94-0.02</f>
        <v>0.91</v>
      </c>
      <c r="BG94" s="48">
        <f t="shared" si="1125"/>
        <v>0.89</v>
      </c>
      <c r="BH94" s="48">
        <f t="shared" si="1125"/>
        <v>0.87</v>
      </c>
      <c r="BI94" s="48">
        <f t="shared" si="1125"/>
        <v>0.85</v>
      </c>
      <c r="BJ94" s="48">
        <f t="shared" si="1125"/>
        <v>0.83</v>
      </c>
      <c r="BK94" s="48">
        <f t="shared" si="1125"/>
        <v>0.80999999999999994</v>
      </c>
      <c r="BL94" s="48">
        <f t="shared" si="1125"/>
        <v>0.78999999999999992</v>
      </c>
      <c r="BM94" s="48">
        <f t="shared" si="1125"/>
        <v>0.76999999999999991</v>
      </c>
      <c r="BN94" s="48">
        <f t="shared" si="1125"/>
        <v>0.74999999999999989</v>
      </c>
      <c r="BO94" s="48">
        <f t="shared" si="1125"/>
        <v>0.72999999999999987</v>
      </c>
      <c r="BP94" s="48">
        <f t="shared" si="1125"/>
        <v>0.70999999999999985</v>
      </c>
      <c r="BQ94" s="48">
        <f t="shared" si="1125"/>
        <v>0.68999999999999984</v>
      </c>
      <c r="BR94" s="48">
        <f t="shared" si="1125"/>
        <v>0.66999999999999982</v>
      </c>
      <c r="BS94" s="48">
        <f t="shared" si="1125"/>
        <v>0.6499999999999998</v>
      </c>
      <c r="BT94" s="48">
        <f t="shared" si="1125"/>
        <v>0.62999999999999978</v>
      </c>
      <c r="BU94" s="48">
        <f t="shared" si="1125"/>
        <v>0.60999999999999976</v>
      </c>
      <c r="BV94" s="48">
        <f t="shared" si="1125"/>
        <v>0.58999999999999975</v>
      </c>
      <c r="BW94" s="48">
        <f t="shared" si="1125"/>
        <v>0.56999999999999973</v>
      </c>
      <c r="BY94" s="48">
        <f t="shared" si="952"/>
        <v>21591.570000000003</v>
      </c>
      <c r="BZ94" s="48">
        <f t="shared" si="953"/>
        <v>21591.570000000003</v>
      </c>
      <c r="CA94" s="51">
        <f t="shared" ref="CA94" si="1126">+BZ94*3.3058</f>
        <v>71377.412106000018</v>
      </c>
      <c r="CB94" s="48">
        <f t="shared" si="1033"/>
        <v>20943.822900000003</v>
      </c>
      <c r="CC94" s="51">
        <f t="shared" si="1034"/>
        <v>69236.089742820011</v>
      </c>
      <c r="CD94" s="48">
        <f t="shared" si="1035"/>
        <v>20511.991500000004</v>
      </c>
      <c r="CE94" s="51">
        <f t="shared" si="1036"/>
        <v>67808.541500700012</v>
      </c>
      <c r="CF94" s="48">
        <f t="shared" si="1037"/>
        <v>20080.160100000005</v>
      </c>
      <c r="CG94" s="51">
        <f t="shared" si="1038"/>
        <v>66380.993258580012</v>
      </c>
      <c r="CH94" s="52">
        <f t="shared" si="1039"/>
        <v>19648.328700000005</v>
      </c>
      <c r="CI94" s="51">
        <f t="shared" si="1040"/>
        <v>64953.44501646002</v>
      </c>
      <c r="CJ94" s="48">
        <f t="shared" si="1041"/>
        <v>19216.497300000003</v>
      </c>
      <c r="CK94" s="51">
        <f t="shared" si="1042"/>
        <v>63525.896774340014</v>
      </c>
      <c r="CL94" s="52">
        <f t="shared" si="1043"/>
        <v>18784.665900000004</v>
      </c>
      <c r="CM94" s="51">
        <f t="shared" si="1044"/>
        <v>62098.348532220014</v>
      </c>
      <c r="CN94" s="53">
        <f t="shared" si="1045"/>
        <v>18352.834500000001</v>
      </c>
      <c r="CO94" s="51">
        <f t="shared" si="1046"/>
        <v>60670.800290100007</v>
      </c>
      <c r="CP94" s="52">
        <f t="shared" si="1047"/>
        <v>17921.003100000002</v>
      </c>
      <c r="CQ94" s="51">
        <f t="shared" si="1048"/>
        <v>59243.252047980008</v>
      </c>
      <c r="CR94" s="48">
        <f t="shared" si="1049"/>
        <v>17489.171700000003</v>
      </c>
      <c r="CS94" s="51">
        <f t="shared" si="1050"/>
        <v>57815.703805860008</v>
      </c>
      <c r="CT94" s="53">
        <f t="shared" si="1051"/>
        <v>17057.3403</v>
      </c>
      <c r="CU94" s="51">
        <f t="shared" si="1052"/>
        <v>56388.155563740002</v>
      </c>
      <c r="CV94" s="53">
        <f t="shared" si="1053"/>
        <v>16625.508900000001</v>
      </c>
      <c r="CW94" s="51">
        <f t="shared" si="1054"/>
        <v>54960.607321620002</v>
      </c>
      <c r="CX94" s="53">
        <f t="shared" si="1055"/>
        <v>16193.6775</v>
      </c>
      <c r="CY94" s="51">
        <f t="shared" si="1056"/>
        <v>53533.059079500003</v>
      </c>
      <c r="CZ94" s="48">
        <f t="shared" si="1057"/>
        <v>15761.846099999999</v>
      </c>
      <c r="DA94" s="51">
        <f t="shared" si="1058"/>
        <v>52105.510837379996</v>
      </c>
      <c r="DB94" s="53">
        <f t="shared" si="1059"/>
        <v>15330.0147</v>
      </c>
      <c r="DC94" s="51">
        <f t="shared" si="1060"/>
        <v>50677.962595260004</v>
      </c>
      <c r="DD94" s="53">
        <f t="shared" si="1061"/>
        <v>14898.183299999999</v>
      </c>
      <c r="DE94" s="51">
        <f t="shared" si="1062"/>
        <v>49250.414353139997</v>
      </c>
      <c r="DF94" s="53">
        <f t="shared" si="1063"/>
        <v>14466.351899999998</v>
      </c>
      <c r="DG94" s="51">
        <f t="shared" si="1064"/>
        <v>47822.866111019997</v>
      </c>
      <c r="DH94" s="53">
        <f t="shared" si="1065"/>
        <v>14034.520499999999</v>
      </c>
      <c r="DI94" s="51">
        <f t="shared" si="1066"/>
        <v>46395.317868899998</v>
      </c>
      <c r="DJ94" s="48">
        <f t="shared" si="1067"/>
        <v>13602.689099999998</v>
      </c>
      <c r="DK94" s="51">
        <f t="shared" si="1068"/>
        <v>44967.769626779991</v>
      </c>
      <c r="DL94" s="53">
        <f t="shared" si="1069"/>
        <v>13170.857699999997</v>
      </c>
      <c r="DM94" s="51">
        <f t="shared" si="1070"/>
        <v>43540.221384659992</v>
      </c>
      <c r="DN94" s="53">
        <f t="shared" si="1071"/>
        <v>12739.026299999996</v>
      </c>
      <c r="DO94" s="51">
        <f t="shared" si="1072"/>
        <v>42112.673142539985</v>
      </c>
      <c r="DP94" s="48">
        <f t="shared" si="1073"/>
        <v>12307.194899999997</v>
      </c>
      <c r="DQ94" s="51">
        <f t="shared" si="1074"/>
        <v>40685.124900419993</v>
      </c>
      <c r="DT94" s="48">
        <v>1</v>
      </c>
      <c r="DU94" s="48">
        <v>0.97</v>
      </c>
      <c r="DV94" s="48">
        <v>0.95</v>
      </c>
      <c r="DW94" s="48">
        <v>0.93</v>
      </c>
      <c r="DX94" s="48">
        <f t="shared" ref="DX94:EO94" si="1127">+DW94-0.02</f>
        <v>0.91</v>
      </c>
      <c r="DY94" s="48">
        <f t="shared" si="1127"/>
        <v>0.89</v>
      </c>
      <c r="DZ94" s="48">
        <f t="shared" si="1127"/>
        <v>0.87</v>
      </c>
      <c r="EA94" s="48">
        <f t="shared" si="1127"/>
        <v>0.85</v>
      </c>
      <c r="EB94" s="48">
        <f t="shared" si="1127"/>
        <v>0.83</v>
      </c>
      <c r="EC94" s="48">
        <f t="shared" si="1127"/>
        <v>0.80999999999999994</v>
      </c>
      <c r="ED94" s="48">
        <f t="shared" si="1127"/>
        <v>0.78999999999999992</v>
      </c>
      <c r="EE94" s="48">
        <f t="shared" si="1127"/>
        <v>0.76999999999999991</v>
      </c>
      <c r="EF94" s="48">
        <f t="shared" si="1127"/>
        <v>0.74999999999999989</v>
      </c>
      <c r="EG94" s="48">
        <f t="shared" si="1127"/>
        <v>0.72999999999999987</v>
      </c>
      <c r="EH94" s="48">
        <f t="shared" si="1127"/>
        <v>0.70999999999999985</v>
      </c>
      <c r="EI94" s="48">
        <f t="shared" si="1127"/>
        <v>0.68999999999999984</v>
      </c>
      <c r="EJ94" s="48">
        <f t="shared" si="1127"/>
        <v>0.66999999999999982</v>
      </c>
      <c r="EK94" s="48">
        <f t="shared" si="1127"/>
        <v>0.6499999999999998</v>
      </c>
      <c r="EL94" s="48">
        <f t="shared" si="1127"/>
        <v>0.62999999999999978</v>
      </c>
      <c r="EM94" s="48">
        <f t="shared" si="1127"/>
        <v>0.60999999999999976</v>
      </c>
      <c r="EN94" s="48">
        <f t="shared" si="1127"/>
        <v>0.58999999999999975</v>
      </c>
      <c r="EO94" s="48">
        <f t="shared" si="1127"/>
        <v>0.56999999999999973</v>
      </c>
      <c r="EQ94" s="48">
        <f t="shared" ref="EQ94:EQ155" si="1128">+BY94*0.91</f>
        <v>19648.328700000005</v>
      </c>
      <c r="ER94" s="48">
        <f t="shared" si="956"/>
        <v>19648.328700000005</v>
      </c>
      <c r="ES94" s="51">
        <f t="shared" ref="ES94" si="1129">+ER94*3.3058</f>
        <v>64953.44501646002</v>
      </c>
      <c r="ET94" s="48">
        <f t="shared" si="1077"/>
        <v>19058.878839000005</v>
      </c>
      <c r="EU94" s="51">
        <f t="shared" si="1078"/>
        <v>63004.841665966218</v>
      </c>
      <c r="EV94" s="48">
        <f t="shared" si="1079"/>
        <v>18665.912265000003</v>
      </c>
      <c r="EW94" s="51">
        <f t="shared" si="1080"/>
        <v>61705.772765637012</v>
      </c>
      <c r="EX94" s="48">
        <f t="shared" si="1081"/>
        <v>18272.945691000004</v>
      </c>
      <c r="EY94" s="51">
        <f t="shared" si="1082"/>
        <v>60406.703865307813</v>
      </c>
      <c r="EZ94" s="52">
        <f t="shared" si="1083"/>
        <v>17879.979117000006</v>
      </c>
      <c r="FA94" s="51">
        <f t="shared" si="1084"/>
        <v>59107.634964978621</v>
      </c>
      <c r="FB94" s="48">
        <f t="shared" si="1085"/>
        <v>17487.012543000004</v>
      </c>
      <c r="FC94" s="51">
        <f t="shared" si="1086"/>
        <v>57808.566064649414</v>
      </c>
      <c r="FD94" s="52">
        <f t="shared" si="1087"/>
        <v>17094.045969000006</v>
      </c>
      <c r="FE94" s="51">
        <f t="shared" si="1088"/>
        <v>56509.497164320223</v>
      </c>
      <c r="FF94" s="53">
        <f t="shared" si="1089"/>
        <v>16701.079395000004</v>
      </c>
      <c r="FG94" s="51">
        <f t="shared" si="1090"/>
        <v>55210.428263991016</v>
      </c>
      <c r="FH94" s="52">
        <f t="shared" si="1091"/>
        <v>16308.112821000004</v>
      </c>
      <c r="FI94" s="51">
        <f t="shared" si="1092"/>
        <v>53911.359363661817</v>
      </c>
      <c r="FJ94" s="48">
        <f t="shared" si="1093"/>
        <v>15915.146247000002</v>
      </c>
      <c r="FK94" s="51">
        <f t="shared" si="1094"/>
        <v>52612.290463332611</v>
      </c>
      <c r="FL94" s="53">
        <f t="shared" si="1095"/>
        <v>15522.179673000002</v>
      </c>
      <c r="FM94" s="51">
        <f t="shared" si="1096"/>
        <v>51313.221563003412</v>
      </c>
      <c r="FN94" s="53">
        <f t="shared" si="1097"/>
        <v>15129.213099000002</v>
      </c>
      <c r="FO94" s="51">
        <f t="shared" si="1098"/>
        <v>50014.152662674205</v>
      </c>
      <c r="FP94" s="53">
        <f t="shared" si="1099"/>
        <v>14736.246525000002</v>
      </c>
      <c r="FQ94" s="51">
        <f t="shared" si="1100"/>
        <v>48715.083762345006</v>
      </c>
      <c r="FR94" s="48">
        <f t="shared" si="1101"/>
        <v>14343.279951000002</v>
      </c>
      <c r="FS94" s="51">
        <f t="shared" si="1102"/>
        <v>47416.014862015807</v>
      </c>
      <c r="FT94" s="53">
        <f t="shared" si="1103"/>
        <v>13950.313377</v>
      </c>
      <c r="FU94" s="51">
        <f t="shared" si="1104"/>
        <v>46116.945961686601</v>
      </c>
      <c r="FV94" s="53">
        <f t="shared" si="1105"/>
        <v>13557.346803</v>
      </c>
      <c r="FW94" s="51">
        <f t="shared" si="1106"/>
        <v>44817.877061357402</v>
      </c>
      <c r="FX94" s="53">
        <f t="shared" si="1107"/>
        <v>13164.380229</v>
      </c>
      <c r="FY94" s="51">
        <f t="shared" si="1108"/>
        <v>43518.808161028202</v>
      </c>
      <c r="FZ94" s="53">
        <f t="shared" si="1109"/>
        <v>12771.413655</v>
      </c>
      <c r="GA94" s="51">
        <f t="shared" si="1110"/>
        <v>42219.739260699003</v>
      </c>
      <c r="GB94" s="48">
        <f t="shared" si="1111"/>
        <v>12378.447080999998</v>
      </c>
      <c r="GC94" s="51">
        <f t="shared" si="1112"/>
        <v>40920.670360369797</v>
      </c>
      <c r="GD94" s="53">
        <f t="shared" si="1113"/>
        <v>11985.480506999998</v>
      </c>
      <c r="GE94" s="51">
        <f t="shared" si="1114"/>
        <v>39621.601460040598</v>
      </c>
      <c r="GF94" s="53">
        <f t="shared" si="1115"/>
        <v>11592.513932999998</v>
      </c>
      <c r="GG94" s="51">
        <f t="shared" si="1116"/>
        <v>38322.532559711399</v>
      </c>
      <c r="GH94" s="48">
        <f t="shared" si="1117"/>
        <v>11199.547358999998</v>
      </c>
      <c r="GI94" s="51">
        <f t="shared" si="1118"/>
        <v>37023.463659382192</v>
      </c>
      <c r="GJ94" s="48"/>
      <c r="GK94" s="48"/>
      <c r="GL94" s="48">
        <v>1</v>
      </c>
      <c r="GM94" s="48">
        <v>0.97</v>
      </c>
      <c r="GN94" s="48">
        <v>0.95</v>
      </c>
      <c r="GO94" s="48">
        <v>0.93</v>
      </c>
      <c r="GP94" s="48">
        <f t="shared" ref="GP94:HG94" si="1130">+GO94-0.02</f>
        <v>0.91</v>
      </c>
      <c r="GQ94" s="48">
        <f t="shared" si="1130"/>
        <v>0.89</v>
      </c>
      <c r="GR94" s="48">
        <f t="shared" si="1130"/>
        <v>0.87</v>
      </c>
      <c r="GS94" s="48">
        <f t="shared" si="1130"/>
        <v>0.85</v>
      </c>
      <c r="GT94" s="48">
        <f t="shared" si="1130"/>
        <v>0.83</v>
      </c>
      <c r="GU94" s="48">
        <f t="shared" si="1130"/>
        <v>0.80999999999999994</v>
      </c>
      <c r="GV94" s="48">
        <f t="shared" si="1130"/>
        <v>0.78999999999999992</v>
      </c>
      <c r="GW94" s="48">
        <f t="shared" si="1130"/>
        <v>0.76999999999999991</v>
      </c>
      <c r="GX94" s="48">
        <f t="shared" si="1130"/>
        <v>0.74999999999999989</v>
      </c>
      <c r="GY94" s="48">
        <f t="shared" si="1130"/>
        <v>0.72999999999999987</v>
      </c>
      <c r="GZ94" s="48">
        <f t="shared" si="1130"/>
        <v>0.70999999999999985</v>
      </c>
      <c r="HA94" s="48">
        <f t="shared" si="1130"/>
        <v>0.68999999999999984</v>
      </c>
      <c r="HB94" s="48">
        <f t="shared" si="1130"/>
        <v>0.66999999999999982</v>
      </c>
      <c r="HC94" s="48">
        <f t="shared" si="1130"/>
        <v>0.6499999999999998</v>
      </c>
      <c r="HD94" s="48">
        <f t="shared" si="1130"/>
        <v>0.62999999999999978</v>
      </c>
      <c r="HE94" s="48">
        <f t="shared" si="1130"/>
        <v>0.60999999999999976</v>
      </c>
      <c r="HF94" s="48">
        <f t="shared" si="1130"/>
        <v>0.58999999999999975</v>
      </c>
      <c r="HG94" s="48">
        <f t="shared" si="1130"/>
        <v>0.56999999999999973</v>
      </c>
    </row>
    <row r="95" spans="1:215" x14ac:dyDescent="0.3">
      <c r="A95" s="2">
        <v>4</v>
      </c>
      <c r="C95" s="29" t="s">
        <v>163</v>
      </c>
      <c r="D95" s="44">
        <v>0</v>
      </c>
      <c r="E95" s="73">
        <f t="shared" si="988"/>
        <v>0</v>
      </c>
      <c r="G95" s="48">
        <f t="shared" si="948"/>
        <v>0</v>
      </c>
      <c r="H95" s="48">
        <f t="shared" si="949"/>
        <v>0</v>
      </c>
      <c r="I95" s="51">
        <f t="shared" si="950"/>
        <v>0</v>
      </c>
      <c r="J95" s="48">
        <f t="shared" si="989"/>
        <v>0</v>
      </c>
      <c r="K95" s="51">
        <f t="shared" si="990"/>
        <v>0</v>
      </c>
      <c r="L95" s="48">
        <f t="shared" si="991"/>
        <v>0</v>
      </c>
      <c r="M95" s="51">
        <f t="shared" si="992"/>
        <v>0</v>
      </c>
      <c r="N95" s="48">
        <f t="shared" si="993"/>
        <v>0</v>
      </c>
      <c r="O95" s="51">
        <f t="shared" si="994"/>
        <v>0</v>
      </c>
      <c r="P95" s="52">
        <f t="shared" si="995"/>
        <v>0</v>
      </c>
      <c r="Q95" s="51">
        <f t="shared" si="996"/>
        <v>0</v>
      </c>
      <c r="R95" s="48">
        <f t="shared" si="997"/>
        <v>0</v>
      </c>
      <c r="S95" s="51">
        <f t="shared" si="998"/>
        <v>0</v>
      </c>
      <c r="T95" s="52">
        <f t="shared" si="999"/>
        <v>0</v>
      </c>
      <c r="U95" s="51">
        <f t="shared" si="1000"/>
        <v>0</v>
      </c>
      <c r="V95" s="53">
        <f t="shared" si="1001"/>
        <v>0</v>
      </c>
      <c r="W95" s="51">
        <f t="shared" si="1002"/>
        <v>0</v>
      </c>
      <c r="X95" s="52">
        <f t="shared" si="1003"/>
        <v>0</v>
      </c>
      <c r="Y95" s="51">
        <f t="shared" si="1004"/>
        <v>0</v>
      </c>
      <c r="Z95" s="48">
        <f t="shared" si="1005"/>
        <v>0</v>
      </c>
      <c r="AA95" s="51">
        <f t="shared" si="1006"/>
        <v>0</v>
      </c>
      <c r="AB95" s="53">
        <f t="shared" si="1007"/>
        <v>0</v>
      </c>
      <c r="AC95" s="51">
        <f t="shared" si="1008"/>
        <v>0</v>
      </c>
      <c r="AD95" s="53">
        <f t="shared" si="1009"/>
        <v>0</v>
      </c>
      <c r="AE95" s="51">
        <f t="shared" si="1010"/>
        <v>0</v>
      </c>
      <c r="AF95" s="53">
        <f t="shared" si="1011"/>
        <v>0</v>
      </c>
      <c r="AG95" s="51">
        <f t="shared" si="1012"/>
        <v>0</v>
      </c>
      <c r="AH95" s="48">
        <f t="shared" si="1013"/>
        <v>0</v>
      </c>
      <c r="AI95" s="51">
        <f t="shared" si="1014"/>
        <v>0</v>
      </c>
      <c r="AJ95" s="53">
        <f t="shared" si="1015"/>
        <v>0</v>
      </c>
      <c r="AK95" s="51">
        <f t="shared" si="1016"/>
        <v>0</v>
      </c>
      <c r="AL95" s="53">
        <f t="shared" si="1017"/>
        <v>0</v>
      </c>
      <c r="AM95" s="51">
        <f t="shared" si="1018"/>
        <v>0</v>
      </c>
      <c r="AN95" s="53">
        <f t="shared" si="1019"/>
        <v>0</v>
      </c>
      <c r="AO95" s="51">
        <f t="shared" si="1020"/>
        <v>0</v>
      </c>
      <c r="AP95" s="53">
        <f t="shared" si="1021"/>
        <v>0</v>
      </c>
      <c r="AQ95" s="51">
        <f t="shared" si="1022"/>
        <v>0</v>
      </c>
      <c r="AR95" s="48">
        <f t="shared" si="1023"/>
        <v>0</v>
      </c>
      <c r="AS95" s="51">
        <f t="shared" si="1024"/>
        <v>0</v>
      </c>
      <c r="AT95" s="53">
        <f t="shared" si="1025"/>
        <v>0</v>
      </c>
      <c r="AU95" s="51">
        <f t="shared" si="1026"/>
        <v>0</v>
      </c>
      <c r="AV95" s="53">
        <f t="shared" si="1027"/>
        <v>0</v>
      </c>
      <c r="AW95" s="51">
        <f t="shared" si="1028"/>
        <v>0</v>
      </c>
      <c r="AX95" s="48">
        <f t="shared" si="1029"/>
        <v>0</v>
      </c>
      <c r="AY95" s="51">
        <f t="shared" si="1030"/>
        <v>0</v>
      </c>
      <c r="BB95" s="48">
        <v>1</v>
      </c>
      <c r="BC95" s="48">
        <v>0.97</v>
      </c>
      <c r="BD95" s="48">
        <v>0.95</v>
      </c>
      <c r="BE95" s="48">
        <v>0.93</v>
      </c>
      <c r="BF95" s="48">
        <f t="shared" ref="BF95:BW95" si="1131">+BE95-0.02</f>
        <v>0.91</v>
      </c>
      <c r="BG95" s="48">
        <f t="shared" si="1131"/>
        <v>0.89</v>
      </c>
      <c r="BH95" s="48">
        <f t="shared" si="1131"/>
        <v>0.87</v>
      </c>
      <c r="BI95" s="48">
        <f t="shared" si="1131"/>
        <v>0.85</v>
      </c>
      <c r="BJ95" s="48">
        <f t="shared" si="1131"/>
        <v>0.83</v>
      </c>
      <c r="BK95" s="48">
        <f t="shared" si="1131"/>
        <v>0.80999999999999994</v>
      </c>
      <c r="BL95" s="48">
        <f t="shared" si="1131"/>
        <v>0.78999999999999992</v>
      </c>
      <c r="BM95" s="48">
        <f t="shared" si="1131"/>
        <v>0.76999999999999991</v>
      </c>
      <c r="BN95" s="48">
        <f t="shared" si="1131"/>
        <v>0.74999999999999989</v>
      </c>
      <c r="BO95" s="48">
        <f t="shared" si="1131"/>
        <v>0.72999999999999987</v>
      </c>
      <c r="BP95" s="48">
        <f t="shared" si="1131"/>
        <v>0.70999999999999985</v>
      </c>
      <c r="BQ95" s="48">
        <f t="shared" si="1131"/>
        <v>0.68999999999999984</v>
      </c>
      <c r="BR95" s="48">
        <f t="shared" si="1131"/>
        <v>0.66999999999999982</v>
      </c>
      <c r="BS95" s="48">
        <f t="shared" si="1131"/>
        <v>0.6499999999999998</v>
      </c>
      <c r="BT95" s="48">
        <f t="shared" si="1131"/>
        <v>0.62999999999999978</v>
      </c>
      <c r="BU95" s="48">
        <f t="shared" si="1131"/>
        <v>0.60999999999999976</v>
      </c>
      <c r="BV95" s="48">
        <f t="shared" si="1131"/>
        <v>0.58999999999999975</v>
      </c>
      <c r="BW95" s="48">
        <f t="shared" si="1131"/>
        <v>0.56999999999999973</v>
      </c>
      <c r="BY95" s="48">
        <f t="shared" si="952"/>
        <v>0</v>
      </c>
      <c r="BZ95" s="48">
        <f t="shared" si="953"/>
        <v>0</v>
      </c>
      <c r="CA95" s="51">
        <f t="shared" ref="CA95" si="1132">+BZ95*3.3058</f>
        <v>0</v>
      </c>
      <c r="CB95" s="48">
        <f t="shared" si="1033"/>
        <v>0</v>
      </c>
      <c r="CC95" s="51">
        <f t="shared" si="1034"/>
        <v>0</v>
      </c>
      <c r="CD95" s="48">
        <f t="shared" si="1035"/>
        <v>0</v>
      </c>
      <c r="CE95" s="51">
        <f t="shared" si="1036"/>
        <v>0</v>
      </c>
      <c r="CF95" s="48">
        <f t="shared" si="1037"/>
        <v>0</v>
      </c>
      <c r="CG95" s="51">
        <f t="shared" si="1038"/>
        <v>0</v>
      </c>
      <c r="CH95" s="52">
        <f t="shared" si="1039"/>
        <v>0</v>
      </c>
      <c r="CI95" s="51">
        <f t="shared" si="1040"/>
        <v>0</v>
      </c>
      <c r="CJ95" s="48">
        <f t="shared" si="1041"/>
        <v>0</v>
      </c>
      <c r="CK95" s="51">
        <f t="shared" si="1042"/>
        <v>0</v>
      </c>
      <c r="CL95" s="52">
        <f t="shared" si="1043"/>
        <v>0</v>
      </c>
      <c r="CM95" s="51">
        <f t="shared" si="1044"/>
        <v>0</v>
      </c>
      <c r="CN95" s="53">
        <f t="shared" si="1045"/>
        <v>0</v>
      </c>
      <c r="CO95" s="51">
        <f t="shared" si="1046"/>
        <v>0</v>
      </c>
      <c r="CP95" s="52">
        <f t="shared" si="1047"/>
        <v>0</v>
      </c>
      <c r="CQ95" s="51">
        <f t="shared" si="1048"/>
        <v>0</v>
      </c>
      <c r="CR95" s="48">
        <f t="shared" si="1049"/>
        <v>0</v>
      </c>
      <c r="CS95" s="51">
        <f t="shared" si="1050"/>
        <v>0</v>
      </c>
      <c r="CT95" s="53">
        <f t="shared" si="1051"/>
        <v>0</v>
      </c>
      <c r="CU95" s="51">
        <f t="shared" si="1052"/>
        <v>0</v>
      </c>
      <c r="CV95" s="53">
        <f t="shared" si="1053"/>
        <v>0</v>
      </c>
      <c r="CW95" s="51">
        <f t="shared" si="1054"/>
        <v>0</v>
      </c>
      <c r="CX95" s="53">
        <f t="shared" si="1055"/>
        <v>0</v>
      </c>
      <c r="CY95" s="51">
        <f t="shared" si="1056"/>
        <v>0</v>
      </c>
      <c r="CZ95" s="48">
        <f t="shared" si="1057"/>
        <v>0</v>
      </c>
      <c r="DA95" s="51">
        <f t="shared" si="1058"/>
        <v>0</v>
      </c>
      <c r="DB95" s="53">
        <f t="shared" si="1059"/>
        <v>0</v>
      </c>
      <c r="DC95" s="51">
        <f t="shared" si="1060"/>
        <v>0</v>
      </c>
      <c r="DD95" s="53">
        <f t="shared" si="1061"/>
        <v>0</v>
      </c>
      <c r="DE95" s="51">
        <f t="shared" si="1062"/>
        <v>0</v>
      </c>
      <c r="DF95" s="53">
        <f t="shared" si="1063"/>
        <v>0</v>
      </c>
      <c r="DG95" s="51">
        <f t="shared" si="1064"/>
        <v>0</v>
      </c>
      <c r="DH95" s="53">
        <f t="shared" si="1065"/>
        <v>0</v>
      </c>
      <c r="DI95" s="51">
        <f t="shared" si="1066"/>
        <v>0</v>
      </c>
      <c r="DJ95" s="48">
        <f t="shared" si="1067"/>
        <v>0</v>
      </c>
      <c r="DK95" s="51">
        <f t="shared" si="1068"/>
        <v>0</v>
      </c>
      <c r="DL95" s="53">
        <f t="shared" si="1069"/>
        <v>0</v>
      </c>
      <c r="DM95" s="51">
        <f t="shared" si="1070"/>
        <v>0</v>
      </c>
      <c r="DN95" s="53">
        <f t="shared" si="1071"/>
        <v>0</v>
      </c>
      <c r="DO95" s="51">
        <f t="shared" si="1072"/>
        <v>0</v>
      </c>
      <c r="DP95" s="48">
        <f t="shared" si="1073"/>
        <v>0</v>
      </c>
      <c r="DQ95" s="51">
        <f t="shared" si="1074"/>
        <v>0</v>
      </c>
      <c r="DT95" s="48">
        <v>1</v>
      </c>
      <c r="DU95" s="48">
        <v>0.97</v>
      </c>
      <c r="DV95" s="48">
        <v>0.95</v>
      </c>
      <c r="DW95" s="48">
        <v>0.93</v>
      </c>
      <c r="DX95" s="48">
        <f t="shared" ref="DX95:EO95" si="1133">+DW95-0.02</f>
        <v>0.91</v>
      </c>
      <c r="DY95" s="48">
        <f t="shared" si="1133"/>
        <v>0.89</v>
      </c>
      <c r="DZ95" s="48">
        <f t="shared" si="1133"/>
        <v>0.87</v>
      </c>
      <c r="EA95" s="48">
        <f t="shared" si="1133"/>
        <v>0.85</v>
      </c>
      <c r="EB95" s="48">
        <f t="shared" si="1133"/>
        <v>0.83</v>
      </c>
      <c r="EC95" s="48">
        <f t="shared" si="1133"/>
        <v>0.80999999999999994</v>
      </c>
      <c r="ED95" s="48">
        <f t="shared" si="1133"/>
        <v>0.78999999999999992</v>
      </c>
      <c r="EE95" s="48">
        <f t="shared" si="1133"/>
        <v>0.76999999999999991</v>
      </c>
      <c r="EF95" s="48">
        <f t="shared" si="1133"/>
        <v>0.74999999999999989</v>
      </c>
      <c r="EG95" s="48">
        <f t="shared" si="1133"/>
        <v>0.72999999999999987</v>
      </c>
      <c r="EH95" s="48">
        <f t="shared" si="1133"/>
        <v>0.70999999999999985</v>
      </c>
      <c r="EI95" s="48">
        <f t="shared" si="1133"/>
        <v>0.68999999999999984</v>
      </c>
      <c r="EJ95" s="48">
        <f t="shared" si="1133"/>
        <v>0.66999999999999982</v>
      </c>
      <c r="EK95" s="48">
        <f t="shared" si="1133"/>
        <v>0.6499999999999998</v>
      </c>
      <c r="EL95" s="48">
        <f t="shared" si="1133"/>
        <v>0.62999999999999978</v>
      </c>
      <c r="EM95" s="48">
        <f t="shared" si="1133"/>
        <v>0.60999999999999976</v>
      </c>
      <c r="EN95" s="48">
        <f t="shared" si="1133"/>
        <v>0.58999999999999975</v>
      </c>
      <c r="EO95" s="48">
        <f t="shared" si="1133"/>
        <v>0.56999999999999973</v>
      </c>
      <c r="EQ95" s="48">
        <f t="shared" si="1128"/>
        <v>0</v>
      </c>
      <c r="ER95" s="48">
        <f t="shared" si="956"/>
        <v>0</v>
      </c>
      <c r="ES95" s="51">
        <f t="shared" ref="ES95" si="1134">+ER95*3.3058</f>
        <v>0</v>
      </c>
      <c r="ET95" s="48">
        <f t="shared" si="1077"/>
        <v>0</v>
      </c>
      <c r="EU95" s="51">
        <f t="shared" si="1078"/>
        <v>0</v>
      </c>
      <c r="EV95" s="48">
        <f t="shared" si="1079"/>
        <v>0</v>
      </c>
      <c r="EW95" s="51">
        <f t="shared" si="1080"/>
        <v>0</v>
      </c>
      <c r="EX95" s="48">
        <f t="shared" si="1081"/>
        <v>0</v>
      </c>
      <c r="EY95" s="51">
        <f t="shared" si="1082"/>
        <v>0</v>
      </c>
      <c r="EZ95" s="52">
        <f t="shared" si="1083"/>
        <v>0</v>
      </c>
      <c r="FA95" s="51">
        <f t="shared" si="1084"/>
        <v>0</v>
      </c>
      <c r="FB95" s="48">
        <f t="shared" si="1085"/>
        <v>0</v>
      </c>
      <c r="FC95" s="51">
        <f t="shared" si="1086"/>
        <v>0</v>
      </c>
      <c r="FD95" s="52">
        <f t="shared" si="1087"/>
        <v>0</v>
      </c>
      <c r="FE95" s="51">
        <f t="shared" si="1088"/>
        <v>0</v>
      </c>
      <c r="FF95" s="53">
        <f t="shared" si="1089"/>
        <v>0</v>
      </c>
      <c r="FG95" s="51">
        <f t="shared" si="1090"/>
        <v>0</v>
      </c>
      <c r="FH95" s="52">
        <f t="shared" si="1091"/>
        <v>0</v>
      </c>
      <c r="FI95" s="51">
        <f t="shared" si="1092"/>
        <v>0</v>
      </c>
      <c r="FJ95" s="48">
        <f t="shared" si="1093"/>
        <v>0</v>
      </c>
      <c r="FK95" s="51">
        <f t="shared" si="1094"/>
        <v>0</v>
      </c>
      <c r="FL95" s="53">
        <f t="shared" si="1095"/>
        <v>0</v>
      </c>
      <c r="FM95" s="51">
        <f t="shared" si="1096"/>
        <v>0</v>
      </c>
      <c r="FN95" s="53">
        <f t="shared" si="1097"/>
        <v>0</v>
      </c>
      <c r="FO95" s="51">
        <f t="shared" si="1098"/>
        <v>0</v>
      </c>
      <c r="FP95" s="53">
        <f t="shared" si="1099"/>
        <v>0</v>
      </c>
      <c r="FQ95" s="51">
        <f t="shared" si="1100"/>
        <v>0</v>
      </c>
      <c r="FR95" s="48">
        <f t="shared" si="1101"/>
        <v>0</v>
      </c>
      <c r="FS95" s="51">
        <f t="shared" si="1102"/>
        <v>0</v>
      </c>
      <c r="FT95" s="53">
        <f t="shared" si="1103"/>
        <v>0</v>
      </c>
      <c r="FU95" s="51">
        <f t="shared" si="1104"/>
        <v>0</v>
      </c>
      <c r="FV95" s="53">
        <f t="shared" si="1105"/>
        <v>0</v>
      </c>
      <c r="FW95" s="51">
        <f t="shared" si="1106"/>
        <v>0</v>
      </c>
      <c r="FX95" s="53">
        <f t="shared" si="1107"/>
        <v>0</v>
      </c>
      <c r="FY95" s="51">
        <f t="shared" si="1108"/>
        <v>0</v>
      </c>
      <c r="FZ95" s="53">
        <f t="shared" si="1109"/>
        <v>0</v>
      </c>
      <c r="GA95" s="51">
        <f t="shared" si="1110"/>
        <v>0</v>
      </c>
      <c r="GB95" s="48">
        <f t="shared" si="1111"/>
        <v>0</v>
      </c>
      <c r="GC95" s="51">
        <f t="shared" si="1112"/>
        <v>0</v>
      </c>
      <c r="GD95" s="53">
        <f t="shared" si="1113"/>
        <v>0</v>
      </c>
      <c r="GE95" s="51">
        <f t="shared" si="1114"/>
        <v>0</v>
      </c>
      <c r="GF95" s="53">
        <f t="shared" si="1115"/>
        <v>0</v>
      </c>
      <c r="GG95" s="51">
        <f t="shared" si="1116"/>
        <v>0</v>
      </c>
      <c r="GH95" s="48">
        <f t="shared" si="1117"/>
        <v>0</v>
      </c>
      <c r="GI95" s="51">
        <f t="shared" si="1118"/>
        <v>0</v>
      </c>
      <c r="GJ95" s="48"/>
      <c r="GK95" s="48"/>
      <c r="GL95" s="48">
        <v>1</v>
      </c>
      <c r="GM95" s="48">
        <v>0.97</v>
      </c>
      <c r="GN95" s="48">
        <v>0.95</v>
      </c>
      <c r="GO95" s="48">
        <v>0.93</v>
      </c>
      <c r="GP95" s="48">
        <f t="shared" ref="GP95:HG95" si="1135">+GO95-0.02</f>
        <v>0.91</v>
      </c>
      <c r="GQ95" s="48">
        <f t="shared" si="1135"/>
        <v>0.89</v>
      </c>
      <c r="GR95" s="48">
        <f t="shared" si="1135"/>
        <v>0.87</v>
      </c>
      <c r="GS95" s="48">
        <f t="shared" si="1135"/>
        <v>0.85</v>
      </c>
      <c r="GT95" s="48">
        <f t="shared" si="1135"/>
        <v>0.83</v>
      </c>
      <c r="GU95" s="48">
        <f t="shared" si="1135"/>
        <v>0.80999999999999994</v>
      </c>
      <c r="GV95" s="48">
        <f t="shared" si="1135"/>
        <v>0.78999999999999992</v>
      </c>
      <c r="GW95" s="48">
        <f t="shared" si="1135"/>
        <v>0.76999999999999991</v>
      </c>
      <c r="GX95" s="48">
        <f t="shared" si="1135"/>
        <v>0.74999999999999989</v>
      </c>
      <c r="GY95" s="48">
        <f t="shared" si="1135"/>
        <v>0.72999999999999987</v>
      </c>
      <c r="GZ95" s="48">
        <f t="shared" si="1135"/>
        <v>0.70999999999999985</v>
      </c>
      <c r="HA95" s="48">
        <f t="shared" si="1135"/>
        <v>0.68999999999999984</v>
      </c>
      <c r="HB95" s="48">
        <f t="shared" si="1135"/>
        <v>0.66999999999999982</v>
      </c>
      <c r="HC95" s="48">
        <f t="shared" si="1135"/>
        <v>0.6499999999999998</v>
      </c>
      <c r="HD95" s="48">
        <f t="shared" si="1135"/>
        <v>0.62999999999999978</v>
      </c>
      <c r="HE95" s="48">
        <f t="shared" si="1135"/>
        <v>0.60999999999999976</v>
      </c>
      <c r="HF95" s="48">
        <f t="shared" si="1135"/>
        <v>0.58999999999999975</v>
      </c>
      <c r="HG95" s="48">
        <f t="shared" si="1135"/>
        <v>0.56999999999999973</v>
      </c>
    </row>
    <row r="96" spans="1:215" x14ac:dyDescent="0.3">
      <c r="A96" s="2">
        <v>5</v>
      </c>
      <c r="C96" s="29" t="s">
        <v>164</v>
      </c>
      <c r="D96" s="44">
        <f>TRUNC(5627.30311654218+2659.44102033942,-1)</f>
        <v>8280</v>
      </c>
      <c r="E96" s="73">
        <f t="shared" si="988"/>
        <v>27370</v>
      </c>
      <c r="F96" s="2" t="s">
        <v>378</v>
      </c>
      <c r="G96" s="48">
        <f t="shared" si="948"/>
        <v>9108</v>
      </c>
      <c r="H96" s="48">
        <f t="shared" si="949"/>
        <v>9108</v>
      </c>
      <c r="I96" s="51">
        <f t="shared" si="950"/>
        <v>30109.2264</v>
      </c>
      <c r="J96" s="48">
        <f t="shared" si="989"/>
        <v>8834.76</v>
      </c>
      <c r="K96" s="51">
        <f t="shared" si="990"/>
        <v>29205.949608000003</v>
      </c>
      <c r="L96" s="48">
        <f t="shared" si="991"/>
        <v>8652.6</v>
      </c>
      <c r="M96" s="51">
        <f t="shared" si="992"/>
        <v>28603.765080000001</v>
      </c>
      <c r="N96" s="48">
        <f t="shared" si="993"/>
        <v>8470.44</v>
      </c>
      <c r="O96" s="51">
        <f t="shared" si="994"/>
        <v>28001.580552000003</v>
      </c>
      <c r="P96" s="52">
        <f t="shared" si="995"/>
        <v>8288.2800000000007</v>
      </c>
      <c r="Q96" s="51">
        <f t="shared" si="996"/>
        <v>27399.396024000001</v>
      </c>
      <c r="R96" s="48">
        <f t="shared" si="997"/>
        <v>8106.12</v>
      </c>
      <c r="S96" s="51">
        <f t="shared" si="998"/>
        <v>26797.211496</v>
      </c>
      <c r="T96" s="52">
        <f t="shared" si="999"/>
        <v>7923.96</v>
      </c>
      <c r="U96" s="51">
        <f t="shared" si="1000"/>
        <v>26195.026968000002</v>
      </c>
      <c r="V96" s="53">
        <f t="shared" si="1001"/>
        <v>7741.8</v>
      </c>
      <c r="W96" s="51">
        <f t="shared" si="1002"/>
        <v>25592.84244</v>
      </c>
      <c r="X96" s="52">
        <f t="shared" si="1003"/>
        <v>7559.6399999999994</v>
      </c>
      <c r="Y96" s="51">
        <f t="shared" si="1004"/>
        <v>24990.657911999999</v>
      </c>
      <c r="Z96" s="48">
        <f t="shared" si="1005"/>
        <v>7377.48</v>
      </c>
      <c r="AA96" s="51">
        <f t="shared" si="1006"/>
        <v>24388.473384000001</v>
      </c>
      <c r="AB96" s="53">
        <f t="shared" si="1007"/>
        <v>7195.32</v>
      </c>
      <c r="AC96" s="51">
        <f t="shared" si="1008"/>
        <v>23786.288855999999</v>
      </c>
      <c r="AD96" s="53">
        <f t="shared" si="1009"/>
        <v>7013.1599999999989</v>
      </c>
      <c r="AE96" s="51">
        <f t="shared" si="1010"/>
        <v>23184.104327999998</v>
      </c>
      <c r="AF96" s="53">
        <f t="shared" si="1011"/>
        <v>6830.9999999999991</v>
      </c>
      <c r="AG96" s="51">
        <f t="shared" si="1012"/>
        <v>22581.919799999996</v>
      </c>
      <c r="AH96" s="48">
        <f t="shared" si="1013"/>
        <v>6648.8399999999992</v>
      </c>
      <c r="AI96" s="51">
        <f t="shared" si="1014"/>
        <v>21979.735271999998</v>
      </c>
      <c r="AJ96" s="53">
        <f t="shared" si="1015"/>
        <v>6466.6799999999985</v>
      </c>
      <c r="AK96" s="51">
        <f t="shared" si="1016"/>
        <v>21377.550743999996</v>
      </c>
      <c r="AL96" s="53">
        <f t="shared" si="1017"/>
        <v>6284.5199999999986</v>
      </c>
      <c r="AM96" s="51">
        <f t="shared" si="1018"/>
        <v>20775.366215999995</v>
      </c>
      <c r="AN96" s="53">
        <f t="shared" si="1019"/>
        <v>6102.3599999999988</v>
      </c>
      <c r="AO96" s="51">
        <f t="shared" si="1020"/>
        <v>20173.181687999997</v>
      </c>
      <c r="AP96" s="53">
        <f t="shared" si="1021"/>
        <v>5920.199999999998</v>
      </c>
      <c r="AQ96" s="51">
        <f t="shared" si="1022"/>
        <v>19570.997159999995</v>
      </c>
      <c r="AR96" s="48">
        <f t="shared" si="1023"/>
        <v>5738.0399999999981</v>
      </c>
      <c r="AS96" s="51">
        <f t="shared" si="1024"/>
        <v>18968.812631999994</v>
      </c>
      <c r="AT96" s="53">
        <f t="shared" si="1025"/>
        <v>5555.8799999999983</v>
      </c>
      <c r="AU96" s="51">
        <f t="shared" si="1026"/>
        <v>18366.628103999996</v>
      </c>
      <c r="AV96" s="53">
        <f t="shared" si="1027"/>
        <v>5373.7199999999975</v>
      </c>
      <c r="AW96" s="51">
        <f t="shared" si="1028"/>
        <v>17764.443575999991</v>
      </c>
      <c r="AX96" s="48">
        <f t="shared" si="1029"/>
        <v>5191.5599999999977</v>
      </c>
      <c r="AY96" s="51">
        <f t="shared" si="1030"/>
        <v>17162.259047999993</v>
      </c>
      <c r="BB96" s="48">
        <v>1</v>
      </c>
      <c r="BC96" s="48">
        <v>0.97</v>
      </c>
      <c r="BD96" s="48">
        <v>0.95</v>
      </c>
      <c r="BE96" s="48">
        <v>0.93</v>
      </c>
      <c r="BF96" s="48">
        <f t="shared" ref="BF96:BW96" si="1136">+BE96-0.02</f>
        <v>0.91</v>
      </c>
      <c r="BG96" s="48">
        <f t="shared" si="1136"/>
        <v>0.89</v>
      </c>
      <c r="BH96" s="48">
        <f t="shared" si="1136"/>
        <v>0.87</v>
      </c>
      <c r="BI96" s="48">
        <f t="shared" si="1136"/>
        <v>0.85</v>
      </c>
      <c r="BJ96" s="48">
        <f t="shared" si="1136"/>
        <v>0.83</v>
      </c>
      <c r="BK96" s="48">
        <f t="shared" si="1136"/>
        <v>0.80999999999999994</v>
      </c>
      <c r="BL96" s="48">
        <f t="shared" si="1136"/>
        <v>0.78999999999999992</v>
      </c>
      <c r="BM96" s="48">
        <f t="shared" si="1136"/>
        <v>0.76999999999999991</v>
      </c>
      <c r="BN96" s="48">
        <f t="shared" si="1136"/>
        <v>0.74999999999999989</v>
      </c>
      <c r="BO96" s="48">
        <f t="shared" si="1136"/>
        <v>0.72999999999999987</v>
      </c>
      <c r="BP96" s="48">
        <f t="shared" si="1136"/>
        <v>0.70999999999999985</v>
      </c>
      <c r="BQ96" s="48">
        <f t="shared" si="1136"/>
        <v>0.68999999999999984</v>
      </c>
      <c r="BR96" s="48">
        <f t="shared" si="1136"/>
        <v>0.66999999999999982</v>
      </c>
      <c r="BS96" s="48">
        <f t="shared" si="1136"/>
        <v>0.6499999999999998</v>
      </c>
      <c r="BT96" s="48">
        <f t="shared" si="1136"/>
        <v>0.62999999999999978</v>
      </c>
      <c r="BU96" s="48">
        <f t="shared" si="1136"/>
        <v>0.60999999999999976</v>
      </c>
      <c r="BV96" s="48">
        <f t="shared" si="1136"/>
        <v>0.58999999999999975</v>
      </c>
      <c r="BW96" s="48">
        <f t="shared" si="1136"/>
        <v>0.56999999999999973</v>
      </c>
      <c r="BY96" s="48">
        <f t="shared" si="952"/>
        <v>8288.2800000000007</v>
      </c>
      <c r="BZ96" s="48">
        <f t="shared" si="953"/>
        <v>8288.2800000000007</v>
      </c>
      <c r="CA96" s="51">
        <f t="shared" ref="CA96" si="1137">+BZ96*3.3058</f>
        <v>27399.396024000001</v>
      </c>
      <c r="CB96" s="48">
        <f t="shared" si="1033"/>
        <v>8039.6316000000006</v>
      </c>
      <c r="CC96" s="51">
        <f t="shared" si="1034"/>
        <v>26577.414143280002</v>
      </c>
      <c r="CD96" s="48">
        <f t="shared" si="1035"/>
        <v>7873.866</v>
      </c>
      <c r="CE96" s="51">
        <f t="shared" si="1036"/>
        <v>26029.426222800001</v>
      </c>
      <c r="CF96" s="48">
        <f t="shared" si="1037"/>
        <v>7708.1004000000012</v>
      </c>
      <c r="CG96" s="51">
        <f t="shared" si="1038"/>
        <v>25481.438302320006</v>
      </c>
      <c r="CH96" s="52">
        <f t="shared" si="1039"/>
        <v>7542.3348000000005</v>
      </c>
      <c r="CI96" s="51">
        <f t="shared" si="1040"/>
        <v>24933.450381840001</v>
      </c>
      <c r="CJ96" s="48">
        <f t="shared" si="1041"/>
        <v>7376.5692000000008</v>
      </c>
      <c r="CK96" s="51">
        <f t="shared" si="1042"/>
        <v>24385.462461360003</v>
      </c>
      <c r="CL96" s="52">
        <f t="shared" si="1043"/>
        <v>7210.8036000000002</v>
      </c>
      <c r="CM96" s="51">
        <f t="shared" si="1044"/>
        <v>23837.474540880001</v>
      </c>
      <c r="CN96" s="53">
        <f t="shared" si="1045"/>
        <v>7045.0380000000005</v>
      </c>
      <c r="CO96" s="51">
        <f t="shared" si="1046"/>
        <v>23289.486620400003</v>
      </c>
      <c r="CP96" s="52">
        <f t="shared" si="1047"/>
        <v>6879.2723999999998</v>
      </c>
      <c r="CQ96" s="51">
        <f t="shared" si="1048"/>
        <v>22741.498699920001</v>
      </c>
      <c r="CR96" s="48">
        <f t="shared" si="1049"/>
        <v>6713.5068000000001</v>
      </c>
      <c r="CS96" s="51">
        <f t="shared" si="1050"/>
        <v>22193.510779439999</v>
      </c>
      <c r="CT96" s="53">
        <f t="shared" si="1051"/>
        <v>6547.7411999999995</v>
      </c>
      <c r="CU96" s="51">
        <f t="shared" si="1052"/>
        <v>21645.522858959997</v>
      </c>
      <c r="CV96" s="53">
        <f t="shared" si="1053"/>
        <v>6381.9755999999998</v>
      </c>
      <c r="CW96" s="51">
        <f t="shared" si="1054"/>
        <v>21097.534938479999</v>
      </c>
      <c r="CX96" s="53">
        <f t="shared" si="1055"/>
        <v>6216.2099999999991</v>
      </c>
      <c r="CY96" s="51">
        <f t="shared" si="1056"/>
        <v>20549.547017999997</v>
      </c>
      <c r="CZ96" s="48">
        <f t="shared" si="1057"/>
        <v>6050.4443999999994</v>
      </c>
      <c r="DA96" s="51">
        <f t="shared" si="1058"/>
        <v>20001.559097519999</v>
      </c>
      <c r="DB96" s="53">
        <f t="shared" si="1059"/>
        <v>5884.6787999999997</v>
      </c>
      <c r="DC96" s="51">
        <f t="shared" si="1060"/>
        <v>19453.571177039998</v>
      </c>
      <c r="DD96" s="53">
        <f t="shared" si="1061"/>
        <v>5718.9131999999991</v>
      </c>
      <c r="DE96" s="51">
        <f t="shared" si="1062"/>
        <v>18905.583256559996</v>
      </c>
      <c r="DF96" s="53">
        <f t="shared" si="1063"/>
        <v>5553.1475999999993</v>
      </c>
      <c r="DG96" s="51">
        <f t="shared" si="1064"/>
        <v>18357.595336079998</v>
      </c>
      <c r="DH96" s="53">
        <f t="shared" si="1065"/>
        <v>5387.3819999999987</v>
      </c>
      <c r="DI96" s="51">
        <f t="shared" si="1066"/>
        <v>17809.607415599996</v>
      </c>
      <c r="DJ96" s="48">
        <f t="shared" si="1067"/>
        <v>5221.616399999999</v>
      </c>
      <c r="DK96" s="51">
        <f t="shared" si="1068"/>
        <v>17261.619495119998</v>
      </c>
      <c r="DL96" s="53">
        <f t="shared" si="1069"/>
        <v>5055.8507999999983</v>
      </c>
      <c r="DM96" s="51">
        <f t="shared" si="1070"/>
        <v>16713.631574639996</v>
      </c>
      <c r="DN96" s="53">
        <f t="shared" si="1071"/>
        <v>4890.0851999999986</v>
      </c>
      <c r="DO96" s="51">
        <f t="shared" si="1072"/>
        <v>16165.643654159996</v>
      </c>
      <c r="DP96" s="48">
        <f t="shared" si="1073"/>
        <v>4724.319599999998</v>
      </c>
      <c r="DQ96" s="51">
        <f t="shared" si="1074"/>
        <v>15617.655733679994</v>
      </c>
      <c r="DT96" s="48">
        <v>1</v>
      </c>
      <c r="DU96" s="48">
        <v>0.97</v>
      </c>
      <c r="DV96" s="48">
        <v>0.95</v>
      </c>
      <c r="DW96" s="48">
        <v>0.93</v>
      </c>
      <c r="DX96" s="48">
        <f t="shared" ref="DX96:EO96" si="1138">+DW96-0.02</f>
        <v>0.91</v>
      </c>
      <c r="DY96" s="48">
        <f t="shared" si="1138"/>
        <v>0.89</v>
      </c>
      <c r="DZ96" s="48">
        <f t="shared" si="1138"/>
        <v>0.87</v>
      </c>
      <c r="EA96" s="48">
        <f t="shared" si="1138"/>
        <v>0.85</v>
      </c>
      <c r="EB96" s="48">
        <f t="shared" si="1138"/>
        <v>0.83</v>
      </c>
      <c r="EC96" s="48">
        <f t="shared" si="1138"/>
        <v>0.80999999999999994</v>
      </c>
      <c r="ED96" s="48">
        <f t="shared" si="1138"/>
        <v>0.78999999999999992</v>
      </c>
      <c r="EE96" s="48">
        <f t="shared" si="1138"/>
        <v>0.76999999999999991</v>
      </c>
      <c r="EF96" s="48">
        <f t="shared" si="1138"/>
        <v>0.74999999999999989</v>
      </c>
      <c r="EG96" s="48">
        <f t="shared" si="1138"/>
        <v>0.72999999999999987</v>
      </c>
      <c r="EH96" s="48">
        <f t="shared" si="1138"/>
        <v>0.70999999999999985</v>
      </c>
      <c r="EI96" s="48">
        <f t="shared" si="1138"/>
        <v>0.68999999999999984</v>
      </c>
      <c r="EJ96" s="48">
        <f t="shared" si="1138"/>
        <v>0.66999999999999982</v>
      </c>
      <c r="EK96" s="48">
        <f t="shared" si="1138"/>
        <v>0.6499999999999998</v>
      </c>
      <c r="EL96" s="48">
        <f t="shared" si="1138"/>
        <v>0.62999999999999978</v>
      </c>
      <c r="EM96" s="48">
        <f t="shared" si="1138"/>
        <v>0.60999999999999976</v>
      </c>
      <c r="EN96" s="48">
        <f t="shared" si="1138"/>
        <v>0.58999999999999975</v>
      </c>
      <c r="EO96" s="48">
        <f t="shared" si="1138"/>
        <v>0.56999999999999973</v>
      </c>
      <c r="EQ96" s="48">
        <f t="shared" si="1128"/>
        <v>7542.3348000000005</v>
      </c>
      <c r="ER96" s="48">
        <f t="shared" si="956"/>
        <v>7542.3348000000005</v>
      </c>
      <c r="ES96" s="51">
        <f t="shared" ref="ES96" si="1139">+ER96*3.3058</f>
        <v>24933.450381840001</v>
      </c>
      <c r="ET96" s="48">
        <f t="shared" si="1077"/>
        <v>7316.0647560000007</v>
      </c>
      <c r="EU96" s="51">
        <f t="shared" si="1078"/>
        <v>24185.446870384803</v>
      </c>
      <c r="EV96" s="48">
        <f t="shared" si="1079"/>
        <v>7165.2180600000002</v>
      </c>
      <c r="EW96" s="51">
        <f t="shared" si="1080"/>
        <v>23686.777862748</v>
      </c>
      <c r="EX96" s="48">
        <f t="shared" si="1081"/>
        <v>7014.3713640000005</v>
      </c>
      <c r="EY96" s="51">
        <f t="shared" si="1082"/>
        <v>23188.108855111201</v>
      </c>
      <c r="EZ96" s="52">
        <f t="shared" si="1083"/>
        <v>6863.5246680000009</v>
      </c>
      <c r="FA96" s="51">
        <f t="shared" si="1084"/>
        <v>22689.439847474405</v>
      </c>
      <c r="FB96" s="48">
        <f t="shared" si="1085"/>
        <v>6712.6779720000004</v>
      </c>
      <c r="FC96" s="51">
        <f t="shared" si="1086"/>
        <v>22190.770839837602</v>
      </c>
      <c r="FD96" s="52">
        <f t="shared" si="1087"/>
        <v>6561.8312760000008</v>
      </c>
      <c r="FE96" s="51">
        <f t="shared" si="1088"/>
        <v>21692.101832200802</v>
      </c>
      <c r="FF96" s="53">
        <f t="shared" si="1089"/>
        <v>6410.9845800000003</v>
      </c>
      <c r="FG96" s="51">
        <f t="shared" si="1090"/>
        <v>21193.432824564003</v>
      </c>
      <c r="FH96" s="52">
        <f t="shared" si="1091"/>
        <v>6260.1378839999998</v>
      </c>
      <c r="FI96" s="51">
        <f t="shared" si="1092"/>
        <v>20694.7638169272</v>
      </c>
      <c r="FJ96" s="48">
        <f t="shared" si="1093"/>
        <v>6109.2911880000001</v>
      </c>
      <c r="FK96" s="51">
        <f t="shared" si="1094"/>
        <v>20196.0948092904</v>
      </c>
      <c r="FL96" s="53">
        <f t="shared" si="1095"/>
        <v>5958.4444919999996</v>
      </c>
      <c r="FM96" s="51">
        <f t="shared" si="1096"/>
        <v>19697.425801653601</v>
      </c>
      <c r="FN96" s="53">
        <f t="shared" si="1097"/>
        <v>5807.597796</v>
      </c>
      <c r="FO96" s="51">
        <f t="shared" si="1098"/>
        <v>19198.756794016801</v>
      </c>
      <c r="FP96" s="53">
        <f t="shared" si="1099"/>
        <v>5656.7510999999995</v>
      </c>
      <c r="FQ96" s="51">
        <f t="shared" si="1100"/>
        <v>18700.087786379998</v>
      </c>
      <c r="FR96" s="48">
        <f t="shared" si="1101"/>
        <v>5505.904403999999</v>
      </c>
      <c r="FS96" s="51">
        <f t="shared" si="1102"/>
        <v>18201.418778743198</v>
      </c>
      <c r="FT96" s="53">
        <f t="shared" si="1103"/>
        <v>5355.0577079999994</v>
      </c>
      <c r="FU96" s="51">
        <f t="shared" si="1104"/>
        <v>17702.749771106399</v>
      </c>
      <c r="FV96" s="53">
        <f t="shared" si="1105"/>
        <v>5204.2110119999988</v>
      </c>
      <c r="FW96" s="51">
        <f t="shared" si="1106"/>
        <v>17204.080763469596</v>
      </c>
      <c r="FX96" s="53">
        <f t="shared" si="1107"/>
        <v>5053.3643159999992</v>
      </c>
      <c r="FY96" s="51">
        <f t="shared" si="1108"/>
        <v>16705.411755832796</v>
      </c>
      <c r="FZ96" s="53">
        <f t="shared" si="1109"/>
        <v>4902.5176199999987</v>
      </c>
      <c r="GA96" s="51">
        <f t="shared" si="1110"/>
        <v>16206.742748195997</v>
      </c>
      <c r="GB96" s="48">
        <f t="shared" si="1111"/>
        <v>4751.6709239999991</v>
      </c>
      <c r="GC96" s="51">
        <f t="shared" si="1112"/>
        <v>15708.073740559197</v>
      </c>
      <c r="GD96" s="53">
        <f t="shared" si="1113"/>
        <v>4600.8242279999986</v>
      </c>
      <c r="GE96" s="51">
        <f t="shared" si="1114"/>
        <v>15209.404732922396</v>
      </c>
      <c r="GF96" s="53">
        <f t="shared" si="1115"/>
        <v>4449.9775319999981</v>
      </c>
      <c r="GG96" s="51">
        <f t="shared" si="1116"/>
        <v>14710.735725285595</v>
      </c>
      <c r="GH96" s="48">
        <f t="shared" si="1117"/>
        <v>4299.1308359999985</v>
      </c>
      <c r="GI96" s="51">
        <f t="shared" si="1118"/>
        <v>14212.066717648795</v>
      </c>
      <c r="GJ96" s="48"/>
      <c r="GK96" s="48"/>
      <c r="GL96" s="48">
        <v>1</v>
      </c>
      <c r="GM96" s="48">
        <v>0.97</v>
      </c>
      <c r="GN96" s="48">
        <v>0.95</v>
      </c>
      <c r="GO96" s="48">
        <v>0.93</v>
      </c>
      <c r="GP96" s="48">
        <f t="shared" ref="GP96:HG96" si="1140">+GO96-0.02</f>
        <v>0.91</v>
      </c>
      <c r="GQ96" s="48">
        <f t="shared" si="1140"/>
        <v>0.89</v>
      </c>
      <c r="GR96" s="48">
        <f t="shared" si="1140"/>
        <v>0.87</v>
      </c>
      <c r="GS96" s="48">
        <f t="shared" si="1140"/>
        <v>0.85</v>
      </c>
      <c r="GT96" s="48">
        <f t="shared" si="1140"/>
        <v>0.83</v>
      </c>
      <c r="GU96" s="48">
        <f t="shared" si="1140"/>
        <v>0.80999999999999994</v>
      </c>
      <c r="GV96" s="48">
        <f t="shared" si="1140"/>
        <v>0.78999999999999992</v>
      </c>
      <c r="GW96" s="48">
        <f t="shared" si="1140"/>
        <v>0.76999999999999991</v>
      </c>
      <c r="GX96" s="48">
        <f t="shared" si="1140"/>
        <v>0.74999999999999989</v>
      </c>
      <c r="GY96" s="48">
        <f t="shared" si="1140"/>
        <v>0.72999999999999987</v>
      </c>
      <c r="GZ96" s="48">
        <f t="shared" si="1140"/>
        <v>0.70999999999999985</v>
      </c>
      <c r="HA96" s="48">
        <f t="shared" si="1140"/>
        <v>0.68999999999999984</v>
      </c>
      <c r="HB96" s="48">
        <f t="shared" si="1140"/>
        <v>0.66999999999999982</v>
      </c>
      <c r="HC96" s="48">
        <f t="shared" si="1140"/>
        <v>0.6499999999999998</v>
      </c>
      <c r="HD96" s="48">
        <f t="shared" si="1140"/>
        <v>0.62999999999999978</v>
      </c>
      <c r="HE96" s="48">
        <f t="shared" si="1140"/>
        <v>0.60999999999999976</v>
      </c>
      <c r="HF96" s="48">
        <f t="shared" si="1140"/>
        <v>0.58999999999999975</v>
      </c>
      <c r="HG96" s="48">
        <f t="shared" si="1140"/>
        <v>0.56999999999999973</v>
      </c>
    </row>
    <row r="97" spans="1:215" x14ac:dyDescent="0.3">
      <c r="A97" s="2">
        <v>6</v>
      </c>
      <c r="C97" s="29" t="s">
        <v>165</v>
      </c>
      <c r="D97" s="44">
        <v>0</v>
      </c>
      <c r="E97" s="73">
        <f t="shared" si="988"/>
        <v>0</v>
      </c>
      <c r="G97" s="48">
        <f t="shared" si="948"/>
        <v>0</v>
      </c>
      <c r="H97" s="48">
        <f t="shared" si="949"/>
        <v>0</v>
      </c>
      <c r="I97" s="51">
        <f t="shared" si="950"/>
        <v>0</v>
      </c>
      <c r="J97" s="48">
        <f t="shared" si="989"/>
        <v>0</v>
      </c>
      <c r="K97" s="51">
        <f t="shared" si="990"/>
        <v>0</v>
      </c>
      <c r="L97" s="48">
        <f t="shared" si="991"/>
        <v>0</v>
      </c>
      <c r="M97" s="51">
        <f t="shared" si="992"/>
        <v>0</v>
      </c>
      <c r="N97" s="48">
        <f t="shared" si="993"/>
        <v>0</v>
      </c>
      <c r="O97" s="51">
        <f t="shared" si="994"/>
        <v>0</v>
      </c>
      <c r="P97" s="52">
        <f t="shared" si="995"/>
        <v>0</v>
      </c>
      <c r="Q97" s="51">
        <f t="shared" si="996"/>
        <v>0</v>
      </c>
      <c r="R97" s="48">
        <f t="shared" si="997"/>
        <v>0</v>
      </c>
      <c r="S97" s="51">
        <f t="shared" si="998"/>
        <v>0</v>
      </c>
      <c r="T97" s="52">
        <f t="shared" si="999"/>
        <v>0</v>
      </c>
      <c r="U97" s="51">
        <f t="shared" si="1000"/>
        <v>0</v>
      </c>
      <c r="V97" s="53">
        <f t="shared" si="1001"/>
        <v>0</v>
      </c>
      <c r="W97" s="51">
        <f t="shared" si="1002"/>
        <v>0</v>
      </c>
      <c r="X97" s="52">
        <f t="shared" si="1003"/>
        <v>0</v>
      </c>
      <c r="Y97" s="51">
        <f t="shared" si="1004"/>
        <v>0</v>
      </c>
      <c r="Z97" s="48">
        <f t="shared" si="1005"/>
        <v>0</v>
      </c>
      <c r="AA97" s="51">
        <f t="shared" si="1006"/>
        <v>0</v>
      </c>
      <c r="AB97" s="53">
        <f t="shared" si="1007"/>
        <v>0</v>
      </c>
      <c r="AC97" s="51">
        <f t="shared" si="1008"/>
        <v>0</v>
      </c>
      <c r="AD97" s="53">
        <f t="shared" si="1009"/>
        <v>0</v>
      </c>
      <c r="AE97" s="51">
        <f t="shared" si="1010"/>
        <v>0</v>
      </c>
      <c r="AF97" s="53">
        <f t="shared" si="1011"/>
        <v>0</v>
      </c>
      <c r="AG97" s="51">
        <f t="shared" si="1012"/>
        <v>0</v>
      </c>
      <c r="AH97" s="48">
        <f t="shared" si="1013"/>
        <v>0</v>
      </c>
      <c r="AI97" s="51">
        <f t="shared" si="1014"/>
        <v>0</v>
      </c>
      <c r="AJ97" s="53">
        <f t="shared" si="1015"/>
        <v>0</v>
      </c>
      <c r="AK97" s="51">
        <f t="shared" si="1016"/>
        <v>0</v>
      </c>
      <c r="AL97" s="53">
        <f t="shared" si="1017"/>
        <v>0</v>
      </c>
      <c r="AM97" s="51">
        <f t="shared" si="1018"/>
        <v>0</v>
      </c>
      <c r="AN97" s="53">
        <f t="shared" si="1019"/>
        <v>0</v>
      </c>
      <c r="AO97" s="51">
        <f t="shared" si="1020"/>
        <v>0</v>
      </c>
      <c r="AP97" s="53">
        <f t="shared" si="1021"/>
        <v>0</v>
      </c>
      <c r="AQ97" s="51">
        <f t="shared" si="1022"/>
        <v>0</v>
      </c>
      <c r="AR97" s="48">
        <f t="shared" si="1023"/>
        <v>0</v>
      </c>
      <c r="AS97" s="51">
        <f t="shared" si="1024"/>
        <v>0</v>
      </c>
      <c r="AT97" s="53">
        <f t="shared" si="1025"/>
        <v>0</v>
      </c>
      <c r="AU97" s="51">
        <f t="shared" si="1026"/>
        <v>0</v>
      </c>
      <c r="AV97" s="53">
        <f t="shared" si="1027"/>
        <v>0</v>
      </c>
      <c r="AW97" s="51">
        <f t="shared" si="1028"/>
        <v>0</v>
      </c>
      <c r="AX97" s="48">
        <f t="shared" si="1029"/>
        <v>0</v>
      </c>
      <c r="AY97" s="51">
        <f t="shared" si="1030"/>
        <v>0</v>
      </c>
      <c r="BB97" s="48">
        <v>1</v>
      </c>
      <c r="BC97" s="48">
        <v>0.97</v>
      </c>
      <c r="BD97" s="48">
        <v>0.95</v>
      </c>
      <c r="BE97" s="48">
        <v>0.93</v>
      </c>
      <c r="BF97" s="48">
        <f t="shared" ref="BF97:BW97" si="1141">+BE97-0.02</f>
        <v>0.91</v>
      </c>
      <c r="BG97" s="48">
        <f t="shared" si="1141"/>
        <v>0.89</v>
      </c>
      <c r="BH97" s="48">
        <f t="shared" si="1141"/>
        <v>0.87</v>
      </c>
      <c r="BI97" s="48">
        <f t="shared" si="1141"/>
        <v>0.85</v>
      </c>
      <c r="BJ97" s="48">
        <f t="shared" si="1141"/>
        <v>0.83</v>
      </c>
      <c r="BK97" s="48">
        <f t="shared" si="1141"/>
        <v>0.80999999999999994</v>
      </c>
      <c r="BL97" s="48">
        <f t="shared" si="1141"/>
        <v>0.78999999999999992</v>
      </c>
      <c r="BM97" s="48">
        <f t="shared" si="1141"/>
        <v>0.76999999999999991</v>
      </c>
      <c r="BN97" s="48">
        <f t="shared" si="1141"/>
        <v>0.74999999999999989</v>
      </c>
      <c r="BO97" s="48">
        <f t="shared" si="1141"/>
        <v>0.72999999999999987</v>
      </c>
      <c r="BP97" s="48">
        <f t="shared" si="1141"/>
        <v>0.70999999999999985</v>
      </c>
      <c r="BQ97" s="48">
        <f t="shared" si="1141"/>
        <v>0.68999999999999984</v>
      </c>
      <c r="BR97" s="48">
        <f t="shared" si="1141"/>
        <v>0.66999999999999982</v>
      </c>
      <c r="BS97" s="48">
        <f t="shared" si="1141"/>
        <v>0.6499999999999998</v>
      </c>
      <c r="BT97" s="48">
        <f t="shared" si="1141"/>
        <v>0.62999999999999978</v>
      </c>
      <c r="BU97" s="48">
        <f t="shared" si="1141"/>
        <v>0.60999999999999976</v>
      </c>
      <c r="BV97" s="48">
        <f t="shared" si="1141"/>
        <v>0.58999999999999975</v>
      </c>
      <c r="BW97" s="48">
        <f t="shared" si="1141"/>
        <v>0.56999999999999973</v>
      </c>
      <c r="BY97" s="48">
        <f t="shared" si="952"/>
        <v>0</v>
      </c>
      <c r="BZ97" s="48">
        <f t="shared" si="953"/>
        <v>0</v>
      </c>
      <c r="CA97" s="51">
        <f t="shared" ref="CA97" si="1142">+BZ97*3.3058</f>
        <v>0</v>
      </c>
      <c r="CB97" s="48">
        <f t="shared" si="1033"/>
        <v>0</v>
      </c>
      <c r="CC97" s="51">
        <f t="shared" si="1034"/>
        <v>0</v>
      </c>
      <c r="CD97" s="48">
        <f t="shared" si="1035"/>
        <v>0</v>
      </c>
      <c r="CE97" s="51">
        <f t="shared" si="1036"/>
        <v>0</v>
      </c>
      <c r="CF97" s="48">
        <f t="shared" si="1037"/>
        <v>0</v>
      </c>
      <c r="CG97" s="51">
        <f t="shared" si="1038"/>
        <v>0</v>
      </c>
      <c r="CH97" s="52">
        <f t="shared" si="1039"/>
        <v>0</v>
      </c>
      <c r="CI97" s="51">
        <f t="shared" si="1040"/>
        <v>0</v>
      </c>
      <c r="CJ97" s="48">
        <f t="shared" si="1041"/>
        <v>0</v>
      </c>
      <c r="CK97" s="51">
        <f t="shared" si="1042"/>
        <v>0</v>
      </c>
      <c r="CL97" s="52">
        <f t="shared" si="1043"/>
        <v>0</v>
      </c>
      <c r="CM97" s="51">
        <f t="shared" si="1044"/>
        <v>0</v>
      </c>
      <c r="CN97" s="53">
        <f t="shared" si="1045"/>
        <v>0</v>
      </c>
      <c r="CO97" s="51">
        <f t="shared" si="1046"/>
        <v>0</v>
      </c>
      <c r="CP97" s="52">
        <f t="shared" si="1047"/>
        <v>0</v>
      </c>
      <c r="CQ97" s="51">
        <f t="shared" si="1048"/>
        <v>0</v>
      </c>
      <c r="CR97" s="48">
        <f t="shared" si="1049"/>
        <v>0</v>
      </c>
      <c r="CS97" s="51">
        <f t="shared" si="1050"/>
        <v>0</v>
      </c>
      <c r="CT97" s="53">
        <f t="shared" si="1051"/>
        <v>0</v>
      </c>
      <c r="CU97" s="51">
        <f t="shared" si="1052"/>
        <v>0</v>
      </c>
      <c r="CV97" s="53">
        <f t="shared" si="1053"/>
        <v>0</v>
      </c>
      <c r="CW97" s="51">
        <f t="shared" si="1054"/>
        <v>0</v>
      </c>
      <c r="CX97" s="53">
        <f t="shared" si="1055"/>
        <v>0</v>
      </c>
      <c r="CY97" s="51">
        <f t="shared" si="1056"/>
        <v>0</v>
      </c>
      <c r="CZ97" s="48">
        <f t="shared" si="1057"/>
        <v>0</v>
      </c>
      <c r="DA97" s="51">
        <f t="shared" si="1058"/>
        <v>0</v>
      </c>
      <c r="DB97" s="53">
        <f t="shared" si="1059"/>
        <v>0</v>
      </c>
      <c r="DC97" s="51">
        <f t="shared" si="1060"/>
        <v>0</v>
      </c>
      <c r="DD97" s="53">
        <f t="shared" si="1061"/>
        <v>0</v>
      </c>
      <c r="DE97" s="51">
        <f t="shared" si="1062"/>
        <v>0</v>
      </c>
      <c r="DF97" s="53">
        <f t="shared" si="1063"/>
        <v>0</v>
      </c>
      <c r="DG97" s="51">
        <f t="shared" si="1064"/>
        <v>0</v>
      </c>
      <c r="DH97" s="53">
        <f t="shared" si="1065"/>
        <v>0</v>
      </c>
      <c r="DI97" s="51">
        <f t="shared" si="1066"/>
        <v>0</v>
      </c>
      <c r="DJ97" s="48">
        <f t="shared" si="1067"/>
        <v>0</v>
      </c>
      <c r="DK97" s="51">
        <f t="shared" si="1068"/>
        <v>0</v>
      </c>
      <c r="DL97" s="53">
        <f t="shared" si="1069"/>
        <v>0</v>
      </c>
      <c r="DM97" s="51">
        <f t="shared" si="1070"/>
        <v>0</v>
      </c>
      <c r="DN97" s="53">
        <f t="shared" si="1071"/>
        <v>0</v>
      </c>
      <c r="DO97" s="51">
        <f t="shared" si="1072"/>
        <v>0</v>
      </c>
      <c r="DP97" s="48">
        <f t="shared" si="1073"/>
        <v>0</v>
      </c>
      <c r="DQ97" s="51">
        <f t="shared" si="1074"/>
        <v>0</v>
      </c>
      <c r="DT97" s="48">
        <v>1</v>
      </c>
      <c r="DU97" s="48">
        <v>0.97</v>
      </c>
      <c r="DV97" s="48">
        <v>0.95</v>
      </c>
      <c r="DW97" s="48">
        <v>0.93</v>
      </c>
      <c r="DX97" s="48">
        <f t="shared" ref="DX97:EO97" si="1143">+DW97-0.02</f>
        <v>0.91</v>
      </c>
      <c r="DY97" s="48">
        <f t="shared" si="1143"/>
        <v>0.89</v>
      </c>
      <c r="DZ97" s="48">
        <f t="shared" si="1143"/>
        <v>0.87</v>
      </c>
      <c r="EA97" s="48">
        <f t="shared" si="1143"/>
        <v>0.85</v>
      </c>
      <c r="EB97" s="48">
        <f t="shared" si="1143"/>
        <v>0.83</v>
      </c>
      <c r="EC97" s="48">
        <f t="shared" si="1143"/>
        <v>0.80999999999999994</v>
      </c>
      <c r="ED97" s="48">
        <f t="shared" si="1143"/>
        <v>0.78999999999999992</v>
      </c>
      <c r="EE97" s="48">
        <f t="shared" si="1143"/>
        <v>0.76999999999999991</v>
      </c>
      <c r="EF97" s="48">
        <f t="shared" si="1143"/>
        <v>0.74999999999999989</v>
      </c>
      <c r="EG97" s="48">
        <f t="shared" si="1143"/>
        <v>0.72999999999999987</v>
      </c>
      <c r="EH97" s="48">
        <f t="shared" si="1143"/>
        <v>0.70999999999999985</v>
      </c>
      <c r="EI97" s="48">
        <f t="shared" si="1143"/>
        <v>0.68999999999999984</v>
      </c>
      <c r="EJ97" s="48">
        <f t="shared" si="1143"/>
        <v>0.66999999999999982</v>
      </c>
      <c r="EK97" s="48">
        <f t="shared" si="1143"/>
        <v>0.6499999999999998</v>
      </c>
      <c r="EL97" s="48">
        <f t="shared" si="1143"/>
        <v>0.62999999999999978</v>
      </c>
      <c r="EM97" s="48">
        <f t="shared" si="1143"/>
        <v>0.60999999999999976</v>
      </c>
      <c r="EN97" s="48">
        <f t="shared" si="1143"/>
        <v>0.58999999999999975</v>
      </c>
      <c r="EO97" s="48">
        <f t="shared" si="1143"/>
        <v>0.56999999999999973</v>
      </c>
      <c r="EQ97" s="48">
        <f t="shared" si="1128"/>
        <v>0</v>
      </c>
      <c r="ER97" s="48">
        <f t="shared" si="956"/>
        <v>0</v>
      </c>
      <c r="ES97" s="51">
        <f t="shared" ref="ES97" si="1144">+ER97*3.3058</f>
        <v>0</v>
      </c>
      <c r="ET97" s="48">
        <f t="shared" si="1077"/>
        <v>0</v>
      </c>
      <c r="EU97" s="51">
        <f t="shared" si="1078"/>
        <v>0</v>
      </c>
      <c r="EV97" s="48">
        <f t="shared" si="1079"/>
        <v>0</v>
      </c>
      <c r="EW97" s="51">
        <f t="shared" si="1080"/>
        <v>0</v>
      </c>
      <c r="EX97" s="48">
        <f t="shared" si="1081"/>
        <v>0</v>
      </c>
      <c r="EY97" s="51">
        <f t="shared" si="1082"/>
        <v>0</v>
      </c>
      <c r="EZ97" s="52">
        <f t="shared" si="1083"/>
        <v>0</v>
      </c>
      <c r="FA97" s="51">
        <f t="shared" si="1084"/>
        <v>0</v>
      </c>
      <c r="FB97" s="48">
        <f t="shared" si="1085"/>
        <v>0</v>
      </c>
      <c r="FC97" s="51">
        <f t="shared" si="1086"/>
        <v>0</v>
      </c>
      <c r="FD97" s="52">
        <f t="shared" si="1087"/>
        <v>0</v>
      </c>
      <c r="FE97" s="51">
        <f t="shared" si="1088"/>
        <v>0</v>
      </c>
      <c r="FF97" s="53">
        <f t="shared" si="1089"/>
        <v>0</v>
      </c>
      <c r="FG97" s="51">
        <f t="shared" si="1090"/>
        <v>0</v>
      </c>
      <c r="FH97" s="52">
        <f t="shared" si="1091"/>
        <v>0</v>
      </c>
      <c r="FI97" s="51">
        <f t="shared" si="1092"/>
        <v>0</v>
      </c>
      <c r="FJ97" s="48">
        <f t="shared" si="1093"/>
        <v>0</v>
      </c>
      <c r="FK97" s="51">
        <f t="shared" si="1094"/>
        <v>0</v>
      </c>
      <c r="FL97" s="53">
        <f t="shared" si="1095"/>
        <v>0</v>
      </c>
      <c r="FM97" s="51">
        <f t="shared" si="1096"/>
        <v>0</v>
      </c>
      <c r="FN97" s="53">
        <f t="shared" si="1097"/>
        <v>0</v>
      </c>
      <c r="FO97" s="51">
        <f t="shared" si="1098"/>
        <v>0</v>
      </c>
      <c r="FP97" s="53">
        <f t="shared" si="1099"/>
        <v>0</v>
      </c>
      <c r="FQ97" s="51">
        <f t="shared" si="1100"/>
        <v>0</v>
      </c>
      <c r="FR97" s="48">
        <f t="shared" si="1101"/>
        <v>0</v>
      </c>
      <c r="FS97" s="51">
        <f t="shared" si="1102"/>
        <v>0</v>
      </c>
      <c r="FT97" s="53">
        <f t="shared" si="1103"/>
        <v>0</v>
      </c>
      <c r="FU97" s="51">
        <f t="shared" si="1104"/>
        <v>0</v>
      </c>
      <c r="FV97" s="53">
        <f t="shared" si="1105"/>
        <v>0</v>
      </c>
      <c r="FW97" s="51">
        <f t="shared" si="1106"/>
        <v>0</v>
      </c>
      <c r="FX97" s="53">
        <f t="shared" si="1107"/>
        <v>0</v>
      </c>
      <c r="FY97" s="51">
        <f t="shared" si="1108"/>
        <v>0</v>
      </c>
      <c r="FZ97" s="53">
        <f t="shared" si="1109"/>
        <v>0</v>
      </c>
      <c r="GA97" s="51">
        <f t="shared" si="1110"/>
        <v>0</v>
      </c>
      <c r="GB97" s="48">
        <f t="shared" si="1111"/>
        <v>0</v>
      </c>
      <c r="GC97" s="51">
        <f t="shared" si="1112"/>
        <v>0</v>
      </c>
      <c r="GD97" s="53">
        <f t="shared" si="1113"/>
        <v>0</v>
      </c>
      <c r="GE97" s="51">
        <f t="shared" si="1114"/>
        <v>0</v>
      </c>
      <c r="GF97" s="53">
        <f t="shared" si="1115"/>
        <v>0</v>
      </c>
      <c r="GG97" s="51">
        <f t="shared" si="1116"/>
        <v>0</v>
      </c>
      <c r="GH97" s="48">
        <f t="shared" si="1117"/>
        <v>0</v>
      </c>
      <c r="GI97" s="51">
        <f t="shared" si="1118"/>
        <v>0</v>
      </c>
      <c r="GJ97" s="48"/>
      <c r="GK97" s="48"/>
      <c r="GL97" s="48">
        <v>1</v>
      </c>
      <c r="GM97" s="48">
        <v>0.97</v>
      </c>
      <c r="GN97" s="48">
        <v>0.95</v>
      </c>
      <c r="GO97" s="48">
        <v>0.93</v>
      </c>
      <c r="GP97" s="48">
        <f t="shared" ref="GP97:HG97" si="1145">+GO97-0.02</f>
        <v>0.91</v>
      </c>
      <c r="GQ97" s="48">
        <f t="shared" si="1145"/>
        <v>0.89</v>
      </c>
      <c r="GR97" s="48">
        <f t="shared" si="1145"/>
        <v>0.87</v>
      </c>
      <c r="GS97" s="48">
        <f t="shared" si="1145"/>
        <v>0.85</v>
      </c>
      <c r="GT97" s="48">
        <f t="shared" si="1145"/>
        <v>0.83</v>
      </c>
      <c r="GU97" s="48">
        <f t="shared" si="1145"/>
        <v>0.80999999999999994</v>
      </c>
      <c r="GV97" s="48">
        <f t="shared" si="1145"/>
        <v>0.78999999999999992</v>
      </c>
      <c r="GW97" s="48">
        <f t="shared" si="1145"/>
        <v>0.76999999999999991</v>
      </c>
      <c r="GX97" s="48">
        <f t="shared" si="1145"/>
        <v>0.74999999999999989</v>
      </c>
      <c r="GY97" s="48">
        <f t="shared" si="1145"/>
        <v>0.72999999999999987</v>
      </c>
      <c r="GZ97" s="48">
        <f t="shared" si="1145"/>
        <v>0.70999999999999985</v>
      </c>
      <c r="HA97" s="48">
        <f t="shared" si="1145"/>
        <v>0.68999999999999984</v>
      </c>
      <c r="HB97" s="48">
        <f t="shared" si="1145"/>
        <v>0.66999999999999982</v>
      </c>
      <c r="HC97" s="48">
        <f t="shared" si="1145"/>
        <v>0.6499999999999998</v>
      </c>
      <c r="HD97" s="48">
        <f t="shared" si="1145"/>
        <v>0.62999999999999978</v>
      </c>
      <c r="HE97" s="48">
        <f t="shared" si="1145"/>
        <v>0.60999999999999976</v>
      </c>
      <c r="HF97" s="48">
        <f t="shared" si="1145"/>
        <v>0.58999999999999975</v>
      </c>
      <c r="HG97" s="48">
        <f t="shared" si="1145"/>
        <v>0.56999999999999973</v>
      </c>
    </row>
    <row r="98" spans="1:215" x14ac:dyDescent="0.3">
      <c r="A98" s="2">
        <v>7</v>
      </c>
      <c r="C98" s="29" t="s">
        <v>166</v>
      </c>
      <c r="D98" s="44">
        <f>TRUNC(2676.8363089361,-1)</f>
        <v>2670</v>
      </c>
      <c r="E98" s="73">
        <f t="shared" si="988"/>
        <v>8820</v>
      </c>
      <c r="G98" s="48">
        <f t="shared" si="948"/>
        <v>2937.0000000000005</v>
      </c>
      <c r="H98" s="48">
        <f t="shared" si="949"/>
        <v>2937.0000000000005</v>
      </c>
      <c r="I98" s="51">
        <f t="shared" si="950"/>
        <v>9709.1346000000012</v>
      </c>
      <c r="J98" s="48">
        <f t="shared" si="989"/>
        <v>2848.8900000000003</v>
      </c>
      <c r="K98" s="51">
        <f t="shared" si="990"/>
        <v>9417.8605620000017</v>
      </c>
      <c r="L98" s="48">
        <f t="shared" si="991"/>
        <v>2790.15</v>
      </c>
      <c r="M98" s="51">
        <f t="shared" si="992"/>
        <v>9223.6778700000013</v>
      </c>
      <c r="N98" s="48">
        <f t="shared" si="993"/>
        <v>2731.4100000000008</v>
      </c>
      <c r="O98" s="51">
        <f t="shared" si="994"/>
        <v>9029.4951780000029</v>
      </c>
      <c r="P98" s="52">
        <f t="shared" si="995"/>
        <v>2672.6700000000005</v>
      </c>
      <c r="Q98" s="51">
        <f t="shared" si="996"/>
        <v>8835.3124860000025</v>
      </c>
      <c r="R98" s="48">
        <f t="shared" si="997"/>
        <v>2613.9300000000003</v>
      </c>
      <c r="S98" s="51">
        <f t="shared" si="998"/>
        <v>8641.1297940000004</v>
      </c>
      <c r="T98" s="52">
        <f t="shared" si="999"/>
        <v>2555.1900000000005</v>
      </c>
      <c r="U98" s="51">
        <f t="shared" si="1000"/>
        <v>8446.9471020000019</v>
      </c>
      <c r="V98" s="53">
        <f t="shared" si="1001"/>
        <v>2496.4500000000003</v>
      </c>
      <c r="W98" s="51">
        <f t="shared" si="1002"/>
        <v>8252.7644100000016</v>
      </c>
      <c r="X98" s="52">
        <f t="shared" si="1003"/>
        <v>2437.71</v>
      </c>
      <c r="Y98" s="51">
        <f t="shared" si="1004"/>
        <v>8058.5817180000004</v>
      </c>
      <c r="Z98" s="48">
        <f t="shared" si="1005"/>
        <v>2378.9700000000003</v>
      </c>
      <c r="AA98" s="51">
        <f t="shared" si="1006"/>
        <v>7864.399026000001</v>
      </c>
      <c r="AB98" s="53">
        <f t="shared" si="1007"/>
        <v>2320.23</v>
      </c>
      <c r="AC98" s="51">
        <f t="shared" si="1008"/>
        <v>7670.2163340000006</v>
      </c>
      <c r="AD98" s="53">
        <f t="shared" si="1009"/>
        <v>2261.4900000000002</v>
      </c>
      <c r="AE98" s="51">
        <f t="shared" si="1010"/>
        <v>7476.0336420000012</v>
      </c>
      <c r="AF98" s="53">
        <f t="shared" si="1011"/>
        <v>2202.75</v>
      </c>
      <c r="AG98" s="51">
        <f t="shared" si="1012"/>
        <v>7281.85095</v>
      </c>
      <c r="AH98" s="48">
        <f t="shared" si="1013"/>
        <v>2144.0099999999998</v>
      </c>
      <c r="AI98" s="51">
        <f t="shared" si="1014"/>
        <v>7087.6682579999997</v>
      </c>
      <c r="AJ98" s="53">
        <f t="shared" si="1015"/>
        <v>2085.27</v>
      </c>
      <c r="AK98" s="51">
        <f t="shared" si="1016"/>
        <v>6893.4855660000003</v>
      </c>
      <c r="AL98" s="53">
        <f t="shared" si="1017"/>
        <v>2026.5299999999997</v>
      </c>
      <c r="AM98" s="51">
        <f t="shared" si="1018"/>
        <v>6699.3028739999991</v>
      </c>
      <c r="AN98" s="53">
        <f t="shared" si="1019"/>
        <v>1967.7899999999997</v>
      </c>
      <c r="AO98" s="51">
        <f t="shared" si="1020"/>
        <v>6505.1201819999997</v>
      </c>
      <c r="AP98" s="53">
        <f t="shared" si="1021"/>
        <v>1909.0499999999997</v>
      </c>
      <c r="AQ98" s="51">
        <f t="shared" si="1022"/>
        <v>6310.9374899999993</v>
      </c>
      <c r="AR98" s="48">
        <f t="shared" si="1023"/>
        <v>1850.3099999999997</v>
      </c>
      <c r="AS98" s="51">
        <f t="shared" si="1024"/>
        <v>6116.754797999999</v>
      </c>
      <c r="AT98" s="53">
        <f t="shared" si="1025"/>
        <v>1791.5699999999995</v>
      </c>
      <c r="AU98" s="51">
        <f t="shared" si="1026"/>
        <v>5922.5721059999987</v>
      </c>
      <c r="AV98" s="53">
        <f t="shared" si="1027"/>
        <v>1732.8299999999995</v>
      </c>
      <c r="AW98" s="51">
        <f t="shared" si="1028"/>
        <v>5728.3894139999984</v>
      </c>
      <c r="AX98" s="48">
        <f t="shared" si="1029"/>
        <v>1674.0899999999995</v>
      </c>
      <c r="AY98" s="51">
        <f t="shared" si="1030"/>
        <v>5534.2067219999981</v>
      </c>
      <c r="BB98" s="48">
        <v>1</v>
      </c>
      <c r="BC98" s="48">
        <v>0.97</v>
      </c>
      <c r="BD98" s="48">
        <v>0.95</v>
      </c>
      <c r="BE98" s="48">
        <v>0.93</v>
      </c>
      <c r="BF98" s="48">
        <f t="shared" ref="BF98:BW98" si="1146">+BE98-0.02</f>
        <v>0.91</v>
      </c>
      <c r="BG98" s="48">
        <f t="shared" si="1146"/>
        <v>0.89</v>
      </c>
      <c r="BH98" s="48">
        <f t="shared" si="1146"/>
        <v>0.87</v>
      </c>
      <c r="BI98" s="48">
        <f t="shared" si="1146"/>
        <v>0.85</v>
      </c>
      <c r="BJ98" s="48">
        <f t="shared" si="1146"/>
        <v>0.83</v>
      </c>
      <c r="BK98" s="48">
        <f t="shared" si="1146"/>
        <v>0.80999999999999994</v>
      </c>
      <c r="BL98" s="48">
        <f t="shared" si="1146"/>
        <v>0.78999999999999992</v>
      </c>
      <c r="BM98" s="48">
        <f t="shared" si="1146"/>
        <v>0.76999999999999991</v>
      </c>
      <c r="BN98" s="48">
        <f t="shared" si="1146"/>
        <v>0.74999999999999989</v>
      </c>
      <c r="BO98" s="48">
        <f t="shared" si="1146"/>
        <v>0.72999999999999987</v>
      </c>
      <c r="BP98" s="48">
        <f t="shared" si="1146"/>
        <v>0.70999999999999985</v>
      </c>
      <c r="BQ98" s="48">
        <f t="shared" si="1146"/>
        <v>0.68999999999999984</v>
      </c>
      <c r="BR98" s="48">
        <f t="shared" si="1146"/>
        <v>0.66999999999999982</v>
      </c>
      <c r="BS98" s="48">
        <f t="shared" si="1146"/>
        <v>0.6499999999999998</v>
      </c>
      <c r="BT98" s="48">
        <f t="shared" si="1146"/>
        <v>0.62999999999999978</v>
      </c>
      <c r="BU98" s="48">
        <f t="shared" si="1146"/>
        <v>0.60999999999999976</v>
      </c>
      <c r="BV98" s="48">
        <f t="shared" si="1146"/>
        <v>0.58999999999999975</v>
      </c>
      <c r="BW98" s="48">
        <f t="shared" si="1146"/>
        <v>0.56999999999999973</v>
      </c>
      <c r="BY98" s="48">
        <f t="shared" si="952"/>
        <v>2672.6700000000005</v>
      </c>
      <c r="BZ98" s="48">
        <f t="shared" si="953"/>
        <v>2672.6700000000005</v>
      </c>
      <c r="CA98" s="51">
        <f t="shared" ref="CA98" si="1147">+BZ98*3.3058</f>
        <v>8835.3124860000025</v>
      </c>
      <c r="CB98" s="48">
        <f t="shared" si="1033"/>
        <v>2592.4899000000005</v>
      </c>
      <c r="CC98" s="51">
        <f t="shared" si="1034"/>
        <v>8570.253111420001</v>
      </c>
      <c r="CD98" s="48">
        <f t="shared" si="1035"/>
        <v>2539.0365000000002</v>
      </c>
      <c r="CE98" s="51">
        <f t="shared" si="1036"/>
        <v>8393.5468617000006</v>
      </c>
      <c r="CF98" s="48">
        <f t="shared" si="1037"/>
        <v>2485.5831000000007</v>
      </c>
      <c r="CG98" s="51">
        <f t="shared" si="1038"/>
        <v>8216.840611980002</v>
      </c>
      <c r="CH98" s="52">
        <f t="shared" si="1039"/>
        <v>2432.1297000000004</v>
      </c>
      <c r="CI98" s="51">
        <f t="shared" si="1040"/>
        <v>8040.1343622600016</v>
      </c>
      <c r="CJ98" s="48">
        <f t="shared" si="1041"/>
        <v>2378.6763000000005</v>
      </c>
      <c r="CK98" s="51">
        <f t="shared" si="1042"/>
        <v>7863.4281125400021</v>
      </c>
      <c r="CL98" s="52">
        <f t="shared" si="1043"/>
        <v>2325.2229000000007</v>
      </c>
      <c r="CM98" s="51">
        <f t="shared" si="1044"/>
        <v>7686.7218628200026</v>
      </c>
      <c r="CN98" s="53">
        <f t="shared" si="1045"/>
        <v>2271.7695000000003</v>
      </c>
      <c r="CO98" s="51">
        <f t="shared" si="1046"/>
        <v>7510.0156131000012</v>
      </c>
      <c r="CP98" s="52">
        <f t="shared" si="1047"/>
        <v>2218.3161000000005</v>
      </c>
      <c r="CQ98" s="51">
        <f t="shared" si="1048"/>
        <v>7333.3093633800017</v>
      </c>
      <c r="CR98" s="48">
        <f t="shared" si="1049"/>
        <v>2164.8627000000001</v>
      </c>
      <c r="CS98" s="51">
        <f t="shared" si="1050"/>
        <v>7156.6031136600004</v>
      </c>
      <c r="CT98" s="53">
        <f t="shared" si="1051"/>
        <v>2111.4093000000003</v>
      </c>
      <c r="CU98" s="51">
        <f t="shared" si="1052"/>
        <v>6979.8968639400009</v>
      </c>
      <c r="CV98" s="53">
        <f t="shared" si="1053"/>
        <v>2057.9559000000004</v>
      </c>
      <c r="CW98" s="51">
        <f t="shared" si="1054"/>
        <v>6803.1906142200014</v>
      </c>
      <c r="CX98" s="53">
        <f t="shared" si="1055"/>
        <v>2004.5025000000001</v>
      </c>
      <c r="CY98" s="51">
        <f t="shared" si="1056"/>
        <v>6626.4843645000001</v>
      </c>
      <c r="CZ98" s="48">
        <f t="shared" si="1057"/>
        <v>1951.0491</v>
      </c>
      <c r="DA98" s="51">
        <f t="shared" si="1058"/>
        <v>6449.7781147799997</v>
      </c>
      <c r="DB98" s="53">
        <f t="shared" si="1059"/>
        <v>1897.5957000000001</v>
      </c>
      <c r="DC98" s="51">
        <f t="shared" si="1060"/>
        <v>6273.0718650600002</v>
      </c>
      <c r="DD98" s="53">
        <f t="shared" si="1061"/>
        <v>1844.1423</v>
      </c>
      <c r="DE98" s="51">
        <f t="shared" si="1062"/>
        <v>6096.3656153399997</v>
      </c>
      <c r="DF98" s="53">
        <f t="shared" si="1063"/>
        <v>1790.6888999999999</v>
      </c>
      <c r="DG98" s="51">
        <f t="shared" si="1064"/>
        <v>5919.6593656199993</v>
      </c>
      <c r="DH98" s="53">
        <f t="shared" si="1065"/>
        <v>1737.2354999999998</v>
      </c>
      <c r="DI98" s="51">
        <f t="shared" si="1066"/>
        <v>5742.9531158999998</v>
      </c>
      <c r="DJ98" s="48">
        <f t="shared" si="1067"/>
        <v>1683.7820999999997</v>
      </c>
      <c r="DK98" s="51">
        <f t="shared" si="1068"/>
        <v>5566.2468661799994</v>
      </c>
      <c r="DL98" s="53">
        <f t="shared" si="1069"/>
        <v>1630.3286999999998</v>
      </c>
      <c r="DM98" s="51">
        <f t="shared" si="1070"/>
        <v>5389.540616459999</v>
      </c>
      <c r="DN98" s="53">
        <f t="shared" si="1071"/>
        <v>1576.8752999999997</v>
      </c>
      <c r="DO98" s="51">
        <f t="shared" si="1072"/>
        <v>5212.8343667399995</v>
      </c>
      <c r="DP98" s="48">
        <f t="shared" si="1073"/>
        <v>1523.4218999999996</v>
      </c>
      <c r="DQ98" s="51">
        <f t="shared" si="1074"/>
        <v>5036.1281170199991</v>
      </c>
      <c r="DT98" s="48">
        <v>1</v>
      </c>
      <c r="DU98" s="48">
        <v>0.97</v>
      </c>
      <c r="DV98" s="48">
        <v>0.95</v>
      </c>
      <c r="DW98" s="48">
        <v>0.93</v>
      </c>
      <c r="DX98" s="48">
        <f t="shared" ref="DX98:EO98" si="1148">+DW98-0.02</f>
        <v>0.91</v>
      </c>
      <c r="DY98" s="48">
        <f t="shared" si="1148"/>
        <v>0.89</v>
      </c>
      <c r="DZ98" s="48">
        <f t="shared" si="1148"/>
        <v>0.87</v>
      </c>
      <c r="EA98" s="48">
        <f t="shared" si="1148"/>
        <v>0.85</v>
      </c>
      <c r="EB98" s="48">
        <f t="shared" si="1148"/>
        <v>0.83</v>
      </c>
      <c r="EC98" s="48">
        <f t="shared" si="1148"/>
        <v>0.80999999999999994</v>
      </c>
      <c r="ED98" s="48">
        <f t="shared" si="1148"/>
        <v>0.78999999999999992</v>
      </c>
      <c r="EE98" s="48">
        <f t="shared" si="1148"/>
        <v>0.76999999999999991</v>
      </c>
      <c r="EF98" s="48">
        <f t="shared" si="1148"/>
        <v>0.74999999999999989</v>
      </c>
      <c r="EG98" s="48">
        <f t="shared" si="1148"/>
        <v>0.72999999999999987</v>
      </c>
      <c r="EH98" s="48">
        <f t="shared" si="1148"/>
        <v>0.70999999999999985</v>
      </c>
      <c r="EI98" s="48">
        <f t="shared" si="1148"/>
        <v>0.68999999999999984</v>
      </c>
      <c r="EJ98" s="48">
        <f t="shared" si="1148"/>
        <v>0.66999999999999982</v>
      </c>
      <c r="EK98" s="48">
        <f t="shared" si="1148"/>
        <v>0.6499999999999998</v>
      </c>
      <c r="EL98" s="48">
        <f t="shared" si="1148"/>
        <v>0.62999999999999978</v>
      </c>
      <c r="EM98" s="48">
        <f t="shared" si="1148"/>
        <v>0.60999999999999976</v>
      </c>
      <c r="EN98" s="48">
        <f t="shared" si="1148"/>
        <v>0.58999999999999975</v>
      </c>
      <c r="EO98" s="48">
        <f t="shared" si="1148"/>
        <v>0.56999999999999973</v>
      </c>
      <c r="EQ98" s="48">
        <f t="shared" si="1128"/>
        <v>2432.1297000000004</v>
      </c>
      <c r="ER98" s="48">
        <f t="shared" si="956"/>
        <v>2432.1297000000004</v>
      </c>
      <c r="ES98" s="51">
        <f t="shared" ref="ES98" si="1149">+ER98*3.3058</f>
        <v>8040.1343622600016</v>
      </c>
      <c r="ET98" s="48">
        <f t="shared" si="1077"/>
        <v>2359.1658090000005</v>
      </c>
      <c r="EU98" s="51">
        <f t="shared" si="1078"/>
        <v>7798.9303313922019</v>
      </c>
      <c r="EV98" s="48">
        <f t="shared" si="1079"/>
        <v>2310.5232150000002</v>
      </c>
      <c r="EW98" s="51">
        <f t="shared" si="1080"/>
        <v>7638.1276441470009</v>
      </c>
      <c r="EX98" s="48">
        <f t="shared" si="1081"/>
        <v>2261.8806210000007</v>
      </c>
      <c r="EY98" s="51">
        <f t="shared" si="1082"/>
        <v>7477.3249569018026</v>
      </c>
      <c r="EZ98" s="52">
        <f t="shared" si="1083"/>
        <v>2213.2380270000003</v>
      </c>
      <c r="FA98" s="51">
        <f t="shared" si="1084"/>
        <v>7316.5222696566016</v>
      </c>
      <c r="FB98" s="48">
        <f t="shared" si="1085"/>
        <v>2164.5954330000004</v>
      </c>
      <c r="FC98" s="51">
        <f t="shared" si="1086"/>
        <v>7155.7195824114015</v>
      </c>
      <c r="FD98" s="52">
        <f t="shared" si="1087"/>
        <v>2115.9528390000005</v>
      </c>
      <c r="FE98" s="51">
        <f t="shared" si="1088"/>
        <v>6994.9168951662014</v>
      </c>
      <c r="FF98" s="53">
        <f t="shared" si="1089"/>
        <v>2067.3102450000001</v>
      </c>
      <c r="FG98" s="51">
        <f t="shared" si="1090"/>
        <v>6834.1142079210003</v>
      </c>
      <c r="FH98" s="52">
        <f t="shared" si="1091"/>
        <v>2018.6676510000002</v>
      </c>
      <c r="FI98" s="51">
        <f t="shared" si="1092"/>
        <v>6673.3115206758011</v>
      </c>
      <c r="FJ98" s="48">
        <f t="shared" si="1093"/>
        <v>1970.0250570000003</v>
      </c>
      <c r="FK98" s="51">
        <f t="shared" si="1094"/>
        <v>6512.508833430601</v>
      </c>
      <c r="FL98" s="53">
        <f t="shared" si="1095"/>
        <v>1921.3824630000001</v>
      </c>
      <c r="FM98" s="51">
        <f t="shared" si="1096"/>
        <v>6351.7061461854009</v>
      </c>
      <c r="FN98" s="53">
        <f t="shared" si="1097"/>
        <v>1872.739869</v>
      </c>
      <c r="FO98" s="51">
        <f t="shared" si="1098"/>
        <v>6190.9034589401999</v>
      </c>
      <c r="FP98" s="53">
        <f t="shared" si="1099"/>
        <v>1824.0972750000001</v>
      </c>
      <c r="FQ98" s="51">
        <f t="shared" si="1100"/>
        <v>6030.1007716950007</v>
      </c>
      <c r="FR98" s="48">
        <f t="shared" si="1101"/>
        <v>1775.4546809999999</v>
      </c>
      <c r="FS98" s="51">
        <f t="shared" si="1102"/>
        <v>5869.2980844497997</v>
      </c>
      <c r="FT98" s="53">
        <f t="shared" si="1103"/>
        <v>1726.812087</v>
      </c>
      <c r="FU98" s="51">
        <f t="shared" si="1104"/>
        <v>5708.4953972046005</v>
      </c>
      <c r="FV98" s="53">
        <f t="shared" si="1105"/>
        <v>1678.1694929999999</v>
      </c>
      <c r="FW98" s="51">
        <f t="shared" si="1106"/>
        <v>5547.6927099593995</v>
      </c>
      <c r="FX98" s="53">
        <f t="shared" si="1107"/>
        <v>1629.5268989999997</v>
      </c>
      <c r="FY98" s="51">
        <f t="shared" si="1108"/>
        <v>5386.8900227141994</v>
      </c>
      <c r="FZ98" s="53">
        <f t="shared" si="1109"/>
        <v>1580.8843049999998</v>
      </c>
      <c r="GA98" s="51">
        <f t="shared" si="1110"/>
        <v>5226.0873354689993</v>
      </c>
      <c r="GB98" s="48">
        <f t="shared" si="1111"/>
        <v>1532.2417109999997</v>
      </c>
      <c r="GC98" s="51">
        <f t="shared" si="1112"/>
        <v>5065.2846482237992</v>
      </c>
      <c r="GD98" s="53">
        <f t="shared" si="1113"/>
        <v>1483.5991169999998</v>
      </c>
      <c r="GE98" s="51">
        <f t="shared" si="1114"/>
        <v>4904.4819609785991</v>
      </c>
      <c r="GF98" s="53">
        <f t="shared" si="1115"/>
        <v>1434.9565229999996</v>
      </c>
      <c r="GG98" s="51">
        <f t="shared" si="1116"/>
        <v>4743.679273733399</v>
      </c>
      <c r="GH98" s="48">
        <f t="shared" si="1117"/>
        <v>1386.3139289999997</v>
      </c>
      <c r="GI98" s="51">
        <f t="shared" si="1118"/>
        <v>4582.8765864881989</v>
      </c>
      <c r="GJ98" s="48"/>
      <c r="GK98" s="48"/>
      <c r="GL98" s="48">
        <v>1</v>
      </c>
      <c r="GM98" s="48">
        <v>0.97</v>
      </c>
      <c r="GN98" s="48">
        <v>0.95</v>
      </c>
      <c r="GO98" s="48">
        <v>0.93</v>
      </c>
      <c r="GP98" s="48">
        <f t="shared" ref="GP98:HG98" si="1150">+GO98-0.02</f>
        <v>0.91</v>
      </c>
      <c r="GQ98" s="48">
        <f t="shared" si="1150"/>
        <v>0.89</v>
      </c>
      <c r="GR98" s="48">
        <f t="shared" si="1150"/>
        <v>0.87</v>
      </c>
      <c r="GS98" s="48">
        <f t="shared" si="1150"/>
        <v>0.85</v>
      </c>
      <c r="GT98" s="48">
        <f t="shared" si="1150"/>
        <v>0.83</v>
      </c>
      <c r="GU98" s="48">
        <f t="shared" si="1150"/>
        <v>0.80999999999999994</v>
      </c>
      <c r="GV98" s="48">
        <f t="shared" si="1150"/>
        <v>0.78999999999999992</v>
      </c>
      <c r="GW98" s="48">
        <f t="shared" si="1150"/>
        <v>0.76999999999999991</v>
      </c>
      <c r="GX98" s="48">
        <f t="shared" si="1150"/>
        <v>0.74999999999999989</v>
      </c>
      <c r="GY98" s="48">
        <f t="shared" si="1150"/>
        <v>0.72999999999999987</v>
      </c>
      <c r="GZ98" s="48">
        <f t="shared" si="1150"/>
        <v>0.70999999999999985</v>
      </c>
      <c r="HA98" s="48">
        <f t="shared" si="1150"/>
        <v>0.68999999999999984</v>
      </c>
      <c r="HB98" s="48">
        <f t="shared" si="1150"/>
        <v>0.66999999999999982</v>
      </c>
      <c r="HC98" s="48">
        <f t="shared" si="1150"/>
        <v>0.6499999999999998</v>
      </c>
      <c r="HD98" s="48">
        <f t="shared" si="1150"/>
        <v>0.62999999999999978</v>
      </c>
      <c r="HE98" s="48">
        <f t="shared" si="1150"/>
        <v>0.60999999999999976</v>
      </c>
      <c r="HF98" s="48">
        <f t="shared" si="1150"/>
        <v>0.58999999999999975</v>
      </c>
      <c r="HG98" s="48">
        <f t="shared" si="1150"/>
        <v>0.56999999999999973</v>
      </c>
    </row>
    <row r="99" spans="1:215" x14ac:dyDescent="0.3">
      <c r="A99" s="2">
        <v>8</v>
      </c>
      <c r="C99" s="29" t="s">
        <v>167</v>
      </c>
      <c r="D99" s="44">
        <f>TRUNC(4020.30880832627,-1)</f>
        <v>4020</v>
      </c>
      <c r="E99" s="73">
        <f t="shared" si="988"/>
        <v>13280</v>
      </c>
      <c r="G99" s="48">
        <f t="shared" si="948"/>
        <v>4422</v>
      </c>
      <c r="H99" s="48">
        <f t="shared" si="949"/>
        <v>4422</v>
      </c>
      <c r="I99" s="51">
        <f t="shared" si="950"/>
        <v>14618.247600000001</v>
      </c>
      <c r="J99" s="48">
        <f t="shared" si="989"/>
        <v>4289.34</v>
      </c>
      <c r="K99" s="51">
        <f t="shared" si="990"/>
        <v>14179.700172000001</v>
      </c>
      <c r="L99" s="48">
        <f t="shared" si="991"/>
        <v>4200.8999999999996</v>
      </c>
      <c r="M99" s="51">
        <f t="shared" si="992"/>
        <v>13887.335219999999</v>
      </c>
      <c r="N99" s="48">
        <f t="shared" si="993"/>
        <v>4112.46</v>
      </c>
      <c r="O99" s="51">
        <f t="shared" si="994"/>
        <v>13594.970268000001</v>
      </c>
      <c r="P99" s="52">
        <f t="shared" si="995"/>
        <v>4024.02</v>
      </c>
      <c r="Q99" s="51">
        <f t="shared" si="996"/>
        <v>13302.605316000001</v>
      </c>
      <c r="R99" s="48">
        <f t="shared" si="997"/>
        <v>3935.58</v>
      </c>
      <c r="S99" s="51">
        <f t="shared" si="998"/>
        <v>13010.240363999999</v>
      </c>
      <c r="T99" s="52">
        <f t="shared" si="999"/>
        <v>3847.14</v>
      </c>
      <c r="U99" s="51">
        <f t="shared" si="1000"/>
        <v>12717.875411999999</v>
      </c>
      <c r="V99" s="53">
        <f t="shared" si="1001"/>
        <v>3758.7</v>
      </c>
      <c r="W99" s="51">
        <f t="shared" si="1002"/>
        <v>12425.51046</v>
      </c>
      <c r="X99" s="52">
        <f t="shared" si="1003"/>
        <v>3670.2599999999998</v>
      </c>
      <c r="Y99" s="51">
        <f t="shared" si="1004"/>
        <v>12133.145508</v>
      </c>
      <c r="Z99" s="48">
        <f t="shared" si="1005"/>
        <v>3581.8199999999997</v>
      </c>
      <c r="AA99" s="51">
        <f t="shared" si="1006"/>
        <v>11840.780556</v>
      </c>
      <c r="AB99" s="53">
        <f t="shared" si="1007"/>
        <v>3493.3799999999997</v>
      </c>
      <c r="AC99" s="51">
        <f t="shared" si="1008"/>
        <v>11548.415604</v>
      </c>
      <c r="AD99" s="53">
        <f t="shared" si="1009"/>
        <v>3404.9399999999996</v>
      </c>
      <c r="AE99" s="51">
        <f t="shared" si="1010"/>
        <v>11256.050651999998</v>
      </c>
      <c r="AF99" s="53">
        <f t="shared" si="1011"/>
        <v>3316.4999999999995</v>
      </c>
      <c r="AG99" s="51">
        <f t="shared" si="1012"/>
        <v>10963.685699999998</v>
      </c>
      <c r="AH99" s="48">
        <f t="shared" si="1013"/>
        <v>3228.0599999999995</v>
      </c>
      <c r="AI99" s="51">
        <f t="shared" si="1014"/>
        <v>10671.320747999998</v>
      </c>
      <c r="AJ99" s="53">
        <f t="shared" si="1015"/>
        <v>3139.6199999999994</v>
      </c>
      <c r="AK99" s="51">
        <f t="shared" si="1016"/>
        <v>10378.955795999998</v>
      </c>
      <c r="AL99" s="53">
        <f t="shared" si="1017"/>
        <v>3051.1799999999994</v>
      </c>
      <c r="AM99" s="51">
        <f t="shared" si="1018"/>
        <v>10086.590843999998</v>
      </c>
      <c r="AN99" s="53">
        <f t="shared" si="1019"/>
        <v>2962.7399999999993</v>
      </c>
      <c r="AO99" s="51">
        <f t="shared" si="1020"/>
        <v>9794.2258919999986</v>
      </c>
      <c r="AP99" s="53">
        <f t="shared" si="1021"/>
        <v>2874.2999999999993</v>
      </c>
      <c r="AQ99" s="51">
        <f t="shared" si="1022"/>
        <v>9501.8609399999987</v>
      </c>
      <c r="AR99" s="48">
        <f t="shared" si="1023"/>
        <v>2785.8599999999992</v>
      </c>
      <c r="AS99" s="51">
        <f t="shared" si="1024"/>
        <v>9209.4959879999969</v>
      </c>
      <c r="AT99" s="53">
        <f t="shared" si="1025"/>
        <v>2697.4199999999992</v>
      </c>
      <c r="AU99" s="51">
        <f t="shared" si="1026"/>
        <v>8917.131035999997</v>
      </c>
      <c r="AV99" s="53">
        <f t="shared" si="1027"/>
        <v>2608.9799999999987</v>
      </c>
      <c r="AW99" s="51">
        <f t="shared" si="1028"/>
        <v>8624.7660839999953</v>
      </c>
      <c r="AX99" s="48">
        <f t="shared" si="1029"/>
        <v>2520.5399999999986</v>
      </c>
      <c r="AY99" s="51">
        <f t="shared" si="1030"/>
        <v>8332.4011319999954</v>
      </c>
      <c r="BB99" s="48">
        <v>1</v>
      </c>
      <c r="BC99" s="48">
        <v>0.97</v>
      </c>
      <c r="BD99" s="48">
        <v>0.95</v>
      </c>
      <c r="BE99" s="48">
        <v>0.93</v>
      </c>
      <c r="BF99" s="48">
        <f t="shared" ref="BF99:BW99" si="1151">+BE99-0.02</f>
        <v>0.91</v>
      </c>
      <c r="BG99" s="48">
        <f t="shared" si="1151"/>
        <v>0.89</v>
      </c>
      <c r="BH99" s="48">
        <f t="shared" si="1151"/>
        <v>0.87</v>
      </c>
      <c r="BI99" s="48">
        <f t="shared" si="1151"/>
        <v>0.85</v>
      </c>
      <c r="BJ99" s="48">
        <f t="shared" si="1151"/>
        <v>0.83</v>
      </c>
      <c r="BK99" s="48">
        <f t="shared" si="1151"/>
        <v>0.80999999999999994</v>
      </c>
      <c r="BL99" s="48">
        <f t="shared" si="1151"/>
        <v>0.78999999999999992</v>
      </c>
      <c r="BM99" s="48">
        <f t="shared" si="1151"/>
        <v>0.76999999999999991</v>
      </c>
      <c r="BN99" s="48">
        <f t="shared" si="1151"/>
        <v>0.74999999999999989</v>
      </c>
      <c r="BO99" s="48">
        <f t="shared" si="1151"/>
        <v>0.72999999999999987</v>
      </c>
      <c r="BP99" s="48">
        <f t="shared" si="1151"/>
        <v>0.70999999999999985</v>
      </c>
      <c r="BQ99" s="48">
        <f t="shared" si="1151"/>
        <v>0.68999999999999984</v>
      </c>
      <c r="BR99" s="48">
        <f t="shared" si="1151"/>
        <v>0.66999999999999982</v>
      </c>
      <c r="BS99" s="48">
        <f t="shared" si="1151"/>
        <v>0.6499999999999998</v>
      </c>
      <c r="BT99" s="48">
        <f t="shared" si="1151"/>
        <v>0.62999999999999978</v>
      </c>
      <c r="BU99" s="48">
        <f t="shared" si="1151"/>
        <v>0.60999999999999976</v>
      </c>
      <c r="BV99" s="48">
        <f t="shared" si="1151"/>
        <v>0.58999999999999975</v>
      </c>
      <c r="BW99" s="48">
        <f t="shared" si="1151"/>
        <v>0.56999999999999973</v>
      </c>
      <c r="BY99" s="48">
        <f t="shared" si="952"/>
        <v>4024.02</v>
      </c>
      <c r="BZ99" s="48">
        <f t="shared" si="953"/>
        <v>4024.02</v>
      </c>
      <c r="CA99" s="51">
        <f t="shared" ref="CA99" si="1152">+BZ99*3.3058</f>
        <v>13302.605316000001</v>
      </c>
      <c r="CB99" s="48">
        <f t="shared" si="1033"/>
        <v>3903.2993999999999</v>
      </c>
      <c r="CC99" s="51">
        <f t="shared" si="1034"/>
        <v>12903.52715652</v>
      </c>
      <c r="CD99" s="48">
        <f t="shared" si="1035"/>
        <v>3822.819</v>
      </c>
      <c r="CE99" s="51">
        <f t="shared" si="1036"/>
        <v>12637.475050200001</v>
      </c>
      <c r="CF99" s="48">
        <f t="shared" si="1037"/>
        <v>3742.3386</v>
      </c>
      <c r="CG99" s="51">
        <f t="shared" si="1038"/>
        <v>12371.422943880001</v>
      </c>
      <c r="CH99" s="52">
        <f t="shared" si="1039"/>
        <v>3661.8582000000001</v>
      </c>
      <c r="CI99" s="51">
        <f t="shared" si="1040"/>
        <v>12105.37083756</v>
      </c>
      <c r="CJ99" s="48">
        <f t="shared" si="1041"/>
        <v>3581.3778000000002</v>
      </c>
      <c r="CK99" s="51">
        <f t="shared" si="1042"/>
        <v>11839.31873124</v>
      </c>
      <c r="CL99" s="52">
        <f t="shared" si="1043"/>
        <v>3500.8973999999998</v>
      </c>
      <c r="CM99" s="51">
        <f t="shared" si="1044"/>
        <v>11573.266624919999</v>
      </c>
      <c r="CN99" s="53">
        <f t="shared" si="1045"/>
        <v>3420.4169999999999</v>
      </c>
      <c r="CO99" s="51">
        <f t="shared" si="1046"/>
        <v>11307.2145186</v>
      </c>
      <c r="CP99" s="52">
        <f t="shared" si="1047"/>
        <v>3339.9366</v>
      </c>
      <c r="CQ99" s="51">
        <f t="shared" si="1048"/>
        <v>11041.16241228</v>
      </c>
      <c r="CR99" s="48">
        <f t="shared" si="1049"/>
        <v>3259.4561999999996</v>
      </c>
      <c r="CS99" s="51">
        <f t="shared" si="1050"/>
        <v>10775.110305959999</v>
      </c>
      <c r="CT99" s="53">
        <f t="shared" si="1051"/>
        <v>3178.9757999999997</v>
      </c>
      <c r="CU99" s="51">
        <f t="shared" si="1052"/>
        <v>10509.05819964</v>
      </c>
      <c r="CV99" s="53">
        <f t="shared" si="1053"/>
        <v>3098.4953999999998</v>
      </c>
      <c r="CW99" s="51">
        <f t="shared" si="1054"/>
        <v>10243.00609332</v>
      </c>
      <c r="CX99" s="53">
        <f t="shared" si="1055"/>
        <v>3018.0149999999994</v>
      </c>
      <c r="CY99" s="51">
        <f t="shared" si="1056"/>
        <v>9976.953986999999</v>
      </c>
      <c r="CZ99" s="48">
        <f t="shared" si="1057"/>
        <v>2937.5345999999995</v>
      </c>
      <c r="DA99" s="51">
        <f t="shared" si="1058"/>
        <v>9710.9018806799977</v>
      </c>
      <c r="DB99" s="53">
        <f t="shared" si="1059"/>
        <v>2857.0541999999996</v>
      </c>
      <c r="DC99" s="51">
        <f t="shared" si="1060"/>
        <v>9444.8497743599983</v>
      </c>
      <c r="DD99" s="53">
        <f t="shared" si="1061"/>
        <v>2776.5737999999992</v>
      </c>
      <c r="DE99" s="51">
        <f t="shared" si="1062"/>
        <v>9178.797668039997</v>
      </c>
      <c r="DF99" s="53">
        <f t="shared" si="1063"/>
        <v>2696.0933999999993</v>
      </c>
      <c r="DG99" s="51">
        <f t="shared" si="1064"/>
        <v>8912.7455617199976</v>
      </c>
      <c r="DH99" s="53">
        <f t="shared" si="1065"/>
        <v>2615.6129999999994</v>
      </c>
      <c r="DI99" s="51">
        <f t="shared" si="1066"/>
        <v>8646.6934553999981</v>
      </c>
      <c r="DJ99" s="48">
        <f t="shared" si="1067"/>
        <v>2535.132599999999</v>
      </c>
      <c r="DK99" s="51">
        <f t="shared" si="1068"/>
        <v>8380.6413490799969</v>
      </c>
      <c r="DL99" s="53">
        <f t="shared" si="1069"/>
        <v>2454.6521999999991</v>
      </c>
      <c r="DM99" s="51">
        <f t="shared" si="1070"/>
        <v>8114.5892427599974</v>
      </c>
      <c r="DN99" s="53">
        <f t="shared" si="1071"/>
        <v>2374.1717999999992</v>
      </c>
      <c r="DO99" s="51">
        <f t="shared" si="1072"/>
        <v>7848.5371364399971</v>
      </c>
      <c r="DP99" s="48">
        <f t="shared" si="1073"/>
        <v>2293.6913999999988</v>
      </c>
      <c r="DQ99" s="51">
        <f t="shared" si="1074"/>
        <v>7582.4850301199958</v>
      </c>
      <c r="DT99" s="48">
        <v>1</v>
      </c>
      <c r="DU99" s="48">
        <v>0.97</v>
      </c>
      <c r="DV99" s="48">
        <v>0.95</v>
      </c>
      <c r="DW99" s="48">
        <v>0.93</v>
      </c>
      <c r="DX99" s="48">
        <f t="shared" ref="DX99:EO99" si="1153">+DW99-0.02</f>
        <v>0.91</v>
      </c>
      <c r="DY99" s="48">
        <f t="shared" si="1153"/>
        <v>0.89</v>
      </c>
      <c r="DZ99" s="48">
        <f t="shared" si="1153"/>
        <v>0.87</v>
      </c>
      <c r="EA99" s="48">
        <f t="shared" si="1153"/>
        <v>0.85</v>
      </c>
      <c r="EB99" s="48">
        <f t="shared" si="1153"/>
        <v>0.83</v>
      </c>
      <c r="EC99" s="48">
        <f t="shared" si="1153"/>
        <v>0.80999999999999994</v>
      </c>
      <c r="ED99" s="48">
        <f t="shared" si="1153"/>
        <v>0.78999999999999992</v>
      </c>
      <c r="EE99" s="48">
        <f t="shared" si="1153"/>
        <v>0.76999999999999991</v>
      </c>
      <c r="EF99" s="48">
        <f t="shared" si="1153"/>
        <v>0.74999999999999989</v>
      </c>
      <c r="EG99" s="48">
        <f t="shared" si="1153"/>
        <v>0.72999999999999987</v>
      </c>
      <c r="EH99" s="48">
        <f t="shared" si="1153"/>
        <v>0.70999999999999985</v>
      </c>
      <c r="EI99" s="48">
        <f t="shared" si="1153"/>
        <v>0.68999999999999984</v>
      </c>
      <c r="EJ99" s="48">
        <f t="shared" si="1153"/>
        <v>0.66999999999999982</v>
      </c>
      <c r="EK99" s="48">
        <f t="shared" si="1153"/>
        <v>0.6499999999999998</v>
      </c>
      <c r="EL99" s="48">
        <f t="shared" si="1153"/>
        <v>0.62999999999999978</v>
      </c>
      <c r="EM99" s="48">
        <f t="shared" si="1153"/>
        <v>0.60999999999999976</v>
      </c>
      <c r="EN99" s="48">
        <f t="shared" si="1153"/>
        <v>0.58999999999999975</v>
      </c>
      <c r="EO99" s="48">
        <f t="shared" si="1153"/>
        <v>0.56999999999999973</v>
      </c>
      <c r="EQ99" s="48">
        <f t="shared" si="1128"/>
        <v>3661.8582000000001</v>
      </c>
      <c r="ER99" s="48">
        <f t="shared" si="956"/>
        <v>3661.8582000000001</v>
      </c>
      <c r="ES99" s="51">
        <f t="shared" ref="ES99" si="1154">+ER99*3.3058</f>
        <v>12105.37083756</v>
      </c>
      <c r="ET99" s="48">
        <f t="shared" si="1077"/>
        <v>3552.0024539999999</v>
      </c>
      <c r="EU99" s="51">
        <f t="shared" si="1078"/>
        <v>11742.209712433199</v>
      </c>
      <c r="EV99" s="48">
        <f t="shared" si="1079"/>
        <v>3478.7652899999998</v>
      </c>
      <c r="EW99" s="51">
        <f t="shared" si="1080"/>
        <v>11500.102295682</v>
      </c>
      <c r="EX99" s="48">
        <f t="shared" si="1081"/>
        <v>3405.5281260000002</v>
      </c>
      <c r="EY99" s="51">
        <f t="shared" si="1082"/>
        <v>11257.9948789308</v>
      </c>
      <c r="EZ99" s="52">
        <f t="shared" si="1083"/>
        <v>3332.290962</v>
      </c>
      <c r="FA99" s="51">
        <f t="shared" si="1084"/>
        <v>11015.8874621796</v>
      </c>
      <c r="FB99" s="48">
        <f t="shared" si="1085"/>
        <v>3259.0537980000004</v>
      </c>
      <c r="FC99" s="51">
        <f t="shared" si="1086"/>
        <v>10773.780045428401</v>
      </c>
      <c r="FD99" s="52">
        <f t="shared" si="1087"/>
        <v>3185.8166340000002</v>
      </c>
      <c r="FE99" s="51">
        <f t="shared" si="1088"/>
        <v>10531.672628677201</v>
      </c>
      <c r="FF99" s="53">
        <f t="shared" si="1089"/>
        <v>3112.5794700000001</v>
      </c>
      <c r="FG99" s="51">
        <f t="shared" si="1090"/>
        <v>10289.565211926001</v>
      </c>
      <c r="FH99" s="52">
        <f t="shared" si="1091"/>
        <v>3039.342306</v>
      </c>
      <c r="FI99" s="51">
        <f t="shared" si="1092"/>
        <v>10047.4577951748</v>
      </c>
      <c r="FJ99" s="48">
        <f t="shared" si="1093"/>
        <v>2966.1051419999999</v>
      </c>
      <c r="FK99" s="51">
        <f t="shared" si="1094"/>
        <v>9805.3503784236</v>
      </c>
      <c r="FL99" s="53">
        <f t="shared" si="1095"/>
        <v>2892.8679779999998</v>
      </c>
      <c r="FM99" s="51">
        <f t="shared" si="1096"/>
        <v>9563.2429616724003</v>
      </c>
      <c r="FN99" s="53">
        <f t="shared" si="1097"/>
        <v>2819.6308139999996</v>
      </c>
      <c r="FO99" s="51">
        <f t="shared" si="1098"/>
        <v>9321.1355449211987</v>
      </c>
      <c r="FP99" s="53">
        <f t="shared" si="1099"/>
        <v>2746.3936499999995</v>
      </c>
      <c r="FQ99" s="51">
        <f t="shared" si="1100"/>
        <v>9079.028128169999</v>
      </c>
      <c r="FR99" s="48">
        <f t="shared" si="1101"/>
        <v>2673.1564859999994</v>
      </c>
      <c r="FS99" s="51">
        <f t="shared" si="1102"/>
        <v>8836.9207114187975</v>
      </c>
      <c r="FT99" s="53">
        <f t="shared" si="1103"/>
        <v>2599.9193219999997</v>
      </c>
      <c r="FU99" s="51">
        <f t="shared" si="1104"/>
        <v>8594.8132946675996</v>
      </c>
      <c r="FV99" s="53">
        <f t="shared" si="1105"/>
        <v>2526.6821579999996</v>
      </c>
      <c r="FW99" s="51">
        <f t="shared" si="1106"/>
        <v>8352.7058779163981</v>
      </c>
      <c r="FX99" s="53">
        <f t="shared" si="1107"/>
        <v>2453.4449939999995</v>
      </c>
      <c r="FY99" s="51">
        <f t="shared" si="1108"/>
        <v>8110.5984611651984</v>
      </c>
      <c r="FZ99" s="53">
        <f t="shared" si="1109"/>
        <v>2380.2078299999994</v>
      </c>
      <c r="GA99" s="51">
        <f t="shared" si="1110"/>
        <v>7868.4910444139978</v>
      </c>
      <c r="GB99" s="48">
        <f t="shared" si="1111"/>
        <v>2306.9706659999993</v>
      </c>
      <c r="GC99" s="51">
        <f t="shared" si="1112"/>
        <v>7626.3836276627981</v>
      </c>
      <c r="GD99" s="53">
        <f t="shared" si="1113"/>
        <v>2233.7335019999991</v>
      </c>
      <c r="GE99" s="51">
        <f t="shared" si="1114"/>
        <v>7384.2762109115974</v>
      </c>
      <c r="GF99" s="53">
        <f t="shared" si="1115"/>
        <v>2160.496337999999</v>
      </c>
      <c r="GG99" s="51">
        <f t="shared" si="1116"/>
        <v>7142.1687941603968</v>
      </c>
      <c r="GH99" s="48">
        <f t="shared" si="1117"/>
        <v>2087.2591739999989</v>
      </c>
      <c r="GI99" s="51">
        <f t="shared" si="1118"/>
        <v>6900.0613774091962</v>
      </c>
      <c r="GJ99" s="48"/>
      <c r="GK99" s="48"/>
      <c r="GL99" s="48">
        <v>1</v>
      </c>
      <c r="GM99" s="48">
        <v>0.97</v>
      </c>
      <c r="GN99" s="48">
        <v>0.95</v>
      </c>
      <c r="GO99" s="48">
        <v>0.93</v>
      </c>
      <c r="GP99" s="48">
        <f t="shared" ref="GP99:HG99" si="1155">+GO99-0.02</f>
        <v>0.91</v>
      </c>
      <c r="GQ99" s="48">
        <f t="shared" si="1155"/>
        <v>0.89</v>
      </c>
      <c r="GR99" s="48">
        <f t="shared" si="1155"/>
        <v>0.87</v>
      </c>
      <c r="GS99" s="48">
        <f t="shared" si="1155"/>
        <v>0.85</v>
      </c>
      <c r="GT99" s="48">
        <f t="shared" si="1155"/>
        <v>0.83</v>
      </c>
      <c r="GU99" s="48">
        <f t="shared" si="1155"/>
        <v>0.80999999999999994</v>
      </c>
      <c r="GV99" s="48">
        <f t="shared" si="1155"/>
        <v>0.78999999999999992</v>
      </c>
      <c r="GW99" s="48">
        <f t="shared" si="1155"/>
        <v>0.76999999999999991</v>
      </c>
      <c r="GX99" s="48">
        <f t="shared" si="1155"/>
        <v>0.74999999999999989</v>
      </c>
      <c r="GY99" s="48">
        <f t="shared" si="1155"/>
        <v>0.72999999999999987</v>
      </c>
      <c r="GZ99" s="48">
        <f t="shared" si="1155"/>
        <v>0.70999999999999985</v>
      </c>
      <c r="HA99" s="48">
        <f t="shared" si="1155"/>
        <v>0.68999999999999984</v>
      </c>
      <c r="HB99" s="48">
        <f t="shared" si="1155"/>
        <v>0.66999999999999982</v>
      </c>
      <c r="HC99" s="48">
        <f t="shared" si="1155"/>
        <v>0.6499999999999998</v>
      </c>
      <c r="HD99" s="48">
        <f t="shared" si="1155"/>
        <v>0.62999999999999978</v>
      </c>
      <c r="HE99" s="48">
        <f t="shared" si="1155"/>
        <v>0.60999999999999976</v>
      </c>
      <c r="HF99" s="48">
        <f t="shared" si="1155"/>
        <v>0.58999999999999975</v>
      </c>
      <c r="HG99" s="48">
        <f t="shared" si="1155"/>
        <v>0.56999999999999973</v>
      </c>
    </row>
    <row r="100" spans="1:215" x14ac:dyDescent="0.3">
      <c r="A100" s="2">
        <v>9</v>
      </c>
      <c r="C100" s="29" t="s">
        <v>168</v>
      </c>
      <c r="D100" s="44">
        <v>0</v>
      </c>
      <c r="E100" s="73">
        <f t="shared" si="988"/>
        <v>0</v>
      </c>
      <c r="G100" s="48">
        <f t="shared" si="948"/>
        <v>0</v>
      </c>
      <c r="H100" s="48">
        <f t="shared" si="949"/>
        <v>0</v>
      </c>
      <c r="I100" s="51">
        <f t="shared" si="950"/>
        <v>0</v>
      </c>
      <c r="J100" s="48">
        <f t="shared" si="989"/>
        <v>0</v>
      </c>
      <c r="K100" s="51">
        <f t="shared" si="990"/>
        <v>0</v>
      </c>
      <c r="L100" s="48">
        <f t="shared" si="991"/>
        <v>0</v>
      </c>
      <c r="M100" s="51">
        <f t="shared" si="992"/>
        <v>0</v>
      </c>
      <c r="N100" s="48">
        <f t="shared" si="993"/>
        <v>0</v>
      </c>
      <c r="O100" s="51">
        <f t="shared" si="994"/>
        <v>0</v>
      </c>
      <c r="P100" s="52">
        <f t="shared" si="995"/>
        <v>0</v>
      </c>
      <c r="Q100" s="51">
        <f t="shared" si="996"/>
        <v>0</v>
      </c>
      <c r="R100" s="48">
        <f t="shared" si="997"/>
        <v>0</v>
      </c>
      <c r="S100" s="51">
        <f t="shared" si="998"/>
        <v>0</v>
      </c>
      <c r="T100" s="52">
        <f t="shared" si="999"/>
        <v>0</v>
      </c>
      <c r="U100" s="51">
        <f t="shared" si="1000"/>
        <v>0</v>
      </c>
      <c r="V100" s="53">
        <f t="shared" si="1001"/>
        <v>0</v>
      </c>
      <c r="W100" s="51">
        <f t="shared" si="1002"/>
        <v>0</v>
      </c>
      <c r="X100" s="52">
        <f t="shared" si="1003"/>
        <v>0</v>
      </c>
      <c r="Y100" s="51">
        <f t="shared" si="1004"/>
        <v>0</v>
      </c>
      <c r="Z100" s="48">
        <f t="shared" si="1005"/>
        <v>0</v>
      </c>
      <c r="AA100" s="51">
        <f t="shared" si="1006"/>
        <v>0</v>
      </c>
      <c r="AB100" s="53">
        <f t="shared" si="1007"/>
        <v>0</v>
      </c>
      <c r="AC100" s="51">
        <f t="shared" si="1008"/>
        <v>0</v>
      </c>
      <c r="AD100" s="53">
        <f t="shared" si="1009"/>
        <v>0</v>
      </c>
      <c r="AE100" s="51">
        <f t="shared" si="1010"/>
        <v>0</v>
      </c>
      <c r="AF100" s="53">
        <f t="shared" si="1011"/>
        <v>0</v>
      </c>
      <c r="AG100" s="51">
        <f t="shared" si="1012"/>
        <v>0</v>
      </c>
      <c r="AH100" s="48">
        <f t="shared" si="1013"/>
        <v>0</v>
      </c>
      <c r="AI100" s="51">
        <f t="shared" si="1014"/>
        <v>0</v>
      </c>
      <c r="AJ100" s="53">
        <f t="shared" si="1015"/>
        <v>0</v>
      </c>
      <c r="AK100" s="51">
        <f t="shared" si="1016"/>
        <v>0</v>
      </c>
      <c r="AL100" s="53">
        <f t="shared" si="1017"/>
        <v>0</v>
      </c>
      <c r="AM100" s="51">
        <f t="shared" si="1018"/>
        <v>0</v>
      </c>
      <c r="AN100" s="53">
        <f t="shared" si="1019"/>
        <v>0</v>
      </c>
      <c r="AO100" s="51">
        <f t="shared" si="1020"/>
        <v>0</v>
      </c>
      <c r="AP100" s="53">
        <f t="shared" si="1021"/>
        <v>0</v>
      </c>
      <c r="AQ100" s="51">
        <f t="shared" si="1022"/>
        <v>0</v>
      </c>
      <c r="AR100" s="48">
        <f t="shared" si="1023"/>
        <v>0</v>
      </c>
      <c r="AS100" s="51">
        <f t="shared" si="1024"/>
        <v>0</v>
      </c>
      <c r="AT100" s="53">
        <f t="shared" si="1025"/>
        <v>0</v>
      </c>
      <c r="AU100" s="51">
        <f t="shared" si="1026"/>
        <v>0</v>
      </c>
      <c r="AV100" s="53">
        <f t="shared" si="1027"/>
        <v>0</v>
      </c>
      <c r="AW100" s="51">
        <f t="shared" si="1028"/>
        <v>0</v>
      </c>
      <c r="AX100" s="48">
        <f t="shared" si="1029"/>
        <v>0</v>
      </c>
      <c r="AY100" s="51">
        <f t="shared" si="1030"/>
        <v>0</v>
      </c>
      <c r="BB100" s="48">
        <v>1</v>
      </c>
      <c r="BC100" s="48">
        <v>0.97</v>
      </c>
      <c r="BD100" s="48">
        <v>0.95</v>
      </c>
      <c r="BE100" s="48">
        <v>0.93</v>
      </c>
      <c r="BF100" s="48">
        <f t="shared" ref="BF100:BW100" si="1156">+BE100-0.02</f>
        <v>0.91</v>
      </c>
      <c r="BG100" s="48">
        <f t="shared" si="1156"/>
        <v>0.89</v>
      </c>
      <c r="BH100" s="48">
        <f t="shared" si="1156"/>
        <v>0.87</v>
      </c>
      <c r="BI100" s="48">
        <f t="shared" si="1156"/>
        <v>0.85</v>
      </c>
      <c r="BJ100" s="48">
        <f t="shared" si="1156"/>
        <v>0.83</v>
      </c>
      <c r="BK100" s="48">
        <f t="shared" si="1156"/>
        <v>0.80999999999999994</v>
      </c>
      <c r="BL100" s="48">
        <f t="shared" si="1156"/>
        <v>0.78999999999999992</v>
      </c>
      <c r="BM100" s="48">
        <f t="shared" si="1156"/>
        <v>0.76999999999999991</v>
      </c>
      <c r="BN100" s="48">
        <f t="shared" si="1156"/>
        <v>0.74999999999999989</v>
      </c>
      <c r="BO100" s="48">
        <f t="shared" si="1156"/>
        <v>0.72999999999999987</v>
      </c>
      <c r="BP100" s="48">
        <f t="shared" si="1156"/>
        <v>0.70999999999999985</v>
      </c>
      <c r="BQ100" s="48">
        <f t="shared" si="1156"/>
        <v>0.68999999999999984</v>
      </c>
      <c r="BR100" s="48">
        <f t="shared" si="1156"/>
        <v>0.66999999999999982</v>
      </c>
      <c r="BS100" s="48">
        <f t="shared" si="1156"/>
        <v>0.6499999999999998</v>
      </c>
      <c r="BT100" s="48">
        <f t="shared" si="1156"/>
        <v>0.62999999999999978</v>
      </c>
      <c r="BU100" s="48">
        <f t="shared" si="1156"/>
        <v>0.60999999999999976</v>
      </c>
      <c r="BV100" s="48">
        <f t="shared" si="1156"/>
        <v>0.58999999999999975</v>
      </c>
      <c r="BW100" s="48">
        <f t="shared" si="1156"/>
        <v>0.56999999999999973</v>
      </c>
      <c r="BY100" s="48">
        <f t="shared" si="952"/>
        <v>0</v>
      </c>
      <c r="BZ100" s="48">
        <f t="shared" si="953"/>
        <v>0</v>
      </c>
      <c r="CA100" s="51">
        <f t="shared" ref="CA100" si="1157">+BZ100*3.3058</f>
        <v>0</v>
      </c>
      <c r="CB100" s="48">
        <f t="shared" si="1033"/>
        <v>0</v>
      </c>
      <c r="CC100" s="51">
        <f t="shared" si="1034"/>
        <v>0</v>
      </c>
      <c r="CD100" s="48">
        <f t="shared" si="1035"/>
        <v>0</v>
      </c>
      <c r="CE100" s="51">
        <f t="shared" si="1036"/>
        <v>0</v>
      </c>
      <c r="CF100" s="48">
        <f t="shared" si="1037"/>
        <v>0</v>
      </c>
      <c r="CG100" s="51">
        <f t="shared" si="1038"/>
        <v>0</v>
      </c>
      <c r="CH100" s="52">
        <f t="shared" si="1039"/>
        <v>0</v>
      </c>
      <c r="CI100" s="51">
        <f t="shared" si="1040"/>
        <v>0</v>
      </c>
      <c r="CJ100" s="48">
        <f t="shared" si="1041"/>
        <v>0</v>
      </c>
      <c r="CK100" s="51">
        <f t="shared" si="1042"/>
        <v>0</v>
      </c>
      <c r="CL100" s="52">
        <f t="shared" si="1043"/>
        <v>0</v>
      </c>
      <c r="CM100" s="51">
        <f t="shared" si="1044"/>
        <v>0</v>
      </c>
      <c r="CN100" s="53">
        <f t="shared" si="1045"/>
        <v>0</v>
      </c>
      <c r="CO100" s="51">
        <f t="shared" si="1046"/>
        <v>0</v>
      </c>
      <c r="CP100" s="52">
        <f t="shared" si="1047"/>
        <v>0</v>
      </c>
      <c r="CQ100" s="51">
        <f t="shared" si="1048"/>
        <v>0</v>
      </c>
      <c r="CR100" s="48">
        <f t="shared" si="1049"/>
        <v>0</v>
      </c>
      <c r="CS100" s="51">
        <f t="shared" si="1050"/>
        <v>0</v>
      </c>
      <c r="CT100" s="53">
        <f t="shared" si="1051"/>
        <v>0</v>
      </c>
      <c r="CU100" s="51">
        <f t="shared" si="1052"/>
        <v>0</v>
      </c>
      <c r="CV100" s="53">
        <f t="shared" si="1053"/>
        <v>0</v>
      </c>
      <c r="CW100" s="51">
        <f t="shared" si="1054"/>
        <v>0</v>
      </c>
      <c r="CX100" s="53">
        <f t="shared" si="1055"/>
        <v>0</v>
      </c>
      <c r="CY100" s="51">
        <f t="shared" si="1056"/>
        <v>0</v>
      </c>
      <c r="CZ100" s="48">
        <f t="shared" si="1057"/>
        <v>0</v>
      </c>
      <c r="DA100" s="51">
        <f t="shared" si="1058"/>
        <v>0</v>
      </c>
      <c r="DB100" s="53">
        <f t="shared" si="1059"/>
        <v>0</v>
      </c>
      <c r="DC100" s="51">
        <f t="shared" si="1060"/>
        <v>0</v>
      </c>
      <c r="DD100" s="53">
        <f t="shared" si="1061"/>
        <v>0</v>
      </c>
      <c r="DE100" s="51">
        <f t="shared" si="1062"/>
        <v>0</v>
      </c>
      <c r="DF100" s="53">
        <f t="shared" si="1063"/>
        <v>0</v>
      </c>
      <c r="DG100" s="51">
        <f t="shared" si="1064"/>
        <v>0</v>
      </c>
      <c r="DH100" s="53">
        <f t="shared" si="1065"/>
        <v>0</v>
      </c>
      <c r="DI100" s="51">
        <f t="shared" si="1066"/>
        <v>0</v>
      </c>
      <c r="DJ100" s="48">
        <f t="shared" si="1067"/>
        <v>0</v>
      </c>
      <c r="DK100" s="51">
        <f t="shared" si="1068"/>
        <v>0</v>
      </c>
      <c r="DL100" s="53">
        <f t="shared" si="1069"/>
        <v>0</v>
      </c>
      <c r="DM100" s="51">
        <f t="shared" si="1070"/>
        <v>0</v>
      </c>
      <c r="DN100" s="53">
        <f t="shared" si="1071"/>
        <v>0</v>
      </c>
      <c r="DO100" s="51">
        <f t="shared" si="1072"/>
        <v>0</v>
      </c>
      <c r="DP100" s="48">
        <f t="shared" si="1073"/>
        <v>0</v>
      </c>
      <c r="DQ100" s="51">
        <f t="shared" si="1074"/>
        <v>0</v>
      </c>
      <c r="DT100" s="48">
        <v>1</v>
      </c>
      <c r="DU100" s="48">
        <v>0.97</v>
      </c>
      <c r="DV100" s="48">
        <v>0.95</v>
      </c>
      <c r="DW100" s="48">
        <v>0.93</v>
      </c>
      <c r="DX100" s="48">
        <f t="shared" ref="DX100:EO100" si="1158">+DW100-0.02</f>
        <v>0.91</v>
      </c>
      <c r="DY100" s="48">
        <f t="shared" si="1158"/>
        <v>0.89</v>
      </c>
      <c r="DZ100" s="48">
        <f t="shared" si="1158"/>
        <v>0.87</v>
      </c>
      <c r="EA100" s="48">
        <f t="shared" si="1158"/>
        <v>0.85</v>
      </c>
      <c r="EB100" s="48">
        <f t="shared" si="1158"/>
        <v>0.83</v>
      </c>
      <c r="EC100" s="48">
        <f t="shared" si="1158"/>
        <v>0.80999999999999994</v>
      </c>
      <c r="ED100" s="48">
        <f t="shared" si="1158"/>
        <v>0.78999999999999992</v>
      </c>
      <c r="EE100" s="48">
        <f t="shared" si="1158"/>
        <v>0.76999999999999991</v>
      </c>
      <c r="EF100" s="48">
        <f t="shared" si="1158"/>
        <v>0.74999999999999989</v>
      </c>
      <c r="EG100" s="48">
        <f t="shared" si="1158"/>
        <v>0.72999999999999987</v>
      </c>
      <c r="EH100" s="48">
        <f t="shared" si="1158"/>
        <v>0.70999999999999985</v>
      </c>
      <c r="EI100" s="48">
        <f t="shared" si="1158"/>
        <v>0.68999999999999984</v>
      </c>
      <c r="EJ100" s="48">
        <f t="shared" si="1158"/>
        <v>0.66999999999999982</v>
      </c>
      <c r="EK100" s="48">
        <f t="shared" si="1158"/>
        <v>0.6499999999999998</v>
      </c>
      <c r="EL100" s="48">
        <f t="shared" si="1158"/>
        <v>0.62999999999999978</v>
      </c>
      <c r="EM100" s="48">
        <f t="shared" si="1158"/>
        <v>0.60999999999999976</v>
      </c>
      <c r="EN100" s="48">
        <f t="shared" si="1158"/>
        <v>0.58999999999999975</v>
      </c>
      <c r="EO100" s="48">
        <f t="shared" si="1158"/>
        <v>0.56999999999999973</v>
      </c>
      <c r="EQ100" s="48">
        <f t="shared" si="1128"/>
        <v>0</v>
      </c>
      <c r="ER100" s="48">
        <f t="shared" si="956"/>
        <v>0</v>
      </c>
      <c r="ES100" s="51">
        <f t="shared" ref="ES100" si="1159">+ER100*3.3058</f>
        <v>0</v>
      </c>
      <c r="ET100" s="48">
        <f t="shared" si="1077"/>
        <v>0</v>
      </c>
      <c r="EU100" s="51">
        <f t="shared" si="1078"/>
        <v>0</v>
      </c>
      <c r="EV100" s="48">
        <f t="shared" si="1079"/>
        <v>0</v>
      </c>
      <c r="EW100" s="51">
        <f t="shared" si="1080"/>
        <v>0</v>
      </c>
      <c r="EX100" s="48">
        <f t="shared" si="1081"/>
        <v>0</v>
      </c>
      <c r="EY100" s="51">
        <f t="shared" si="1082"/>
        <v>0</v>
      </c>
      <c r="EZ100" s="52">
        <f t="shared" si="1083"/>
        <v>0</v>
      </c>
      <c r="FA100" s="51">
        <f t="shared" si="1084"/>
        <v>0</v>
      </c>
      <c r="FB100" s="48">
        <f t="shared" si="1085"/>
        <v>0</v>
      </c>
      <c r="FC100" s="51">
        <f t="shared" si="1086"/>
        <v>0</v>
      </c>
      <c r="FD100" s="52">
        <f t="shared" si="1087"/>
        <v>0</v>
      </c>
      <c r="FE100" s="51">
        <f t="shared" si="1088"/>
        <v>0</v>
      </c>
      <c r="FF100" s="53">
        <f t="shared" si="1089"/>
        <v>0</v>
      </c>
      <c r="FG100" s="51">
        <f t="shared" si="1090"/>
        <v>0</v>
      </c>
      <c r="FH100" s="52">
        <f t="shared" si="1091"/>
        <v>0</v>
      </c>
      <c r="FI100" s="51">
        <f t="shared" si="1092"/>
        <v>0</v>
      </c>
      <c r="FJ100" s="48">
        <f t="shared" si="1093"/>
        <v>0</v>
      </c>
      <c r="FK100" s="51">
        <f t="shared" si="1094"/>
        <v>0</v>
      </c>
      <c r="FL100" s="53">
        <f t="shared" si="1095"/>
        <v>0</v>
      </c>
      <c r="FM100" s="51">
        <f t="shared" si="1096"/>
        <v>0</v>
      </c>
      <c r="FN100" s="53">
        <f t="shared" si="1097"/>
        <v>0</v>
      </c>
      <c r="FO100" s="51">
        <f t="shared" si="1098"/>
        <v>0</v>
      </c>
      <c r="FP100" s="53">
        <f t="shared" si="1099"/>
        <v>0</v>
      </c>
      <c r="FQ100" s="51">
        <f t="shared" si="1100"/>
        <v>0</v>
      </c>
      <c r="FR100" s="48">
        <f t="shared" si="1101"/>
        <v>0</v>
      </c>
      <c r="FS100" s="51">
        <f t="shared" si="1102"/>
        <v>0</v>
      </c>
      <c r="FT100" s="53">
        <f t="shared" si="1103"/>
        <v>0</v>
      </c>
      <c r="FU100" s="51">
        <f t="shared" si="1104"/>
        <v>0</v>
      </c>
      <c r="FV100" s="53">
        <f t="shared" si="1105"/>
        <v>0</v>
      </c>
      <c r="FW100" s="51">
        <f t="shared" si="1106"/>
        <v>0</v>
      </c>
      <c r="FX100" s="53">
        <f t="shared" si="1107"/>
        <v>0</v>
      </c>
      <c r="FY100" s="51">
        <f t="shared" si="1108"/>
        <v>0</v>
      </c>
      <c r="FZ100" s="53">
        <f t="shared" si="1109"/>
        <v>0</v>
      </c>
      <c r="GA100" s="51">
        <f t="shared" si="1110"/>
        <v>0</v>
      </c>
      <c r="GB100" s="48">
        <f t="shared" si="1111"/>
        <v>0</v>
      </c>
      <c r="GC100" s="51">
        <f t="shared" si="1112"/>
        <v>0</v>
      </c>
      <c r="GD100" s="53">
        <f t="shared" si="1113"/>
        <v>0</v>
      </c>
      <c r="GE100" s="51">
        <f t="shared" si="1114"/>
        <v>0</v>
      </c>
      <c r="GF100" s="53">
        <f t="shared" si="1115"/>
        <v>0</v>
      </c>
      <c r="GG100" s="51">
        <f t="shared" si="1116"/>
        <v>0</v>
      </c>
      <c r="GH100" s="48">
        <f t="shared" si="1117"/>
        <v>0</v>
      </c>
      <c r="GI100" s="51">
        <f t="shared" si="1118"/>
        <v>0</v>
      </c>
      <c r="GJ100" s="48"/>
      <c r="GK100" s="48"/>
      <c r="GL100" s="48">
        <v>1</v>
      </c>
      <c r="GM100" s="48">
        <v>0.97</v>
      </c>
      <c r="GN100" s="48">
        <v>0.95</v>
      </c>
      <c r="GO100" s="48">
        <v>0.93</v>
      </c>
      <c r="GP100" s="48">
        <f t="shared" ref="GP100:HG100" si="1160">+GO100-0.02</f>
        <v>0.91</v>
      </c>
      <c r="GQ100" s="48">
        <f t="shared" si="1160"/>
        <v>0.89</v>
      </c>
      <c r="GR100" s="48">
        <f t="shared" si="1160"/>
        <v>0.87</v>
      </c>
      <c r="GS100" s="48">
        <f t="shared" si="1160"/>
        <v>0.85</v>
      </c>
      <c r="GT100" s="48">
        <f t="shared" si="1160"/>
        <v>0.83</v>
      </c>
      <c r="GU100" s="48">
        <f t="shared" si="1160"/>
        <v>0.80999999999999994</v>
      </c>
      <c r="GV100" s="48">
        <f t="shared" si="1160"/>
        <v>0.78999999999999992</v>
      </c>
      <c r="GW100" s="48">
        <f t="shared" si="1160"/>
        <v>0.76999999999999991</v>
      </c>
      <c r="GX100" s="48">
        <f t="shared" si="1160"/>
        <v>0.74999999999999989</v>
      </c>
      <c r="GY100" s="48">
        <f t="shared" si="1160"/>
        <v>0.72999999999999987</v>
      </c>
      <c r="GZ100" s="48">
        <f t="shared" si="1160"/>
        <v>0.70999999999999985</v>
      </c>
      <c r="HA100" s="48">
        <f t="shared" si="1160"/>
        <v>0.68999999999999984</v>
      </c>
      <c r="HB100" s="48">
        <f t="shared" si="1160"/>
        <v>0.66999999999999982</v>
      </c>
      <c r="HC100" s="48">
        <f t="shared" si="1160"/>
        <v>0.6499999999999998</v>
      </c>
      <c r="HD100" s="48">
        <f t="shared" si="1160"/>
        <v>0.62999999999999978</v>
      </c>
      <c r="HE100" s="48">
        <f t="shared" si="1160"/>
        <v>0.60999999999999976</v>
      </c>
      <c r="HF100" s="48">
        <f t="shared" si="1160"/>
        <v>0.58999999999999975</v>
      </c>
      <c r="HG100" s="48">
        <f t="shared" si="1160"/>
        <v>0.56999999999999973</v>
      </c>
    </row>
    <row r="101" spans="1:215" x14ac:dyDescent="0.3">
      <c r="A101" s="2">
        <v>10</v>
      </c>
      <c r="C101" s="29" t="s">
        <v>169</v>
      </c>
      <c r="D101" s="44">
        <v>0</v>
      </c>
      <c r="E101" s="73">
        <f t="shared" si="988"/>
        <v>0</v>
      </c>
      <c r="G101" s="48">
        <f t="shared" si="948"/>
        <v>0</v>
      </c>
      <c r="H101" s="48">
        <f t="shared" si="949"/>
        <v>0</v>
      </c>
      <c r="I101" s="51">
        <f t="shared" si="950"/>
        <v>0</v>
      </c>
      <c r="J101" s="48">
        <f t="shared" si="989"/>
        <v>0</v>
      </c>
      <c r="K101" s="51">
        <f t="shared" si="990"/>
        <v>0</v>
      </c>
      <c r="L101" s="48">
        <f t="shared" si="991"/>
        <v>0</v>
      </c>
      <c r="M101" s="51">
        <f t="shared" si="992"/>
        <v>0</v>
      </c>
      <c r="N101" s="48">
        <f t="shared" si="993"/>
        <v>0</v>
      </c>
      <c r="O101" s="51">
        <f t="shared" si="994"/>
        <v>0</v>
      </c>
      <c r="P101" s="52">
        <f t="shared" si="995"/>
        <v>0</v>
      </c>
      <c r="Q101" s="51">
        <f t="shared" si="996"/>
        <v>0</v>
      </c>
      <c r="R101" s="48">
        <f t="shared" si="997"/>
        <v>0</v>
      </c>
      <c r="S101" s="51">
        <f t="shared" si="998"/>
        <v>0</v>
      </c>
      <c r="T101" s="52">
        <f t="shared" si="999"/>
        <v>0</v>
      </c>
      <c r="U101" s="51">
        <f t="shared" si="1000"/>
        <v>0</v>
      </c>
      <c r="V101" s="53">
        <f t="shared" si="1001"/>
        <v>0</v>
      </c>
      <c r="W101" s="51">
        <f t="shared" si="1002"/>
        <v>0</v>
      </c>
      <c r="X101" s="52">
        <f t="shared" si="1003"/>
        <v>0</v>
      </c>
      <c r="Y101" s="51">
        <f t="shared" si="1004"/>
        <v>0</v>
      </c>
      <c r="Z101" s="48">
        <f t="shared" si="1005"/>
        <v>0</v>
      </c>
      <c r="AA101" s="51">
        <f t="shared" si="1006"/>
        <v>0</v>
      </c>
      <c r="AB101" s="53">
        <f t="shared" si="1007"/>
        <v>0</v>
      </c>
      <c r="AC101" s="51">
        <f t="shared" si="1008"/>
        <v>0</v>
      </c>
      <c r="AD101" s="53">
        <f t="shared" si="1009"/>
        <v>0</v>
      </c>
      <c r="AE101" s="51">
        <f t="shared" si="1010"/>
        <v>0</v>
      </c>
      <c r="AF101" s="53">
        <f t="shared" si="1011"/>
        <v>0</v>
      </c>
      <c r="AG101" s="51">
        <f t="shared" si="1012"/>
        <v>0</v>
      </c>
      <c r="AH101" s="48">
        <f t="shared" si="1013"/>
        <v>0</v>
      </c>
      <c r="AI101" s="51">
        <f t="shared" si="1014"/>
        <v>0</v>
      </c>
      <c r="AJ101" s="53">
        <f t="shared" si="1015"/>
        <v>0</v>
      </c>
      <c r="AK101" s="51">
        <f t="shared" si="1016"/>
        <v>0</v>
      </c>
      <c r="AL101" s="53">
        <f t="shared" si="1017"/>
        <v>0</v>
      </c>
      <c r="AM101" s="51">
        <f t="shared" si="1018"/>
        <v>0</v>
      </c>
      <c r="AN101" s="53">
        <f t="shared" si="1019"/>
        <v>0</v>
      </c>
      <c r="AO101" s="51">
        <f t="shared" si="1020"/>
        <v>0</v>
      </c>
      <c r="AP101" s="53">
        <f t="shared" si="1021"/>
        <v>0</v>
      </c>
      <c r="AQ101" s="51">
        <f t="shared" si="1022"/>
        <v>0</v>
      </c>
      <c r="AR101" s="48">
        <f t="shared" si="1023"/>
        <v>0</v>
      </c>
      <c r="AS101" s="51">
        <f t="shared" si="1024"/>
        <v>0</v>
      </c>
      <c r="AT101" s="53">
        <f t="shared" si="1025"/>
        <v>0</v>
      </c>
      <c r="AU101" s="51">
        <f t="shared" si="1026"/>
        <v>0</v>
      </c>
      <c r="AV101" s="53">
        <f t="shared" si="1027"/>
        <v>0</v>
      </c>
      <c r="AW101" s="51">
        <f t="shared" si="1028"/>
        <v>0</v>
      </c>
      <c r="AX101" s="48">
        <f t="shared" si="1029"/>
        <v>0</v>
      </c>
      <c r="AY101" s="51">
        <f t="shared" si="1030"/>
        <v>0</v>
      </c>
      <c r="BB101" s="48">
        <v>1</v>
      </c>
      <c r="BC101" s="48">
        <v>0.97</v>
      </c>
      <c r="BD101" s="48">
        <v>0.95</v>
      </c>
      <c r="BE101" s="48">
        <v>0.93</v>
      </c>
      <c r="BF101" s="48">
        <f t="shared" ref="BF101:BW101" si="1161">+BE101-0.02</f>
        <v>0.91</v>
      </c>
      <c r="BG101" s="48">
        <f t="shared" si="1161"/>
        <v>0.89</v>
      </c>
      <c r="BH101" s="48">
        <f t="shared" si="1161"/>
        <v>0.87</v>
      </c>
      <c r="BI101" s="48">
        <f t="shared" si="1161"/>
        <v>0.85</v>
      </c>
      <c r="BJ101" s="48">
        <f t="shared" si="1161"/>
        <v>0.83</v>
      </c>
      <c r="BK101" s="48">
        <f t="shared" si="1161"/>
        <v>0.80999999999999994</v>
      </c>
      <c r="BL101" s="48">
        <f t="shared" si="1161"/>
        <v>0.78999999999999992</v>
      </c>
      <c r="BM101" s="48">
        <f t="shared" si="1161"/>
        <v>0.76999999999999991</v>
      </c>
      <c r="BN101" s="48">
        <f t="shared" si="1161"/>
        <v>0.74999999999999989</v>
      </c>
      <c r="BO101" s="48">
        <f t="shared" si="1161"/>
        <v>0.72999999999999987</v>
      </c>
      <c r="BP101" s="48">
        <f t="shared" si="1161"/>
        <v>0.70999999999999985</v>
      </c>
      <c r="BQ101" s="48">
        <f t="shared" si="1161"/>
        <v>0.68999999999999984</v>
      </c>
      <c r="BR101" s="48">
        <f t="shared" si="1161"/>
        <v>0.66999999999999982</v>
      </c>
      <c r="BS101" s="48">
        <f t="shared" si="1161"/>
        <v>0.6499999999999998</v>
      </c>
      <c r="BT101" s="48">
        <f t="shared" si="1161"/>
        <v>0.62999999999999978</v>
      </c>
      <c r="BU101" s="48">
        <f t="shared" si="1161"/>
        <v>0.60999999999999976</v>
      </c>
      <c r="BV101" s="48">
        <f t="shared" si="1161"/>
        <v>0.58999999999999975</v>
      </c>
      <c r="BW101" s="48">
        <f t="shared" si="1161"/>
        <v>0.56999999999999973</v>
      </c>
      <c r="BY101" s="48">
        <f t="shared" si="952"/>
        <v>0</v>
      </c>
      <c r="BZ101" s="48">
        <f t="shared" si="953"/>
        <v>0</v>
      </c>
      <c r="CA101" s="51">
        <f t="shared" ref="CA101" si="1162">+BZ101*3.3058</f>
        <v>0</v>
      </c>
      <c r="CB101" s="48">
        <f t="shared" si="1033"/>
        <v>0</v>
      </c>
      <c r="CC101" s="51">
        <f t="shared" si="1034"/>
        <v>0</v>
      </c>
      <c r="CD101" s="48">
        <f t="shared" si="1035"/>
        <v>0</v>
      </c>
      <c r="CE101" s="51">
        <f t="shared" si="1036"/>
        <v>0</v>
      </c>
      <c r="CF101" s="48">
        <f t="shared" si="1037"/>
        <v>0</v>
      </c>
      <c r="CG101" s="51">
        <f t="shared" si="1038"/>
        <v>0</v>
      </c>
      <c r="CH101" s="52">
        <f t="shared" si="1039"/>
        <v>0</v>
      </c>
      <c r="CI101" s="51">
        <f t="shared" si="1040"/>
        <v>0</v>
      </c>
      <c r="CJ101" s="48">
        <f t="shared" si="1041"/>
        <v>0</v>
      </c>
      <c r="CK101" s="51">
        <f t="shared" si="1042"/>
        <v>0</v>
      </c>
      <c r="CL101" s="52">
        <f t="shared" si="1043"/>
        <v>0</v>
      </c>
      <c r="CM101" s="51">
        <f t="shared" si="1044"/>
        <v>0</v>
      </c>
      <c r="CN101" s="53">
        <f t="shared" si="1045"/>
        <v>0</v>
      </c>
      <c r="CO101" s="51">
        <f t="shared" si="1046"/>
        <v>0</v>
      </c>
      <c r="CP101" s="52">
        <f t="shared" si="1047"/>
        <v>0</v>
      </c>
      <c r="CQ101" s="51">
        <f t="shared" si="1048"/>
        <v>0</v>
      </c>
      <c r="CR101" s="48">
        <f t="shared" si="1049"/>
        <v>0</v>
      </c>
      <c r="CS101" s="51">
        <f t="shared" si="1050"/>
        <v>0</v>
      </c>
      <c r="CT101" s="53">
        <f t="shared" si="1051"/>
        <v>0</v>
      </c>
      <c r="CU101" s="51">
        <f t="shared" si="1052"/>
        <v>0</v>
      </c>
      <c r="CV101" s="53">
        <f t="shared" si="1053"/>
        <v>0</v>
      </c>
      <c r="CW101" s="51">
        <f t="shared" si="1054"/>
        <v>0</v>
      </c>
      <c r="CX101" s="53">
        <f t="shared" si="1055"/>
        <v>0</v>
      </c>
      <c r="CY101" s="51">
        <f t="shared" si="1056"/>
        <v>0</v>
      </c>
      <c r="CZ101" s="48">
        <f t="shared" si="1057"/>
        <v>0</v>
      </c>
      <c r="DA101" s="51">
        <f t="shared" si="1058"/>
        <v>0</v>
      </c>
      <c r="DB101" s="53">
        <f t="shared" si="1059"/>
        <v>0</v>
      </c>
      <c r="DC101" s="51">
        <f t="shared" si="1060"/>
        <v>0</v>
      </c>
      <c r="DD101" s="53">
        <f t="shared" si="1061"/>
        <v>0</v>
      </c>
      <c r="DE101" s="51">
        <f t="shared" si="1062"/>
        <v>0</v>
      </c>
      <c r="DF101" s="53">
        <f t="shared" si="1063"/>
        <v>0</v>
      </c>
      <c r="DG101" s="51">
        <f t="shared" si="1064"/>
        <v>0</v>
      </c>
      <c r="DH101" s="53">
        <f t="shared" si="1065"/>
        <v>0</v>
      </c>
      <c r="DI101" s="51">
        <f t="shared" si="1066"/>
        <v>0</v>
      </c>
      <c r="DJ101" s="48">
        <f t="shared" si="1067"/>
        <v>0</v>
      </c>
      <c r="DK101" s="51">
        <f t="shared" si="1068"/>
        <v>0</v>
      </c>
      <c r="DL101" s="53">
        <f t="shared" si="1069"/>
        <v>0</v>
      </c>
      <c r="DM101" s="51">
        <f t="shared" si="1070"/>
        <v>0</v>
      </c>
      <c r="DN101" s="53">
        <f t="shared" si="1071"/>
        <v>0</v>
      </c>
      <c r="DO101" s="51">
        <f t="shared" si="1072"/>
        <v>0</v>
      </c>
      <c r="DP101" s="48">
        <f t="shared" si="1073"/>
        <v>0</v>
      </c>
      <c r="DQ101" s="51">
        <f t="shared" si="1074"/>
        <v>0</v>
      </c>
      <c r="DT101" s="48">
        <v>1</v>
      </c>
      <c r="DU101" s="48">
        <v>0.97</v>
      </c>
      <c r="DV101" s="48">
        <v>0.95</v>
      </c>
      <c r="DW101" s="48">
        <v>0.93</v>
      </c>
      <c r="DX101" s="48">
        <f t="shared" ref="DX101:EO101" si="1163">+DW101-0.02</f>
        <v>0.91</v>
      </c>
      <c r="DY101" s="48">
        <f t="shared" si="1163"/>
        <v>0.89</v>
      </c>
      <c r="DZ101" s="48">
        <f t="shared" si="1163"/>
        <v>0.87</v>
      </c>
      <c r="EA101" s="48">
        <f t="shared" si="1163"/>
        <v>0.85</v>
      </c>
      <c r="EB101" s="48">
        <f t="shared" si="1163"/>
        <v>0.83</v>
      </c>
      <c r="EC101" s="48">
        <f t="shared" si="1163"/>
        <v>0.80999999999999994</v>
      </c>
      <c r="ED101" s="48">
        <f t="shared" si="1163"/>
        <v>0.78999999999999992</v>
      </c>
      <c r="EE101" s="48">
        <f t="shared" si="1163"/>
        <v>0.76999999999999991</v>
      </c>
      <c r="EF101" s="48">
        <f t="shared" si="1163"/>
        <v>0.74999999999999989</v>
      </c>
      <c r="EG101" s="48">
        <f t="shared" si="1163"/>
        <v>0.72999999999999987</v>
      </c>
      <c r="EH101" s="48">
        <f t="shared" si="1163"/>
        <v>0.70999999999999985</v>
      </c>
      <c r="EI101" s="48">
        <f t="shared" si="1163"/>
        <v>0.68999999999999984</v>
      </c>
      <c r="EJ101" s="48">
        <f t="shared" si="1163"/>
        <v>0.66999999999999982</v>
      </c>
      <c r="EK101" s="48">
        <f t="shared" si="1163"/>
        <v>0.6499999999999998</v>
      </c>
      <c r="EL101" s="48">
        <f t="shared" si="1163"/>
        <v>0.62999999999999978</v>
      </c>
      <c r="EM101" s="48">
        <f t="shared" si="1163"/>
        <v>0.60999999999999976</v>
      </c>
      <c r="EN101" s="48">
        <f t="shared" si="1163"/>
        <v>0.58999999999999975</v>
      </c>
      <c r="EO101" s="48">
        <f t="shared" si="1163"/>
        <v>0.56999999999999973</v>
      </c>
      <c r="EQ101" s="48">
        <f t="shared" si="1128"/>
        <v>0</v>
      </c>
      <c r="ER101" s="48">
        <f t="shared" si="956"/>
        <v>0</v>
      </c>
      <c r="ES101" s="51">
        <f t="shared" ref="ES101" si="1164">+ER101*3.3058</f>
        <v>0</v>
      </c>
      <c r="ET101" s="48">
        <f t="shared" si="1077"/>
        <v>0</v>
      </c>
      <c r="EU101" s="51">
        <f t="shared" si="1078"/>
        <v>0</v>
      </c>
      <c r="EV101" s="48">
        <f t="shared" si="1079"/>
        <v>0</v>
      </c>
      <c r="EW101" s="51">
        <f t="shared" si="1080"/>
        <v>0</v>
      </c>
      <c r="EX101" s="48">
        <f t="shared" si="1081"/>
        <v>0</v>
      </c>
      <c r="EY101" s="51">
        <f t="shared" si="1082"/>
        <v>0</v>
      </c>
      <c r="EZ101" s="52">
        <f t="shared" si="1083"/>
        <v>0</v>
      </c>
      <c r="FA101" s="51">
        <f t="shared" si="1084"/>
        <v>0</v>
      </c>
      <c r="FB101" s="48">
        <f t="shared" si="1085"/>
        <v>0</v>
      </c>
      <c r="FC101" s="51">
        <f t="shared" si="1086"/>
        <v>0</v>
      </c>
      <c r="FD101" s="52">
        <f t="shared" si="1087"/>
        <v>0</v>
      </c>
      <c r="FE101" s="51">
        <f t="shared" si="1088"/>
        <v>0</v>
      </c>
      <c r="FF101" s="53">
        <f t="shared" si="1089"/>
        <v>0</v>
      </c>
      <c r="FG101" s="51">
        <f t="shared" si="1090"/>
        <v>0</v>
      </c>
      <c r="FH101" s="52">
        <f t="shared" si="1091"/>
        <v>0</v>
      </c>
      <c r="FI101" s="51">
        <f t="shared" si="1092"/>
        <v>0</v>
      </c>
      <c r="FJ101" s="48">
        <f t="shared" si="1093"/>
        <v>0</v>
      </c>
      <c r="FK101" s="51">
        <f t="shared" si="1094"/>
        <v>0</v>
      </c>
      <c r="FL101" s="53">
        <f t="shared" si="1095"/>
        <v>0</v>
      </c>
      <c r="FM101" s="51">
        <f t="shared" si="1096"/>
        <v>0</v>
      </c>
      <c r="FN101" s="53">
        <f t="shared" si="1097"/>
        <v>0</v>
      </c>
      <c r="FO101" s="51">
        <f t="shared" si="1098"/>
        <v>0</v>
      </c>
      <c r="FP101" s="53">
        <f t="shared" si="1099"/>
        <v>0</v>
      </c>
      <c r="FQ101" s="51">
        <f t="shared" si="1100"/>
        <v>0</v>
      </c>
      <c r="FR101" s="48">
        <f t="shared" si="1101"/>
        <v>0</v>
      </c>
      <c r="FS101" s="51">
        <f t="shared" si="1102"/>
        <v>0</v>
      </c>
      <c r="FT101" s="53">
        <f t="shared" si="1103"/>
        <v>0</v>
      </c>
      <c r="FU101" s="51">
        <f t="shared" si="1104"/>
        <v>0</v>
      </c>
      <c r="FV101" s="53">
        <f t="shared" si="1105"/>
        <v>0</v>
      </c>
      <c r="FW101" s="51">
        <f t="shared" si="1106"/>
        <v>0</v>
      </c>
      <c r="FX101" s="53">
        <f t="shared" si="1107"/>
        <v>0</v>
      </c>
      <c r="FY101" s="51">
        <f t="shared" si="1108"/>
        <v>0</v>
      </c>
      <c r="FZ101" s="53">
        <f t="shared" si="1109"/>
        <v>0</v>
      </c>
      <c r="GA101" s="51">
        <f t="shared" si="1110"/>
        <v>0</v>
      </c>
      <c r="GB101" s="48">
        <f t="shared" si="1111"/>
        <v>0</v>
      </c>
      <c r="GC101" s="51">
        <f t="shared" si="1112"/>
        <v>0</v>
      </c>
      <c r="GD101" s="53">
        <f t="shared" si="1113"/>
        <v>0</v>
      </c>
      <c r="GE101" s="51">
        <f t="shared" si="1114"/>
        <v>0</v>
      </c>
      <c r="GF101" s="53">
        <f t="shared" si="1115"/>
        <v>0</v>
      </c>
      <c r="GG101" s="51">
        <f t="shared" si="1116"/>
        <v>0</v>
      </c>
      <c r="GH101" s="48">
        <f t="shared" si="1117"/>
        <v>0</v>
      </c>
      <c r="GI101" s="51">
        <f t="shared" si="1118"/>
        <v>0</v>
      </c>
      <c r="GJ101" s="48"/>
      <c r="GK101" s="48"/>
      <c r="GL101" s="48">
        <v>1</v>
      </c>
      <c r="GM101" s="48">
        <v>0.97</v>
      </c>
      <c r="GN101" s="48">
        <v>0.95</v>
      </c>
      <c r="GO101" s="48">
        <v>0.93</v>
      </c>
      <c r="GP101" s="48">
        <f t="shared" ref="GP101:HG101" si="1165">+GO101-0.02</f>
        <v>0.91</v>
      </c>
      <c r="GQ101" s="48">
        <f t="shared" si="1165"/>
        <v>0.89</v>
      </c>
      <c r="GR101" s="48">
        <f t="shared" si="1165"/>
        <v>0.87</v>
      </c>
      <c r="GS101" s="48">
        <f t="shared" si="1165"/>
        <v>0.85</v>
      </c>
      <c r="GT101" s="48">
        <f t="shared" si="1165"/>
        <v>0.83</v>
      </c>
      <c r="GU101" s="48">
        <f t="shared" si="1165"/>
        <v>0.80999999999999994</v>
      </c>
      <c r="GV101" s="48">
        <f t="shared" si="1165"/>
        <v>0.78999999999999992</v>
      </c>
      <c r="GW101" s="48">
        <f t="shared" si="1165"/>
        <v>0.76999999999999991</v>
      </c>
      <c r="GX101" s="48">
        <f t="shared" si="1165"/>
        <v>0.74999999999999989</v>
      </c>
      <c r="GY101" s="48">
        <f t="shared" si="1165"/>
        <v>0.72999999999999987</v>
      </c>
      <c r="GZ101" s="48">
        <f t="shared" si="1165"/>
        <v>0.70999999999999985</v>
      </c>
      <c r="HA101" s="48">
        <f t="shared" si="1165"/>
        <v>0.68999999999999984</v>
      </c>
      <c r="HB101" s="48">
        <f t="shared" si="1165"/>
        <v>0.66999999999999982</v>
      </c>
      <c r="HC101" s="48">
        <f t="shared" si="1165"/>
        <v>0.6499999999999998</v>
      </c>
      <c r="HD101" s="48">
        <f t="shared" si="1165"/>
        <v>0.62999999999999978</v>
      </c>
      <c r="HE101" s="48">
        <f t="shared" si="1165"/>
        <v>0.60999999999999976</v>
      </c>
      <c r="HF101" s="48">
        <f t="shared" si="1165"/>
        <v>0.58999999999999975</v>
      </c>
      <c r="HG101" s="48">
        <f t="shared" si="1165"/>
        <v>0.56999999999999973</v>
      </c>
    </row>
    <row r="102" spans="1:215" x14ac:dyDescent="0.3">
      <c r="A102" s="2">
        <v>11</v>
      </c>
      <c r="C102" s="29" t="s">
        <v>170</v>
      </c>
      <c r="D102" s="44">
        <v>0</v>
      </c>
      <c r="E102" s="73">
        <f t="shared" si="988"/>
        <v>0</v>
      </c>
      <c r="G102" s="48">
        <f t="shared" si="948"/>
        <v>0</v>
      </c>
      <c r="H102" s="48">
        <f t="shared" si="949"/>
        <v>0</v>
      </c>
      <c r="I102" s="51">
        <f t="shared" si="950"/>
        <v>0</v>
      </c>
      <c r="J102" s="48">
        <f t="shared" si="989"/>
        <v>0</v>
      </c>
      <c r="K102" s="51">
        <f t="shared" si="990"/>
        <v>0</v>
      </c>
      <c r="L102" s="48">
        <f t="shared" si="991"/>
        <v>0</v>
      </c>
      <c r="M102" s="51">
        <f t="shared" si="992"/>
        <v>0</v>
      </c>
      <c r="N102" s="48">
        <f t="shared" si="993"/>
        <v>0</v>
      </c>
      <c r="O102" s="51">
        <f t="shared" si="994"/>
        <v>0</v>
      </c>
      <c r="P102" s="52">
        <f t="shared" si="995"/>
        <v>0</v>
      </c>
      <c r="Q102" s="51">
        <f t="shared" si="996"/>
        <v>0</v>
      </c>
      <c r="R102" s="48">
        <f t="shared" si="997"/>
        <v>0</v>
      </c>
      <c r="S102" s="51">
        <f t="shared" si="998"/>
        <v>0</v>
      </c>
      <c r="T102" s="52">
        <f t="shared" si="999"/>
        <v>0</v>
      </c>
      <c r="U102" s="51">
        <f t="shared" si="1000"/>
        <v>0</v>
      </c>
      <c r="V102" s="53">
        <f t="shared" si="1001"/>
        <v>0</v>
      </c>
      <c r="W102" s="51">
        <f t="shared" si="1002"/>
        <v>0</v>
      </c>
      <c r="X102" s="52">
        <f t="shared" si="1003"/>
        <v>0</v>
      </c>
      <c r="Y102" s="51">
        <f t="shared" si="1004"/>
        <v>0</v>
      </c>
      <c r="Z102" s="48">
        <f t="shared" si="1005"/>
        <v>0</v>
      </c>
      <c r="AA102" s="51">
        <f t="shared" si="1006"/>
        <v>0</v>
      </c>
      <c r="AB102" s="53">
        <f t="shared" si="1007"/>
        <v>0</v>
      </c>
      <c r="AC102" s="51">
        <f t="shared" si="1008"/>
        <v>0</v>
      </c>
      <c r="AD102" s="53">
        <f t="shared" si="1009"/>
        <v>0</v>
      </c>
      <c r="AE102" s="51">
        <f t="shared" si="1010"/>
        <v>0</v>
      </c>
      <c r="AF102" s="53">
        <f t="shared" si="1011"/>
        <v>0</v>
      </c>
      <c r="AG102" s="51">
        <f t="shared" si="1012"/>
        <v>0</v>
      </c>
      <c r="AH102" s="48">
        <f t="shared" si="1013"/>
        <v>0</v>
      </c>
      <c r="AI102" s="51">
        <f t="shared" si="1014"/>
        <v>0</v>
      </c>
      <c r="AJ102" s="53">
        <f t="shared" si="1015"/>
        <v>0</v>
      </c>
      <c r="AK102" s="51">
        <f t="shared" si="1016"/>
        <v>0</v>
      </c>
      <c r="AL102" s="53">
        <f t="shared" si="1017"/>
        <v>0</v>
      </c>
      <c r="AM102" s="51">
        <f t="shared" si="1018"/>
        <v>0</v>
      </c>
      <c r="AN102" s="53">
        <f t="shared" si="1019"/>
        <v>0</v>
      </c>
      <c r="AO102" s="51">
        <f t="shared" si="1020"/>
        <v>0</v>
      </c>
      <c r="AP102" s="53">
        <f t="shared" si="1021"/>
        <v>0</v>
      </c>
      <c r="AQ102" s="51">
        <f t="shared" si="1022"/>
        <v>0</v>
      </c>
      <c r="AR102" s="48">
        <f t="shared" si="1023"/>
        <v>0</v>
      </c>
      <c r="AS102" s="51">
        <f t="shared" si="1024"/>
        <v>0</v>
      </c>
      <c r="AT102" s="53">
        <f t="shared" si="1025"/>
        <v>0</v>
      </c>
      <c r="AU102" s="51">
        <f t="shared" si="1026"/>
        <v>0</v>
      </c>
      <c r="AV102" s="53">
        <f t="shared" si="1027"/>
        <v>0</v>
      </c>
      <c r="AW102" s="51">
        <f t="shared" si="1028"/>
        <v>0</v>
      </c>
      <c r="AX102" s="48">
        <f t="shared" si="1029"/>
        <v>0</v>
      </c>
      <c r="AY102" s="51">
        <f t="shared" si="1030"/>
        <v>0</v>
      </c>
      <c r="BB102" s="48">
        <v>1</v>
      </c>
      <c r="BC102" s="48">
        <v>0.97</v>
      </c>
      <c r="BD102" s="48">
        <v>0.95</v>
      </c>
      <c r="BE102" s="48">
        <v>0.93</v>
      </c>
      <c r="BF102" s="48">
        <f t="shared" ref="BF102:BW102" si="1166">+BE102-0.02</f>
        <v>0.91</v>
      </c>
      <c r="BG102" s="48">
        <f t="shared" si="1166"/>
        <v>0.89</v>
      </c>
      <c r="BH102" s="48">
        <f t="shared" si="1166"/>
        <v>0.87</v>
      </c>
      <c r="BI102" s="48">
        <f t="shared" si="1166"/>
        <v>0.85</v>
      </c>
      <c r="BJ102" s="48">
        <f t="shared" si="1166"/>
        <v>0.83</v>
      </c>
      <c r="BK102" s="48">
        <f t="shared" si="1166"/>
        <v>0.80999999999999994</v>
      </c>
      <c r="BL102" s="48">
        <f t="shared" si="1166"/>
        <v>0.78999999999999992</v>
      </c>
      <c r="BM102" s="48">
        <f t="shared" si="1166"/>
        <v>0.76999999999999991</v>
      </c>
      <c r="BN102" s="48">
        <f t="shared" si="1166"/>
        <v>0.74999999999999989</v>
      </c>
      <c r="BO102" s="48">
        <f t="shared" si="1166"/>
        <v>0.72999999999999987</v>
      </c>
      <c r="BP102" s="48">
        <f t="shared" si="1166"/>
        <v>0.70999999999999985</v>
      </c>
      <c r="BQ102" s="48">
        <f t="shared" si="1166"/>
        <v>0.68999999999999984</v>
      </c>
      <c r="BR102" s="48">
        <f t="shared" si="1166"/>
        <v>0.66999999999999982</v>
      </c>
      <c r="BS102" s="48">
        <f t="shared" si="1166"/>
        <v>0.6499999999999998</v>
      </c>
      <c r="BT102" s="48">
        <f t="shared" si="1166"/>
        <v>0.62999999999999978</v>
      </c>
      <c r="BU102" s="48">
        <f t="shared" si="1166"/>
        <v>0.60999999999999976</v>
      </c>
      <c r="BV102" s="48">
        <f t="shared" si="1166"/>
        <v>0.58999999999999975</v>
      </c>
      <c r="BW102" s="48">
        <f t="shared" si="1166"/>
        <v>0.56999999999999973</v>
      </c>
      <c r="BY102" s="48">
        <f t="shared" si="952"/>
        <v>0</v>
      </c>
      <c r="BZ102" s="48">
        <f t="shared" si="953"/>
        <v>0</v>
      </c>
      <c r="CA102" s="51">
        <f t="shared" ref="CA102" si="1167">+BZ102*3.3058</f>
        <v>0</v>
      </c>
      <c r="CB102" s="48">
        <f t="shared" si="1033"/>
        <v>0</v>
      </c>
      <c r="CC102" s="51">
        <f t="shared" si="1034"/>
        <v>0</v>
      </c>
      <c r="CD102" s="48">
        <f t="shared" si="1035"/>
        <v>0</v>
      </c>
      <c r="CE102" s="51">
        <f t="shared" si="1036"/>
        <v>0</v>
      </c>
      <c r="CF102" s="48">
        <f t="shared" si="1037"/>
        <v>0</v>
      </c>
      <c r="CG102" s="51">
        <f t="shared" si="1038"/>
        <v>0</v>
      </c>
      <c r="CH102" s="52">
        <f t="shared" si="1039"/>
        <v>0</v>
      </c>
      <c r="CI102" s="51">
        <f t="shared" si="1040"/>
        <v>0</v>
      </c>
      <c r="CJ102" s="48">
        <f t="shared" si="1041"/>
        <v>0</v>
      </c>
      <c r="CK102" s="51">
        <f t="shared" si="1042"/>
        <v>0</v>
      </c>
      <c r="CL102" s="52">
        <f t="shared" si="1043"/>
        <v>0</v>
      </c>
      <c r="CM102" s="51">
        <f t="shared" si="1044"/>
        <v>0</v>
      </c>
      <c r="CN102" s="53">
        <f t="shared" si="1045"/>
        <v>0</v>
      </c>
      <c r="CO102" s="51">
        <f t="shared" si="1046"/>
        <v>0</v>
      </c>
      <c r="CP102" s="52">
        <f t="shared" si="1047"/>
        <v>0</v>
      </c>
      <c r="CQ102" s="51">
        <f t="shared" si="1048"/>
        <v>0</v>
      </c>
      <c r="CR102" s="48">
        <f t="shared" si="1049"/>
        <v>0</v>
      </c>
      <c r="CS102" s="51">
        <f t="shared" si="1050"/>
        <v>0</v>
      </c>
      <c r="CT102" s="53">
        <f t="shared" si="1051"/>
        <v>0</v>
      </c>
      <c r="CU102" s="51">
        <f t="shared" si="1052"/>
        <v>0</v>
      </c>
      <c r="CV102" s="53">
        <f t="shared" si="1053"/>
        <v>0</v>
      </c>
      <c r="CW102" s="51">
        <f t="shared" si="1054"/>
        <v>0</v>
      </c>
      <c r="CX102" s="53">
        <f t="shared" si="1055"/>
        <v>0</v>
      </c>
      <c r="CY102" s="51">
        <f t="shared" si="1056"/>
        <v>0</v>
      </c>
      <c r="CZ102" s="48">
        <f t="shared" si="1057"/>
        <v>0</v>
      </c>
      <c r="DA102" s="51">
        <f t="shared" si="1058"/>
        <v>0</v>
      </c>
      <c r="DB102" s="53">
        <f t="shared" si="1059"/>
        <v>0</v>
      </c>
      <c r="DC102" s="51">
        <f t="shared" si="1060"/>
        <v>0</v>
      </c>
      <c r="DD102" s="53">
        <f t="shared" si="1061"/>
        <v>0</v>
      </c>
      <c r="DE102" s="51">
        <f t="shared" si="1062"/>
        <v>0</v>
      </c>
      <c r="DF102" s="53">
        <f t="shared" si="1063"/>
        <v>0</v>
      </c>
      <c r="DG102" s="51">
        <f t="shared" si="1064"/>
        <v>0</v>
      </c>
      <c r="DH102" s="53">
        <f t="shared" si="1065"/>
        <v>0</v>
      </c>
      <c r="DI102" s="51">
        <f t="shared" si="1066"/>
        <v>0</v>
      </c>
      <c r="DJ102" s="48">
        <f t="shared" si="1067"/>
        <v>0</v>
      </c>
      <c r="DK102" s="51">
        <f t="shared" si="1068"/>
        <v>0</v>
      </c>
      <c r="DL102" s="53">
        <f t="shared" si="1069"/>
        <v>0</v>
      </c>
      <c r="DM102" s="51">
        <f t="shared" si="1070"/>
        <v>0</v>
      </c>
      <c r="DN102" s="53">
        <f t="shared" si="1071"/>
        <v>0</v>
      </c>
      <c r="DO102" s="51">
        <f t="shared" si="1072"/>
        <v>0</v>
      </c>
      <c r="DP102" s="48">
        <f t="shared" si="1073"/>
        <v>0</v>
      </c>
      <c r="DQ102" s="51">
        <f t="shared" si="1074"/>
        <v>0</v>
      </c>
      <c r="DT102" s="48">
        <v>1</v>
      </c>
      <c r="DU102" s="48">
        <v>0.97</v>
      </c>
      <c r="DV102" s="48">
        <v>0.95</v>
      </c>
      <c r="DW102" s="48">
        <v>0.93</v>
      </c>
      <c r="DX102" s="48">
        <f t="shared" ref="DX102:EO102" si="1168">+DW102-0.02</f>
        <v>0.91</v>
      </c>
      <c r="DY102" s="48">
        <f t="shared" si="1168"/>
        <v>0.89</v>
      </c>
      <c r="DZ102" s="48">
        <f t="shared" si="1168"/>
        <v>0.87</v>
      </c>
      <c r="EA102" s="48">
        <f t="shared" si="1168"/>
        <v>0.85</v>
      </c>
      <c r="EB102" s="48">
        <f t="shared" si="1168"/>
        <v>0.83</v>
      </c>
      <c r="EC102" s="48">
        <f t="shared" si="1168"/>
        <v>0.80999999999999994</v>
      </c>
      <c r="ED102" s="48">
        <f t="shared" si="1168"/>
        <v>0.78999999999999992</v>
      </c>
      <c r="EE102" s="48">
        <f t="shared" si="1168"/>
        <v>0.76999999999999991</v>
      </c>
      <c r="EF102" s="48">
        <f t="shared" si="1168"/>
        <v>0.74999999999999989</v>
      </c>
      <c r="EG102" s="48">
        <f t="shared" si="1168"/>
        <v>0.72999999999999987</v>
      </c>
      <c r="EH102" s="48">
        <f t="shared" si="1168"/>
        <v>0.70999999999999985</v>
      </c>
      <c r="EI102" s="48">
        <f t="shared" si="1168"/>
        <v>0.68999999999999984</v>
      </c>
      <c r="EJ102" s="48">
        <f t="shared" si="1168"/>
        <v>0.66999999999999982</v>
      </c>
      <c r="EK102" s="48">
        <f t="shared" si="1168"/>
        <v>0.6499999999999998</v>
      </c>
      <c r="EL102" s="48">
        <f t="shared" si="1168"/>
        <v>0.62999999999999978</v>
      </c>
      <c r="EM102" s="48">
        <f t="shared" si="1168"/>
        <v>0.60999999999999976</v>
      </c>
      <c r="EN102" s="48">
        <f t="shared" si="1168"/>
        <v>0.58999999999999975</v>
      </c>
      <c r="EO102" s="48">
        <f t="shared" si="1168"/>
        <v>0.56999999999999973</v>
      </c>
      <c r="EQ102" s="48">
        <f t="shared" si="1128"/>
        <v>0</v>
      </c>
      <c r="ER102" s="48">
        <f t="shared" si="956"/>
        <v>0</v>
      </c>
      <c r="ES102" s="51">
        <f t="shared" ref="ES102" si="1169">+ER102*3.3058</f>
        <v>0</v>
      </c>
      <c r="ET102" s="48">
        <f t="shared" si="1077"/>
        <v>0</v>
      </c>
      <c r="EU102" s="51">
        <f t="shared" si="1078"/>
        <v>0</v>
      </c>
      <c r="EV102" s="48">
        <f t="shared" si="1079"/>
        <v>0</v>
      </c>
      <c r="EW102" s="51">
        <f t="shared" si="1080"/>
        <v>0</v>
      </c>
      <c r="EX102" s="48">
        <f t="shared" si="1081"/>
        <v>0</v>
      </c>
      <c r="EY102" s="51">
        <f t="shared" si="1082"/>
        <v>0</v>
      </c>
      <c r="EZ102" s="52">
        <f t="shared" si="1083"/>
        <v>0</v>
      </c>
      <c r="FA102" s="51">
        <f t="shared" si="1084"/>
        <v>0</v>
      </c>
      <c r="FB102" s="48">
        <f t="shared" si="1085"/>
        <v>0</v>
      </c>
      <c r="FC102" s="51">
        <f t="shared" si="1086"/>
        <v>0</v>
      </c>
      <c r="FD102" s="52">
        <f t="shared" si="1087"/>
        <v>0</v>
      </c>
      <c r="FE102" s="51">
        <f t="shared" si="1088"/>
        <v>0</v>
      </c>
      <c r="FF102" s="53">
        <f t="shared" si="1089"/>
        <v>0</v>
      </c>
      <c r="FG102" s="51">
        <f t="shared" si="1090"/>
        <v>0</v>
      </c>
      <c r="FH102" s="52">
        <f t="shared" si="1091"/>
        <v>0</v>
      </c>
      <c r="FI102" s="51">
        <f t="shared" si="1092"/>
        <v>0</v>
      </c>
      <c r="FJ102" s="48">
        <f t="shared" si="1093"/>
        <v>0</v>
      </c>
      <c r="FK102" s="51">
        <f t="shared" si="1094"/>
        <v>0</v>
      </c>
      <c r="FL102" s="53">
        <f t="shared" si="1095"/>
        <v>0</v>
      </c>
      <c r="FM102" s="51">
        <f t="shared" si="1096"/>
        <v>0</v>
      </c>
      <c r="FN102" s="53">
        <f t="shared" si="1097"/>
        <v>0</v>
      </c>
      <c r="FO102" s="51">
        <f t="shared" si="1098"/>
        <v>0</v>
      </c>
      <c r="FP102" s="53">
        <f t="shared" si="1099"/>
        <v>0</v>
      </c>
      <c r="FQ102" s="51">
        <f t="shared" si="1100"/>
        <v>0</v>
      </c>
      <c r="FR102" s="48">
        <f t="shared" si="1101"/>
        <v>0</v>
      </c>
      <c r="FS102" s="51">
        <f t="shared" si="1102"/>
        <v>0</v>
      </c>
      <c r="FT102" s="53">
        <f t="shared" si="1103"/>
        <v>0</v>
      </c>
      <c r="FU102" s="51">
        <f t="shared" si="1104"/>
        <v>0</v>
      </c>
      <c r="FV102" s="53">
        <f t="shared" si="1105"/>
        <v>0</v>
      </c>
      <c r="FW102" s="51">
        <f t="shared" si="1106"/>
        <v>0</v>
      </c>
      <c r="FX102" s="53">
        <f t="shared" si="1107"/>
        <v>0</v>
      </c>
      <c r="FY102" s="51">
        <f t="shared" si="1108"/>
        <v>0</v>
      </c>
      <c r="FZ102" s="53">
        <f t="shared" si="1109"/>
        <v>0</v>
      </c>
      <c r="GA102" s="51">
        <f t="shared" si="1110"/>
        <v>0</v>
      </c>
      <c r="GB102" s="48">
        <f t="shared" si="1111"/>
        <v>0</v>
      </c>
      <c r="GC102" s="51">
        <f t="shared" si="1112"/>
        <v>0</v>
      </c>
      <c r="GD102" s="53">
        <f t="shared" si="1113"/>
        <v>0</v>
      </c>
      <c r="GE102" s="51">
        <f t="shared" si="1114"/>
        <v>0</v>
      </c>
      <c r="GF102" s="53">
        <f t="shared" si="1115"/>
        <v>0</v>
      </c>
      <c r="GG102" s="51">
        <f t="shared" si="1116"/>
        <v>0</v>
      </c>
      <c r="GH102" s="48">
        <f t="shared" si="1117"/>
        <v>0</v>
      </c>
      <c r="GI102" s="51">
        <f t="shared" si="1118"/>
        <v>0</v>
      </c>
      <c r="GJ102" s="48"/>
      <c r="GK102" s="48"/>
      <c r="GL102" s="48">
        <v>1</v>
      </c>
      <c r="GM102" s="48">
        <v>0.97</v>
      </c>
      <c r="GN102" s="48">
        <v>0.95</v>
      </c>
      <c r="GO102" s="48">
        <v>0.93</v>
      </c>
      <c r="GP102" s="48">
        <f t="shared" ref="GP102:HG102" si="1170">+GO102-0.02</f>
        <v>0.91</v>
      </c>
      <c r="GQ102" s="48">
        <f t="shared" si="1170"/>
        <v>0.89</v>
      </c>
      <c r="GR102" s="48">
        <f t="shared" si="1170"/>
        <v>0.87</v>
      </c>
      <c r="GS102" s="48">
        <f t="shared" si="1170"/>
        <v>0.85</v>
      </c>
      <c r="GT102" s="48">
        <f t="shared" si="1170"/>
        <v>0.83</v>
      </c>
      <c r="GU102" s="48">
        <f t="shared" si="1170"/>
        <v>0.80999999999999994</v>
      </c>
      <c r="GV102" s="48">
        <f t="shared" si="1170"/>
        <v>0.78999999999999992</v>
      </c>
      <c r="GW102" s="48">
        <f t="shared" si="1170"/>
        <v>0.76999999999999991</v>
      </c>
      <c r="GX102" s="48">
        <f t="shared" si="1170"/>
        <v>0.74999999999999989</v>
      </c>
      <c r="GY102" s="48">
        <f t="shared" si="1170"/>
        <v>0.72999999999999987</v>
      </c>
      <c r="GZ102" s="48">
        <f t="shared" si="1170"/>
        <v>0.70999999999999985</v>
      </c>
      <c r="HA102" s="48">
        <f t="shared" si="1170"/>
        <v>0.68999999999999984</v>
      </c>
      <c r="HB102" s="48">
        <f t="shared" si="1170"/>
        <v>0.66999999999999982</v>
      </c>
      <c r="HC102" s="48">
        <f t="shared" si="1170"/>
        <v>0.6499999999999998</v>
      </c>
      <c r="HD102" s="48">
        <f t="shared" si="1170"/>
        <v>0.62999999999999978</v>
      </c>
      <c r="HE102" s="48">
        <f t="shared" si="1170"/>
        <v>0.60999999999999976</v>
      </c>
      <c r="HF102" s="48">
        <f t="shared" si="1170"/>
        <v>0.58999999999999975</v>
      </c>
      <c r="HG102" s="48">
        <f t="shared" si="1170"/>
        <v>0.56999999999999973</v>
      </c>
    </row>
    <row r="103" spans="1:215" x14ac:dyDescent="0.3">
      <c r="A103" s="2">
        <v>12</v>
      </c>
      <c r="C103" s="29" t="s">
        <v>171</v>
      </c>
      <c r="D103" s="44">
        <v>0</v>
      </c>
      <c r="E103" s="73">
        <f t="shared" si="988"/>
        <v>0</v>
      </c>
      <c r="G103" s="48">
        <f t="shared" si="948"/>
        <v>0</v>
      </c>
      <c r="H103" s="48">
        <f t="shared" si="949"/>
        <v>0</v>
      </c>
      <c r="I103" s="51">
        <f t="shared" si="950"/>
        <v>0</v>
      </c>
      <c r="J103" s="48">
        <f t="shared" si="989"/>
        <v>0</v>
      </c>
      <c r="K103" s="51">
        <f t="shared" si="990"/>
        <v>0</v>
      </c>
      <c r="L103" s="48">
        <f t="shared" si="991"/>
        <v>0</v>
      </c>
      <c r="M103" s="51">
        <f t="shared" si="992"/>
        <v>0</v>
      </c>
      <c r="N103" s="48">
        <f t="shared" si="993"/>
        <v>0</v>
      </c>
      <c r="O103" s="51">
        <f t="shared" si="994"/>
        <v>0</v>
      </c>
      <c r="P103" s="52">
        <f t="shared" si="995"/>
        <v>0</v>
      </c>
      <c r="Q103" s="51">
        <f t="shared" si="996"/>
        <v>0</v>
      </c>
      <c r="R103" s="48">
        <f t="shared" si="997"/>
        <v>0</v>
      </c>
      <c r="S103" s="51">
        <f t="shared" si="998"/>
        <v>0</v>
      </c>
      <c r="T103" s="52">
        <f t="shared" si="999"/>
        <v>0</v>
      </c>
      <c r="U103" s="51">
        <f t="shared" si="1000"/>
        <v>0</v>
      </c>
      <c r="V103" s="53">
        <f t="shared" si="1001"/>
        <v>0</v>
      </c>
      <c r="W103" s="51">
        <f t="shared" si="1002"/>
        <v>0</v>
      </c>
      <c r="X103" s="52">
        <f t="shared" si="1003"/>
        <v>0</v>
      </c>
      <c r="Y103" s="51">
        <f t="shared" si="1004"/>
        <v>0</v>
      </c>
      <c r="Z103" s="48">
        <f t="shared" si="1005"/>
        <v>0</v>
      </c>
      <c r="AA103" s="51">
        <f t="shared" si="1006"/>
        <v>0</v>
      </c>
      <c r="AB103" s="53">
        <f t="shared" si="1007"/>
        <v>0</v>
      </c>
      <c r="AC103" s="51">
        <f t="shared" si="1008"/>
        <v>0</v>
      </c>
      <c r="AD103" s="53">
        <f t="shared" si="1009"/>
        <v>0</v>
      </c>
      <c r="AE103" s="51">
        <f t="shared" si="1010"/>
        <v>0</v>
      </c>
      <c r="AF103" s="53">
        <f t="shared" si="1011"/>
        <v>0</v>
      </c>
      <c r="AG103" s="51">
        <f t="shared" si="1012"/>
        <v>0</v>
      </c>
      <c r="AH103" s="48">
        <f t="shared" si="1013"/>
        <v>0</v>
      </c>
      <c r="AI103" s="51">
        <f t="shared" si="1014"/>
        <v>0</v>
      </c>
      <c r="AJ103" s="53">
        <f t="shared" si="1015"/>
        <v>0</v>
      </c>
      <c r="AK103" s="51">
        <f t="shared" si="1016"/>
        <v>0</v>
      </c>
      <c r="AL103" s="53">
        <f t="shared" si="1017"/>
        <v>0</v>
      </c>
      <c r="AM103" s="51">
        <f t="shared" si="1018"/>
        <v>0</v>
      </c>
      <c r="AN103" s="53">
        <f t="shared" si="1019"/>
        <v>0</v>
      </c>
      <c r="AO103" s="51">
        <f t="shared" si="1020"/>
        <v>0</v>
      </c>
      <c r="AP103" s="53">
        <f t="shared" si="1021"/>
        <v>0</v>
      </c>
      <c r="AQ103" s="51">
        <f t="shared" si="1022"/>
        <v>0</v>
      </c>
      <c r="AR103" s="48">
        <f t="shared" si="1023"/>
        <v>0</v>
      </c>
      <c r="AS103" s="51">
        <f t="shared" si="1024"/>
        <v>0</v>
      </c>
      <c r="AT103" s="53">
        <f t="shared" si="1025"/>
        <v>0</v>
      </c>
      <c r="AU103" s="51">
        <f t="shared" si="1026"/>
        <v>0</v>
      </c>
      <c r="AV103" s="53">
        <f t="shared" si="1027"/>
        <v>0</v>
      </c>
      <c r="AW103" s="51">
        <f t="shared" si="1028"/>
        <v>0</v>
      </c>
      <c r="AX103" s="48">
        <f t="shared" si="1029"/>
        <v>0</v>
      </c>
      <c r="AY103" s="51">
        <f t="shared" si="1030"/>
        <v>0</v>
      </c>
      <c r="BB103" s="48">
        <v>1</v>
      </c>
      <c r="BC103" s="48">
        <v>0.97</v>
      </c>
      <c r="BD103" s="48">
        <v>0.95</v>
      </c>
      <c r="BE103" s="48">
        <v>0.93</v>
      </c>
      <c r="BF103" s="48">
        <f t="shared" ref="BF103:BW103" si="1171">+BE103-0.02</f>
        <v>0.91</v>
      </c>
      <c r="BG103" s="48">
        <f t="shared" si="1171"/>
        <v>0.89</v>
      </c>
      <c r="BH103" s="48">
        <f t="shared" si="1171"/>
        <v>0.87</v>
      </c>
      <c r="BI103" s="48">
        <f t="shared" si="1171"/>
        <v>0.85</v>
      </c>
      <c r="BJ103" s="48">
        <f t="shared" si="1171"/>
        <v>0.83</v>
      </c>
      <c r="BK103" s="48">
        <f t="shared" si="1171"/>
        <v>0.80999999999999994</v>
      </c>
      <c r="BL103" s="48">
        <f t="shared" si="1171"/>
        <v>0.78999999999999992</v>
      </c>
      <c r="BM103" s="48">
        <f t="shared" si="1171"/>
        <v>0.76999999999999991</v>
      </c>
      <c r="BN103" s="48">
        <f t="shared" si="1171"/>
        <v>0.74999999999999989</v>
      </c>
      <c r="BO103" s="48">
        <f t="shared" si="1171"/>
        <v>0.72999999999999987</v>
      </c>
      <c r="BP103" s="48">
        <f t="shared" si="1171"/>
        <v>0.70999999999999985</v>
      </c>
      <c r="BQ103" s="48">
        <f t="shared" si="1171"/>
        <v>0.68999999999999984</v>
      </c>
      <c r="BR103" s="48">
        <f t="shared" si="1171"/>
        <v>0.66999999999999982</v>
      </c>
      <c r="BS103" s="48">
        <f t="shared" si="1171"/>
        <v>0.6499999999999998</v>
      </c>
      <c r="BT103" s="48">
        <f t="shared" si="1171"/>
        <v>0.62999999999999978</v>
      </c>
      <c r="BU103" s="48">
        <f t="shared" si="1171"/>
        <v>0.60999999999999976</v>
      </c>
      <c r="BV103" s="48">
        <f t="shared" si="1171"/>
        <v>0.58999999999999975</v>
      </c>
      <c r="BW103" s="48">
        <f t="shared" si="1171"/>
        <v>0.56999999999999973</v>
      </c>
      <c r="BY103" s="48">
        <f t="shared" si="952"/>
        <v>0</v>
      </c>
      <c r="BZ103" s="48">
        <f t="shared" si="953"/>
        <v>0</v>
      </c>
      <c r="CA103" s="51">
        <f t="shared" ref="CA103" si="1172">+BZ103*3.3058</f>
        <v>0</v>
      </c>
      <c r="CB103" s="48">
        <f t="shared" si="1033"/>
        <v>0</v>
      </c>
      <c r="CC103" s="51">
        <f t="shared" si="1034"/>
        <v>0</v>
      </c>
      <c r="CD103" s="48">
        <f t="shared" si="1035"/>
        <v>0</v>
      </c>
      <c r="CE103" s="51">
        <f t="shared" si="1036"/>
        <v>0</v>
      </c>
      <c r="CF103" s="48">
        <f t="shared" si="1037"/>
        <v>0</v>
      </c>
      <c r="CG103" s="51">
        <f t="shared" si="1038"/>
        <v>0</v>
      </c>
      <c r="CH103" s="52">
        <f t="shared" si="1039"/>
        <v>0</v>
      </c>
      <c r="CI103" s="51">
        <f t="shared" si="1040"/>
        <v>0</v>
      </c>
      <c r="CJ103" s="48">
        <f t="shared" si="1041"/>
        <v>0</v>
      </c>
      <c r="CK103" s="51">
        <f t="shared" si="1042"/>
        <v>0</v>
      </c>
      <c r="CL103" s="52">
        <f t="shared" si="1043"/>
        <v>0</v>
      </c>
      <c r="CM103" s="51">
        <f t="shared" si="1044"/>
        <v>0</v>
      </c>
      <c r="CN103" s="53">
        <f t="shared" si="1045"/>
        <v>0</v>
      </c>
      <c r="CO103" s="51">
        <f t="shared" si="1046"/>
        <v>0</v>
      </c>
      <c r="CP103" s="52">
        <f t="shared" si="1047"/>
        <v>0</v>
      </c>
      <c r="CQ103" s="51">
        <f t="shared" si="1048"/>
        <v>0</v>
      </c>
      <c r="CR103" s="48">
        <f t="shared" si="1049"/>
        <v>0</v>
      </c>
      <c r="CS103" s="51">
        <f t="shared" si="1050"/>
        <v>0</v>
      </c>
      <c r="CT103" s="53">
        <f t="shared" si="1051"/>
        <v>0</v>
      </c>
      <c r="CU103" s="51">
        <f t="shared" si="1052"/>
        <v>0</v>
      </c>
      <c r="CV103" s="53">
        <f t="shared" si="1053"/>
        <v>0</v>
      </c>
      <c r="CW103" s="51">
        <f t="shared" si="1054"/>
        <v>0</v>
      </c>
      <c r="CX103" s="53">
        <f t="shared" si="1055"/>
        <v>0</v>
      </c>
      <c r="CY103" s="51">
        <f t="shared" si="1056"/>
        <v>0</v>
      </c>
      <c r="CZ103" s="48">
        <f t="shared" si="1057"/>
        <v>0</v>
      </c>
      <c r="DA103" s="51">
        <f t="shared" si="1058"/>
        <v>0</v>
      </c>
      <c r="DB103" s="53">
        <f t="shared" si="1059"/>
        <v>0</v>
      </c>
      <c r="DC103" s="51">
        <f t="shared" si="1060"/>
        <v>0</v>
      </c>
      <c r="DD103" s="53">
        <f t="shared" si="1061"/>
        <v>0</v>
      </c>
      <c r="DE103" s="51">
        <f t="shared" si="1062"/>
        <v>0</v>
      </c>
      <c r="DF103" s="53">
        <f t="shared" si="1063"/>
        <v>0</v>
      </c>
      <c r="DG103" s="51">
        <f t="shared" si="1064"/>
        <v>0</v>
      </c>
      <c r="DH103" s="53">
        <f t="shared" si="1065"/>
        <v>0</v>
      </c>
      <c r="DI103" s="51">
        <f t="shared" si="1066"/>
        <v>0</v>
      </c>
      <c r="DJ103" s="48">
        <f t="shared" si="1067"/>
        <v>0</v>
      </c>
      <c r="DK103" s="51">
        <f t="shared" si="1068"/>
        <v>0</v>
      </c>
      <c r="DL103" s="53">
        <f t="shared" si="1069"/>
        <v>0</v>
      </c>
      <c r="DM103" s="51">
        <f t="shared" si="1070"/>
        <v>0</v>
      </c>
      <c r="DN103" s="53">
        <f t="shared" si="1071"/>
        <v>0</v>
      </c>
      <c r="DO103" s="51">
        <f t="shared" si="1072"/>
        <v>0</v>
      </c>
      <c r="DP103" s="48">
        <f t="shared" si="1073"/>
        <v>0</v>
      </c>
      <c r="DQ103" s="51">
        <f t="shared" si="1074"/>
        <v>0</v>
      </c>
      <c r="DT103" s="48">
        <v>1</v>
      </c>
      <c r="DU103" s="48">
        <v>0.97</v>
      </c>
      <c r="DV103" s="48">
        <v>0.95</v>
      </c>
      <c r="DW103" s="48">
        <v>0.93</v>
      </c>
      <c r="DX103" s="48">
        <f t="shared" ref="DX103:EO103" si="1173">+DW103-0.02</f>
        <v>0.91</v>
      </c>
      <c r="DY103" s="48">
        <f t="shared" si="1173"/>
        <v>0.89</v>
      </c>
      <c r="DZ103" s="48">
        <f t="shared" si="1173"/>
        <v>0.87</v>
      </c>
      <c r="EA103" s="48">
        <f t="shared" si="1173"/>
        <v>0.85</v>
      </c>
      <c r="EB103" s="48">
        <f t="shared" si="1173"/>
        <v>0.83</v>
      </c>
      <c r="EC103" s="48">
        <f t="shared" si="1173"/>
        <v>0.80999999999999994</v>
      </c>
      <c r="ED103" s="48">
        <f t="shared" si="1173"/>
        <v>0.78999999999999992</v>
      </c>
      <c r="EE103" s="48">
        <f t="shared" si="1173"/>
        <v>0.76999999999999991</v>
      </c>
      <c r="EF103" s="48">
        <f t="shared" si="1173"/>
        <v>0.74999999999999989</v>
      </c>
      <c r="EG103" s="48">
        <f t="shared" si="1173"/>
        <v>0.72999999999999987</v>
      </c>
      <c r="EH103" s="48">
        <f t="shared" si="1173"/>
        <v>0.70999999999999985</v>
      </c>
      <c r="EI103" s="48">
        <f t="shared" si="1173"/>
        <v>0.68999999999999984</v>
      </c>
      <c r="EJ103" s="48">
        <f t="shared" si="1173"/>
        <v>0.66999999999999982</v>
      </c>
      <c r="EK103" s="48">
        <f t="shared" si="1173"/>
        <v>0.6499999999999998</v>
      </c>
      <c r="EL103" s="48">
        <f t="shared" si="1173"/>
        <v>0.62999999999999978</v>
      </c>
      <c r="EM103" s="48">
        <f t="shared" si="1173"/>
        <v>0.60999999999999976</v>
      </c>
      <c r="EN103" s="48">
        <f t="shared" si="1173"/>
        <v>0.58999999999999975</v>
      </c>
      <c r="EO103" s="48">
        <f t="shared" si="1173"/>
        <v>0.56999999999999973</v>
      </c>
      <c r="EQ103" s="48">
        <f t="shared" si="1128"/>
        <v>0</v>
      </c>
      <c r="ER103" s="48">
        <f t="shared" si="956"/>
        <v>0</v>
      </c>
      <c r="ES103" s="51">
        <f t="shared" ref="ES103" si="1174">+ER103*3.3058</f>
        <v>0</v>
      </c>
      <c r="ET103" s="48">
        <f t="shared" si="1077"/>
        <v>0</v>
      </c>
      <c r="EU103" s="51">
        <f t="shared" si="1078"/>
        <v>0</v>
      </c>
      <c r="EV103" s="48">
        <f t="shared" si="1079"/>
        <v>0</v>
      </c>
      <c r="EW103" s="51">
        <f t="shared" si="1080"/>
        <v>0</v>
      </c>
      <c r="EX103" s="48">
        <f t="shared" si="1081"/>
        <v>0</v>
      </c>
      <c r="EY103" s="51">
        <f t="shared" si="1082"/>
        <v>0</v>
      </c>
      <c r="EZ103" s="52">
        <f t="shared" si="1083"/>
        <v>0</v>
      </c>
      <c r="FA103" s="51">
        <f t="shared" si="1084"/>
        <v>0</v>
      </c>
      <c r="FB103" s="48">
        <f t="shared" si="1085"/>
        <v>0</v>
      </c>
      <c r="FC103" s="51">
        <f t="shared" si="1086"/>
        <v>0</v>
      </c>
      <c r="FD103" s="52">
        <f t="shared" si="1087"/>
        <v>0</v>
      </c>
      <c r="FE103" s="51">
        <f t="shared" si="1088"/>
        <v>0</v>
      </c>
      <c r="FF103" s="53">
        <f t="shared" si="1089"/>
        <v>0</v>
      </c>
      <c r="FG103" s="51">
        <f t="shared" si="1090"/>
        <v>0</v>
      </c>
      <c r="FH103" s="52">
        <f t="shared" si="1091"/>
        <v>0</v>
      </c>
      <c r="FI103" s="51">
        <f t="shared" si="1092"/>
        <v>0</v>
      </c>
      <c r="FJ103" s="48">
        <f t="shared" si="1093"/>
        <v>0</v>
      </c>
      <c r="FK103" s="51">
        <f t="shared" si="1094"/>
        <v>0</v>
      </c>
      <c r="FL103" s="53">
        <f t="shared" si="1095"/>
        <v>0</v>
      </c>
      <c r="FM103" s="51">
        <f t="shared" si="1096"/>
        <v>0</v>
      </c>
      <c r="FN103" s="53">
        <f t="shared" si="1097"/>
        <v>0</v>
      </c>
      <c r="FO103" s="51">
        <f t="shared" si="1098"/>
        <v>0</v>
      </c>
      <c r="FP103" s="53">
        <f t="shared" si="1099"/>
        <v>0</v>
      </c>
      <c r="FQ103" s="51">
        <f t="shared" si="1100"/>
        <v>0</v>
      </c>
      <c r="FR103" s="48">
        <f t="shared" si="1101"/>
        <v>0</v>
      </c>
      <c r="FS103" s="51">
        <f t="shared" si="1102"/>
        <v>0</v>
      </c>
      <c r="FT103" s="53">
        <f t="shared" si="1103"/>
        <v>0</v>
      </c>
      <c r="FU103" s="51">
        <f t="shared" si="1104"/>
        <v>0</v>
      </c>
      <c r="FV103" s="53">
        <f t="shared" si="1105"/>
        <v>0</v>
      </c>
      <c r="FW103" s="51">
        <f t="shared" si="1106"/>
        <v>0</v>
      </c>
      <c r="FX103" s="53">
        <f t="shared" si="1107"/>
        <v>0</v>
      </c>
      <c r="FY103" s="51">
        <f t="shared" si="1108"/>
        <v>0</v>
      </c>
      <c r="FZ103" s="53">
        <f t="shared" si="1109"/>
        <v>0</v>
      </c>
      <c r="GA103" s="51">
        <f t="shared" si="1110"/>
        <v>0</v>
      </c>
      <c r="GB103" s="48">
        <f t="shared" si="1111"/>
        <v>0</v>
      </c>
      <c r="GC103" s="51">
        <f t="shared" si="1112"/>
        <v>0</v>
      </c>
      <c r="GD103" s="53">
        <f t="shared" si="1113"/>
        <v>0</v>
      </c>
      <c r="GE103" s="51">
        <f t="shared" si="1114"/>
        <v>0</v>
      </c>
      <c r="GF103" s="53">
        <f t="shared" si="1115"/>
        <v>0</v>
      </c>
      <c r="GG103" s="51">
        <f t="shared" si="1116"/>
        <v>0</v>
      </c>
      <c r="GH103" s="48">
        <f t="shared" si="1117"/>
        <v>0</v>
      </c>
      <c r="GI103" s="51">
        <f t="shared" si="1118"/>
        <v>0</v>
      </c>
      <c r="GJ103" s="48"/>
      <c r="GK103" s="48"/>
      <c r="GL103" s="48">
        <v>1</v>
      </c>
      <c r="GM103" s="48">
        <v>0.97</v>
      </c>
      <c r="GN103" s="48">
        <v>0.95</v>
      </c>
      <c r="GO103" s="48">
        <v>0.93</v>
      </c>
      <c r="GP103" s="48">
        <f t="shared" ref="GP103:HG103" si="1175">+GO103-0.02</f>
        <v>0.91</v>
      </c>
      <c r="GQ103" s="48">
        <f t="shared" si="1175"/>
        <v>0.89</v>
      </c>
      <c r="GR103" s="48">
        <f t="shared" si="1175"/>
        <v>0.87</v>
      </c>
      <c r="GS103" s="48">
        <f t="shared" si="1175"/>
        <v>0.85</v>
      </c>
      <c r="GT103" s="48">
        <f t="shared" si="1175"/>
        <v>0.83</v>
      </c>
      <c r="GU103" s="48">
        <f t="shared" si="1175"/>
        <v>0.80999999999999994</v>
      </c>
      <c r="GV103" s="48">
        <f t="shared" si="1175"/>
        <v>0.78999999999999992</v>
      </c>
      <c r="GW103" s="48">
        <f t="shared" si="1175"/>
        <v>0.76999999999999991</v>
      </c>
      <c r="GX103" s="48">
        <f t="shared" si="1175"/>
        <v>0.74999999999999989</v>
      </c>
      <c r="GY103" s="48">
        <f t="shared" si="1175"/>
        <v>0.72999999999999987</v>
      </c>
      <c r="GZ103" s="48">
        <f t="shared" si="1175"/>
        <v>0.70999999999999985</v>
      </c>
      <c r="HA103" s="48">
        <f t="shared" si="1175"/>
        <v>0.68999999999999984</v>
      </c>
      <c r="HB103" s="48">
        <f t="shared" si="1175"/>
        <v>0.66999999999999982</v>
      </c>
      <c r="HC103" s="48">
        <f t="shared" si="1175"/>
        <v>0.6499999999999998</v>
      </c>
      <c r="HD103" s="48">
        <f t="shared" si="1175"/>
        <v>0.62999999999999978</v>
      </c>
      <c r="HE103" s="48">
        <f t="shared" si="1175"/>
        <v>0.60999999999999976</v>
      </c>
      <c r="HF103" s="48">
        <f t="shared" si="1175"/>
        <v>0.58999999999999975</v>
      </c>
      <c r="HG103" s="48">
        <f t="shared" si="1175"/>
        <v>0.56999999999999973</v>
      </c>
    </row>
    <row r="104" spans="1:215" x14ac:dyDescent="0.3">
      <c r="A104" s="2">
        <v>13</v>
      </c>
      <c r="C104" s="29" t="s">
        <v>172</v>
      </c>
      <c r="D104" s="44">
        <v>0</v>
      </c>
      <c r="E104" s="73">
        <f t="shared" si="988"/>
        <v>0</v>
      </c>
      <c r="G104" s="48">
        <f t="shared" si="948"/>
        <v>0</v>
      </c>
      <c r="H104" s="48">
        <f t="shared" si="949"/>
        <v>0</v>
      </c>
      <c r="I104" s="51">
        <f t="shared" si="950"/>
        <v>0</v>
      </c>
      <c r="J104" s="48">
        <f t="shared" si="989"/>
        <v>0</v>
      </c>
      <c r="K104" s="51">
        <f t="shared" si="990"/>
        <v>0</v>
      </c>
      <c r="L104" s="48">
        <f t="shared" si="991"/>
        <v>0</v>
      </c>
      <c r="M104" s="51">
        <f t="shared" si="992"/>
        <v>0</v>
      </c>
      <c r="N104" s="48">
        <f t="shared" si="993"/>
        <v>0</v>
      </c>
      <c r="O104" s="51">
        <f t="shared" si="994"/>
        <v>0</v>
      </c>
      <c r="P104" s="52">
        <f t="shared" si="995"/>
        <v>0</v>
      </c>
      <c r="Q104" s="51">
        <f t="shared" si="996"/>
        <v>0</v>
      </c>
      <c r="R104" s="48">
        <f t="shared" si="997"/>
        <v>0</v>
      </c>
      <c r="S104" s="51">
        <f t="shared" si="998"/>
        <v>0</v>
      </c>
      <c r="T104" s="52">
        <f t="shared" si="999"/>
        <v>0</v>
      </c>
      <c r="U104" s="51">
        <f t="shared" si="1000"/>
        <v>0</v>
      </c>
      <c r="V104" s="53">
        <f t="shared" si="1001"/>
        <v>0</v>
      </c>
      <c r="W104" s="51">
        <f t="shared" si="1002"/>
        <v>0</v>
      </c>
      <c r="X104" s="52">
        <f t="shared" si="1003"/>
        <v>0</v>
      </c>
      <c r="Y104" s="51">
        <f t="shared" si="1004"/>
        <v>0</v>
      </c>
      <c r="Z104" s="48">
        <f t="shared" si="1005"/>
        <v>0</v>
      </c>
      <c r="AA104" s="51">
        <f t="shared" si="1006"/>
        <v>0</v>
      </c>
      <c r="AB104" s="53">
        <f t="shared" si="1007"/>
        <v>0</v>
      </c>
      <c r="AC104" s="51">
        <f t="shared" si="1008"/>
        <v>0</v>
      </c>
      <c r="AD104" s="53">
        <f t="shared" si="1009"/>
        <v>0</v>
      </c>
      <c r="AE104" s="51">
        <f t="shared" si="1010"/>
        <v>0</v>
      </c>
      <c r="AF104" s="53">
        <f t="shared" si="1011"/>
        <v>0</v>
      </c>
      <c r="AG104" s="51">
        <f t="shared" si="1012"/>
        <v>0</v>
      </c>
      <c r="AH104" s="48">
        <f t="shared" si="1013"/>
        <v>0</v>
      </c>
      <c r="AI104" s="51">
        <f t="shared" si="1014"/>
        <v>0</v>
      </c>
      <c r="AJ104" s="53">
        <f t="shared" si="1015"/>
        <v>0</v>
      </c>
      <c r="AK104" s="51">
        <f t="shared" si="1016"/>
        <v>0</v>
      </c>
      <c r="AL104" s="53">
        <f t="shared" si="1017"/>
        <v>0</v>
      </c>
      <c r="AM104" s="51">
        <f t="shared" si="1018"/>
        <v>0</v>
      </c>
      <c r="AN104" s="53">
        <f t="shared" si="1019"/>
        <v>0</v>
      </c>
      <c r="AO104" s="51">
        <f t="shared" si="1020"/>
        <v>0</v>
      </c>
      <c r="AP104" s="53">
        <f t="shared" si="1021"/>
        <v>0</v>
      </c>
      <c r="AQ104" s="51">
        <f t="shared" si="1022"/>
        <v>0</v>
      </c>
      <c r="AR104" s="48">
        <f t="shared" si="1023"/>
        <v>0</v>
      </c>
      <c r="AS104" s="51">
        <f t="shared" si="1024"/>
        <v>0</v>
      </c>
      <c r="AT104" s="53">
        <f t="shared" si="1025"/>
        <v>0</v>
      </c>
      <c r="AU104" s="51">
        <f t="shared" si="1026"/>
        <v>0</v>
      </c>
      <c r="AV104" s="53">
        <f t="shared" si="1027"/>
        <v>0</v>
      </c>
      <c r="AW104" s="51">
        <f t="shared" si="1028"/>
        <v>0</v>
      </c>
      <c r="AX104" s="48">
        <f t="shared" si="1029"/>
        <v>0</v>
      </c>
      <c r="AY104" s="51">
        <f t="shared" si="1030"/>
        <v>0</v>
      </c>
      <c r="BB104" s="48">
        <v>1</v>
      </c>
      <c r="BC104" s="48">
        <v>0.97</v>
      </c>
      <c r="BD104" s="48">
        <v>0.95</v>
      </c>
      <c r="BE104" s="48">
        <v>0.93</v>
      </c>
      <c r="BF104" s="48">
        <f t="shared" ref="BF104:BW104" si="1176">+BE104-0.02</f>
        <v>0.91</v>
      </c>
      <c r="BG104" s="48">
        <f t="shared" si="1176"/>
        <v>0.89</v>
      </c>
      <c r="BH104" s="48">
        <f t="shared" si="1176"/>
        <v>0.87</v>
      </c>
      <c r="BI104" s="48">
        <f t="shared" si="1176"/>
        <v>0.85</v>
      </c>
      <c r="BJ104" s="48">
        <f t="shared" si="1176"/>
        <v>0.83</v>
      </c>
      <c r="BK104" s="48">
        <f t="shared" si="1176"/>
        <v>0.80999999999999994</v>
      </c>
      <c r="BL104" s="48">
        <f t="shared" si="1176"/>
        <v>0.78999999999999992</v>
      </c>
      <c r="BM104" s="48">
        <f t="shared" si="1176"/>
        <v>0.76999999999999991</v>
      </c>
      <c r="BN104" s="48">
        <f t="shared" si="1176"/>
        <v>0.74999999999999989</v>
      </c>
      <c r="BO104" s="48">
        <f t="shared" si="1176"/>
        <v>0.72999999999999987</v>
      </c>
      <c r="BP104" s="48">
        <f t="shared" si="1176"/>
        <v>0.70999999999999985</v>
      </c>
      <c r="BQ104" s="48">
        <f t="shared" si="1176"/>
        <v>0.68999999999999984</v>
      </c>
      <c r="BR104" s="48">
        <f t="shared" si="1176"/>
        <v>0.66999999999999982</v>
      </c>
      <c r="BS104" s="48">
        <f t="shared" si="1176"/>
        <v>0.6499999999999998</v>
      </c>
      <c r="BT104" s="48">
        <f t="shared" si="1176"/>
        <v>0.62999999999999978</v>
      </c>
      <c r="BU104" s="48">
        <f t="shared" si="1176"/>
        <v>0.60999999999999976</v>
      </c>
      <c r="BV104" s="48">
        <f t="shared" si="1176"/>
        <v>0.58999999999999975</v>
      </c>
      <c r="BW104" s="48">
        <f t="shared" si="1176"/>
        <v>0.56999999999999973</v>
      </c>
      <c r="BY104" s="48">
        <f t="shared" si="952"/>
        <v>0</v>
      </c>
      <c r="BZ104" s="48">
        <f t="shared" si="953"/>
        <v>0</v>
      </c>
      <c r="CA104" s="51">
        <f t="shared" ref="CA104" si="1177">+BZ104*3.3058</f>
        <v>0</v>
      </c>
      <c r="CB104" s="48">
        <f t="shared" si="1033"/>
        <v>0</v>
      </c>
      <c r="CC104" s="51">
        <f t="shared" si="1034"/>
        <v>0</v>
      </c>
      <c r="CD104" s="48">
        <f t="shared" si="1035"/>
        <v>0</v>
      </c>
      <c r="CE104" s="51">
        <f t="shared" si="1036"/>
        <v>0</v>
      </c>
      <c r="CF104" s="48">
        <f t="shared" si="1037"/>
        <v>0</v>
      </c>
      <c r="CG104" s="51">
        <f t="shared" si="1038"/>
        <v>0</v>
      </c>
      <c r="CH104" s="52">
        <f t="shared" si="1039"/>
        <v>0</v>
      </c>
      <c r="CI104" s="51">
        <f t="shared" si="1040"/>
        <v>0</v>
      </c>
      <c r="CJ104" s="48">
        <f t="shared" si="1041"/>
        <v>0</v>
      </c>
      <c r="CK104" s="51">
        <f t="shared" si="1042"/>
        <v>0</v>
      </c>
      <c r="CL104" s="52">
        <f t="shared" si="1043"/>
        <v>0</v>
      </c>
      <c r="CM104" s="51">
        <f t="shared" si="1044"/>
        <v>0</v>
      </c>
      <c r="CN104" s="53">
        <f t="shared" si="1045"/>
        <v>0</v>
      </c>
      <c r="CO104" s="51">
        <f t="shared" si="1046"/>
        <v>0</v>
      </c>
      <c r="CP104" s="52">
        <f t="shared" si="1047"/>
        <v>0</v>
      </c>
      <c r="CQ104" s="51">
        <f t="shared" si="1048"/>
        <v>0</v>
      </c>
      <c r="CR104" s="48">
        <f t="shared" si="1049"/>
        <v>0</v>
      </c>
      <c r="CS104" s="51">
        <f t="shared" si="1050"/>
        <v>0</v>
      </c>
      <c r="CT104" s="53">
        <f t="shared" si="1051"/>
        <v>0</v>
      </c>
      <c r="CU104" s="51">
        <f t="shared" si="1052"/>
        <v>0</v>
      </c>
      <c r="CV104" s="53">
        <f t="shared" si="1053"/>
        <v>0</v>
      </c>
      <c r="CW104" s="51">
        <f t="shared" si="1054"/>
        <v>0</v>
      </c>
      <c r="CX104" s="53">
        <f t="shared" si="1055"/>
        <v>0</v>
      </c>
      <c r="CY104" s="51">
        <f t="shared" si="1056"/>
        <v>0</v>
      </c>
      <c r="CZ104" s="48">
        <f t="shared" si="1057"/>
        <v>0</v>
      </c>
      <c r="DA104" s="51">
        <f t="shared" si="1058"/>
        <v>0</v>
      </c>
      <c r="DB104" s="53">
        <f t="shared" si="1059"/>
        <v>0</v>
      </c>
      <c r="DC104" s="51">
        <f t="shared" si="1060"/>
        <v>0</v>
      </c>
      <c r="DD104" s="53">
        <f t="shared" si="1061"/>
        <v>0</v>
      </c>
      <c r="DE104" s="51">
        <f t="shared" si="1062"/>
        <v>0</v>
      </c>
      <c r="DF104" s="53">
        <f t="shared" si="1063"/>
        <v>0</v>
      </c>
      <c r="DG104" s="51">
        <f t="shared" si="1064"/>
        <v>0</v>
      </c>
      <c r="DH104" s="53">
        <f t="shared" si="1065"/>
        <v>0</v>
      </c>
      <c r="DI104" s="51">
        <f t="shared" si="1066"/>
        <v>0</v>
      </c>
      <c r="DJ104" s="48">
        <f t="shared" si="1067"/>
        <v>0</v>
      </c>
      <c r="DK104" s="51">
        <f t="shared" si="1068"/>
        <v>0</v>
      </c>
      <c r="DL104" s="53">
        <f t="shared" si="1069"/>
        <v>0</v>
      </c>
      <c r="DM104" s="51">
        <f t="shared" si="1070"/>
        <v>0</v>
      </c>
      <c r="DN104" s="53">
        <f t="shared" si="1071"/>
        <v>0</v>
      </c>
      <c r="DO104" s="51">
        <f t="shared" si="1072"/>
        <v>0</v>
      </c>
      <c r="DP104" s="48">
        <f t="shared" si="1073"/>
        <v>0</v>
      </c>
      <c r="DQ104" s="51">
        <f t="shared" si="1074"/>
        <v>0</v>
      </c>
      <c r="DT104" s="48">
        <v>1</v>
      </c>
      <c r="DU104" s="48">
        <v>0.97</v>
      </c>
      <c r="DV104" s="48">
        <v>0.95</v>
      </c>
      <c r="DW104" s="48">
        <v>0.93</v>
      </c>
      <c r="DX104" s="48">
        <f t="shared" ref="DX104:EO104" si="1178">+DW104-0.02</f>
        <v>0.91</v>
      </c>
      <c r="DY104" s="48">
        <f t="shared" si="1178"/>
        <v>0.89</v>
      </c>
      <c r="DZ104" s="48">
        <f t="shared" si="1178"/>
        <v>0.87</v>
      </c>
      <c r="EA104" s="48">
        <f t="shared" si="1178"/>
        <v>0.85</v>
      </c>
      <c r="EB104" s="48">
        <f t="shared" si="1178"/>
        <v>0.83</v>
      </c>
      <c r="EC104" s="48">
        <f t="shared" si="1178"/>
        <v>0.80999999999999994</v>
      </c>
      <c r="ED104" s="48">
        <f t="shared" si="1178"/>
        <v>0.78999999999999992</v>
      </c>
      <c r="EE104" s="48">
        <f t="shared" si="1178"/>
        <v>0.76999999999999991</v>
      </c>
      <c r="EF104" s="48">
        <f t="shared" si="1178"/>
        <v>0.74999999999999989</v>
      </c>
      <c r="EG104" s="48">
        <f t="shared" si="1178"/>
        <v>0.72999999999999987</v>
      </c>
      <c r="EH104" s="48">
        <f t="shared" si="1178"/>
        <v>0.70999999999999985</v>
      </c>
      <c r="EI104" s="48">
        <f t="shared" si="1178"/>
        <v>0.68999999999999984</v>
      </c>
      <c r="EJ104" s="48">
        <f t="shared" si="1178"/>
        <v>0.66999999999999982</v>
      </c>
      <c r="EK104" s="48">
        <f t="shared" si="1178"/>
        <v>0.6499999999999998</v>
      </c>
      <c r="EL104" s="48">
        <f t="shared" si="1178"/>
        <v>0.62999999999999978</v>
      </c>
      <c r="EM104" s="48">
        <f t="shared" si="1178"/>
        <v>0.60999999999999976</v>
      </c>
      <c r="EN104" s="48">
        <f t="shared" si="1178"/>
        <v>0.58999999999999975</v>
      </c>
      <c r="EO104" s="48">
        <f t="shared" si="1178"/>
        <v>0.56999999999999973</v>
      </c>
      <c r="EQ104" s="48">
        <f t="shared" si="1128"/>
        <v>0</v>
      </c>
      <c r="ER104" s="48">
        <f t="shared" si="956"/>
        <v>0</v>
      </c>
      <c r="ES104" s="51">
        <f t="shared" ref="ES104" si="1179">+ER104*3.3058</f>
        <v>0</v>
      </c>
      <c r="ET104" s="48">
        <f t="shared" si="1077"/>
        <v>0</v>
      </c>
      <c r="EU104" s="51">
        <f t="shared" si="1078"/>
        <v>0</v>
      </c>
      <c r="EV104" s="48">
        <f t="shared" si="1079"/>
        <v>0</v>
      </c>
      <c r="EW104" s="51">
        <f t="shared" si="1080"/>
        <v>0</v>
      </c>
      <c r="EX104" s="48">
        <f t="shared" si="1081"/>
        <v>0</v>
      </c>
      <c r="EY104" s="51">
        <f t="shared" si="1082"/>
        <v>0</v>
      </c>
      <c r="EZ104" s="52">
        <f t="shared" si="1083"/>
        <v>0</v>
      </c>
      <c r="FA104" s="51">
        <f t="shared" si="1084"/>
        <v>0</v>
      </c>
      <c r="FB104" s="48">
        <f t="shared" si="1085"/>
        <v>0</v>
      </c>
      <c r="FC104" s="51">
        <f t="shared" si="1086"/>
        <v>0</v>
      </c>
      <c r="FD104" s="52">
        <f t="shared" si="1087"/>
        <v>0</v>
      </c>
      <c r="FE104" s="51">
        <f t="shared" si="1088"/>
        <v>0</v>
      </c>
      <c r="FF104" s="53">
        <f t="shared" si="1089"/>
        <v>0</v>
      </c>
      <c r="FG104" s="51">
        <f t="shared" si="1090"/>
        <v>0</v>
      </c>
      <c r="FH104" s="52">
        <f t="shared" si="1091"/>
        <v>0</v>
      </c>
      <c r="FI104" s="51">
        <f t="shared" si="1092"/>
        <v>0</v>
      </c>
      <c r="FJ104" s="48">
        <f t="shared" si="1093"/>
        <v>0</v>
      </c>
      <c r="FK104" s="51">
        <f t="shared" si="1094"/>
        <v>0</v>
      </c>
      <c r="FL104" s="53">
        <f t="shared" si="1095"/>
        <v>0</v>
      </c>
      <c r="FM104" s="51">
        <f t="shared" si="1096"/>
        <v>0</v>
      </c>
      <c r="FN104" s="53">
        <f t="shared" si="1097"/>
        <v>0</v>
      </c>
      <c r="FO104" s="51">
        <f t="shared" si="1098"/>
        <v>0</v>
      </c>
      <c r="FP104" s="53">
        <f t="shared" si="1099"/>
        <v>0</v>
      </c>
      <c r="FQ104" s="51">
        <f t="shared" si="1100"/>
        <v>0</v>
      </c>
      <c r="FR104" s="48">
        <f t="shared" si="1101"/>
        <v>0</v>
      </c>
      <c r="FS104" s="51">
        <f t="shared" si="1102"/>
        <v>0</v>
      </c>
      <c r="FT104" s="53">
        <f t="shared" si="1103"/>
        <v>0</v>
      </c>
      <c r="FU104" s="51">
        <f t="shared" si="1104"/>
        <v>0</v>
      </c>
      <c r="FV104" s="53">
        <f t="shared" si="1105"/>
        <v>0</v>
      </c>
      <c r="FW104" s="51">
        <f t="shared" si="1106"/>
        <v>0</v>
      </c>
      <c r="FX104" s="53">
        <f t="shared" si="1107"/>
        <v>0</v>
      </c>
      <c r="FY104" s="51">
        <f t="shared" si="1108"/>
        <v>0</v>
      </c>
      <c r="FZ104" s="53">
        <f t="shared" si="1109"/>
        <v>0</v>
      </c>
      <c r="GA104" s="51">
        <f t="shared" si="1110"/>
        <v>0</v>
      </c>
      <c r="GB104" s="48">
        <f t="shared" si="1111"/>
        <v>0</v>
      </c>
      <c r="GC104" s="51">
        <f t="shared" si="1112"/>
        <v>0</v>
      </c>
      <c r="GD104" s="53">
        <f t="shared" si="1113"/>
        <v>0</v>
      </c>
      <c r="GE104" s="51">
        <f t="shared" si="1114"/>
        <v>0</v>
      </c>
      <c r="GF104" s="53">
        <f t="shared" si="1115"/>
        <v>0</v>
      </c>
      <c r="GG104" s="51">
        <f t="shared" si="1116"/>
        <v>0</v>
      </c>
      <c r="GH104" s="48">
        <f t="shared" si="1117"/>
        <v>0</v>
      </c>
      <c r="GI104" s="51">
        <f t="shared" si="1118"/>
        <v>0</v>
      </c>
      <c r="GJ104" s="48"/>
      <c r="GK104" s="48"/>
      <c r="GL104" s="48">
        <v>1</v>
      </c>
      <c r="GM104" s="48">
        <v>0.97</v>
      </c>
      <c r="GN104" s="48">
        <v>0.95</v>
      </c>
      <c r="GO104" s="48">
        <v>0.93</v>
      </c>
      <c r="GP104" s="48">
        <f t="shared" ref="GP104:HG104" si="1180">+GO104-0.02</f>
        <v>0.91</v>
      </c>
      <c r="GQ104" s="48">
        <f t="shared" si="1180"/>
        <v>0.89</v>
      </c>
      <c r="GR104" s="48">
        <f t="shared" si="1180"/>
        <v>0.87</v>
      </c>
      <c r="GS104" s="48">
        <f t="shared" si="1180"/>
        <v>0.85</v>
      </c>
      <c r="GT104" s="48">
        <f t="shared" si="1180"/>
        <v>0.83</v>
      </c>
      <c r="GU104" s="48">
        <f t="shared" si="1180"/>
        <v>0.80999999999999994</v>
      </c>
      <c r="GV104" s="48">
        <f t="shared" si="1180"/>
        <v>0.78999999999999992</v>
      </c>
      <c r="GW104" s="48">
        <f t="shared" si="1180"/>
        <v>0.76999999999999991</v>
      </c>
      <c r="GX104" s="48">
        <f t="shared" si="1180"/>
        <v>0.74999999999999989</v>
      </c>
      <c r="GY104" s="48">
        <f t="shared" si="1180"/>
        <v>0.72999999999999987</v>
      </c>
      <c r="GZ104" s="48">
        <f t="shared" si="1180"/>
        <v>0.70999999999999985</v>
      </c>
      <c r="HA104" s="48">
        <f t="shared" si="1180"/>
        <v>0.68999999999999984</v>
      </c>
      <c r="HB104" s="48">
        <f t="shared" si="1180"/>
        <v>0.66999999999999982</v>
      </c>
      <c r="HC104" s="48">
        <f t="shared" si="1180"/>
        <v>0.6499999999999998</v>
      </c>
      <c r="HD104" s="48">
        <f t="shared" si="1180"/>
        <v>0.62999999999999978</v>
      </c>
      <c r="HE104" s="48">
        <f t="shared" si="1180"/>
        <v>0.60999999999999976</v>
      </c>
      <c r="HF104" s="48">
        <f t="shared" si="1180"/>
        <v>0.58999999999999975</v>
      </c>
      <c r="HG104" s="48">
        <f t="shared" si="1180"/>
        <v>0.56999999999999973</v>
      </c>
    </row>
    <row r="105" spans="1:215" x14ac:dyDescent="0.3">
      <c r="A105" s="2">
        <v>14</v>
      </c>
      <c r="C105" s="29" t="s">
        <v>173</v>
      </c>
      <c r="D105" s="44">
        <v>0</v>
      </c>
      <c r="E105" s="73">
        <f t="shared" si="988"/>
        <v>0</v>
      </c>
      <c r="G105" s="48">
        <f t="shared" si="948"/>
        <v>0</v>
      </c>
      <c r="H105" s="48">
        <f t="shared" si="949"/>
        <v>0</v>
      </c>
      <c r="I105" s="51">
        <f t="shared" si="950"/>
        <v>0</v>
      </c>
      <c r="J105" s="48">
        <f t="shared" si="989"/>
        <v>0</v>
      </c>
      <c r="K105" s="51">
        <f t="shared" si="990"/>
        <v>0</v>
      </c>
      <c r="L105" s="48">
        <f t="shared" si="991"/>
        <v>0</v>
      </c>
      <c r="M105" s="51">
        <f t="shared" si="992"/>
        <v>0</v>
      </c>
      <c r="N105" s="48">
        <f t="shared" si="993"/>
        <v>0</v>
      </c>
      <c r="O105" s="51">
        <f t="shared" si="994"/>
        <v>0</v>
      </c>
      <c r="P105" s="52">
        <f t="shared" si="995"/>
        <v>0</v>
      </c>
      <c r="Q105" s="51">
        <f t="shared" si="996"/>
        <v>0</v>
      </c>
      <c r="R105" s="48">
        <f t="shared" si="997"/>
        <v>0</v>
      </c>
      <c r="S105" s="51">
        <f t="shared" si="998"/>
        <v>0</v>
      </c>
      <c r="T105" s="52">
        <f t="shared" si="999"/>
        <v>0</v>
      </c>
      <c r="U105" s="51">
        <f t="shared" si="1000"/>
        <v>0</v>
      </c>
      <c r="V105" s="53">
        <f t="shared" si="1001"/>
        <v>0</v>
      </c>
      <c r="W105" s="51">
        <f t="shared" si="1002"/>
        <v>0</v>
      </c>
      <c r="X105" s="52">
        <f t="shared" si="1003"/>
        <v>0</v>
      </c>
      <c r="Y105" s="51">
        <f t="shared" si="1004"/>
        <v>0</v>
      </c>
      <c r="Z105" s="48">
        <f t="shared" si="1005"/>
        <v>0</v>
      </c>
      <c r="AA105" s="51">
        <f t="shared" si="1006"/>
        <v>0</v>
      </c>
      <c r="AB105" s="53">
        <f t="shared" si="1007"/>
        <v>0</v>
      </c>
      <c r="AC105" s="51">
        <f t="shared" si="1008"/>
        <v>0</v>
      </c>
      <c r="AD105" s="53">
        <f t="shared" si="1009"/>
        <v>0</v>
      </c>
      <c r="AE105" s="51">
        <f t="shared" si="1010"/>
        <v>0</v>
      </c>
      <c r="AF105" s="53">
        <f t="shared" si="1011"/>
        <v>0</v>
      </c>
      <c r="AG105" s="51">
        <f t="shared" si="1012"/>
        <v>0</v>
      </c>
      <c r="AH105" s="48">
        <f t="shared" si="1013"/>
        <v>0</v>
      </c>
      <c r="AI105" s="51">
        <f t="shared" si="1014"/>
        <v>0</v>
      </c>
      <c r="AJ105" s="53">
        <f t="shared" si="1015"/>
        <v>0</v>
      </c>
      <c r="AK105" s="51">
        <f t="shared" si="1016"/>
        <v>0</v>
      </c>
      <c r="AL105" s="53">
        <f t="shared" si="1017"/>
        <v>0</v>
      </c>
      <c r="AM105" s="51">
        <f t="shared" si="1018"/>
        <v>0</v>
      </c>
      <c r="AN105" s="53">
        <f t="shared" si="1019"/>
        <v>0</v>
      </c>
      <c r="AO105" s="51">
        <f t="shared" si="1020"/>
        <v>0</v>
      </c>
      <c r="AP105" s="53">
        <f t="shared" si="1021"/>
        <v>0</v>
      </c>
      <c r="AQ105" s="51">
        <f t="shared" si="1022"/>
        <v>0</v>
      </c>
      <c r="AR105" s="48">
        <f t="shared" si="1023"/>
        <v>0</v>
      </c>
      <c r="AS105" s="51">
        <f t="shared" si="1024"/>
        <v>0</v>
      </c>
      <c r="AT105" s="53">
        <f t="shared" si="1025"/>
        <v>0</v>
      </c>
      <c r="AU105" s="51">
        <f t="shared" si="1026"/>
        <v>0</v>
      </c>
      <c r="AV105" s="53">
        <f t="shared" si="1027"/>
        <v>0</v>
      </c>
      <c r="AW105" s="51">
        <f t="shared" si="1028"/>
        <v>0</v>
      </c>
      <c r="AX105" s="48">
        <f t="shared" si="1029"/>
        <v>0</v>
      </c>
      <c r="AY105" s="51">
        <f t="shared" si="1030"/>
        <v>0</v>
      </c>
      <c r="BB105" s="48">
        <v>1</v>
      </c>
      <c r="BC105" s="48">
        <v>0.97</v>
      </c>
      <c r="BD105" s="48">
        <v>0.95</v>
      </c>
      <c r="BE105" s="48">
        <v>0.93</v>
      </c>
      <c r="BF105" s="48">
        <f t="shared" ref="BF105:BW105" si="1181">+BE105-0.02</f>
        <v>0.91</v>
      </c>
      <c r="BG105" s="48">
        <f t="shared" si="1181"/>
        <v>0.89</v>
      </c>
      <c r="BH105" s="48">
        <f t="shared" si="1181"/>
        <v>0.87</v>
      </c>
      <c r="BI105" s="48">
        <f t="shared" si="1181"/>
        <v>0.85</v>
      </c>
      <c r="BJ105" s="48">
        <f t="shared" si="1181"/>
        <v>0.83</v>
      </c>
      <c r="BK105" s="48">
        <f t="shared" si="1181"/>
        <v>0.80999999999999994</v>
      </c>
      <c r="BL105" s="48">
        <f t="shared" si="1181"/>
        <v>0.78999999999999992</v>
      </c>
      <c r="BM105" s="48">
        <f t="shared" si="1181"/>
        <v>0.76999999999999991</v>
      </c>
      <c r="BN105" s="48">
        <f t="shared" si="1181"/>
        <v>0.74999999999999989</v>
      </c>
      <c r="BO105" s="48">
        <f t="shared" si="1181"/>
        <v>0.72999999999999987</v>
      </c>
      <c r="BP105" s="48">
        <f t="shared" si="1181"/>
        <v>0.70999999999999985</v>
      </c>
      <c r="BQ105" s="48">
        <f t="shared" si="1181"/>
        <v>0.68999999999999984</v>
      </c>
      <c r="BR105" s="48">
        <f t="shared" si="1181"/>
        <v>0.66999999999999982</v>
      </c>
      <c r="BS105" s="48">
        <f t="shared" si="1181"/>
        <v>0.6499999999999998</v>
      </c>
      <c r="BT105" s="48">
        <f t="shared" si="1181"/>
        <v>0.62999999999999978</v>
      </c>
      <c r="BU105" s="48">
        <f t="shared" si="1181"/>
        <v>0.60999999999999976</v>
      </c>
      <c r="BV105" s="48">
        <f t="shared" si="1181"/>
        <v>0.58999999999999975</v>
      </c>
      <c r="BW105" s="48">
        <f t="shared" si="1181"/>
        <v>0.56999999999999973</v>
      </c>
      <c r="BY105" s="48">
        <f t="shared" si="952"/>
        <v>0</v>
      </c>
      <c r="BZ105" s="48">
        <f t="shared" si="953"/>
        <v>0</v>
      </c>
      <c r="CA105" s="51">
        <f t="shared" ref="CA105" si="1182">+BZ105*3.3058</f>
        <v>0</v>
      </c>
      <c r="CB105" s="48">
        <f t="shared" si="1033"/>
        <v>0</v>
      </c>
      <c r="CC105" s="51">
        <f t="shared" si="1034"/>
        <v>0</v>
      </c>
      <c r="CD105" s="48">
        <f t="shared" si="1035"/>
        <v>0</v>
      </c>
      <c r="CE105" s="51">
        <f t="shared" si="1036"/>
        <v>0</v>
      </c>
      <c r="CF105" s="48">
        <f t="shared" si="1037"/>
        <v>0</v>
      </c>
      <c r="CG105" s="51">
        <f t="shared" si="1038"/>
        <v>0</v>
      </c>
      <c r="CH105" s="52">
        <f t="shared" si="1039"/>
        <v>0</v>
      </c>
      <c r="CI105" s="51">
        <f t="shared" si="1040"/>
        <v>0</v>
      </c>
      <c r="CJ105" s="48">
        <f t="shared" si="1041"/>
        <v>0</v>
      </c>
      <c r="CK105" s="51">
        <f t="shared" si="1042"/>
        <v>0</v>
      </c>
      <c r="CL105" s="52">
        <f t="shared" si="1043"/>
        <v>0</v>
      </c>
      <c r="CM105" s="51">
        <f t="shared" si="1044"/>
        <v>0</v>
      </c>
      <c r="CN105" s="53">
        <f t="shared" si="1045"/>
        <v>0</v>
      </c>
      <c r="CO105" s="51">
        <f t="shared" si="1046"/>
        <v>0</v>
      </c>
      <c r="CP105" s="52">
        <f t="shared" si="1047"/>
        <v>0</v>
      </c>
      <c r="CQ105" s="51">
        <f t="shared" si="1048"/>
        <v>0</v>
      </c>
      <c r="CR105" s="48">
        <f t="shared" si="1049"/>
        <v>0</v>
      </c>
      <c r="CS105" s="51">
        <f t="shared" si="1050"/>
        <v>0</v>
      </c>
      <c r="CT105" s="53">
        <f t="shared" si="1051"/>
        <v>0</v>
      </c>
      <c r="CU105" s="51">
        <f t="shared" si="1052"/>
        <v>0</v>
      </c>
      <c r="CV105" s="53">
        <f t="shared" si="1053"/>
        <v>0</v>
      </c>
      <c r="CW105" s="51">
        <f t="shared" si="1054"/>
        <v>0</v>
      </c>
      <c r="CX105" s="53">
        <f t="shared" si="1055"/>
        <v>0</v>
      </c>
      <c r="CY105" s="51">
        <f t="shared" si="1056"/>
        <v>0</v>
      </c>
      <c r="CZ105" s="48">
        <f t="shared" si="1057"/>
        <v>0</v>
      </c>
      <c r="DA105" s="51">
        <f t="shared" si="1058"/>
        <v>0</v>
      </c>
      <c r="DB105" s="53">
        <f t="shared" si="1059"/>
        <v>0</v>
      </c>
      <c r="DC105" s="51">
        <f t="shared" si="1060"/>
        <v>0</v>
      </c>
      <c r="DD105" s="53">
        <f t="shared" si="1061"/>
        <v>0</v>
      </c>
      <c r="DE105" s="51">
        <f t="shared" si="1062"/>
        <v>0</v>
      </c>
      <c r="DF105" s="53">
        <f t="shared" si="1063"/>
        <v>0</v>
      </c>
      <c r="DG105" s="51">
        <f t="shared" si="1064"/>
        <v>0</v>
      </c>
      <c r="DH105" s="53">
        <f t="shared" si="1065"/>
        <v>0</v>
      </c>
      <c r="DI105" s="51">
        <f t="shared" si="1066"/>
        <v>0</v>
      </c>
      <c r="DJ105" s="48">
        <f t="shared" si="1067"/>
        <v>0</v>
      </c>
      <c r="DK105" s="51">
        <f t="shared" si="1068"/>
        <v>0</v>
      </c>
      <c r="DL105" s="53">
        <f t="shared" si="1069"/>
        <v>0</v>
      </c>
      <c r="DM105" s="51">
        <f t="shared" si="1070"/>
        <v>0</v>
      </c>
      <c r="DN105" s="53">
        <f t="shared" si="1071"/>
        <v>0</v>
      </c>
      <c r="DO105" s="51">
        <f t="shared" si="1072"/>
        <v>0</v>
      </c>
      <c r="DP105" s="48">
        <f t="shared" si="1073"/>
        <v>0</v>
      </c>
      <c r="DQ105" s="51">
        <f t="shared" si="1074"/>
        <v>0</v>
      </c>
      <c r="DT105" s="48">
        <v>1</v>
      </c>
      <c r="DU105" s="48">
        <v>0.97</v>
      </c>
      <c r="DV105" s="48">
        <v>0.95</v>
      </c>
      <c r="DW105" s="48">
        <v>0.93</v>
      </c>
      <c r="DX105" s="48">
        <f t="shared" ref="DX105:EO105" si="1183">+DW105-0.02</f>
        <v>0.91</v>
      </c>
      <c r="DY105" s="48">
        <f t="shared" si="1183"/>
        <v>0.89</v>
      </c>
      <c r="DZ105" s="48">
        <f t="shared" si="1183"/>
        <v>0.87</v>
      </c>
      <c r="EA105" s="48">
        <f t="shared" si="1183"/>
        <v>0.85</v>
      </c>
      <c r="EB105" s="48">
        <f t="shared" si="1183"/>
        <v>0.83</v>
      </c>
      <c r="EC105" s="48">
        <f t="shared" si="1183"/>
        <v>0.80999999999999994</v>
      </c>
      <c r="ED105" s="48">
        <f t="shared" si="1183"/>
        <v>0.78999999999999992</v>
      </c>
      <c r="EE105" s="48">
        <f t="shared" si="1183"/>
        <v>0.76999999999999991</v>
      </c>
      <c r="EF105" s="48">
        <f t="shared" si="1183"/>
        <v>0.74999999999999989</v>
      </c>
      <c r="EG105" s="48">
        <f t="shared" si="1183"/>
        <v>0.72999999999999987</v>
      </c>
      <c r="EH105" s="48">
        <f t="shared" si="1183"/>
        <v>0.70999999999999985</v>
      </c>
      <c r="EI105" s="48">
        <f t="shared" si="1183"/>
        <v>0.68999999999999984</v>
      </c>
      <c r="EJ105" s="48">
        <f t="shared" si="1183"/>
        <v>0.66999999999999982</v>
      </c>
      <c r="EK105" s="48">
        <f t="shared" si="1183"/>
        <v>0.6499999999999998</v>
      </c>
      <c r="EL105" s="48">
        <f t="shared" si="1183"/>
        <v>0.62999999999999978</v>
      </c>
      <c r="EM105" s="48">
        <f t="shared" si="1183"/>
        <v>0.60999999999999976</v>
      </c>
      <c r="EN105" s="48">
        <f t="shared" si="1183"/>
        <v>0.58999999999999975</v>
      </c>
      <c r="EO105" s="48">
        <f t="shared" si="1183"/>
        <v>0.56999999999999973</v>
      </c>
      <c r="EQ105" s="48">
        <f t="shared" si="1128"/>
        <v>0</v>
      </c>
      <c r="ER105" s="48">
        <f t="shared" si="956"/>
        <v>0</v>
      </c>
      <c r="ES105" s="51">
        <f t="shared" ref="ES105" si="1184">+ER105*3.3058</f>
        <v>0</v>
      </c>
      <c r="ET105" s="48">
        <f t="shared" si="1077"/>
        <v>0</v>
      </c>
      <c r="EU105" s="51">
        <f t="shared" si="1078"/>
        <v>0</v>
      </c>
      <c r="EV105" s="48">
        <f t="shared" si="1079"/>
        <v>0</v>
      </c>
      <c r="EW105" s="51">
        <f t="shared" si="1080"/>
        <v>0</v>
      </c>
      <c r="EX105" s="48">
        <f t="shared" si="1081"/>
        <v>0</v>
      </c>
      <c r="EY105" s="51">
        <f t="shared" si="1082"/>
        <v>0</v>
      </c>
      <c r="EZ105" s="52">
        <f t="shared" si="1083"/>
        <v>0</v>
      </c>
      <c r="FA105" s="51">
        <f t="shared" si="1084"/>
        <v>0</v>
      </c>
      <c r="FB105" s="48">
        <f t="shared" si="1085"/>
        <v>0</v>
      </c>
      <c r="FC105" s="51">
        <f t="shared" si="1086"/>
        <v>0</v>
      </c>
      <c r="FD105" s="52">
        <f t="shared" si="1087"/>
        <v>0</v>
      </c>
      <c r="FE105" s="51">
        <f t="shared" si="1088"/>
        <v>0</v>
      </c>
      <c r="FF105" s="53">
        <f t="shared" si="1089"/>
        <v>0</v>
      </c>
      <c r="FG105" s="51">
        <f t="shared" si="1090"/>
        <v>0</v>
      </c>
      <c r="FH105" s="52">
        <f t="shared" si="1091"/>
        <v>0</v>
      </c>
      <c r="FI105" s="51">
        <f t="shared" si="1092"/>
        <v>0</v>
      </c>
      <c r="FJ105" s="48">
        <f t="shared" si="1093"/>
        <v>0</v>
      </c>
      <c r="FK105" s="51">
        <f t="shared" si="1094"/>
        <v>0</v>
      </c>
      <c r="FL105" s="53">
        <f t="shared" si="1095"/>
        <v>0</v>
      </c>
      <c r="FM105" s="51">
        <f t="shared" si="1096"/>
        <v>0</v>
      </c>
      <c r="FN105" s="53">
        <f t="shared" si="1097"/>
        <v>0</v>
      </c>
      <c r="FO105" s="51">
        <f t="shared" si="1098"/>
        <v>0</v>
      </c>
      <c r="FP105" s="53">
        <f t="shared" si="1099"/>
        <v>0</v>
      </c>
      <c r="FQ105" s="51">
        <f t="shared" si="1100"/>
        <v>0</v>
      </c>
      <c r="FR105" s="48">
        <f t="shared" si="1101"/>
        <v>0</v>
      </c>
      <c r="FS105" s="51">
        <f t="shared" si="1102"/>
        <v>0</v>
      </c>
      <c r="FT105" s="53">
        <f t="shared" si="1103"/>
        <v>0</v>
      </c>
      <c r="FU105" s="51">
        <f t="shared" si="1104"/>
        <v>0</v>
      </c>
      <c r="FV105" s="53">
        <f t="shared" si="1105"/>
        <v>0</v>
      </c>
      <c r="FW105" s="51">
        <f t="shared" si="1106"/>
        <v>0</v>
      </c>
      <c r="FX105" s="53">
        <f t="shared" si="1107"/>
        <v>0</v>
      </c>
      <c r="FY105" s="51">
        <f t="shared" si="1108"/>
        <v>0</v>
      </c>
      <c r="FZ105" s="53">
        <f t="shared" si="1109"/>
        <v>0</v>
      </c>
      <c r="GA105" s="51">
        <f t="shared" si="1110"/>
        <v>0</v>
      </c>
      <c r="GB105" s="48">
        <f t="shared" si="1111"/>
        <v>0</v>
      </c>
      <c r="GC105" s="51">
        <f t="shared" si="1112"/>
        <v>0</v>
      </c>
      <c r="GD105" s="53">
        <f t="shared" si="1113"/>
        <v>0</v>
      </c>
      <c r="GE105" s="51">
        <f t="shared" si="1114"/>
        <v>0</v>
      </c>
      <c r="GF105" s="53">
        <f t="shared" si="1115"/>
        <v>0</v>
      </c>
      <c r="GG105" s="51">
        <f t="shared" si="1116"/>
        <v>0</v>
      </c>
      <c r="GH105" s="48">
        <f t="shared" si="1117"/>
        <v>0</v>
      </c>
      <c r="GI105" s="51">
        <f t="shared" si="1118"/>
        <v>0</v>
      </c>
      <c r="GJ105" s="48"/>
      <c r="GK105" s="48"/>
      <c r="GL105" s="48">
        <v>1</v>
      </c>
      <c r="GM105" s="48">
        <v>0.97</v>
      </c>
      <c r="GN105" s="48">
        <v>0.95</v>
      </c>
      <c r="GO105" s="48">
        <v>0.93</v>
      </c>
      <c r="GP105" s="48">
        <f t="shared" ref="GP105:HG105" si="1185">+GO105-0.02</f>
        <v>0.91</v>
      </c>
      <c r="GQ105" s="48">
        <f t="shared" si="1185"/>
        <v>0.89</v>
      </c>
      <c r="GR105" s="48">
        <f t="shared" si="1185"/>
        <v>0.87</v>
      </c>
      <c r="GS105" s="48">
        <f t="shared" si="1185"/>
        <v>0.85</v>
      </c>
      <c r="GT105" s="48">
        <f t="shared" si="1185"/>
        <v>0.83</v>
      </c>
      <c r="GU105" s="48">
        <f t="shared" si="1185"/>
        <v>0.80999999999999994</v>
      </c>
      <c r="GV105" s="48">
        <f t="shared" si="1185"/>
        <v>0.78999999999999992</v>
      </c>
      <c r="GW105" s="48">
        <f t="shared" si="1185"/>
        <v>0.76999999999999991</v>
      </c>
      <c r="GX105" s="48">
        <f t="shared" si="1185"/>
        <v>0.74999999999999989</v>
      </c>
      <c r="GY105" s="48">
        <f t="shared" si="1185"/>
        <v>0.72999999999999987</v>
      </c>
      <c r="GZ105" s="48">
        <f t="shared" si="1185"/>
        <v>0.70999999999999985</v>
      </c>
      <c r="HA105" s="48">
        <f t="shared" si="1185"/>
        <v>0.68999999999999984</v>
      </c>
      <c r="HB105" s="48">
        <f t="shared" si="1185"/>
        <v>0.66999999999999982</v>
      </c>
      <c r="HC105" s="48">
        <f t="shared" si="1185"/>
        <v>0.6499999999999998</v>
      </c>
      <c r="HD105" s="48">
        <f t="shared" si="1185"/>
        <v>0.62999999999999978</v>
      </c>
      <c r="HE105" s="48">
        <f t="shared" si="1185"/>
        <v>0.60999999999999976</v>
      </c>
      <c r="HF105" s="48">
        <f t="shared" si="1185"/>
        <v>0.58999999999999975</v>
      </c>
      <c r="HG105" s="48">
        <f t="shared" si="1185"/>
        <v>0.56999999999999973</v>
      </c>
    </row>
    <row r="106" spans="1:215" x14ac:dyDescent="0.3">
      <c r="A106" s="2">
        <v>15</v>
      </c>
      <c r="C106" s="29" t="s">
        <v>174</v>
      </c>
      <c r="D106" s="44">
        <v>0</v>
      </c>
      <c r="E106" s="73">
        <f t="shared" si="988"/>
        <v>0</v>
      </c>
      <c r="G106" s="48">
        <f t="shared" si="948"/>
        <v>0</v>
      </c>
      <c r="H106" s="48">
        <f t="shared" si="949"/>
        <v>0</v>
      </c>
      <c r="I106" s="51">
        <f t="shared" si="950"/>
        <v>0</v>
      </c>
      <c r="J106" s="48">
        <f t="shared" si="989"/>
        <v>0</v>
      </c>
      <c r="K106" s="51">
        <f t="shared" si="990"/>
        <v>0</v>
      </c>
      <c r="L106" s="48">
        <f t="shared" si="991"/>
        <v>0</v>
      </c>
      <c r="M106" s="51">
        <f t="shared" si="992"/>
        <v>0</v>
      </c>
      <c r="N106" s="48">
        <f t="shared" si="993"/>
        <v>0</v>
      </c>
      <c r="O106" s="51">
        <f t="shared" si="994"/>
        <v>0</v>
      </c>
      <c r="P106" s="52">
        <f t="shared" si="995"/>
        <v>0</v>
      </c>
      <c r="Q106" s="51">
        <f t="shared" si="996"/>
        <v>0</v>
      </c>
      <c r="R106" s="48">
        <f t="shared" si="997"/>
        <v>0</v>
      </c>
      <c r="S106" s="51">
        <f t="shared" si="998"/>
        <v>0</v>
      </c>
      <c r="T106" s="52">
        <f t="shared" si="999"/>
        <v>0</v>
      </c>
      <c r="U106" s="51">
        <f t="shared" si="1000"/>
        <v>0</v>
      </c>
      <c r="V106" s="53">
        <f t="shared" si="1001"/>
        <v>0</v>
      </c>
      <c r="W106" s="51">
        <f t="shared" si="1002"/>
        <v>0</v>
      </c>
      <c r="X106" s="52">
        <f t="shared" si="1003"/>
        <v>0</v>
      </c>
      <c r="Y106" s="51">
        <f t="shared" si="1004"/>
        <v>0</v>
      </c>
      <c r="Z106" s="48">
        <f t="shared" si="1005"/>
        <v>0</v>
      </c>
      <c r="AA106" s="51">
        <f t="shared" si="1006"/>
        <v>0</v>
      </c>
      <c r="AB106" s="53">
        <f t="shared" si="1007"/>
        <v>0</v>
      </c>
      <c r="AC106" s="51">
        <f t="shared" si="1008"/>
        <v>0</v>
      </c>
      <c r="AD106" s="53">
        <f t="shared" si="1009"/>
        <v>0</v>
      </c>
      <c r="AE106" s="51">
        <f t="shared" si="1010"/>
        <v>0</v>
      </c>
      <c r="AF106" s="53">
        <f t="shared" si="1011"/>
        <v>0</v>
      </c>
      <c r="AG106" s="51">
        <f t="shared" si="1012"/>
        <v>0</v>
      </c>
      <c r="AH106" s="48">
        <f t="shared" si="1013"/>
        <v>0</v>
      </c>
      <c r="AI106" s="51">
        <f t="shared" si="1014"/>
        <v>0</v>
      </c>
      <c r="AJ106" s="53">
        <f t="shared" si="1015"/>
        <v>0</v>
      </c>
      <c r="AK106" s="51">
        <f t="shared" si="1016"/>
        <v>0</v>
      </c>
      <c r="AL106" s="53">
        <f t="shared" si="1017"/>
        <v>0</v>
      </c>
      <c r="AM106" s="51">
        <f t="shared" si="1018"/>
        <v>0</v>
      </c>
      <c r="AN106" s="53">
        <f t="shared" si="1019"/>
        <v>0</v>
      </c>
      <c r="AO106" s="51">
        <f t="shared" si="1020"/>
        <v>0</v>
      </c>
      <c r="AP106" s="53">
        <f t="shared" si="1021"/>
        <v>0</v>
      </c>
      <c r="AQ106" s="51">
        <f t="shared" si="1022"/>
        <v>0</v>
      </c>
      <c r="AR106" s="48">
        <f t="shared" si="1023"/>
        <v>0</v>
      </c>
      <c r="AS106" s="51">
        <f t="shared" si="1024"/>
        <v>0</v>
      </c>
      <c r="AT106" s="53">
        <f t="shared" si="1025"/>
        <v>0</v>
      </c>
      <c r="AU106" s="51">
        <f t="shared" si="1026"/>
        <v>0</v>
      </c>
      <c r="AV106" s="53">
        <f t="shared" si="1027"/>
        <v>0</v>
      </c>
      <c r="AW106" s="51">
        <f t="shared" si="1028"/>
        <v>0</v>
      </c>
      <c r="AX106" s="48">
        <f t="shared" si="1029"/>
        <v>0</v>
      </c>
      <c r="AY106" s="51">
        <f t="shared" si="1030"/>
        <v>0</v>
      </c>
      <c r="BB106" s="48">
        <v>1</v>
      </c>
      <c r="BC106" s="48">
        <v>0.97</v>
      </c>
      <c r="BD106" s="48">
        <v>0.95</v>
      </c>
      <c r="BE106" s="48">
        <v>0.93</v>
      </c>
      <c r="BF106" s="48">
        <f t="shared" ref="BF106:BW106" si="1186">+BE106-0.02</f>
        <v>0.91</v>
      </c>
      <c r="BG106" s="48">
        <f t="shared" si="1186"/>
        <v>0.89</v>
      </c>
      <c r="BH106" s="48">
        <f t="shared" si="1186"/>
        <v>0.87</v>
      </c>
      <c r="BI106" s="48">
        <f t="shared" si="1186"/>
        <v>0.85</v>
      </c>
      <c r="BJ106" s="48">
        <f t="shared" si="1186"/>
        <v>0.83</v>
      </c>
      <c r="BK106" s="48">
        <f t="shared" si="1186"/>
        <v>0.80999999999999994</v>
      </c>
      <c r="BL106" s="48">
        <f t="shared" si="1186"/>
        <v>0.78999999999999992</v>
      </c>
      <c r="BM106" s="48">
        <f t="shared" si="1186"/>
        <v>0.76999999999999991</v>
      </c>
      <c r="BN106" s="48">
        <f t="shared" si="1186"/>
        <v>0.74999999999999989</v>
      </c>
      <c r="BO106" s="48">
        <f t="shared" si="1186"/>
        <v>0.72999999999999987</v>
      </c>
      <c r="BP106" s="48">
        <f t="shared" si="1186"/>
        <v>0.70999999999999985</v>
      </c>
      <c r="BQ106" s="48">
        <f t="shared" si="1186"/>
        <v>0.68999999999999984</v>
      </c>
      <c r="BR106" s="48">
        <f t="shared" si="1186"/>
        <v>0.66999999999999982</v>
      </c>
      <c r="BS106" s="48">
        <f t="shared" si="1186"/>
        <v>0.6499999999999998</v>
      </c>
      <c r="BT106" s="48">
        <f t="shared" si="1186"/>
        <v>0.62999999999999978</v>
      </c>
      <c r="BU106" s="48">
        <f t="shared" si="1186"/>
        <v>0.60999999999999976</v>
      </c>
      <c r="BV106" s="48">
        <f t="shared" si="1186"/>
        <v>0.58999999999999975</v>
      </c>
      <c r="BW106" s="48">
        <f t="shared" si="1186"/>
        <v>0.56999999999999973</v>
      </c>
      <c r="BY106" s="48">
        <f t="shared" si="952"/>
        <v>0</v>
      </c>
      <c r="BZ106" s="48">
        <f t="shared" si="953"/>
        <v>0</v>
      </c>
      <c r="CA106" s="51">
        <f t="shared" ref="CA106" si="1187">+BZ106*3.3058</f>
        <v>0</v>
      </c>
      <c r="CB106" s="48">
        <f t="shared" si="1033"/>
        <v>0</v>
      </c>
      <c r="CC106" s="51">
        <f t="shared" si="1034"/>
        <v>0</v>
      </c>
      <c r="CD106" s="48">
        <f t="shared" si="1035"/>
        <v>0</v>
      </c>
      <c r="CE106" s="51">
        <f t="shared" si="1036"/>
        <v>0</v>
      </c>
      <c r="CF106" s="48">
        <f t="shared" si="1037"/>
        <v>0</v>
      </c>
      <c r="CG106" s="51">
        <f t="shared" si="1038"/>
        <v>0</v>
      </c>
      <c r="CH106" s="52">
        <f t="shared" si="1039"/>
        <v>0</v>
      </c>
      <c r="CI106" s="51">
        <f t="shared" si="1040"/>
        <v>0</v>
      </c>
      <c r="CJ106" s="48">
        <f t="shared" si="1041"/>
        <v>0</v>
      </c>
      <c r="CK106" s="51">
        <f t="shared" si="1042"/>
        <v>0</v>
      </c>
      <c r="CL106" s="52">
        <f t="shared" si="1043"/>
        <v>0</v>
      </c>
      <c r="CM106" s="51">
        <f t="shared" si="1044"/>
        <v>0</v>
      </c>
      <c r="CN106" s="53">
        <f t="shared" si="1045"/>
        <v>0</v>
      </c>
      <c r="CO106" s="51">
        <f t="shared" si="1046"/>
        <v>0</v>
      </c>
      <c r="CP106" s="52">
        <f t="shared" si="1047"/>
        <v>0</v>
      </c>
      <c r="CQ106" s="51">
        <f t="shared" si="1048"/>
        <v>0</v>
      </c>
      <c r="CR106" s="48">
        <f t="shared" si="1049"/>
        <v>0</v>
      </c>
      <c r="CS106" s="51">
        <f t="shared" si="1050"/>
        <v>0</v>
      </c>
      <c r="CT106" s="53">
        <f t="shared" si="1051"/>
        <v>0</v>
      </c>
      <c r="CU106" s="51">
        <f t="shared" si="1052"/>
        <v>0</v>
      </c>
      <c r="CV106" s="53">
        <f t="shared" si="1053"/>
        <v>0</v>
      </c>
      <c r="CW106" s="51">
        <f t="shared" si="1054"/>
        <v>0</v>
      </c>
      <c r="CX106" s="53">
        <f t="shared" si="1055"/>
        <v>0</v>
      </c>
      <c r="CY106" s="51">
        <f t="shared" si="1056"/>
        <v>0</v>
      </c>
      <c r="CZ106" s="48">
        <f t="shared" si="1057"/>
        <v>0</v>
      </c>
      <c r="DA106" s="51">
        <f t="shared" si="1058"/>
        <v>0</v>
      </c>
      <c r="DB106" s="53">
        <f t="shared" si="1059"/>
        <v>0</v>
      </c>
      <c r="DC106" s="51">
        <f t="shared" si="1060"/>
        <v>0</v>
      </c>
      <c r="DD106" s="53">
        <f t="shared" si="1061"/>
        <v>0</v>
      </c>
      <c r="DE106" s="51">
        <f t="shared" si="1062"/>
        <v>0</v>
      </c>
      <c r="DF106" s="53">
        <f t="shared" si="1063"/>
        <v>0</v>
      </c>
      <c r="DG106" s="51">
        <f t="shared" si="1064"/>
        <v>0</v>
      </c>
      <c r="DH106" s="53">
        <f t="shared" si="1065"/>
        <v>0</v>
      </c>
      <c r="DI106" s="51">
        <f t="shared" si="1066"/>
        <v>0</v>
      </c>
      <c r="DJ106" s="48">
        <f t="shared" si="1067"/>
        <v>0</v>
      </c>
      <c r="DK106" s="51">
        <f t="shared" si="1068"/>
        <v>0</v>
      </c>
      <c r="DL106" s="53">
        <f t="shared" si="1069"/>
        <v>0</v>
      </c>
      <c r="DM106" s="51">
        <f t="shared" si="1070"/>
        <v>0</v>
      </c>
      <c r="DN106" s="53">
        <f t="shared" si="1071"/>
        <v>0</v>
      </c>
      <c r="DO106" s="51">
        <f t="shared" si="1072"/>
        <v>0</v>
      </c>
      <c r="DP106" s="48">
        <f t="shared" si="1073"/>
        <v>0</v>
      </c>
      <c r="DQ106" s="51">
        <f t="shared" si="1074"/>
        <v>0</v>
      </c>
      <c r="DT106" s="48">
        <v>1</v>
      </c>
      <c r="DU106" s="48">
        <v>0.97</v>
      </c>
      <c r="DV106" s="48">
        <v>0.95</v>
      </c>
      <c r="DW106" s="48">
        <v>0.93</v>
      </c>
      <c r="DX106" s="48">
        <f t="shared" ref="DX106:EO106" si="1188">+DW106-0.02</f>
        <v>0.91</v>
      </c>
      <c r="DY106" s="48">
        <f t="shared" si="1188"/>
        <v>0.89</v>
      </c>
      <c r="DZ106" s="48">
        <f t="shared" si="1188"/>
        <v>0.87</v>
      </c>
      <c r="EA106" s="48">
        <f t="shared" si="1188"/>
        <v>0.85</v>
      </c>
      <c r="EB106" s="48">
        <f t="shared" si="1188"/>
        <v>0.83</v>
      </c>
      <c r="EC106" s="48">
        <f t="shared" si="1188"/>
        <v>0.80999999999999994</v>
      </c>
      <c r="ED106" s="48">
        <f t="shared" si="1188"/>
        <v>0.78999999999999992</v>
      </c>
      <c r="EE106" s="48">
        <f t="shared" si="1188"/>
        <v>0.76999999999999991</v>
      </c>
      <c r="EF106" s="48">
        <f t="shared" si="1188"/>
        <v>0.74999999999999989</v>
      </c>
      <c r="EG106" s="48">
        <f t="shared" si="1188"/>
        <v>0.72999999999999987</v>
      </c>
      <c r="EH106" s="48">
        <f t="shared" si="1188"/>
        <v>0.70999999999999985</v>
      </c>
      <c r="EI106" s="48">
        <f t="shared" si="1188"/>
        <v>0.68999999999999984</v>
      </c>
      <c r="EJ106" s="48">
        <f t="shared" si="1188"/>
        <v>0.66999999999999982</v>
      </c>
      <c r="EK106" s="48">
        <f t="shared" si="1188"/>
        <v>0.6499999999999998</v>
      </c>
      <c r="EL106" s="48">
        <f t="shared" si="1188"/>
        <v>0.62999999999999978</v>
      </c>
      <c r="EM106" s="48">
        <f t="shared" si="1188"/>
        <v>0.60999999999999976</v>
      </c>
      <c r="EN106" s="48">
        <f t="shared" si="1188"/>
        <v>0.58999999999999975</v>
      </c>
      <c r="EO106" s="48">
        <f t="shared" si="1188"/>
        <v>0.56999999999999973</v>
      </c>
      <c r="EQ106" s="48">
        <f t="shared" si="1128"/>
        <v>0</v>
      </c>
      <c r="ER106" s="48">
        <f t="shared" si="956"/>
        <v>0</v>
      </c>
      <c r="ES106" s="51">
        <f t="shared" ref="ES106" si="1189">+ER106*3.3058</f>
        <v>0</v>
      </c>
      <c r="ET106" s="48">
        <f t="shared" si="1077"/>
        <v>0</v>
      </c>
      <c r="EU106" s="51">
        <f t="shared" si="1078"/>
        <v>0</v>
      </c>
      <c r="EV106" s="48">
        <f t="shared" si="1079"/>
        <v>0</v>
      </c>
      <c r="EW106" s="51">
        <f t="shared" si="1080"/>
        <v>0</v>
      </c>
      <c r="EX106" s="48">
        <f t="shared" si="1081"/>
        <v>0</v>
      </c>
      <c r="EY106" s="51">
        <f t="shared" si="1082"/>
        <v>0</v>
      </c>
      <c r="EZ106" s="52">
        <f t="shared" si="1083"/>
        <v>0</v>
      </c>
      <c r="FA106" s="51">
        <f t="shared" si="1084"/>
        <v>0</v>
      </c>
      <c r="FB106" s="48">
        <f t="shared" si="1085"/>
        <v>0</v>
      </c>
      <c r="FC106" s="51">
        <f t="shared" si="1086"/>
        <v>0</v>
      </c>
      <c r="FD106" s="52">
        <f t="shared" si="1087"/>
        <v>0</v>
      </c>
      <c r="FE106" s="51">
        <f t="shared" si="1088"/>
        <v>0</v>
      </c>
      <c r="FF106" s="53">
        <f t="shared" si="1089"/>
        <v>0</v>
      </c>
      <c r="FG106" s="51">
        <f t="shared" si="1090"/>
        <v>0</v>
      </c>
      <c r="FH106" s="52">
        <f t="shared" si="1091"/>
        <v>0</v>
      </c>
      <c r="FI106" s="51">
        <f t="shared" si="1092"/>
        <v>0</v>
      </c>
      <c r="FJ106" s="48">
        <f t="shared" si="1093"/>
        <v>0</v>
      </c>
      <c r="FK106" s="51">
        <f t="shared" si="1094"/>
        <v>0</v>
      </c>
      <c r="FL106" s="53">
        <f t="shared" si="1095"/>
        <v>0</v>
      </c>
      <c r="FM106" s="51">
        <f t="shared" si="1096"/>
        <v>0</v>
      </c>
      <c r="FN106" s="53">
        <f t="shared" si="1097"/>
        <v>0</v>
      </c>
      <c r="FO106" s="51">
        <f t="shared" si="1098"/>
        <v>0</v>
      </c>
      <c r="FP106" s="53">
        <f t="shared" si="1099"/>
        <v>0</v>
      </c>
      <c r="FQ106" s="51">
        <f t="shared" si="1100"/>
        <v>0</v>
      </c>
      <c r="FR106" s="48">
        <f t="shared" si="1101"/>
        <v>0</v>
      </c>
      <c r="FS106" s="51">
        <f t="shared" si="1102"/>
        <v>0</v>
      </c>
      <c r="FT106" s="53">
        <f t="shared" si="1103"/>
        <v>0</v>
      </c>
      <c r="FU106" s="51">
        <f t="shared" si="1104"/>
        <v>0</v>
      </c>
      <c r="FV106" s="53">
        <f t="shared" si="1105"/>
        <v>0</v>
      </c>
      <c r="FW106" s="51">
        <f t="shared" si="1106"/>
        <v>0</v>
      </c>
      <c r="FX106" s="53">
        <f t="shared" si="1107"/>
        <v>0</v>
      </c>
      <c r="FY106" s="51">
        <f t="shared" si="1108"/>
        <v>0</v>
      </c>
      <c r="FZ106" s="53">
        <f t="shared" si="1109"/>
        <v>0</v>
      </c>
      <c r="GA106" s="51">
        <f t="shared" si="1110"/>
        <v>0</v>
      </c>
      <c r="GB106" s="48">
        <f t="shared" si="1111"/>
        <v>0</v>
      </c>
      <c r="GC106" s="51">
        <f t="shared" si="1112"/>
        <v>0</v>
      </c>
      <c r="GD106" s="53">
        <f t="shared" si="1113"/>
        <v>0</v>
      </c>
      <c r="GE106" s="51">
        <f t="shared" si="1114"/>
        <v>0</v>
      </c>
      <c r="GF106" s="53">
        <f t="shared" si="1115"/>
        <v>0</v>
      </c>
      <c r="GG106" s="51">
        <f t="shared" si="1116"/>
        <v>0</v>
      </c>
      <c r="GH106" s="48">
        <f t="shared" si="1117"/>
        <v>0</v>
      </c>
      <c r="GI106" s="51">
        <f t="shared" si="1118"/>
        <v>0</v>
      </c>
      <c r="GJ106" s="48"/>
      <c r="GK106" s="48"/>
      <c r="GL106" s="48">
        <v>1</v>
      </c>
      <c r="GM106" s="48">
        <v>0.97</v>
      </c>
      <c r="GN106" s="48">
        <v>0.95</v>
      </c>
      <c r="GO106" s="48">
        <v>0.93</v>
      </c>
      <c r="GP106" s="48">
        <f t="shared" ref="GP106:HG106" si="1190">+GO106-0.02</f>
        <v>0.91</v>
      </c>
      <c r="GQ106" s="48">
        <f t="shared" si="1190"/>
        <v>0.89</v>
      </c>
      <c r="GR106" s="48">
        <f t="shared" si="1190"/>
        <v>0.87</v>
      </c>
      <c r="GS106" s="48">
        <f t="shared" si="1190"/>
        <v>0.85</v>
      </c>
      <c r="GT106" s="48">
        <f t="shared" si="1190"/>
        <v>0.83</v>
      </c>
      <c r="GU106" s="48">
        <f t="shared" si="1190"/>
        <v>0.80999999999999994</v>
      </c>
      <c r="GV106" s="48">
        <f t="shared" si="1190"/>
        <v>0.78999999999999992</v>
      </c>
      <c r="GW106" s="48">
        <f t="shared" si="1190"/>
        <v>0.76999999999999991</v>
      </c>
      <c r="GX106" s="48">
        <f t="shared" si="1190"/>
        <v>0.74999999999999989</v>
      </c>
      <c r="GY106" s="48">
        <f t="shared" si="1190"/>
        <v>0.72999999999999987</v>
      </c>
      <c r="GZ106" s="48">
        <f t="shared" si="1190"/>
        <v>0.70999999999999985</v>
      </c>
      <c r="HA106" s="48">
        <f t="shared" si="1190"/>
        <v>0.68999999999999984</v>
      </c>
      <c r="HB106" s="48">
        <f t="shared" si="1190"/>
        <v>0.66999999999999982</v>
      </c>
      <c r="HC106" s="48">
        <f t="shared" si="1190"/>
        <v>0.6499999999999998</v>
      </c>
      <c r="HD106" s="48">
        <f t="shared" si="1190"/>
        <v>0.62999999999999978</v>
      </c>
      <c r="HE106" s="48">
        <f t="shared" si="1190"/>
        <v>0.60999999999999976</v>
      </c>
      <c r="HF106" s="48">
        <f t="shared" si="1190"/>
        <v>0.58999999999999975</v>
      </c>
      <c r="HG106" s="48">
        <f t="shared" si="1190"/>
        <v>0.56999999999999973</v>
      </c>
    </row>
    <row r="107" spans="1:215" x14ac:dyDescent="0.3">
      <c r="A107" s="2">
        <v>16</v>
      </c>
      <c r="C107" s="29" t="s">
        <v>175</v>
      </c>
      <c r="D107" s="44">
        <v>0</v>
      </c>
      <c r="E107" s="73">
        <f t="shared" si="988"/>
        <v>0</v>
      </c>
      <c r="G107" s="48">
        <f t="shared" si="948"/>
        <v>0</v>
      </c>
      <c r="H107" s="48">
        <f t="shared" si="949"/>
        <v>0</v>
      </c>
      <c r="I107" s="51">
        <f t="shared" si="950"/>
        <v>0</v>
      </c>
      <c r="J107" s="48">
        <f t="shared" si="989"/>
        <v>0</v>
      </c>
      <c r="K107" s="51">
        <f t="shared" si="990"/>
        <v>0</v>
      </c>
      <c r="L107" s="48">
        <f t="shared" si="991"/>
        <v>0</v>
      </c>
      <c r="M107" s="51">
        <f t="shared" si="992"/>
        <v>0</v>
      </c>
      <c r="N107" s="48">
        <f t="shared" si="993"/>
        <v>0</v>
      </c>
      <c r="O107" s="51">
        <f t="shared" si="994"/>
        <v>0</v>
      </c>
      <c r="P107" s="52">
        <f t="shared" si="995"/>
        <v>0</v>
      </c>
      <c r="Q107" s="51">
        <f t="shared" si="996"/>
        <v>0</v>
      </c>
      <c r="R107" s="48">
        <f t="shared" si="997"/>
        <v>0</v>
      </c>
      <c r="S107" s="51">
        <f t="shared" si="998"/>
        <v>0</v>
      </c>
      <c r="T107" s="52">
        <f t="shared" si="999"/>
        <v>0</v>
      </c>
      <c r="U107" s="51">
        <f t="shared" si="1000"/>
        <v>0</v>
      </c>
      <c r="V107" s="53">
        <f t="shared" si="1001"/>
        <v>0</v>
      </c>
      <c r="W107" s="51">
        <f t="shared" si="1002"/>
        <v>0</v>
      </c>
      <c r="X107" s="52">
        <f t="shared" si="1003"/>
        <v>0</v>
      </c>
      <c r="Y107" s="51">
        <f t="shared" si="1004"/>
        <v>0</v>
      </c>
      <c r="Z107" s="48">
        <f t="shared" si="1005"/>
        <v>0</v>
      </c>
      <c r="AA107" s="51">
        <f t="shared" si="1006"/>
        <v>0</v>
      </c>
      <c r="AB107" s="53">
        <f t="shared" si="1007"/>
        <v>0</v>
      </c>
      <c r="AC107" s="51">
        <f t="shared" si="1008"/>
        <v>0</v>
      </c>
      <c r="AD107" s="53">
        <f t="shared" si="1009"/>
        <v>0</v>
      </c>
      <c r="AE107" s="51">
        <f t="shared" si="1010"/>
        <v>0</v>
      </c>
      <c r="AF107" s="53">
        <f t="shared" si="1011"/>
        <v>0</v>
      </c>
      <c r="AG107" s="51">
        <f t="shared" si="1012"/>
        <v>0</v>
      </c>
      <c r="AH107" s="48">
        <f t="shared" si="1013"/>
        <v>0</v>
      </c>
      <c r="AI107" s="51">
        <f t="shared" si="1014"/>
        <v>0</v>
      </c>
      <c r="AJ107" s="53">
        <f t="shared" si="1015"/>
        <v>0</v>
      </c>
      <c r="AK107" s="51">
        <f t="shared" si="1016"/>
        <v>0</v>
      </c>
      <c r="AL107" s="53">
        <f t="shared" si="1017"/>
        <v>0</v>
      </c>
      <c r="AM107" s="51">
        <f t="shared" si="1018"/>
        <v>0</v>
      </c>
      <c r="AN107" s="53">
        <f t="shared" si="1019"/>
        <v>0</v>
      </c>
      <c r="AO107" s="51">
        <f t="shared" si="1020"/>
        <v>0</v>
      </c>
      <c r="AP107" s="53">
        <f t="shared" si="1021"/>
        <v>0</v>
      </c>
      <c r="AQ107" s="51">
        <f t="shared" si="1022"/>
        <v>0</v>
      </c>
      <c r="AR107" s="48">
        <f t="shared" si="1023"/>
        <v>0</v>
      </c>
      <c r="AS107" s="51">
        <f t="shared" si="1024"/>
        <v>0</v>
      </c>
      <c r="AT107" s="53">
        <f t="shared" si="1025"/>
        <v>0</v>
      </c>
      <c r="AU107" s="51">
        <f t="shared" si="1026"/>
        <v>0</v>
      </c>
      <c r="AV107" s="53">
        <f t="shared" si="1027"/>
        <v>0</v>
      </c>
      <c r="AW107" s="51">
        <f t="shared" si="1028"/>
        <v>0</v>
      </c>
      <c r="AX107" s="48">
        <f t="shared" si="1029"/>
        <v>0</v>
      </c>
      <c r="AY107" s="51">
        <f t="shared" si="1030"/>
        <v>0</v>
      </c>
      <c r="BB107" s="48">
        <v>1</v>
      </c>
      <c r="BC107" s="48">
        <v>0.97</v>
      </c>
      <c r="BD107" s="48">
        <v>0.95</v>
      </c>
      <c r="BE107" s="48">
        <v>0.93</v>
      </c>
      <c r="BF107" s="48">
        <f t="shared" ref="BF107:BW107" si="1191">+BE107-0.02</f>
        <v>0.91</v>
      </c>
      <c r="BG107" s="48">
        <f t="shared" si="1191"/>
        <v>0.89</v>
      </c>
      <c r="BH107" s="48">
        <f t="shared" si="1191"/>
        <v>0.87</v>
      </c>
      <c r="BI107" s="48">
        <f t="shared" si="1191"/>
        <v>0.85</v>
      </c>
      <c r="BJ107" s="48">
        <f t="shared" si="1191"/>
        <v>0.83</v>
      </c>
      <c r="BK107" s="48">
        <f t="shared" si="1191"/>
        <v>0.80999999999999994</v>
      </c>
      <c r="BL107" s="48">
        <f t="shared" si="1191"/>
        <v>0.78999999999999992</v>
      </c>
      <c r="BM107" s="48">
        <f t="shared" si="1191"/>
        <v>0.76999999999999991</v>
      </c>
      <c r="BN107" s="48">
        <f t="shared" si="1191"/>
        <v>0.74999999999999989</v>
      </c>
      <c r="BO107" s="48">
        <f t="shared" si="1191"/>
        <v>0.72999999999999987</v>
      </c>
      <c r="BP107" s="48">
        <f t="shared" si="1191"/>
        <v>0.70999999999999985</v>
      </c>
      <c r="BQ107" s="48">
        <f t="shared" si="1191"/>
        <v>0.68999999999999984</v>
      </c>
      <c r="BR107" s="48">
        <f t="shared" si="1191"/>
        <v>0.66999999999999982</v>
      </c>
      <c r="BS107" s="48">
        <f t="shared" si="1191"/>
        <v>0.6499999999999998</v>
      </c>
      <c r="BT107" s="48">
        <f t="shared" si="1191"/>
        <v>0.62999999999999978</v>
      </c>
      <c r="BU107" s="48">
        <f t="shared" si="1191"/>
        <v>0.60999999999999976</v>
      </c>
      <c r="BV107" s="48">
        <f t="shared" si="1191"/>
        <v>0.58999999999999975</v>
      </c>
      <c r="BW107" s="48">
        <f t="shared" si="1191"/>
        <v>0.56999999999999973</v>
      </c>
      <c r="BY107" s="48">
        <f t="shared" si="952"/>
        <v>0</v>
      </c>
      <c r="BZ107" s="48">
        <f t="shared" si="953"/>
        <v>0</v>
      </c>
      <c r="CA107" s="51">
        <f t="shared" ref="CA107" si="1192">+BZ107*3.3058</f>
        <v>0</v>
      </c>
      <c r="CB107" s="48">
        <f t="shared" si="1033"/>
        <v>0</v>
      </c>
      <c r="CC107" s="51">
        <f t="shared" si="1034"/>
        <v>0</v>
      </c>
      <c r="CD107" s="48">
        <f t="shared" si="1035"/>
        <v>0</v>
      </c>
      <c r="CE107" s="51">
        <f t="shared" si="1036"/>
        <v>0</v>
      </c>
      <c r="CF107" s="48">
        <f t="shared" si="1037"/>
        <v>0</v>
      </c>
      <c r="CG107" s="51">
        <f t="shared" si="1038"/>
        <v>0</v>
      </c>
      <c r="CH107" s="52">
        <f t="shared" si="1039"/>
        <v>0</v>
      </c>
      <c r="CI107" s="51">
        <f t="shared" si="1040"/>
        <v>0</v>
      </c>
      <c r="CJ107" s="48">
        <f t="shared" si="1041"/>
        <v>0</v>
      </c>
      <c r="CK107" s="51">
        <f t="shared" si="1042"/>
        <v>0</v>
      </c>
      <c r="CL107" s="52">
        <f t="shared" si="1043"/>
        <v>0</v>
      </c>
      <c r="CM107" s="51">
        <f t="shared" si="1044"/>
        <v>0</v>
      </c>
      <c r="CN107" s="53">
        <f t="shared" si="1045"/>
        <v>0</v>
      </c>
      <c r="CO107" s="51">
        <f t="shared" si="1046"/>
        <v>0</v>
      </c>
      <c r="CP107" s="52">
        <f t="shared" si="1047"/>
        <v>0</v>
      </c>
      <c r="CQ107" s="51">
        <f t="shared" si="1048"/>
        <v>0</v>
      </c>
      <c r="CR107" s="48">
        <f t="shared" si="1049"/>
        <v>0</v>
      </c>
      <c r="CS107" s="51">
        <f t="shared" si="1050"/>
        <v>0</v>
      </c>
      <c r="CT107" s="53">
        <f t="shared" si="1051"/>
        <v>0</v>
      </c>
      <c r="CU107" s="51">
        <f t="shared" si="1052"/>
        <v>0</v>
      </c>
      <c r="CV107" s="53">
        <f t="shared" si="1053"/>
        <v>0</v>
      </c>
      <c r="CW107" s="51">
        <f t="shared" si="1054"/>
        <v>0</v>
      </c>
      <c r="CX107" s="53">
        <f t="shared" si="1055"/>
        <v>0</v>
      </c>
      <c r="CY107" s="51">
        <f t="shared" si="1056"/>
        <v>0</v>
      </c>
      <c r="CZ107" s="48">
        <f t="shared" si="1057"/>
        <v>0</v>
      </c>
      <c r="DA107" s="51">
        <f t="shared" si="1058"/>
        <v>0</v>
      </c>
      <c r="DB107" s="53">
        <f t="shared" si="1059"/>
        <v>0</v>
      </c>
      <c r="DC107" s="51">
        <f t="shared" si="1060"/>
        <v>0</v>
      </c>
      <c r="DD107" s="53">
        <f t="shared" si="1061"/>
        <v>0</v>
      </c>
      <c r="DE107" s="51">
        <f t="shared" si="1062"/>
        <v>0</v>
      </c>
      <c r="DF107" s="53">
        <f t="shared" si="1063"/>
        <v>0</v>
      </c>
      <c r="DG107" s="51">
        <f t="shared" si="1064"/>
        <v>0</v>
      </c>
      <c r="DH107" s="53">
        <f t="shared" si="1065"/>
        <v>0</v>
      </c>
      <c r="DI107" s="51">
        <f t="shared" si="1066"/>
        <v>0</v>
      </c>
      <c r="DJ107" s="48">
        <f t="shared" si="1067"/>
        <v>0</v>
      </c>
      <c r="DK107" s="51">
        <f t="shared" si="1068"/>
        <v>0</v>
      </c>
      <c r="DL107" s="53">
        <f t="shared" si="1069"/>
        <v>0</v>
      </c>
      <c r="DM107" s="51">
        <f t="shared" si="1070"/>
        <v>0</v>
      </c>
      <c r="DN107" s="53">
        <f t="shared" si="1071"/>
        <v>0</v>
      </c>
      <c r="DO107" s="51">
        <f t="shared" si="1072"/>
        <v>0</v>
      </c>
      <c r="DP107" s="48">
        <f t="shared" si="1073"/>
        <v>0</v>
      </c>
      <c r="DQ107" s="51">
        <f t="shared" si="1074"/>
        <v>0</v>
      </c>
      <c r="DT107" s="48">
        <v>1</v>
      </c>
      <c r="DU107" s="48">
        <v>0.97</v>
      </c>
      <c r="DV107" s="48">
        <v>0.95</v>
      </c>
      <c r="DW107" s="48">
        <v>0.93</v>
      </c>
      <c r="DX107" s="48">
        <f t="shared" ref="DX107:EO107" si="1193">+DW107-0.02</f>
        <v>0.91</v>
      </c>
      <c r="DY107" s="48">
        <f t="shared" si="1193"/>
        <v>0.89</v>
      </c>
      <c r="DZ107" s="48">
        <f t="shared" si="1193"/>
        <v>0.87</v>
      </c>
      <c r="EA107" s="48">
        <f t="shared" si="1193"/>
        <v>0.85</v>
      </c>
      <c r="EB107" s="48">
        <f t="shared" si="1193"/>
        <v>0.83</v>
      </c>
      <c r="EC107" s="48">
        <f t="shared" si="1193"/>
        <v>0.80999999999999994</v>
      </c>
      <c r="ED107" s="48">
        <f t="shared" si="1193"/>
        <v>0.78999999999999992</v>
      </c>
      <c r="EE107" s="48">
        <f t="shared" si="1193"/>
        <v>0.76999999999999991</v>
      </c>
      <c r="EF107" s="48">
        <f t="shared" si="1193"/>
        <v>0.74999999999999989</v>
      </c>
      <c r="EG107" s="48">
        <f t="shared" si="1193"/>
        <v>0.72999999999999987</v>
      </c>
      <c r="EH107" s="48">
        <f t="shared" si="1193"/>
        <v>0.70999999999999985</v>
      </c>
      <c r="EI107" s="48">
        <f t="shared" si="1193"/>
        <v>0.68999999999999984</v>
      </c>
      <c r="EJ107" s="48">
        <f t="shared" si="1193"/>
        <v>0.66999999999999982</v>
      </c>
      <c r="EK107" s="48">
        <f t="shared" si="1193"/>
        <v>0.6499999999999998</v>
      </c>
      <c r="EL107" s="48">
        <f t="shared" si="1193"/>
        <v>0.62999999999999978</v>
      </c>
      <c r="EM107" s="48">
        <f t="shared" si="1193"/>
        <v>0.60999999999999976</v>
      </c>
      <c r="EN107" s="48">
        <f t="shared" si="1193"/>
        <v>0.58999999999999975</v>
      </c>
      <c r="EO107" s="48">
        <f t="shared" si="1193"/>
        <v>0.56999999999999973</v>
      </c>
      <c r="EQ107" s="48">
        <f t="shared" si="1128"/>
        <v>0</v>
      </c>
      <c r="ER107" s="48">
        <f t="shared" si="956"/>
        <v>0</v>
      </c>
      <c r="ES107" s="51">
        <f t="shared" ref="ES107" si="1194">+ER107*3.3058</f>
        <v>0</v>
      </c>
      <c r="ET107" s="48">
        <f t="shared" si="1077"/>
        <v>0</v>
      </c>
      <c r="EU107" s="51">
        <f t="shared" si="1078"/>
        <v>0</v>
      </c>
      <c r="EV107" s="48">
        <f t="shared" si="1079"/>
        <v>0</v>
      </c>
      <c r="EW107" s="51">
        <f t="shared" si="1080"/>
        <v>0</v>
      </c>
      <c r="EX107" s="48">
        <f t="shared" si="1081"/>
        <v>0</v>
      </c>
      <c r="EY107" s="51">
        <f t="shared" si="1082"/>
        <v>0</v>
      </c>
      <c r="EZ107" s="52">
        <f t="shared" si="1083"/>
        <v>0</v>
      </c>
      <c r="FA107" s="51">
        <f t="shared" si="1084"/>
        <v>0</v>
      </c>
      <c r="FB107" s="48">
        <f t="shared" si="1085"/>
        <v>0</v>
      </c>
      <c r="FC107" s="51">
        <f t="shared" si="1086"/>
        <v>0</v>
      </c>
      <c r="FD107" s="52">
        <f t="shared" si="1087"/>
        <v>0</v>
      </c>
      <c r="FE107" s="51">
        <f t="shared" si="1088"/>
        <v>0</v>
      </c>
      <c r="FF107" s="53">
        <f t="shared" si="1089"/>
        <v>0</v>
      </c>
      <c r="FG107" s="51">
        <f t="shared" si="1090"/>
        <v>0</v>
      </c>
      <c r="FH107" s="52">
        <f t="shared" si="1091"/>
        <v>0</v>
      </c>
      <c r="FI107" s="51">
        <f t="shared" si="1092"/>
        <v>0</v>
      </c>
      <c r="FJ107" s="48">
        <f t="shared" si="1093"/>
        <v>0</v>
      </c>
      <c r="FK107" s="51">
        <f t="shared" si="1094"/>
        <v>0</v>
      </c>
      <c r="FL107" s="53">
        <f t="shared" si="1095"/>
        <v>0</v>
      </c>
      <c r="FM107" s="51">
        <f t="shared" si="1096"/>
        <v>0</v>
      </c>
      <c r="FN107" s="53">
        <f t="shared" si="1097"/>
        <v>0</v>
      </c>
      <c r="FO107" s="51">
        <f t="shared" si="1098"/>
        <v>0</v>
      </c>
      <c r="FP107" s="53">
        <f t="shared" si="1099"/>
        <v>0</v>
      </c>
      <c r="FQ107" s="51">
        <f t="shared" si="1100"/>
        <v>0</v>
      </c>
      <c r="FR107" s="48">
        <f t="shared" si="1101"/>
        <v>0</v>
      </c>
      <c r="FS107" s="51">
        <f t="shared" si="1102"/>
        <v>0</v>
      </c>
      <c r="FT107" s="53">
        <f t="shared" si="1103"/>
        <v>0</v>
      </c>
      <c r="FU107" s="51">
        <f t="shared" si="1104"/>
        <v>0</v>
      </c>
      <c r="FV107" s="53">
        <f t="shared" si="1105"/>
        <v>0</v>
      </c>
      <c r="FW107" s="51">
        <f t="shared" si="1106"/>
        <v>0</v>
      </c>
      <c r="FX107" s="53">
        <f t="shared" si="1107"/>
        <v>0</v>
      </c>
      <c r="FY107" s="51">
        <f t="shared" si="1108"/>
        <v>0</v>
      </c>
      <c r="FZ107" s="53">
        <f t="shared" si="1109"/>
        <v>0</v>
      </c>
      <c r="GA107" s="51">
        <f t="shared" si="1110"/>
        <v>0</v>
      </c>
      <c r="GB107" s="48">
        <f t="shared" si="1111"/>
        <v>0</v>
      </c>
      <c r="GC107" s="51">
        <f t="shared" si="1112"/>
        <v>0</v>
      </c>
      <c r="GD107" s="53">
        <f t="shared" si="1113"/>
        <v>0</v>
      </c>
      <c r="GE107" s="51">
        <f t="shared" si="1114"/>
        <v>0</v>
      </c>
      <c r="GF107" s="53">
        <f t="shared" si="1115"/>
        <v>0</v>
      </c>
      <c r="GG107" s="51">
        <f t="shared" si="1116"/>
        <v>0</v>
      </c>
      <c r="GH107" s="48">
        <f t="shared" si="1117"/>
        <v>0</v>
      </c>
      <c r="GI107" s="51">
        <f t="shared" si="1118"/>
        <v>0</v>
      </c>
      <c r="GJ107" s="48"/>
      <c r="GK107" s="48"/>
      <c r="GL107" s="48">
        <v>1</v>
      </c>
      <c r="GM107" s="48">
        <v>0.97</v>
      </c>
      <c r="GN107" s="48">
        <v>0.95</v>
      </c>
      <c r="GO107" s="48">
        <v>0.93</v>
      </c>
      <c r="GP107" s="48">
        <f t="shared" ref="GP107:HG107" si="1195">+GO107-0.02</f>
        <v>0.91</v>
      </c>
      <c r="GQ107" s="48">
        <f t="shared" si="1195"/>
        <v>0.89</v>
      </c>
      <c r="GR107" s="48">
        <f t="shared" si="1195"/>
        <v>0.87</v>
      </c>
      <c r="GS107" s="48">
        <f t="shared" si="1195"/>
        <v>0.85</v>
      </c>
      <c r="GT107" s="48">
        <f t="shared" si="1195"/>
        <v>0.83</v>
      </c>
      <c r="GU107" s="48">
        <f t="shared" si="1195"/>
        <v>0.80999999999999994</v>
      </c>
      <c r="GV107" s="48">
        <f t="shared" si="1195"/>
        <v>0.78999999999999992</v>
      </c>
      <c r="GW107" s="48">
        <f t="shared" si="1195"/>
        <v>0.76999999999999991</v>
      </c>
      <c r="GX107" s="48">
        <f t="shared" si="1195"/>
        <v>0.74999999999999989</v>
      </c>
      <c r="GY107" s="48">
        <f t="shared" si="1195"/>
        <v>0.72999999999999987</v>
      </c>
      <c r="GZ107" s="48">
        <f t="shared" si="1195"/>
        <v>0.70999999999999985</v>
      </c>
      <c r="HA107" s="48">
        <f t="shared" si="1195"/>
        <v>0.68999999999999984</v>
      </c>
      <c r="HB107" s="48">
        <f t="shared" si="1195"/>
        <v>0.66999999999999982</v>
      </c>
      <c r="HC107" s="48">
        <f t="shared" si="1195"/>
        <v>0.6499999999999998</v>
      </c>
      <c r="HD107" s="48">
        <f t="shared" si="1195"/>
        <v>0.62999999999999978</v>
      </c>
      <c r="HE107" s="48">
        <f t="shared" si="1195"/>
        <v>0.60999999999999976</v>
      </c>
      <c r="HF107" s="48">
        <f t="shared" si="1195"/>
        <v>0.58999999999999975</v>
      </c>
      <c r="HG107" s="48">
        <f t="shared" si="1195"/>
        <v>0.56999999999999973</v>
      </c>
    </row>
    <row r="108" spans="1:215" x14ac:dyDescent="0.3">
      <c r="A108" s="2">
        <v>17</v>
      </c>
      <c r="C108" s="29" t="s">
        <v>176</v>
      </c>
      <c r="D108" s="44">
        <f>TRUNC(2517.88208714238,-1)</f>
        <v>2510</v>
      </c>
      <c r="E108" s="73">
        <f t="shared" si="988"/>
        <v>8290</v>
      </c>
      <c r="F108" s="2" t="s">
        <v>367</v>
      </c>
      <c r="G108" s="48">
        <f t="shared" si="948"/>
        <v>2761</v>
      </c>
      <c r="H108" s="48">
        <f t="shared" si="949"/>
        <v>2761</v>
      </c>
      <c r="I108" s="51">
        <f t="shared" si="950"/>
        <v>9127.3137999999999</v>
      </c>
      <c r="J108" s="48">
        <f t="shared" si="989"/>
        <v>2678.17</v>
      </c>
      <c r="K108" s="51">
        <f t="shared" si="990"/>
        <v>8853.4943860000003</v>
      </c>
      <c r="L108" s="48">
        <f t="shared" si="991"/>
        <v>2622.95</v>
      </c>
      <c r="M108" s="51">
        <f t="shared" si="992"/>
        <v>8670.9481099999994</v>
      </c>
      <c r="N108" s="48">
        <f t="shared" si="993"/>
        <v>2567.73</v>
      </c>
      <c r="O108" s="51">
        <f t="shared" si="994"/>
        <v>8488.4018340000002</v>
      </c>
      <c r="P108" s="52">
        <f t="shared" si="995"/>
        <v>2512.5100000000002</v>
      </c>
      <c r="Q108" s="51">
        <f t="shared" si="996"/>
        <v>8305.8555580000011</v>
      </c>
      <c r="R108" s="48">
        <f t="shared" si="997"/>
        <v>2457.29</v>
      </c>
      <c r="S108" s="51">
        <f t="shared" si="998"/>
        <v>8123.3092820000002</v>
      </c>
      <c r="T108" s="52">
        <f t="shared" si="999"/>
        <v>2402.0700000000002</v>
      </c>
      <c r="U108" s="51">
        <f t="shared" si="1000"/>
        <v>7940.763006000001</v>
      </c>
      <c r="V108" s="53">
        <f t="shared" si="1001"/>
        <v>2346.85</v>
      </c>
      <c r="W108" s="51">
        <f t="shared" si="1002"/>
        <v>7758.2167300000001</v>
      </c>
      <c r="X108" s="52">
        <f t="shared" si="1003"/>
        <v>2291.63</v>
      </c>
      <c r="Y108" s="51">
        <f t="shared" si="1004"/>
        <v>7575.670454000001</v>
      </c>
      <c r="Z108" s="48">
        <f t="shared" si="1005"/>
        <v>2236.41</v>
      </c>
      <c r="AA108" s="51">
        <f t="shared" si="1006"/>
        <v>7393.124178</v>
      </c>
      <c r="AB108" s="53">
        <f t="shared" si="1007"/>
        <v>2181.1899999999996</v>
      </c>
      <c r="AC108" s="51">
        <f t="shared" si="1008"/>
        <v>7210.5779019999991</v>
      </c>
      <c r="AD108" s="53">
        <f t="shared" si="1009"/>
        <v>2125.9699999999998</v>
      </c>
      <c r="AE108" s="51">
        <f t="shared" si="1010"/>
        <v>7028.0316259999991</v>
      </c>
      <c r="AF108" s="53">
        <f t="shared" si="1011"/>
        <v>2070.7499999999995</v>
      </c>
      <c r="AG108" s="51">
        <f t="shared" si="1012"/>
        <v>6845.485349999999</v>
      </c>
      <c r="AH108" s="48">
        <f t="shared" si="1013"/>
        <v>2015.5299999999997</v>
      </c>
      <c r="AI108" s="51">
        <f t="shared" si="1014"/>
        <v>6662.939073999999</v>
      </c>
      <c r="AJ108" s="53">
        <f t="shared" si="1015"/>
        <v>1960.3099999999995</v>
      </c>
      <c r="AK108" s="51">
        <f t="shared" si="1016"/>
        <v>6480.392797999998</v>
      </c>
      <c r="AL108" s="53">
        <f t="shared" si="1017"/>
        <v>1905.0899999999995</v>
      </c>
      <c r="AM108" s="51">
        <f t="shared" si="1018"/>
        <v>6297.846521999998</v>
      </c>
      <c r="AN108" s="53">
        <f t="shared" si="1019"/>
        <v>1849.8699999999994</v>
      </c>
      <c r="AO108" s="51">
        <f t="shared" si="1020"/>
        <v>6115.300245999998</v>
      </c>
      <c r="AP108" s="53">
        <f t="shared" si="1021"/>
        <v>1794.6499999999994</v>
      </c>
      <c r="AQ108" s="51">
        <f t="shared" si="1022"/>
        <v>5932.7539699999979</v>
      </c>
      <c r="AR108" s="48">
        <f t="shared" si="1023"/>
        <v>1739.4299999999994</v>
      </c>
      <c r="AS108" s="51">
        <f t="shared" si="1024"/>
        <v>5750.2076939999979</v>
      </c>
      <c r="AT108" s="53">
        <f t="shared" si="1025"/>
        <v>1684.2099999999994</v>
      </c>
      <c r="AU108" s="51">
        <f t="shared" si="1026"/>
        <v>5567.6614179999979</v>
      </c>
      <c r="AV108" s="53">
        <f t="shared" si="1027"/>
        <v>1628.9899999999993</v>
      </c>
      <c r="AW108" s="51">
        <f t="shared" si="1028"/>
        <v>5385.1151419999978</v>
      </c>
      <c r="AX108" s="48">
        <f t="shared" si="1029"/>
        <v>1573.7699999999993</v>
      </c>
      <c r="AY108" s="51">
        <f t="shared" si="1030"/>
        <v>5202.5688659999978</v>
      </c>
      <c r="BB108" s="48">
        <v>1</v>
      </c>
      <c r="BC108" s="48">
        <v>0.97</v>
      </c>
      <c r="BD108" s="48">
        <v>0.95</v>
      </c>
      <c r="BE108" s="48">
        <v>0.93</v>
      </c>
      <c r="BF108" s="48">
        <f t="shared" ref="BF108:BW108" si="1196">+BE108-0.02</f>
        <v>0.91</v>
      </c>
      <c r="BG108" s="48">
        <f t="shared" si="1196"/>
        <v>0.89</v>
      </c>
      <c r="BH108" s="48">
        <f t="shared" si="1196"/>
        <v>0.87</v>
      </c>
      <c r="BI108" s="48">
        <f t="shared" si="1196"/>
        <v>0.85</v>
      </c>
      <c r="BJ108" s="48">
        <f t="shared" si="1196"/>
        <v>0.83</v>
      </c>
      <c r="BK108" s="48">
        <f t="shared" si="1196"/>
        <v>0.80999999999999994</v>
      </c>
      <c r="BL108" s="48">
        <f t="shared" si="1196"/>
        <v>0.78999999999999992</v>
      </c>
      <c r="BM108" s="48">
        <f t="shared" si="1196"/>
        <v>0.76999999999999991</v>
      </c>
      <c r="BN108" s="48">
        <f t="shared" si="1196"/>
        <v>0.74999999999999989</v>
      </c>
      <c r="BO108" s="48">
        <f t="shared" si="1196"/>
        <v>0.72999999999999987</v>
      </c>
      <c r="BP108" s="48">
        <f t="shared" si="1196"/>
        <v>0.70999999999999985</v>
      </c>
      <c r="BQ108" s="48">
        <f t="shared" si="1196"/>
        <v>0.68999999999999984</v>
      </c>
      <c r="BR108" s="48">
        <f t="shared" si="1196"/>
        <v>0.66999999999999982</v>
      </c>
      <c r="BS108" s="48">
        <f t="shared" si="1196"/>
        <v>0.6499999999999998</v>
      </c>
      <c r="BT108" s="48">
        <f t="shared" si="1196"/>
        <v>0.62999999999999978</v>
      </c>
      <c r="BU108" s="48">
        <f t="shared" si="1196"/>
        <v>0.60999999999999976</v>
      </c>
      <c r="BV108" s="48">
        <f t="shared" si="1196"/>
        <v>0.58999999999999975</v>
      </c>
      <c r="BW108" s="48">
        <f t="shared" si="1196"/>
        <v>0.56999999999999973</v>
      </c>
      <c r="BY108" s="48">
        <f t="shared" si="952"/>
        <v>2512.5100000000002</v>
      </c>
      <c r="BZ108" s="48">
        <f t="shared" si="953"/>
        <v>2512.5100000000002</v>
      </c>
      <c r="CA108" s="51">
        <f t="shared" ref="CA108" si="1197">+BZ108*3.3058</f>
        <v>8305.8555580000011</v>
      </c>
      <c r="CB108" s="48">
        <f t="shared" si="1033"/>
        <v>2437.1347000000001</v>
      </c>
      <c r="CC108" s="51">
        <f t="shared" si="1034"/>
        <v>8056.6798912600007</v>
      </c>
      <c r="CD108" s="48">
        <f t="shared" si="1035"/>
        <v>2386.8845000000001</v>
      </c>
      <c r="CE108" s="51">
        <f t="shared" si="1036"/>
        <v>7890.562780100001</v>
      </c>
      <c r="CF108" s="48">
        <f t="shared" si="1037"/>
        <v>2336.6343000000002</v>
      </c>
      <c r="CG108" s="51">
        <f t="shared" si="1038"/>
        <v>7724.4456689400004</v>
      </c>
      <c r="CH108" s="52">
        <f t="shared" si="1039"/>
        <v>2286.3841000000002</v>
      </c>
      <c r="CI108" s="51">
        <f t="shared" si="1040"/>
        <v>7558.3285577800007</v>
      </c>
      <c r="CJ108" s="48">
        <f t="shared" si="1041"/>
        <v>2236.1339000000003</v>
      </c>
      <c r="CK108" s="51">
        <f t="shared" si="1042"/>
        <v>7392.211446620001</v>
      </c>
      <c r="CL108" s="52">
        <f t="shared" si="1043"/>
        <v>2185.8837000000003</v>
      </c>
      <c r="CM108" s="51">
        <f t="shared" si="1044"/>
        <v>7226.0943354600013</v>
      </c>
      <c r="CN108" s="53">
        <f t="shared" si="1045"/>
        <v>2135.6334999999999</v>
      </c>
      <c r="CO108" s="51">
        <f t="shared" si="1046"/>
        <v>7059.9772242999998</v>
      </c>
      <c r="CP108" s="52">
        <f t="shared" si="1047"/>
        <v>2085.3833</v>
      </c>
      <c r="CQ108" s="51">
        <f t="shared" si="1048"/>
        <v>6893.8601131400001</v>
      </c>
      <c r="CR108" s="48">
        <f t="shared" si="1049"/>
        <v>2035.1331</v>
      </c>
      <c r="CS108" s="51">
        <f t="shared" si="1050"/>
        <v>6727.7430019800004</v>
      </c>
      <c r="CT108" s="53">
        <f t="shared" si="1051"/>
        <v>1984.8829000000001</v>
      </c>
      <c r="CU108" s="51">
        <f t="shared" si="1052"/>
        <v>6561.6258908200007</v>
      </c>
      <c r="CV108" s="53">
        <f t="shared" si="1053"/>
        <v>1934.6326999999999</v>
      </c>
      <c r="CW108" s="51">
        <f t="shared" si="1054"/>
        <v>6395.5087796600001</v>
      </c>
      <c r="CX108" s="53">
        <f t="shared" si="1055"/>
        <v>1884.3824999999999</v>
      </c>
      <c r="CY108" s="51">
        <f t="shared" si="1056"/>
        <v>6229.3916685000004</v>
      </c>
      <c r="CZ108" s="48">
        <f t="shared" si="1057"/>
        <v>1834.1322999999998</v>
      </c>
      <c r="DA108" s="51">
        <f t="shared" si="1058"/>
        <v>6063.2745573399998</v>
      </c>
      <c r="DB108" s="53">
        <f t="shared" si="1059"/>
        <v>1783.8820999999998</v>
      </c>
      <c r="DC108" s="51">
        <f t="shared" si="1060"/>
        <v>5897.1574461799992</v>
      </c>
      <c r="DD108" s="53">
        <f t="shared" si="1061"/>
        <v>1733.6318999999996</v>
      </c>
      <c r="DE108" s="51">
        <f t="shared" si="1062"/>
        <v>5731.0403350199986</v>
      </c>
      <c r="DF108" s="53">
        <f t="shared" si="1063"/>
        <v>1683.3816999999997</v>
      </c>
      <c r="DG108" s="51">
        <f t="shared" si="1064"/>
        <v>5564.9232238599989</v>
      </c>
      <c r="DH108" s="53">
        <f t="shared" si="1065"/>
        <v>1633.1314999999997</v>
      </c>
      <c r="DI108" s="51">
        <f t="shared" si="1066"/>
        <v>5398.8061126999992</v>
      </c>
      <c r="DJ108" s="48">
        <f t="shared" si="1067"/>
        <v>1582.8812999999996</v>
      </c>
      <c r="DK108" s="51">
        <f t="shared" si="1068"/>
        <v>5232.6890015399986</v>
      </c>
      <c r="DL108" s="53">
        <f t="shared" si="1069"/>
        <v>1532.6310999999996</v>
      </c>
      <c r="DM108" s="51">
        <f t="shared" si="1070"/>
        <v>5066.5718903799989</v>
      </c>
      <c r="DN108" s="53">
        <f t="shared" si="1071"/>
        <v>1482.3808999999994</v>
      </c>
      <c r="DO108" s="51">
        <f t="shared" si="1072"/>
        <v>4900.4547792199983</v>
      </c>
      <c r="DP108" s="48">
        <f t="shared" si="1073"/>
        <v>1432.1306999999995</v>
      </c>
      <c r="DQ108" s="51">
        <f t="shared" si="1074"/>
        <v>4734.3376680599986</v>
      </c>
      <c r="DT108" s="48">
        <v>1</v>
      </c>
      <c r="DU108" s="48">
        <v>0.97</v>
      </c>
      <c r="DV108" s="48">
        <v>0.95</v>
      </c>
      <c r="DW108" s="48">
        <v>0.93</v>
      </c>
      <c r="DX108" s="48">
        <f t="shared" ref="DX108:EO108" si="1198">+DW108-0.02</f>
        <v>0.91</v>
      </c>
      <c r="DY108" s="48">
        <f t="shared" si="1198"/>
        <v>0.89</v>
      </c>
      <c r="DZ108" s="48">
        <f t="shared" si="1198"/>
        <v>0.87</v>
      </c>
      <c r="EA108" s="48">
        <f t="shared" si="1198"/>
        <v>0.85</v>
      </c>
      <c r="EB108" s="48">
        <f t="shared" si="1198"/>
        <v>0.83</v>
      </c>
      <c r="EC108" s="48">
        <f t="shared" si="1198"/>
        <v>0.80999999999999994</v>
      </c>
      <c r="ED108" s="48">
        <f t="shared" si="1198"/>
        <v>0.78999999999999992</v>
      </c>
      <c r="EE108" s="48">
        <f t="shared" si="1198"/>
        <v>0.76999999999999991</v>
      </c>
      <c r="EF108" s="48">
        <f t="shared" si="1198"/>
        <v>0.74999999999999989</v>
      </c>
      <c r="EG108" s="48">
        <f t="shared" si="1198"/>
        <v>0.72999999999999987</v>
      </c>
      <c r="EH108" s="48">
        <f t="shared" si="1198"/>
        <v>0.70999999999999985</v>
      </c>
      <c r="EI108" s="48">
        <f t="shared" si="1198"/>
        <v>0.68999999999999984</v>
      </c>
      <c r="EJ108" s="48">
        <f t="shared" si="1198"/>
        <v>0.66999999999999982</v>
      </c>
      <c r="EK108" s="48">
        <f t="shared" si="1198"/>
        <v>0.6499999999999998</v>
      </c>
      <c r="EL108" s="48">
        <f t="shared" si="1198"/>
        <v>0.62999999999999978</v>
      </c>
      <c r="EM108" s="48">
        <f t="shared" si="1198"/>
        <v>0.60999999999999976</v>
      </c>
      <c r="EN108" s="48">
        <f t="shared" si="1198"/>
        <v>0.58999999999999975</v>
      </c>
      <c r="EO108" s="48">
        <f t="shared" si="1198"/>
        <v>0.56999999999999973</v>
      </c>
      <c r="EQ108" s="48">
        <f t="shared" si="1128"/>
        <v>2286.3841000000002</v>
      </c>
      <c r="ER108" s="48">
        <f t="shared" si="956"/>
        <v>2286.3841000000002</v>
      </c>
      <c r="ES108" s="51">
        <f t="shared" ref="ES108" si="1199">+ER108*3.3058</f>
        <v>7558.3285577800007</v>
      </c>
      <c r="ET108" s="48">
        <f t="shared" si="1077"/>
        <v>2217.7925770000002</v>
      </c>
      <c r="EU108" s="51">
        <f t="shared" si="1078"/>
        <v>7331.5787010466011</v>
      </c>
      <c r="EV108" s="48">
        <f t="shared" si="1079"/>
        <v>2172.064895</v>
      </c>
      <c r="EW108" s="51">
        <f t="shared" si="1080"/>
        <v>7180.4121298910004</v>
      </c>
      <c r="EX108" s="48">
        <f t="shared" si="1081"/>
        <v>2126.3372130000002</v>
      </c>
      <c r="EY108" s="51">
        <f t="shared" si="1082"/>
        <v>7029.2455587354007</v>
      </c>
      <c r="EZ108" s="52">
        <f t="shared" si="1083"/>
        <v>2080.6095310000001</v>
      </c>
      <c r="FA108" s="51">
        <f t="shared" si="1084"/>
        <v>6878.0789875798</v>
      </c>
      <c r="FB108" s="48">
        <f t="shared" si="1085"/>
        <v>2034.8818490000003</v>
      </c>
      <c r="FC108" s="51">
        <f t="shared" si="1086"/>
        <v>6726.9124164242012</v>
      </c>
      <c r="FD108" s="52">
        <f t="shared" si="1087"/>
        <v>1989.1541670000001</v>
      </c>
      <c r="FE108" s="51">
        <f t="shared" si="1088"/>
        <v>6575.7458452686005</v>
      </c>
      <c r="FF108" s="53">
        <f t="shared" si="1089"/>
        <v>1943.4264850000002</v>
      </c>
      <c r="FG108" s="51">
        <f t="shared" si="1090"/>
        <v>6424.5792741130008</v>
      </c>
      <c r="FH108" s="52">
        <f t="shared" si="1091"/>
        <v>1897.698803</v>
      </c>
      <c r="FI108" s="51">
        <f t="shared" si="1092"/>
        <v>6273.4127029574001</v>
      </c>
      <c r="FJ108" s="48">
        <f t="shared" si="1093"/>
        <v>1851.971121</v>
      </c>
      <c r="FK108" s="51">
        <f t="shared" si="1094"/>
        <v>6122.2461318018004</v>
      </c>
      <c r="FL108" s="53">
        <f t="shared" si="1095"/>
        <v>1806.2434390000001</v>
      </c>
      <c r="FM108" s="51">
        <f t="shared" si="1096"/>
        <v>5971.0795606462007</v>
      </c>
      <c r="FN108" s="53">
        <f t="shared" si="1097"/>
        <v>1760.5157569999999</v>
      </c>
      <c r="FO108" s="51">
        <f t="shared" si="1098"/>
        <v>5819.9129894906</v>
      </c>
      <c r="FP108" s="53">
        <f t="shared" si="1099"/>
        <v>1714.7880749999999</v>
      </c>
      <c r="FQ108" s="51">
        <f t="shared" si="1100"/>
        <v>5668.7464183350003</v>
      </c>
      <c r="FR108" s="48">
        <f t="shared" si="1101"/>
        <v>1669.060393</v>
      </c>
      <c r="FS108" s="51">
        <f t="shared" si="1102"/>
        <v>5517.5798471793996</v>
      </c>
      <c r="FT108" s="53">
        <f t="shared" si="1103"/>
        <v>1623.3327109999998</v>
      </c>
      <c r="FU108" s="51">
        <f t="shared" si="1104"/>
        <v>5366.413276023799</v>
      </c>
      <c r="FV108" s="53">
        <f t="shared" si="1105"/>
        <v>1577.6050289999998</v>
      </c>
      <c r="FW108" s="51">
        <f t="shared" si="1106"/>
        <v>5215.2467048681992</v>
      </c>
      <c r="FX108" s="53">
        <f t="shared" si="1107"/>
        <v>1531.8773469999996</v>
      </c>
      <c r="FY108" s="51">
        <f t="shared" si="1108"/>
        <v>5064.0801337125986</v>
      </c>
      <c r="FZ108" s="53">
        <f t="shared" si="1109"/>
        <v>1486.1496649999997</v>
      </c>
      <c r="GA108" s="51">
        <f t="shared" si="1110"/>
        <v>4912.9135625569988</v>
      </c>
      <c r="GB108" s="48">
        <f t="shared" si="1111"/>
        <v>1440.4219829999997</v>
      </c>
      <c r="GC108" s="51">
        <f t="shared" si="1112"/>
        <v>4761.7469914013991</v>
      </c>
      <c r="GD108" s="53">
        <f t="shared" si="1113"/>
        <v>1394.6943009999995</v>
      </c>
      <c r="GE108" s="51">
        <f t="shared" si="1114"/>
        <v>4610.5804202457985</v>
      </c>
      <c r="GF108" s="53">
        <f t="shared" si="1115"/>
        <v>1348.9666189999996</v>
      </c>
      <c r="GG108" s="51">
        <f t="shared" si="1116"/>
        <v>4459.4138490901987</v>
      </c>
      <c r="GH108" s="48">
        <f t="shared" si="1117"/>
        <v>1303.2389369999994</v>
      </c>
      <c r="GI108" s="51">
        <f t="shared" si="1118"/>
        <v>4308.2472779345981</v>
      </c>
      <c r="GJ108" s="48"/>
      <c r="GK108" s="48"/>
      <c r="GL108" s="48">
        <v>1</v>
      </c>
      <c r="GM108" s="48">
        <v>0.97</v>
      </c>
      <c r="GN108" s="48">
        <v>0.95</v>
      </c>
      <c r="GO108" s="48">
        <v>0.93</v>
      </c>
      <c r="GP108" s="48">
        <f t="shared" ref="GP108:HG108" si="1200">+GO108-0.02</f>
        <v>0.91</v>
      </c>
      <c r="GQ108" s="48">
        <f t="shared" si="1200"/>
        <v>0.89</v>
      </c>
      <c r="GR108" s="48">
        <f t="shared" si="1200"/>
        <v>0.87</v>
      </c>
      <c r="GS108" s="48">
        <f t="shared" si="1200"/>
        <v>0.85</v>
      </c>
      <c r="GT108" s="48">
        <f t="shared" si="1200"/>
        <v>0.83</v>
      </c>
      <c r="GU108" s="48">
        <f t="shared" si="1200"/>
        <v>0.80999999999999994</v>
      </c>
      <c r="GV108" s="48">
        <f t="shared" si="1200"/>
        <v>0.78999999999999992</v>
      </c>
      <c r="GW108" s="48">
        <f t="shared" si="1200"/>
        <v>0.76999999999999991</v>
      </c>
      <c r="GX108" s="48">
        <f t="shared" si="1200"/>
        <v>0.74999999999999989</v>
      </c>
      <c r="GY108" s="48">
        <f t="shared" si="1200"/>
        <v>0.72999999999999987</v>
      </c>
      <c r="GZ108" s="48">
        <f t="shared" si="1200"/>
        <v>0.70999999999999985</v>
      </c>
      <c r="HA108" s="48">
        <f t="shared" si="1200"/>
        <v>0.68999999999999984</v>
      </c>
      <c r="HB108" s="48">
        <f t="shared" si="1200"/>
        <v>0.66999999999999982</v>
      </c>
      <c r="HC108" s="48">
        <f t="shared" si="1200"/>
        <v>0.6499999999999998</v>
      </c>
      <c r="HD108" s="48">
        <f t="shared" si="1200"/>
        <v>0.62999999999999978</v>
      </c>
      <c r="HE108" s="48">
        <f t="shared" si="1200"/>
        <v>0.60999999999999976</v>
      </c>
      <c r="HF108" s="48">
        <f t="shared" si="1200"/>
        <v>0.58999999999999975</v>
      </c>
      <c r="HG108" s="48">
        <f t="shared" si="1200"/>
        <v>0.56999999999999973</v>
      </c>
    </row>
    <row r="109" spans="1:215" x14ac:dyDescent="0.3">
      <c r="A109" s="2">
        <v>18</v>
      </c>
      <c r="C109" s="29" t="s">
        <v>177</v>
      </c>
      <c r="D109" s="44">
        <f>TRUNC(3891.07024126195,-1)</f>
        <v>3890</v>
      </c>
      <c r="E109" s="73">
        <f t="shared" si="988"/>
        <v>12850</v>
      </c>
      <c r="G109" s="48">
        <f t="shared" si="948"/>
        <v>4279</v>
      </c>
      <c r="H109" s="48">
        <f t="shared" si="949"/>
        <v>4279</v>
      </c>
      <c r="I109" s="51">
        <f t="shared" si="950"/>
        <v>14145.5182</v>
      </c>
      <c r="J109" s="48">
        <f t="shared" si="989"/>
        <v>4150.63</v>
      </c>
      <c r="K109" s="51">
        <f t="shared" si="990"/>
        <v>13721.152654000001</v>
      </c>
      <c r="L109" s="48">
        <f t="shared" si="991"/>
        <v>4065.0499999999997</v>
      </c>
      <c r="M109" s="51">
        <f t="shared" si="992"/>
        <v>13438.24229</v>
      </c>
      <c r="N109" s="48">
        <f t="shared" si="993"/>
        <v>3979.4700000000003</v>
      </c>
      <c r="O109" s="51">
        <f t="shared" si="994"/>
        <v>13155.331926000001</v>
      </c>
      <c r="P109" s="52">
        <f t="shared" si="995"/>
        <v>3893.8900000000003</v>
      </c>
      <c r="Q109" s="51">
        <f t="shared" si="996"/>
        <v>12872.421562000001</v>
      </c>
      <c r="R109" s="48">
        <f t="shared" si="997"/>
        <v>3808.31</v>
      </c>
      <c r="S109" s="51">
        <f t="shared" si="998"/>
        <v>12589.511198</v>
      </c>
      <c r="T109" s="52">
        <f t="shared" si="999"/>
        <v>3722.73</v>
      </c>
      <c r="U109" s="51">
        <f t="shared" si="1000"/>
        <v>12306.600834000001</v>
      </c>
      <c r="V109" s="53">
        <f t="shared" si="1001"/>
        <v>3637.15</v>
      </c>
      <c r="W109" s="51">
        <f t="shared" si="1002"/>
        <v>12023.690470000001</v>
      </c>
      <c r="X109" s="52">
        <f t="shared" si="1003"/>
        <v>3551.5699999999997</v>
      </c>
      <c r="Y109" s="51">
        <f t="shared" si="1004"/>
        <v>11740.780106</v>
      </c>
      <c r="Z109" s="48">
        <f t="shared" si="1005"/>
        <v>3465.99</v>
      </c>
      <c r="AA109" s="51">
        <f t="shared" si="1006"/>
        <v>11457.869741999999</v>
      </c>
      <c r="AB109" s="53">
        <f t="shared" si="1007"/>
        <v>3380.41</v>
      </c>
      <c r="AC109" s="51">
        <f t="shared" si="1008"/>
        <v>11174.959378</v>
      </c>
      <c r="AD109" s="53">
        <f t="shared" si="1009"/>
        <v>3294.8299999999995</v>
      </c>
      <c r="AE109" s="51">
        <f t="shared" si="1010"/>
        <v>10892.049013999998</v>
      </c>
      <c r="AF109" s="53">
        <f t="shared" si="1011"/>
        <v>3209.2499999999995</v>
      </c>
      <c r="AG109" s="51">
        <f t="shared" si="1012"/>
        <v>10609.138649999999</v>
      </c>
      <c r="AH109" s="48">
        <f t="shared" si="1013"/>
        <v>3123.6699999999996</v>
      </c>
      <c r="AI109" s="51">
        <f t="shared" si="1014"/>
        <v>10326.228286</v>
      </c>
      <c r="AJ109" s="53">
        <f t="shared" si="1015"/>
        <v>3038.0899999999992</v>
      </c>
      <c r="AK109" s="51">
        <f t="shared" si="1016"/>
        <v>10043.317921999998</v>
      </c>
      <c r="AL109" s="53">
        <f t="shared" si="1017"/>
        <v>2952.5099999999993</v>
      </c>
      <c r="AM109" s="51">
        <f t="shared" si="1018"/>
        <v>9760.4075579999972</v>
      </c>
      <c r="AN109" s="53">
        <f t="shared" si="1019"/>
        <v>2866.9299999999994</v>
      </c>
      <c r="AO109" s="51">
        <f t="shared" si="1020"/>
        <v>9477.4971939999978</v>
      </c>
      <c r="AP109" s="53">
        <f t="shared" si="1021"/>
        <v>2781.349999999999</v>
      </c>
      <c r="AQ109" s="51">
        <f t="shared" si="1022"/>
        <v>9194.5868299999966</v>
      </c>
      <c r="AR109" s="48">
        <f t="shared" si="1023"/>
        <v>2695.7699999999991</v>
      </c>
      <c r="AS109" s="51">
        <f t="shared" si="1024"/>
        <v>8911.6764659999972</v>
      </c>
      <c r="AT109" s="53">
        <f t="shared" si="1025"/>
        <v>2610.1899999999991</v>
      </c>
      <c r="AU109" s="51">
        <f t="shared" si="1026"/>
        <v>8628.7661019999978</v>
      </c>
      <c r="AV109" s="53">
        <f t="shared" si="1027"/>
        <v>2524.6099999999988</v>
      </c>
      <c r="AW109" s="51">
        <f t="shared" si="1028"/>
        <v>8345.8557379999966</v>
      </c>
      <c r="AX109" s="48">
        <f t="shared" si="1029"/>
        <v>2439.0299999999988</v>
      </c>
      <c r="AY109" s="51">
        <f t="shared" si="1030"/>
        <v>8062.9453739999963</v>
      </c>
      <c r="BB109" s="48">
        <v>1</v>
      </c>
      <c r="BC109" s="48">
        <v>0.97</v>
      </c>
      <c r="BD109" s="48">
        <v>0.95</v>
      </c>
      <c r="BE109" s="48">
        <v>0.93</v>
      </c>
      <c r="BF109" s="48">
        <f t="shared" ref="BF109:BW109" si="1201">+BE109-0.02</f>
        <v>0.91</v>
      </c>
      <c r="BG109" s="48">
        <f t="shared" si="1201"/>
        <v>0.89</v>
      </c>
      <c r="BH109" s="48">
        <f t="shared" si="1201"/>
        <v>0.87</v>
      </c>
      <c r="BI109" s="48">
        <f t="shared" si="1201"/>
        <v>0.85</v>
      </c>
      <c r="BJ109" s="48">
        <f t="shared" si="1201"/>
        <v>0.83</v>
      </c>
      <c r="BK109" s="48">
        <f t="shared" si="1201"/>
        <v>0.80999999999999994</v>
      </c>
      <c r="BL109" s="48">
        <f t="shared" si="1201"/>
        <v>0.78999999999999992</v>
      </c>
      <c r="BM109" s="48">
        <f t="shared" si="1201"/>
        <v>0.76999999999999991</v>
      </c>
      <c r="BN109" s="48">
        <f t="shared" si="1201"/>
        <v>0.74999999999999989</v>
      </c>
      <c r="BO109" s="48">
        <f t="shared" si="1201"/>
        <v>0.72999999999999987</v>
      </c>
      <c r="BP109" s="48">
        <f t="shared" si="1201"/>
        <v>0.70999999999999985</v>
      </c>
      <c r="BQ109" s="48">
        <f t="shared" si="1201"/>
        <v>0.68999999999999984</v>
      </c>
      <c r="BR109" s="48">
        <f t="shared" si="1201"/>
        <v>0.66999999999999982</v>
      </c>
      <c r="BS109" s="48">
        <f t="shared" si="1201"/>
        <v>0.6499999999999998</v>
      </c>
      <c r="BT109" s="48">
        <f t="shared" si="1201"/>
        <v>0.62999999999999978</v>
      </c>
      <c r="BU109" s="48">
        <f t="shared" si="1201"/>
        <v>0.60999999999999976</v>
      </c>
      <c r="BV109" s="48">
        <f t="shared" si="1201"/>
        <v>0.58999999999999975</v>
      </c>
      <c r="BW109" s="48">
        <f t="shared" si="1201"/>
        <v>0.56999999999999973</v>
      </c>
      <c r="BY109" s="48">
        <f t="shared" si="952"/>
        <v>3893.8900000000003</v>
      </c>
      <c r="BZ109" s="48">
        <f t="shared" si="953"/>
        <v>3893.8900000000003</v>
      </c>
      <c r="CA109" s="51">
        <f t="shared" ref="CA109" si="1202">+BZ109*3.3058</f>
        <v>12872.421562000001</v>
      </c>
      <c r="CB109" s="48">
        <f t="shared" si="1033"/>
        <v>3777.0733</v>
      </c>
      <c r="CC109" s="51">
        <f t="shared" si="1034"/>
        <v>12486.24891514</v>
      </c>
      <c r="CD109" s="48">
        <f t="shared" si="1035"/>
        <v>3699.1955000000003</v>
      </c>
      <c r="CE109" s="51">
        <f t="shared" si="1036"/>
        <v>12228.8004839</v>
      </c>
      <c r="CF109" s="48">
        <f t="shared" si="1037"/>
        <v>3621.3177000000005</v>
      </c>
      <c r="CG109" s="51">
        <f t="shared" si="1038"/>
        <v>11971.352052660002</v>
      </c>
      <c r="CH109" s="52">
        <f t="shared" si="1039"/>
        <v>3543.4399000000003</v>
      </c>
      <c r="CI109" s="51">
        <f t="shared" si="1040"/>
        <v>11713.90362142</v>
      </c>
      <c r="CJ109" s="48">
        <f t="shared" si="1041"/>
        <v>3465.5621000000006</v>
      </c>
      <c r="CK109" s="51">
        <f t="shared" si="1042"/>
        <v>11456.455190180002</v>
      </c>
      <c r="CL109" s="52">
        <f t="shared" si="1043"/>
        <v>3387.6843000000003</v>
      </c>
      <c r="CM109" s="51">
        <f t="shared" si="1044"/>
        <v>11199.006758940001</v>
      </c>
      <c r="CN109" s="53">
        <f t="shared" si="1045"/>
        <v>3309.8065000000001</v>
      </c>
      <c r="CO109" s="51">
        <f t="shared" si="1046"/>
        <v>10941.558327700001</v>
      </c>
      <c r="CP109" s="52">
        <f t="shared" si="1047"/>
        <v>3231.9286999999999</v>
      </c>
      <c r="CQ109" s="51">
        <f t="shared" si="1048"/>
        <v>10684.109896460001</v>
      </c>
      <c r="CR109" s="48">
        <f t="shared" si="1049"/>
        <v>3154.0509000000002</v>
      </c>
      <c r="CS109" s="51">
        <f t="shared" si="1050"/>
        <v>10426.661465220001</v>
      </c>
      <c r="CT109" s="53">
        <f t="shared" si="1051"/>
        <v>3076.1731</v>
      </c>
      <c r="CU109" s="51">
        <f t="shared" si="1052"/>
        <v>10169.213033980001</v>
      </c>
      <c r="CV109" s="53">
        <f t="shared" si="1053"/>
        <v>2998.2952999999998</v>
      </c>
      <c r="CW109" s="51">
        <f t="shared" si="1054"/>
        <v>9911.7646027399987</v>
      </c>
      <c r="CX109" s="53">
        <f t="shared" si="1055"/>
        <v>2920.4175</v>
      </c>
      <c r="CY109" s="51">
        <f t="shared" si="1056"/>
        <v>9654.3161715000006</v>
      </c>
      <c r="CZ109" s="48">
        <f t="shared" si="1057"/>
        <v>2842.5396999999998</v>
      </c>
      <c r="DA109" s="51">
        <f t="shared" si="1058"/>
        <v>9396.8677402599988</v>
      </c>
      <c r="DB109" s="53">
        <f t="shared" si="1059"/>
        <v>2764.6618999999996</v>
      </c>
      <c r="DC109" s="51">
        <f t="shared" si="1060"/>
        <v>9139.4193090199988</v>
      </c>
      <c r="DD109" s="53">
        <f t="shared" si="1061"/>
        <v>2686.7840999999994</v>
      </c>
      <c r="DE109" s="51">
        <f t="shared" si="1062"/>
        <v>8881.9708777799988</v>
      </c>
      <c r="DF109" s="53">
        <f t="shared" si="1063"/>
        <v>2608.9062999999996</v>
      </c>
      <c r="DG109" s="51">
        <f t="shared" si="1064"/>
        <v>8624.5224465399988</v>
      </c>
      <c r="DH109" s="53">
        <f t="shared" si="1065"/>
        <v>2531.0284999999994</v>
      </c>
      <c r="DI109" s="51">
        <f t="shared" si="1066"/>
        <v>8367.0740152999988</v>
      </c>
      <c r="DJ109" s="48">
        <f t="shared" si="1067"/>
        <v>2453.1506999999992</v>
      </c>
      <c r="DK109" s="51">
        <f t="shared" si="1068"/>
        <v>8109.6255840599979</v>
      </c>
      <c r="DL109" s="53">
        <f t="shared" si="1069"/>
        <v>2375.2728999999995</v>
      </c>
      <c r="DM109" s="51">
        <f t="shared" si="1070"/>
        <v>7852.1771528199988</v>
      </c>
      <c r="DN109" s="53">
        <f t="shared" si="1071"/>
        <v>2297.3950999999993</v>
      </c>
      <c r="DO109" s="51">
        <f t="shared" si="1072"/>
        <v>7594.7287215799979</v>
      </c>
      <c r="DP109" s="48">
        <f t="shared" si="1073"/>
        <v>2219.5172999999991</v>
      </c>
      <c r="DQ109" s="51">
        <f t="shared" si="1074"/>
        <v>7337.280290339997</v>
      </c>
      <c r="DT109" s="48">
        <v>1</v>
      </c>
      <c r="DU109" s="48">
        <v>0.97</v>
      </c>
      <c r="DV109" s="48">
        <v>0.95</v>
      </c>
      <c r="DW109" s="48">
        <v>0.93</v>
      </c>
      <c r="DX109" s="48">
        <f t="shared" ref="DX109:EO109" si="1203">+DW109-0.02</f>
        <v>0.91</v>
      </c>
      <c r="DY109" s="48">
        <f t="shared" si="1203"/>
        <v>0.89</v>
      </c>
      <c r="DZ109" s="48">
        <f t="shared" si="1203"/>
        <v>0.87</v>
      </c>
      <c r="EA109" s="48">
        <f t="shared" si="1203"/>
        <v>0.85</v>
      </c>
      <c r="EB109" s="48">
        <f t="shared" si="1203"/>
        <v>0.83</v>
      </c>
      <c r="EC109" s="48">
        <f t="shared" si="1203"/>
        <v>0.80999999999999994</v>
      </c>
      <c r="ED109" s="48">
        <f t="shared" si="1203"/>
        <v>0.78999999999999992</v>
      </c>
      <c r="EE109" s="48">
        <f t="shared" si="1203"/>
        <v>0.76999999999999991</v>
      </c>
      <c r="EF109" s="48">
        <f t="shared" si="1203"/>
        <v>0.74999999999999989</v>
      </c>
      <c r="EG109" s="48">
        <f t="shared" si="1203"/>
        <v>0.72999999999999987</v>
      </c>
      <c r="EH109" s="48">
        <f t="shared" si="1203"/>
        <v>0.70999999999999985</v>
      </c>
      <c r="EI109" s="48">
        <f t="shared" si="1203"/>
        <v>0.68999999999999984</v>
      </c>
      <c r="EJ109" s="48">
        <f t="shared" si="1203"/>
        <v>0.66999999999999982</v>
      </c>
      <c r="EK109" s="48">
        <f t="shared" si="1203"/>
        <v>0.6499999999999998</v>
      </c>
      <c r="EL109" s="48">
        <f t="shared" si="1203"/>
        <v>0.62999999999999978</v>
      </c>
      <c r="EM109" s="48">
        <f t="shared" si="1203"/>
        <v>0.60999999999999976</v>
      </c>
      <c r="EN109" s="48">
        <f t="shared" si="1203"/>
        <v>0.58999999999999975</v>
      </c>
      <c r="EO109" s="48">
        <f t="shared" si="1203"/>
        <v>0.56999999999999973</v>
      </c>
      <c r="EQ109" s="48">
        <f t="shared" si="1128"/>
        <v>3543.4399000000003</v>
      </c>
      <c r="ER109" s="48">
        <f t="shared" si="956"/>
        <v>3543.4399000000003</v>
      </c>
      <c r="ES109" s="51">
        <f t="shared" ref="ES109" si="1204">+ER109*3.3058</f>
        <v>11713.90362142</v>
      </c>
      <c r="ET109" s="48">
        <f t="shared" si="1077"/>
        <v>3437.1367030000001</v>
      </c>
      <c r="EU109" s="51">
        <f t="shared" si="1078"/>
        <v>11362.486512777401</v>
      </c>
      <c r="EV109" s="48">
        <f t="shared" si="1079"/>
        <v>3366.2679050000002</v>
      </c>
      <c r="EW109" s="51">
        <f t="shared" si="1080"/>
        <v>11128.208440349001</v>
      </c>
      <c r="EX109" s="48">
        <f t="shared" si="1081"/>
        <v>3295.3991070000006</v>
      </c>
      <c r="EY109" s="51">
        <f t="shared" si="1082"/>
        <v>10893.930367920602</v>
      </c>
      <c r="EZ109" s="52">
        <f t="shared" si="1083"/>
        <v>3224.5303090000002</v>
      </c>
      <c r="FA109" s="51">
        <f t="shared" si="1084"/>
        <v>10659.6522954922</v>
      </c>
      <c r="FB109" s="48">
        <f t="shared" si="1085"/>
        <v>3153.6615110000002</v>
      </c>
      <c r="FC109" s="51">
        <f t="shared" si="1086"/>
        <v>10425.374223063802</v>
      </c>
      <c r="FD109" s="52">
        <f t="shared" si="1087"/>
        <v>3082.7927130000003</v>
      </c>
      <c r="FE109" s="51">
        <f t="shared" si="1088"/>
        <v>10191.096150635402</v>
      </c>
      <c r="FF109" s="53">
        <f t="shared" si="1089"/>
        <v>3011.9239150000003</v>
      </c>
      <c r="FG109" s="51">
        <f t="shared" si="1090"/>
        <v>9956.8180782070012</v>
      </c>
      <c r="FH109" s="52">
        <f t="shared" si="1091"/>
        <v>2941.0551170000003</v>
      </c>
      <c r="FI109" s="51">
        <f t="shared" si="1092"/>
        <v>9722.540005778601</v>
      </c>
      <c r="FJ109" s="48">
        <f t="shared" si="1093"/>
        <v>2870.1863189999999</v>
      </c>
      <c r="FK109" s="51">
        <f t="shared" si="1094"/>
        <v>9488.2619333502007</v>
      </c>
      <c r="FL109" s="53">
        <f t="shared" si="1095"/>
        <v>2799.3175209999999</v>
      </c>
      <c r="FM109" s="51">
        <f t="shared" si="1096"/>
        <v>9253.9838609218004</v>
      </c>
      <c r="FN109" s="53">
        <f t="shared" si="1097"/>
        <v>2728.448723</v>
      </c>
      <c r="FO109" s="51">
        <f t="shared" si="1098"/>
        <v>9019.7057884934002</v>
      </c>
      <c r="FP109" s="53">
        <f t="shared" si="1099"/>
        <v>2657.579925</v>
      </c>
      <c r="FQ109" s="51">
        <f t="shared" si="1100"/>
        <v>8785.4277160649999</v>
      </c>
      <c r="FR109" s="48">
        <f t="shared" si="1101"/>
        <v>2586.7111269999996</v>
      </c>
      <c r="FS109" s="51">
        <f t="shared" si="1102"/>
        <v>8551.1496436365996</v>
      </c>
      <c r="FT109" s="53">
        <f t="shared" si="1103"/>
        <v>2515.8423289999996</v>
      </c>
      <c r="FU109" s="51">
        <f t="shared" si="1104"/>
        <v>8316.8715712081994</v>
      </c>
      <c r="FV109" s="53">
        <f t="shared" si="1105"/>
        <v>2444.9735309999996</v>
      </c>
      <c r="FW109" s="51">
        <f t="shared" si="1106"/>
        <v>8082.5934987797991</v>
      </c>
      <c r="FX109" s="53">
        <f t="shared" si="1107"/>
        <v>2374.1047329999997</v>
      </c>
      <c r="FY109" s="51">
        <f t="shared" si="1108"/>
        <v>7848.3154263513989</v>
      </c>
      <c r="FZ109" s="53">
        <f t="shared" si="1109"/>
        <v>2303.2359349999997</v>
      </c>
      <c r="GA109" s="51">
        <f t="shared" si="1110"/>
        <v>7614.0373539229995</v>
      </c>
      <c r="GB109" s="48">
        <f t="shared" si="1111"/>
        <v>2232.3671369999993</v>
      </c>
      <c r="GC109" s="51">
        <f t="shared" si="1112"/>
        <v>7379.7592814945974</v>
      </c>
      <c r="GD109" s="53">
        <f t="shared" si="1113"/>
        <v>2161.4983389999993</v>
      </c>
      <c r="GE109" s="51">
        <f t="shared" si="1114"/>
        <v>7145.4812090661981</v>
      </c>
      <c r="GF109" s="53">
        <f t="shared" si="1115"/>
        <v>2090.6295409999993</v>
      </c>
      <c r="GG109" s="51">
        <f t="shared" si="1116"/>
        <v>6911.2031366377978</v>
      </c>
      <c r="GH109" s="48">
        <f t="shared" si="1117"/>
        <v>2019.7607429999991</v>
      </c>
      <c r="GI109" s="51">
        <f t="shared" si="1118"/>
        <v>6676.9250642093975</v>
      </c>
      <c r="GJ109" s="48"/>
      <c r="GK109" s="48"/>
      <c r="GL109" s="48">
        <v>1</v>
      </c>
      <c r="GM109" s="48">
        <v>0.97</v>
      </c>
      <c r="GN109" s="48">
        <v>0.95</v>
      </c>
      <c r="GO109" s="48">
        <v>0.93</v>
      </c>
      <c r="GP109" s="48">
        <f t="shared" ref="GP109:HG109" si="1205">+GO109-0.02</f>
        <v>0.91</v>
      </c>
      <c r="GQ109" s="48">
        <f t="shared" si="1205"/>
        <v>0.89</v>
      </c>
      <c r="GR109" s="48">
        <f t="shared" si="1205"/>
        <v>0.87</v>
      </c>
      <c r="GS109" s="48">
        <f t="shared" si="1205"/>
        <v>0.85</v>
      </c>
      <c r="GT109" s="48">
        <f t="shared" si="1205"/>
        <v>0.83</v>
      </c>
      <c r="GU109" s="48">
        <f t="shared" si="1205"/>
        <v>0.80999999999999994</v>
      </c>
      <c r="GV109" s="48">
        <f t="shared" si="1205"/>
        <v>0.78999999999999992</v>
      </c>
      <c r="GW109" s="48">
        <f t="shared" si="1205"/>
        <v>0.76999999999999991</v>
      </c>
      <c r="GX109" s="48">
        <f t="shared" si="1205"/>
        <v>0.74999999999999989</v>
      </c>
      <c r="GY109" s="48">
        <f t="shared" si="1205"/>
        <v>0.72999999999999987</v>
      </c>
      <c r="GZ109" s="48">
        <f t="shared" si="1205"/>
        <v>0.70999999999999985</v>
      </c>
      <c r="HA109" s="48">
        <f t="shared" si="1205"/>
        <v>0.68999999999999984</v>
      </c>
      <c r="HB109" s="48">
        <f t="shared" si="1205"/>
        <v>0.66999999999999982</v>
      </c>
      <c r="HC109" s="48">
        <f t="shared" si="1205"/>
        <v>0.6499999999999998</v>
      </c>
      <c r="HD109" s="48">
        <f t="shared" si="1205"/>
        <v>0.62999999999999978</v>
      </c>
      <c r="HE109" s="48">
        <f t="shared" si="1205"/>
        <v>0.60999999999999976</v>
      </c>
      <c r="HF109" s="48">
        <f t="shared" si="1205"/>
        <v>0.58999999999999975</v>
      </c>
      <c r="HG109" s="48">
        <f t="shared" si="1205"/>
        <v>0.56999999999999973</v>
      </c>
    </row>
    <row r="110" spans="1:215" x14ac:dyDescent="0.3">
      <c r="A110" s="2">
        <v>19</v>
      </c>
      <c r="C110" s="29" t="s">
        <v>178</v>
      </c>
      <c r="D110" s="44">
        <v>0</v>
      </c>
      <c r="E110" s="73">
        <f t="shared" si="988"/>
        <v>0</v>
      </c>
      <c r="G110" s="48">
        <f t="shared" si="948"/>
        <v>0</v>
      </c>
      <c r="H110" s="48">
        <f t="shared" si="949"/>
        <v>0</v>
      </c>
      <c r="I110" s="51">
        <f t="shared" si="950"/>
        <v>0</v>
      </c>
      <c r="J110" s="48">
        <f t="shared" si="989"/>
        <v>0</v>
      </c>
      <c r="K110" s="51">
        <f t="shared" si="990"/>
        <v>0</v>
      </c>
      <c r="L110" s="48">
        <f t="shared" si="991"/>
        <v>0</v>
      </c>
      <c r="M110" s="51">
        <f t="shared" si="992"/>
        <v>0</v>
      </c>
      <c r="N110" s="48">
        <f t="shared" si="993"/>
        <v>0</v>
      </c>
      <c r="O110" s="51">
        <f t="shared" si="994"/>
        <v>0</v>
      </c>
      <c r="P110" s="52">
        <f t="shared" si="995"/>
        <v>0</v>
      </c>
      <c r="Q110" s="51">
        <f t="shared" si="996"/>
        <v>0</v>
      </c>
      <c r="R110" s="48">
        <f t="shared" si="997"/>
        <v>0</v>
      </c>
      <c r="S110" s="51">
        <f t="shared" si="998"/>
        <v>0</v>
      </c>
      <c r="T110" s="52">
        <f t="shared" si="999"/>
        <v>0</v>
      </c>
      <c r="U110" s="51">
        <f t="shared" si="1000"/>
        <v>0</v>
      </c>
      <c r="V110" s="53">
        <f t="shared" si="1001"/>
        <v>0</v>
      </c>
      <c r="W110" s="51">
        <f t="shared" si="1002"/>
        <v>0</v>
      </c>
      <c r="X110" s="52">
        <f t="shared" si="1003"/>
        <v>0</v>
      </c>
      <c r="Y110" s="51">
        <f t="shared" si="1004"/>
        <v>0</v>
      </c>
      <c r="Z110" s="48">
        <f t="shared" si="1005"/>
        <v>0</v>
      </c>
      <c r="AA110" s="51">
        <f t="shared" si="1006"/>
        <v>0</v>
      </c>
      <c r="AB110" s="53">
        <f t="shared" si="1007"/>
        <v>0</v>
      </c>
      <c r="AC110" s="51">
        <f t="shared" si="1008"/>
        <v>0</v>
      </c>
      <c r="AD110" s="53">
        <f t="shared" si="1009"/>
        <v>0</v>
      </c>
      <c r="AE110" s="51">
        <f t="shared" si="1010"/>
        <v>0</v>
      </c>
      <c r="AF110" s="53">
        <f t="shared" si="1011"/>
        <v>0</v>
      </c>
      <c r="AG110" s="51">
        <f t="shared" si="1012"/>
        <v>0</v>
      </c>
      <c r="AH110" s="48">
        <f t="shared" si="1013"/>
        <v>0</v>
      </c>
      <c r="AI110" s="51">
        <f t="shared" si="1014"/>
        <v>0</v>
      </c>
      <c r="AJ110" s="53">
        <f t="shared" si="1015"/>
        <v>0</v>
      </c>
      <c r="AK110" s="51">
        <f t="shared" si="1016"/>
        <v>0</v>
      </c>
      <c r="AL110" s="53">
        <f t="shared" si="1017"/>
        <v>0</v>
      </c>
      <c r="AM110" s="51">
        <f t="shared" si="1018"/>
        <v>0</v>
      </c>
      <c r="AN110" s="53">
        <f t="shared" si="1019"/>
        <v>0</v>
      </c>
      <c r="AO110" s="51">
        <f t="shared" si="1020"/>
        <v>0</v>
      </c>
      <c r="AP110" s="53">
        <f t="shared" si="1021"/>
        <v>0</v>
      </c>
      <c r="AQ110" s="51">
        <f t="shared" si="1022"/>
        <v>0</v>
      </c>
      <c r="AR110" s="48">
        <f t="shared" si="1023"/>
        <v>0</v>
      </c>
      <c r="AS110" s="51">
        <f t="shared" si="1024"/>
        <v>0</v>
      </c>
      <c r="AT110" s="53">
        <f t="shared" si="1025"/>
        <v>0</v>
      </c>
      <c r="AU110" s="51">
        <f t="shared" si="1026"/>
        <v>0</v>
      </c>
      <c r="AV110" s="53">
        <f t="shared" si="1027"/>
        <v>0</v>
      </c>
      <c r="AW110" s="51">
        <f t="shared" si="1028"/>
        <v>0</v>
      </c>
      <c r="AX110" s="48">
        <f t="shared" si="1029"/>
        <v>0</v>
      </c>
      <c r="AY110" s="51">
        <f t="shared" si="1030"/>
        <v>0</v>
      </c>
      <c r="BB110" s="48">
        <v>1</v>
      </c>
      <c r="BC110" s="48">
        <v>0.97</v>
      </c>
      <c r="BD110" s="48">
        <v>0.95</v>
      </c>
      <c r="BE110" s="48">
        <v>0.93</v>
      </c>
      <c r="BF110" s="48">
        <f t="shared" ref="BF110:BW110" si="1206">+BE110-0.02</f>
        <v>0.91</v>
      </c>
      <c r="BG110" s="48">
        <f t="shared" si="1206"/>
        <v>0.89</v>
      </c>
      <c r="BH110" s="48">
        <f t="shared" si="1206"/>
        <v>0.87</v>
      </c>
      <c r="BI110" s="48">
        <f t="shared" si="1206"/>
        <v>0.85</v>
      </c>
      <c r="BJ110" s="48">
        <f t="shared" si="1206"/>
        <v>0.83</v>
      </c>
      <c r="BK110" s="48">
        <f t="shared" si="1206"/>
        <v>0.80999999999999994</v>
      </c>
      <c r="BL110" s="48">
        <f t="shared" si="1206"/>
        <v>0.78999999999999992</v>
      </c>
      <c r="BM110" s="48">
        <f t="shared" si="1206"/>
        <v>0.76999999999999991</v>
      </c>
      <c r="BN110" s="48">
        <f t="shared" si="1206"/>
        <v>0.74999999999999989</v>
      </c>
      <c r="BO110" s="48">
        <f t="shared" si="1206"/>
        <v>0.72999999999999987</v>
      </c>
      <c r="BP110" s="48">
        <f t="shared" si="1206"/>
        <v>0.70999999999999985</v>
      </c>
      <c r="BQ110" s="48">
        <f t="shared" si="1206"/>
        <v>0.68999999999999984</v>
      </c>
      <c r="BR110" s="48">
        <f t="shared" si="1206"/>
        <v>0.66999999999999982</v>
      </c>
      <c r="BS110" s="48">
        <f t="shared" si="1206"/>
        <v>0.6499999999999998</v>
      </c>
      <c r="BT110" s="48">
        <f t="shared" si="1206"/>
        <v>0.62999999999999978</v>
      </c>
      <c r="BU110" s="48">
        <f t="shared" si="1206"/>
        <v>0.60999999999999976</v>
      </c>
      <c r="BV110" s="48">
        <f t="shared" si="1206"/>
        <v>0.58999999999999975</v>
      </c>
      <c r="BW110" s="48">
        <f t="shared" si="1206"/>
        <v>0.56999999999999973</v>
      </c>
      <c r="BY110" s="48">
        <f t="shared" si="952"/>
        <v>0</v>
      </c>
      <c r="BZ110" s="48">
        <f t="shared" si="953"/>
        <v>0</v>
      </c>
      <c r="CA110" s="51">
        <f t="shared" ref="CA110" si="1207">+BZ110*3.3058</f>
        <v>0</v>
      </c>
      <c r="CB110" s="48">
        <f t="shared" si="1033"/>
        <v>0</v>
      </c>
      <c r="CC110" s="51">
        <f t="shared" si="1034"/>
        <v>0</v>
      </c>
      <c r="CD110" s="48">
        <f t="shared" si="1035"/>
        <v>0</v>
      </c>
      <c r="CE110" s="51">
        <f t="shared" si="1036"/>
        <v>0</v>
      </c>
      <c r="CF110" s="48">
        <f t="shared" si="1037"/>
        <v>0</v>
      </c>
      <c r="CG110" s="51">
        <f t="shared" si="1038"/>
        <v>0</v>
      </c>
      <c r="CH110" s="52">
        <f t="shared" si="1039"/>
        <v>0</v>
      </c>
      <c r="CI110" s="51">
        <f t="shared" si="1040"/>
        <v>0</v>
      </c>
      <c r="CJ110" s="48">
        <f t="shared" si="1041"/>
        <v>0</v>
      </c>
      <c r="CK110" s="51">
        <f t="shared" si="1042"/>
        <v>0</v>
      </c>
      <c r="CL110" s="52">
        <f t="shared" si="1043"/>
        <v>0</v>
      </c>
      <c r="CM110" s="51">
        <f t="shared" si="1044"/>
        <v>0</v>
      </c>
      <c r="CN110" s="53">
        <f t="shared" si="1045"/>
        <v>0</v>
      </c>
      <c r="CO110" s="51">
        <f t="shared" si="1046"/>
        <v>0</v>
      </c>
      <c r="CP110" s="52">
        <f t="shared" si="1047"/>
        <v>0</v>
      </c>
      <c r="CQ110" s="51">
        <f t="shared" si="1048"/>
        <v>0</v>
      </c>
      <c r="CR110" s="48">
        <f t="shared" si="1049"/>
        <v>0</v>
      </c>
      <c r="CS110" s="51">
        <f t="shared" si="1050"/>
        <v>0</v>
      </c>
      <c r="CT110" s="53">
        <f t="shared" si="1051"/>
        <v>0</v>
      </c>
      <c r="CU110" s="51">
        <f t="shared" si="1052"/>
        <v>0</v>
      </c>
      <c r="CV110" s="53">
        <f t="shared" si="1053"/>
        <v>0</v>
      </c>
      <c r="CW110" s="51">
        <f t="shared" si="1054"/>
        <v>0</v>
      </c>
      <c r="CX110" s="53">
        <f t="shared" si="1055"/>
        <v>0</v>
      </c>
      <c r="CY110" s="51">
        <f t="shared" si="1056"/>
        <v>0</v>
      </c>
      <c r="CZ110" s="48">
        <f t="shared" si="1057"/>
        <v>0</v>
      </c>
      <c r="DA110" s="51">
        <f t="shared" si="1058"/>
        <v>0</v>
      </c>
      <c r="DB110" s="53">
        <f t="shared" si="1059"/>
        <v>0</v>
      </c>
      <c r="DC110" s="51">
        <f t="shared" si="1060"/>
        <v>0</v>
      </c>
      <c r="DD110" s="53">
        <f t="shared" si="1061"/>
        <v>0</v>
      </c>
      <c r="DE110" s="51">
        <f t="shared" si="1062"/>
        <v>0</v>
      </c>
      <c r="DF110" s="53">
        <f t="shared" si="1063"/>
        <v>0</v>
      </c>
      <c r="DG110" s="51">
        <f t="shared" si="1064"/>
        <v>0</v>
      </c>
      <c r="DH110" s="53">
        <f t="shared" si="1065"/>
        <v>0</v>
      </c>
      <c r="DI110" s="51">
        <f t="shared" si="1066"/>
        <v>0</v>
      </c>
      <c r="DJ110" s="48">
        <f t="shared" si="1067"/>
        <v>0</v>
      </c>
      <c r="DK110" s="51">
        <f t="shared" si="1068"/>
        <v>0</v>
      </c>
      <c r="DL110" s="53">
        <f t="shared" si="1069"/>
        <v>0</v>
      </c>
      <c r="DM110" s="51">
        <f t="shared" si="1070"/>
        <v>0</v>
      </c>
      <c r="DN110" s="53">
        <f t="shared" si="1071"/>
        <v>0</v>
      </c>
      <c r="DO110" s="51">
        <f t="shared" si="1072"/>
        <v>0</v>
      </c>
      <c r="DP110" s="48">
        <f t="shared" si="1073"/>
        <v>0</v>
      </c>
      <c r="DQ110" s="51">
        <f t="shared" si="1074"/>
        <v>0</v>
      </c>
      <c r="DT110" s="48">
        <v>1</v>
      </c>
      <c r="DU110" s="48">
        <v>0.97</v>
      </c>
      <c r="DV110" s="48">
        <v>0.95</v>
      </c>
      <c r="DW110" s="48">
        <v>0.93</v>
      </c>
      <c r="DX110" s="48">
        <f t="shared" ref="DX110:EO110" si="1208">+DW110-0.02</f>
        <v>0.91</v>
      </c>
      <c r="DY110" s="48">
        <f t="shared" si="1208"/>
        <v>0.89</v>
      </c>
      <c r="DZ110" s="48">
        <f t="shared" si="1208"/>
        <v>0.87</v>
      </c>
      <c r="EA110" s="48">
        <f t="shared" si="1208"/>
        <v>0.85</v>
      </c>
      <c r="EB110" s="48">
        <f t="shared" si="1208"/>
        <v>0.83</v>
      </c>
      <c r="EC110" s="48">
        <f t="shared" si="1208"/>
        <v>0.80999999999999994</v>
      </c>
      <c r="ED110" s="48">
        <f t="shared" si="1208"/>
        <v>0.78999999999999992</v>
      </c>
      <c r="EE110" s="48">
        <f t="shared" si="1208"/>
        <v>0.76999999999999991</v>
      </c>
      <c r="EF110" s="48">
        <f t="shared" si="1208"/>
        <v>0.74999999999999989</v>
      </c>
      <c r="EG110" s="48">
        <f t="shared" si="1208"/>
        <v>0.72999999999999987</v>
      </c>
      <c r="EH110" s="48">
        <f t="shared" si="1208"/>
        <v>0.70999999999999985</v>
      </c>
      <c r="EI110" s="48">
        <f t="shared" si="1208"/>
        <v>0.68999999999999984</v>
      </c>
      <c r="EJ110" s="48">
        <f t="shared" si="1208"/>
        <v>0.66999999999999982</v>
      </c>
      <c r="EK110" s="48">
        <f t="shared" si="1208"/>
        <v>0.6499999999999998</v>
      </c>
      <c r="EL110" s="48">
        <f t="shared" si="1208"/>
        <v>0.62999999999999978</v>
      </c>
      <c r="EM110" s="48">
        <f t="shared" si="1208"/>
        <v>0.60999999999999976</v>
      </c>
      <c r="EN110" s="48">
        <f t="shared" si="1208"/>
        <v>0.58999999999999975</v>
      </c>
      <c r="EO110" s="48">
        <f t="shared" si="1208"/>
        <v>0.56999999999999973</v>
      </c>
      <c r="EQ110" s="48">
        <f t="shared" si="1128"/>
        <v>0</v>
      </c>
      <c r="ER110" s="48">
        <f t="shared" si="956"/>
        <v>0</v>
      </c>
      <c r="ES110" s="51">
        <f t="shared" ref="ES110" si="1209">+ER110*3.3058</f>
        <v>0</v>
      </c>
      <c r="ET110" s="48">
        <f t="shared" si="1077"/>
        <v>0</v>
      </c>
      <c r="EU110" s="51">
        <f t="shared" si="1078"/>
        <v>0</v>
      </c>
      <c r="EV110" s="48">
        <f t="shared" si="1079"/>
        <v>0</v>
      </c>
      <c r="EW110" s="51">
        <f t="shared" si="1080"/>
        <v>0</v>
      </c>
      <c r="EX110" s="48">
        <f t="shared" si="1081"/>
        <v>0</v>
      </c>
      <c r="EY110" s="51">
        <f t="shared" si="1082"/>
        <v>0</v>
      </c>
      <c r="EZ110" s="52">
        <f t="shared" si="1083"/>
        <v>0</v>
      </c>
      <c r="FA110" s="51">
        <f t="shared" si="1084"/>
        <v>0</v>
      </c>
      <c r="FB110" s="48">
        <f t="shared" si="1085"/>
        <v>0</v>
      </c>
      <c r="FC110" s="51">
        <f t="shared" si="1086"/>
        <v>0</v>
      </c>
      <c r="FD110" s="52">
        <f t="shared" si="1087"/>
        <v>0</v>
      </c>
      <c r="FE110" s="51">
        <f t="shared" si="1088"/>
        <v>0</v>
      </c>
      <c r="FF110" s="53">
        <f t="shared" si="1089"/>
        <v>0</v>
      </c>
      <c r="FG110" s="51">
        <f t="shared" si="1090"/>
        <v>0</v>
      </c>
      <c r="FH110" s="52">
        <f t="shared" si="1091"/>
        <v>0</v>
      </c>
      <c r="FI110" s="51">
        <f t="shared" si="1092"/>
        <v>0</v>
      </c>
      <c r="FJ110" s="48">
        <f t="shared" si="1093"/>
        <v>0</v>
      </c>
      <c r="FK110" s="51">
        <f t="shared" si="1094"/>
        <v>0</v>
      </c>
      <c r="FL110" s="53">
        <f t="shared" si="1095"/>
        <v>0</v>
      </c>
      <c r="FM110" s="51">
        <f t="shared" si="1096"/>
        <v>0</v>
      </c>
      <c r="FN110" s="53">
        <f t="shared" si="1097"/>
        <v>0</v>
      </c>
      <c r="FO110" s="51">
        <f t="shared" si="1098"/>
        <v>0</v>
      </c>
      <c r="FP110" s="53">
        <f t="shared" si="1099"/>
        <v>0</v>
      </c>
      <c r="FQ110" s="51">
        <f t="shared" si="1100"/>
        <v>0</v>
      </c>
      <c r="FR110" s="48">
        <f t="shared" si="1101"/>
        <v>0</v>
      </c>
      <c r="FS110" s="51">
        <f t="shared" si="1102"/>
        <v>0</v>
      </c>
      <c r="FT110" s="53">
        <f t="shared" si="1103"/>
        <v>0</v>
      </c>
      <c r="FU110" s="51">
        <f t="shared" si="1104"/>
        <v>0</v>
      </c>
      <c r="FV110" s="53">
        <f t="shared" si="1105"/>
        <v>0</v>
      </c>
      <c r="FW110" s="51">
        <f t="shared" si="1106"/>
        <v>0</v>
      </c>
      <c r="FX110" s="53">
        <f t="shared" si="1107"/>
        <v>0</v>
      </c>
      <c r="FY110" s="51">
        <f t="shared" si="1108"/>
        <v>0</v>
      </c>
      <c r="FZ110" s="53">
        <f t="shared" si="1109"/>
        <v>0</v>
      </c>
      <c r="GA110" s="51">
        <f t="shared" si="1110"/>
        <v>0</v>
      </c>
      <c r="GB110" s="48">
        <f t="shared" si="1111"/>
        <v>0</v>
      </c>
      <c r="GC110" s="51">
        <f t="shared" si="1112"/>
        <v>0</v>
      </c>
      <c r="GD110" s="53">
        <f t="shared" si="1113"/>
        <v>0</v>
      </c>
      <c r="GE110" s="51">
        <f t="shared" si="1114"/>
        <v>0</v>
      </c>
      <c r="GF110" s="53">
        <f t="shared" si="1115"/>
        <v>0</v>
      </c>
      <c r="GG110" s="51">
        <f t="shared" si="1116"/>
        <v>0</v>
      </c>
      <c r="GH110" s="48">
        <f t="shared" si="1117"/>
        <v>0</v>
      </c>
      <c r="GI110" s="51">
        <f t="shared" si="1118"/>
        <v>0</v>
      </c>
      <c r="GJ110" s="48"/>
      <c r="GK110" s="48"/>
      <c r="GL110" s="48">
        <v>1</v>
      </c>
      <c r="GM110" s="48">
        <v>0.97</v>
      </c>
      <c r="GN110" s="48">
        <v>0.95</v>
      </c>
      <c r="GO110" s="48">
        <v>0.93</v>
      </c>
      <c r="GP110" s="48">
        <f t="shared" ref="GP110:HG110" si="1210">+GO110-0.02</f>
        <v>0.91</v>
      </c>
      <c r="GQ110" s="48">
        <f t="shared" si="1210"/>
        <v>0.89</v>
      </c>
      <c r="GR110" s="48">
        <f t="shared" si="1210"/>
        <v>0.87</v>
      </c>
      <c r="GS110" s="48">
        <f t="shared" si="1210"/>
        <v>0.85</v>
      </c>
      <c r="GT110" s="48">
        <f t="shared" si="1210"/>
        <v>0.83</v>
      </c>
      <c r="GU110" s="48">
        <f t="shared" si="1210"/>
        <v>0.80999999999999994</v>
      </c>
      <c r="GV110" s="48">
        <f t="shared" si="1210"/>
        <v>0.78999999999999992</v>
      </c>
      <c r="GW110" s="48">
        <f t="shared" si="1210"/>
        <v>0.76999999999999991</v>
      </c>
      <c r="GX110" s="48">
        <f t="shared" si="1210"/>
        <v>0.74999999999999989</v>
      </c>
      <c r="GY110" s="48">
        <f t="shared" si="1210"/>
        <v>0.72999999999999987</v>
      </c>
      <c r="GZ110" s="48">
        <f t="shared" si="1210"/>
        <v>0.70999999999999985</v>
      </c>
      <c r="HA110" s="48">
        <f t="shared" si="1210"/>
        <v>0.68999999999999984</v>
      </c>
      <c r="HB110" s="48">
        <f t="shared" si="1210"/>
        <v>0.66999999999999982</v>
      </c>
      <c r="HC110" s="48">
        <f t="shared" si="1210"/>
        <v>0.6499999999999998</v>
      </c>
      <c r="HD110" s="48">
        <f t="shared" si="1210"/>
        <v>0.62999999999999978</v>
      </c>
      <c r="HE110" s="48">
        <f t="shared" si="1210"/>
        <v>0.60999999999999976</v>
      </c>
      <c r="HF110" s="48">
        <f t="shared" si="1210"/>
        <v>0.58999999999999975</v>
      </c>
      <c r="HG110" s="48">
        <f t="shared" si="1210"/>
        <v>0.56999999999999973</v>
      </c>
    </row>
    <row r="111" spans="1:215" x14ac:dyDescent="0.3">
      <c r="A111" s="2">
        <v>20</v>
      </c>
      <c r="C111" s="29" t="s">
        <v>156</v>
      </c>
      <c r="D111" s="44">
        <f>TRUNC(18896.3166025857+51186.5627432076,-1)</f>
        <v>70080</v>
      </c>
      <c r="E111" s="73">
        <f t="shared" si="988"/>
        <v>231670</v>
      </c>
      <c r="G111" s="48">
        <f t="shared" si="948"/>
        <v>77088</v>
      </c>
      <c r="H111" s="48">
        <f t="shared" si="949"/>
        <v>77088</v>
      </c>
      <c r="I111" s="51">
        <f t="shared" si="950"/>
        <v>254837.5104</v>
      </c>
      <c r="J111" s="48">
        <f t="shared" si="989"/>
        <v>74775.360000000001</v>
      </c>
      <c r="K111" s="51">
        <f t="shared" si="990"/>
        <v>247192.38508800001</v>
      </c>
      <c r="L111" s="48">
        <f t="shared" si="991"/>
        <v>73233.599999999991</v>
      </c>
      <c r="M111" s="51">
        <f t="shared" si="992"/>
        <v>242095.63487999997</v>
      </c>
      <c r="N111" s="48">
        <f t="shared" si="993"/>
        <v>71691.839999999997</v>
      </c>
      <c r="O111" s="51">
        <f t="shared" si="994"/>
        <v>236998.88467199999</v>
      </c>
      <c r="P111" s="52">
        <f t="shared" si="995"/>
        <v>70150.080000000002</v>
      </c>
      <c r="Q111" s="51">
        <f t="shared" si="996"/>
        <v>231902.134464</v>
      </c>
      <c r="R111" s="48">
        <f t="shared" si="997"/>
        <v>68608.320000000007</v>
      </c>
      <c r="S111" s="51">
        <f t="shared" si="998"/>
        <v>226805.38425600002</v>
      </c>
      <c r="T111" s="52">
        <f t="shared" si="999"/>
        <v>67066.559999999998</v>
      </c>
      <c r="U111" s="51">
        <f t="shared" si="1000"/>
        <v>221708.63404800001</v>
      </c>
      <c r="V111" s="53">
        <f t="shared" si="1001"/>
        <v>65524.799999999996</v>
      </c>
      <c r="W111" s="51">
        <f t="shared" si="1002"/>
        <v>216611.88383999999</v>
      </c>
      <c r="X111" s="52">
        <f t="shared" si="1003"/>
        <v>63983.039999999994</v>
      </c>
      <c r="Y111" s="51">
        <f t="shared" si="1004"/>
        <v>211515.13363199998</v>
      </c>
      <c r="Z111" s="48">
        <f t="shared" si="1005"/>
        <v>62441.279999999999</v>
      </c>
      <c r="AA111" s="51">
        <f t="shared" si="1006"/>
        <v>206418.383424</v>
      </c>
      <c r="AB111" s="53">
        <f t="shared" si="1007"/>
        <v>60899.519999999997</v>
      </c>
      <c r="AC111" s="51">
        <f t="shared" si="1008"/>
        <v>201321.63321599999</v>
      </c>
      <c r="AD111" s="53">
        <f t="shared" si="1009"/>
        <v>59357.759999999995</v>
      </c>
      <c r="AE111" s="51">
        <f t="shared" si="1010"/>
        <v>196224.88300799998</v>
      </c>
      <c r="AF111" s="53">
        <f t="shared" si="1011"/>
        <v>57815.999999999993</v>
      </c>
      <c r="AG111" s="51">
        <f t="shared" si="1012"/>
        <v>191128.13279999999</v>
      </c>
      <c r="AH111" s="48">
        <f t="shared" si="1013"/>
        <v>56274.239999999991</v>
      </c>
      <c r="AI111" s="51">
        <f t="shared" si="1014"/>
        <v>186031.38259199998</v>
      </c>
      <c r="AJ111" s="53">
        <f t="shared" si="1015"/>
        <v>54732.479999999989</v>
      </c>
      <c r="AK111" s="51">
        <f t="shared" si="1016"/>
        <v>180934.63238399997</v>
      </c>
      <c r="AL111" s="53">
        <f t="shared" si="1017"/>
        <v>53190.719999999987</v>
      </c>
      <c r="AM111" s="51">
        <f t="shared" si="1018"/>
        <v>175837.88217599996</v>
      </c>
      <c r="AN111" s="53">
        <f t="shared" si="1019"/>
        <v>51648.959999999985</v>
      </c>
      <c r="AO111" s="51">
        <f t="shared" si="1020"/>
        <v>170741.13196799994</v>
      </c>
      <c r="AP111" s="53">
        <f t="shared" si="1021"/>
        <v>50107.199999999983</v>
      </c>
      <c r="AQ111" s="51">
        <f t="shared" si="1022"/>
        <v>165644.38175999996</v>
      </c>
      <c r="AR111" s="48">
        <f t="shared" si="1023"/>
        <v>48565.439999999981</v>
      </c>
      <c r="AS111" s="51">
        <f t="shared" si="1024"/>
        <v>160547.63155199995</v>
      </c>
      <c r="AT111" s="53">
        <f t="shared" si="1025"/>
        <v>47023.679999999978</v>
      </c>
      <c r="AU111" s="51">
        <f t="shared" si="1026"/>
        <v>155450.88134399994</v>
      </c>
      <c r="AV111" s="53">
        <f t="shared" si="1027"/>
        <v>45481.919999999984</v>
      </c>
      <c r="AW111" s="51">
        <f t="shared" si="1028"/>
        <v>150354.13113599995</v>
      </c>
      <c r="AX111" s="48">
        <f t="shared" si="1029"/>
        <v>43940.159999999982</v>
      </c>
      <c r="AY111" s="51">
        <f t="shared" si="1030"/>
        <v>145257.38092799994</v>
      </c>
      <c r="BB111" s="48">
        <v>1</v>
      </c>
      <c r="BC111" s="48">
        <v>0.97</v>
      </c>
      <c r="BD111" s="48">
        <v>0.95</v>
      </c>
      <c r="BE111" s="48">
        <v>0.93</v>
      </c>
      <c r="BF111" s="48">
        <f t="shared" ref="BF111:BW111" si="1211">+BE111-0.02</f>
        <v>0.91</v>
      </c>
      <c r="BG111" s="48">
        <f t="shared" si="1211"/>
        <v>0.89</v>
      </c>
      <c r="BH111" s="48">
        <f t="shared" si="1211"/>
        <v>0.87</v>
      </c>
      <c r="BI111" s="48">
        <f t="shared" si="1211"/>
        <v>0.85</v>
      </c>
      <c r="BJ111" s="48">
        <f t="shared" si="1211"/>
        <v>0.83</v>
      </c>
      <c r="BK111" s="48">
        <f t="shared" si="1211"/>
        <v>0.80999999999999994</v>
      </c>
      <c r="BL111" s="48">
        <f t="shared" si="1211"/>
        <v>0.78999999999999992</v>
      </c>
      <c r="BM111" s="48">
        <f t="shared" si="1211"/>
        <v>0.76999999999999991</v>
      </c>
      <c r="BN111" s="48">
        <f t="shared" si="1211"/>
        <v>0.74999999999999989</v>
      </c>
      <c r="BO111" s="48">
        <f t="shared" si="1211"/>
        <v>0.72999999999999987</v>
      </c>
      <c r="BP111" s="48">
        <f t="shared" si="1211"/>
        <v>0.70999999999999985</v>
      </c>
      <c r="BQ111" s="48">
        <f t="shared" si="1211"/>
        <v>0.68999999999999984</v>
      </c>
      <c r="BR111" s="48">
        <f t="shared" si="1211"/>
        <v>0.66999999999999982</v>
      </c>
      <c r="BS111" s="48">
        <f t="shared" si="1211"/>
        <v>0.6499999999999998</v>
      </c>
      <c r="BT111" s="48">
        <f t="shared" si="1211"/>
        <v>0.62999999999999978</v>
      </c>
      <c r="BU111" s="48">
        <f t="shared" si="1211"/>
        <v>0.60999999999999976</v>
      </c>
      <c r="BV111" s="48">
        <f t="shared" si="1211"/>
        <v>0.58999999999999975</v>
      </c>
      <c r="BW111" s="48">
        <f t="shared" si="1211"/>
        <v>0.56999999999999973</v>
      </c>
      <c r="BY111" s="48">
        <f t="shared" si="952"/>
        <v>70150.080000000002</v>
      </c>
      <c r="BZ111" s="48">
        <f t="shared" si="953"/>
        <v>70150.080000000002</v>
      </c>
      <c r="CA111" s="51">
        <f t="shared" ref="CA111" si="1212">+BZ111*3.3058</f>
        <v>231902.134464</v>
      </c>
      <c r="CB111" s="48">
        <f t="shared" si="1033"/>
        <v>68045.577600000004</v>
      </c>
      <c r="CC111" s="51">
        <f t="shared" si="1034"/>
        <v>224945.07043008003</v>
      </c>
      <c r="CD111" s="48">
        <f t="shared" si="1035"/>
        <v>66642.576000000001</v>
      </c>
      <c r="CE111" s="51">
        <f t="shared" si="1036"/>
        <v>220307.0277408</v>
      </c>
      <c r="CF111" s="48">
        <f t="shared" si="1037"/>
        <v>65239.574400000005</v>
      </c>
      <c r="CG111" s="51">
        <f t="shared" si="1038"/>
        <v>215668.98505152002</v>
      </c>
      <c r="CH111" s="52">
        <f t="shared" si="1039"/>
        <v>63836.572800000002</v>
      </c>
      <c r="CI111" s="51">
        <f t="shared" si="1040"/>
        <v>211030.94236224002</v>
      </c>
      <c r="CJ111" s="48">
        <f t="shared" si="1041"/>
        <v>62433.571200000006</v>
      </c>
      <c r="CK111" s="51">
        <f t="shared" si="1042"/>
        <v>206392.89967296002</v>
      </c>
      <c r="CL111" s="52">
        <f t="shared" si="1043"/>
        <v>61030.569600000003</v>
      </c>
      <c r="CM111" s="51">
        <f t="shared" si="1044"/>
        <v>201754.85698368002</v>
      </c>
      <c r="CN111" s="53">
        <f t="shared" si="1045"/>
        <v>59627.567999999999</v>
      </c>
      <c r="CO111" s="51">
        <f t="shared" si="1046"/>
        <v>197116.81429440001</v>
      </c>
      <c r="CP111" s="52">
        <f t="shared" si="1047"/>
        <v>58224.566399999996</v>
      </c>
      <c r="CQ111" s="51">
        <f t="shared" si="1048"/>
        <v>192478.77160511998</v>
      </c>
      <c r="CR111" s="48">
        <f t="shared" si="1049"/>
        <v>56821.5648</v>
      </c>
      <c r="CS111" s="51">
        <f t="shared" si="1050"/>
        <v>187840.72891584001</v>
      </c>
      <c r="CT111" s="53">
        <f t="shared" si="1051"/>
        <v>55418.563199999997</v>
      </c>
      <c r="CU111" s="51">
        <f t="shared" si="1052"/>
        <v>183202.68622656001</v>
      </c>
      <c r="CV111" s="53">
        <f t="shared" si="1053"/>
        <v>54015.561599999994</v>
      </c>
      <c r="CW111" s="51">
        <f t="shared" si="1054"/>
        <v>178564.64353727998</v>
      </c>
      <c r="CX111" s="53">
        <f t="shared" si="1055"/>
        <v>52612.55999999999</v>
      </c>
      <c r="CY111" s="51">
        <f t="shared" si="1056"/>
        <v>173926.60084799997</v>
      </c>
      <c r="CZ111" s="48">
        <f t="shared" si="1057"/>
        <v>51209.558399999994</v>
      </c>
      <c r="DA111" s="51">
        <f t="shared" si="1058"/>
        <v>169288.55815872</v>
      </c>
      <c r="DB111" s="53">
        <f t="shared" si="1059"/>
        <v>49806.556799999991</v>
      </c>
      <c r="DC111" s="51">
        <f t="shared" si="1060"/>
        <v>164650.51546943997</v>
      </c>
      <c r="DD111" s="53">
        <f t="shared" si="1061"/>
        <v>48403.555199999988</v>
      </c>
      <c r="DE111" s="51">
        <f t="shared" si="1062"/>
        <v>160012.47278015997</v>
      </c>
      <c r="DF111" s="53">
        <f t="shared" si="1063"/>
        <v>47000.553599999992</v>
      </c>
      <c r="DG111" s="51">
        <f t="shared" si="1064"/>
        <v>155374.43009087996</v>
      </c>
      <c r="DH111" s="53">
        <f t="shared" si="1065"/>
        <v>45597.551999999989</v>
      </c>
      <c r="DI111" s="51">
        <f t="shared" si="1066"/>
        <v>150736.38740159996</v>
      </c>
      <c r="DJ111" s="48">
        <f t="shared" si="1067"/>
        <v>44194.550399999986</v>
      </c>
      <c r="DK111" s="51">
        <f t="shared" si="1068"/>
        <v>146098.34471231996</v>
      </c>
      <c r="DL111" s="53">
        <f t="shared" si="1069"/>
        <v>42791.548799999982</v>
      </c>
      <c r="DM111" s="51">
        <f t="shared" si="1070"/>
        <v>141460.30202303996</v>
      </c>
      <c r="DN111" s="53">
        <f t="shared" si="1071"/>
        <v>41388.547199999986</v>
      </c>
      <c r="DO111" s="51">
        <f t="shared" si="1072"/>
        <v>136822.25933375995</v>
      </c>
      <c r="DP111" s="48">
        <f t="shared" si="1073"/>
        <v>39985.545599999983</v>
      </c>
      <c r="DQ111" s="51">
        <f t="shared" si="1074"/>
        <v>132184.21664447995</v>
      </c>
      <c r="DT111" s="48">
        <v>1</v>
      </c>
      <c r="DU111" s="48">
        <v>0.97</v>
      </c>
      <c r="DV111" s="48">
        <v>0.95</v>
      </c>
      <c r="DW111" s="48">
        <v>0.93</v>
      </c>
      <c r="DX111" s="48">
        <f t="shared" ref="DX111:EO111" si="1213">+DW111-0.02</f>
        <v>0.91</v>
      </c>
      <c r="DY111" s="48">
        <f t="shared" si="1213"/>
        <v>0.89</v>
      </c>
      <c r="DZ111" s="48">
        <f t="shared" si="1213"/>
        <v>0.87</v>
      </c>
      <c r="EA111" s="48">
        <f t="shared" si="1213"/>
        <v>0.85</v>
      </c>
      <c r="EB111" s="48">
        <f t="shared" si="1213"/>
        <v>0.83</v>
      </c>
      <c r="EC111" s="48">
        <f t="shared" si="1213"/>
        <v>0.80999999999999994</v>
      </c>
      <c r="ED111" s="48">
        <f t="shared" si="1213"/>
        <v>0.78999999999999992</v>
      </c>
      <c r="EE111" s="48">
        <f t="shared" si="1213"/>
        <v>0.76999999999999991</v>
      </c>
      <c r="EF111" s="48">
        <f t="shared" si="1213"/>
        <v>0.74999999999999989</v>
      </c>
      <c r="EG111" s="48">
        <f t="shared" si="1213"/>
        <v>0.72999999999999987</v>
      </c>
      <c r="EH111" s="48">
        <f t="shared" si="1213"/>
        <v>0.70999999999999985</v>
      </c>
      <c r="EI111" s="48">
        <f t="shared" si="1213"/>
        <v>0.68999999999999984</v>
      </c>
      <c r="EJ111" s="48">
        <f t="shared" si="1213"/>
        <v>0.66999999999999982</v>
      </c>
      <c r="EK111" s="48">
        <f t="shared" si="1213"/>
        <v>0.6499999999999998</v>
      </c>
      <c r="EL111" s="48">
        <f t="shared" si="1213"/>
        <v>0.62999999999999978</v>
      </c>
      <c r="EM111" s="48">
        <f t="shared" si="1213"/>
        <v>0.60999999999999976</v>
      </c>
      <c r="EN111" s="48">
        <f t="shared" si="1213"/>
        <v>0.58999999999999975</v>
      </c>
      <c r="EO111" s="48">
        <f t="shared" si="1213"/>
        <v>0.56999999999999973</v>
      </c>
      <c r="EQ111" s="48">
        <f t="shared" si="1128"/>
        <v>63836.572800000002</v>
      </c>
      <c r="ER111" s="48">
        <f t="shared" si="956"/>
        <v>63836.572800000002</v>
      </c>
      <c r="ES111" s="51">
        <f t="shared" ref="ES111" si="1214">+ER111*3.3058</f>
        <v>211030.94236224002</v>
      </c>
      <c r="ET111" s="48">
        <f t="shared" si="1077"/>
        <v>61921.475616000003</v>
      </c>
      <c r="EU111" s="51">
        <f t="shared" si="1078"/>
        <v>204700.01409137281</v>
      </c>
      <c r="EV111" s="48">
        <f t="shared" si="1079"/>
        <v>60644.744160000002</v>
      </c>
      <c r="EW111" s="51">
        <f t="shared" si="1080"/>
        <v>200479.39524412801</v>
      </c>
      <c r="EX111" s="48">
        <f t="shared" si="1081"/>
        <v>59368.012704000008</v>
      </c>
      <c r="EY111" s="51">
        <f t="shared" si="1082"/>
        <v>196258.77639688324</v>
      </c>
      <c r="EZ111" s="52">
        <f t="shared" si="1083"/>
        <v>58091.281248000007</v>
      </c>
      <c r="FA111" s="51">
        <f t="shared" si="1084"/>
        <v>192038.15754963842</v>
      </c>
      <c r="FB111" s="48">
        <f t="shared" si="1085"/>
        <v>56814.549792000005</v>
      </c>
      <c r="FC111" s="51">
        <f t="shared" si="1086"/>
        <v>187817.53870239362</v>
      </c>
      <c r="FD111" s="52">
        <f t="shared" si="1087"/>
        <v>55537.818336000004</v>
      </c>
      <c r="FE111" s="51">
        <f t="shared" si="1088"/>
        <v>183596.91985514882</v>
      </c>
      <c r="FF111" s="53">
        <f t="shared" si="1089"/>
        <v>54261.086880000003</v>
      </c>
      <c r="FG111" s="51">
        <f t="shared" si="1090"/>
        <v>179376.30100790403</v>
      </c>
      <c r="FH111" s="52">
        <f t="shared" si="1091"/>
        <v>52984.355424000001</v>
      </c>
      <c r="FI111" s="51">
        <f t="shared" si="1092"/>
        <v>175155.6821606592</v>
      </c>
      <c r="FJ111" s="48">
        <f t="shared" si="1093"/>
        <v>51707.623968</v>
      </c>
      <c r="FK111" s="51">
        <f t="shared" si="1094"/>
        <v>170935.0633134144</v>
      </c>
      <c r="FL111" s="53">
        <f t="shared" si="1095"/>
        <v>50430.892511999999</v>
      </c>
      <c r="FM111" s="51">
        <f t="shared" si="1096"/>
        <v>166714.4444661696</v>
      </c>
      <c r="FN111" s="53">
        <f t="shared" si="1097"/>
        <v>49154.161055999997</v>
      </c>
      <c r="FO111" s="51">
        <f t="shared" si="1098"/>
        <v>162493.82561892481</v>
      </c>
      <c r="FP111" s="53">
        <f t="shared" si="1099"/>
        <v>47877.429599999996</v>
      </c>
      <c r="FQ111" s="51">
        <f t="shared" si="1100"/>
        <v>158273.20677167998</v>
      </c>
      <c r="FR111" s="48">
        <f t="shared" si="1101"/>
        <v>46600.698143999994</v>
      </c>
      <c r="FS111" s="51">
        <f t="shared" si="1102"/>
        <v>154052.58792443518</v>
      </c>
      <c r="FT111" s="53">
        <f t="shared" si="1103"/>
        <v>45323.966687999993</v>
      </c>
      <c r="FU111" s="51">
        <f t="shared" si="1104"/>
        <v>149831.96907719038</v>
      </c>
      <c r="FV111" s="53">
        <f t="shared" si="1105"/>
        <v>44047.235231999992</v>
      </c>
      <c r="FW111" s="51">
        <f t="shared" si="1106"/>
        <v>145611.35022994559</v>
      </c>
      <c r="FX111" s="53">
        <f t="shared" si="1107"/>
        <v>42770.50377599999</v>
      </c>
      <c r="FY111" s="51">
        <f t="shared" si="1108"/>
        <v>141390.73138270076</v>
      </c>
      <c r="FZ111" s="53">
        <f t="shared" si="1109"/>
        <v>41493.772319999989</v>
      </c>
      <c r="GA111" s="51">
        <f t="shared" si="1110"/>
        <v>137170.11253545596</v>
      </c>
      <c r="GB111" s="48">
        <f t="shared" si="1111"/>
        <v>40217.040863999988</v>
      </c>
      <c r="GC111" s="51">
        <f t="shared" si="1112"/>
        <v>132949.49368821117</v>
      </c>
      <c r="GD111" s="53">
        <f t="shared" si="1113"/>
        <v>38940.309407999986</v>
      </c>
      <c r="GE111" s="51">
        <f t="shared" si="1114"/>
        <v>128728.87484096635</v>
      </c>
      <c r="GF111" s="53">
        <f t="shared" si="1115"/>
        <v>37663.577951999985</v>
      </c>
      <c r="GG111" s="51">
        <f t="shared" si="1116"/>
        <v>124508.25599372156</v>
      </c>
      <c r="GH111" s="48">
        <f t="shared" si="1117"/>
        <v>36386.846495999984</v>
      </c>
      <c r="GI111" s="51">
        <f t="shared" si="1118"/>
        <v>120287.63714647674</v>
      </c>
      <c r="GJ111" s="48"/>
      <c r="GK111" s="48"/>
      <c r="GL111" s="48">
        <v>1</v>
      </c>
      <c r="GM111" s="48">
        <v>0.97</v>
      </c>
      <c r="GN111" s="48">
        <v>0.95</v>
      </c>
      <c r="GO111" s="48">
        <v>0.93</v>
      </c>
      <c r="GP111" s="48">
        <f t="shared" ref="GP111:HG111" si="1215">+GO111-0.02</f>
        <v>0.91</v>
      </c>
      <c r="GQ111" s="48">
        <f t="shared" si="1215"/>
        <v>0.89</v>
      </c>
      <c r="GR111" s="48">
        <f t="shared" si="1215"/>
        <v>0.87</v>
      </c>
      <c r="GS111" s="48">
        <f t="shared" si="1215"/>
        <v>0.85</v>
      </c>
      <c r="GT111" s="48">
        <f t="shared" si="1215"/>
        <v>0.83</v>
      </c>
      <c r="GU111" s="48">
        <f t="shared" si="1215"/>
        <v>0.80999999999999994</v>
      </c>
      <c r="GV111" s="48">
        <f t="shared" si="1215"/>
        <v>0.78999999999999992</v>
      </c>
      <c r="GW111" s="48">
        <f t="shared" si="1215"/>
        <v>0.76999999999999991</v>
      </c>
      <c r="GX111" s="48">
        <f t="shared" si="1215"/>
        <v>0.74999999999999989</v>
      </c>
      <c r="GY111" s="48">
        <f t="shared" si="1215"/>
        <v>0.72999999999999987</v>
      </c>
      <c r="GZ111" s="48">
        <f t="shared" si="1215"/>
        <v>0.70999999999999985</v>
      </c>
      <c r="HA111" s="48">
        <f t="shared" si="1215"/>
        <v>0.68999999999999984</v>
      </c>
      <c r="HB111" s="48">
        <f t="shared" si="1215"/>
        <v>0.66999999999999982</v>
      </c>
      <c r="HC111" s="48">
        <f t="shared" si="1215"/>
        <v>0.6499999999999998</v>
      </c>
      <c r="HD111" s="48">
        <f t="shared" si="1215"/>
        <v>0.62999999999999978</v>
      </c>
      <c r="HE111" s="48">
        <f t="shared" si="1215"/>
        <v>0.60999999999999976</v>
      </c>
      <c r="HF111" s="48">
        <f t="shared" si="1215"/>
        <v>0.58999999999999975</v>
      </c>
      <c r="HG111" s="48">
        <f t="shared" si="1215"/>
        <v>0.56999999999999973</v>
      </c>
    </row>
    <row r="112" spans="1:215" ht="17.25" thickBot="1" x14ac:dyDescent="0.35">
      <c r="A112" s="2">
        <v>21</v>
      </c>
      <c r="C112" s="29" t="s">
        <v>157</v>
      </c>
      <c r="D112" s="45">
        <f>TRUNC(13778.0697998583
+626.475496288724
+3036.87002985283
+299.557701913136
+1060.91400759679
+687.324873096447
+865.684233758088
+578.998304080661,-1)</f>
        <v>20930</v>
      </c>
      <c r="E112" s="74">
        <f t="shared" si="988"/>
        <v>69190</v>
      </c>
      <c r="F112" s="2" t="s">
        <v>377</v>
      </c>
      <c r="G112" s="48">
        <f t="shared" si="948"/>
        <v>23023.000000000004</v>
      </c>
      <c r="H112" s="48">
        <f t="shared" si="949"/>
        <v>23023.000000000004</v>
      </c>
      <c r="I112" s="51">
        <f t="shared" si="950"/>
        <v>76109.433400000009</v>
      </c>
      <c r="J112" s="48">
        <f t="shared" si="989"/>
        <v>22332.31</v>
      </c>
      <c r="K112" s="51">
        <f t="shared" si="990"/>
        <v>73826.150398000013</v>
      </c>
      <c r="L112" s="48">
        <f t="shared" si="991"/>
        <v>21871.850000000002</v>
      </c>
      <c r="M112" s="51">
        <f t="shared" si="992"/>
        <v>72303.96173000001</v>
      </c>
      <c r="N112" s="48">
        <f t="shared" si="993"/>
        <v>21411.390000000003</v>
      </c>
      <c r="O112" s="51">
        <f t="shared" si="994"/>
        <v>70781.773062000007</v>
      </c>
      <c r="P112" s="52">
        <f t="shared" si="995"/>
        <v>20950.930000000004</v>
      </c>
      <c r="Q112" s="51">
        <f t="shared" si="996"/>
        <v>69259.58439400002</v>
      </c>
      <c r="R112" s="48">
        <f t="shared" si="997"/>
        <v>20490.470000000005</v>
      </c>
      <c r="S112" s="51">
        <f t="shared" si="998"/>
        <v>67737.395726000017</v>
      </c>
      <c r="T112" s="52">
        <f t="shared" si="999"/>
        <v>20030.010000000002</v>
      </c>
      <c r="U112" s="51">
        <f t="shared" si="1000"/>
        <v>66215.207058000015</v>
      </c>
      <c r="V112" s="53">
        <f t="shared" si="1001"/>
        <v>19569.550000000003</v>
      </c>
      <c r="W112" s="51">
        <f t="shared" si="1002"/>
        <v>64693.018390000012</v>
      </c>
      <c r="X112" s="52">
        <f t="shared" si="1003"/>
        <v>19109.090000000004</v>
      </c>
      <c r="Y112" s="51">
        <f t="shared" si="1004"/>
        <v>63170.829722000017</v>
      </c>
      <c r="Z112" s="48">
        <f t="shared" si="1005"/>
        <v>18648.63</v>
      </c>
      <c r="AA112" s="51">
        <f t="shared" si="1006"/>
        <v>61648.641054000007</v>
      </c>
      <c r="AB112" s="53">
        <f t="shared" si="1007"/>
        <v>18188.170000000002</v>
      </c>
      <c r="AC112" s="51">
        <f t="shared" si="1008"/>
        <v>60126.452386000004</v>
      </c>
      <c r="AD112" s="53">
        <f t="shared" si="1009"/>
        <v>17727.71</v>
      </c>
      <c r="AE112" s="51">
        <f t="shared" si="1010"/>
        <v>58604.263718000002</v>
      </c>
      <c r="AF112" s="53">
        <f t="shared" si="1011"/>
        <v>17267.25</v>
      </c>
      <c r="AG112" s="51">
        <f t="shared" si="1012"/>
        <v>57082.075049999999</v>
      </c>
      <c r="AH112" s="48">
        <f t="shared" si="1013"/>
        <v>16806.79</v>
      </c>
      <c r="AI112" s="51">
        <f t="shared" si="1014"/>
        <v>55559.886382000004</v>
      </c>
      <c r="AJ112" s="53">
        <f t="shared" si="1015"/>
        <v>16346.33</v>
      </c>
      <c r="AK112" s="51">
        <f t="shared" si="1016"/>
        <v>54037.697714000002</v>
      </c>
      <c r="AL112" s="53">
        <f t="shared" si="1017"/>
        <v>15885.869999999999</v>
      </c>
      <c r="AM112" s="51">
        <f t="shared" si="1018"/>
        <v>52515.509045999999</v>
      </c>
      <c r="AN112" s="53">
        <f t="shared" si="1019"/>
        <v>15425.409999999998</v>
      </c>
      <c r="AO112" s="51">
        <f t="shared" si="1020"/>
        <v>50993.320377999997</v>
      </c>
      <c r="AP112" s="53">
        <f t="shared" si="1021"/>
        <v>14964.949999999997</v>
      </c>
      <c r="AQ112" s="51">
        <f t="shared" si="1022"/>
        <v>49471.131709999994</v>
      </c>
      <c r="AR112" s="48">
        <f t="shared" si="1023"/>
        <v>14504.489999999998</v>
      </c>
      <c r="AS112" s="51">
        <f t="shared" si="1024"/>
        <v>47948.943041999992</v>
      </c>
      <c r="AT112" s="53">
        <f t="shared" si="1025"/>
        <v>14044.029999999997</v>
      </c>
      <c r="AU112" s="51">
        <f t="shared" si="1026"/>
        <v>46426.754373999989</v>
      </c>
      <c r="AV112" s="53">
        <f t="shared" si="1027"/>
        <v>13583.569999999996</v>
      </c>
      <c r="AW112" s="51">
        <f t="shared" si="1028"/>
        <v>44904.565705999987</v>
      </c>
      <c r="AX112" s="48">
        <f t="shared" si="1029"/>
        <v>13123.109999999995</v>
      </c>
      <c r="AY112" s="51">
        <f t="shared" si="1030"/>
        <v>43382.377037999984</v>
      </c>
      <c r="BB112" s="48">
        <v>1</v>
      </c>
      <c r="BC112" s="48">
        <v>0.97</v>
      </c>
      <c r="BD112" s="48">
        <v>0.95</v>
      </c>
      <c r="BE112" s="48">
        <v>0.93</v>
      </c>
      <c r="BF112" s="48">
        <f t="shared" ref="BF112:BW112" si="1216">+BE112-0.02</f>
        <v>0.91</v>
      </c>
      <c r="BG112" s="48">
        <f t="shared" si="1216"/>
        <v>0.89</v>
      </c>
      <c r="BH112" s="48">
        <f t="shared" si="1216"/>
        <v>0.87</v>
      </c>
      <c r="BI112" s="48">
        <f t="shared" si="1216"/>
        <v>0.85</v>
      </c>
      <c r="BJ112" s="48">
        <f t="shared" si="1216"/>
        <v>0.83</v>
      </c>
      <c r="BK112" s="48">
        <f t="shared" si="1216"/>
        <v>0.80999999999999994</v>
      </c>
      <c r="BL112" s="48">
        <f t="shared" si="1216"/>
        <v>0.78999999999999992</v>
      </c>
      <c r="BM112" s="48">
        <f t="shared" si="1216"/>
        <v>0.76999999999999991</v>
      </c>
      <c r="BN112" s="48">
        <f t="shared" si="1216"/>
        <v>0.74999999999999989</v>
      </c>
      <c r="BO112" s="48">
        <f t="shared" si="1216"/>
        <v>0.72999999999999987</v>
      </c>
      <c r="BP112" s="48">
        <f t="shared" si="1216"/>
        <v>0.70999999999999985</v>
      </c>
      <c r="BQ112" s="48">
        <f t="shared" si="1216"/>
        <v>0.68999999999999984</v>
      </c>
      <c r="BR112" s="48">
        <f t="shared" si="1216"/>
        <v>0.66999999999999982</v>
      </c>
      <c r="BS112" s="48">
        <f t="shared" si="1216"/>
        <v>0.6499999999999998</v>
      </c>
      <c r="BT112" s="48">
        <f t="shared" si="1216"/>
        <v>0.62999999999999978</v>
      </c>
      <c r="BU112" s="48">
        <f t="shared" si="1216"/>
        <v>0.60999999999999976</v>
      </c>
      <c r="BV112" s="48">
        <f t="shared" si="1216"/>
        <v>0.58999999999999975</v>
      </c>
      <c r="BW112" s="48">
        <f t="shared" si="1216"/>
        <v>0.56999999999999973</v>
      </c>
      <c r="BY112" s="48">
        <f t="shared" si="952"/>
        <v>20950.930000000004</v>
      </c>
      <c r="BZ112" s="48">
        <f t="shared" si="953"/>
        <v>20950.930000000004</v>
      </c>
      <c r="CA112" s="51">
        <f t="shared" ref="CA112" si="1217">+BZ112*3.3058</f>
        <v>69259.58439400002</v>
      </c>
      <c r="CB112" s="48">
        <f t="shared" si="1033"/>
        <v>20322.402100000003</v>
      </c>
      <c r="CC112" s="51">
        <f t="shared" si="1034"/>
        <v>67181.79686218001</v>
      </c>
      <c r="CD112" s="48">
        <f t="shared" si="1035"/>
        <v>19903.383500000004</v>
      </c>
      <c r="CE112" s="51">
        <f t="shared" si="1036"/>
        <v>65796.605174300013</v>
      </c>
      <c r="CF112" s="48">
        <f t="shared" si="1037"/>
        <v>19484.364900000004</v>
      </c>
      <c r="CG112" s="51">
        <f t="shared" si="1038"/>
        <v>64411.413486420017</v>
      </c>
      <c r="CH112" s="52">
        <f t="shared" si="1039"/>
        <v>19065.346300000005</v>
      </c>
      <c r="CI112" s="51">
        <f t="shared" si="1040"/>
        <v>63026.22179854002</v>
      </c>
      <c r="CJ112" s="48">
        <f t="shared" si="1041"/>
        <v>18646.327700000005</v>
      </c>
      <c r="CK112" s="51">
        <f t="shared" si="1042"/>
        <v>61641.030110660016</v>
      </c>
      <c r="CL112" s="52">
        <f t="shared" si="1043"/>
        <v>18227.309100000002</v>
      </c>
      <c r="CM112" s="51">
        <f t="shared" si="1044"/>
        <v>60255.838422780005</v>
      </c>
      <c r="CN112" s="53">
        <f t="shared" si="1045"/>
        <v>17808.290500000003</v>
      </c>
      <c r="CO112" s="51">
        <f t="shared" si="1046"/>
        <v>58870.646734900009</v>
      </c>
      <c r="CP112" s="52">
        <f t="shared" si="1047"/>
        <v>17389.271900000003</v>
      </c>
      <c r="CQ112" s="51">
        <f t="shared" si="1048"/>
        <v>57485.455047020012</v>
      </c>
      <c r="CR112" s="48">
        <f t="shared" si="1049"/>
        <v>16970.2533</v>
      </c>
      <c r="CS112" s="51">
        <f t="shared" si="1050"/>
        <v>56100.263359140001</v>
      </c>
      <c r="CT112" s="53">
        <f t="shared" si="1051"/>
        <v>16551.234700000001</v>
      </c>
      <c r="CU112" s="51">
        <f t="shared" si="1052"/>
        <v>54715.071671260004</v>
      </c>
      <c r="CV112" s="53">
        <f t="shared" si="1053"/>
        <v>16132.216100000001</v>
      </c>
      <c r="CW112" s="51">
        <f t="shared" si="1054"/>
        <v>53329.879983380008</v>
      </c>
      <c r="CX112" s="53">
        <f t="shared" si="1055"/>
        <v>15713.1975</v>
      </c>
      <c r="CY112" s="51">
        <f t="shared" si="1056"/>
        <v>51944.688295500004</v>
      </c>
      <c r="CZ112" s="48">
        <f t="shared" si="1057"/>
        <v>15294.178900000001</v>
      </c>
      <c r="DA112" s="51">
        <f t="shared" si="1058"/>
        <v>50559.496607620007</v>
      </c>
      <c r="DB112" s="53">
        <f t="shared" si="1059"/>
        <v>14875.1603</v>
      </c>
      <c r="DC112" s="51">
        <f t="shared" si="1060"/>
        <v>49174.304919739996</v>
      </c>
      <c r="DD112" s="53">
        <f t="shared" si="1061"/>
        <v>14456.1417</v>
      </c>
      <c r="DE112" s="51">
        <f t="shared" si="1062"/>
        <v>47789.113231859999</v>
      </c>
      <c r="DF112" s="53">
        <f t="shared" si="1063"/>
        <v>14037.123099999999</v>
      </c>
      <c r="DG112" s="51">
        <f t="shared" si="1064"/>
        <v>46403.921543979995</v>
      </c>
      <c r="DH112" s="53">
        <f t="shared" si="1065"/>
        <v>13618.104499999998</v>
      </c>
      <c r="DI112" s="51">
        <f t="shared" si="1066"/>
        <v>45018.729856099992</v>
      </c>
      <c r="DJ112" s="48">
        <f t="shared" si="1067"/>
        <v>13199.085899999998</v>
      </c>
      <c r="DK112" s="51">
        <f t="shared" si="1068"/>
        <v>43633.538168219995</v>
      </c>
      <c r="DL112" s="53">
        <f t="shared" si="1069"/>
        <v>12780.067299999997</v>
      </c>
      <c r="DM112" s="51">
        <f t="shared" si="1070"/>
        <v>42248.346480339991</v>
      </c>
      <c r="DN112" s="53">
        <f t="shared" si="1071"/>
        <v>12361.048699999998</v>
      </c>
      <c r="DO112" s="51">
        <f t="shared" si="1072"/>
        <v>40863.154792459994</v>
      </c>
      <c r="DP112" s="48">
        <f t="shared" si="1073"/>
        <v>11942.030099999996</v>
      </c>
      <c r="DQ112" s="51">
        <f t="shared" si="1074"/>
        <v>39477.963104579991</v>
      </c>
      <c r="DT112" s="48">
        <v>1</v>
      </c>
      <c r="DU112" s="48">
        <v>0.97</v>
      </c>
      <c r="DV112" s="48">
        <v>0.95</v>
      </c>
      <c r="DW112" s="48">
        <v>0.93</v>
      </c>
      <c r="DX112" s="48">
        <f t="shared" ref="DX112:EO112" si="1218">+DW112-0.02</f>
        <v>0.91</v>
      </c>
      <c r="DY112" s="48">
        <f t="shared" si="1218"/>
        <v>0.89</v>
      </c>
      <c r="DZ112" s="48">
        <f t="shared" si="1218"/>
        <v>0.87</v>
      </c>
      <c r="EA112" s="48">
        <f t="shared" si="1218"/>
        <v>0.85</v>
      </c>
      <c r="EB112" s="48">
        <f t="shared" si="1218"/>
        <v>0.83</v>
      </c>
      <c r="EC112" s="48">
        <f t="shared" si="1218"/>
        <v>0.80999999999999994</v>
      </c>
      <c r="ED112" s="48">
        <f t="shared" si="1218"/>
        <v>0.78999999999999992</v>
      </c>
      <c r="EE112" s="48">
        <f t="shared" si="1218"/>
        <v>0.76999999999999991</v>
      </c>
      <c r="EF112" s="48">
        <f t="shared" si="1218"/>
        <v>0.74999999999999989</v>
      </c>
      <c r="EG112" s="48">
        <f t="shared" si="1218"/>
        <v>0.72999999999999987</v>
      </c>
      <c r="EH112" s="48">
        <f t="shared" si="1218"/>
        <v>0.70999999999999985</v>
      </c>
      <c r="EI112" s="48">
        <f t="shared" si="1218"/>
        <v>0.68999999999999984</v>
      </c>
      <c r="EJ112" s="48">
        <f t="shared" si="1218"/>
        <v>0.66999999999999982</v>
      </c>
      <c r="EK112" s="48">
        <f t="shared" si="1218"/>
        <v>0.6499999999999998</v>
      </c>
      <c r="EL112" s="48">
        <f t="shared" si="1218"/>
        <v>0.62999999999999978</v>
      </c>
      <c r="EM112" s="48">
        <f t="shared" si="1218"/>
        <v>0.60999999999999976</v>
      </c>
      <c r="EN112" s="48">
        <f t="shared" si="1218"/>
        <v>0.58999999999999975</v>
      </c>
      <c r="EO112" s="48">
        <f t="shared" si="1218"/>
        <v>0.56999999999999973</v>
      </c>
      <c r="EQ112" s="48">
        <f t="shared" si="1128"/>
        <v>19065.346300000005</v>
      </c>
      <c r="ER112" s="48">
        <f t="shared" si="956"/>
        <v>19065.346300000005</v>
      </c>
      <c r="ES112" s="51">
        <f t="shared" ref="ES112" si="1219">+ER112*3.3058</f>
        <v>63026.22179854002</v>
      </c>
      <c r="ET112" s="48">
        <f t="shared" si="1077"/>
        <v>18493.385911000005</v>
      </c>
      <c r="EU112" s="51">
        <f t="shared" si="1078"/>
        <v>61135.435144583818</v>
      </c>
      <c r="EV112" s="48">
        <f t="shared" si="1079"/>
        <v>18112.078985000004</v>
      </c>
      <c r="EW112" s="51">
        <f t="shared" si="1080"/>
        <v>59874.910708613017</v>
      </c>
      <c r="EX112" s="48">
        <f t="shared" si="1081"/>
        <v>17730.772059000006</v>
      </c>
      <c r="EY112" s="51">
        <f t="shared" si="1082"/>
        <v>58614.386272642223</v>
      </c>
      <c r="EZ112" s="52">
        <f t="shared" si="1083"/>
        <v>17349.465133000005</v>
      </c>
      <c r="FA112" s="51">
        <f t="shared" si="1084"/>
        <v>57353.861836671422</v>
      </c>
      <c r="FB112" s="48">
        <f t="shared" si="1085"/>
        <v>16968.158207000004</v>
      </c>
      <c r="FC112" s="51">
        <f t="shared" si="1086"/>
        <v>56093.337400700613</v>
      </c>
      <c r="FD112" s="52">
        <f t="shared" si="1087"/>
        <v>16586.851281000003</v>
      </c>
      <c r="FE112" s="51">
        <f t="shared" si="1088"/>
        <v>54832.812964729812</v>
      </c>
      <c r="FF112" s="53">
        <f t="shared" si="1089"/>
        <v>16205.544355000004</v>
      </c>
      <c r="FG112" s="51">
        <f t="shared" si="1090"/>
        <v>53572.288528759011</v>
      </c>
      <c r="FH112" s="52">
        <f t="shared" si="1091"/>
        <v>15824.237429000003</v>
      </c>
      <c r="FI112" s="51">
        <f t="shared" si="1092"/>
        <v>52311.764092788209</v>
      </c>
      <c r="FJ112" s="48">
        <f t="shared" si="1093"/>
        <v>15442.930503000003</v>
      </c>
      <c r="FK112" s="51">
        <f t="shared" si="1094"/>
        <v>51051.239656817415</v>
      </c>
      <c r="FL112" s="53">
        <f t="shared" si="1095"/>
        <v>15061.623577000002</v>
      </c>
      <c r="FM112" s="51">
        <f t="shared" si="1096"/>
        <v>49790.715220846607</v>
      </c>
      <c r="FN112" s="53">
        <f t="shared" si="1097"/>
        <v>14680.316651000001</v>
      </c>
      <c r="FO112" s="51">
        <f t="shared" si="1098"/>
        <v>48530.190784875806</v>
      </c>
      <c r="FP112" s="53">
        <f t="shared" si="1099"/>
        <v>14299.009725000002</v>
      </c>
      <c r="FQ112" s="51">
        <f t="shared" si="1100"/>
        <v>47269.666348905004</v>
      </c>
      <c r="FR112" s="48">
        <f t="shared" si="1101"/>
        <v>13917.702799000001</v>
      </c>
      <c r="FS112" s="51">
        <f t="shared" si="1102"/>
        <v>46009.141912934203</v>
      </c>
      <c r="FT112" s="53">
        <f t="shared" si="1103"/>
        <v>13536.395873000001</v>
      </c>
      <c r="FU112" s="51">
        <f t="shared" si="1104"/>
        <v>44748.617476963402</v>
      </c>
      <c r="FV112" s="53">
        <f t="shared" si="1105"/>
        <v>13155.088947</v>
      </c>
      <c r="FW112" s="51">
        <f t="shared" si="1106"/>
        <v>43488.0930409926</v>
      </c>
      <c r="FX112" s="53">
        <f t="shared" si="1107"/>
        <v>12773.782020999999</v>
      </c>
      <c r="FY112" s="51">
        <f t="shared" si="1108"/>
        <v>42227.568605021799</v>
      </c>
      <c r="FZ112" s="53">
        <f t="shared" si="1109"/>
        <v>12392.475095</v>
      </c>
      <c r="GA112" s="51">
        <f t="shared" si="1110"/>
        <v>40967.044169050998</v>
      </c>
      <c r="GB112" s="48">
        <f t="shared" si="1111"/>
        <v>12011.168168999999</v>
      </c>
      <c r="GC112" s="51">
        <f t="shared" si="1112"/>
        <v>39706.519733080197</v>
      </c>
      <c r="GD112" s="53">
        <f t="shared" si="1113"/>
        <v>11629.861242999998</v>
      </c>
      <c r="GE112" s="51">
        <f t="shared" si="1114"/>
        <v>38445.995297109395</v>
      </c>
      <c r="GF112" s="53">
        <f t="shared" si="1115"/>
        <v>11248.554316999998</v>
      </c>
      <c r="GG112" s="51">
        <f t="shared" si="1116"/>
        <v>37185.470861138594</v>
      </c>
      <c r="GH112" s="48">
        <f t="shared" si="1117"/>
        <v>10867.247390999997</v>
      </c>
      <c r="GI112" s="51">
        <f t="shared" si="1118"/>
        <v>35924.946425167793</v>
      </c>
      <c r="GJ112" s="48"/>
      <c r="GK112" s="48"/>
      <c r="GL112" s="48">
        <v>1</v>
      </c>
      <c r="GM112" s="48">
        <v>0.97</v>
      </c>
      <c r="GN112" s="48">
        <v>0.95</v>
      </c>
      <c r="GO112" s="48">
        <v>0.93</v>
      </c>
      <c r="GP112" s="48">
        <f t="shared" ref="GP112:HG112" si="1220">+GO112-0.02</f>
        <v>0.91</v>
      </c>
      <c r="GQ112" s="48">
        <f t="shared" si="1220"/>
        <v>0.89</v>
      </c>
      <c r="GR112" s="48">
        <f t="shared" si="1220"/>
        <v>0.87</v>
      </c>
      <c r="GS112" s="48">
        <f t="shared" si="1220"/>
        <v>0.85</v>
      </c>
      <c r="GT112" s="48">
        <f t="shared" si="1220"/>
        <v>0.83</v>
      </c>
      <c r="GU112" s="48">
        <f t="shared" si="1220"/>
        <v>0.80999999999999994</v>
      </c>
      <c r="GV112" s="48">
        <f t="shared" si="1220"/>
        <v>0.78999999999999992</v>
      </c>
      <c r="GW112" s="48">
        <f t="shared" si="1220"/>
        <v>0.76999999999999991</v>
      </c>
      <c r="GX112" s="48">
        <f t="shared" si="1220"/>
        <v>0.74999999999999989</v>
      </c>
      <c r="GY112" s="48">
        <f t="shared" si="1220"/>
        <v>0.72999999999999987</v>
      </c>
      <c r="GZ112" s="48">
        <f t="shared" si="1220"/>
        <v>0.70999999999999985</v>
      </c>
      <c r="HA112" s="48">
        <f t="shared" si="1220"/>
        <v>0.68999999999999984</v>
      </c>
      <c r="HB112" s="48">
        <f t="shared" si="1220"/>
        <v>0.66999999999999982</v>
      </c>
      <c r="HC112" s="48">
        <f t="shared" si="1220"/>
        <v>0.6499999999999998</v>
      </c>
      <c r="HD112" s="48">
        <f t="shared" si="1220"/>
        <v>0.62999999999999978</v>
      </c>
      <c r="HE112" s="48">
        <f t="shared" si="1220"/>
        <v>0.60999999999999976</v>
      </c>
      <c r="HF112" s="48">
        <f t="shared" si="1220"/>
        <v>0.58999999999999975</v>
      </c>
      <c r="HG112" s="48">
        <f t="shared" si="1220"/>
        <v>0.56999999999999973</v>
      </c>
    </row>
    <row r="113" spans="1:215" x14ac:dyDescent="0.3">
      <c r="A113" s="2">
        <v>22</v>
      </c>
      <c r="C113" s="27" t="s">
        <v>158</v>
      </c>
      <c r="D113" s="40">
        <f>SUM(D92:D112)</f>
        <v>155000</v>
      </c>
      <c r="E113" s="40">
        <f>SUM(E92:E112)</f>
        <v>512350</v>
      </c>
      <c r="G113" s="48">
        <f t="shared" si="948"/>
        <v>170500</v>
      </c>
      <c r="H113" s="48">
        <f t="shared" si="949"/>
        <v>170500</v>
      </c>
      <c r="I113" s="51">
        <f t="shared" si="950"/>
        <v>563638.9</v>
      </c>
      <c r="J113" s="48">
        <f t="shared" si="989"/>
        <v>165385</v>
      </c>
      <c r="K113" s="51">
        <f t="shared" si="990"/>
        <v>546729.73300000001</v>
      </c>
      <c r="L113" s="48">
        <f t="shared" si="991"/>
        <v>161975</v>
      </c>
      <c r="M113" s="51">
        <f t="shared" si="992"/>
        <v>535456.95499999996</v>
      </c>
      <c r="N113" s="48">
        <f t="shared" si="993"/>
        <v>158565</v>
      </c>
      <c r="O113" s="51">
        <f t="shared" si="994"/>
        <v>524184.17700000003</v>
      </c>
      <c r="P113" s="52">
        <f t="shared" si="995"/>
        <v>155155</v>
      </c>
      <c r="Q113" s="51">
        <f t="shared" si="996"/>
        <v>512911.39900000003</v>
      </c>
      <c r="R113" s="48">
        <f t="shared" si="997"/>
        <v>151745</v>
      </c>
      <c r="S113" s="51">
        <f t="shared" si="998"/>
        <v>501638.62099999998</v>
      </c>
      <c r="T113" s="52">
        <f t="shared" si="999"/>
        <v>148335</v>
      </c>
      <c r="U113" s="51">
        <f t="shared" si="1000"/>
        <v>490365.84299999999</v>
      </c>
      <c r="V113" s="53">
        <f t="shared" si="1001"/>
        <v>144925</v>
      </c>
      <c r="W113" s="51">
        <f t="shared" si="1002"/>
        <v>479093.065</v>
      </c>
      <c r="X113" s="52">
        <f t="shared" si="1003"/>
        <v>141515</v>
      </c>
      <c r="Y113" s="51">
        <f t="shared" si="1004"/>
        <v>467820.28700000001</v>
      </c>
      <c r="Z113" s="48">
        <f t="shared" si="1005"/>
        <v>138105</v>
      </c>
      <c r="AA113" s="51">
        <f t="shared" si="1006"/>
        <v>456547.50900000002</v>
      </c>
      <c r="AB113" s="53">
        <f t="shared" si="1007"/>
        <v>134695</v>
      </c>
      <c r="AC113" s="51">
        <f t="shared" si="1008"/>
        <v>445274.73100000003</v>
      </c>
      <c r="AD113" s="53">
        <f t="shared" si="1009"/>
        <v>131284.99999999997</v>
      </c>
      <c r="AE113" s="51">
        <f t="shared" si="1010"/>
        <v>434001.95299999992</v>
      </c>
      <c r="AF113" s="53">
        <f t="shared" si="1011"/>
        <v>127874.99999999999</v>
      </c>
      <c r="AG113" s="51">
        <f t="shared" si="1012"/>
        <v>422729.17499999999</v>
      </c>
      <c r="AH113" s="48">
        <f t="shared" si="1013"/>
        <v>124464.99999999997</v>
      </c>
      <c r="AI113" s="51">
        <f t="shared" si="1014"/>
        <v>411456.39699999994</v>
      </c>
      <c r="AJ113" s="53">
        <f t="shared" si="1015"/>
        <v>121054.99999999997</v>
      </c>
      <c r="AK113" s="51">
        <f t="shared" si="1016"/>
        <v>400183.61899999989</v>
      </c>
      <c r="AL113" s="53">
        <f t="shared" si="1017"/>
        <v>117644.99999999997</v>
      </c>
      <c r="AM113" s="51">
        <f t="shared" si="1018"/>
        <v>388910.8409999999</v>
      </c>
      <c r="AN113" s="53">
        <f t="shared" si="1019"/>
        <v>114234.99999999997</v>
      </c>
      <c r="AO113" s="51">
        <f t="shared" si="1020"/>
        <v>377638.06299999991</v>
      </c>
      <c r="AP113" s="53">
        <f t="shared" si="1021"/>
        <v>110824.99999999997</v>
      </c>
      <c r="AQ113" s="51">
        <f t="shared" si="1022"/>
        <v>366365.28499999992</v>
      </c>
      <c r="AR113" s="48">
        <f t="shared" si="1023"/>
        <v>107414.99999999996</v>
      </c>
      <c r="AS113" s="51">
        <f t="shared" si="1024"/>
        <v>355092.50699999987</v>
      </c>
      <c r="AT113" s="53">
        <f t="shared" si="1025"/>
        <v>104004.99999999996</v>
      </c>
      <c r="AU113" s="51">
        <f t="shared" si="1026"/>
        <v>343819.72899999988</v>
      </c>
      <c r="AV113" s="53">
        <f t="shared" si="1027"/>
        <v>100594.99999999996</v>
      </c>
      <c r="AW113" s="51">
        <f t="shared" si="1028"/>
        <v>332546.95099999988</v>
      </c>
      <c r="AX113" s="48">
        <f t="shared" si="1029"/>
        <v>97184.999999999956</v>
      </c>
      <c r="AY113" s="51">
        <f t="shared" si="1030"/>
        <v>321274.17299999984</v>
      </c>
      <c r="BB113" s="48">
        <v>1</v>
      </c>
      <c r="BC113" s="48">
        <v>0.97</v>
      </c>
      <c r="BD113" s="48">
        <v>0.95</v>
      </c>
      <c r="BE113" s="48">
        <v>0.93</v>
      </c>
      <c r="BF113" s="48">
        <f t="shared" ref="BF113:BW113" si="1221">+BE113-0.02</f>
        <v>0.91</v>
      </c>
      <c r="BG113" s="48">
        <f t="shared" si="1221"/>
        <v>0.89</v>
      </c>
      <c r="BH113" s="48">
        <f t="shared" si="1221"/>
        <v>0.87</v>
      </c>
      <c r="BI113" s="48">
        <f t="shared" si="1221"/>
        <v>0.85</v>
      </c>
      <c r="BJ113" s="48">
        <f t="shared" si="1221"/>
        <v>0.83</v>
      </c>
      <c r="BK113" s="48">
        <f t="shared" si="1221"/>
        <v>0.80999999999999994</v>
      </c>
      <c r="BL113" s="48">
        <f t="shared" si="1221"/>
        <v>0.78999999999999992</v>
      </c>
      <c r="BM113" s="48">
        <f t="shared" si="1221"/>
        <v>0.76999999999999991</v>
      </c>
      <c r="BN113" s="48">
        <f t="shared" si="1221"/>
        <v>0.74999999999999989</v>
      </c>
      <c r="BO113" s="48">
        <f t="shared" si="1221"/>
        <v>0.72999999999999987</v>
      </c>
      <c r="BP113" s="48">
        <f t="shared" si="1221"/>
        <v>0.70999999999999985</v>
      </c>
      <c r="BQ113" s="48">
        <f t="shared" si="1221"/>
        <v>0.68999999999999984</v>
      </c>
      <c r="BR113" s="48">
        <f t="shared" si="1221"/>
        <v>0.66999999999999982</v>
      </c>
      <c r="BS113" s="48">
        <f t="shared" si="1221"/>
        <v>0.6499999999999998</v>
      </c>
      <c r="BT113" s="48">
        <f t="shared" si="1221"/>
        <v>0.62999999999999978</v>
      </c>
      <c r="BU113" s="48">
        <f t="shared" si="1221"/>
        <v>0.60999999999999976</v>
      </c>
      <c r="BV113" s="48">
        <f t="shared" si="1221"/>
        <v>0.58999999999999975</v>
      </c>
      <c r="BW113" s="48">
        <f t="shared" si="1221"/>
        <v>0.56999999999999973</v>
      </c>
      <c r="BY113" s="48">
        <f t="shared" si="952"/>
        <v>155155</v>
      </c>
      <c r="BZ113" s="48">
        <f t="shared" si="953"/>
        <v>155155</v>
      </c>
      <c r="CA113" s="51">
        <f t="shared" ref="CA113" si="1222">+BZ113*3.3058</f>
        <v>512911.39900000003</v>
      </c>
      <c r="CB113" s="48">
        <f t="shared" si="1033"/>
        <v>150500.35</v>
      </c>
      <c r="CC113" s="51">
        <f t="shared" si="1034"/>
        <v>497524.05703000003</v>
      </c>
      <c r="CD113" s="48">
        <f t="shared" si="1035"/>
        <v>147397.25</v>
      </c>
      <c r="CE113" s="51">
        <f t="shared" si="1036"/>
        <v>487265.82905</v>
      </c>
      <c r="CF113" s="48">
        <f t="shared" si="1037"/>
        <v>144294.15</v>
      </c>
      <c r="CG113" s="51">
        <f t="shared" si="1038"/>
        <v>477007.60106999998</v>
      </c>
      <c r="CH113" s="52">
        <f t="shared" si="1039"/>
        <v>141191.05000000002</v>
      </c>
      <c r="CI113" s="51">
        <f t="shared" si="1040"/>
        <v>466749.37309000007</v>
      </c>
      <c r="CJ113" s="48">
        <f t="shared" si="1041"/>
        <v>138087.95000000001</v>
      </c>
      <c r="CK113" s="51">
        <f t="shared" si="1042"/>
        <v>456491.14511000004</v>
      </c>
      <c r="CL113" s="52">
        <f t="shared" si="1043"/>
        <v>134984.85</v>
      </c>
      <c r="CM113" s="51">
        <f t="shared" si="1044"/>
        <v>446232.91713000002</v>
      </c>
      <c r="CN113" s="53">
        <f t="shared" si="1045"/>
        <v>131881.75</v>
      </c>
      <c r="CO113" s="51">
        <f t="shared" si="1046"/>
        <v>435974.68914999999</v>
      </c>
      <c r="CP113" s="52">
        <f t="shared" si="1047"/>
        <v>128778.65</v>
      </c>
      <c r="CQ113" s="51">
        <f t="shared" si="1048"/>
        <v>425716.46116999997</v>
      </c>
      <c r="CR113" s="48">
        <f t="shared" si="1049"/>
        <v>125675.54999999999</v>
      </c>
      <c r="CS113" s="51">
        <f t="shared" si="1050"/>
        <v>415458.23319</v>
      </c>
      <c r="CT113" s="53">
        <f t="shared" si="1051"/>
        <v>122572.44999999998</v>
      </c>
      <c r="CU113" s="51">
        <f t="shared" si="1052"/>
        <v>405200.00520999997</v>
      </c>
      <c r="CV113" s="53">
        <f t="shared" si="1053"/>
        <v>119469.34999999999</v>
      </c>
      <c r="CW113" s="51">
        <f t="shared" si="1054"/>
        <v>394941.77723000001</v>
      </c>
      <c r="CX113" s="53">
        <f t="shared" si="1055"/>
        <v>116366.24999999999</v>
      </c>
      <c r="CY113" s="51">
        <f t="shared" si="1056"/>
        <v>384683.54924999998</v>
      </c>
      <c r="CZ113" s="48">
        <f t="shared" si="1057"/>
        <v>113263.14999999998</v>
      </c>
      <c r="DA113" s="51">
        <f t="shared" si="1058"/>
        <v>374425.32126999996</v>
      </c>
      <c r="DB113" s="53">
        <f t="shared" si="1059"/>
        <v>110160.04999999997</v>
      </c>
      <c r="DC113" s="51">
        <f t="shared" si="1060"/>
        <v>364167.09328999993</v>
      </c>
      <c r="DD113" s="53">
        <f t="shared" si="1061"/>
        <v>107056.94999999997</v>
      </c>
      <c r="DE113" s="51">
        <f t="shared" si="1062"/>
        <v>353908.86530999991</v>
      </c>
      <c r="DF113" s="53">
        <f t="shared" si="1063"/>
        <v>103953.84999999998</v>
      </c>
      <c r="DG113" s="51">
        <f t="shared" si="1064"/>
        <v>343650.63732999994</v>
      </c>
      <c r="DH113" s="53">
        <f t="shared" si="1065"/>
        <v>100850.74999999997</v>
      </c>
      <c r="DI113" s="51">
        <f t="shared" si="1066"/>
        <v>333392.40934999991</v>
      </c>
      <c r="DJ113" s="48">
        <f t="shared" si="1067"/>
        <v>97747.649999999965</v>
      </c>
      <c r="DK113" s="51">
        <f t="shared" si="1068"/>
        <v>323134.18136999989</v>
      </c>
      <c r="DL113" s="53">
        <f t="shared" si="1069"/>
        <v>94644.549999999959</v>
      </c>
      <c r="DM113" s="51">
        <f t="shared" si="1070"/>
        <v>312875.95338999986</v>
      </c>
      <c r="DN113" s="53">
        <f t="shared" si="1071"/>
        <v>91541.449999999968</v>
      </c>
      <c r="DO113" s="51">
        <f t="shared" si="1072"/>
        <v>302617.7254099999</v>
      </c>
      <c r="DP113" s="48">
        <f t="shared" si="1073"/>
        <v>88438.349999999962</v>
      </c>
      <c r="DQ113" s="51">
        <f t="shared" si="1074"/>
        <v>292359.49742999987</v>
      </c>
      <c r="DT113" s="48">
        <v>1</v>
      </c>
      <c r="DU113" s="48">
        <v>0.97</v>
      </c>
      <c r="DV113" s="48">
        <v>0.95</v>
      </c>
      <c r="DW113" s="48">
        <v>0.93</v>
      </c>
      <c r="DX113" s="48">
        <f t="shared" ref="DX113:EO113" si="1223">+DW113-0.02</f>
        <v>0.91</v>
      </c>
      <c r="DY113" s="48">
        <f t="shared" si="1223"/>
        <v>0.89</v>
      </c>
      <c r="DZ113" s="48">
        <f t="shared" si="1223"/>
        <v>0.87</v>
      </c>
      <c r="EA113" s="48">
        <f t="shared" si="1223"/>
        <v>0.85</v>
      </c>
      <c r="EB113" s="48">
        <f t="shared" si="1223"/>
        <v>0.83</v>
      </c>
      <c r="EC113" s="48">
        <f t="shared" si="1223"/>
        <v>0.80999999999999994</v>
      </c>
      <c r="ED113" s="48">
        <f t="shared" si="1223"/>
        <v>0.78999999999999992</v>
      </c>
      <c r="EE113" s="48">
        <f t="shared" si="1223"/>
        <v>0.76999999999999991</v>
      </c>
      <c r="EF113" s="48">
        <f t="shared" si="1223"/>
        <v>0.74999999999999989</v>
      </c>
      <c r="EG113" s="48">
        <f t="shared" si="1223"/>
        <v>0.72999999999999987</v>
      </c>
      <c r="EH113" s="48">
        <f t="shared" si="1223"/>
        <v>0.70999999999999985</v>
      </c>
      <c r="EI113" s="48">
        <f t="shared" si="1223"/>
        <v>0.68999999999999984</v>
      </c>
      <c r="EJ113" s="48">
        <f t="shared" si="1223"/>
        <v>0.66999999999999982</v>
      </c>
      <c r="EK113" s="48">
        <f t="shared" si="1223"/>
        <v>0.6499999999999998</v>
      </c>
      <c r="EL113" s="48">
        <f t="shared" si="1223"/>
        <v>0.62999999999999978</v>
      </c>
      <c r="EM113" s="48">
        <f t="shared" si="1223"/>
        <v>0.60999999999999976</v>
      </c>
      <c r="EN113" s="48">
        <f t="shared" si="1223"/>
        <v>0.58999999999999975</v>
      </c>
      <c r="EO113" s="48">
        <f t="shared" si="1223"/>
        <v>0.56999999999999973</v>
      </c>
      <c r="EQ113" s="48">
        <f t="shared" si="1128"/>
        <v>141191.05000000002</v>
      </c>
      <c r="ER113" s="48">
        <f t="shared" si="956"/>
        <v>141191.05000000002</v>
      </c>
      <c r="ES113" s="51">
        <f t="shared" ref="ES113" si="1224">+ER113*3.3058</f>
        <v>466749.37309000007</v>
      </c>
      <c r="ET113" s="48">
        <f t="shared" si="1077"/>
        <v>136955.31850000002</v>
      </c>
      <c r="EU113" s="51">
        <f t="shared" si="1078"/>
        <v>452746.89189730008</v>
      </c>
      <c r="EV113" s="48">
        <f t="shared" si="1079"/>
        <v>134131.4975</v>
      </c>
      <c r="EW113" s="51">
        <f t="shared" si="1080"/>
        <v>443411.90443549998</v>
      </c>
      <c r="EX113" s="48">
        <f t="shared" si="1081"/>
        <v>131307.67650000003</v>
      </c>
      <c r="EY113" s="51">
        <f t="shared" si="1082"/>
        <v>434076.91697370011</v>
      </c>
      <c r="EZ113" s="52">
        <f t="shared" si="1083"/>
        <v>128483.85550000002</v>
      </c>
      <c r="FA113" s="51">
        <f t="shared" si="1084"/>
        <v>424741.92951190006</v>
      </c>
      <c r="FB113" s="48">
        <f t="shared" si="1085"/>
        <v>125660.03450000002</v>
      </c>
      <c r="FC113" s="51">
        <f t="shared" si="1086"/>
        <v>415406.94205010007</v>
      </c>
      <c r="FD113" s="52">
        <f t="shared" si="1087"/>
        <v>122836.21350000001</v>
      </c>
      <c r="FE113" s="51">
        <f t="shared" si="1088"/>
        <v>406071.95458830002</v>
      </c>
      <c r="FF113" s="53">
        <f t="shared" si="1089"/>
        <v>120012.39250000002</v>
      </c>
      <c r="FG113" s="51">
        <f t="shared" si="1090"/>
        <v>396736.96712650004</v>
      </c>
      <c r="FH113" s="52">
        <f t="shared" si="1091"/>
        <v>117188.57150000001</v>
      </c>
      <c r="FI113" s="51">
        <f t="shared" si="1092"/>
        <v>387401.97966470005</v>
      </c>
      <c r="FJ113" s="48">
        <f t="shared" si="1093"/>
        <v>114364.75050000001</v>
      </c>
      <c r="FK113" s="51">
        <f t="shared" si="1094"/>
        <v>378066.99220290006</v>
      </c>
      <c r="FL113" s="53">
        <f t="shared" si="1095"/>
        <v>111540.9295</v>
      </c>
      <c r="FM113" s="51">
        <f t="shared" si="1096"/>
        <v>368732.00474110001</v>
      </c>
      <c r="FN113" s="53">
        <f t="shared" si="1097"/>
        <v>108717.1085</v>
      </c>
      <c r="FO113" s="51">
        <f t="shared" si="1098"/>
        <v>359397.01727930002</v>
      </c>
      <c r="FP113" s="53">
        <f t="shared" si="1099"/>
        <v>105893.28749999999</v>
      </c>
      <c r="FQ113" s="51">
        <f t="shared" si="1100"/>
        <v>350062.02981749998</v>
      </c>
      <c r="FR113" s="48">
        <f t="shared" si="1101"/>
        <v>103069.46649999999</v>
      </c>
      <c r="FS113" s="51">
        <f t="shared" si="1102"/>
        <v>340727.04235569999</v>
      </c>
      <c r="FT113" s="53">
        <f t="shared" si="1103"/>
        <v>100245.6455</v>
      </c>
      <c r="FU113" s="51">
        <f t="shared" si="1104"/>
        <v>331392.0548939</v>
      </c>
      <c r="FV113" s="53">
        <f t="shared" si="1105"/>
        <v>97421.824499999988</v>
      </c>
      <c r="FW113" s="51">
        <f t="shared" si="1106"/>
        <v>322057.06743209995</v>
      </c>
      <c r="FX113" s="53">
        <f t="shared" si="1107"/>
        <v>94598.003499999992</v>
      </c>
      <c r="FY113" s="51">
        <f t="shared" si="1108"/>
        <v>312722.07997029996</v>
      </c>
      <c r="FZ113" s="53">
        <f t="shared" si="1109"/>
        <v>91774.182499999981</v>
      </c>
      <c r="GA113" s="51">
        <f t="shared" si="1110"/>
        <v>303387.09250849992</v>
      </c>
      <c r="GB113" s="48">
        <f t="shared" si="1111"/>
        <v>88950.361499999985</v>
      </c>
      <c r="GC113" s="51">
        <f t="shared" si="1112"/>
        <v>294052.10504669993</v>
      </c>
      <c r="GD113" s="53">
        <f t="shared" si="1113"/>
        <v>86126.540499999974</v>
      </c>
      <c r="GE113" s="51">
        <f t="shared" si="1114"/>
        <v>284717.11758489994</v>
      </c>
      <c r="GF113" s="53">
        <f t="shared" si="1115"/>
        <v>83302.719499999977</v>
      </c>
      <c r="GG113" s="51">
        <f t="shared" si="1116"/>
        <v>275382.13012309995</v>
      </c>
      <c r="GH113" s="48">
        <f t="shared" si="1117"/>
        <v>80478.898499999967</v>
      </c>
      <c r="GI113" s="51">
        <f t="shared" si="1118"/>
        <v>266047.14266129991</v>
      </c>
      <c r="GJ113" s="48"/>
      <c r="GK113" s="48"/>
      <c r="GL113" s="48">
        <v>1</v>
      </c>
      <c r="GM113" s="48">
        <v>0.97</v>
      </c>
      <c r="GN113" s="48">
        <v>0.95</v>
      </c>
      <c r="GO113" s="48">
        <v>0.93</v>
      </c>
      <c r="GP113" s="48">
        <f t="shared" ref="GP113:HG113" si="1225">+GO113-0.02</f>
        <v>0.91</v>
      </c>
      <c r="GQ113" s="48">
        <f t="shared" si="1225"/>
        <v>0.89</v>
      </c>
      <c r="GR113" s="48">
        <f t="shared" si="1225"/>
        <v>0.87</v>
      </c>
      <c r="GS113" s="48">
        <f t="shared" si="1225"/>
        <v>0.85</v>
      </c>
      <c r="GT113" s="48">
        <f t="shared" si="1225"/>
        <v>0.83</v>
      </c>
      <c r="GU113" s="48">
        <f t="shared" si="1225"/>
        <v>0.80999999999999994</v>
      </c>
      <c r="GV113" s="48">
        <f t="shared" si="1225"/>
        <v>0.78999999999999992</v>
      </c>
      <c r="GW113" s="48">
        <f t="shared" si="1225"/>
        <v>0.76999999999999991</v>
      </c>
      <c r="GX113" s="48">
        <f t="shared" si="1225"/>
        <v>0.74999999999999989</v>
      </c>
      <c r="GY113" s="48">
        <f t="shared" si="1225"/>
        <v>0.72999999999999987</v>
      </c>
      <c r="GZ113" s="48">
        <f t="shared" si="1225"/>
        <v>0.70999999999999985</v>
      </c>
      <c r="HA113" s="48">
        <f t="shared" si="1225"/>
        <v>0.68999999999999984</v>
      </c>
      <c r="HB113" s="48">
        <f t="shared" si="1225"/>
        <v>0.66999999999999982</v>
      </c>
      <c r="HC113" s="48">
        <f t="shared" si="1225"/>
        <v>0.6499999999999998</v>
      </c>
      <c r="HD113" s="48">
        <f t="shared" si="1225"/>
        <v>0.62999999999999978</v>
      </c>
      <c r="HE113" s="48">
        <f t="shared" si="1225"/>
        <v>0.60999999999999976</v>
      </c>
      <c r="HF113" s="48">
        <f t="shared" si="1225"/>
        <v>0.58999999999999975</v>
      </c>
      <c r="HG113" s="48">
        <f t="shared" si="1225"/>
        <v>0.56999999999999973</v>
      </c>
    </row>
    <row r="114" spans="1:215" s="54" customFormat="1" x14ac:dyDescent="0.3">
      <c r="C114" s="55"/>
      <c r="D114" s="55"/>
      <c r="E114" s="55"/>
      <c r="G114" s="56"/>
      <c r="H114" s="56"/>
      <c r="I114" s="56"/>
      <c r="J114" s="56"/>
      <c r="K114" s="56"/>
      <c r="L114" s="56"/>
      <c r="M114" s="56"/>
      <c r="N114" s="56"/>
      <c r="O114" s="56"/>
      <c r="P114" s="57"/>
      <c r="Q114" s="56"/>
      <c r="R114" s="56"/>
      <c r="S114" s="56"/>
      <c r="T114" s="57"/>
      <c r="U114" s="56"/>
      <c r="V114" s="58"/>
      <c r="W114" s="56"/>
      <c r="X114" s="57"/>
      <c r="Y114" s="56"/>
      <c r="Z114" s="56"/>
      <c r="AA114" s="56"/>
      <c r="AB114" s="58"/>
      <c r="AC114" s="56"/>
      <c r="AD114" s="58"/>
      <c r="AE114" s="56"/>
      <c r="AF114" s="58"/>
      <c r="AG114" s="56"/>
      <c r="AH114" s="56"/>
      <c r="AI114" s="56"/>
      <c r="AJ114" s="58"/>
      <c r="AK114" s="56"/>
      <c r="AL114" s="58"/>
      <c r="AM114" s="56"/>
      <c r="AN114" s="58"/>
      <c r="AO114" s="56"/>
      <c r="AP114" s="58"/>
      <c r="AQ114" s="56"/>
      <c r="AR114" s="56"/>
      <c r="AS114" s="56"/>
      <c r="AT114" s="58"/>
      <c r="AU114" s="56"/>
      <c r="AV114" s="58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>
        <f t="shared" si="952"/>
        <v>0</v>
      </c>
      <c r="BZ114" s="56"/>
      <c r="CA114" s="56"/>
      <c r="CB114" s="56"/>
      <c r="CC114" s="56"/>
      <c r="CD114" s="56"/>
      <c r="CE114" s="56"/>
      <c r="CF114" s="56"/>
      <c r="CG114" s="56"/>
      <c r="CH114" s="57"/>
      <c r="CI114" s="56"/>
      <c r="CJ114" s="56"/>
      <c r="CK114" s="56"/>
      <c r="CL114" s="57"/>
      <c r="CM114" s="56"/>
      <c r="CN114" s="58"/>
      <c r="CO114" s="56"/>
      <c r="CP114" s="57"/>
      <c r="CQ114" s="56"/>
      <c r="CR114" s="56"/>
      <c r="CS114" s="56"/>
      <c r="CT114" s="58"/>
      <c r="CU114" s="56"/>
      <c r="CV114" s="58"/>
      <c r="CW114" s="56"/>
      <c r="CX114" s="58"/>
      <c r="CY114" s="56"/>
      <c r="CZ114" s="56"/>
      <c r="DA114" s="56"/>
      <c r="DB114" s="58"/>
      <c r="DC114" s="56"/>
      <c r="DD114" s="58"/>
      <c r="DE114" s="56"/>
      <c r="DF114" s="58"/>
      <c r="DG114" s="56"/>
      <c r="DH114" s="58"/>
      <c r="DI114" s="56"/>
      <c r="DJ114" s="56"/>
      <c r="DK114" s="56"/>
      <c r="DL114" s="58"/>
      <c r="DM114" s="56"/>
      <c r="DN114" s="58"/>
      <c r="DO114" s="56"/>
      <c r="DP114" s="56"/>
      <c r="DQ114" s="56"/>
      <c r="DR114" s="56"/>
      <c r="DS114" s="56"/>
      <c r="DT114" s="56">
        <v>1</v>
      </c>
      <c r="DU114" s="56">
        <v>0.97</v>
      </c>
      <c r="DV114" s="56">
        <v>0.95</v>
      </c>
      <c r="DW114" s="56">
        <v>0.93</v>
      </c>
      <c r="DX114" s="56">
        <f t="shared" ref="DX114:EO114" si="1226">+DW114-0.02</f>
        <v>0.91</v>
      </c>
      <c r="DY114" s="56">
        <f t="shared" si="1226"/>
        <v>0.89</v>
      </c>
      <c r="DZ114" s="56">
        <f t="shared" si="1226"/>
        <v>0.87</v>
      </c>
      <c r="EA114" s="56">
        <f t="shared" si="1226"/>
        <v>0.85</v>
      </c>
      <c r="EB114" s="56">
        <f t="shared" si="1226"/>
        <v>0.83</v>
      </c>
      <c r="EC114" s="56">
        <f t="shared" si="1226"/>
        <v>0.80999999999999994</v>
      </c>
      <c r="ED114" s="56">
        <f t="shared" si="1226"/>
        <v>0.78999999999999992</v>
      </c>
      <c r="EE114" s="56">
        <f t="shared" si="1226"/>
        <v>0.76999999999999991</v>
      </c>
      <c r="EF114" s="56">
        <f t="shared" si="1226"/>
        <v>0.74999999999999989</v>
      </c>
      <c r="EG114" s="56">
        <f t="shared" si="1226"/>
        <v>0.72999999999999987</v>
      </c>
      <c r="EH114" s="56">
        <f t="shared" si="1226"/>
        <v>0.70999999999999985</v>
      </c>
      <c r="EI114" s="56">
        <f t="shared" si="1226"/>
        <v>0.68999999999999984</v>
      </c>
      <c r="EJ114" s="56">
        <f t="shared" si="1226"/>
        <v>0.66999999999999982</v>
      </c>
      <c r="EK114" s="56">
        <f t="shared" si="1226"/>
        <v>0.6499999999999998</v>
      </c>
      <c r="EL114" s="56">
        <f t="shared" si="1226"/>
        <v>0.62999999999999978</v>
      </c>
      <c r="EM114" s="56">
        <f t="shared" si="1226"/>
        <v>0.60999999999999976</v>
      </c>
      <c r="EN114" s="56">
        <f t="shared" si="1226"/>
        <v>0.58999999999999975</v>
      </c>
      <c r="EO114" s="56">
        <f t="shared" si="1226"/>
        <v>0.56999999999999973</v>
      </c>
      <c r="EQ114" s="56">
        <f t="shared" si="1128"/>
        <v>0</v>
      </c>
      <c r="ER114" s="56"/>
      <c r="ES114" s="56"/>
      <c r="ET114" s="56"/>
      <c r="EU114" s="56"/>
      <c r="EV114" s="56"/>
      <c r="EW114" s="56"/>
      <c r="EX114" s="56"/>
      <c r="EY114" s="56"/>
      <c r="EZ114" s="57"/>
      <c r="FA114" s="56"/>
      <c r="FB114" s="56"/>
      <c r="FC114" s="56"/>
      <c r="FD114" s="57"/>
      <c r="FE114" s="56"/>
      <c r="FF114" s="58"/>
      <c r="FG114" s="56"/>
      <c r="FH114" s="57"/>
      <c r="FI114" s="56"/>
      <c r="FJ114" s="56"/>
      <c r="FK114" s="56"/>
      <c r="FL114" s="58"/>
      <c r="FM114" s="56"/>
      <c r="FN114" s="58"/>
      <c r="FO114" s="56"/>
      <c r="FP114" s="58"/>
      <c r="FQ114" s="56"/>
      <c r="FR114" s="56"/>
      <c r="FS114" s="56"/>
      <c r="FT114" s="58"/>
      <c r="FU114" s="56"/>
      <c r="FV114" s="58"/>
      <c r="FW114" s="56"/>
      <c r="FX114" s="58"/>
      <c r="FY114" s="56"/>
      <c r="FZ114" s="58"/>
      <c r="GA114" s="56"/>
      <c r="GB114" s="56"/>
      <c r="GC114" s="56"/>
      <c r="GD114" s="58"/>
      <c r="GE114" s="56"/>
      <c r="GF114" s="58"/>
      <c r="GG114" s="56"/>
      <c r="GH114" s="56"/>
      <c r="GI114" s="56"/>
      <c r="GJ114" s="56"/>
      <c r="GK114" s="56"/>
      <c r="GL114" s="56">
        <v>1</v>
      </c>
      <c r="GM114" s="56">
        <v>0.97</v>
      </c>
      <c r="GN114" s="56">
        <v>0.95</v>
      </c>
      <c r="GO114" s="56">
        <v>0.93</v>
      </c>
      <c r="GP114" s="56">
        <f t="shared" ref="GP114:HG114" si="1227">+GO114-0.02</f>
        <v>0.91</v>
      </c>
      <c r="GQ114" s="56">
        <f t="shared" si="1227"/>
        <v>0.89</v>
      </c>
      <c r="GR114" s="56">
        <f t="shared" si="1227"/>
        <v>0.87</v>
      </c>
      <c r="GS114" s="56">
        <f t="shared" si="1227"/>
        <v>0.85</v>
      </c>
      <c r="GT114" s="56">
        <f t="shared" si="1227"/>
        <v>0.83</v>
      </c>
      <c r="GU114" s="56">
        <f t="shared" si="1227"/>
        <v>0.80999999999999994</v>
      </c>
      <c r="GV114" s="56">
        <f t="shared" si="1227"/>
        <v>0.78999999999999992</v>
      </c>
      <c r="GW114" s="56">
        <f t="shared" si="1227"/>
        <v>0.76999999999999991</v>
      </c>
      <c r="GX114" s="56">
        <f t="shared" si="1227"/>
        <v>0.74999999999999989</v>
      </c>
      <c r="GY114" s="56">
        <f t="shared" si="1227"/>
        <v>0.72999999999999987</v>
      </c>
      <c r="GZ114" s="56">
        <f t="shared" si="1227"/>
        <v>0.70999999999999985</v>
      </c>
      <c r="HA114" s="56">
        <f t="shared" si="1227"/>
        <v>0.68999999999999984</v>
      </c>
      <c r="HB114" s="56">
        <f t="shared" si="1227"/>
        <v>0.66999999999999982</v>
      </c>
      <c r="HC114" s="56">
        <f t="shared" si="1227"/>
        <v>0.6499999999999998</v>
      </c>
      <c r="HD114" s="56">
        <f t="shared" si="1227"/>
        <v>0.62999999999999978</v>
      </c>
      <c r="HE114" s="56">
        <f t="shared" si="1227"/>
        <v>0.60999999999999976</v>
      </c>
      <c r="HF114" s="56">
        <f t="shared" si="1227"/>
        <v>0.58999999999999975</v>
      </c>
      <c r="HG114" s="56">
        <f t="shared" si="1227"/>
        <v>0.56999999999999973</v>
      </c>
    </row>
    <row r="115" spans="1:215" s="54" customFormat="1" ht="17.25" thickBot="1" x14ac:dyDescent="0.35">
      <c r="B115" s="54" t="s">
        <v>179</v>
      </c>
      <c r="C115" s="54" t="s">
        <v>131</v>
      </c>
      <c r="D115" s="55" t="s">
        <v>205</v>
      </c>
      <c r="E115" s="55" t="s">
        <v>61</v>
      </c>
      <c r="G115" s="56"/>
      <c r="H115" s="56"/>
      <c r="I115" s="56"/>
      <c r="J115" s="56"/>
      <c r="K115" s="56"/>
      <c r="L115" s="56"/>
      <c r="M115" s="56"/>
      <c r="N115" s="56"/>
      <c r="O115" s="56"/>
      <c r="P115" s="57"/>
      <c r="Q115" s="56"/>
      <c r="R115" s="56"/>
      <c r="S115" s="56"/>
      <c r="T115" s="57"/>
      <c r="U115" s="56"/>
      <c r="V115" s="58"/>
      <c r="W115" s="56"/>
      <c r="X115" s="57"/>
      <c r="Y115" s="56"/>
      <c r="Z115" s="56"/>
      <c r="AA115" s="56"/>
      <c r="AB115" s="58"/>
      <c r="AC115" s="56"/>
      <c r="AD115" s="58"/>
      <c r="AE115" s="56"/>
      <c r="AF115" s="58"/>
      <c r="AG115" s="56"/>
      <c r="AH115" s="56"/>
      <c r="AI115" s="56"/>
      <c r="AJ115" s="58"/>
      <c r="AK115" s="56"/>
      <c r="AL115" s="58"/>
      <c r="AM115" s="56"/>
      <c r="AN115" s="58"/>
      <c r="AO115" s="56"/>
      <c r="AP115" s="58"/>
      <c r="AQ115" s="56"/>
      <c r="AR115" s="56"/>
      <c r="AS115" s="56"/>
      <c r="AT115" s="58"/>
      <c r="AU115" s="56"/>
      <c r="AV115" s="58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>
        <f t="shared" si="952"/>
        <v>0</v>
      </c>
      <c r="BZ115" s="56"/>
      <c r="CA115" s="56"/>
      <c r="CB115" s="56"/>
      <c r="CC115" s="56"/>
      <c r="CD115" s="56"/>
      <c r="CE115" s="56"/>
      <c r="CF115" s="56"/>
      <c r="CG115" s="56"/>
      <c r="CH115" s="57"/>
      <c r="CI115" s="56"/>
      <c r="CJ115" s="56"/>
      <c r="CK115" s="56"/>
      <c r="CL115" s="57"/>
      <c r="CM115" s="56"/>
      <c r="CN115" s="58"/>
      <c r="CO115" s="56"/>
      <c r="CP115" s="57"/>
      <c r="CQ115" s="56"/>
      <c r="CR115" s="56"/>
      <c r="CS115" s="56"/>
      <c r="CT115" s="58"/>
      <c r="CU115" s="56"/>
      <c r="CV115" s="58"/>
      <c r="CW115" s="56"/>
      <c r="CX115" s="58"/>
      <c r="CY115" s="56"/>
      <c r="CZ115" s="56"/>
      <c r="DA115" s="56"/>
      <c r="DB115" s="58"/>
      <c r="DC115" s="56"/>
      <c r="DD115" s="58"/>
      <c r="DE115" s="56"/>
      <c r="DF115" s="58"/>
      <c r="DG115" s="56"/>
      <c r="DH115" s="58"/>
      <c r="DI115" s="56"/>
      <c r="DJ115" s="56"/>
      <c r="DK115" s="56"/>
      <c r="DL115" s="58"/>
      <c r="DM115" s="56"/>
      <c r="DN115" s="58"/>
      <c r="DO115" s="56"/>
      <c r="DP115" s="56"/>
      <c r="DQ115" s="56"/>
      <c r="DR115" s="56"/>
      <c r="DS115" s="56"/>
      <c r="DT115" s="56">
        <v>1</v>
      </c>
      <c r="DU115" s="56">
        <v>0.97</v>
      </c>
      <c r="DV115" s="56">
        <v>0.95</v>
      </c>
      <c r="DW115" s="56">
        <v>0.93</v>
      </c>
      <c r="DX115" s="56">
        <f t="shared" ref="DX115:EO115" si="1228">+DW115-0.02</f>
        <v>0.91</v>
      </c>
      <c r="DY115" s="56">
        <f t="shared" si="1228"/>
        <v>0.89</v>
      </c>
      <c r="DZ115" s="56">
        <f t="shared" si="1228"/>
        <v>0.87</v>
      </c>
      <c r="EA115" s="56">
        <f t="shared" si="1228"/>
        <v>0.85</v>
      </c>
      <c r="EB115" s="56">
        <f t="shared" si="1228"/>
        <v>0.83</v>
      </c>
      <c r="EC115" s="56">
        <f t="shared" si="1228"/>
        <v>0.80999999999999994</v>
      </c>
      <c r="ED115" s="56">
        <f t="shared" si="1228"/>
        <v>0.78999999999999992</v>
      </c>
      <c r="EE115" s="56">
        <f t="shared" si="1228"/>
        <v>0.76999999999999991</v>
      </c>
      <c r="EF115" s="56">
        <f t="shared" si="1228"/>
        <v>0.74999999999999989</v>
      </c>
      <c r="EG115" s="56">
        <f t="shared" si="1228"/>
        <v>0.72999999999999987</v>
      </c>
      <c r="EH115" s="56">
        <f t="shared" si="1228"/>
        <v>0.70999999999999985</v>
      </c>
      <c r="EI115" s="56">
        <f t="shared" si="1228"/>
        <v>0.68999999999999984</v>
      </c>
      <c r="EJ115" s="56">
        <f t="shared" si="1228"/>
        <v>0.66999999999999982</v>
      </c>
      <c r="EK115" s="56">
        <f t="shared" si="1228"/>
        <v>0.6499999999999998</v>
      </c>
      <c r="EL115" s="56">
        <f t="shared" si="1228"/>
        <v>0.62999999999999978</v>
      </c>
      <c r="EM115" s="56">
        <f t="shared" si="1228"/>
        <v>0.60999999999999976</v>
      </c>
      <c r="EN115" s="56">
        <f t="shared" si="1228"/>
        <v>0.58999999999999975</v>
      </c>
      <c r="EO115" s="56">
        <f t="shared" si="1228"/>
        <v>0.56999999999999973</v>
      </c>
      <c r="EQ115" s="56">
        <f t="shared" si="1128"/>
        <v>0</v>
      </c>
      <c r="ER115" s="56"/>
      <c r="ES115" s="56"/>
      <c r="ET115" s="56"/>
      <c r="EU115" s="56"/>
      <c r="EV115" s="56"/>
      <c r="EW115" s="56"/>
      <c r="EX115" s="56"/>
      <c r="EY115" s="56"/>
      <c r="EZ115" s="57"/>
      <c r="FA115" s="56"/>
      <c r="FB115" s="56"/>
      <c r="FC115" s="56"/>
      <c r="FD115" s="57"/>
      <c r="FE115" s="56"/>
      <c r="FF115" s="58"/>
      <c r="FG115" s="56"/>
      <c r="FH115" s="57"/>
      <c r="FI115" s="56"/>
      <c r="FJ115" s="56"/>
      <c r="FK115" s="56"/>
      <c r="FL115" s="58"/>
      <c r="FM115" s="56"/>
      <c r="FN115" s="58"/>
      <c r="FO115" s="56"/>
      <c r="FP115" s="58"/>
      <c r="FQ115" s="56"/>
      <c r="FR115" s="56"/>
      <c r="FS115" s="56"/>
      <c r="FT115" s="58"/>
      <c r="FU115" s="56"/>
      <c r="FV115" s="58"/>
      <c r="FW115" s="56"/>
      <c r="FX115" s="58"/>
      <c r="FY115" s="56"/>
      <c r="FZ115" s="58"/>
      <c r="GA115" s="56"/>
      <c r="GB115" s="56"/>
      <c r="GC115" s="56"/>
      <c r="GD115" s="58"/>
      <c r="GE115" s="56"/>
      <c r="GF115" s="58"/>
      <c r="GG115" s="56"/>
      <c r="GH115" s="56"/>
      <c r="GI115" s="56"/>
      <c r="GJ115" s="56"/>
      <c r="GK115" s="56"/>
      <c r="GL115" s="56">
        <v>1</v>
      </c>
      <c r="GM115" s="56">
        <v>0.97</v>
      </c>
      <c r="GN115" s="56">
        <v>0.95</v>
      </c>
      <c r="GO115" s="56">
        <v>0.93</v>
      </c>
      <c r="GP115" s="56">
        <f t="shared" ref="GP115:HG115" si="1229">+GO115-0.02</f>
        <v>0.91</v>
      </c>
      <c r="GQ115" s="56">
        <f t="shared" si="1229"/>
        <v>0.89</v>
      </c>
      <c r="GR115" s="56">
        <f t="shared" si="1229"/>
        <v>0.87</v>
      </c>
      <c r="GS115" s="56">
        <f t="shared" si="1229"/>
        <v>0.85</v>
      </c>
      <c r="GT115" s="56">
        <f t="shared" si="1229"/>
        <v>0.83</v>
      </c>
      <c r="GU115" s="56">
        <f t="shared" si="1229"/>
        <v>0.80999999999999994</v>
      </c>
      <c r="GV115" s="56">
        <f t="shared" si="1229"/>
        <v>0.78999999999999992</v>
      </c>
      <c r="GW115" s="56">
        <f t="shared" si="1229"/>
        <v>0.76999999999999991</v>
      </c>
      <c r="GX115" s="56">
        <f t="shared" si="1229"/>
        <v>0.74999999999999989</v>
      </c>
      <c r="GY115" s="56">
        <f t="shared" si="1229"/>
        <v>0.72999999999999987</v>
      </c>
      <c r="GZ115" s="56">
        <f t="shared" si="1229"/>
        <v>0.70999999999999985</v>
      </c>
      <c r="HA115" s="56">
        <f t="shared" si="1229"/>
        <v>0.68999999999999984</v>
      </c>
      <c r="HB115" s="56">
        <f t="shared" si="1229"/>
        <v>0.66999999999999982</v>
      </c>
      <c r="HC115" s="56">
        <f t="shared" si="1229"/>
        <v>0.6499999999999998</v>
      </c>
      <c r="HD115" s="56">
        <f t="shared" si="1229"/>
        <v>0.62999999999999978</v>
      </c>
      <c r="HE115" s="56">
        <f t="shared" si="1229"/>
        <v>0.60999999999999976</v>
      </c>
      <c r="HF115" s="56">
        <f t="shared" si="1229"/>
        <v>0.58999999999999975</v>
      </c>
      <c r="HG115" s="56">
        <f t="shared" si="1229"/>
        <v>0.56999999999999973</v>
      </c>
    </row>
    <row r="116" spans="1:215" x14ac:dyDescent="0.3">
      <c r="A116" s="2">
        <v>1</v>
      </c>
      <c r="C116" s="29" t="s">
        <v>180</v>
      </c>
      <c r="D116" s="42">
        <f>TRUNC(2453.02524132003,-1)</f>
        <v>2450</v>
      </c>
      <c r="E116" s="72">
        <f t="shared" ref="E116:E126" si="1230">TRUNC(+D116*3.3058,-1)</f>
        <v>8090</v>
      </c>
      <c r="G116" s="48">
        <f t="shared" si="948"/>
        <v>2695</v>
      </c>
      <c r="H116" s="48">
        <f t="shared" si="949"/>
        <v>2695</v>
      </c>
      <c r="I116" s="51">
        <f t="shared" si="950"/>
        <v>8909.1309999999994</v>
      </c>
      <c r="J116" s="48">
        <f t="shared" ref="J116:J127" si="1231">+H116*BC116</f>
        <v>2614.15</v>
      </c>
      <c r="K116" s="51">
        <f t="shared" ref="K116:K127" si="1232">+J116*3.3058</f>
        <v>8641.85707</v>
      </c>
      <c r="L116" s="48">
        <f t="shared" ref="L116:L127" si="1233">+H116*BD116</f>
        <v>2560.25</v>
      </c>
      <c r="M116" s="51">
        <f t="shared" ref="M116:M127" si="1234">+L116*3.3058</f>
        <v>8463.6744500000004</v>
      </c>
      <c r="N116" s="48">
        <f t="shared" ref="N116:N127" si="1235">+H116*BE116</f>
        <v>2506.35</v>
      </c>
      <c r="O116" s="51">
        <f t="shared" ref="O116:O127" si="1236">+N116*3.3058</f>
        <v>8285.491829999999</v>
      </c>
      <c r="P116" s="52">
        <f t="shared" ref="P116:P127" si="1237">+H116*BF116</f>
        <v>2452.4500000000003</v>
      </c>
      <c r="Q116" s="51">
        <f t="shared" ref="Q116:Q127" si="1238">+P116*3.3058</f>
        <v>8107.3092100000013</v>
      </c>
      <c r="R116" s="48">
        <f t="shared" ref="R116:R127" si="1239">+H116*BG116</f>
        <v>2398.5500000000002</v>
      </c>
      <c r="S116" s="51">
        <f t="shared" ref="S116:S127" si="1240">+R116*3.3058</f>
        <v>7929.1265900000008</v>
      </c>
      <c r="T116" s="52">
        <f t="shared" ref="T116:T127" si="1241">+H116*BH116</f>
        <v>2344.65</v>
      </c>
      <c r="U116" s="51">
        <f t="shared" ref="U116:U127" si="1242">+T116*3.3058</f>
        <v>7750.9439700000003</v>
      </c>
      <c r="V116" s="53">
        <f t="shared" ref="V116:V127" si="1243">+H116*BI116</f>
        <v>2290.75</v>
      </c>
      <c r="W116" s="51">
        <f t="shared" ref="W116:W127" si="1244">+V116*3.3058</f>
        <v>7572.7613499999998</v>
      </c>
      <c r="X116" s="52">
        <f t="shared" ref="X116:X127" si="1245">+H116*BJ116</f>
        <v>2236.85</v>
      </c>
      <c r="Y116" s="51">
        <f t="shared" ref="Y116:Y127" si="1246">+X116*3.3058</f>
        <v>7394.5787300000002</v>
      </c>
      <c r="Z116" s="48">
        <f t="shared" ref="Z116:Z127" si="1247">+H116*BK116</f>
        <v>2182.9499999999998</v>
      </c>
      <c r="AA116" s="51">
        <f t="shared" ref="AA116:AA127" si="1248">+Z116*3.3058</f>
        <v>7216.3961099999997</v>
      </c>
      <c r="AB116" s="53">
        <f t="shared" ref="AB116:AB127" si="1249">+H116*BL116</f>
        <v>2129.0499999999997</v>
      </c>
      <c r="AC116" s="51">
        <f t="shared" ref="AC116:AC127" si="1250">+AB116*3.3058</f>
        <v>7038.2134899999992</v>
      </c>
      <c r="AD116" s="53">
        <f t="shared" ref="AD116:AD127" si="1251">+H116*BM116</f>
        <v>2075.1499999999996</v>
      </c>
      <c r="AE116" s="51">
        <f t="shared" ref="AE116:AE127" si="1252">+AD116*3.3058</f>
        <v>6860.0308699999987</v>
      </c>
      <c r="AF116" s="53">
        <f t="shared" ref="AF116:AF127" si="1253">+H116*BN116</f>
        <v>2021.2499999999998</v>
      </c>
      <c r="AG116" s="51">
        <f t="shared" ref="AG116:AG127" si="1254">+AF116*3.3058</f>
        <v>6681.8482499999991</v>
      </c>
      <c r="AH116" s="48">
        <f t="shared" ref="AH116:AH127" si="1255">+H116*BO116</f>
        <v>1967.3499999999997</v>
      </c>
      <c r="AI116" s="51">
        <f t="shared" ref="AI116:AI127" si="1256">+AH116*3.3058</f>
        <v>6503.6656299999995</v>
      </c>
      <c r="AJ116" s="53">
        <f t="shared" ref="AJ116:AJ127" si="1257">+H116*BP116</f>
        <v>1913.4499999999996</v>
      </c>
      <c r="AK116" s="51">
        <f t="shared" ref="AK116:AK127" si="1258">+AJ116*3.3058</f>
        <v>6325.483009999999</v>
      </c>
      <c r="AL116" s="53">
        <f t="shared" ref="AL116:AL127" si="1259">+H116*BQ116</f>
        <v>1859.5499999999995</v>
      </c>
      <c r="AM116" s="51">
        <f t="shared" ref="AM116:AM127" si="1260">+AL116*3.3058</f>
        <v>6147.3003899999985</v>
      </c>
      <c r="AN116" s="53">
        <f t="shared" ref="AN116:AN127" si="1261">+H116*BR116</f>
        <v>1805.6499999999994</v>
      </c>
      <c r="AO116" s="51">
        <f t="shared" ref="AO116:AO127" si="1262">+AN116*3.3058</f>
        <v>5969.117769999998</v>
      </c>
      <c r="AP116" s="53">
        <f t="shared" ref="AP116:AP127" si="1263">+H116*BS116</f>
        <v>1751.7499999999995</v>
      </c>
      <c r="AQ116" s="51">
        <f t="shared" ref="AQ116:AQ127" si="1264">+AP116*3.3058</f>
        <v>5790.9351499999984</v>
      </c>
      <c r="AR116" s="48">
        <f t="shared" ref="AR116:AR127" si="1265">+H116*BT116</f>
        <v>1697.8499999999995</v>
      </c>
      <c r="AS116" s="51">
        <f t="shared" ref="AS116:AS127" si="1266">+AR116*3.3058</f>
        <v>5612.7525299999979</v>
      </c>
      <c r="AT116" s="53">
        <f t="shared" ref="AT116:AT127" si="1267">+H116*BU116</f>
        <v>1643.9499999999994</v>
      </c>
      <c r="AU116" s="51">
        <f t="shared" ref="AU116:AU127" si="1268">+AT116*3.3058</f>
        <v>5434.5699099999983</v>
      </c>
      <c r="AV116" s="53">
        <f t="shared" ref="AV116:AV127" si="1269">+H116*BV116</f>
        <v>1590.0499999999993</v>
      </c>
      <c r="AW116" s="51">
        <f t="shared" ref="AW116:AW127" si="1270">+AV116*3.3058</f>
        <v>5256.3872899999978</v>
      </c>
      <c r="AX116" s="48">
        <f t="shared" ref="AX116:AX127" si="1271">+H116*BW116</f>
        <v>1536.1499999999992</v>
      </c>
      <c r="AY116" s="51">
        <f t="shared" ref="AY116:AY127" si="1272">+AX116*3.3058</f>
        <v>5078.2046699999973</v>
      </c>
      <c r="BB116" s="48">
        <v>1</v>
      </c>
      <c r="BC116" s="48">
        <v>0.97</v>
      </c>
      <c r="BD116" s="48">
        <v>0.95</v>
      </c>
      <c r="BE116" s="48">
        <v>0.93</v>
      </c>
      <c r="BF116" s="48">
        <f t="shared" ref="BF116:BW116" si="1273">+BE116-0.02</f>
        <v>0.91</v>
      </c>
      <c r="BG116" s="48">
        <f t="shared" si="1273"/>
        <v>0.89</v>
      </c>
      <c r="BH116" s="48">
        <f t="shared" si="1273"/>
        <v>0.87</v>
      </c>
      <c r="BI116" s="48">
        <f t="shared" si="1273"/>
        <v>0.85</v>
      </c>
      <c r="BJ116" s="48">
        <f t="shared" si="1273"/>
        <v>0.83</v>
      </c>
      <c r="BK116" s="48">
        <f t="shared" si="1273"/>
        <v>0.80999999999999994</v>
      </c>
      <c r="BL116" s="48">
        <f t="shared" si="1273"/>
        <v>0.78999999999999992</v>
      </c>
      <c r="BM116" s="48">
        <f t="shared" si="1273"/>
        <v>0.76999999999999991</v>
      </c>
      <c r="BN116" s="48">
        <f t="shared" si="1273"/>
        <v>0.74999999999999989</v>
      </c>
      <c r="BO116" s="48">
        <f t="shared" si="1273"/>
        <v>0.72999999999999987</v>
      </c>
      <c r="BP116" s="48">
        <f t="shared" si="1273"/>
        <v>0.70999999999999985</v>
      </c>
      <c r="BQ116" s="48">
        <f t="shared" si="1273"/>
        <v>0.68999999999999984</v>
      </c>
      <c r="BR116" s="48">
        <f t="shared" si="1273"/>
        <v>0.66999999999999982</v>
      </c>
      <c r="BS116" s="48">
        <f t="shared" si="1273"/>
        <v>0.6499999999999998</v>
      </c>
      <c r="BT116" s="48">
        <f t="shared" si="1273"/>
        <v>0.62999999999999978</v>
      </c>
      <c r="BU116" s="48">
        <f t="shared" si="1273"/>
        <v>0.60999999999999976</v>
      </c>
      <c r="BV116" s="48">
        <f t="shared" si="1273"/>
        <v>0.58999999999999975</v>
      </c>
      <c r="BW116" s="48">
        <f t="shared" si="1273"/>
        <v>0.56999999999999973</v>
      </c>
      <c r="BY116" s="48">
        <f t="shared" si="952"/>
        <v>2452.4500000000003</v>
      </c>
      <c r="BZ116" s="48">
        <f t="shared" si="953"/>
        <v>2452.4500000000003</v>
      </c>
      <c r="CA116" s="51">
        <f t="shared" ref="CA116" si="1274">+BZ116*3.3058</f>
        <v>8107.3092100000013</v>
      </c>
      <c r="CB116" s="48">
        <f t="shared" ref="CB116:CB127" si="1275">+BZ116*DU116</f>
        <v>2378.8765000000003</v>
      </c>
      <c r="CC116" s="51">
        <f t="shared" ref="CC116:CC127" si="1276">+CB116*3.3058</f>
        <v>7864.089933700001</v>
      </c>
      <c r="CD116" s="48">
        <f t="shared" ref="CD116:CD127" si="1277">+BZ116*DV116</f>
        <v>2329.8275000000003</v>
      </c>
      <c r="CE116" s="51">
        <f t="shared" ref="CE116:CE127" si="1278">+CD116*3.3058</f>
        <v>7701.9437495000011</v>
      </c>
      <c r="CF116" s="48">
        <f t="shared" ref="CF116:CF127" si="1279">+BZ116*DW116</f>
        <v>2280.7785000000003</v>
      </c>
      <c r="CG116" s="51">
        <f t="shared" ref="CG116:CG127" si="1280">+CF116*3.3058</f>
        <v>7539.7975653000012</v>
      </c>
      <c r="CH116" s="52">
        <f t="shared" ref="CH116:CH127" si="1281">+BZ116*DX116</f>
        <v>2231.7295000000004</v>
      </c>
      <c r="CI116" s="51">
        <f t="shared" ref="CI116:CI127" si="1282">+CH116*3.3058</f>
        <v>7377.6513811000013</v>
      </c>
      <c r="CJ116" s="48">
        <f t="shared" ref="CJ116:CJ127" si="1283">+BZ116*DY116</f>
        <v>2182.6805000000004</v>
      </c>
      <c r="CK116" s="51">
        <f t="shared" ref="CK116:CK127" si="1284">+CJ116*3.3058</f>
        <v>7215.5051969000015</v>
      </c>
      <c r="CL116" s="52">
        <f t="shared" ref="CL116:CL127" si="1285">+BZ116*DZ116</f>
        <v>2133.6315000000004</v>
      </c>
      <c r="CM116" s="51">
        <f t="shared" ref="CM116:CM127" si="1286">+CL116*3.3058</f>
        <v>7053.3590127000016</v>
      </c>
      <c r="CN116" s="53">
        <f t="shared" ref="CN116:CN127" si="1287">+BZ116*EA116</f>
        <v>2084.5825</v>
      </c>
      <c r="CO116" s="51">
        <f t="shared" ref="CO116:CO127" si="1288">+CN116*3.3058</f>
        <v>6891.2128284999999</v>
      </c>
      <c r="CP116" s="52">
        <f t="shared" ref="CP116:CP127" si="1289">+BZ116*EB116</f>
        <v>2035.5335000000002</v>
      </c>
      <c r="CQ116" s="51">
        <f t="shared" ref="CQ116:CQ127" si="1290">+CP116*3.3058</f>
        <v>6729.0666443000009</v>
      </c>
      <c r="CR116" s="48">
        <f t="shared" ref="CR116:CR127" si="1291">+BZ116*EC116</f>
        <v>1986.4845</v>
      </c>
      <c r="CS116" s="51">
        <f t="shared" ref="CS116:CS127" si="1292">+CR116*3.3058</f>
        <v>6566.9204601000001</v>
      </c>
      <c r="CT116" s="53">
        <f t="shared" ref="CT116:CT127" si="1293">+BZ116*ED116</f>
        <v>1937.4355</v>
      </c>
      <c r="CU116" s="51">
        <f t="shared" ref="CU116:CU127" si="1294">+CT116*3.3058</f>
        <v>6404.7742759000002</v>
      </c>
      <c r="CV116" s="53">
        <f t="shared" ref="CV116:CV127" si="1295">+BZ116*EE116</f>
        <v>1888.3865000000001</v>
      </c>
      <c r="CW116" s="51">
        <f t="shared" ref="CW116:CW127" si="1296">+CV116*3.3058</f>
        <v>6242.6280917000004</v>
      </c>
      <c r="CX116" s="53">
        <f t="shared" ref="CX116:CX127" si="1297">+BZ116*EF116</f>
        <v>1839.3374999999999</v>
      </c>
      <c r="CY116" s="51">
        <f t="shared" ref="CY116:CY127" si="1298">+CX116*3.3058</f>
        <v>6080.4819074999996</v>
      </c>
      <c r="CZ116" s="48">
        <f t="shared" ref="CZ116:CZ127" si="1299">+BZ116*EG116</f>
        <v>1790.2884999999999</v>
      </c>
      <c r="DA116" s="51">
        <f t="shared" ref="DA116:DA127" si="1300">+CZ116*3.3058</f>
        <v>5918.3357232999997</v>
      </c>
      <c r="DB116" s="53">
        <f t="shared" ref="DB116:DB127" si="1301">+BZ116*EH116</f>
        <v>1741.2394999999999</v>
      </c>
      <c r="DC116" s="51">
        <f t="shared" ref="DC116:DC127" si="1302">+DB116*3.3058</f>
        <v>5756.1895390999998</v>
      </c>
      <c r="DD116" s="53">
        <f t="shared" ref="DD116:DD127" si="1303">+BZ116*EI116</f>
        <v>1692.1904999999997</v>
      </c>
      <c r="DE116" s="51">
        <f t="shared" ref="DE116:DE127" si="1304">+DD116*3.3058</f>
        <v>5594.043354899999</v>
      </c>
      <c r="DF116" s="53">
        <f t="shared" ref="DF116:DF127" si="1305">+BZ116*EJ116</f>
        <v>1643.1414999999997</v>
      </c>
      <c r="DG116" s="51">
        <f t="shared" ref="DG116:DG127" si="1306">+DF116*3.3058</f>
        <v>5431.8971706999992</v>
      </c>
      <c r="DH116" s="53">
        <f t="shared" ref="DH116:DH127" si="1307">+BZ116*EK116</f>
        <v>1594.0924999999997</v>
      </c>
      <c r="DI116" s="51">
        <f t="shared" ref="DI116:DI127" si="1308">+DH116*3.3058</f>
        <v>5269.7509864999993</v>
      </c>
      <c r="DJ116" s="48">
        <f t="shared" ref="DJ116:DJ127" si="1309">+BZ116*EL116</f>
        <v>1545.0434999999995</v>
      </c>
      <c r="DK116" s="51">
        <f t="shared" ref="DK116:DK127" si="1310">+DJ116*3.3058</f>
        <v>5107.6048022999985</v>
      </c>
      <c r="DL116" s="53">
        <f t="shared" ref="DL116:DL127" si="1311">+BZ116*EM116</f>
        <v>1495.9944999999996</v>
      </c>
      <c r="DM116" s="51">
        <f t="shared" ref="DM116:DM127" si="1312">+DL116*3.3058</f>
        <v>4945.4586180999986</v>
      </c>
      <c r="DN116" s="53">
        <f t="shared" ref="DN116:DN127" si="1313">+BZ116*EN116</f>
        <v>1446.9454999999996</v>
      </c>
      <c r="DO116" s="51">
        <f t="shared" ref="DO116:DO127" si="1314">+DN116*3.3058</f>
        <v>4783.3124338999987</v>
      </c>
      <c r="DP116" s="48">
        <f t="shared" ref="DP116:DP127" si="1315">+BZ116*EO116</f>
        <v>1397.8964999999994</v>
      </c>
      <c r="DQ116" s="51">
        <f t="shared" ref="DQ116:DQ127" si="1316">+DP116*3.3058</f>
        <v>4621.1662496999979</v>
      </c>
      <c r="DT116" s="48">
        <v>1</v>
      </c>
      <c r="DU116" s="48">
        <v>0.97</v>
      </c>
      <c r="DV116" s="48">
        <v>0.95</v>
      </c>
      <c r="DW116" s="48">
        <v>0.93</v>
      </c>
      <c r="DX116" s="48">
        <f t="shared" ref="DX116:EO116" si="1317">+DW116-0.02</f>
        <v>0.91</v>
      </c>
      <c r="DY116" s="48">
        <f t="shared" si="1317"/>
        <v>0.89</v>
      </c>
      <c r="DZ116" s="48">
        <f t="shared" si="1317"/>
        <v>0.87</v>
      </c>
      <c r="EA116" s="48">
        <f t="shared" si="1317"/>
        <v>0.85</v>
      </c>
      <c r="EB116" s="48">
        <f t="shared" si="1317"/>
        <v>0.83</v>
      </c>
      <c r="EC116" s="48">
        <f t="shared" si="1317"/>
        <v>0.80999999999999994</v>
      </c>
      <c r="ED116" s="48">
        <f t="shared" si="1317"/>
        <v>0.78999999999999992</v>
      </c>
      <c r="EE116" s="48">
        <f t="shared" si="1317"/>
        <v>0.76999999999999991</v>
      </c>
      <c r="EF116" s="48">
        <f t="shared" si="1317"/>
        <v>0.74999999999999989</v>
      </c>
      <c r="EG116" s="48">
        <f t="shared" si="1317"/>
        <v>0.72999999999999987</v>
      </c>
      <c r="EH116" s="48">
        <f t="shared" si="1317"/>
        <v>0.70999999999999985</v>
      </c>
      <c r="EI116" s="48">
        <f t="shared" si="1317"/>
        <v>0.68999999999999984</v>
      </c>
      <c r="EJ116" s="48">
        <f t="shared" si="1317"/>
        <v>0.66999999999999982</v>
      </c>
      <c r="EK116" s="48">
        <f t="shared" si="1317"/>
        <v>0.6499999999999998</v>
      </c>
      <c r="EL116" s="48">
        <f t="shared" si="1317"/>
        <v>0.62999999999999978</v>
      </c>
      <c r="EM116" s="48">
        <f t="shared" si="1317"/>
        <v>0.60999999999999976</v>
      </c>
      <c r="EN116" s="48">
        <f t="shared" si="1317"/>
        <v>0.58999999999999975</v>
      </c>
      <c r="EO116" s="48">
        <f t="shared" si="1317"/>
        <v>0.56999999999999973</v>
      </c>
      <c r="EQ116" s="48">
        <f t="shared" si="1128"/>
        <v>2231.7295000000004</v>
      </c>
      <c r="ER116" s="48">
        <f t="shared" si="956"/>
        <v>2231.7295000000004</v>
      </c>
      <c r="ES116" s="51">
        <f t="shared" ref="ES116" si="1318">+ER116*3.3058</f>
        <v>7377.6513811000013</v>
      </c>
      <c r="ET116" s="48">
        <f t="shared" ref="ET116:ET127" si="1319">+ER116*GM116</f>
        <v>2164.7776150000004</v>
      </c>
      <c r="EU116" s="51">
        <f t="shared" ref="EU116:EU127" si="1320">+ET116*3.3058</f>
        <v>7156.3218396670018</v>
      </c>
      <c r="EV116" s="48">
        <f t="shared" ref="EV116:EV127" si="1321">+ER116*GN116</f>
        <v>2120.1430250000003</v>
      </c>
      <c r="EW116" s="51">
        <f t="shared" ref="EW116:EW127" si="1322">+EV116*3.3058</f>
        <v>7008.7688120450011</v>
      </c>
      <c r="EX116" s="48">
        <f t="shared" ref="EX116:EX127" si="1323">+ER116*GO116</f>
        <v>2075.5084350000006</v>
      </c>
      <c r="EY116" s="51">
        <f t="shared" ref="EY116:EY127" si="1324">+EX116*3.3058</f>
        <v>6861.2157844230023</v>
      </c>
      <c r="EZ116" s="52">
        <f t="shared" ref="EZ116:EZ127" si="1325">+ER116*GP116</f>
        <v>2030.8738450000003</v>
      </c>
      <c r="FA116" s="51">
        <f t="shared" ref="FA116:FA127" si="1326">+EZ116*3.3058</f>
        <v>6713.6627568010008</v>
      </c>
      <c r="FB116" s="48">
        <f t="shared" ref="FB116:FB127" si="1327">+ER116*GQ116</f>
        <v>1986.2392550000004</v>
      </c>
      <c r="FC116" s="51">
        <f t="shared" ref="FC116:FC127" si="1328">+FB116*3.3058</f>
        <v>6566.1097291790011</v>
      </c>
      <c r="FD116" s="52">
        <f t="shared" ref="FD116:FD127" si="1329">+ER116*GR116</f>
        <v>1941.6046650000003</v>
      </c>
      <c r="FE116" s="51">
        <f t="shared" ref="FE116:FE127" si="1330">+FD116*3.3058</f>
        <v>6418.5567015570014</v>
      </c>
      <c r="FF116" s="53">
        <f t="shared" ref="FF116:FF127" si="1331">+ER116*GS116</f>
        <v>1896.9700750000002</v>
      </c>
      <c r="FG116" s="51">
        <f t="shared" ref="FG116:FG127" si="1332">+FF116*3.3058</f>
        <v>6271.0036739350007</v>
      </c>
      <c r="FH116" s="52">
        <f t="shared" ref="FH116:FH127" si="1333">+ER116*GT116</f>
        <v>1852.3354850000003</v>
      </c>
      <c r="FI116" s="51">
        <f t="shared" ref="FI116:FI127" si="1334">+FH116*3.3058</f>
        <v>6123.450646313001</v>
      </c>
      <c r="FJ116" s="48">
        <f t="shared" ref="FJ116:FJ127" si="1335">+ER116*GU116</f>
        <v>1807.7008950000002</v>
      </c>
      <c r="FK116" s="51">
        <f t="shared" ref="FK116:FK127" si="1336">+FJ116*3.3058</f>
        <v>5975.8976186910004</v>
      </c>
      <c r="FL116" s="53">
        <f t="shared" ref="FL116:FL127" si="1337">+ER116*GV116</f>
        <v>1763.0663050000001</v>
      </c>
      <c r="FM116" s="51">
        <f t="shared" ref="FM116:FM127" si="1338">+FL116*3.3058</f>
        <v>5828.3445910690007</v>
      </c>
      <c r="FN116" s="53">
        <f t="shared" ref="FN116:FN127" si="1339">+ER116*GW116</f>
        <v>1718.4317150000002</v>
      </c>
      <c r="FO116" s="51">
        <f t="shared" ref="FO116:FO127" si="1340">+FN116*3.3058</f>
        <v>5680.791563447001</v>
      </c>
      <c r="FP116" s="53">
        <f t="shared" ref="FP116:FP127" si="1341">+ER116*GX116</f>
        <v>1673.7971250000001</v>
      </c>
      <c r="FQ116" s="51">
        <f t="shared" ref="FQ116:FQ127" si="1342">+FP116*3.3058</f>
        <v>5533.2385358250003</v>
      </c>
      <c r="FR116" s="48">
        <f t="shared" ref="FR116:FR127" si="1343">+ER116*GY116</f>
        <v>1629.1625349999999</v>
      </c>
      <c r="FS116" s="51">
        <f t="shared" ref="FS116:FS127" si="1344">+FR116*3.3058</f>
        <v>5385.6855082029997</v>
      </c>
      <c r="FT116" s="53">
        <f t="shared" ref="FT116:FT127" si="1345">+ER116*GZ116</f>
        <v>1584.527945</v>
      </c>
      <c r="FU116" s="51">
        <f t="shared" ref="FU116:FU127" si="1346">+FT116*3.3058</f>
        <v>5238.132480581</v>
      </c>
      <c r="FV116" s="53">
        <f t="shared" ref="FV116:FV127" si="1347">+ER116*HA116</f>
        <v>1539.8933549999999</v>
      </c>
      <c r="FW116" s="51">
        <f t="shared" ref="FW116:FW127" si="1348">+FV116*3.3058</f>
        <v>5090.5794529590003</v>
      </c>
      <c r="FX116" s="53">
        <f t="shared" ref="FX116:FX127" si="1349">+ER116*HB116</f>
        <v>1495.2587649999998</v>
      </c>
      <c r="FY116" s="51">
        <f t="shared" ref="FY116:FY127" si="1350">+FX116*3.3058</f>
        <v>4943.0264253369996</v>
      </c>
      <c r="FZ116" s="53">
        <f t="shared" ref="FZ116:FZ127" si="1351">+ER116*HC116</f>
        <v>1450.6241749999997</v>
      </c>
      <c r="GA116" s="51">
        <f t="shared" ref="GA116:GA127" si="1352">+FZ116*3.3058</f>
        <v>4795.473397714999</v>
      </c>
      <c r="GB116" s="48">
        <f t="shared" ref="GB116:GB127" si="1353">+ER116*HD116</f>
        <v>1405.9895849999998</v>
      </c>
      <c r="GC116" s="51">
        <f t="shared" ref="GC116:GC127" si="1354">+GB116*3.3058</f>
        <v>4647.9203700929993</v>
      </c>
      <c r="GD116" s="53">
        <f t="shared" ref="GD116:GD127" si="1355">+ER116*HE116</f>
        <v>1361.3549949999997</v>
      </c>
      <c r="GE116" s="51">
        <f t="shared" ref="GE116:GE127" si="1356">+GD116*3.3058</f>
        <v>4500.3673424709987</v>
      </c>
      <c r="GF116" s="53">
        <f t="shared" ref="GF116:GF127" si="1357">+ER116*HF116</f>
        <v>1316.7204049999996</v>
      </c>
      <c r="GG116" s="51">
        <f t="shared" ref="GG116:GG127" si="1358">+GF116*3.3058</f>
        <v>4352.8143148489989</v>
      </c>
      <c r="GH116" s="48">
        <f t="shared" ref="GH116:GH127" si="1359">+ER116*HG116</f>
        <v>1272.0858149999997</v>
      </c>
      <c r="GI116" s="51">
        <f t="shared" ref="GI116:GI127" si="1360">+GH116*3.3058</f>
        <v>4205.2612872269992</v>
      </c>
      <c r="GJ116" s="48"/>
      <c r="GK116" s="48"/>
      <c r="GL116" s="48">
        <v>1</v>
      </c>
      <c r="GM116" s="48">
        <v>0.97</v>
      </c>
      <c r="GN116" s="48">
        <v>0.95</v>
      </c>
      <c r="GO116" s="48">
        <v>0.93</v>
      </c>
      <c r="GP116" s="48">
        <f t="shared" ref="GP116:HG116" si="1361">+GO116-0.02</f>
        <v>0.91</v>
      </c>
      <c r="GQ116" s="48">
        <f t="shared" si="1361"/>
        <v>0.89</v>
      </c>
      <c r="GR116" s="48">
        <f t="shared" si="1361"/>
        <v>0.87</v>
      </c>
      <c r="GS116" s="48">
        <f t="shared" si="1361"/>
        <v>0.85</v>
      </c>
      <c r="GT116" s="48">
        <f t="shared" si="1361"/>
        <v>0.83</v>
      </c>
      <c r="GU116" s="48">
        <f t="shared" si="1361"/>
        <v>0.80999999999999994</v>
      </c>
      <c r="GV116" s="48">
        <f t="shared" si="1361"/>
        <v>0.78999999999999992</v>
      </c>
      <c r="GW116" s="48">
        <f t="shared" si="1361"/>
        <v>0.76999999999999991</v>
      </c>
      <c r="GX116" s="48">
        <f t="shared" si="1361"/>
        <v>0.74999999999999989</v>
      </c>
      <c r="GY116" s="48">
        <f t="shared" si="1361"/>
        <v>0.72999999999999987</v>
      </c>
      <c r="GZ116" s="48">
        <f t="shared" si="1361"/>
        <v>0.70999999999999985</v>
      </c>
      <c r="HA116" s="48">
        <f t="shared" si="1361"/>
        <v>0.68999999999999984</v>
      </c>
      <c r="HB116" s="48">
        <f t="shared" si="1361"/>
        <v>0.66999999999999982</v>
      </c>
      <c r="HC116" s="48">
        <f t="shared" si="1361"/>
        <v>0.6499999999999998</v>
      </c>
      <c r="HD116" s="48">
        <f t="shared" si="1361"/>
        <v>0.62999999999999978</v>
      </c>
      <c r="HE116" s="48">
        <f t="shared" si="1361"/>
        <v>0.60999999999999976</v>
      </c>
      <c r="HF116" s="48">
        <f t="shared" si="1361"/>
        <v>0.58999999999999975</v>
      </c>
      <c r="HG116" s="48">
        <f t="shared" si="1361"/>
        <v>0.56999999999999973</v>
      </c>
    </row>
    <row r="117" spans="1:215" x14ac:dyDescent="0.3">
      <c r="A117" s="2">
        <v>2</v>
      </c>
      <c r="C117" s="29" t="s">
        <v>181</v>
      </c>
      <c r="D117" s="44">
        <v>0</v>
      </c>
      <c r="E117" s="73">
        <f t="shared" si="1230"/>
        <v>0</v>
      </c>
      <c r="G117" s="48">
        <f t="shared" si="948"/>
        <v>0</v>
      </c>
      <c r="H117" s="48">
        <f t="shared" si="949"/>
        <v>0</v>
      </c>
      <c r="I117" s="51">
        <f t="shared" si="950"/>
        <v>0</v>
      </c>
      <c r="J117" s="48">
        <f t="shared" si="1231"/>
        <v>0</v>
      </c>
      <c r="K117" s="51">
        <f t="shared" si="1232"/>
        <v>0</v>
      </c>
      <c r="L117" s="48">
        <f t="shared" si="1233"/>
        <v>0</v>
      </c>
      <c r="M117" s="51">
        <f t="shared" si="1234"/>
        <v>0</v>
      </c>
      <c r="N117" s="48">
        <f t="shared" si="1235"/>
        <v>0</v>
      </c>
      <c r="O117" s="51">
        <f t="shared" si="1236"/>
        <v>0</v>
      </c>
      <c r="P117" s="52">
        <f t="shared" si="1237"/>
        <v>0</v>
      </c>
      <c r="Q117" s="51">
        <f t="shared" si="1238"/>
        <v>0</v>
      </c>
      <c r="R117" s="48">
        <f t="shared" si="1239"/>
        <v>0</v>
      </c>
      <c r="S117" s="51">
        <f t="shared" si="1240"/>
        <v>0</v>
      </c>
      <c r="T117" s="52">
        <f t="shared" si="1241"/>
        <v>0</v>
      </c>
      <c r="U117" s="51">
        <f t="shared" si="1242"/>
        <v>0</v>
      </c>
      <c r="V117" s="53">
        <f t="shared" si="1243"/>
        <v>0</v>
      </c>
      <c r="W117" s="51">
        <f t="shared" si="1244"/>
        <v>0</v>
      </c>
      <c r="X117" s="52">
        <f t="shared" si="1245"/>
        <v>0</v>
      </c>
      <c r="Y117" s="51">
        <f t="shared" si="1246"/>
        <v>0</v>
      </c>
      <c r="Z117" s="48">
        <f t="shared" si="1247"/>
        <v>0</v>
      </c>
      <c r="AA117" s="51">
        <f t="shared" si="1248"/>
        <v>0</v>
      </c>
      <c r="AB117" s="53">
        <f t="shared" si="1249"/>
        <v>0</v>
      </c>
      <c r="AC117" s="51">
        <f t="shared" si="1250"/>
        <v>0</v>
      </c>
      <c r="AD117" s="53">
        <f t="shared" si="1251"/>
        <v>0</v>
      </c>
      <c r="AE117" s="51">
        <f t="shared" si="1252"/>
        <v>0</v>
      </c>
      <c r="AF117" s="53">
        <f t="shared" si="1253"/>
        <v>0</v>
      </c>
      <c r="AG117" s="51">
        <f t="shared" si="1254"/>
        <v>0</v>
      </c>
      <c r="AH117" s="48">
        <f t="shared" si="1255"/>
        <v>0</v>
      </c>
      <c r="AI117" s="51">
        <f t="shared" si="1256"/>
        <v>0</v>
      </c>
      <c r="AJ117" s="53">
        <f t="shared" si="1257"/>
        <v>0</v>
      </c>
      <c r="AK117" s="51">
        <f t="shared" si="1258"/>
        <v>0</v>
      </c>
      <c r="AL117" s="53">
        <f t="shared" si="1259"/>
        <v>0</v>
      </c>
      <c r="AM117" s="51">
        <f t="shared" si="1260"/>
        <v>0</v>
      </c>
      <c r="AN117" s="53">
        <f t="shared" si="1261"/>
        <v>0</v>
      </c>
      <c r="AO117" s="51">
        <f t="shared" si="1262"/>
        <v>0</v>
      </c>
      <c r="AP117" s="53">
        <f t="shared" si="1263"/>
        <v>0</v>
      </c>
      <c r="AQ117" s="51">
        <f t="shared" si="1264"/>
        <v>0</v>
      </c>
      <c r="AR117" s="48">
        <f t="shared" si="1265"/>
        <v>0</v>
      </c>
      <c r="AS117" s="51">
        <f t="shared" si="1266"/>
        <v>0</v>
      </c>
      <c r="AT117" s="53">
        <f t="shared" si="1267"/>
        <v>0</v>
      </c>
      <c r="AU117" s="51">
        <f t="shared" si="1268"/>
        <v>0</v>
      </c>
      <c r="AV117" s="53">
        <f t="shared" si="1269"/>
        <v>0</v>
      </c>
      <c r="AW117" s="51">
        <f t="shared" si="1270"/>
        <v>0</v>
      </c>
      <c r="AX117" s="48">
        <f t="shared" si="1271"/>
        <v>0</v>
      </c>
      <c r="AY117" s="51">
        <f t="shared" si="1272"/>
        <v>0</v>
      </c>
      <c r="BB117" s="48">
        <v>1</v>
      </c>
      <c r="BC117" s="48">
        <v>0.97</v>
      </c>
      <c r="BD117" s="48">
        <v>0.95</v>
      </c>
      <c r="BE117" s="48">
        <v>0.93</v>
      </c>
      <c r="BF117" s="48">
        <f t="shared" ref="BF117:BW117" si="1362">+BE117-0.02</f>
        <v>0.91</v>
      </c>
      <c r="BG117" s="48">
        <f t="shared" si="1362"/>
        <v>0.89</v>
      </c>
      <c r="BH117" s="48">
        <f t="shared" si="1362"/>
        <v>0.87</v>
      </c>
      <c r="BI117" s="48">
        <f t="shared" si="1362"/>
        <v>0.85</v>
      </c>
      <c r="BJ117" s="48">
        <f t="shared" si="1362"/>
        <v>0.83</v>
      </c>
      <c r="BK117" s="48">
        <f t="shared" si="1362"/>
        <v>0.80999999999999994</v>
      </c>
      <c r="BL117" s="48">
        <f t="shared" si="1362"/>
        <v>0.78999999999999992</v>
      </c>
      <c r="BM117" s="48">
        <f t="shared" si="1362"/>
        <v>0.76999999999999991</v>
      </c>
      <c r="BN117" s="48">
        <f t="shared" si="1362"/>
        <v>0.74999999999999989</v>
      </c>
      <c r="BO117" s="48">
        <f t="shared" si="1362"/>
        <v>0.72999999999999987</v>
      </c>
      <c r="BP117" s="48">
        <f t="shared" si="1362"/>
        <v>0.70999999999999985</v>
      </c>
      <c r="BQ117" s="48">
        <f t="shared" si="1362"/>
        <v>0.68999999999999984</v>
      </c>
      <c r="BR117" s="48">
        <f t="shared" si="1362"/>
        <v>0.66999999999999982</v>
      </c>
      <c r="BS117" s="48">
        <f t="shared" si="1362"/>
        <v>0.6499999999999998</v>
      </c>
      <c r="BT117" s="48">
        <f t="shared" si="1362"/>
        <v>0.62999999999999978</v>
      </c>
      <c r="BU117" s="48">
        <f t="shared" si="1362"/>
        <v>0.60999999999999976</v>
      </c>
      <c r="BV117" s="48">
        <f t="shared" si="1362"/>
        <v>0.58999999999999975</v>
      </c>
      <c r="BW117" s="48">
        <f t="shared" si="1362"/>
        <v>0.56999999999999973</v>
      </c>
      <c r="BY117" s="48">
        <f t="shared" si="952"/>
        <v>0</v>
      </c>
      <c r="BZ117" s="48">
        <f t="shared" si="953"/>
        <v>0</v>
      </c>
      <c r="CA117" s="51">
        <f t="shared" ref="CA117" si="1363">+BZ117*3.3058</f>
        <v>0</v>
      </c>
      <c r="CB117" s="48">
        <f t="shared" si="1275"/>
        <v>0</v>
      </c>
      <c r="CC117" s="51">
        <f t="shared" si="1276"/>
        <v>0</v>
      </c>
      <c r="CD117" s="48">
        <f t="shared" si="1277"/>
        <v>0</v>
      </c>
      <c r="CE117" s="51">
        <f t="shared" si="1278"/>
        <v>0</v>
      </c>
      <c r="CF117" s="48">
        <f t="shared" si="1279"/>
        <v>0</v>
      </c>
      <c r="CG117" s="51">
        <f t="shared" si="1280"/>
        <v>0</v>
      </c>
      <c r="CH117" s="52">
        <f t="shared" si="1281"/>
        <v>0</v>
      </c>
      <c r="CI117" s="51">
        <f t="shared" si="1282"/>
        <v>0</v>
      </c>
      <c r="CJ117" s="48">
        <f t="shared" si="1283"/>
        <v>0</v>
      </c>
      <c r="CK117" s="51">
        <f t="shared" si="1284"/>
        <v>0</v>
      </c>
      <c r="CL117" s="52">
        <f t="shared" si="1285"/>
        <v>0</v>
      </c>
      <c r="CM117" s="51">
        <f t="shared" si="1286"/>
        <v>0</v>
      </c>
      <c r="CN117" s="53">
        <f t="shared" si="1287"/>
        <v>0</v>
      </c>
      <c r="CO117" s="51">
        <f t="shared" si="1288"/>
        <v>0</v>
      </c>
      <c r="CP117" s="52">
        <f t="shared" si="1289"/>
        <v>0</v>
      </c>
      <c r="CQ117" s="51">
        <f t="shared" si="1290"/>
        <v>0</v>
      </c>
      <c r="CR117" s="48">
        <f t="shared" si="1291"/>
        <v>0</v>
      </c>
      <c r="CS117" s="51">
        <f t="shared" si="1292"/>
        <v>0</v>
      </c>
      <c r="CT117" s="53">
        <f t="shared" si="1293"/>
        <v>0</v>
      </c>
      <c r="CU117" s="51">
        <f t="shared" si="1294"/>
        <v>0</v>
      </c>
      <c r="CV117" s="53">
        <f t="shared" si="1295"/>
        <v>0</v>
      </c>
      <c r="CW117" s="51">
        <f t="shared" si="1296"/>
        <v>0</v>
      </c>
      <c r="CX117" s="53">
        <f t="shared" si="1297"/>
        <v>0</v>
      </c>
      <c r="CY117" s="51">
        <f t="shared" si="1298"/>
        <v>0</v>
      </c>
      <c r="CZ117" s="48">
        <f t="shared" si="1299"/>
        <v>0</v>
      </c>
      <c r="DA117" s="51">
        <f t="shared" si="1300"/>
        <v>0</v>
      </c>
      <c r="DB117" s="53">
        <f t="shared" si="1301"/>
        <v>0</v>
      </c>
      <c r="DC117" s="51">
        <f t="shared" si="1302"/>
        <v>0</v>
      </c>
      <c r="DD117" s="53">
        <f t="shared" si="1303"/>
        <v>0</v>
      </c>
      <c r="DE117" s="51">
        <f t="shared" si="1304"/>
        <v>0</v>
      </c>
      <c r="DF117" s="53">
        <f t="shared" si="1305"/>
        <v>0</v>
      </c>
      <c r="DG117" s="51">
        <f t="shared" si="1306"/>
        <v>0</v>
      </c>
      <c r="DH117" s="53">
        <f t="shared" si="1307"/>
        <v>0</v>
      </c>
      <c r="DI117" s="51">
        <f t="shared" si="1308"/>
        <v>0</v>
      </c>
      <c r="DJ117" s="48">
        <f t="shared" si="1309"/>
        <v>0</v>
      </c>
      <c r="DK117" s="51">
        <f t="shared" si="1310"/>
        <v>0</v>
      </c>
      <c r="DL117" s="53">
        <f t="shared" si="1311"/>
        <v>0</v>
      </c>
      <c r="DM117" s="51">
        <f t="shared" si="1312"/>
        <v>0</v>
      </c>
      <c r="DN117" s="53">
        <f t="shared" si="1313"/>
        <v>0</v>
      </c>
      <c r="DO117" s="51">
        <f t="shared" si="1314"/>
        <v>0</v>
      </c>
      <c r="DP117" s="48">
        <f t="shared" si="1315"/>
        <v>0</v>
      </c>
      <c r="DQ117" s="51">
        <f t="shared" si="1316"/>
        <v>0</v>
      </c>
      <c r="DT117" s="48">
        <v>1</v>
      </c>
      <c r="DU117" s="48">
        <v>0.97</v>
      </c>
      <c r="DV117" s="48">
        <v>0.95</v>
      </c>
      <c r="DW117" s="48">
        <v>0.93</v>
      </c>
      <c r="DX117" s="48">
        <f t="shared" ref="DX117:EO117" si="1364">+DW117-0.02</f>
        <v>0.91</v>
      </c>
      <c r="DY117" s="48">
        <f t="shared" si="1364"/>
        <v>0.89</v>
      </c>
      <c r="DZ117" s="48">
        <f t="shared" si="1364"/>
        <v>0.87</v>
      </c>
      <c r="EA117" s="48">
        <f t="shared" si="1364"/>
        <v>0.85</v>
      </c>
      <c r="EB117" s="48">
        <f t="shared" si="1364"/>
        <v>0.83</v>
      </c>
      <c r="EC117" s="48">
        <f t="shared" si="1364"/>
        <v>0.80999999999999994</v>
      </c>
      <c r="ED117" s="48">
        <f t="shared" si="1364"/>
        <v>0.78999999999999992</v>
      </c>
      <c r="EE117" s="48">
        <f t="shared" si="1364"/>
        <v>0.76999999999999991</v>
      </c>
      <c r="EF117" s="48">
        <f t="shared" si="1364"/>
        <v>0.74999999999999989</v>
      </c>
      <c r="EG117" s="48">
        <f t="shared" si="1364"/>
        <v>0.72999999999999987</v>
      </c>
      <c r="EH117" s="48">
        <f t="shared" si="1364"/>
        <v>0.70999999999999985</v>
      </c>
      <c r="EI117" s="48">
        <f t="shared" si="1364"/>
        <v>0.68999999999999984</v>
      </c>
      <c r="EJ117" s="48">
        <f t="shared" si="1364"/>
        <v>0.66999999999999982</v>
      </c>
      <c r="EK117" s="48">
        <f t="shared" si="1364"/>
        <v>0.6499999999999998</v>
      </c>
      <c r="EL117" s="48">
        <f t="shared" si="1364"/>
        <v>0.62999999999999978</v>
      </c>
      <c r="EM117" s="48">
        <f t="shared" si="1364"/>
        <v>0.60999999999999976</v>
      </c>
      <c r="EN117" s="48">
        <f t="shared" si="1364"/>
        <v>0.58999999999999975</v>
      </c>
      <c r="EO117" s="48">
        <f t="shared" si="1364"/>
        <v>0.56999999999999973</v>
      </c>
      <c r="EQ117" s="48">
        <f t="shared" si="1128"/>
        <v>0</v>
      </c>
      <c r="ER117" s="48">
        <f t="shared" si="956"/>
        <v>0</v>
      </c>
      <c r="ES117" s="51">
        <f t="shared" ref="ES117" si="1365">+ER117*3.3058</f>
        <v>0</v>
      </c>
      <c r="ET117" s="48">
        <f t="shared" si="1319"/>
        <v>0</v>
      </c>
      <c r="EU117" s="51">
        <f t="shared" si="1320"/>
        <v>0</v>
      </c>
      <c r="EV117" s="48">
        <f t="shared" si="1321"/>
        <v>0</v>
      </c>
      <c r="EW117" s="51">
        <f t="shared" si="1322"/>
        <v>0</v>
      </c>
      <c r="EX117" s="48">
        <f t="shared" si="1323"/>
        <v>0</v>
      </c>
      <c r="EY117" s="51">
        <f t="shared" si="1324"/>
        <v>0</v>
      </c>
      <c r="EZ117" s="52">
        <f t="shared" si="1325"/>
        <v>0</v>
      </c>
      <c r="FA117" s="51">
        <f t="shared" si="1326"/>
        <v>0</v>
      </c>
      <c r="FB117" s="48">
        <f t="shared" si="1327"/>
        <v>0</v>
      </c>
      <c r="FC117" s="51">
        <f t="shared" si="1328"/>
        <v>0</v>
      </c>
      <c r="FD117" s="52">
        <f t="shared" si="1329"/>
        <v>0</v>
      </c>
      <c r="FE117" s="51">
        <f t="shared" si="1330"/>
        <v>0</v>
      </c>
      <c r="FF117" s="53">
        <f t="shared" si="1331"/>
        <v>0</v>
      </c>
      <c r="FG117" s="51">
        <f t="shared" si="1332"/>
        <v>0</v>
      </c>
      <c r="FH117" s="52">
        <f t="shared" si="1333"/>
        <v>0</v>
      </c>
      <c r="FI117" s="51">
        <f t="shared" si="1334"/>
        <v>0</v>
      </c>
      <c r="FJ117" s="48">
        <f t="shared" si="1335"/>
        <v>0</v>
      </c>
      <c r="FK117" s="51">
        <f t="shared" si="1336"/>
        <v>0</v>
      </c>
      <c r="FL117" s="53">
        <f t="shared" si="1337"/>
        <v>0</v>
      </c>
      <c r="FM117" s="51">
        <f t="shared" si="1338"/>
        <v>0</v>
      </c>
      <c r="FN117" s="53">
        <f t="shared" si="1339"/>
        <v>0</v>
      </c>
      <c r="FO117" s="51">
        <f t="shared" si="1340"/>
        <v>0</v>
      </c>
      <c r="FP117" s="53">
        <f t="shared" si="1341"/>
        <v>0</v>
      </c>
      <c r="FQ117" s="51">
        <f t="shared" si="1342"/>
        <v>0</v>
      </c>
      <c r="FR117" s="48">
        <f t="shared" si="1343"/>
        <v>0</v>
      </c>
      <c r="FS117" s="51">
        <f t="shared" si="1344"/>
        <v>0</v>
      </c>
      <c r="FT117" s="53">
        <f t="shared" si="1345"/>
        <v>0</v>
      </c>
      <c r="FU117" s="51">
        <f t="shared" si="1346"/>
        <v>0</v>
      </c>
      <c r="FV117" s="53">
        <f t="shared" si="1347"/>
        <v>0</v>
      </c>
      <c r="FW117" s="51">
        <f t="shared" si="1348"/>
        <v>0</v>
      </c>
      <c r="FX117" s="53">
        <f t="shared" si="1349"/>
        <v>0</v>
      </c>
      <c r="FY117" s="51">
        <f t="shared" si="1350"/>
        <v>0</v>
      </c>
      <c r="FZ117" s="53">
        <f t="shared" si="1351"/>
        <v>0</v>
      </c>
      <c r="GA117" s="51">
        <f t="shared" si="1352"/>
        <v>0</v>
      </c>
      <c r="GB117" s="48">
        <f t="shared" si="1353"/>
        <v>0</v>
      </c>
      <c r="GC117" s="51">
        <f t="shared" si="1354"/>
        <v>0</v>
      </c>
      <c r="GD117" s="53">
        <f t="shared" si="1355"/>
        <v>0</v>
      </c>
      <c r="GE117" s="51">
        <f t="shared" si="1356"/>
        <v>0</v>
      </c>
      <c r="GF117" s="53">
        <f t="shared" si="1357"/>
        <v>0</v>
      </c>
      <c r="GG117" s="51">
        <f t="shared" si="1358"/>
        <v>0</v>
      </c>
      <c r="GH117" s="48">
        <f t="shared" si="1359"/>
        <v>0</v>
      </c>
      <c r="GI117" s="51">
        <f t="shared" si="1360"/>
        <v>0</v>
      </c>
      <c r="GJ117" s="48"/>
      <c r="GK117" s="48"/>
      <c r="GL117" s="48">
        <v>1</v>
      </c>
      <c r="GM117" s="48">
        <v>0.97</v>
      </c>
      <c r="GN117" s="48">
        <v>0.95</v>
      </c>
      <c r="GO117" s="48">
        <v>0.93</v>
      </c>
      <c r="GP117" s="48">
        <f t="shared" ref="GP117:HG117" si="1366">+GO117-0.02</f>
        <v>0.91</v>
      </c>
      <c r="GQ117" s="48">
        <f t="shared" si="1366"/>
        <v>0.89</v>
      </c>
      <c r="GR117" s="48">
        <f t="shared" si="1366"/>
        <v>0.87</v>
      </c>
      <c r="GS117" s="48">
        <f t="shared" si="1366"/>
        <v>0.85</v>
      </c>
      <c r="GT117" s="48">
        <f t="shared" si="1366"/>
        <v>0.83</v>
      </c>
      <c r="GU117" s="48">
        <f t="shared" si="1366"/>
        <v>0.80999999999999994</v>
      </c>
      <c r="GV117" s="48">
        <f t="shared" si="1366"/>
        <v>0.78999999999999992</v>
      </c>
      <c r="GW117" s="48">
        <f t="shared" si="1366"/>
        <v>0.76999999999999991</v>
      </c>
      <c r="GX117" s="48">
        <f t="shared" si="1366"/>
        <v>0.74999999999999989</v>
      </c>
      <c r="GY117" s="48">
        <f t="shared" si="1366"/>
        <v>0.72999999999999987</v>
      </c>
      <c r="GZ117" s="48">
        <f t="shared" si="1366"/>
        <v>0.70999999999999985</v>
      </c>
      <c r="HA117" s="48">
        <f t="shared" si="1366"/>
        <v>0.68999999999999984</v>
      </c>
      <c r="HB117" s="48">
        <f t="shared" si="1366"/>
        <v>0.66999999999999982</v>
      </c>
      <c r="HC117" s="48">
        <f t="shared" si="1366"/>
        <v>0.6499999999999998</v>
      </c>
      <c r="HD117" s="48">
        <f t="shared" si="1366"/>
        <v>0.62999999999999978</v>
      </c>
      <c r="HE117" s="48">
        <f t="shared" si="1366"/>
        <v>0.60999999999999976</v>
      </c>
      <c r="HF117" s="48">
        <f t="shared" si="1366"/>
        <v>0.58999999999999975</v>
      </c>
      <c r="HG117" s="48">
        <f t="shared" si="1366"/>
        <v>0.56999999999999973</v>
      </c>
    </row>
    <row r="118" spans="1:215" x14ac:dyDescent="0.3">
      <c r="A118" s="2">
        <v>3</v>
      </c>
      <c r="C118" s="29" t="s">
        <v>182</v>
      </c>
      <c r="D118" s="44">
        <f>TRUNC(142.939214069161,-1)</f>
        <v>140</v>
      </c>
      <c r="E118" s="73">
        <f t="shared" si="1230"/>
        <v>460</v>
      </c>
      <c r="G118" s="48">
        <f t="shared" si="948"/>
        <v>154</v>
      </c>
      <c r="H118" s="48">
        <f t="shared" si="949"/>
        <v>154</v>
      </c>
      <c r="I118" s="51">
        <f t="shared" si="950"/>
        <v>509.09320000000002</v>
      </c>
      <c r="J118" s="48">
        <f t="shared" si="1231"/>
        <v>149.38</v>
      </c>
      <c r="K118" s="51">
        <f t="shared" si="1232"/>
        <v>493.820404</v>
      </c>
      <c r="L118" s="48">
        <f t="shared" si="1233"/>
        <v>146.29999999999998</v>
      </c>
      <c r="M118" s="51">
        <f t="shared" si="1234"/>
        <v>483.63853999999998</v>
      </c>
      <c r="N118" s="48">
        <f t="shared" si="1235"/>
        <v>143.22</v>
      </c>
      <c r="O118" s="51">
        <f t="shared" si="1236"/>
        <v>473.45667600000002</v>
      </c>
      <c r="P118" s="52">
        <f t="shared" si="1237"/>
        <v>140.14000000000001</v>
      </c>
      <c r="Q118" s="51">
        <f t="shared" si="1238"/>
        <v>463.27481200000005</v>
      </c>
      <c r="R118" s="48">
        <f t="shared" si="1239"/>
        <v>137.06</v>
      </c>
      <c r="S118" s="51">
        <f t="shared" si="1240"/>
        <v>453.09294800000004</v>
      </c>
      <c r="T118" s="52">
        <f t="shared" si="1241"/>
        <v>133.97999999999999</v>
      </c>
      <c r="U118" s="51">
        <f t="shared" si="1242"/>
        <v>442.91108399999996</v>
      </c>
      <c r="V118" s="53">
        <f t="shared" si="1243"/>
        <v>130.9</v>
      </c>
      <c r="W118" s="51">
        <f t="shared" si="1244"/>
        <v>432.72922000000005</v>
      </c>
      <c r="X118" s="52">
        <f t="shared" si="1245"/>
        <v>127.82</v>
      </c>
      <c r="Y118" s="51">
        <f t="shared" si="1246"/>
        <v>422.54735599999998</v>
      </c>
      <c r="Z118" s="48">
        <f t="shared" si="1247"/>
        <v>124.74</v>
      </c>
      <c r="AA118" s="51">
        <f t="shared" si="1248"/>
        <v>412.36549200000002</v>
      </c>
      <c r="AB118" s="53">
        <f t="shared" si="1249"/>
        <v>121.65999999999998</v>
      </c>
      <c r="AC118" s="51">
        <f t="shared" si="1250"/>
        <v>402.18362799999994</v>
      </c>
      <c r="AD118" s="53">
        <f t="shared" si="1251"/>
        <v>118.57999999999998</v>
      </c>
      <c r="AE118" s="51">
        <f t="shared" si="1252"/>
        <v>392.00176399999998</v>
      </c>
      <c r="AF118" s="53">
        <f t="shared" si="1253"/>
        <v>115.49999999999999</v>
      </c>
      <c r="AG118" s="51">
        <f t="shared" si="1254"/>
        <v>381.81989999999996</v>
      </c>
      <c r="AH118" s="48">
        <f t="shared" si="1255"/>
        <v>112.41999999999997</v>
      </c>
      <c r="AI118" s="51">
        <f t="shared" si="1256"/>
        <v>371.63803599999994</v>
      </c>
      <c r="AJ118" s="53">
        <f t="shared" si="1257"/>
        <v>109.33999999999997</v>
      </c>
      <c r="AK118" s="51">
        <f t="shared" si="1258"/>
        <v>361.45617199999992</v>
      </c>
      <c r="AL118" s="53">
        <f t="shared" si="1259"/>
        <v>106.25999999999998</v>
      </c>
      <c r="AM118" s="51">
        <f t="shared" si="1260"/>
        <v>351.27430799999991</v>
      </c>
      <c r="AN118" s="53">
        <f t="shared" si="1261"/>
        <v>103.17999999999998</v>
      </c>
      <c r="AO118" s="51">
        <f t="shared" si="1262"/>
        <v>341.09244399999994</v>
      </c>
      <c r="AP118" s="53">
        <f t="shared" si="1263"/>
        <v>100.09999999999997</v>
      </c>
      <c r="AQ118" s="51">
        <f t="shared" si="1264"/>
        <v>330.91057999999987</v>
      </c>
      <c r="AR118" s="48">
        <f t="shared" si="1265"/>
        <v>97.019999999999968</v>
      </c>
      <c r="AS118" s="51">
        <f t="shared" si="1266"/>
        <v>320.72871599999991</v>
      </c>
      <c r="AT118" s="53">
        <f t="shared" si="1267"/>
        <v>93.939999999999969</v>
      </c>
      <c r="AU118" s="51">
        <f t="shared" si="1268"/>
        <v>310.54685199999989</v>
      </c>
      <c r="AV118" s="53">
        <f t="shared" si="1269"/>
        <v>90.859999999999957</v>
      </c>
      <c r="AW118" s="51">
        <f t="shared" si="1270"/>
        <v>300.36498799999987</v>
      </c>
      <c r="AX118" s="48">
        <f t="shared" si="1271"/>
        <v>87.779999999999959</v>
      </c>
      <c r="AY118" s="51">
        <f t="shared" si="1272"/>
        <v>290.18312399999985</v>
      </c>
      <c r="BB118" s="48">
        <v>1</v>
      </c>
      <c r="BC118" s="48">
        <v>0.97</v>
      </c>
      <c r="BD118" s="48">
        <v>0.95</v>
      </c>
      <c r="BE118" s="48">
        <v>0.93</v>
      </c>
      <c r="BF118" s="48">
        <f t="shared" ref="BF118:BW118" si="1367">+BE118-0.02</f>
        <v>0.91</v>
      </c>
      <c r="BG118" s="48">
        <f t="shared" si="1367"/>
        <v>0.89</v>
      </c>
      <c r="BH118" s="48">
        <f t="shared" si="1367"/>
        <v>0.87</v>
      </c>
      <c r="BI118" s="48">
        <f t="shared" si="1367"/>
        <v>0.85</v>
      </c>
      <c r="BJ118" s="48">
        <f t="shared" si="1367"/>
        <v>0.83</v>
      </c>
      <c r="BK118" s="48">
        <f t="shared" si="1367"/>
        <v>0.80999999999999994</v>
      </c>
      <c r="BL118" s="48">
        <f t="shared" si="1367"/>
        <v>0.78999999999999992</v>
      </c>
      <c r="BM118" s="48">
        <f t="shared" si="1367"/>
        <v>0.76999999999999991</v>
      </c>
      <c r="BN118" s="48">
        <f t="shared" si="1367"/>
        <v>0.74999999999999989</v>
      </c>
      <c r="BO118" s="48">
        <f t="shared" si="1367"/>
        <v>0.72999999999999987</v>
      </c>
      <c r="BP118" s="48">
        <f t="shared" si="1367"/>
        <v>0.70999999999999985</v>
      </c>
      <c r="BQ118" s="48">
        <f t="shared" si="1367"/>
        <v>0.68999999999999984</v>
      </c>
      <c r="BR118" s="48">
        <f t="shared" si="1367"/>
        <v>0.66999999999999982</v>
      </c>
      <c r="BS118" s="48">
        <f t="shared" si="1367"/>
        <v>0.6499999999999998</v>
      </c>
      <c r="BT118" s="48">
        <f t="shared" si="1367"/>
        <v>0.62999999999999978</v>
      </c>
      <c r="BU118" s="48">
        <f t="shared" si="1367"/>
        <v>0.60999999999999976</v>
      </c>
      <c r="BV118" s="48">
        <f t="shared" si="1367"/>
        <v>0.58999999999999975</v>
      </c>
      <c r="BW118" s="48">
        <f t="shared" si="1367"/>
        <v>0.56999999999999973</v>
      </c>
      <c r="BY118" s="48">
        <f t="shared" si="952"/>
        <v>140.14000000000001</v>
      </c>
      <c r="BZ118" s="48">
        <f t="shared" si="953"/>
        <v>140.14000000000001</v>
      </c>
      <c r="CA118" s="51">
        <f t="shared" ref="CA118" si="1368">+BZ118*3.3058</f>
        <v>463.27481200000005</v>
      </c>
      <c r="CB118" s="48">
        <f t="shared" si="1275"/>
        <v>135.9358</v>
      </c>
      <c r="CC118" s="51">
        <f t="shared" si="1276"/>
        <v>449.37656764000002</v>
      </c>
      <c r="CD118" s="48">
        <f t="shared" si="1277"/>
        <v>133.13300000000001</v>
      </c>
      <c r="CE118" s="51">
        <f t="shared" si="1278"/>
        <v>440.11107140000001</v>
      </c>
      <c r="CF118" s="48">
        <f t="shared" si="1279"/>
        <v>130.33020000000002</v>
      </c>
      <c r="CG118" s="51">
        <f t="shared" si="1280"/>
        <v>430.84557516000007</v>
      </c>
      <c r="CH118" s="52">
        <f t="shared" si="1281"/>
        <v>127.52740000000001</v>
      </c>
      <c r="CI118" s="51">
        <f t="shared" si="1282"/>
        <v>421.58007892000006</v>
      </c>
      <c r="CJ118" s="48">
        <f t="shared" si="1283"/>
        <v>124.72460000000001</v>
      </c>
      <c r="CK118" s="51">
        <f t="shared" si="1284"/>
        <v>412.31458268000006</v>
      </c>
      <c r="CL118" s="52">
        <f t="shared" si="1285"/>
        <v>121.92180000000002</v>
      </c>
      <c r="CM118" s="51">
        <f t="shared" si="1286"/>
        <v>403.04908644000005</v>
      </c>
      <c r="CN118" s="53">
        <f t="shared" si="1287"/>
        <v>119.11900000000001</v>
      </c>
      <c r="CO118" s="51">
        <f t="shared" si="1288"/>
        <v>393.78359020000005</v>
      </c>
      <c r="CP118" s="52">
        <f t="shared" si="1289"/>
        <v>116.31620000000001</v>
      </c>
      <c r="CQ118" s="51">
        <f t="shared" si="1290"/>
        <v>384.51809396000004</v>
      </c>
      <c r="CR118" s="48">
        <f t="shared" si="1291"/>
        <v>113.5134</v>
      </c>
      <c r="CS118" s="51">
        <f t="shared" si="1292"/>
        <v>375.25259772000004</v>
      </c>
      <c r="CT118" s="53">
        <f t="shared" si="1293"/>
        <v>110.7106</v>
      </c>
      <c r="CU118" s="51">
        <f t="shared" si="1294"/>
        <v>365.98710147999998</v>
      </c>
      <c r="CV118" s="53">
        <f t="shared" si="1295"/>
        <v>107.90779999999999</v>
      </c>
      <c r="CW118" s="51">
        <f t="shared" si="1296"/>
        <v>356.72160523999997</v>
      </c>
      <c r="CX118" s="53">
        <f t="shared" si="1297"/>
        <v>105.10499999999999</v>
      </c>
      <c r="CY118" s="51">
        <f t="shared" si="1298"/>
        <v>347.45610899999997</v>
      </c>
      <c r="CZ118" s="48">
        <f t="shared" si="1299"/>
        <v>102.3022</v>
      </c>
      <c r="DA118" s="51">
        <f t="shared" si="1300"/>
        <v>338.19061276000002</v>
      </c>
      <c r="DB118" s="53">
        <f t="shared" si="1301"/>
        <v>99.499399999999994</v>
      </c>
      <c r="DC118" s="51">
        <f t="shared" si="1302"/>
        <v>328.92511651999996</v>
      </c>
      <c r="DD118" s="53">
        <f t="shared" si="1303"/>
        <v>96.696599999999989</v>
      </c>
      <c r="DE118" s="51">
        <f t="shared" si="1304"/>
        <v>319.65962027999996</v>
      </c>
      <c r="DF118" s="53">
        <f t="shared" si="1305"/>
        <v>93.893799999999985</v>
      </c>
      <c r="DG118" s="51">
        <f t="shared" si="1306"/>
        <v>310.39412403999995</v>
      </c>
      <c r="DH118" s="53">
        <f t="shared" si="1307"/>
        <v>91.09099999999998</v>
      </c>
      <c r="DI118" s="51">
        <f t="shared" si="1308"/>
        <v>301.12862779999995</v>
      </c>
      <c r="DJ118" s="48">
        <f t="shared" si="1309"/>
        <v>88.288199999999975</v>
      </c>
      <c r="DK118" s="51">
        <f t="shared" si="1310"/>
        <v>291.86313155999994</v>
      </c>
      <c r="DL118" s="53">
        <f t="shared" si="1311"/>
        <v>85.48539999999997</v>
      </c>
      <c r="DM118" s="51">
        <f t="shared" si="1312"/>
        <v>282.59763531999988</v>
      </c>
      <c r="DN118" s="53">
        <f t="shared" si="1313"/>
        <v>82.682599999999979</v>
      </c>
      <c r="DO118" s="51">
        <f t="shared" si="1314"/>
        <v>273.33213907999993</v>
      </c>
      <c r="DP118" s="48">
        <f t="shared" si="1315"/>
        <v>79.879799999999975</v>
      </c>
      <c r="DQ118" s="51">
        <f t="shared" si="1316"/>
        <v>264.06664283999993</v>
      </c>
      <c r="DT118" s="48">
        <v>1</v>
      </c>
      <c r="DU118" s="48">
        <v>0.97</v>
      </c>
      <c r="DV118" s="48">
        <v>0.95</v>
      </c>
      <c r="DW118" s="48">
        <v>0.93</v>
      </c>
      <c r="DX118" s="48">
        <f t="shared" ref="DX118:EO118" si="1369">+DW118-0.02</f>
        <v>0.91</v>
      </c>
      <c r="DY118" s="48">
        <f t="shared" si="1369"/>
        <v>0.89</v>
      </c>
      <c r="DZ118" s="48">
        <f t="shared" si="1369"/>
        <v>0.87</v>
      </c>
      <c r="EA118" s="48">
        <f t="shared" si="1369"/>
        <v>0.85</v>
      </c>
      <c r="EB118" s="48">
        <f t="shared" si="1369"/>
        <v>0.83</v>
      </c>
      <c r="EC118" s="48">
        <f t="shared" si="1369"/>
        <v>0.80999999999999994</v>
      </c>
      <c r="ED118" s="48">
        <f t="shared" si="1369"/>
        <v>0.78999999999999992</v>
      </c>
      <c r="EE118" s="48">
        <f t="shared" si="1369"/>
        <v>0.76999999999999991</v>
      </c>
      <c r="EF118" s="48">
        <f t="shared" si="1369"/>
        <v>0.74999999999999989</v>
      </c>
      <c r="EG118" s="48">
        <f t="shared" si="1369"/>
        <v>0.72999999999999987</v>
      </c>
      <c r="EH118" s="48">
        <f t="shared" si="1369"/>
        <v>0.70999999999999985</v>
      </c>
      <c r="EI118" s="48">
        <f t="shared" si="1369"/>
        <v>0.68999999999999984</v>
      </c>
      <c r="EJ118" s="48">
        <f t="shared" si="1369"/>
        <v>0.66999999999999982</v>
      </c>
      <c r="EK118" s="48">
        <f t="shared" si="1369"/>
        <v>0.6499999999999998</v>
      </c>
      <c r="EL118" s="48">
        <f t="shared" si="1369"/>
        <v>0.62999999999999978</v>
      </c>
      <c r="EM118" s="48">
        <f t="shared" si="1369"/>
        <v>0.60999999999999976</v>
      </c>
      <c r="EN118" s="48">
        <f t="shared" si="1369"/>
        <v>0.58999999999999975</v>
      </c>
      <c r="EO118" s="48">
        <f t="shared" si="1369"/>
        <v>0.56999999999999973</v>
      </c>
      <c r="EQ118" s="48">
        <f t="shared" si="1128"/>
        <v>127.52740000000001</v>
      </c>
      <c r="ER118" s="48">
        <f t="shared" si="956"/>
        <v>127.52740000000001</v>
      </c>
      <c r="ES118" s="51">
        <f t="shared" ref="ES118" si="1370">+ER118*3.3058</f>
        <v>421.58007892000006</v>
      </c>
      <c r="ET118" s="48">
        <f t="shared" si="1319"/>
        <v>123.70157800000001</v>
      </c>
      <c r="EU118" s="51">
        <f t="shared" si="1320"/>
        <v>408.93267655240004</v>
      </c>
      <c r="EV118" s="48">
        <f t="shared" si="1321"/>
        <v>121.15103000000001</v>
      </c>
      <c r="EW118" s="51">
        <f t="shared" si="1322"/>
        <v>400.50107497400001</v>
      </c>
      <c r="EX118" s="48">
        <f t="shared" si="1323"/>
        <v>118.60048200000001</v>
      </c>
      <c r="EY118" s="51">
        <f t="shared" si="1324"/>
        <v>392.06947339560003</v>
      </c>
      <c r="EZ118" s="52">
        <f t="shared" si="1325"/>
        <v>116.04993400000002</v>
      </c>
      <c r="FA118" s="51">
        <f t="shared" si="1326"/>
        <v>383.63787181720011</v>
      </c>
      <c r="FB118" s="48">
        <f t="shared" si="1327"/>
        <v>113.49938600000002</v>
      </c>
      <c r="FC118" s="51">
        <f t="shared" si="1328"/>
        <v>375.20627023880007</v>
      </c>
      <c r="FD118" s="52">
        <f t="shared" si="1329"/>
        <v>110.94883800000001</v>
      </c>
      <c r="FE118" s="51">
        <f t="shared" si="1330"/>
        <v>366.77466866040004</v>
      </c>
      <c r="FF118" s="53">
        <f t="shared" si="1331"/>
        <v>108.39829</v>
      </c>
      <c r="FG118" s="51">
        <f t="shared" si="1332"/>
        <v>358.343067082</v>
      </c>
      <c r="FH118" s="52">
        <f t="shared" si="1333"/>
        <v>105.84774200000001</v>
      </c>
      <c r="FI118" s="51">
        <f t="shared" si="1334"/>
        <v>349.91146550360003</v>
      </c>
      <c r="FJ118" s="48">
        <f t="shared" si="1335"/>
        <v>103.297194</v>
      </c>
      <c r="FK118" s="51">
        <f t="shared" si="1336"/>
        <v>341.47986392520005</v>
      </c>
      <c r="FL118" s="53">
        <f t="shared" si="1337"/>
        <v>100.746646</v>
      </c>
      <c r="FM118" s="51">
        <f t="shared" si="1338"/>
        <v>333.04826234680002</v>
      </c>
      <c r="FN118" s="53">
        <f t="shared" si="1339"/>
        <v>98.196097999999992</v>
      </c>
      <c r="FO118" s="51">
        <f t="shared" si="1340"/>
        <v>324.61666076839998</v>
      </c>
      <c r="FP118" s="53">
        <f t="shared" si="1341"/>
        <v>95.64555</v>
      </c>
      <c r="FQ118" s="51">
        <f t="shared" si="1342"/>
        <v>316.18505919</v>
      </c>
      <c r="FR118" s="48">
        <f t="shared" si="1343"/>
        <v>93.095001999999994</v>
      </c>
      <c r="FS118" s="51">
        <f t="shared" si="1344"/>
        <v>307.75345761159997</v>
      </c>
      <c r="FT118" s="53">
        <f t="shared" si="1345"/>
        <v>90.544453999999988</v>
      </c>
      <c r="FU118" s="51">
        <f t="shared" si="1346"/>
        <v>299.32185603319999</v>
      </c>
      <c r="FV118" s="53">
        <f t="shared" si="1347"/>
        <v>87.993905999999996</v>
      </c>
      <c r="FW118" s="51">
        <f t="shared" si="1348"/>
        <v>290.89025445480002</v>
      </c>
      <c r="FX118" s="53">
        <f t="shared" si="1349"/>
        <v>85.443357999999989</v>
      </c>
      <c r="FY118" s="51">
        <f t="shared" si="1350"/>
        <v>282.45865287639998</v>
      </c>
      <c r="FZ118" s="53">
        <f t="shared" si="1351"/>
        <v>82.892809999999983</v>
      </c>
      <c r="GA118" s="51">
        <f t="shared" si="1352"/>
        <v>274.02705129799995</v>
      </c>
      <c r="GB118" s="48">
        <f t="shared" si="1353"/>
        <v>80.342261999999977</v>
      </c>
      <c r="GC118" s="51">
        <f t="shared" si="1354"/>
        <v>265.59544971959991</v>
      </c>
      <c r="GD118" s="53">
        <f t="shared" si="1355"/>
        <v>77.791713999999985</v>
      </c>
      <c r="GE118" s="51">
        <f t="shared" si="1356"/>
        <v>257.16384814119994</v>
      </c>
      <c r="GF118" s="53">
        <f t="shared" si="1357"/>
        <v>75.241165999999978</v>
      </c>
      <c r="GG118" s="51">
        <f t="shared" si="1358"/>
        <v>248.73224656279993</v>
      </c>
      <c r="GH118" s="48">
        <f t="shared" si="1359"/>
        <v>72.690617999999972</v>
      </c>
      <c r="GI118" s="51">
        <f t="shared" si="1360"/>
        <v>240.30064498439992</v>
      </c>
      <c r="GJ118" s="48"/>
      <c r="GK118" s="48"/>
      <c r="GL118" s="48">
        <v>1</v>
      </c>
      <c r="GM118" s="48">
        <v>0.97</v>
      </c>
      <c r="GN118" s="48">
        <v>0.95</v>
      </c>
      <c r="GO118" s="48">
        <v>0.93</v>
      </c>
      <c r="GP118" s="48">
        <f t="shared" ref="GP118:HG118" si="1371">+GO118-0.02</f>
        <v>0.91</v>
      </c>
      <c r="GQ118" s="48">
        <f t="shared" si="1371"/>
        <v>0.89</v>
      </c>
      <c r="GR118" s="48">
        <f t="shared" si="1371"/>
        <v>0.87</v>
      </c>
      <c r="GS118" s="48">
        <f t="shared" si="1371"/>
        <v>0.85</v>
      </c>
      <c r="GT118" s="48">
        <f t="shared" si="1371"/>
        <v>0.83</v>
      </c>
      <c r="GU118" s="48">
        <f t="shared" si="1371"/>
        <v>0.80999999999999994</v>
      </c>
      <c r="GV118" s="48">
        <f t="shared" si="1371"/>
        <v>0.78999999999999992</v>
      </c>
      <c r="GW118" s="48">
        <f t="shared" si="1371"/>
        <v>0.76999999999999991</v>
      </c>
      <c r="GX118" s="48">
        <f t="shared" si="1371"/>
        <v>0.74999999999999989</v>
      </c>
      <c r="GY118" s="48">
        <f t="shared" si="1371"/>
        <v>0.72999999999999987</v>
      </c>
      <c r="GZ118" s="48">
        <f t="shared" si="1371"/>
        <v>0.70999999999999985</v>
      </c>
      <c r="HA118" s="48">
        <f t="shared" si="1371"/>
        <v>0.68999999999999984</v>
      </c>
      <c r="HB118" s="48">
        <f t="shared" si="1371"/>
        <v>0.66999999999999982</v>
      </c>
      <c r="HC118" s="48">
        <f t="shared" si="1371"/>
        <v>0.6499999999999998</v>
      </c>
      <c r="HD118" s="48">
        <f t="shared" si="1371"/>
        <v>0.62999999999999978</v>
      </c>
      <c r="HE118" s="48">
        <f t="shared" si="1371"/>
        <v>0.60999999999999976</v>
      </c>
      <c r="HF118" s="48">
        <f t="shared" si="1371"/>
        <v>0.58999999999999975</v>
      </c>
      <c r="HG118" s="48">
        <f t="shared" si="1371"/>
        <v>0.56999999999999973</v>
      </c>
    </row>
    <row r="119" spans="1:215" x14ac:dyDescent="0.3">
      <c r="A119" s="2">
        <v>4</v>
      </c>
      <c r="C119" s="29" t="s">
        <v>183</v>
      </c>
      <c r="D119" s="44">
        <f>TRUNC(3397.33956719209,-1)</f>
        <v>3390</v>
      </c>
      <c r="E119" s="73">
        <f t="shared" si="1230"/>
        <v>11200</v>
      </c>
      <c r="G119" s="48">
        <f t="shared" si="948"/>
        <v>3729.0000000000005</v>
      </c>
      <c r="H119" s="48">
        <f t="shared" si="949"/>
        <v>3729.0000000000005</v>
      </c>
      <c r="I119" s="51">
        <f t="shared" si="950"/>
        <v>12327.328200000002</v>
      </c>
      <c r="J119" s="48">
        <f t="shared" si="1231"/>
        <v>3617.1300000000006</v>
      </c>
      <c r="K119" s="51">
        <f t="shared" si="1232"/>
        <v>11957.508354000001</v>
      </c>
      <c r="L119" s="48">
        <f t="shared" si="1233"/>
        <v>3542.55</v>
      </c>
      <c r="M119" s="51">
        <f t="shared" si="1234"/>
        <v>11710.961790000001</v>
      </c>
      <c r="N119" s="48">
        <f t="shared" si="1235"/>
        <v>3467.9700000000007</v>
      </c>
      <c r="O119" s="51">
        <f t="shared" si="1236"/>
        <v>11464.415226000003</v>
      </c>
      <c r="P119" s="52">
        <f t="shared" si="1237"/>
        <v>3393.3900000000003</v>
      </c>
      <c r="Q119" s="51">
        <f t="shared" si="1238"/>
        <v>11217.868662000001</v>
      </c>
      <c r="R119" s="48">
        <f t="shared" si="1239"/>
        <v>3318.8100000000004</v>
      </c>
      <c r="S119" s="51">
        <f t="shared" si="1240"/>
        <v>10971.322098000002</v>
      </c>
      <c r="T119" s="52">
        <f t="shared" si="1241"/>
        <v>3244.2300000000005</v>
      </c>
      <c r="U119" s="51">
        <f t="shared" si="1242"/>
        <v>10724.775534000002</v>
      </c>
      <c r="V119" s="53">
        <f t="shared" si="1243"/>
        <v>3169.65</v>
      </c>
      <c r="W119" s="51">
        <f t="shared" si="1244"/>
        <v>10478.22897</v>
      </c>
      <c r="X119" s="52">
        <f t="shared" si="1245"/>
        <v>3095.07</v>
      </c>
      <c r="Y119" s="51">
        <f t="shared" si="1246"/>
        <v>10231.682406</v>
      </c>
      <c r="Z119" s="48">
        <f t="shared" si="1247"/>
        <v>3020.4900000000002</v>
      </c>
      <c r="AA119" s="51">
        <f t="shared" si="1248"/>
        <v>9985.1358420000015</v>
      </c>
      <c r="AB119" s="53">
        <f t="shared" si="1249"/>
        <v>2945.91</v>
      </c>
      <c r="AC119" s="51">
        <f t="shared" si="1250"/>
        <v>9738.5892779999995</v>
      </c>
      <c r="AD119" s="53">
        <f t="shared" si="1251"/>
        <v>2871.33</v>
      </c>
      <c r="AE119" s="51">
        <f t="shared" si="1252"/>
        <v>9492.0427139999993</v>
      </c>
      <c r="AF119" s="53">
        <f t="shared" si="1253"/>
        <v>2796.75</v>
      </c>
      <c r="AG119" s="51">
        <f t="shared" si="1254"/>
        <v>9245.4961500000009</v>
      </c>
      <c r="AH119" s="48">
        <f t="shared" si="1255"/>
        <v>2722.17</v>
      </c>
      <c r="AI119" s="51">
        <f t="shared" si="1256"/>
        <v>8998.9495860000006</v>
      </c>
      <c r="AJ119" s="53">
        <f t="shared" si="1257"/>
        <v>2647.5899999999997</v>
      </c>
      <c r="AK119" s="51">
        <f t="shared" si="1258"/>
        <v>8752.4030219999986</v>
      </c>
      <c r="AL119" s="53">
        <f t="shared" si="1259"/>
        <v>2573.0099999999998</v>
      </c>
      <c r="AM119" s="51">
        <f t="shared" si="1260"/>
        <v>8505.8564580000002</v>
      </c>
      <c r="AN119" s="53">
        <f t="shared" si="1261"/>
        <v>2498.4299999999998</v>
      </c>
      <c r="AO119" s="51">
        <f t="shared" si="1262"/>
        <v>8259.309894</v>
      </c>
      <c r="AP119" s="53">
        <f t="shared" si="1263"/>
        <v>2423.8499999999995</v>
      </c>
      <c r="AQ119" s="51">
        <f t="shared" si="1264"/>
        <v>8012.7633299999979</v>
      </c>
      <c r="AR119" s="48">
        <f t="shared" si="1265"/>
        <v>2349.2699999999995</v>
      </c>
      <c r="AS119" s="51">
        <f t="shared" si="1266"/>
        <v>7766.2167659999986</v>
      </c>
      <c r="AT119" s="53">
        <f t="shared" si="1267"/>
        <v>2274.6899999999996</v>
      </c>
      <c r="AU119" s="51">
        <f t="shared" si="1268"/>
        <v>7519.6702019999984</v>
      </c>
      <c r="AV119" s="53">
        <f t="shared" si="1269"/>
        <v>2200.1099999999992</v>
      </c>
      <c r="AW119" s="51">
        <f t="shared" si="1270"/>
        <v>7273.1236379999973</v>
      </c>
      <c r="AX119" s="48">
        <f t="shared" si="1271"/>
        <v>2125.5299999999993</v>
      </c>
      <c r="AY119" s="51">
        <f t="shared" si="1272"/>
        <v>7026.577073999998</v>
      </c>
      <c r="BB119" s="48">
        <v>1</v>
      </c>
      <c r="BC119" s="48">
        <v>0.97</v>
      </c>
      <c r="BD119" s="48">
        <v>0.95</v>
      </c>
      <c r="BE119" s="48">
        <v>0.93</v>
      </c>
      <c r="BF119" s="48">
        <f t="shared" ref="BF119:BW119" si="1372">+BE119-0.02</f>
        <v>0.91</v>
      </c>
      <c r="BG119" s="48">
        <f t="shared" si="1372"/>
        <v>0.89</v>
      </c>
      <c r="BH119" s="48">
        <f t="shared" si="1372"/>
        <v>0.87</v>
      </c>
      <c r="BI119" s="48">
        <f t="shared" si="1372"/>
        <v>0.85</v>
      </c>
      <c r="BJ119" s="48">
        <f t="shared" si="1372"/>
        <v>0.83</v>
      </c>
      <c r="BK119" s="48">
        <f t="shared" si="1372"/>
        <v>0.80999999999999994</v>
      </c>
      <c r="BL119" s="48">
        <f t="shared" si="1372"/>
        <v>0.78999999999999992</v>
      </c>
      <c r="BM119" s="48">
        <f t="shared" si="1372"/>
        <v>0.76999999999999991</v>
      </c>
      <c r="BN119" s="48">
        <f t="shared" si="1372"/>
        <v>0.74999999999999989</v>
      </c>
      <c r="BO119" s="48">
        <f t="shared" si="1372"/>
        <v>0.72999999999999987</v>
      </c>
      <c r="BP119" s="48">
        <f t="shared" si="1372"/>
        <v>0.70999999999999985</v>
      </c>
      <c r="BQ119" s="48">
        <f t="shared" si="1372"/>
        <v>0.68999999999999984</v>
      </c>
      <c r="BR119" s="48">
        <f t="shared" si="1372"/>
        <v>0.66999999999999982</v>
      </c>
      <c r="BS119" s="48">
        <f t="shared" si="1372"/>
        <v>0.6499999999999998</v>
      </c>
      <c r="BT119" s="48">
        <f t="shared" si="1372"/>
        <v>0.62999999999999978</v>
      </c>
      <c r="BU119" s="48">
        <f t="shared" si="1372"/>
        <v>0.60999999999999976</v>
      </c>
      <c r="BV119" s="48">
        <f t="shared" si="1372"/>
        <v>0.58999999999999975</v>
      </c>
      <c r="BW119" s="48">
        <f t="shared" si="1372"/>
        <v>0.56999999999999973</v>
      </c>
      <c r="BY119" s="48">
        <f t="shared" si="952"/>
        <v>3393.3900000000003</v>
      </c>
      <c r="BZ119" s="48">
        <f t="shared" si="953"/>
        <v>3393.3900000000003</v>
      </c>
      <c r="CA119" s="51">
        <f t="shared" ref="CA119" si="1373">+BZ119*3.3058</f>
        <v>11217.868662000001</v>
      </c>
      <c r="CB119" s="48">
        <f t="shared" si="1275"/>
        <v>3291.5883000000003</v>
      </c>
      <c r="CC119" s="51">
        <f t="shared" si="1276"/>
        <v>10881.332602140001</v>
      </c>
      <c r="CD119" s="48">
        <f t="shared" si="1277"/>
        <v>3223.7205000000004</v>
      </c>
      <c r="CE119" s="51">
        <f t="shared" si="1278"/>
        <v>10656.975228900001</v>
      </c>
      <c r="CF119" s="48">
        <f t="shared" si="1279"/>
        <v>3155.8527000000004</v>
      </c>
      <c r="CG119" s="51">
        <f t="shared" si="1280"/>
        <v>10432.617855660001</v>
      </c>
      <c r="CH119" s="52">
        <f t="shared" si="1281"/>
        <v>3087.9849000000004</v>
      </c>
      <c r="CI119" s="51">
        <f t="shared" si="1282"/>
        <v>10208.260482420001</v>
      </c>
      <c r="CJ119" s="48">
        <f t="shared" si="1283"/>
        <v>3020.1171000000004</v>
      </c>
      <c r="CK119" s="51">
        <f t="shared" si="1284"/>
        <v>9983.9031091800007</v>
      </c>
      <c r="CL119" s="52">
        <f t="shared" si="1285"/>
        <v>2952.2493000000004</v>
      </c>
      <c r="CM119" s="51">
        <f t="shared" si="1286"/>
        <v>9759.5457359400007</v>
      </c>
      <c r="CN119" s="53">
        <f t="shared" si="1287"/>
        <v>2884.3815000000004</v>
      </c>
      <c r="CO119" s="51">
        <f t="shared" si="1288"/>
        <v>9535.1883627000025</v>
      </c>
      <c r="CP119" s="52">
        <f t="shared" si="1289"/>
        <v>2816.5137</v>
      </c>
      <c r="CQ119" s="51">
        <f t="shared" si="1290"/>
        <v>9310.8309894600006</v>
      </c>
      <c r="CR119" s="48">
        <f t="shared" si="1291"/>
        <v>2748.6459</v>
      </c>
      <c r="CS119" s="51">
        <f t="shared" si="1292"/>
        <v>9086.4736162200006</v>
      </c>
      <c r="CT119" s="53">
        <f t="shared" si="1293"/>
        <v>2680.7781</v>
      </c>
      <c r="CU119" s="51">
        <f t="shared" si="1294"/>
        <v>8862.1162429800006</v>
      </c>
      <c r="CV119" s="53">
        <f t="shared" si="1295"/>
        <v>2612.9103</v>
      </c>
      <c r="CW119" s="51">
        <f t="shared" si="1296"/>
        <v>8637.7588697400006</v>
      </c>
      <c r="CX119" s="53">
        <f t="shared" si="1297"/>
        <v>2545.0425</v>
      </c>
      <c r="CY119" s="51">
        <f t="shared" si="1298"/>
        <v>8413.4014965000006</v>
      </c>
      <c r="CZ119" s="48">
        <f t="shared" si="1299"/>
        <v>2477.1746999999996</v>
      </c>
      <c r="DA119" s="51">
        <f t="shared" si="1300"/>
        <v>8189.0441232599987</v>
      </c>
      <c r="DB119" s="53">
        <f t="shared" si="1301"/>
        <v>2409.3068999999996</v>
      </c>
      <c r="DC119" s="51">
        <f t="shared" si="1302"/>
        <v>7964.6867500199987</v>
      </c>
      <c r="DD119" s="53">
        <f t="shared" si="1303"/>
        <v>2341.4390999999996</v>
      </c>
      <c r="DE119" s="51">
        <f t="shared" si="1304"/>
        <v>7740.3293767799987</v>
      </c>
      <c r="DF119" s="53">
        <f t="shared" si="1305"/>
        <v>2273.5712999999996</v>
      </c>
      <c r="DG119" s="51">
        <f t="shared" si="1306"/>
        <v>7515.9720035399987</v>
      </c>
      <c r="DH119" s="53">
        <f t="shared" si="1307"/>
        <v>2205.7034999999996</v>
      </c>
      <c r="DI119" s="51">
        <f t="shared" si="1308"/>
        <v>7291.6146302999987</v>
      </c>
      <c r="DJ119" s="48">
        <f t="shared" si="1309"/>
        <v>2137.8356999999996</v>
      </c>
      <c r="DK119" s="51">
        <f t="shared" si="1310"/>
        <v>7067.2572570599987</v>
      </c>
      <c r="DL119" s="53">
        <f t="shared" si="1311"/>
        <v>2069.9678999999992</v>
      </c>
      <c r="DM119" s="51">
        <f t="shared" si="1312"/>
        <v>6842.8998838199977</v>
      </c>
      <c r="DN119" s="53">
        <f t="shared" si="1313"/>
        <v>2002.1000999999994</v>
      </c>
      <c r="DO119" s="51">
        <f t="shared" si="1314"/>
        <v>6618.5425105799986</v>
      </c>
      <c r="DP119" s="48">
        <f t="shared" si="1315"/>
        <v>1934.2322999999992</v>
      </c>
      <c r="DQ119" s="51">
        <f t="shared" si="1316"/>
        <v>6394.1851373399977</v>
      </c>
      <c r="DT119" s="48">
        <v>1</v>
      </c>
      <c r="DU119" s="48">
        <v>0.97</v>
      </c>
      <c r="DV119" s="48">
        <v>0.95</v>
      </c>
      <c r="DW119" s="48">
        <v>0.93</v>
      </c>
      <c r="DX119" s="48">
        <f t="shared" ref="DX119:EO119" si="1374">+DW119-0.02</f>
        <v>0.91</v>
      </c>
      <c r="DY119" s="48">
        <f t="shared" si="1374"/>
        <v>0.89</v>
      </c>
      <c r="DZ119" s="48">
        <f t="shared" si="1374"/>
        <v>0.87</v>
      </c>
      <c r="EA119" s="48">
        <f t="shared" si="1374"/>
        <v>0.85</v>
      </c>
      <c r="EB119" s="48">
        <f t="shared" si="1374"/>
        <v>0.83</v>
      </c>
      <c r="EC119" s="48">
        <f t="shared" si="1374"/>
        <v>0.80999999999999994</v>
      </c>
      <c r="ED119" s="48">
        <f t="shared" si="1374"/>
        <v>0.78999999999999992</v>
      </c>
      <c r="EE119" s="48">
        <f t="shared" si="1374"/>
        <v>0.76999999999999991</v>
      </c>
      <c r="EF119" s="48">
        <f t="shared" si="1374"/>
        <v>0.74999999999999989</v>
      </c>
      <c r="EG119" s="48">
        <f t="shared" si="1374"/>
        <v>0.72999999999999987</v>
      </c>
      <c r="EH119" s="48">
        <f t="shared" si="1374"/>
        <v>0.70999999999999985</v>
      </c>
      <c r="EI119" s="48">
        <f t="shared" si="1374"/>
        <v>0.68999999999999984</v>
      </c>
      <c r="EJ119" s="48">
        <f t="shared" si="1374"/>
        <v>0.66999999999999982</v>
      </c>
      <c r="EK119" s="48">
        <f t="shared" si="1374"/>
        <v>0.6499999999999998</v>
      </c>
      <c r="EL119" s="48">
        <f t="shared" si="1374"/>
        <v>0.62999999999999978</v>
      </c>
      <c r="EM119" s="48">
        <f t="shared" si="1374"/>
        <v>0.60999999999999976</v>
      </c>
      <c r="EN119" s="48">
        <f t="shared" si="1374"/>
        <v>0.58999999999999975</v>
      </c>
      <c r="EO119" s="48">
        <f t="shared" si="1374"/>
        <v>0.56999999999999973</v>
      </c>
      <c r="EQ119" s="48">
        <f t="shared" si="1128"/>
        <v>3087.9849000000004</v>
      </c>
      <c r="ER119" s="48">
        <f t="shared" si="956"/>
        <v>3087.9849000000004</v>
      </c>
      <c r="ES119" s="51">
        <f t="shared" ref="ES119" si="1375">+ER119*3.3058</f>
        <v>10208.260482420001</v>
      </c>
      <c r="ET119" s="48">
        <f t="shared" si="1319"/>
        <v>2995.3453530000002</v>
      </c>
      <c r="EU119" s="51">
        <f t="shared" si="1320"/>
        <v>9902.0126679474015</v>
      </c>
      <c r="EV119" s="48">
        <f t="shared" si="1321"/>
        <v>2933.5856550000003</v>
      </c>
      <c r="EW119" s="51">
        <f t="shared" si="1322"/>
        <v>9697.847458299002</v>
      </c>
      <c r="EX119" s="48">
        <f t="shared" si="1323"/>
        <v>2871.8259570000005</v>
      </c>
      <c r="EY119" s="51">
        <f t="shared" si="1324"/>
        <v>9493.6822486506026</v>
      </c>
      <c r="EZ119" s="52">
        <f t="shared" si="1325"/>
        <v>2810.0662590000006</v>
      </c>
      <c r="FA119" s="51">
        <f t="shared" si="1326"/>
        <v>9289.5170390022031</v>
      </c>
      <c r="FB119" s="48">
        <f t="shared" si="1327"/>
        <v>2748.3065610000003</v>
      </c>
      <c r="FC119" s="51">
        <f t="shared" si="1328"/>
        <v>9085.3518293538018</v>
      </c>
      <c r="FD119" s="52">
        <f t="shared" si="1329"/>
        <v>2686.5468630000005</v>
      </c>
      <c r="FE119" s="51">
        <f t="shared" si="1330"/>
        <v>8881.1866197054023</v>
      </c>
      <c r="FF119" s="53">
        <f t="shared" si="1331"/>
        <v>2624.7871650000002</v>
      </c>
      <c r="FG119" s="51">
        <f t="shared" si="1332"/>
        <v>8677.021410057001</v>
      </c>
      <c r="FH119" s="52">
        <f t="shared" si="1333"/>
        <v>2563.0274670000003</v>
      </c>
      <c r="FI119" s="51">
        <f t="shared" si="1334"/>
        <v>8472.8562004086016</v>
      </c>
      <c r="FJ119" s="48">
        <f t="shared" si="1335"/>
        <v>2501.267769</v>
      </c>
      <c r="FK119" s="51">
        <f t="shared" si="1336"/>
        <v>8268.6909907602003</v>
      </c>
      <c r="FL119" s="53">
        <f t="shared" si="1337"/>
        <v>2439.5080710000002</v>
      </c>
      <c r="FM119" s="51">
        <f t="shared" si="1338"/>
        <v>8064.5257811118008</v>
      </c>
      <c r="FN119" s="53">
        <f t="shared" si="1339"/>
        <v>2377.7483729999999</v>
      </c>
      <c r="FO119" s="51">
        <f t="shared" si="1340"/>
        <v>7860.3605714633995</v>
      </c>
      <c r="FP119" s="53">
        <f t="shared" si="1341"/>
        <v>2315.9886750000001</v>
      </c>
      <c r="FQ119" s="51">
        <f t="shared" si="1342"/>
        <v>7656.1953618150001</v>
      </c>
      <c r="FR119" s="48">
        <f t="shared" si="1343"/>
        <v>2254.2289769999998</v>
      </c>
      <c r="FS119" s="51">
        <f t="shared" si="1344"/>
        <v>7452.0301521665997</v>
      </c>
      <c r="FT119" s="53">
        <f t="shared" si="1345"/>
        <v>2192.4692789999999</v>
      </c>
      <c r="FU119" s="51">
        <f t="shared" si="1346"/>
        <v>7247.8649425182002</v>
      </c>
      <c r="FV119" s="53">
        <f t="shared" si="1347"/>
        <v>2130.7095809999996</v>
      </c>
      <c r="FW119" s="51">
        <f t="shared" si="1348"/>
        <v>7043.6997328697989</v>
      </c>
      <c r="FX119" s="53">
        <f t="shared" si="1349"/>
        <v>2068.9498829999998</v>
      </c>
      <c r="FY119" s="51">
        <f t="shared" si="1350"/>
        <v>6839.5345232213995</v>
      </c>
      <c r="FZ119" s="53">
        <f t="shared" si="1351"/>
        <v>2007.1901849999997</v>
      </c>
      <c r="GA119" s="51">
        <f t="shared" si="1352"/>
        <v>6635.3693135729991</v>
      </c>
      <c r="GB119" s="48">
        <f t="shared" si="1353"/>
        <v>1945.4304869999996</v>
      </c>
      <c r="GC119" s="51">
        <f t="shared" si="1354"/>
        <v>6431.2041039245987</v>
      </c>
      <c r="GD119" s="53">
        <f t="shared" si="1355"/>
        <v>1883.6707889999996</v>
      </c>
      <c r="GE119" s="51">
        <f t="shared" si="1356"/>
        <v>6227.0388942761983</v>
      </c>
      <c r="GF119" s="53">
        <f t="shared" si="1357"/>
        <v>1821.9110909999995</v>
      </c>
      <c r="GG119" s="51">
        <f t="shared" si="1358"/>
        <v>6022.8736846277989</v>
      </c>
      <c r="GH119" s="48">
        <f t="shared" si="1359"/>
        <v>1760.1513929999994</v>
      </c>
      <c r="GI119" s="51">
        <f t="shared" si="1360"/>
        <v>5818.7084749793985</v>
      </c>
      <c r="GJ119" s="48"/>
      <c r="GK119" s="48"/>
      <c r="GL119" s="48">
        <v>1</v>
      </c>
      <c r="GM119" s="48">
        <v>0.97</v>
      </c>
      <c r="GN119" s="48">
        <v>0.95</v>
      </c>
      <c r="GO119" s="48">
        <v>0.93</v>
      </c>
      <c r="GP119" s="48">
        <f t="shared" ref="GP119:HG119" si="1376">+GO119-0.02</f>
        <v>0.91</v>
      </c>
      <c r="GQ119" s="48">
        <f t="shared" si="1376"/>
        <v>0.89</v>
      </c>
      <c r="GR119" s="48">
        <f t="shared" si="1376"/>
        <v>0.87</v>
      </c>
      <c r="GS119" s="48">
        <f t="shared" si="1376"/>
        <v>0.85</v>
      </c>
      <c r="GT119" s="48">
        <f t="shared" si="1376"/>
        <v>0.83</v>
      </c>
      <c r="GU119" s="48">
        <f t="shared" si="1376"/>
        <v>0.80999999999999994</v>
      </c>
      <c r="GV119" s="48">
        <f t="shared" si="1376"/>
        <v>0.78999999999999992</v>
      </c>
      <c r="GW119" s="48">
        <f t="shared" si="1376"/>
        <v>0.76999999999999991</v>
      </c>
      <c r="GX119" s="48">
        <f t="shared" si="1376"/>
        <v>0.74999999999999989</v>
      </c>
      <c r="GY119" s="48">
        <f t="shared" si="1376"/>
        <v>0.72999999999999987</v>
      </c>
      <c r="GZ119" s="48">
        <f t="shared" si="1376"/>
        <v>0.70999999999999985</v>
      </c>
      <c r="HA119" s="48">
        <f t="shared" si="1376"/>
        <v>0.68999999999999984</v>
      </c>
      <c r="HB119" s="48">
        <f t="shared" si="1376"/>
        <v>0.66999999999999982</v>
      </c>
      <c r="HC119" s="48">
        <f t="shared" si="1376"/>
        <v>0.6499999999999998</v>
      </c>
      <c r="HD119" s="48">
        <f t="shared" si="1376"/>
        <v>0.62999999999999978</v>
      </c>
      <c r="HE119" s="48">
        <f t="shared" si="1376"/>
        <v>0.60999999999999976</v>
      </c>
      <c r="HF119" s="48">
        <f t="shared" si="1376"/>
        <v>0.58999999999999975</v>
      </c>
      <c r="HG119" s="48">
        <f t="shared" si="1376"/>
        <v>0.56999999999999973</v>
      </c>
    </row>
    <row r="120" spans="1:215" x14ac:dyDescent="0.3">
      <c r="A120" s="2">
        <v>5</v>
      </c>
      <c r="C120" s="29" t="s">
        <v>184</v>
      </c>
      <c r="D120" s="44">
        <v>0</v>
      </c>
      <c r="E120" s="73">
        <f t="shared" si="1230"/>
        <v>0</v>
      </c>
      <c r="G120" s="48">
        <f t="shared" si="948"/>
        <v>0</v>
      </c>
      <c r="H120" s="48">
        <f t="shared" si="949"/>
        <v>0</v>
      </c>
      <c r="I120" s="51">
        <f t="shared" si="950"/>
        <v>0</v>
      </c>
      <c r="J120" s="48">
        <f t="shared" si="1231"/>
        <v>0</v>
      </c>
      <c r="K120" s="51">
        <f t="shared" si="1232"/>
        <v>0</v>
      </c>
      <c r="L120" s="48">
        <f t="shared" si="1233"/>
        <v>0</v>
      </c>
      <c r="M120" s="51">
        <f t="shared" si="1234"/>
        <v>0</v>
      </c>
      <c r="N120" s="48">
        <f t="shared" si="1235"/>
        <v>0</v>
      </c>
      <c r="O120" s="51">
        <f t="shared" si="1236"/>
        <v>0</v>
      </c>
      <c r="P120" s="52">
        <f t="shared" si="1237"/>
        <v>0</v>
      </c>
      <c r="Q120" s="51">
        <f t="shared" si="1238"/>
        <v>0</v>
      </c>
      <c r="R120" s="48">
        <f t="shared" si="1239"/>
        <v>0</v>
      </c>
      <c r="S120" s="51">
        <f t="shared" si="1240"/>
        <v>0</v>
      </c>
      <c r="T120" s="52">
        <f t="shared" si="1241"/>
        <v>0</v>
      </c>
      <c r="U120" s="51">
        <f t="shared" si="1242"/>
        <v>0</v>
      </c>
      <c r="V120" s="53">
        <f t="shared" si="1243"/>
        <v>0</v>
      </c>
      <c r="W120" s="51">
        <f t="shared" si="1244"/>
        <v>0</v>
      </c>
      <c r="X120" s="52">
        <f t="shared" si="1245"/>
        <v>0</v>
      </c>
      <c r="Y120" s="51">
        <f t="shared" si="1246"/>
        <v>0</v>
      </c>
      <c r="Z120" s="48">
        <f t="shared" si="1247"/>
        <v>0</v>
      </c>
      <c r="AA120" s="51">
        <f t="shared" si="1248"/>
        <v>0</v>
      </c>
      <c r="AB120" s="53">
        <f t="shared" si="1249"/>
        <v>0</v>
      </c>
      <c r="AC120" s="51">
        <f t="shared" si="1250"/>
        <v>0</v>
      </c>
      <c r="AD120" s="53">
        <f t="shared" si="1251"/>
        <v>0</v>
      </c>
      <c r="AE120" s="51">
        <f t="shared" si="1252"/>
        <v>0</v>
      </c>
      <c r="AF120" s="53">
        <f t="shared" si="1253"/>
        <v>0</v>
      </c>
      <c r="AG120" s="51">
        <f t="shared" si="1254"/>
        <v>0</v>
      </c>
      <c r="AH120" s="48">
        <f t="shared" si="1255"/>
        <v>0</v>
      </c>
      <c r="AI120" s="51">
        <f t="shared" si="1256"/>
        <v>0</v>
      </c>
      <c r="AJ120" s="53">
        <f t="shared" si="1257"/>
        <v>0</v>
      </c>
      <c r="AK120" s="51">
        <f t="shared" si="1258"/>
        <v>0</v>
      </c>
      <c r="AL120" s="53">
        <f t="shared" si="1259"/>
        <v>0</v>
      </c>
      <c r="AM120" s="51">
        <f t="shared" si="1260"/>
        <v>0</v>
      </c>
      <c r="AN120" s="53">
        <f t="shared" si="1261"/>
        <v>0</v>
      </c>
      <c r="AO120" s="51">
        <f t="shared" si="1262"/>
        <v>0</v>
      </c>
      <c r="AP120" s="53">
        <f t="shared" si="1263"/>
        <v>0</v>
      </c>
      <c r="AQ120" s="51">
        <f t="shared" si="1264"/>
        <v>0</v>
      </c>
      <c r="AR120" s="48">
        <f t="shared" si="1265"/>
        <v>0</v>
      </c>
      <c r="AS120" s="51">
        <f t="shared" si="1266"/>
        <v>0</v>
      </c>
      <c r="AT120" s="53">
        <f t="shared" si="1267"/>
        <v>0</v>
      </c>
      <c r="AU120" s="51">
        <f t="shared" si="1268"/>
        <v>0</v>
      </c>
      <c r="AV120" s="53">
        <f t="shared" si="1269"/>
        <v>0</v>
      </c>
      <c r="AW120" s="51">
        <f t="shared" si="1270"/>
        <v>0</v>
      </c>
      <c r="AX120" s="48">
        <f t="shared" si="1271"/>
        <v>0</v>
      </c>
      <c r="AY120" s="51">
        <f t="shared" si="1272"/>
        <v>0</v>
      </c>
      <c r="BB120" s="48">
        <v>1</v>
      </c>
      <c r="BC120" s="48">
        <v>0.97</v>
      </c>
      <c r="BD120" s="48">
        <v>0.95</v>
      </c>
      <c r="BE120" s="48">
        <v>0.93</v>
      </c>
      <c r="BF120" s="48">
        <f t="shared" ref="BF120:BW120" si="1377">+BE120-0.02</f>
        <v>0.91</v>
      </c>
      <c r="BG120" s="48">
        <f t="shared" si="1377"/>
        <v>0.89</v>
      </c>
      <c r="BH120" s="48">
        <f t="shared" si="1377"/>
        <v>0.87</v>
      </c>
      <c r="BI120" s="48">
        <f t="shared" si="1377"/>
        <v>0.85</v>
      </c>
      <c r="BJ120" s="48">
        <f t="shared" si="1377"/>
        <v>0.83</v>
      </c>
      <c r="BK120" s="48">
        <f t="shared" si="1377"/>
        <v>0.80999999999999994</v>
      </c>
      <c r="BL120" s="48">
        <f t="shared" si="1377"/>
        <v>0.78999999999999992</v>
      </c>
      <c r="BM120" s="48">
        <f t="shared" si="1377"/>
        <v>0.76999999999999991</v>
      </c>
      <c r="BN120" s="48">
        <f t="shared" si="1377"/>
        <v>0.74999999999999989</v>
      </c>
      <c r="BO120" s="48">
        <f t="shared" si="1377"/>
        <v>0.72999999999999987</v>
      </c>
      <c r="BP120" s="48">
        <f t="shared" si="1377"/>
        <v>0.70999999999999985</v>
      </c>
      <c r="BQ120" s="48">
        <f t="shared" si="1377"/>
        <v>0.68999999999999984</v>
      </c>
      <c r="BR120" s="48">
        <f t="shared" si="1377"/>
        <v>0.66999999999999982</v>
      </c>
      <c r="BS120" s="48">
        <f t="shared" si="1377"/>
        <v>0.6499999999999998</v>
      </c>
      <c r="BT120" s="48">
        <f t="shared" si="1377"/>
        <v>0.62999999999999978</v>
      </c>
      <c r="BU120" s="48">
        <f t="shared" si="1377"/>
        <v>0.60999999999999976</v>
      </c>
      <c r="BV120" s="48">
        <f t="shared" si="1377"/>
        <v>0.58999999999999975</v>
      </c>
      <c r="BW120" s="48">
        <f t="shared" si="1377"/>
        <v>0.56999999999999973</v>
      </c>
      <c r="BY120" s="48">
        <f t="shared" si="952"/>
        <v>0</v>
      </c>
      <c r="BZ120" s="48">
        <f t="shared" si="953"/>
        <v>0</v>
      </c>
      <c r="CA120" s="51">
        <f t="shared" ref="CA120" si="1378">+BZ120*3.3058</f>
        <v>0</v>
      </c>
      <c r="CB120" s="48">
        <f t="shared" si="1275"/>
        <v>0</v>
      </c>
      <c r="CC120" s="51">
        <f t="shared" si="1276"/>
        <v>0</v>
      </c>
      <c r="CD120" s="48">
        <f t="shared" si="1277"/>
        <v>0</v>
      </c>
      <c r="CE120" s="51">
        <f t="shared" si="1278"/>
        <v>0</v>
      </c>
      <c r="CF120" s="48">
        <f t="shared" si="1279"/>
        <v>0</v>
      </c>
      <c r="CG120" s="51">
        <f t="shared" si="1280"/>
        <v>0</v>
      </c>
      <c r="CH120" s="52">
        <f t="shared" si="1281"/>
        <v>0</v>
      </c>
      <c r="CI120" s="51">
        <f t="shared" si="1282"/>
        <v>0</v>
      </c>
      <c r="CJ120" s="48">
        <f t="shared" si="1283"/>
        <v>0</v>
      </c>
      <c r="CK120" s="51">
        <f t="shared" si="1284"/>
        <v>0</v>
      </c>
      <c r="CL120" s="52">
        <f t="shared" si="1285"/>
        <v>0</v>
      </c>
      <c r="CM120" s="51">
        <f t="shared" si="1286"/>
        <v>0</v>
      </c>
      <c r="CN120" s="53">
        <f t="shared" si="1287"/>
        <v>0</v>
      </c>
      <c r="CO120" s="51">
        <f t="shared" si="1288"/>
        <v>0</v>
      </c>
      <c r="CP120" s="52">
        <f t="shared" si="1289"/>
        <v>0</v>
      </c>
      <c r="CQ120" s="51">
        <f t="shared" si="1290"/>
        <v>0</v>
      </c>
      <c r="CR120" s="48">
        <f t="shared" si="1291"/>
        <v>0</v>
      </c>
      <c r="CS120" s="51">
        <f t="shared" si="1292"/>
        <v>0</v>
      </c>
      <c r="CT120" s="53">
        <f t="shared" si="1293"/>
        <v>0</v>
      </c>
      <c r="CU120" s="51">
        <f t="shared" si="1294"/>
        <v>0</v>
      </c>
      <c r="CV120" s="53">
        <f t="shared" si="1295"/>
        <v>0</v>
      </c>
      <c r="CW120" s="51">
        <f t="shared" si="1296"/>
        <v>0</v>
      </c>
      <c r="CX120" s="53">
        <f t="shared" si="1297"/>
        <v>0</v>
      </c>
      <c r="CY120" s="51">
        <f t="shared" si="1298"/>
        <v>0</v>
      </c>
      <c r="CZ120" s="48">
        <f t="shared" si="1299"/>
        <v>0</v>
      </c>
      <c r="DA120" s="51">
        <f t="shared" si="1300"/>
        <v>0</v>
      </c>
      <c r="DB120" s="53">
        <f t="shared" si="1301"/>
        <v>0</v>
      </c>
      <c r="DC120" s="51">
        <f t="shared" si="1302"/>
        <v>0</v>
      </c>
      <c r="DD120" s="53">
        <f t="shared" si="1303"/>
        <v>0</v>
      </c>
      <c r="DE120" s="51">
        <f t="shared" si="1304"/>
        <v>0</v>
      </c>
      <c r="DF120" s="53">
        <f t="shared" si="1305"/>
        <v>0</v>
      </c>
      <c r="DG120" s="51">
        <f t="shared" si="1306"/>
        <v>0</v>
      </c>
      <c r="DH120" s="53">
        <f t="shared" si="1307"/>
        <v>0</v>
      </c>
      <c r="DI120" s="51">
        <f t="shared" si="1308"/>
        <v>0</v>
      </c>
      <c r="DJ120" s="48">
        <f t="shared" si="1309"/>
        <v>0</v>
      </c>
      <c r="DK120" s="51">
        <f t="shared" si="1310"/>
        <v>0</v>
      </c>
      <c r="DL120" s="53">
        <f t="shared" si="1311"/>
        <v>0</v>
      </c>
      <c r="DM120" s="51">
        <f t="shared" si="1312"/>
        <v>0</v>
      </c>
      <c r="DN120" s="53">
        <f t="shared" si="1313"/>
        <v>0</v>
      </c>
      <c r="DO120" s="51">
        <f t="shared" si="1314"/>
        <v>0</v>
      </c>
      <c r="DP120" s="48">
        <f t="shared" si="1315"/>
        <v>0</v>
      </c>
      <c r="DQ120" s="51">
        <f t="shared" si="1316"/>
        <v>0</v>
      </c>
      <c r="DT120" s="48">
        <v>1</v>
      </c>
      <c r="DU120" s="48">
        <v>0.97</v>
      </c>
      <c r="DV120" s="48">
        <v>0.95</v>
      </c>
      <c r="DW120" s="48">
        <v>0.93</v>
      </c>
      <c r="DX120" s="48">
        <f t="shared" ref="DX120:EO120" si="1379">+DW120-0.02</f>
        <v>0.91</v>
      </c>
      <c r="DY120" s="48">
        <f t="shared" si="1379"/>
        <v>0.89</v>
      </c>
      <c r="DZ120" s="48">
        <f t="shared" si="1379"/>
        <v>0.87</v>
      </c>
      <c r="EA120" s="48">
        <f t="shared" si="1379"/>
        <v>0.85</v>
      </c>
      <c r="EB120" s="48">
        <f t="shared" si="1379"/>
        <v>0.83</v>
      </c>
      <c r="EC120" s="48">
        <f t="shared" si="1379"/>
        <v>0.80999999999999994</v>
      </c>
      <c r="ED120" s="48">
        <f t="shared" si="1379"/>
        <v>0.78999999999999992</v>
      </c>
      <c r="EE120" s="48">
        <f t="shared" si="1379"/>
        <v>0.76999999999999991</v>
      </c>
      <c r="EF120" s="48">
        <f t="shared" si="1379"/>
        <v>0.74999999999999989</v>
      </c>
      <c r="EG120" s="48">
        <f t="shared" si="1379"/>
        <v>0.72999999999999987</v>
      </c>
      <c r="EH120" s="48">
        <f t="shared" si="1379"/>
        <v>0.70999999999999985</v>
      </c>
      <c r="EI120" s="48">
        <f t="shared" si="1379"/>
        <v>0.68999999999999984</v>
      </c>
      <c r="EJ120" s="48">
        <f t="shared" si="1379"/>
        <v>0.66999999999999982</v>
      </c>
      <c r="EK120" s="48">
        <f t="shared" si="1379"/>
        <v>0.6499999999999998</v>
      </c>
      <c r="EL120" s="48">
        <f t="shared" si="1379"/>
        <v>0.62999999999999978</v>
      </c>
      <c r="EM120" s="48">
        <f t="shared" si="1379"/>
        <v>0.60999999999999976</v>
      </c>
      <c r="EN120" s="48">
        <f t="shared" si="1379"/>
        <v>0.58999999999999975</v>
      </c>
      <c r="EO120" s="48">
        <f t="shared" si="1379"/>
        <v>0.56999999999999973</v>
      </c>
      <c r="EQ120" s="48">
        <f t="shared" si="1128"/>
        <v>0</v>
      </c>
      <c r="ER120" s="48">
        <f t="shared" si="956"/>
        <v>0</v>
      </c>
      <c r="ES120" s="51">
        <f t="shared" ref="ES120" si="1380">+ER120*3.3058</f>
        <v>0</v>
      </c>
      <c r="ET120" s="48">
        <f t="shared" si="1319"/>
        <v>0</v>
      </c>
      <c r="EU120" s="51">
        <f t="shared" si="1320"/>
        <v>0</v>
      </c>
      <c r="EV120" s="48">
        <f t="shared" si="1321"/>
        <v>0</v>
      </c>
      <c r="EW120" s="51">
        <f t="shared" si="1322"/>
        <v>0</v>
      </c>
      <c r="EX120" s="48">
        <f t="shared" si="1323"/>
        <v>0</v>
      </c>
      <c r="EY120" s="51">
        <f t="shared" si="1324"/>
        <v>0</v>
      </c>
      <c r="EZ120" s="52">
        <f t="shared" si="1325"/>
        <v>0</v>
      </c>
      <c r="FA120" s="51">
        <f t="shared" si="1326"/>
        <v>0</v>
      </c>
      <c r="FB120" s="48">
        <f t="shared" si="1327"/>
        <v>0</v>
      </c>
      <c r="FC120" s="51">
        <f t="shared" si="1328"/>
        <v>0</v>
      </c>
      <c r="FD120" s="52">
        <f t="shared" si="1329"/>
        <v>0</v>
      </c>
      <c r="FE120" s="51">
        <f t="shared" si="1330"/>
        <v>0</v>
      </c>
      <c r="FF120" s="53">
        <f t="shared" si="1331"/>
        <v>0</v>
      </c>
      <c r="FG120" s="51">
        <f t="shared" si="1332"/>
        <v>0</v>
      </c>
      <c r="FH120" s="52">
        <f t="shared" si="1333"/>
        <v>0</v>
      </c>
      <c r="FI120" s="51">
        <f t="shared" si="1334"/>
        <v>0</v>
      </c>
      <c r="FJ120" s="48">
        <f t="shared" si="1335"/>
        <v>0</v>
      </c>
      <c r="FK120" s="51">
        <f t="shared" si="1336"/>
        <v>0</v>
      </c>
      <c r="FL120" s="53">
        <f t="shared" si="1337"/>
        <v>0</v>
      </c>
      <c r="FM120" s="51">
        <f t="shared" si="1338"/>
        <v>0</v>
      </c>
      <c r="FN120" s="53">
        <f t="shared" si="1339"/>
        <v>0</v>
      </c>
      <c r="FO120" s="51">
        <f t="shared" si="1340"/>
        <v>0</v>
      </c>
      <c r="FP120" s="53">
        <f t="shared" si="1341"/>
        <v>0</v>
      </c>
      <c r="FQ120" s="51">
        <f t="shared" si="1342"/>
        <v>0</v>
      </c>
      <c r="FR120" s="48">
        <f t="shared" si="1343"/>
        <v>0</v>
      </c>
      <c r="FS120" s="51">
        <f t="shared" si="1344"/>
        <v>0</v>
      </c>
      <c r="FT120" s="53">
        <f t="shared" si="1345"/>
        <v>0</v>
      </c>
      <c r="FU120" s="51">
        <f t="shared" si="1346"/>
        <v>0</v>
      </c>
      <c r="FV120" s="53">
        <f t="shared" si="1347"/>
        <v>0</v>
      </c>
      <c r="FW120" s="51">
        <f t="shared" si="1348"/>
        <v>0</v>
      </c>
      <c r="FX120" s="53">
        <f t="shared" si="1349"/>
        <v>0</v>
      </c>
      <c r="FY120" s="51">
        <f t="shared" si="1350"/>
        <v>0</v>
      </c>
      <c r="FZ120" s="53">
        <f t="shared" si="1351"/>
        <v>0</v>
      </c>
      <c r="GA120" s="51">
        <f t="shared" si="1352"/>
        <v>0</v>
      </c>
      <c r="GB120" s="48">
        <f t="shared" si="1353"/>
        <v>0</v>
      </c>
      <c r="GC120" s="51">
        <f t="shared" si="1354"/>
        <v>0</v>
      </c>
      <c r="GD120" s="53">
        <f t="shared" si="1355"/>
        <v>0</v>
      </c>
      <c r="GE120" s="51">
        <f t="shared" si="1356"/>
        <v>0</v>
      </c>
      <c r="GF120" s="53">
        <f t="shared" si="1357"/>
        <v>0</v>
      </c>
      <c r="GG120" s="51">
        <f t="shared" si="1358"/>
        <v>0</v>
      </c>
      <c r="GH120" s="48">
        <f t="shared" si="1359"/>
        <v>0</v>
      </c>
      <c r="GI120" s="51">
        <f t="shared" si="1360"/>
        <v>0</v>
      </c>
      <c r="GJ120" s="48"/>
      <c r="GK120" s="48"/>
      <c r="GL120" s="48">
        <v>1</v>
      </c>
      <c r="GM120" s="48">
        <v>0.97</v>
      </c>
      <c r="GN120" s="48">
        <v>0.95</v>
      </c>
      <c r="GO120" s="48">
        <v>0.93</v>
      </c>
      <c r="GP120" s="48">
        <f t="shared" ref="GP120:HG120" si="1381">+GO120-0.02</f>
        <v>0.91</v>
      </c>
      <c r="GQ120" s="48">
        <f t="shared" si="1381"/>
        <v>0.89</v>
      </c>
      <c r="GR120" s="48">
        <f t="shared" si="1381"/>
        <v>0.87</v>
      </c>
      <c r="GS120" s="48">
        <f t="shared" si="1381"/>
        <v>0.85</v>
      </c>
      <c r="GT120" s="48">
        <f t="shared" si="1381"/>
        <v>0.83</v>
      </c>
      <c r="GU120" s="48">
        <f t="shared" si="1381"/>
        <v>0.80999999999999994</v>
      </c>
      <c r="GV120" s="48">
        <f t="shared" si="1381"/>
        <v>0.78999999999999992</v>
      </c>
      <c r="GW120" s="48">
        <f t="shared" si="1381"/>
        <v>0.76999999999999991</v>
      </c>
      <c r="GX120" s="48">
        <f t="shared" si="1381"/>
        <v>0.74999999999999989</v>
      </c>
      <c r="GY120" s="48">
        <f t="shared" si="1381"/>
        <v>0.72999999999999987</v>
      </c>
      <c r="GZ120" s="48">
        <f t="shared" si="1381"/>
        <v>0.70999999999999985</v>
      </c>
      <c r="HA120" s="48">
        <f t="shared" si="1381"/>
        <v>0.68999999999999984</v>
      </c>
      <c r="HB120" s="48">
        <f t="shared" si="1381"/>
        <v>0.66999999999999982</v>
      </c>
      <c r="HC120" s="48">
        <f t="shared" si="1381"/>
        <v>0.6499999999999998</v>
      </c>
      <c r="HD120" s="48">
        <f t="shared" si="1381"/>
        <v>0.62999999999999978</v>
      </c>
      <c r="HE120" s="48">
        <f t="shared" si="1381"/>
        <v>0.60999999999999976</v>
      </c>
      <c r="HF120" s="48">
        <f t="shared" si="1381"/>
        <v>0.58999999999999975</v>
      </c>
      <c r="HG120" s="48">
        <f t="shared" si="1381"/>
        <v>0.56999999999999973</v>
      </c>
    </row>
    <row r="121" spans="1:215" x14ac:dyDescent="0.3">
      <c r="A121" s="2">
        <v>6</v>
      </c>
      <c r="C121" s="29" t="s">
        <v>185</v>
      </c>
      <c r="D121" s="44">
        <f>TRUNC(4580.45350741674,-1)</f>
        <v>4580</v>
      </c>
      <c r="E121" s="73">
        <f t="shared" si="1230"/>
        <v>15140</v>
      </c>
      <c r="G121" s="48">
        <f t="shared" si="948"/>
        <v>5038</v>
      </c>
      <c r="H121" s="48">
        <f t="shared" si="949"/>
        <v>5038</v>
      </c>
      <c r="I121" s="51">
        <f t="shared" si="950"/>
        <v>16654.6204</v>
      </c>
      <c r="J121" s="48">
        <f t="shared" si="1231"/>
        <v>4886.8599999999997</v>
      </c>
      <c r="K121" s="51">
        <f t="shared" si="1232"/>
        <v>16154.981787999999</v>
      </c>
      <c r="L121" s="48">
        <f t="shared" si="1233"/>
        <v>4786.0999999999995</v>
      </c>
      <c r="M121" s="51">
        <f t="shared" si="1234"/>
        <v>15821.889379999999</v>
      </c>
      <c r="N121" s="48">
        <f t="shared" si="1235"/>
        <v>4685.34</v>
      </c>
      <c r="O121" s="51">
        <f t="shared" si="1236"/>
        <v>15488.796972</v>
      </c>
      <c r="P121" s="52">
        <f t="shared" si="1237"/>
        <v>4584.58</v>
      </c>
      <c r="Q121" s="51">
        <f t="shared" si="1238"/>
        <v>15155.704564</v>
      </c>
      <c r="R121" s="48">
        <f t="shared" si="1239"/>
        <v>4483.82</v>
      </c>
      <c r="S121" s="51">
        <f t="shared" si="1240"/>
        <v>14822.612155999999</v>
      </c>
      <c r="T121" s="52">
        <f t="shared" si="1241"/>
        <v>4383.0600000000004</v>
      </c>
      <c r="U121" s="51">
        <f t="shared" si="1242"/>
        <v>14489.519748000002</v>
      </c>
      <c r="V121" s="53">
        <f t="shared" si="1243"/>
        <v>4282.3</v>
      </c>
      <c r="W121" s="51">
        <f t="shared" si="1244"/>
        <v>14156.42734</v>
      </c>
      <c r="X121" s="52">
        <f t="shared" si="1245"/>
        <v>4181.54</v>
      </c>
      <c r="Y121" s="51">
        <f t="shared" si="1246"/>
        <v>13823.334932</v>
      </c>
      <c r="Z121" s="48">
        <f t="shared" si="1247"/>
        <v>4080.7799999999997</v>
      </c>
      <c r="AA121" s="51">
        <f t="shared" si="1248"/>
        <v>13490.242523999999</v>
      </c>
      <c r="AB121" s="53">
        <f t="shared" si="1249"/>
        <v>3980.0199999999995</v>
      </c>
      <c r="AC121" s="51">
        <f t="shared" si="1250"/>
        <v>13157.150115999999</v>
      </c>
      <c r="AD121" s="53">
        <f t="shared" si="1251"/>
        <v>3879.2599999999993</v>
      </c>
      <c r="AE121" s="51">
        <f t="shared" si="1252"/>
        <v>12824.057707999998</v>
      </c>
      <c r="AF121" s="53">
        <f t="shared" si="1253"/>
        <v>3778.4999999999995</v>
      </c>
      <c r="AG121" s="51">
        <f t="shared" si="1254"/>
        <v>12490.965299999998</v>
      </c>
      <c r="AH121" s="48">
        <f t="shared" si="1255"/>
        <v>3677.7399999999993</v>
      </c>
      <c r="AI121" s="51">
        <f t="shared" si="1256"/>
        <v>12157.872891999998</v>
      </c>
      <c r="AJ121" s="53">
        <f t="shared" si="1257"/>
        <v>3576.9799999999991</v>
      </c>
      <c r="AK121" s="51">
        <f t="shared" si="1258"/>
        <v>11824.780483999997</v>
      </c>
      <c r="AL121" s="53">
        <f t="shared" si="1259"/>
        <v>3476.2199999999993</v>
      </c>
      <c r="AM121" s="51">
        <f t="shared" si="1260"/>
        <v>11491.688075999999</v>
      </c>
      <c r="AN121" s="53">
        <f t="shared" si="1261"/>
        <v>3375.4599999999991</v>
      </c>
      <c r="AO121" s="51">
        <f t="shared" si="1262"/>
        <v>11158.595667999998</v>
      </c>
      <c r="AP121" s="53">
        <f t="shared" si="1263"/>
        <v>3274.6999999999989</v>
      </c>
      <c r="AQ121" s="51">
        <f t="shared" si="1264"/>
        <v>10825.503259999996</v>
      </c>
      <c r="AR121" s="48">
        <f t="shared" si="1265"/>
        <v>3173.9399999999987</v>
      </c>
      <c r="AS121" s="51">
        <f t="shared" si="1266"/>
        <v>10492.410851999995</v>
      </c>
      <c r="AT121" s="53">
        <f t="shared" si="1267"/>
        <v>3073.1799999999989</v>
      </c>
      <c r="AU121" s="51">
        <f t="shared" si="1268"/>
        <v>10159.318443999997</v>
      </c>
      <c r="AV121" s="53">
        <f t="shared" si="1269"/>
        <v>2972.4199999999987</v>
      </c>
      <c r="AW121" s="51">
        <f t="shared" si="1270"/>
        <v>9826.2260359999964</v>
      </c>
      <c r="AX121" s="48">
        <f t="shared" si="1271"/>
        <v>2871.6599999999985</v>
      </c>
      <c r="AY121" s="51">
        <f t="shared" si="1272"/>
        <v>9493.133627999996</v>
      </c>
      <c r="BB121" s="48">
        <v>1</v>
      </c>
      <c r="BC121" s="48">
        <v>0.97</v>
      </c>
      <c r="BD121" s="48">
        <v>0.95</v>
      </c>
      <c r="BE121" s="48">
        <v>0.93</v>
      </c>
      <c r="BF121" s="48">
        <f t="shared" ref="BF121:BW121" si="1382">+BE121-0.02</f>
        <v>0.91</v>
      </c>
      <c r="BG121" s="48">
        <f t="shared" si="1382"/>
        <v>0.89</v>
      </c>
      <c r="BH121" s="48">
        <f t="shared" si="1382"/>
        <v>0.87</v>
      </c>
      <c r="BI121" s="48">
        <f t="shared" si="1382"/>
        <v>0.85</v>
      </c>
      <c r="BJ121" s="48">
        <f t="shared" si="1382"/>
        <v>0.83</v>
      </c>
      <c r="BK121" s="48">
        <f t="shared" si="1382"/>
        <v>0.80999999999999994</v>
      </c>
      <c r="BL121" s="48">
        <f t="shared" si="1382"/>
        <v>0.78999999999999992</v>
      </c>
      <c r="BM121" s="48">
        <f t="shared" si="1382"/>
        <v>0.76999999999999991</v>
      </c>
      <c r="BN121" s="48">
        <f t="shared" si="1382"/>
        <v>0.74999999999999989</v>
      </c>
      <c r="BO121" s="48">
        <f t="shared" si="1382"/>
        <v>0.72999999999999987</v>
      </c>
      <c r="BP121" s="48">
        <f t="shared" si="1382"/>
        <v>0.70999999999999985</v>
      </c>
      <c r="BQ121" s="48">
        <f t="shared" si="1382"/>
        <v>0.68999999999999984</v>
      </c>
      <c r="BR121" s="48">
        <f t="shared" si="1382"/>
        <v>0.66999999999999982</v>
      </c>
      <c r="BS121" s="48">
        <f t="shared" si="1382"/>
        <v>0.6499999999999998</v>
      </c>
      <c r="BT121" s="48">
        <f t="shared" si="1382"/>
        <v>0.62999999999999978</v>
      </c>
      <c r="BU121" s="48">
        <f t="shared" si="1382"/>
        <v>0.60999999999999976</v>
      </c>
      <c r="BV121" s="48">
        <f t="shared" si="1382"/>
        <v>0.58999999999999975</v>
      </c>
      <c r="BW121" s="48">
        <f t="shared" si="1382"/>
        <v>0.56999999999999973</v>
      </c>
      <c r="BY121" s="48">
        <f t="shared" si="952"/>
        <v>4584.58</v>
      </c>
      <c r="BZ121" s="48">
        <f t="shared" si="953"/>
        <v>4584.58</v>
      </c>
      <c r="CA121" s="51">
        <f t="shared" ref="CA121" si="1383">+BZ121*3.3058</f>
        <v>15155.704564</v>
      </c>
      <c r="CB121" s="48">
        <f t="shared" si="1275"/>
        <v>4447.0425999999998</v>
      </c>
      <c r="CC121" s="51">
        <f t="shared" si="1276"/>
        <v>14701.033427079999</v>
      </c>
      <c r="CD121" s="48">
        <f t="shared" si="1277"/>
        <v>4355.3509999999997</v>
      </c>
      <c r="CE121" s="51">
        <f t="shared" si="1278"/>
        <v>14397.919335799999</v>
      </c>
      <c r="CF121" s="48">
        <f t="shared" si="1279"/>
        <v>4263.6594000000005</v>
      </c>
      <c r="CG121" s="51">
        <f t="shared" si="1280"/>
        <v>14094.805244520001</v>
      </c>
      <c r="CH121" s="52">
        <f t="shared" si="1281"/>
        <v>4171.9678000000004</v>
      </c>
      <c r="CI121" s="51">
        <f t="shared" si="1282"/>
        <v>13791.691153240001</v>
      </c>
      <c r="CJ121" s="48">
        <f t="shared" si="1283"/>
        <v>4080.2761999999998</v>
      </c>
      <c r="CK121" s="51">
        <f t="shared" si="1284"/>
        <v>13488.577061959999</v>
      </c>
      <c r="CL121" s="52">
        <f t="shared" si="1285"/>
        <v>3988.5846000000001</v>
      </c>
      <c r="CM121" s="51">
        <f t="shared" si="1286"/>
        <v>13185.462970680001</v>
      </c>
      <c r="CN121" s="53">
        <f t="shared" si="1287"/>
        <v>3896.893</v>
      </c>
      <c r="CO121" s="51">
        <f t="shared" si="1288"/>
        <v>12882.3488794</v>
      </c>
      <c r="CP121" s="52">
        <f t="shared" si="1289"/>
        <v>3805.2013999999999</v>
      </c>
      <c r="CQ121" s="51">
        <f t="shared" si="1290"/>
        <v>12579.23478812</v>
      </c>
      <c r="CR121" s="48">
        <f t="shared" si="1291"/>
        <v>3713.5097999999998</v>
      </c>
      <c r="CS121" s="51">
        <f t="shared" si="1292"/>
        <v>12276.12069684</v>
      </c>
      <c r="CT121" s="53">
        <f t="shared" si="1293"/>
        <v>3621.8181999999997</v>
      </c>
      <c r="CU121" s="51">
        <f t="shared" si="1294"/>
        <v>11973.00660556</v>
      </c>
      <c r="CV121" s="53">
        <f t="shared" si="1295"/>
        <v>3530.1265999999996</v>
      </c>
      <c r="CW121" s="51">
        <f t="shared" si="1296"/>
        <v>11669.892514279998</v>
      </c>
      <c r="CX121" s="53">
        <f t="shared" si="1297"/>
        <v>3438.4349999999995</v>
      </c>
      <c r="CY121" s="51">
        <f t="shared" si="1298"/>
        <v>11366.778422999998</v>
      </c>
      <c r="CZ121" s="48">
        <f t="shared" si="1299"/>
        <v>3346.7433999999994</v>
      </c>
      <c r="DA121" s="51">
        <f t="shared" si="1300"/>
        <v>11063.664331719998</v>
      </c>
      <c r="DB121" s="53">
        <f t="shared" si="1301"/>
        <v>3255.0517999999993</v>
      </c>
      <c r="DC121" s="51">
        <f t="shared" si="1302"/>
        <v>10760.550240439998</v>
      </c>
      <c r="DD121" s="53">
        <f t="shared" si="1303"/>
        <v>3163.3601999999992</v>
      </c>
      <c r="DE121" s="51">
        <f t="shared" si="1304"/>
        <v>10457.436149159998</v>
      </c>
      <c r="DF121" s="53">
        <f t="shared" si="1305"/>
        <v>3071.6685999999991</v>
      </c>
      <c r="DG121" s="51">
        <f t="shared" si="1306"/>
        <v>10154.322057879997</v>
      </c>
      <c r="DH121" s="53">
        <f t="shared" si="1307"/>
        <v>2979.976999999999</v>
      </c>
      <c r="DI121" s="51">
        <f t="shared" si="1308"/>
        <v>9851.2079665999972</v>
      </c>
      <c r="DJ121" s="48">
        <f t="shared" si="1309"/>
        <v>2888.2853999999988</v>
      </c>
      <c r="DK121" s="51">
        <f t="shared" si="1310"/>
        <v>9548.0938753199971</v>
      </c>
      <c r="DL121" s="53">
        <f t="shared" si="1311"/>
        <v>2796.5937999999987</v>
      </c>
      <c r="DM121" s="51">
        <f t="shared" si="1312"/>
        <v>9244.9797840399951</v>
      </c>
      <c r="DN121" s="53">
        <f t="shared" si="1313"/>
        <v>2704.9021999999986</v>
      </c>
      <c r="DO121" s="51">
        <f t="shared" si="1314"/>
        <v>8941.865692759995</v>
      </c>
      <c r="DP121" s="48">
        <f t="shared" si="1315"/>
        <v>2613.2105999999985</v>
      </c>
      <c r="DQ121" s="51">
        <f t="shared" si="1316"/>
        <v>8638.7516014799949</v>
      </c>
      <c r="DT121" s="48">
        <v>1</v>
      </c>
      <c r="DU121" s="48">
        <v>0.97</v>
      </c>
      <c r="DV121" s="48">
        <v>0.95</v>
      </c>
      <c r="DW121" s="48">
        <v>0.93</v>
      </c>
      <c r="DX121" s="48">
        <f t="shared" ref="DX121:EO121" si="1384">+DW121-0.02</f>
        <v>0.91</v>
      </c>
      <c r="DY121" s="48">
        <f t="shared" si="1384"/>
        <v>0.89</v>
      </c>
      <c r="DZ121" s="48">
        <f t="shared" si="1384"/>
        <v>0.87</v>
      </c>
      <c r="EA121" s="48">
        <f t="shared" si="1384"/>
        <v>0.85</v>
      </c>
      <c r="EB121" s="48">
        <f t="shared" si="1384"/>
        <v>0.83</v>
      </c>
      <c r="EC121" s="48">
        <f t="shared" si="1384"/>
        <v>0.80999999999999994</v>
      </c>
      <c r="ED121" s="48">
        <f t="shared" si="1384"/>
        <v>0.78999999999999992</v>
      </c>
      <c r="EE121" s="48">
        <f t="shared" si="1384"/>
        <v>0.76999999999999991</v>
      </c>
      <c r="EF121" s="48">
        <f t="shared" si="1384"/>
        <v>0.74999999999999989</v>
      </c>
      <c r="EG121" s="48">
        <f t="shared" si="1384"/>
        <v>0.72999999999999987</v>
      </c>
      <c r="EH121" s="48">
        <f t="shared" si="1384"/>
        <v>0.70999999999999985</v>
      </c>
      <c r="EI121" s="48">
        <f t="shared" si="1384"/>
        <v>0.68999999999999984</v>
      </c>
      <c r="EJ121" s="48">
        <f t="shared" si="1384"/>
        <v>0.66999999999999982</v>
      </c>
      <c r="EK121" s="48">
        <f t="shared" si="1384"/>
        <v>0.6499999999999998</v>
      </c>
      <c r="EL121" s="48">
        <f t="shared" si="1384"/>
        <v>0.62999999999999978</v>
      </c>
      <c r="EM121" s="48">
        <f t="shared" si="1384"/>
        <v>0.60999999999999976</v>
      </c>
      <c r="EN121" s="48">
        <f t="shared" si="1384"/>
        <v>0.58999999999999975</v>
      </c>
      <c r="EO121" s="48">
        <f t="shared" si="1384"/>
        <v>0.56999999999999973</v>
      </c>
      <c r="EQ121" s="48">
        <f t="shared" si="1128"/>
        <v>4171.9678000000004</v>
      </c>
      <c r="ER121" s="48">
        <f t="shared" si="956"/>
        <v>4171.9678000000004</v>
      </c>
      <c r="ES121" s="51">
        <f t="shared" ref="ES121" si="1385">+ER121*3.3058</f>
        <v>13791.691153240001</v>
      </c>
      <c r="ET121" s="48">
        <f t="shared" si="1319"/>
        <v>4046.8087660000001</v>
      </c>
      <c r="EU121" s="51">
        <f t="shared" si="1320"/>
        <v>13377.9404186428</v>
      </c>
      <c r="EV121" s="48">
        <f t="shared" si="1321"/>
        <v>3963.3694100000002</v>
      </c>
      <c r="EW121" s="51">
        <f t="shared" si="1322"/>
        <v>13102.106595578001</v>
      </c>
      <c r="EX121" s="48">
        <f t="shared" si="1323"/>
        <v>3879.9300540000004</v>
      </c>
      <c r="EY121" s="51">
        <f t="shared" si="1324"/>
        <v>12826.272772513201</v>
      </c>
      <c r="EZ121" s="52">
        <f t="shared" si="1325"/>
        <v>3796.4906980000005</v>
      </c>
      <c r="FA121" s="51">
        <f t="shared" si="1326"/>
        <v>12550.438949448402</v>
      </c>
      <c r="FB121" s="48">
        <f t="shared" si="1327"/>
        <v>3713.0513420000002</v>
      </c>
      <c r="FC121" s="51">
        <f t="shared" si="1328"/>
        <v>12274.605126383602</v>
      </c>
      <c r="FD121" s="52">
        <f t="shared" si="1329"/>
        <v>3629.6119860000003</v>
      </c>
      <c r="FE121" s="51">
        <f t="shared" si="1330"/>
        <v>11998.771303318801</v>
      </c>
      <c r="FF121" s="53">
        <f t="shared" si="1331"/>
        <v>3546.17263</v>
      </c>
      <c r="FG121" s="51">
        <f t="shared" si="1332"/>
        <v>11722.937480254001</v>
      </c>
      <c r="FH121" s="52">
        <f t="shared" si="1333"/>
        <v>3462.7332740000002</v>
      </c>
      <c r="FI121" s="51">
        <f t="shared" si="1334"/>
        <v>11447.1036571892</v>
      </c>
      <c r="FJ121" s="48">
        <f t="shared" si="1335"/>
        <v>3379.2939179999998</v>
      </c>
      <c r="FK121" s="51">
        <f t="shared" si="1336"/>
        <v>11171.269834124399</v>
      </c>
      <c r="FL121" s="53">
        <f t="shared" si="1337"/>
        <v>3295.854562</v>
      </c>
      <c r="FM121" s="51">
        <f t="shared" si="1338"/>
        <v>10895.436011059601</v>
      </c>
      <c r="FN121" s="53">
        <f t="shared" si="1339"/>
        <v>3212.4152059999997</v>
      </c>
      <c r="FO121" s="51">
        <f t="shared" si="1340"/>
        <v>10619.602187994798</v>
      </c>
      <c r="FP121" s="53">
        <f t="shared" si="1341"/>
        <v>3128.9758499999998</v>
      </c>
      <c r="FQ121" s="51">
        <f t="shared" si="1342"/>
        <v>10343.76836493</v>
      </c>
      <c r="FR121" s="48">
        <f t="shared" si="1343"/>
        <v>3045.5364939999995</v>
      </c>
      <c r="FS121" s="51">
        <f t="shared" si="1344"/>
        <v>10067.934541865199</v>
      </c>
      <c r="FT121" s="53">
        <f t="shared" si="1345"/>
        <v>2962.0971379999996</v>
      </c>
      <c r="FU121" s="51">
        <f t="shared" si="1346"/>
        <v>9792.1007188003987</v>
      </c>
      <c r="FV121" s="53">
        <f t="shared" si="1347"/>
        <v>2878.6577819999998</v>
      </c>
      <c r="FW121" s="51">
        <f t="shared" si="1348"/>
        <v>9516.2668957356</v>
      </c>
      <c r="FX121" s="53">
        <f t="shared" si="1349"/>
        <v>2795.2184259999995</v>
      </c>
      <c r="FY121" s="51">
        <f t="shared" si="1350"/>
        <v>9240.4330726707976</v>
      </c>
      <c r="FZ121" s="53">
        <f t="shared" si="1351"/>
        <v>2711.7790699999996</v>
      </c>
      <c r="GA121" s="51">
        <f t="shared" si="1352"/>
        <v>8964.5992496059989</v>
      </c>
      <c r="GB121" s="48">
        <f t="shared" si="1353"/>
        <v>2628.3397139999993</v>
      </c>
      <c r="GC121" s="51">
        <f t="shared" si="1354"/>
        <v>8688.7654265411984</v>
      </c>
      <c r="GD121" s="53">
        <f t="shared" si="1355"/>
        <v>2544.9003579999994</v>
      </c>
      <c r="GE121" s="51">
        <f t="shared" si="1356"/>
        <v>8412.9316034763979</v>
      </c>
      <c r="GF121" s="53">
        <f t="shared" si="1357"/>
        <v>2461.4610019999991</v>
      </c>
      <c r="GG121" s="51">
        <f t="shared" si="1358"/>
        <v>8137.0977804115973</v>
      </c>
      <c r="GH121" s="48">
        <f t="shared" si="1359"/>
        <v>2378.0216459999992</v>
      </c>
      <c r="GI121" s="51">
        <f t="shared" si="1360"/>
        <v>7861.2639573467977</v>
      </c>
      <c r="GJ121" s="48"/>
      <c r="GK121" s="48"/>
      <c r="GL121" s="48">
        <v>1</v>
      </c>
      <c r="GM121" s="48">
        <v>0.97</v>
      </c>
      <c r="GN121" s="48">
        <v>0.95</v>
      </c>
      <c r="GO121" s="48">
        <v>0.93</v>
      </c>
      <c r="GP121" s="48">
        <f t="shared" ref="GP121:HG121" si="1386">+GO121-0.02</f>
        <v>0.91</v>
      </c>
      <c r="GQ121" s="48">
        <f t="shared" si="1386"/>
        <v>0.89</v>
      </c>
      <c r="GR121" s="48">
        <f t="shared" si="1386"/>
        <v>0.87</v>
      </c>
      <c r="GS121" s="48">
        <f t="shared" si="1386"/>
        <v>0.85</v>
      </c>
      <c r="GT121" s="48">
        <f t="shared" si="1386"/>
        <v>0.83</v>
      </c>
      <c r="GU121" s="48">
        <f t="shared" si="1386"/>
        <v>0.80999999999999994</v>
      </c>
      <c r="GV121" s="48">
        <f t="shared" si="1386"/>
        <v>0.78999999999999992</v>
      </c>
      <c r="GW121" s="48">
        <f t="shared" si="1386"/>
        <v>0.76999999999999991</v>
      </c>
      <c r="GX121" s="48">
        <f t="shared" si="1386"/>
        <v>0.74999999999999989</v>
      </c>
      <c r="GY121" s="48">
        <f t="shared" si="1386"/>
        <v>0.72999999999999987</v>
      </c>
      <c r="GZ121" s="48">
        <f t="shared" si="1386"/>
        <v>0.70999999999999985</v>
      </c>
      <c r="HA121" s="48">
        <f t="shared" si="1386"/>
        <v>0.68999999999999984</v>
      </c>
      <c r="HB121" s="48">
        <f t="shared" si="1386"/>
        <v>0.66999999999999982</v>
      </c>
      <c r="HC121" s="48">
        <f t="shared" si="1386"/>
        <v>0.6499999999999998</v>
      </c>
      <c r="HD121" s="48">
        <f t="shared" si="1386"/>
        <v>0.62999999999999978</v>
      </c>
      <c r="HE121" s="48">
        <f t="shared" si="1386"/>
        <v>0.60999999999999976</v>
      </c>
      <c r="HF121" s="48">
        <f t="shared" si="1386"/>
        <v>0.58999999999999975</v>
      </c>
      <c r="HG121" s="48">
        <f t="shared" si="1386"/>
        <v>0.56999999999999973</v>
      </c>
    </row>
    <row r="122" spans="1:215" x14ac:dyDescent="0.3">
      <c r="A122" s="2">
        <v>7</v>
      </c>
      <c r="C122" s="29" t="s">
        <v>167</v>
      </c>
      <c r="D122" s="44">
        <f>TRUNC(2010.45186957683,-1)</f>
        <v>2010</v>
      </c>
      <c r="E122" s="73">
        <f t="shared" si="1230"/>
        <v>6640</v>
      </c>
      <c r="G122" s="48">
        <f t="shared" si="948"/>
        <v>2211</v>
      </c>
      <c r="H122" s="48">
        <f t="shared" si="949"/>
        <v>2211</v>
      </c>
      <c r="I122" s="51">
        <f t="shared" si="950"/>
        <v>7309.1238000000003</v>
      </c>
      <c r="J122" s="48">
        <f t="shared" si="1231"/>
        <v>2144.67</v>
      </c>
      <c r="K122" s="51">
        <f t="shared" si="1232"/>
        <v>7089.8500860000004</v>
      </c>
      <c r="L122" s="48">
        <f t="shared" si="1233"/>
        <v>2100.4499999999998</v>
      </c>
      <c r="M122" s="51">
        <f t="shared" si="1234"/>
        <v>6943.6676099999995</v>
      </c>
      <c r="N122" s="48">
        <f t="shared" si="1235"/>
        <v>2056.23</v>
      </c>
      <c r="O122" s="51">
        <f t="shared" si="1236"/>
        <v>6797.4851340000005</v>
      </c>
      <c r="P122" s="52">
        <f t="shared" si="1237"/>
        <v>2012.01</v>
      </c>
      <c r="Q122" s="51">
        <f t="shared" si="1238"/>
        <v>6651.3026580000005</v>
      </c>
      <c r="R122" s="48">
        <f t="shared" si="1239"/>
        <v>1967.79</v>
      </c>
      <c r="S122" s="51">
        <f t="shared" si="1240"/>
        <v>6505.1201819999997</v>
      </c>
      <c r="T122" s="52">
        <f t="shared" si="1241"/>
        <v>1923.57</v>
      </c>
      <c r="U122" s="51">
        <f t="shared" si="1242"/>
        <v>6358.9377059999997</v>
      </c>
      <c r="V122" s="53">
        <f t="shared" si="1243"/>
        <v>1879.35</v>
      </c>
      <c r="W122" s="51">
        <f t="shared" si="1244"/>
        <v>6212.7552299999998</v>
      </c>
      <c r="X122" s="52">
        <f t="shared" si="1245"/>
        <v>1835.1299999999999</v>
      </c>
      <c r="Y122" s="51">
        <f t="shared" si="1246"/>
        <v>6066.5727539999998</v>
      </c>
      <c r="Z122" s="48">
        <f t="shared" si="1247"/>
        <v>1790.9099999999999</v>
      </c>
      <c r="AA122" s="51">
        <f t="shared" si="1248"/>
        <v>5920.3902779999999</v>
      </c>
      <c r="AB122" s="53">
        <f t="shared" si="1249"/>
        <v>1746.6899999999998</v>
      </c>
      <c r="AC122" s="51">
        <f t="shared" si="1250"/>
        <v>5774.2078019999999</v>
      </c>
      <c r="AD122" s="53">
        <f t="shared" si="1251"/>
        <v>1702.4699999999998</v>
      </c>
      <c r="AE122" s="51">
        <f t="shared" si="1252"/>
        <v>5628.025325999999</v>
      </c>
      <c r="AF122" s="53">
        <f t="shared" si="1253"/>
        <v>1658.2499999999998</v>
      </c>
      <c r="AG122" s="51">
        <f t="shared" si="1254"/>
        <v>5481.8428499999991</v>
      </c>
      <c r="AH122" s="48">
        <f t="shared" si="1255"/>
        <v>1614.0299999999997</v>
      </c>
      <c r="AI122" s="51">
        <f t="shared" si="1256"/>
        <v>5335.6603739999991</v>
      </c>
      <c r="AJ122" s="53">
        <f t="shared" si="1257"/>
        <v>1569.8099999999997</v>
      </c>
      <c r="AK122" s="51">
        <f t="shared" si="1258"/>
        <v>5189.4778979999992</v>
      </c>
      <c r="AL122" s="53">
        <f t="shared" si="1259"/>
        <v>1525.5899999999997</v>
      </c>
      <c r="AM122" s="51">
        <f t="shared" si="1260"/>
        <v>5043.2954219999992</v>
      </c>
      <c r="AN122" s="53">
        <f t="shared" si="1261"/>
        <v>1481.3699999999997</v>
      </c>
      <c r="AO122" s="51">
        <f t="shared" si="1262"/>
        <v>4897.1129459999993</v>
      </c>
      <c r="AP122" s="53">
        <f t="shared" si="1263"/>
        <v>1437.1499999999996</v>
      </c>
      <c r="AQ122" s="51">
        <f t="shared" si="1264"/>
        <v>4750.9304699999993</v>
      </c>
      <c r="AR122" s="48">
        <f t="shared" si="1265"/>
        <v>1392.9299999999996</v>
      </c>
      <c r="AS122" s="51">
        <f t="shared" si="1266"/>
        <v>4604.7479939999985</v>
      </c>
      <c r="AT122" s="53">
        <f t="shared" si="1267"/>
        <v>1348.7099999999996</v>
      </c>
      <c r="AU122" s="51">
        <f t="shared" si="1268"/>
        <v>4458.5655179999985</v>
      </c>
      <c r="AV122" s="53">
        <f t="shared" si="1269"/>
        <v>1304.4899999999993</v>
      </c>
      <c r="AW122" s="51">
        <f t="shared" si="1270"/>
        <v>4312.3830419999977</v>
      </c>
      <c r="AX122" s="48">
        <f t="shared" si="1271"/>
        <v>1260.2699999999993</v>
      </c>
      <c r="AY122" s="51">
        <f t="shared" si="1272"/>
        <v>4166.2005659999977</v>
      </c>
      <c r="BB122" s="48">
        <v>1</v>
      </c>
      <c r="BC122" s="48">
        <v>0.97</v>
      </c>
      <c r="BD122" s="48">
        <v>0.95</v>
      </c>
      <c r="BE122" s="48">
        <v>0.93</v>
      </c>
      <c r="BF122" s="48">
        <f t="shared" ref="BF122:BW122" si="1387">+BE122-0.02</f>
        <v>0.91</v>
      </c>
      <c r="BG122" s="48">
        <f t="shared" si="1387"/>
        <v>0.89</v>
      </c>
      <c r="BH122" s="48">
        <f t="shared" si="1387"/>
        <v>0.87</v>
      </c>
      <c r="BI122" s="48">
        <f t="shared" si="1387"/>
        <v>0.85</v>
      </c>
      <c r="BJ122" s="48">
        <f t="shared" si="1387"/>
        <v>0.83</v>
      </c>
      <c r="BK122" s="48">
        <f t="shared" si="1387"/>
        <v>0.80999999999999994</v>
      </c>
      <c r="BL122" s="48">
        <f t="shared" si="1387"/>
        <v>0.78999999999999992</v>
      </c>
      <c r="BM122" s="48">
        <f t="shared" si="1387"/>
        <v>0.76999999999999991</v>
      </c>
      <c r="BN122" s="48">
        <f t="shared" si="1387"/>
        <v>0.74999999999999989</v>
      </c>
      <c r="BO122" s="48">
        <f t="shared" si="1387"/>
        <v>0.72999999999999987</v>
      </c>
      <c r="BP122" s="48">
        <f t="shared" si="1387"/>
        <v>0.70999999999999985</v>
      </c>
      <c r="BQ122" s="48">
        <f t="shared" si="1387"/>
        <v>0.68999999999999984</v>
      </c>
      <c r="BR122" s="48">
        <f t="shared" si="1387"/>
        <v>0.66999999999999982</v>
      </c>
      <c r="BS122" s="48">
        <f t="shared" si="1387"/>
        <v>0.6499999999999998</v>
      </c>
      <c r="BT122" s="48">
        <f t="shared" si="1387"/>
        <v>0.62999999999999978</v>
      </c>
      <c r="BU122" s="48">
        <f t="shared" si="1387"/>
        <v>0.60999999999999976</v>
      </c>
      <c r="BV122" s="48">
        <f t="shared" si="1387"/>
        <v>0.58999999999999975</v>
      </c>
      <c r="BW122" s="48">
        <f t="shared" si="1387"/>
        <v>0.56999999999999973</v>
      </c>
      <c r="BY122" s="48">
        <f t="shared" si="952"/>
        <v>2012.01</v>
      </c>
      <c r="BZ122" s="48">
        <f t="shared" si="953"/>
        <v>2012.01</v>
      </c>
      <c r="CA122" s="51">
        <f t="shared" ref="CA122" si="1388">+BZ122*3.3058</f>
        <v>6651.3026580000005</v>
      </c>
      <c r="CB122" s="48">
        <f t="shared" si="1275"/>
        <v>1951.6496999999999</v>
      </c>
      <c r="CC122" s="51">
        <f t="shared" si="1276"/>
        <v>6451.76357826</v>
      </c>
      <c r="CD122" s="48">
        <f t="shared" si="1277"/>
        <v>1911.4095</v>
      </c>
      <c r="CE122" s="51">
        <f t="shared" si="1278"/>
        <v>6318.7375251000003</v>
      </c>
      <c r="CF122" s="48">
        <f t="shared" si="1279"/>
        <v>1871.1693</v>
      </c>
      <c r="CG122" s="51">
        <f t="shared" si="1280"/>
        <v>6185.7114719400006</v>
      </c>
      <c r="CH122" s="52">
        <f t="shared" si="1281"/>
        <v>1830.9291000000001</v>
      </c>
      <c r="CI122" s="51">
        <f t="shared" si="1282"/>
        <v>6052.68541878</v>
      </c>
      <c r="CJ122" s="48">
        <f t="shared" si="1283"/>
        <v>1790.6889000000001</v>
      </c>
      <c r="CK122" s="51">
        <f t="shared" si="1284"/>
        <v>5919.6593656200002</v>
      </c>
      <c r="CL122" s="52">
        <f t="shared" si="1285"/>
        <v>1750.4486999999999</v>
      </c>
      <c r="CM122" s="51">
        <f t="shared" si="1286"/>
        <v>5786.6333124599996</v>
      </c>
      <c r="CN122" s="53">
        <f t="shared" si="1287"/>
        <v>1710.2085</v>
      </c>
      <c r="CO122" s="51">
        <f t="shared" si="1288"/>
        <v>5653.6072592999999</v>
      </c>
      <c r="CP122" s="52">
        <f t="shared" si="1289"/>
        <v>1669.9683</v>
      </c>
      <c r="CQ122" s="51">
        <f t="shared" si="1290"/>
        <v>5520.5812061400002</v>
      </c>
      <c r="CR122" s="48">
        <f t="shared" si="1291"/>
        <v>1629.7280999999998</v>
      </c>
      <c r="CS122" s="51">
        <f t="shared" si="1292"/>
        <v>5387.5551529799995</v>
      </c>
      <c r="CT122" s="53">
        <f t="shared" si="1293"/>
        <v>1589.4878999999999</v>
      </c>
      <c r="CU122" s="51">
        <f t="shared" si="1294"/>
        <v>5254.5290998199998</v>
      </c>
      <c r="CV122" s="53">
        <f t="shared" si="1295"/>
        <v>1549.2476999999999</v>
      </c>
      <c r="CW122" s="51">
        <f t="shared" si="1296"/>
        <v>5121.5030466600001</v>
      </c>
      <c r="CX122" s="53">
        <f t="shared" si="1297"/>
        <v>1509.0074999999997</v>
      </c>
      <c r="CY122" s="51">
        <f t="shared" si="1298"/>
        <v>4988.4769934999995</v>
      </c>
      <c r="CZ122" s="48">
        <f t="shared" si="1299"/>
        <v>1468.7672999999998</v>
      </c>
      <c r="DA122" s="51">
        <f t="shared" si="1300"/>
        <v>4855.4509403399989</v>
      </c>
      <c r="DB122" s="53">
        <f t="shared" si="1301"/>
        <v>1428.5270999999998</v>
      </c>
      <c r="DC122" s="51">
        <f t="shared" si="1302"/>
        <v>4722.4248871799991</v>
      </c>
      <c r="DD122" s="53">
        <f t="shared" si="1303"/>
        <v>1388.2868999999996</v>
      </c>
      <c r="DE122" s="51">
        <f t="shared" si="1304"/>
        <v>4589.3988340199985</v>
      </c>
      <c r="DF122" s="53">
        <f t="shared" si="1305"/>
        <v>1348.0466999999996</v>
      </c>
      <c r="DG122" s="51">
        <f t="shared" si="1306"/>
        <v>4456.3727808599988</v>
      </c>
      <c r="DH122" s="53">
        <f t="shared" si="1307"/>
        <v>1307.8064999999997</v>
      </c>
      <c r="DI122" s="51">
        <f t="shared" si="1308"/>
        <v>4323.3467276999991</v>
      </c>
      <c r="DJ122" s="48">
        <f t="shared" si="1309"/>
        <v>1267.5662999999995</v>
      </c>
      <c r="DK122" s="51">
        <f t="shared" si="1310"/>
        <v>4190.3206745399984</v>
      </c>
      <c r="DL122" s="53">
        <f t="shared" si="1311"/>
        <v>1227.3260999999995</v>
      </c>
      <c r="DM122" s="51">
        <f t="shared" si="1312"/>
        <v>4057.2946213799987</v>
      </c>
      <c r="DN122" s="53">
        <f t="shared" si="1313"/>
        <v>1187.0858999999996</v>
      </c>
      <c r="DO122" s="51">
        <f t="shared" si="1314"/>
        <v>3924.2685682199985</v>
      </c>
      <c r="DP122" s="48">
        <f t="shared" si="1315"/>
        <v>1146.8456999999994</v>
      </c>
      <c r="DQ122" s="51">
        <f t="shared" si="1316"/>
        <v>3791.2425150599979</v>
      </c>
      <c r="DT122" s="48">
        <v>1</v>
      </c>
      <c r="DU122" s="48">
        <v>0.97</v>
      </c>
      <c r="DV122" s="48">
        <v>0.95</v>
      </c>
      <c r="DW122" s="48">
        <v>0.93</v>
      </c>
      <c r="DX122" s="48">
        <f t="shared" ref="DX122:EO122" si="1389">+DW122-0.02</f>
        <v>0.91</v>
      </c>
      <c r="DY122" s="48">
        <f t="shared" si="1389"/>
        <v>0.89</v>
      </c>
      <c r="DZ122" s="48">
        <f t="shared" si="1389"/>
        <v>0.87</v>
      </c>
      <c r="EA122" s="48">
        <f t="shared" si="1389"/>
        <v>0.85</v>
      </c>
      <c r="EB122" s="48">
        <f t="shared" si="1389"/>
        <v>0.83</v>
      </c>
      <c r="EC122" s="48">
        <f t="shared" si="1389"/>
        <v>0.80999999999999994</v>
      </c>
      <c r="ED122" s="48">
        <f t="shared" si="1389"/>
        <v>0.78999999999999992</v>
      </c>
      <c r="EE122" s="48">
        <f t="shared" si="1389"/>
        <v>0.76999999999999991</v>
      </c>
      <c r="EF122" s="48">
        <f t="shared" si="1389"/>
        <v>0.74999999999999989</v>
      </c>
      <c r="EG122" s="48">
        <f t="shared" si="1389"/>
        <v>0.72999999999999987</v>
      </c>
      <c r="EH122" s="48">
        <f t="shared" si="1389"/>
        <v>0.70999999999999985</v>
      </c>
      <c r="EI122" s="48">
        <f t="shared" si="1389"/>
        <v>0.68999999999999984</v>
      </c>
      <c r="EJ122" s="48">
        <f t="shared" si="1389"/>
        <v>0.66999999999999982</v>
      </c>
      <c r="EK122" s="48">
        <f t="shared" si="1389"/>
        <v>0.6499999999999998</v>
      </c>
      <c r="EL122" s="48">
        <f t="shared" si="1389"/>
        <v>0.62999999999999978</v>
      </c>
      <c r="EM122" s="48">
        <f t="shared" si="1389"/>
        <v>0.60999999999999976</v>
      </c>
      <c r="EN122" s="48">
        <f t="shared" si="1389"/>
        <v>0.58999999999999975</v>
      </c>
      <c r="EO122" s="48">
        <f t="shared" si="1389"/>
        <v>0.56999999999999973</v>
      </c>
      <c r="EQ122" s="48">
        <f t="shared" si="1128"/>
        <v>1830.9291000000001</v>
      </c>
      <c r="ER122" s="48">
        <f t="shared" si="956"/>
        <v>1830.9291000000001</v>
      </c>
      <c r="ES122" s="51">
        <f t="shared" ref="ES122" si="1390">+ER122*3.3058</f>
        <v>6052.68541878</v>
      </c>
      <c r="ET122" s="48">
        <f t="shared" si="1319"/>
        <v>1776.001227</v>
      </c>
      <c r="EU122" s="51">
        <f t="shared" si="1320"/>
        <v>5871.1048562165997</v>
      </c>
      <c r="EV122" s="48">
        <f t="shared" si="1321"/>
        <v>1739.3826449999999</v>
      </c>
      <c r="EW122" s="51">
        <f t="shared" si="1322"/>
        <v>5750.0511478409999</v>
      </c>
      <c r="EX122" s="48">
        <f t="shared" si="1323"/>
        <v>1702.7640630000001</v>
      </c>
      <c r="EY122" s="51">
        <f t="shared" si="1324"/>
        <v>5628.9974394654</v>
      </c>
      <c r="EZ122" s="52">
        <f t="shared" si="1325"/>
        <v>1666.145481</v>
      </c>
      <c r="FA122" s="51">
        <f t="shared" si="1326"/>
        <v>5507.9437310898002</v>
      </c>
      <c r="FB122" s="48">
        <f t="shared" si="1327"/>
        <v>1629.5268990000002</v>
      </c>
      <c r="FC122" s="51">
        <f t="shared" si="1328"/>
        <v>5386.8900227142003</v>
      </c>
      <c r="FD122" s="52">
        <f t="shared" si="1329"/>
        <v>1592.9083170000001</v>
      </c>
      <c r="FE122" s="51">
        <f t="shared" si="1330"/>
        <v>5265.8363143386005</v>
      </c>
      <c r="FF122" s="53">
        <f t="shared" si="1331"/>
        <v>1556.2897350000001</v>
      </c>
      <c r="FG122" s="51">
        <f t="shared" si="1332"/>
        <v>5144.7826059630006</v>
      </c>
      <c r="FH122" s="52">
        <f t="shared" si="1333"/>
        <v>1519.671153</v>
      </c>
      <c r="FI122" s="51">
        <f t="shared" si="1334"/>
        <v>5023.7288975873998</v>
      </c>
      <c r="FJ122" s="48">
        <f t="shared" si="1335"/>
        <v>1483.0525709999999</v>
      </c>
      <c r="FK122" s="51">
        <f t="shared" si="1336"/>
        <v>4902.6751892118</v>
      </c>
      <c r="FL122" s="53">
        <f t="shared" si="1337"/>
        <v>1446.4339889999999</v>
      </c>
      <c r="FM122" s="51">
        <f t="shared" si="1338"/>
        <v>4781.6214808362001</v>
      </c>
      <c r="FN122" s="53">
        <f t="shared" si="1339"/>
        <v>1409.8154069999998</v>
      </c>
      <c r="FO122" s="51">
        <f t="shared" si="1340"/>
        <v>4660.5677724605994</v>
      </c>
      <c r="FP122" s="53">
        <f t="shared" si="1341"/>
        <v>1373.1968249999998</v>
      </c>
      <c r="FQ122" s="51">
        <f t="shared" si="1342"/>
        <v>4539.5140640849995</v>
      </c>
      <c r="FR122" s="48">
        <f t="shared" si="1343"/>
        <v>1336.5782429999997</v>
      </c>
      <c r="FS122" s="51">
        <f t="shared" si="1344"/>
        <v>4418.4603557093988</v>
      </c>
      <c r="FT122" s="53">
        <f t="shared" si="1345"/>
        <v>1299.9596609999999</v>
      </c>
      <c r="FU122" s="51">
        <f t="shared" si="1346"/>
        <v>4297.4066473337998</v>
      </c>
      <c r="FV122" s="53">
        <f t="shared" si="1347"/>
        <v>1263.3410789999998</v>
      </c>
      <c r="FW122" s="51">
        <f t="shared" si="1348"/>
        <v>4176.352938958199</v>
      </c>
      <c r="FX122" s="53">
        <f t="shared" si="1349"/>
        <v>1226.7224969999997</v>
      </c>
      <c r="FY122" s="51">
        <f t="shared" si="1350"/>
        <v>4055.2992305825992</v>
      </c>
      <c r="FZ122" s="53">
        <f t="shared" si="1351"/>
        <v>1190.1039149999997</v>
      </c>
      <c r="GA122" s="51">
        <f t="shared" si="1352"/>
        <v>3934.2455222069989</v>
      </c>
      <c r="GB122" s="48">
        <f t="shared" si="1353"/>
        <v>1153.4853329999996</v>
      </c>
      <c r="GC122" s="51">
        <f t="shared" si="1354"/>
        <v>3813.191813831399</v>
      </c>
      <c r="GD122" s="53">
        <f t="shared" si="1355"/>
        <v>1116.8667509999996</v>
      </c>
      <c r="GE122" s="51">
        <f t="shared" si="1356"/>
        <v>3692.1381054557987</v>
      </c>
      <c r="GF122" s="53">
        <f t="shared" si="1357"/>
        <v>1080.2481689999995</v>
      </c>
      <c r="GG122" s="51">
        <f t="shared" si="1358"/>
        <v>3571.0843970801984</v>
      </c>
      <c r="GH122" s="48">
        <f t="shared" si="1359"/>
        <v>1043.6295869999994</v>
      </c>
      <c r="GI122" s="51">
        <f t="shared" si="1360"/>
        <v>3450.0306887045981</v>
      </c>
      <c r="GJ122" s="48"/>
      <c r="GK122" s="48"/>
      <c r="GL122" s="48">
        <v>1</v>
      </c>
      <c r="GM122" s="48">
        <v>0.97</v>
      </c>
      <c r="GN122" s="48">
        <v>0.95</v>
      </c>
      <c r="GO122" s="48">
        <v>0.93</v>
      </c>
      <c r="GP122" s="48">
        <f t="shared" ref="GP122:HG122" si="1391">+GO122-0.02</f>
        <v>0.91</v>
      </c>
      <c r="GQ122" s="48">
        <f t="shared" si="1391"/>
        <v>0.89</v>
      </c>
      <c r="GR122" s="48">
        <f t="shared" si="1391"/>
        <v>0.87</v>
      </c>
      <c r="GS122" s="48">
        <f t="shared" si="1391"/>
        <v>0.85</v>
      </c>
      <c r="GT122" s="48">
        <f t="shared" si="1391"/>
        <v>0.83</v>
      </c>
      <c r="GU122" s="48">
        <f t="shared" si="1391"/>
        <v>0.80999999999999994</v>
      </c>
      <c r="GV122" s="48">
        <f t="shared" si="1391"/>
        <v>0.78999999999999992</v>
      </c>
      <c r="GW122" s="48">
        <f t="shared" si="1391"/>
        <v>0.76999999999999991</v>
      </c>
      <c r="GX122" s="48">
        <f t="shared" si="1391"/>
        <v>0.74999999999999989</v>
      </c>
      <c r="GY122" s="48">
        <f t="shared" si="1391"/>
        <v>0.72999999999999987</v>
      </c>
      <c r="GZ122" s="48">
        <f t="shared" si="1391"/>
        <v>0.70999999999999985</v>
      </c>
      <c r="HA122" s="48">
        <f t="shared" si="1391"/>
        <v>0.68999999999999984</v>
      </c>
      <c r="HB122" s="48">
        <f t="shared" si="1391"/>
        <v>0.66999999999999982</v>
      </c>
      <c r="HC122" s="48">
        <f t="shared" si="1391"/>
        <v>0.6499999999999998</v>
      </c>
      <c r="HD122" s="48">
        <f t="shared" si="1391"/>
        <v>0.62999999999999978</v>
      </c>
      <c r="HE122" s="48">
        <f t="shared" si="1391"/>
        <v>0.60999999999999976</v>
      </c>
      <c r="HF122" s="48">
        <f t="shared" si="1391"/>
        <v>0.58999999999999975</v>
      </c>
      <c r="HG122" s="48">
        <f t="shared" si="1391"/>
        <v>0.56999999999999973</v>
      </c>
    </row>
    <row r="123" spans="1:215" x14ac:dyDescent="0.3">
      <c r="A123" s="2">
        <v>8</v>
      </c>
      <c r="C123" s="29" t="s">
        <v>186</v>
      </c>
      <c r="D123" s="44">
        <v>0</v>
      </c>
      <c r="E123" s="73">
        <f t="shared" si="1230"/>
        <v>0</v>
      </c>
      <c r="G123" s="48">
        <f t="shared" si="948"/>
        <v>0</v>
      </c>
      <c r="H123" s="48">
        <f t="shared" si="949"/>
        <v>0</v>
      </c>
      <c r="I123" s="51">
        <f t="shared" si="950"/>
        <v>0</v>
      </c>
      <c r="J123" s="48">
        <f t="shared" si="1231"/>
        <v>0</v>
      </c>
      <c r="K123" s="51">
        <f t="shared" si="1232"/>
        <v>0</v>
      </c>
      <c r="L123" s="48">
        <f t="shared" si="1233"/>
        <v>0</v>
      </c>
      <c r="M123" s="51">
        <f t="shared" si="1234"/>
        <v>0</v>
      </c>
      <c r="N123" s="48">
        <f t="shared" si="1235"/>
        <v>0</v>
      </c>
      <c r="O123" s="51">
        <f t="shared" si="1236"/>
        <v>0</v>
      </c>
      <c r="P123" s="52">
        <f t="shared" si="1237"/>
        <v>0</v>
      </c>
      <c r="Q123" s="51">
        <f t="shared" si="1238"/>
        <v>0</v>
      </c>
      <c r="R123" s="48">
        <f t="shared" si="1239"/>
        <v>0</v>
      </c>
      <c r="S123" s="51">
        <f t="shared" si="1240"/>
        <v>0</v>
      </c>
      <c r="T123" s="52">
        <f t="shared" si="1241"/>
        <v>0</v>
      </c>
      <c r="U123" s="51">
        <f t="shared" si="1242"/>
        <v>0</v>
      </c>
      <c r="V123" s="53">
        <f t="shared" si="1243"/>
        <v>0</v>
      </c>
      <c r="W123" s="51">
        <f t="shared" si="1244"/>
        <v>0</v>
      </c>
      <c r="X123" s="52">
        <f t="shared" si="1245"/>
        <v>0</v>
      </c>
      <c r="Y123" s="51">
        <f t="shared" si="1246"/>
        <v>0</v>
      </c>
      <c r="Z123" s="48">
        <f t="shared" si="1247"/>
        <v>0</v>
      </c>
      <c r="AA123" s="51">
        <f t="shared" si="1248"/>
        <v>0</v>
      </c>
      <c r="AB123" s="53">
        <f t="shared" si="1249"/>
        <v>0</v>
      </c>
      <c r="AC123" s="51">
        <f t="shared" si="1250"/>
        <v>0</v>
      </c>
      <c r="AD123" s="53">
        <f t="shared" si="1251"/>
        <v>0</v>
      </c>
      <c r="AE123" s="51">
        <f t="shared" si="1252"/>
        <v>0</v>
      </c>
      <c r="AF123" s="53">
        <f t="shared" si="1253"/>
        <v>0</v>
      </c>
      <c r="AG123" s="51">
        <f t="shared" si="1254"/>
        <v>0</v>
      </c>
      <c r="AH123" s="48">
        <f t="shared" si="1255"/>
        <v>0</v>
      </c>
      <c r="AI123" s="51">
        <f t="shared" si="1256"/>
        <v>0</v>
      </c>
      <c r="AJ123" s="53">
        <f t="shared" si="1257"/>
        <v>0</v>
      </c>
      <c r="AK123" s="51">
        <f t="shared" si="1258"/>
        <v>0</v>
      </c>
      <c r="AL123" s="53">
        <f t="shared" si="1259"/>
        <v>0</v>
      </c>
      <c r="AM123" s="51">
        <f t="shared" si="1260"/>
        <v>0</v>
      </c>
      <c r="AN123" s="53">
        <f t="shared" si="1261"/>
        <v>0</v>
      </c>
      <c r="AO123" s="51">
        <f t="shared" si="1262"/>
        <v>0</v>
      </c>
      <c r="AP123" s="53">
        <f t="shared" si="1263"/>
        <v>0</v>
      </c>
      <c r="AQ123" s="51">
        <f t="shared" si="1264"/>
        <v>0</v>
      </c>
      <c r="AR123" s="48">
        <f t="shared" si="1265"/>
        <v>0</v>
      </c>
      <c r="AS123" s="51">
        <f t="shared" si="1266"/>
        <v>0</v>
      </c>
      <c r="AT123" s="53">
        <f t="shared" si="1267"/>
        <v>0</v>
      </c>
      <c r="AU123" s="51">
        <f t="shared" si="1268"/>
        <v>0</v>
      </c>
      <c r="AV123" s="53">
        <f t="shared" si="1269"/>
        <v>0</v>
      </c>
      <c r="AW123" s="51">
        <f t="shared" si="1270"/>
        <v>0</v>
      </c>
      <c r="AX123" s="48">
        <f t="shared" si="1271"/>
        <v>0</v>
      </c>
      <c r="AY123" s="51">
        <f t="shared" si="1272"/>
        <v>0</v>
      </c>
      <c r="BB123" s="48">
        <v>1</v>
      </c>
      <c r="BC123" s="48">
        <v>0.97</v>
      </c>
      <c r="BD123" s="48">
        <v>0.95</v>
      </c>
      <c r="BE123" s="48">
        <v>0.93</v>
      </c>
      <c r="BF123" s="48">
        <f t="shared" ref="BF123:BW123" si="1392">+BE123-0.02</f>
        <v>0.91</v>
      </c>
      <c r="BG123" s="48">
        <f t="shared" si="1392"/>
        <v>0.89</v>
      </c>
      <c r="BH123" s="48">
        <f t="shared" si="1392"/>
        <v>0.87</v>
      </c>
      <c r="BI123" s="48">
        <f t="shared" si="1392"/>
        <v>0.85</v>
      </c>
      <c r="BJ123" s="48">
        <f t="shared" si="1392"/>
        <v>0.83</v>
      </c>
      <c r="BK123" s="48">
        <f t="shared" si="1392"/>
        <v>0.80999999999999994</v>
      </c>
      <c r="BL123" s="48">
        <f t="shared" si="1392"/>
        <v>0.78999999999999992</v>
      </c>
      <c r="BM123" s="48">
        <f t="shared" si="1392"/>
        <v>0.76999999999999991</v>
      </c>
      <c r="BN123" s="48">
        <f t="shared" si="1392"/>
        <v>0.74999999999999989</v>
      </c>
      <c r="BO123" s="48">
        <f t="shared" si="1392"/>
        <v>0.72999999999999987</v>
      </c>
      <c r="BP123" s="48">
        <f t="shared" si="1392"/>
        <v>0.70999999999999985</v>
      </c>
      <c r="BQ123" s="48">
        <f t="shared" si="1392"/>
        <v>0.68999999999999984</v>
      </c>
      <c r="BR123" s="48">
        <f t="shared" si="1392"/>
        <v>0.66999999999999982</v>
      </c>
      <c r="BS123" s="48">
        <f t="shared" si="1392"/>
        <v>0.6499999999999998</v>
      </c>
      <c r="BT123" s="48">
        <f t="shared" si="1392"/>
        <v>0.62999999999999978</v>
      </c>
      <c r="BU123" s="48">
        <f t="shared" si="1392"/>
        <v>0.60999999999999976</v>
      </c>
      <c r="BV123" s="48">
        <f t="shared" si="1392"/>
        <v>0.58999999999999975</v>
      </c>
      <c r="BW123" s="48">
        <f t="shared" si="1392"/>
        <v>0.56999999999999973</v>
      </c>
      <c r="BY123" s="48">
        <f t="shared" si="952"/>
        <v>0</v>
      </c>
      <c r="BZ123" s="48">
        <f t="shared" si="953"/>
        <v>0</v>
      </c>
      <c r="CA123" s="51">
        <f t="shared" ref="CA123" si="1393">+BZ123*3.3058</f>
        <v>0</v>
      </c>
      <c r="CB123" s="48">
        <f t="shared" si="1275"/>
        <v>0</v>
      </c>
      <c r="CC123" s="51">
        <f t="shared" si="1276"/>
        <v>0</v>
      </c>
      <c r="CD123" s="48">
        <f t="shared" si="1277"/>
        <v>0</v>
      </c>
      <c r="CE123" s="51">
        <f t="shared" si="1278"/>
        <v>0</v>
      </c>
      <c r="CF123" s="48">
        <f t="shared" si="1279"/>
        <v>0</v>
      </c>
      <c r="CG123" s="51">
        <f t="shared" si="1280"/>
        <v>0</v>
      </c>
      <c r="CH123" s="52">
        <f t="shared" si="1281"/>
        <v>0</v>
      </c>
      <c r="CI123" s="51">
        <f t="shared" si="1282"/>
        <v>0</v>
      </c>
      <c r="CJ123" s="48">
        <f t="shared" si="1283"/>
        <v>0</v>
      </c>
      <c r="CK123" s="51">
        <f t="shared" si="1284"/>
        <v>0</v>
      </c>
      <c r="CL123" s="52">
        <f t="shared" si="1285"/>
        <v>0</v>
      </c>
      <c r="CM123" s="51">
        <f t="shared" si="1286"/>
        <v>0</v>
      </c>
      <c r="CN123" s="53">
        <f t="shared" si="1287"/>
        <v>0</v>
      </c>
      <c r="CO123" s="51">
        <f t="shared" si="1288"/>
        <v>0</v>
      </c>
      <c r="CP123" s="52">
        <f t="shared" si="1289"/>
        <v>0</v>
      </c>
      <c r="CQ123" s="51">
        <f t="shared" si="1290"/>
        <v>0</v>
      </c>
      <c r="CR123" s="48">
        <f t="shared" si="1291"/>
        <v>0</v>
      </c>
      <c r="CS123" s="51">
        <f t="shared" si="1292"/>
        <v>0</v>
      </c>
      <c r="CT123" s="53">
        <f t="shared" si="1293"/>
        <v>0</v>
      </c>
      <c r="CU123" s="51">
        <f t="shared" si="1294"/>
        <v>0</v>
      </c>
      <c r="CV123" s="53">
        <f t="shared" si="1295"/>
        <v>0</v>
      </c>
      <c r="CW123" s="51">
        <f t="shared" si="1296"/>
        <v>0</v>
      </c>
      <c r="CX123" s="53">
        <f t="shared" si="1297"/>
        <v>0</v>
      </c>
      <c r="CY123" s="51">
        <f t="shared" si="1298"/>
        <v>0</v>
      </c>
      <c r="CZ123" s="48">
        <f t="shared" si="1299"/>
        <v>0</v>
      </c>
      <c r="DA123" s="51">
        <f t="shared" si="1300"/>
        <v>0</v>
      </c>
      <c r="DB123" s="53">
        <f t="shared" si="1301"/>
        <v>0</v>
      </c>
      <c r="DC123" s="51">
        <f t="shared" si="1302"/>
        <v>0</v>
      </c>
      <c r="DD123" s="53">
        <f t="shared" si="1303"/>
        <v>0</v>
      </c>
      <c r="DE123" s="51">
        <f t="shared" si="1304"/>
        <v>0</v>
      </c>
      <c r="DF123" s="53">
        <f t="shared" si="1305"/>
        <v>0</v>
      </c>
      <c r="DG123" s="51">
        <f t="shared" si="1306"/>
        <v>0</v>
      </c>
      <c r="DH123" s="53">
        <f t="shared" si="1307"/>
        <v>0</v>
      </c>
      <c r="DI123" s="51">
        <f t="shared" si="1308"/>
        <v>0</v>
      </c>
      <c r="DJ123" s="48">
        <f t="shared" si="1309"/>
        <v>0</v>
      </c>
      <c r="DK123" s="51">
        <f t="shared" si="1310"/>
        <v>0</v>
      </c>
      <c r="DL123" s="53">
        <f t="shared" si="1311"/>
        <v>0</v>
      </c>
      <c r="DM123" s="51">
        <f t="shared" si="1312"/>
        <v>0</v>
      </c>
      <c r="DN123" s="53">
        <f t="shared" si="1313"/>
        <v>0</v>
      </c>
      <c r="DO123" s="51">
        <f t="shared" si="1314"/>
        <v>0</v>
      </c>
      <c r="DP123" s="48">
        <f t="shared" si="1315"/>
        <v>0</v>
      </c>
      <c r="DQ123" s="51">
        <f t="shared" si="1316"/>
        <v>0</v>
      </c>
      <c r="DT123" s="48">
        <v>1</v>
      </c>
      <c r="DU123" s="48">
        <v>0.97</v>
      </c>
      <c r="DV123" s="48">
        <v>0.95</v>
      </c>
      <c r="DW123" s="48">
        <v>0.93</v>
      </c>
      <c r="DX123" s="48">
        <f t="shared" ref="DX123:EO123" si="1394">+DW123-0.02</f>
        <v>0.91</v>
      </c>
      <c r="DY123" s="48">
        <f t="shared" si="1394"/>
        <v>0.89</v>
      </c>
      <c r="DZ123" s="48">
        <f t="shared" si="1394"/>
        <v>0.87</v>
      </c>
      <c r="EA123" s="48">
        <f t="shared" si="1394"/>
        <v>0.85</v>
      </c>
      <c r="EB123" s="48">
        <f t="shared" si="1394"/>
        <v>0.83</v>
      </c>
      <c r="EC123" s="48">
        <f t="shared" si="1394"/>
        <v>0.80999999999999994</v>
      </c>
      <c r="ED123" s="48">
        <f t="shared" si="1394"/>
        <v>0.78999999999999992</v>
      </c>
      <c r="EE123" s="48">
        <f t="shared" si="1394"/>
        <v>0.76999999999999991</v>
      </c>
      <c r="EF123" s="48">
        <f t="shared" si="1394"/>
        <v>0.74999999999999989</v>
      </c>
      <c r="EG123" s="48">
        <f t="shared" si="1394"/>
        <v>0.72999999999999987</v>
      </c>
      <c r="EH123" s="48">
        <f t="shared" si="1394"/>
        <v>0.70999999999999985</v>
      </c>
      <c r="EI123" s="48">
        <f t="shared" si="1394"/>
        <v>0.68999999999999984</v>
      </c>
      <c r="EJ123" s="48">
        <f t="shared" si="1394"/>
        <v>0.66999999999999982</v>
      </c>
      <c r="EK123" s="48">
        <f t="shared" si="1394"/>
        <v>0.6499999999999998</v>
      </c>
      <c r="EL123" s="48">
        <f t="shared" si="1394"/>
        <v>0.62999999999999978</v>
      </c>
      <c r="EM123" s="48">
        <f t="shared" si="1394"/>
        <v>0.60999999999999976</v>
      </c>
      <c r="EN123" s="48">
        <f t="shared" si="1394"/>
        <v>0.58999999999999975</v>
      </c>
      <c r="EO123" s="48">
        <f t="shared" si="1394"/>
        <v>0.56999999999999973</v>
      </c>
      <c r="EQ123" s="48">
        <f t="shared" si="1128"/>
        <v>0</v>
      </c>
      <c r="ER123" s="48">
        <f t="shared" si="956"/>
        <v>0</v>
      </c>
      <c r="ES123" s="51">
        <f t="shared" ref="ES123" si="1395">+ER123*3.3058</f>
        <v>0</v>
      </c>
      <c r="ET123" s="48">
        <f t="shared" si="1319"/>
        <v>0</v>
      </c>
      <c r="EU123" s="51">
        <f t="shared" si="1320"/>
        <v>0</v>
      </c>
      <c r="EV123" s="48">
        <f t="shared" si="1321"/>
        <v>0</v>
      </c>
      <c r="EW123" s="51">
        <f t="shared" si="1322"/>
        <v>0</v>
      </c>
      <c r="EX123" s="48">
        <f t="shared" si="1323"/>
        <v>0</v>
      </c>
      <c r="EY123" s="51">
        <f t="shared" si="1324"/>
        <v>0</v>
      </c>
      <c r="EZ123" s="52">
        <f t="shared" si="1325"/>
        <v>0</v>
      </c>
      <c r="FA123" s="51">
        <f t="shared" si="1326"/>
        <v>0</v>
      </c>
      <c r="FB123" s="48">
        <f t="shared" si="1327"/>
        <v>0</v>
      </c>
      <c r="FC123" s="51">
        <f t="shared" si="1328"/>
        <v>0</v>
      </c>
      <c r="FD123" s="52">
        <f t="shared" si="1329"/>
        <v>0</v>
      </c>
      <c r="FE123" s="51">
        <f t="shared" si="1330"/>
        <v>0</v>
      </c>
      <c r="FF123" s="53">
        <f t="shared" si="1331"/>
        <v>0</v>
      </c>
      <c r="FG123" s="51">
        <f t="shared" si="1332"/>
        <v>0</v>
      </c>
      <c r="FH123" s="52">
        <f t="shared" si="1333"/>
        <v>0</v>
      </c>
      <c r="FI123" s="51">
        <f t="shared" si="1334"/>
        <v>0</v>
      </c>
      <c r="FJ123" s="48">
        <f t="shared" si="1335"/>
        <v>0</v>
      </c>
      <c r="FK123" s="51">
        <f t="shared" si="1336"/>
        <v>0</v>
      </c>
      <c r="FL123" s="53">
        <f t="shared" si="1337"/>
        <v>0</v>
      </c>
      <c r="FM123" s="51">
        <f t="shared" si="1338"/>
        <v>0</v>
      </c>
      <c r="FN123" s="53">
        <f t="shared" si="1339"/>
        <v>0</v>
      </c>
      <c r="FO123" s="51">
        <f t="shared" si="1340"/>
        <v>0</v>
      </c>
      <c r="FP123" s="53">
        <f t="shared" si="1341"/>
        <v>0</v>
      </c>
      <c r="FQ123" s="51">
        <f t="shared" si="1342"/>
        <v>0</v>
      </c>
      <c r="FR123" s="48">
        <f t="shared" si="1343"/>
        <v>0</v>
      </c>
      <c r="FS123" s="51">
        <f t="shared" si="1344"/>
        <v>0</v>
      </c>
      <c r="FT123" s="53">
        <f t="shared" si="1345"/>
        <v>0</v>
      </c>
      <c r="FU123" s="51">
        <f t="shared" si="1346"/>
        <v>0</v>
      </c>
      <c r="FV123" s="53">
        <f t="shared" si="1347"/>
        <v>0</v>
      </c>
      <c r="FW123" s="51">
        <f t="shared" si="1348"/>
        <v>0</v>
      </c>
      <c r="FX123" s="53">
        <f t="shared" si="1349"/>
        <v>0</v>
      </c>
      <c r="FY123" s="51">
        <f t="shared" si="1350"/>
        <v>0</v>
      </c>
      <c r="FZ123" s="53">
        <f t="shared" si="1351"/>
        <v>0</v>
      </c>
      <c r="GA123" s="51">
        <f t="shared" si="1352"/>
        <v>0</v>
      </c>
      <c r="GB123" s="48">
        <f t="shared" si="1353"/>
        <v>0</v>
      </c>
      <c r="GC123" s="51">
        <f t="shared" si="1354"/>
        <v>0</v>
      </c>
      <c r="GD123" s="53">
        <f t="shared" si="1355"/>
        <v>0</v>
      </c>
      <c r="GE123" s="51">
        <f t="shared" si="1356"/>
        <v>0</v>
      </c>
      <c r="GF123" s="53">
        <f t="shared" si="1357"/>
        <v>0</v>
      </c>
      <c r="GG123" s="51">
        <f t="shared" si="1358"/>
        <v>0</v>
      </c>
      <c r="GH123" s="48">
        <f t="shared" si="1359"/>
        <v>0</v>
      </c>
      <c r="GI123" s="51">
        <f t="shared" si="1360"/>
        <v>0</v>
      </c>
      <c r="GJ123" s="48"/>
      <c r="GK123" s="48"/>
      <c r="GL123" s="48">
        <v>1</v>
      </c>
      <c r="GM123" s="48">
        <v>0.97</v>
      </c>
      <c r="GN123" s="48">
        <v>0.95</v>
      </c>
      <c r="GO123" s="48">
        <v>0.93</v>
      </c>
      <c r="GP123" s="48">
        <f t="shared" ref="GP123:HG123" si="1396">+GO123-0.02</f>
        <v>0.91</v>
      </c>
      <c r="GQ123" s="48">
        <f t="shared" si="1396"/>
        <v>0.89</v>
      </c>
      <c r="GR123" s="48">
        <f t="shared" si="1396"/>
        <v>0.87</v>
      </c>
      <c r="GS123" s="48">
        <f t="shared" si="1396"/>
        <v>0.85</v>
      </c>
      <c r="GT123" s="48">
        <f t="shared" si="1396"/>
        <v>0.83</v>
      </c>
      <c r="GU123" s="48">
        <f t="shared" si="1396"/>
        <v>0.80999999999999994</v>
      </c>
      <c r="GV123" s="48">
        <f t="shared" si="1396"/>
        <v>0.78999999999999992</v>
      </c>
      <c r="GW123" s="48">
        <f t="shared" si="1396"/>
        <v>0.76999999999999991</v>
      </c>
      <c r="GX123" s="48">
        <f t="shared" si="1396"/>
        <v>0.74999999999999989</v>
      </c>
      <c r="GY123" s="48">
        <f t="shared" si="1396"/>
        <v>0.72999999999999987</v>
      </c>
      <c r="GZ123" s="48">
        <f t="shared" si="1396"/>
        <v>0.70999999999999985</v>
      </c>
      <c r="HA123" s="48">
        <f t="shared" si="1396"/>
        <v>0.68999999999999984</v>
      </c>
      <c r="HB123" s="48">
        <f t="shared" si="1396"/>
        <v>0.66999999999999982</v>
      </c>
      <c r="HC123" s="48">
        <f t="shared" si="1396"/>
        <v>0.6499999999999998</v>
      </c>
      <c r="HD123" s="48">
        <f t="shared" si="1396"/>
        <v>0.62999999999999978</v>
      </c>
      <c r="HE123" s="48">
        <f t="shared" si="1396"/>
        <v>0.60999999999999976</v>
      </c>
      <c r="HF123" s="48">
        <f t="shared" si="1396"/>
        <v>0.58999999999999975</v>
      </c>
      <c r="HG123" s="48">
        <f t="shared" si="1396"/>
        <v>0.56999999999999973</v>
      </c>
    </row>
    <row r="124" spans="1:215" ht="17.25" customHeight="1" x14ac:dyDescent="0.3">
      <c r="A124" s="2">
        <v>9</v>
      </c>
      <c r="C124" s="29" t="s">
        <v>187</v>
      </c>
      <c r="D124" s="44">
        <f>TRUNC(20471.0554542392,-1)</f>
        <v>20470</v>
      </c>
      <c r="E124" s="73">
        <f t="shared" si="1230"/>
        <v>67660</v>
      </c>
      <c r="G124" s="48">
        <f t="shared" si="948"/>
        <v>22517</v>
      </c>
      <c r="H124" s="48">
        <f t="shared" si="949"/>
        <v>22517</v>
      </c>
      <c r="I124" s="51">
        <f t="shared" si="950"/>
        <v>74436.698600000003</v>
      </c>
      <c r="J124" s="48">
        <f t="shared" si="1231"/>
        <v>21841.489999999998</v>
      </c>
      <c r="K124" s="51">
        <f t="shared" si="1232"/>
        <v>72203.597641999993</v>
      </c>
      <c r="L124" s="48">
        <f t="shared" si="1233"/>
        <v>21391.149999999998</v>
      </c>
      <c r="M124" s="51">
        <f t="shared" si="1234"/>
        <v>70714.863669999992</v>
      </c>
      <c r="N124" s="48">
        <f t="shared" si="1235"/>
        <v>20940.810000000001</v>
      </c>
      <c r="O124" s="51">
        <f t="shared" si="1236"/>
        <v>69226.129698000004</v>
      </c>
      <c r="P124" s="52">
        <f t="shared" si="1237"/>
        <v>20490.47</v>
      </c>
      <c r="Q124" s="51">
        <f t="shared" si="1238"/>
        <v>67737.395726000002</v>
      </c>
      <c r="R124" s="48">
        <f t="shared" si="1239"/>
        <v>20040.13</v>
      </c>
      <c r="S124" s="51">
        <f t="shared" si="1240"/>
        <v>66248.661754000001</v>
      </c>
      <c r="T124" s="52">
        <f t="shared" si="1241"/>
        <v>19589.79</v>
      </c>
      <c r="U124" s="51">
        <f t="shared" si="1242"/>
        <v>64759.927782000006</v>
      </c>
      <c r="V124" s="53">
        <f t="shared" si="1243"/>
        <v>19139.45</v>
      </c>
      <c r="W124" s="51">
        <f t="shared" si="1244"/>
        <v>63271.193810000004</v>
      </c>
      <c r="X124" s="52">
        <f t="shared" si="1245"/>
        <v>18689.11</v>
      </c>
      <c r="Y124" s="51">
        <f t="shared" si="1246"/>
        <v>61782.459838000002</v>
      </c>
      <c r="Z124" s="48">
        <f t="shared" si="1247"/>
        <v>18238.77</v>
      </c>
      <c r="AA124" s="51">
        <f t="shared" si="1248"/>
        <v>60293.725866000001</v>
      </c>
      <c r="AB124" s="53">
        <f t="shared" si="1249"/>
        <v>17788.429999999997</v>
      </c>
      <c r="AC124" s="51">
        <f t="shared" si="1250"/>
        <v>58804.991893999992</v>
      </c>
      <c r="AD124" s="53">
        <f t="shared" si="1251"/>
        <v>17338.089999999997</v>
      </c>
      <c r="AE124" s="51">
        <f t="shared" si="1252"/>
        <v>57316.25792199999</v>
      </c>
      <c r="AF124" s="53">
        <f t="shared" si="1253"/>
        <v>16887.749999999996</v>
      </c>
      <c r="AG124" s="51">
        <f t="shared" si="1254"/>
        <v>55827.523949999988</v>
      </c>
      <c r="AH124" s="48">
        <f t="shared" si="1255"/>
        <v>16437.409999999996</v>
      </c>
      <c r="AI124" s="51">
        <f t="shared" si="1256"/>
        <v>54338.789977999986</v>
      </c>
      <c r="AJ124" s="53">
        <f t="shared" si="1257"/>
        <v>15987.069999999996</v>
      </c>
      <c r="AK124" s="51">
        <f t="shared" si="1258"/>
        <v>52850.056005999992</v>
      </c>
      <c r="AL124" s="53">
        <f t="shared" si="1259"/>
        <v>15536.729999999996</v>
      </c>
      <c r="AM124" s="51">
        <f t="shared" si="1260"/>
        <v>51361.32203399999</v>
      </c>
      <c r="AN124" s="53">
        <f t="shared" si="1261"/>
        <v>15086.389999999996</v>
      </c>
      <c r="AO124" s="51">
        <f t="shared" si="1262"/>
        <v>49872.588061999988</v>
      </c>
      <c r="AP124" s="53">
        <f t="shared" si="1263"/>
        <v>14636.049999999996</v>
      </c>
      <c r="AQ124" s="51">
        <f t="shared" si="1264"/>
        <v>48383.854089999986</v>
      </c>
      <c r="AR124" s="48">
        <f t="shared" si="1265"/>
        <v>14185.709999999995</v>
      </c>
      <c r="AS124" s="51">
        <f t="shared" si="1266"/>
        <v>46895.120117999984</v>
      </c>
      <c r="AT124" s="53">
        <f t="shared" si="1267"/>
        <v>13735.369999999995</v>
      </c>
      <c r="AU124" s="51">
        <f t="shared" si="1268"/>
        <v>45406.386145999983</v>
      </c>
      <c r="AV124" s="53">
        <f t="shared" si="1269"/>
        <v>13285.029999999995</v>
      </c>
      <c r="AW124" s="51">
        <f t="shared" si="1270"/>
        <v>43917.652173999988</v>
      </c>
      <c r="AX124" s="48">
        <f t="shared" si="1271"/>
        <v>12834.689999999993</v>
      </c>
      <c r="AY124" s="51">
        <f t="shared" si="1272"/>
        <v>42428.918201999979</v>
      </c>
      <c r="BB124" s="48">
        <v>1</v>
      </c>
      <c r="BC124" s="48">
        <v>0.97</v>
      </c>
      <c r="BD124" s="48">
        <v>0.95</v>
      </c>
      <c r="BE124" s="48">
        <v>0.93</v>
      </c>
      <c r="BF124" s="48">
        <f t="shared" ref="BF124:BW124" si="1397">+BE124-0.02</f>
        <v>0.91</v>
      </c>
      <c r="BG124" s="48">
        <f t="shared" si="1397"/>
        <v>0.89</v>
      </c>
      <c r="BH124" s="48">
        <f t="shared" si="1397"/>
        <v>0.87</v>
      </c>
      <c r="BI124" s="48">
        <f t="shared" si="1397"/>
        <v>0.85</v>
      </c>
      <c r="BJ124" s="48">
        <f t="shared" si="1397"/>
        <v>0.83</v>
      </c>
      <c r="BK124" s="48">
        <f t="shared" si="1397"/>
        <v>0.80999999999999994</v>
      </c>
      <c r="BL124" s="48">
        <f t="shared" si="1397"/>
        <v>0.78999999999999992</v>
      </c>
      <c r="BM124" s="48">
        <f t="shared" si="1397"/>
        <v>0.76999999999999991</v>
      </c>
      <c r="BN124" s="48">
        <f t="shared" si="1397"/>
        <v>0.74999999999999989</v>
      </c>
      <c r="BO124" s="48">
        <f t="shared" si="1397"/>
        <v>0.72999999999999987</v>
      </c>
      <c r="BP124" s="48">
        <f t="shared" si="1397"/>
        <v>0.70999999999999985</v>
      </c>
      <c r="BQ124" s="48">
        <f t="shared" si="1397"/>
        <v>0.68999999999999984</v>
      </c>
      <c r="BR124" s="48">
        <f t="shared" si="1397"/>
        <v>0.66999999999999982</v>
      </c>
      <c r="BS124" s="48">
        <f t="shared" si="1397"/>
        <v>0.6499999999999998</v>
      </c>
      <c r="BT124" s="48">
        <f t="shared" si="1397"/>
        <v>0.62999999999999978</v>
      </c>
      <c r="BU124" s="48">
        <f t="shared" si="1397"/>
        <v>0.60999999999999976</v>
      </c>
      <c r="BV124" s="48">
        <f t="shared" si="1397"/>
        <v>0.58999999999999975</v>
      </c>
      <c r="BW124" s="48">
        <f t="shared" si="1397"/>
        <v>0.56999999999999973</v>
      </c>
      <c r="BY124" s="48">
        <f t="shared" si="952"/>
        <v>20490.47</v>
      </c>
      <c r="BZ124" s="48">
        <f t="shared" si="953"/>
        <v>20490.47</v>
      </c>
      <c r="CA124" s="51">
        <f t="shared" ref="CA124" si="1398">+BZ124*3.3058</f>
        <v>67737.395726000002</v>
      </c>
      <c r="CB124" s="48">
        <f t="shared" si="1275"/>
        <v>19875.7559</v>
      </c>
      <c r="CC124" s="51">
        <f t="shared" si="1276"/>
        <v>65705.273854219995</v>
      </c>
      <c r="CD124" s="48">
        <f t="shared" si="1277"/>
        <v>19465.946500000002</v>
      </c>
      <c r="CE124" s="51">
        <f t="shared" si="1278"/>
        <v>64350.525939700005</v>
      </c>
      <c r="CF124" s="48">
        <f t="shared" si="1279"/>
        <v>19056.137100000004</v>
      </c>
      <c r="CG124" s="51">
        <f t="shared" si="1280"/>
        <v>62995.778025180014</v>
      </c>
      <c r="CH124" s="52">
        <f t="shared" si="1281"/>
        <v>18646.327700000002</v>
      </c>
      <c r="CI124" s="51">
        <f t="shared" si="1282"/>
        <v>61641.030110660009</v>
      </c>
      <c r="CJ124" s="48">
        <f t="shared" si="1283"/>
        <v>18236.5183</v>
      </c>
      <c r="CK124" s="51">
        <f t="shared" si="1284"/>
        <v>60286.282196139997</v>
      </c>
      <c r="CL124" s="52">
        <f t="shared" si="1285"/>
        <v>17826.708900000001</v>
      </c>
      <c r="CM124" s="51">
        <f t="shared" si="1286"/>
        <v>58931.534281620006</v>
      </c>
      <c r="CN124" s="53">
        <f t="shared" si="1287"/>
        <v>17416.8995</v>
      </c>
      <c r="CO124" s="51">
        <f t="shared" si="1288"/>
        <v>57576.786367100001</v>
      </c>
      <c r="CP124" s="52">
        <f t="shared" si="1289"/>
        <v>17007.090100000001</v>
      </c>
      <c r="CQ124" s="51">
        <f t="shared" si="1290"/>
        <v>56222.038452580004</v>
      </c>
      <c r="CR124" s="48">
        <f t="shared" si="1291"/>
        <v>16597.280699999999</v>
      </c>
      <c r="CS124" s="51">
        <f t="shared" si="1292"/>
        <v>54867.290538059999</v>
      </c>
      <c r="CT124" s="53">
        <f t="shared" si="1293"/>
        <v>16187.471299999999</v>
      </c>
      <c r="CU124" s="51">
        <f t="shared" si="1294"/>
        <v>53512.542623540001</v>
      </c>
      <c r="CV124" s="53">
        <f t="shared" si="1295"/>
        <v>15777.661899999999</v>
      </c>
      <c r="CW124" s="51">
        <f t="shared" si="1296"/>
        <v>52157.794709019996</v>
      </c>
      <c r="CX124" s="53">
        <f t="shared" si="1297"/>
        <v>15367.852499999999</v>
      </c>
      <c r="CY124" s="51">
        <f t="shared" si="1298"/>
        <v>50803.046794499998</v>
      </c>
      <c r="CZ124" s="48">
        <f t="shared" si="1299"/>
        <v>14958.043099999999</v>
      </c>
      <c r="DA124" s="51">
        <f t="shared" si="1300"/>
        <v>49448.29887998</v>
      </c>
      <c r="DB124" s="53">
        <f t="shared" si="1301"/>
        <v>14548.233699999997</v>
      </c>
      <c r="DC124" s="51">
        <f t="shared" si="1302"/>
        <v>48093.550965459988</v>
      </c>
      <c r="DD124" s="53">
        <f t="shared" si="1303"/>
        <v>14138.424299999997</v>
      </c>
      <c r="DE124" s="51">
        <f t="shared" si="1304"/>
        <v>46738.80305093999</v>
      </c>
      <c r="DF124" s="53">
        <f t="shared" si="1305"/>
        <v>13728.614899999997</v>
      </c>
      <c r="DG124" s="51">
        <f t="shared" si="1306"/>
        <v>45384.055136419993</v>
      </c>
      <c r="DH124" s="53">
        <f t="shared" si="1307"/>
        <v>13318.805499999997</v>
      </c>
      <c r="DI124" s="51">
        <f t="shared" si="1308"/>
        <v>44029.307221899988</v>
      </c>
      <c r="DJ124" s="48">
        <f t="shared" si="1309"/>
        <v>12908.996099999997</v>
      </c>
      <c r="DK124" s="51">
        <f t="shared" si="1310"/>
        <v>42674.55930737999</v>
      </c>
      <c r="DL124" s="53">
        <f t="shared" si="1311"/>
        <v>12499.186699999997</v>
      </c>
      <c r="DM124" s="51">
        <f t="shared" si="1312"/>
        <v>41319.811392859992</v>
      </c>
      <c r="DN124" s="53">
        <f t="shared" si="1313"/>
        <v>12089.377299999995</v>
      </c>
      <c r="DO124" s="51">
        <f t="shared" si="1314"/>
        <v>39965.06347833998</v>
      </c>
      <c r="DP124" s="48">
        <f t="shared" si="1315"/>
        <v>11679.567899999995</v>
      </c>
      <c r="DQ124" s="51">
        <f t="shared" si="1316"/>
        <v>38610.315563819982</v>
      </c>
      <c r="DT124" s="48">
        <v>1</v>
      </c>
      <c r="DU124" s="48">
        <v>0.97</v>
      </c>
      <c r="DV124" s="48">
        <v>0.95</v>
      </c>
      <c r="DW124" s="48">
        <v>0.93</v>
      </c>
      <c r="DX124" s="48">
        <f t="shared" ref="DX124:EO124" si="1399">+DW124-0.02</f>
        <v>0.91</v>
      </c>
      <c r="DY124" s="48">
        <f t="shared" si="1399"/>
        <v>0.89</v>
      </c>
      <c r="DZ124" s="48">
        <f t="shared" si="1399"/>
        <v>0.87</v>
      </c>
      <c r="EA124" s="48">
        <f t="shared" si="1399"/>
        <v>0.85</v>
      </c>
      <c r="EB124" s="48">
        <f t="shared" si="1399"/>
        <v>0.83</v>
      </c>
      <c r="EC124" s="48">
        <f t="shared" si="1399"/>
        <v>0.80999999999999994</v>
      </c>
      <c r="ED124" s="48">
        <f t="shared" si="1399"/>
        <v>0.78999999999999992</v>
      </c>
      <c r="EE124" s="48">
        <f t="shared" si="1399"/>
        <v>0.76999999999999991</v>
      </c>
      <c r="EF124" s="48">
        <f t="shared" si="1399"/>
        <v>0.74999999999999989</v>
      </c>
      <c r="EG124" s="48">
        <f t="shared" si="1399"/>
        <v>0.72999999999999987</v>
      </c>
      <c r="EH124" s="48">
        <f t="shared" si="1399"/>
        <v>0.70999999999999985</v>
      </c>
      <c r="EI124" s="48">
        <f t="shared" si="1399"/>
        <v>0.68999999999999984</v>
      </c>
      <c r="EJ124" s="48">
        <f t="shared" si="1399"/>
        <v>0.66999999999999982</v>
      </c>
      <c r="EK124" s="48">
        <f t="shared" si="1399"/>
        <v>0.6499999999999998</v>
      </c>
      <c r="EL124" s="48">
        <f t="shared" si="1399"/>
        <v>0.62999999999999978</v>
      </c>
      <c r="EM124" s="48">
        <f t="shared" si="1399"/>
        <v>0.60999999999999976</v>
      </c>
      <c r="EN124" s="48">
        <f t="shared" si="1399"/>
        <v>0.58999999999999975</v>
      </c>
      <c r="EO124" s="48">
        <f t="shared" si="1399"/>
        <v>0.56999999999999973</v>
      </c>
      <c r="EQ124" s="48">
        <f t="shared" si="1128"/>
        <v>18646.327700000002</v>
      </c>
      <c r="ER124" s="48">
        <f t="shared" si="956"/>
        <v>18646.327700000002</v>
      </c>
      <c r="ES124" s="51">
        <f t="shared" ref="ES124" si="1400">+ER124*3.3058</f>
        <v>61641.030110660009</v>
      </c>
      <c r="ET124" s="48">
        <f t="shared" si="1319"/>
        <v>18086.937869000001</v>
      </c>
      <c r="EU124" s="51">
        <f t="shared" si="1320"/>
        <v>59791.799207340206</v>
      </c>
      <c r="EV124" s="48">
        <f t="shared" si="1321"/>
        <v>17714.011315</v>
      </c>
      <c r="EW124" s="51">
        <f t="shared" si="1322"/>
        <v>58558.978605126998</v>
      </c>
      <c r="EX124" s="48">
        <f t="shared" si="1323"/>
        <v>17341.084761000002</v>
      </c>
      <c r="EY124" s="51">
        <f t="shared" si="1324"/>
        <v>57326.158002913806</v>
      </c>
      <c r="EZ124" s="52">
        <f t="shared" si="1325"/>
        <v>16968.158207</v>
      </c>
      <c r="FA124" s="51">
        <f t="shared" si="1326"/>
        <v>56093.337400700606</v>
      </c>
      <c r="FB124" s="48">
        <f t="shared" si="1327"/>
        <v>16595.231653000003</v>
      </c>
      <c r="FC124" s="51">
        <f t="shared" si="1328"/>
        <v>54860.516798487406</v>
      </c>
      <c r="FD124" s="52">
        <f t="shared" si="1329"/>
        <v>16222.305099000001</v>
      </c>
      <c r="FE124" s="51">
        <f t="shared" si="1330"/>
        <v>53627.696196274206</v>
      </c>
      <c r="FF124" s="53">
        <f t="shared" si="1331"/>
        <v>15849.378545000001</v>
      </c>
      <c r="FG124" s="51">
        <f t="shared" si="1332"/>
        <v>52394.875594061006</v>
      </c>
      <c r="FH124" s="52">
        <f t="shared" si="1333"/>
        <v>15476.451991</v>
      </c>
      <c r="FI124" s="51">
        <f t="shared" si="1334"/>
        <v>51162.054991847799</v>
      </c>
      <c r="FJ124" s="48">
        <f t="shared" si="1335"/>
        <v>15103.525437</v>
      </c>
      <c r="FK124" s="51">
        <f t="shared" si="1336"/>
        <v>49929.234389634599</v>
      </c>
      <c r="FL124" s="53">
        <f t="shared" si="1337"/>
        <v>14730.598883000001</v>
      </c>
      <c r="FM124" s="51">
        <f t="shared" si="1338"/>
        <v>48696.413787421399</v>
      </c>
      <c r="FN124" s="53">
        <f t="shared" si="1339"/>
        <v>14357.672328999999</v>
      </c>
      <c r="FO124" s="51">
        <f t="shared" si="1340"/>
        <v>47463.593185208199</v>
      </c>
      <c r="FP124" s="53">
        <f t="shared" si="1341"/>
        <v>13984.745774999999</v>
      </c>
      <c r="FQ124" s="51">
        <f t="shared" si="1342"/>
        <v>46230.772582995</v>
      </c>
      <c r="FR124" s="48">
        <f t="shared" si="1343"/>
        <v>13611.819220999998</v>
      </c>
      <c r="FS124" s="51">
        <f t="shared" si="1344"/>
        <v>44997.951980781792</v>
      </c>
      <c r="FT124" s="53">
        <f t="shared" si="1345"/>
        <v>13238.892666999998</v>
      </c>
      <c r="FU124" s="51">
        <f t="shared" si="1346"/>
        <v>43765.131378568592</v>
      </c>
      <c r="FV124" s="53">
        <f t="shared" si="1347"/>
        <v>12865.966112999999</v>
      </c>
      <c r="FW124" s="51">
        <f t="shared" si="1348"/>
        <v>42532.3107763554</v>
      </c>
      <c r="FX124" s="53">
        <f t="shared" si="1349"/>
        <v>12493.039558999997</v>
      </c>
      <c r="FY124" s="51">
        <f t="shared" si="1350"/>
        <v>41299.490174142193</v>
      </c>
      <c r="FZ124" s="53">
        <f t="shared" si="1351"/>
        <v>12120.113004999997</v>
      </c>
      <c r="GA124" s="51">
        <f t="shared" si="1352"/>
        <v>40066.669571928993</v>
      </c>
      <c r="GB124" s="48">
        <f t="shared" si="1353"/>
        <v>11747.186450999998</v>
      </c>
      <c r="GC124" s="51">
        <f t="shared" si="1354"/>
        <v>38833.848969715793</v>
      </c>
      <c r="GD124" s="53">
        <f t="shared" si="1355"/>
        <v>11374.259896999996</v>
      </c>
      <c r="GE124" s="51">
        <f t="shared" si="1356"/>
        <v>37601.028367502586</v>
      </c>
      <c r="GF124" s="53">
        <f t="shared" si="1357"/>
        <v>11001.333342999997</v>
      </c>
      <c r="GG124" s="51">
        <f t="shared" si="1358"/>
        <v>36368.207765289393</v>
      </c>
      <c r="GH124" s="48">
        <f t="shared" si="1359"/>
        <v>10628.406788999995</v>
      </c>
      <c r="GI124" s="51">
        <f t="shared" si="1360"/>
        <v>35135.387163076186</v>
      </c>
      <c r="GJ124" s="48"/>
      <c r="GK124" s="48"/>
      <c r="GL124" s="48">
        <v>1</v>
      </c>
      <c r="GM124" s="48">
        <v>0.97</v>
      </c>
      <c r="GN124" s="48">
        <v>0.95</v>
      </c>
      <c r="GO124" s="48">
        <v>0.93</v>
      </c>
      <c r="GP124" s="48">
        <f t="shared" ref="GP124:HG124" si="1401">+GO124-0.02</f>
        <v>0.91</v>
      </c>
      <c r="GQ124" s="48">
        <f t="shared" si="1401"/>
        <v>0.89</v>
      </c>
      <c r="GR124" s="48">
        <f t="shared" si="1401"/>
        <v>0.87</v>
      </c>
      <c r="GS124" s="48">
        <f t="shared" si="1401"/>
        <v>0.85</v>
      </c>
      <c r="GT124" s="48">
        <f t="shared" si="1401"/>
        <v>0.83</v>
      </c>
      <c r="GU124" s="48">
        <f t="shared" si="1401"/>
        <v>0.80999999999999994</v>
      </c>
      <c r="GV124" s="48">
        <f t="shared" si="1401"/>
        <v>0.78999999999999992</v>
      </c>
      <c r="GW124" s="48">
        <f t="shared" si="1401"/>
        <v>0.76999999999999991</v>
      </c>
      <c r="GX124" s="48">
        <f t="shared" si="1401"/>
        <v>0.74999999999999989</v>
      </c>
      <c r="GY124" s="48">
        <f t="shared" si="1401"/>
        <v>0.72999999999999987</v>
      </c>
      <c r="GZ124" s="48">
        <f t="shared" si="1401"/>
        <v>0.70999999999999985</v>
      </c>
      <c r="HA124" s="48">
        <f t="shared" si="1401"/>
        <v>0.68999999999999984</v>
      </c>
      <c r="HB124" s="48">
        <f t="shared" si="1401"/>
        <v>0.66999999999999982</v>
      </c>
      <c r="HC124" s="48">
        <f t="shared" si="1401"/>
        <v>0.6499999999999998</v>
      </c>
      <c r="HD124" s="48">
        <f t="shared" si="1401"/>
        <v>0.62999999999999978</v>
      </c>
      <c r="HE124" s="48">
        <f t="shared" si="1401"/>
        <v>0.60999999999999976</v>
      </c>
      <c r="HF124" s="48">
        <f t="shared" si="1401"/>
        <v>0.58999999999999975</v>
      </c>
      <c r="HG124" s="48">
        <f t="shared" si="1401"/>
        <v>0.56999999999999973</v>
      </c>
    </row>
    <row r="125" spans="1:215" x14ac:dyDescent="0.3">
      <c r="A125" s="2">
        <v>10</v>
      </c>
      <c r="C125" s="29" t="s">
        <v>156</v>
      </c>
      <c r="D125" s="44">
        <f>TRUNC(23933.8359139959,-1)</f>
        <v>23930</v>
      </c>
      <c r="E125" s="73">
        <f t="shared" si="1230"/>
        <v>79100</v>
      </c>
      <c r="G125" s="48">
        <f t="shared" si="948"/>
        <v>26323.000000000004</v>
      </c>
      <c r="H125" s="48">
        <f t="shared" si="949"/>
        <v>26323.000000000004</v>
      </c>
      <c r="I125" s="51">
        <f t="shared" si="950"/>
        <v>87018.573400000008</v>
      </c>
      <c r="J125" s="48">
        <f t="shared" si="1231"/>
        <v>25533.31</v>
      </c>
      <c r="K125" s="51">
        <f t="shared" si="1232"/>
        <v>84408.016198000012</v>
      </c>
      <c r="L125" s="48">
        <f t="shared" si="1233"/>
        <v>25006.850000000002</v>
      </c>
      <c r="M125" s="51">
        <f t="shared" si="1234"/>
        <v>82667.644730000015</v>
      </c>
      <c r="N125" s="48">
        <f t="shared" si="1235"/>
        <v>24480.390000000003</v>
      </c>
      <c r="O125" s="51">
        <f t="shared" si="1236"/>
        <v>80927.273262000017</v>
      </c>
      <c r="P125" s="52">
        <f t="shared" si="1237"/>
        <v>23953.930000000004</v>
      </c>
      <c r="Q125" s="51">
        <f t="shared" si="1238"/>
        <v>79186.901794000019</v>
      </c>
      <c r="R125" s="48">
        <f t="shared" si="1239"/>
        <v>23427.470000000005</v>
      </c>
      <c r="S125" s="51">
        <f t="shared" si="1240"/>
        <v>77446.530326000022</v>
      </c>
      <c r="T125" s="52">
        <f t="shared" si="1241"/>
        <v>22901.010000000002</v>
      </c>
      <c r="U125" s="51">
        <f t="shared" si="1242"/>
        <v>75706.15885800001</v>
      </c>
      <c r="V125" s="53">
        <f t="shared" si="1243"/>
        <v>22374.550000000003</v>
      </c>
      <c r="W125" s="51">
        <f t="shared" si="1244"/>
        <v>73965.787390000012</v>
      </c>
      <c r="X125" s="52">
        <f t="shared" si="1245"/>
        <v>21848.090000000004</v>
      </c>
      <c r="Y125" s="51">
        <f t="shared" si="1246"/>
        <v>72225.415922000015</v>
      </c>
      <c r="Z125" s="48">
        <f t="shared" si="1247"/>
        <v>21321.63</v>
      </c>
      <c r="AA125" s="51">
        <f t="shared" si="1248"/>
        <v>70485.044454000003</v>
      </c>
      <c r="AB125" s="53">
        <f t="shared" si="1249"/>
        <v>20795.170000000002</v>
      </c>
      <c r="AC125" s="51">
        <f t="shared" si="1250"/>
        <v>68744.672986000005</v>
      </c>
      <c r="AD125" s="53">
        <f t="shared" si="1251"/>
        <v>20268.71</v>
      </c>
      <c r="AE125" s="51">
        <f t="shared" si="1252"/>
        <v>67004.301517999993</v>
      </c>
      <c r="AF125" s="53">
        <f t="shared" si="1253"/>
        <v>19742.25</v>
      </c>
      <c r="AG125" s="51">
        <f t="shared" si="1254"/>
        <v>65263.930050000003</v>
      </c>
      <c r="AH125" s="48">
        <f t="shared" si="1255"/>
        <v>19215.79</v>
      </c>
      <c r="AI125" s="51">
        <f t="shared" si="1256"/>
        <v>63523.558582000005</v>
      </c>
      <c r="AJ125" s="53">
        <f t="shared" si="1257"/>
        <v>18689.329999999998</v>
      </c>
      <c r="AK125" s="51">
        <f t="shared" si="1258"/>
        <v>61783.187113999993</v>
      </c>
      <c r="AL125" s="53">
        <f t="shared" si="1259"/>
        <v>18162.87</v>
      </c>
      <c r="AM125" s="51">
        <f t="shared" si="1260"/>
        <v>60042.815645999995</v>
      </c>
      <c r="AN125" s="53">
        <f t="shared" si="1261"/>
        <v>17636.409999999996</v>
      </c>
      <c r="AO125" s="51">
        <f t="shared" si="1262"/>
        <v>58302.444177999991</v>
      </c>
      <c r="AP125" s="53">
        <f t="shared" si="1263"/>
        <v>17109.949999999997</v>
      </c>
      <c r="AQ125" s="51">
        <f t="shared" si="1264"/>
        <v>56562.072709999993</v>
      </c>
      <c r="AR125" s="48">
        <f t="shared" si="1265"/>
        <v>16583.489999999998</v>
      </c>
      <c r="AS125" s="51">
        <f t="shared" si="1266"/>
        <v>54821.701241999996</v>
      </c>
      <c r="AT125" s="53">
        <f t="shared" si="1267"/>
        <v>16057.029999999995</v>
      </c>
      <c r="AU125" s="51">
        <f t="shared" si="1268"/>
        <v>53081.329773999983</v>
      </c>
      <c r="AV125" s="53">
        <f t="shared" si="1269"/>
        <v>15530.569999999996</v>
      </c>
      <c r="AW125" s="51">
        <f t="shared" si="1270"/>
        <v>51340.958305999986</v>
      </c>
      <c r="AX125" s="48">
        <f t="shared" si="1271"/>
        <v>15004.109999999995</v>
      </c>
      <c r="AY125" s="51">
        <f t="shared" si="1272"/>
        <v>49600.586837999988</v>
      </c>
      <c r="BB125" s="48">
        <v>1</v>
      </c>
      <c r="BC125" s="48">
        <v>0.97</v>
      </c>
      <c r="BD125" s="48">
        <v>0.95</v>
      </c>
      <c r="BE125" s="48">
        <v>0.93</v>
      </c>
      <c r="BF125" s="48">
        <f t="shared" ref="BF125:BW125" si="1402">+BE125-0.02</f>
        <v>0.91</v>
      </c>
      <c r="BG125" s="48">
        <f t="shared" si="1402"/>
        <v>0.89</v>
      </c>
      <c r="BH125" s="48">
        <f t="shared" si="1402"/>
        <v>0.87</v>
      </c>
      <c r="BI125" s="48">
        <f t="shared" si="1402"/>
        <v>0.85</v>
      </c>
      <c r="BJ125" s="48">
        <f t="shared" si="1402"/>
        <v>0.83</v>
      </c>
      <c r="BK125" s="48">
        <f t="shared" si="1402"/>
        <v>0.80999999999999994</v>
      </c>
      <c r="BL125" s="48">
        <f t="shared" si="1402"/>
        <v>0.78999999999999992</v>
      </c>
      <c r="BM125" s="48">
        <f t="shared" si="1402"/>
        <v>0.76999999999999991</v>
      </c>
      <c r="BN125" s="48">
        <f t="shared" si="1402"/>
        <v>0.74999999999999989</v>
      </c>
      <c r="BO125" s="48">
        <f t="shared" si="1402"/>
        <v>0.72999999999999987</v>
      </c>
      <c r="BP125" s="48">
        <f t="shared" si="1402"/>
        <v>0.70999999999999985</v>
      </c>
      <c r="BQ125" s="48">
        <f t="shared" si="1402"/>
        <v>0.68999999999999984</v>
      </c>
      <c r="BR125" s="48">
        <f t="shared" si="1402"/>
        <v>0.66999999999999982</v>
      </c>
      <c r="BS125" s="48">
        <f t="shared" si="1402"/>
        <v>0.6499999999999998</v>
      </c>
      <c r="BT125" s="48">
        <f t="shared" si="1402"/>
        <v>0.62999999999999978</v>
      </c>
      <c r="BU125" s="48">
        <f t="shared" si="1402"/>
        <v>0.60999999999999976</v>
      </c>
      <c r="BV125" s="48">
        <f t="shared" si="1402"/>
        <v>0.58999999999999975</v>
      </c>
      <c r="BW125" s="48">
        <f t="shared" si="1402"/>
        <v>0.56999999999999973</v>
      </c>
      <c r="BY125" s="48">
        <f t="shared" si="952"/>
        <v>23953.930000000004</v>
      </c>
      <c r="BZ125" s="48">
        <f t="shared" si="953"/>
        <v>23953.930000000004</v>
      </c>
      <c r="CA125" s="51">
        <f t="shared" ref="CA125" si="1403">+BZ125*3.3058</f>
        <v>79186.901794000019</v>
      </c>
      <c r="CB125" s="48">
        <f t="shared" si="1275"/>
        <v>23235.312100000003</v>
      </c>
      <c r="CC125" s="51">
        <f t="shared" si="1276"/>
        <v>76811.294740180005</v>
      </c>
      <c r="CD125" s="48">
        <f t="shared" si="1277"/>
        <v>22756.233500000002</v>
      </c>
      <c r="CE125" s="51">
        <f t="shared" si="1278"/>
        <v>75227.556704300005</v>
      </c>
      <c r="CF125" s="48">
        <f t="shared" si="1279"/>
        <v>22277.154900000005</v>
      </c>
      <c r="CG125" s="51">
        <f t="shared" si="1280"/>
        <v>73643.818668420019</v>
      </c>
      <c r="CH125" s="52">
        <f t="shared" si="1281"/>
        <v>21798.076300000004</v>
      </c>
      <c r="CI125" s="51">
        <f t="shared" si="1282"/>
        <v>72060.080632540019</v>
      </c>
      <c r="CJ125" s="48">
        <f t="shared" si="1283"/>
        <v>21318.997700000004</v>
      </c>
      <c r="CK125" s="51">
        <f t="shared" si="1284"/>
        <v>70476.342596660019</v>
      </c>
      <c r="CL125" s="52">
        <f t="shared" si="1285"/>
        <v>20839.919100000003</v>
      </c>
      <c r="CM125" s="51">
        <f t="shared" si="1286"/>
        <v>68892.604560780004</v>
      </c>
      <c r="CN125" s="53">
        <f t="shared" si="1287"/>
        <v>20360.840500000002</v>
      </c>
      <c r="CO125" s="51">
        <f t="shared" si="1288"/>
        <v>67308.866524900004</v>
      </c>
      <c r="CP125" s="52">
        <f t="shared" si="1289"/>
        <v>19881.761900000001</v>
      </c>
      <c r="CQ125" s="51">
        <f t="shared" si="1290"/>
        <v>65725.128489020004</v>
      </c>
      <c r="CR125" s="48">
        <f t="shared" si="1291"/>
        <v>19402.683300000001</v>
      </c>
      <c r="CS125" s="51">
        <f t="shared" si="1292"/>
        <v>64141.390453140004</v>
      </c>
      <c r="CT125" s="53">
        <f t="shared" si="1293"/>
        <v>18923.6047</v>
      </c>
      <c r="CU125" s="51">
        <f t="shared" si="1294"/>
        <v>62557.652417260004</v>
      </c>
      <c r="CV125" s="53">
        <f t="shared" si="1295"/>
        <v>18444.526099999999</v>
      </c>
      <c r="CW125" s="51">
        <f t="shared" si="1296"/>
        <v>60973.914381379996</v>
      </c>
      <c r="CX125" s="53">
        <f t="shared" si="1297"/>
        <v>17965.447500000002</v>
      </c>
      <c r="CY125" s="51">
        <f t="shared" si="1298"/>
        <v>59390.176345500011</v>
      </c>
      <c r="CZ125" s="48">
        <f t="shared" si="1299"/>
        <v>17486.368900000001</v>
      </c>
      <c r="DA125" s="51">
        <f t="shared" si="1300"/>
        <v>57806.438309620004</v>
      </c>
      <c r="DB125" s="53">
        <f t="shared" si="1301"/>
        <v>17007.290300000001</v>
      </c>
      <c r="DC125" s="51">
        <f t="shared" si="1302"/>
        <v>56222.700273740003</v>
      </c>
      <c r="DD125" s="53">
        <f t="shared" si="1303"/>
        <v>16528.2117</v>
      </c>
      <c r="DE125" s="51">
        <f t="shared" si="1304"/>
        <v>54638.962237860003</v>
      </c>
      <c r="DF125" s="53">
        <f t="shared" si="1305"/>
        <v>16049.133099999999</v>
      </c>
      <c r="DG125" s="51">
        <f t="shared" si="1306"/>
        <v>53055.224201979996</v>
      </c>
      <c r="DH125" s="53">
        <f t="shared" si="1307"/>
        <v>15570.054499999998</v>
      </c>
      <c r="DI125" s="51">
        <f t="shared" si="1308"/>
        <v>51471.486166099996</v>
      </c>
      <c r="DJ125" s="48">
        <f t="shared" si="1309"/>
        <v>15090.975899999998</v>
      </c>
      <c r="DK125" s="51">
        <f t="shared" si="1310"/>
        <v>49887.748130219996</v>
      </c>
      <c r="DL125" s="53">
        <f t="shared" si="1311"/>
        <v>14611.897299999997</v>
      </c>
      <c r="DM125" s="51">
        <f t="shared" si="1312"/>
        <v>48304.010094339988</v>
      </c>
      <c r="DN125" s="53">
        <f t="shared" si="1313"/>
        <v>14132.818699999996</v>
      </c>
      <c r="DO125" s="51">
        <f t="shared" si="1314"/>
        <v>46720.272058459988</v>
      </c>
      <c r="DP125" s="48">
        <f t="shared" si="1315"/>
        <v>13653.740099999995</v>
      </c>
      <c r="DQ125" s="51">
        <f t="shared" si="1316"/>
        <v>45136.534022579988</v>
      </c>
      <c r="DT125" s="48">
        <v>1</v>
      </c>
      <c r="DU125" s="48">
        <v>0.97</v>
      </c>
      <c r="DV125" s="48">
        <v>0.95</v>
      </c>
      <c r="DW125" s="48">
        <v>0.93</v>
      </c>
      <c r="DX125" s="48">
        <f t="shared" ref="DX125:EO125" si="1404">+DW125-0.02</f>
        <v>0.91</v>
      </c>
      <c r="DY125" s="48">
        <f t="shared" si="1404"/>
        <v>0.89</v>
      </c>
      <c r="DZ125" s="48">
        <f t="shared" si="1404"/>
        <v>0.87</v>
      </c>
      <c r="EA125" s="48">
        <f t="shared" si="1404"/>
        <v>0.85</v>
      </c>
      <c r="EB125" s="48">
        <f t="shared" si="1404"/>
        <v>0.83</v>
      </c>
      <c r="EC125" s="48">
        <f t="shared" si="1404"/>
        <v>0.80999999999999994</v>
      </c>
      <c r="ED125" s="48">
        <f t="shared" si="1404"/>
        <v>0.78999999999999992</v>
      </c>
      <c r="EE125" s="48">
        <f t="shared" si="1404"/>
        <v>0.76999999999999991</v>
      </c>
      <c r="EF125" s="48">
        <f t="shared" si="1404"/>
        <v>0.74999999999999989</v>
      </c>
      <c r="EG125" s="48">
        <f t="shared" si="1404"/>
        <v>0.72999999999999987</v>
      </c>
      <c r="EH125" s="48">
        <f t="shared" si="1404"/>
        <v>0.70999999999999985</v>
      </c>
      <c r="EI125" s="48">
        <f t="shared" si="1404"/>
        <v>0.68999999999999984</v>
      </c>
      <c r="EJ125" s="48">
        <f t="shared" si="1404"/>
        <v>0.66999999999999982</v>
      </c>
      <c r="EK125" s="48">
        <f t="shared" si="1404"/>
        <v>0.6499999999999998</v>
      </c>
      <c r="EL125" s="48">
        <f t="shared" si="1404"/>
        <v>0.62999999999999978</v>
      </c>
      <c r="EM125" s="48">
        <f t="shared" si="1404"/>
        <v>0.60999999999999976</v>
      </c>
      <c r="EN125" s="48">
        <f t="shared" si="1404"/>
        <v>0.58999999999999975</v>
      </c>
      <c r="EO125" s="48">
        <f t="shared" si="1404"/>
        <v>0.56999999999999973</v>
      </c>
      <c r="EQ125" s="48">
        <f t="shared" si="1128"/>
        <v>21798.076300000004</v>
      </c>
      <c r="ER125" s="48">
        <f t="shared" si="956"/>
        <v>21798.076300000004</v>
      </c>
      <c r="ES125" s="51">
        <f t="shared" ref="ES125" si="1405">+ER125*3.3058</f>
        <v>72060.080632540019</v>
      </c>
      <c r="ET125" s="48">
        <f t="shared" si="1319"/>
        <v>21144.134011000002</v>
      </c>
      <c r="EU125" s="51">
        <f t="shared" si="1320"/>
        <v>69898.278213563812</v>
      </c>
      <c r="EV125" s="48">
        <f t="shared" si="1321"/>
        <v>20708.172485000003</v>
      </c>
      <c r="EW125" s="51">
        <f t="shared" si="1322"/>
        <v>68457.076600913017</v>
      </c>
      <c r="EX125" s="48">
        <f t="shared" si="1323"/>
        <v>20272.210959000004</v>
      </c>
      <c r="EY125" s="51">
        <f t="shared" si="1324"/>
        <v>67015.874988262207</v>
      </c>
      <c r="EZ125" s="52">
        <f t="shared" si="1325"/>
        <v>19836.249433000005</v>
      </c>
      <c r="FA125" s="51">
        <f t="shared" si="1326"/>
        <v>65574.673375611412</v>
      </c>
      <c r="FB125" s="48">
        <f t="shared" si="1327"/>
        <v>19400.287907000005</v>
      </c>
      <c r="FC125" s="51">
        <f t="shared" si="1328"/>
        <v>64133.471762960617</v>
      </c>
      <c r="FD125" s="52">
        <f t="shared" si="1329"/>
        <v>18964.326381000003</v>
      </c>
      <c r="FE125" s="51">
        <f t="shared" si="1330"/>
        <v>62692.270150309807</v>
      </c>
      <c r="FF125" s="53">
        <f t="shared" si="1331"/>
        <v>18528.364855000003</v>
      </c>
      <c r="FG125" s="51">
        <f t="shared" si="1332"/>
        <v>61251.068537659012</v>
      </c>
      <c r="FH125" s="52">
        <f t="shared" si="1333"/>
        <v>18092.403329000004</v>
      </c>
      <c r="FI125" s="51">
        <f t="shared" si="1334"/>
        <v>59809.866925008217</v>
      </c>
      <c r="FJ125" s="48">
        <f t="shared" si="1335"/>
        <v>17656.441803000002</v>
      </c>
      <c r="FK125" s="51">
        <f t="shared" si="1336"/>
        <v>58368.665312357407</v>
      </c>
      <c r="FL125" s="53">
        <f t="shared" si="1337"/>
        <v>17220.480277000002</v>
      </c>
      <c r="FM125" s="51">
        <f t="shared" si="1338"/>
        <v>56927.463699706612</v>
      </c>
      <c r="FN125" s="53">
        <f t="shared" si="1339"/>
        <v>16784.518751</v>
      </c>
      <c r="FO125" s="51">
        <f t="shared" si="1340"/>
        <v>55486.262087055802</v>
      </c>
      <c r="FP125" s="53">
        <f t="shared" si="1341"/>
        <v>16348.557225</v>
      </c>
      <c r="FQ125" s="51">
        <f t="shared" si="1342"/>
        <v>54045.060474405</v>
      </c>
      <c r="FR125" s="48">
        <f t="shared" si="1343"/>
        <v>15912.595699</v>
      </c>
      <c r="FS125" s="51">
        <f t="shared" si="1344"/>
        <v>52603.858861754197</v>
      </c>
      <c r="FT125" s="53">
        <f t="shared" si="1345"/>
        <v>15476.634173</v>
      </c>
      <c r="FU125" s="51">
        <f t="shared" si="1346"/>
        <v>51162.657249103402</v>
      </c>
      <c r="FV125" s="53">
        <f t="shared" si="1347"/>
        <v>15040.672646999999</v>
      </c>
      <c r="FW125" s="51">
        <f t="shared" si="1348"/>
        <v>49721.4556364526</v>
      </c>
      <c r="FX125" s="53">
        <f t="shared" si="1349"/>
        <v>14604.711120999998</v>
      </c>
      <c r="FY125" s="51">
        <f t="shared" si="1350"/>
        <v>48280.254023801797</v>
      </c>
      <c r="FZ125" s="53">
        <f t="shared" si="1351"/>
        <v>14168.749594999999</v>
      </c>
      <c r="GA125" s="51">
        <f t="shared" si="1352"/>
        <v>46839.052411151002</v>
      </c>
      <c r="GB125" s="48">
        <f t="shared" si="1353"/>
        <v>13732.788068999998</v>
      </c>
      <c r="GC125" s="51">
        <f t="shared" si="1354"/>
        <v>45397.850798500192</v>
      </c>
      <c r="GD125" s="53">
        <f t="shared" si="1355"/>
        <v>13296.826542999997</v>
      </c>
      <c r="GE125" s="51">
        <f t="shared" si="1356"/>
        <v>43956.64918584939</v>
      </c>
      <c r="GF125" s="53">
        <f t="shared" si="1357"/>
        <v>12860.865016999996</v>
      </c>
      <c r="GG125" s="51">
        <f t="shared" si="1358"/>
        <v>42515.447573198588</v>
      </c>
      <c r="GH125" s="48">
        <f t="shared" si="1359"/>
        <v>12424.903490999997</v>
      </c>
      <c r="GI125" s="51">
        <f t="shared" si="1360"/>
        <v>41074.245960547792</v>
      </c>
      <c r="GJ125" s="48"/>
      <c r="GK125" s="48"/>
      <c r="GL125" s="48">
        <v>1</v>
      </c>
      <c r="GM125" s="48">
        <v>0.97</v>
      </c>
      <c r="GN125" s="48">
        <v>0.95</v>
      </c>
      <c r="GO125" s="48">
        <v>0.93</v>
      </c>
      <c r="GP125" s="48">
        <f t="shared" ref="GP125:HG125" si="1406">+GO125-0.02</f>
        <v>0.91</v>
      </c>
      <c r="GQ125" s="48">
        <f t="shared" si="1406"/>
        <v>0.89</v>
      </c>
      <c r="GR125" s="48">
        <f t="shared" si="1406"/>
        <v>0.87</v>
      </c>
      <c r="GS125" s="48">
        <f t="shared" si="1406"/>
        <v>0.85</v>
      </c>
      <c r="GT125" s="48">
        <f t="shared" si="1406"/>
        <v>0.83</v>
      </c>
      <c r="GU125" s="48">
        <f t="shared" si="1406"/>
        <v>0.80999999999999994</v>
      </c>
      <c r="GV125" s="48">
        <f t="shared" si="1406"/>
        <v>0.78999999999999992</v>
      </c>
      <c r="GW125" s="48">
        <f t="shared" si="1406"/>
        <v>0.76999999999999991</v>
      </c>
      <c r="GX125" s="48">
        <f t="shared" si="1406"/>
        <v>0.74999999999999989</v>
      </c>
      <c r="GY125" s="48">
        <f t="shared" si="1406"/>
        <v>0.72999999999999987</v>
      </c>
      <c r="GZ125" s="48">
        <f t="shared" si="1406"/>
        <v>0.70999999999999985</v>
      </c>
      <c r="HA125" s="48">
        <f t="shared" si="1406"/>
        <v>0.68999999999999984</v>
      </c>
      <c r="HB125" s="48">
        <f t="shared" si="1406"/>
        <v>0.66999999999999982</v>
      </c>
      <c r="HC125" s="48">
        <f t="shared" si="1406"/>
        <v>0.6499999999999998</v>
      </c>
      <c r="HD125" s="48">
        <f t="shared" si="1406"/>
        <v>0.62999999999999978</v>
      </c>
      <c r="HE125" s="48">
        <f t="shared" si="1406"/>
        <v>0.60999999999999976</v>
      </c>
      <c r="HF125" s="48">
        <f t="shared" si="1406"/>
        <v>0.58999999999999975</v>
      </c>
      <c r="HG125" s="48">
        <f t="shared" si="1406"/>
        <v>0.56999999999999973</v>
      </c>
    </row>
    <row r="126" spans="1:215" ht="17.25" thickBot="1" x14ac:dyDescent="0.35">
      <c r="A126" s="2">
        <v>11</v>
      </c>
      <c r="C126" s="29" t="s">
        <v>157</v>
      </c>
      <c r="D126" s="45">
        <f>TRUNC(63.4778194659016+189.510715654729
+3005.16939446387
+626.476344248394
+1597.15235395927
+358.914704549942
+2986.67556830722
+758.513178222537,-1)</f>
        <v>9580</v>
      </c>
      <c r="E126" s="74">
        <f t="shared" si="1230"/>
        <v>31660</v>
      </c>
      <c r="F126" s="2" t="s">
        <v>363</v>
      </c>
      <c r="G126" s="48">
        <f t="shared" si="948"/>
        <v>10538</v>
      </c>
      <c r="H126" s="48">
        <f t="shared" si="949"/>
        <v>10538</v>
      </c>
      <c r="I126" s="51">
        <f t="shared" si="950"/>
        <v>34836.520400000001</v>
      </c>
      <c r="J126" s="48">
        <f t="shared" si="1231"/>
        <v>10221.86</v>
      </c>
      <c r="K126" s="51">
        <f t="shared" si="1232"/>
        <v>33791.424788000004</v>
      </c>
      <c r="L126" s="48">
        <f t="shared" si="1233"/>
        <v>10011.1</v>
      </c>
      <c r="M126" s="51">
        <f t="shared" si="1234"/>
        <v>33094.694380000001</v>
      </c>
      <c r="N126" s="48">
        <f t="shared" si="1235"/>
        <v>9800.34</v>
      </c>
      <c r="O126" s="51">
        <f t="shared" si="1236"/>
        <v>32397.963972000001</v>
      </c>
      <c r="P126" s="52">
        <f t="shared" si="1237"/>
        <v>9589.58</v>
      </c>
      <c r="Q126" s="51">
        <f t="shared" si="1238"/>
        <v>31701.233564000002</v>
      </c>
      <c r="R126" s="48">
        <f t="shared" si="1239"/>
        <v>9378.82</v>
      </c>
      <c r="S126" s="51">
        <f t="shared" si="1240"/>
        <v>31004.503155999999</v>
      </c>
      <c r="T126" s="52">
        <f t="shared" si="1241"/>
        <v>9168.06</v>
      </c>
      <c r="U126" s="51">
        <f t="shared" si="1242"/>
        <v>30307.772747999999</v>
      </c>
      <c r="V126" s="53">
        <f t="shared" si="1243"/>
        <v>8957.2999999999993</v>
      </c>
      <c r="W126" s="51">
        <f t="shared" si="1244"/>
        <v>29611.04234</v>
      </c>
      <c r="X126" s="52">
        <f t="shared" si="1245"/>
        <v>8746.5399999999991</v>
      </c>
      <c r="Y126" s="51">
        <f t="shared" si="1246"/>
        <v>28914.311931999997</v>
      </c>
      <c r="Z126" s="48">
        <f t="shared" si="1247"/>
        <v>8535.7799999999988</v>
      </c>
      <c r="AA126" s="51">
        <f t="shared" si="1248"/>
        <v>28217.581523999997</v>
      </c>
      <c r="AB126" s="53">
        <f t="shared" si="1249"/>
        <v>8325.0199999999986</v>
      </c>
      <c r="AC126" s="51">
        <f t="shared" si="1250"/>
        <v>27520.851115999994</v>
      </c>
      <c r="AD126" s="53">
        <f t="shared" si="1251"/>
        <v>8114.2599999999993</v>
      </c>
      <c r="AE126" s="51">
        <f t="shared" si="1252"/>
        <v>26824.120707999999</v>
      </c>
      <c r="AF126" s="53">
        <f t="shared" si="1253"/>
        <v>7903.4999999999991</v>
      </c>
      <c r="AG126" s="51">
        <f t="shared" si="1254"/>
        <v>26127.390299999999</v>
      </c>
      <c r="AH126" s="48">
        <f t="shared" si="1255"/>
        <v>7692.7399999999989</v>
      </c>
      <c r="AI126" s="51">
        <f t="shared" si="1256"/>
        <v>25430.659891999996</v>
      </c>
      <c r="AJ126" s="53">
        <f t="shared" si="1257"/>
        <v>7481.9799999999987</v>
      </c>
      <c r="AK126" s="51">
        <f t="shared" si="1258"/>
        <v>24733.929483999997</v>
      </c>
      <c r="AL126" s="53">
        <f t="shared" si="1259"/>
        <v>7271.2199999999984</v>
      </c>
      <c r="AM126" s="51">
        <f t="shared" si="1260"/>
        <v>24037.199075999997</v>
      </c>
      <c r="AN126" s="53">
        <f t="shared" si="1261"/>
        <v>7060.4599999999982</v>
      </c>
      <c r="AO126" s="51">
        <f t="shared" si="1262"/>
        <v>23340.468667999994</v>
      </c>
      <c r="AP126" s="53">
        <f t="shared" si="1263"/>
        <v>6849.699999999998</v>
      </c>
      <c r="AQ126" s="51">
        <f t="shared" si="1264"/>
        <v>22643.738259999995</v>
      </c>
      <c r="AR126" s="48">
        <f t="shared" si="1265"/>
        <v>6638.9399999999978</v>
      </c>
      <c r="AS126" s="51">
        <f t="shared" si="1266"/>
        <v>21947.007851999992</v>
      </c>
      <c r="AT126" s="53">
        <f t="shared" si="1267"/>
        <v>6428.1799999999976</v>
      </c>
      <c r="AU126" s="51">
        <f t="shared" si="1268"/>
        <v>21250.277443999992</v>
      </c>
      <c r="AV126" s="53">
        <f t="shared" si="1269"/>
        <v>6217.4199999999973</v>
      </c>
      <c r="AW126" s="51">
        <f t="shared" si="1270"/>
        <v>20553.547035999993</v>
      </c>
      <c r="AX126" s="48">
        <f t="shared" si="1271"/>
        <v>6006.6599999999971</v>
      </c>
      <c r="AY126" s="51">
        <f t="shared" si="1272"/>
        <v>19856.81662799999</v>
      </c>
      <c r="BB126" s="48">
        <v>1</v>
      </c>
      <c r="BC126" s="48">
        <v>0.97</v>
      </c>
      <c r="BD126" s="48">
        <v>0.95</v>
      </c>
      <c r="BE126" s="48">
        <v>0.93</v>
      </c>
      <c r="BF126" s="48">
        <f t="shared" ref="BF126:BW126" si="1407">+BE126-0.02</f>
        <v>0.91</v>
      </c>
      <c r="BG126" s="48">
        <f t="shared" si="1407"/>
        <v>0.89</v>
      </c>
      <c r="BH126" s="48">
        <f t="shared" si="1407"/>
        <v>0.87</v>
      </c>
      <c r="BI126" s="48">
        <f t="shared" si="1407"/>
        <v>0.85</v>
      </c>
      <c r="BJ126" s="48">
        <f t="shared" si="1407"/>
        <v>0.83</v>
      </c>
      <c r="BK126" s="48">
        <f t="shared" si="1407"/>
        <v>0.80999999999999994</v>
      </c>
      <c r="BL126" s="48">
        <f t="shared" si="1407"/>
        <v>0.78999999999999992</v>
      </c>
      <c r="BM126" s="48">
        <f t="shared" si="1407"/>
        <v>0.76999999999999991</v>
      </c>
      <c r="BN126" s="48">
        <f t="shared" si="1407"/>
        <v>0.74999999999999989</v>
      </c>
      <c r="BO126" s="48">
        <f t="shared" si="1407"/>
        <v>0.72999999999999987</v>
      </c>
      <c r="BP126" s="48">
        <f t="shared" si="1407"/>
        <v>0.70999999999999985</v>
      </c>
      <c r="BQ126" s="48">
        <f t="shared" si="1407"/>
        <v>0.68999999999999984</v>
      </c>
      <c r="BR126" s="48">
        <f t="shared" si="1407"/>
        <v>0.66999999999999982</v>
      </c>
      <c r="BS126" s="48">
        <f t="shared" si="1407"/>
        <v>0.6499999999999998</v>
      </c>
      <c r="BT126" s="48">
        <f t="shared" si="1407"/>
        <v>0.62999999999999978</v>
      </c>
      <c r="BU126" s="48">
        <f t="shared" si="1407"/>
        <v>0.60999999999999976</v>
      </c>
      <c r="BV126" s="48">
        <f t="shared" si="1407"/>
        <v>0.58999999999999975</v>
      </c>
      <c r="BW126" s="48">
        <f t="shared" si="1407"/>
        <v>0.56999999999999973</v>
      </c>
      <c r="BY126" s="48">
        <f t="shared" si="952"/>
        <v>9589.58</v>
      </c>
      <c r="BZ126" s="48">
        <f t="shared" si="953"/>
        <v>9589.58</v>
      </c>
      <c r="CA126" s="51">
        <f t="shared" ref="CA126" si="1408">+BZ126*3.3058</f>
        <v>31701.233564000002</v>
      </c>
      <c r="CB126" s="48">
        <f t="shared" si="1275"/>
        <v>9301.8925999999992</v>
      </c>
      <c r="CC126" s="51">
        <f t="shared" si="1276"/>
        <v>30750.196557079998</v>
      </c>
      <c r="CD126" s="48">
        <f t="shared" si="1277"/>
        <v>9110.1009999999987</v>
      </c>
      <c r="CE126" s="51">
        <f t="shared" si="1278"/>
        <v>30116.171885799995</v>
      </c>
      <c r="CF126" s="48">
        <f t="shared" si="1279"/>
        <v>8918.3094000000001</v>
      </c>
      <c r="CG126" s="51">
        <f t="shared" si="1280"/>
        <v>29482.147214520002</v>
      </c>
      <c r="CH126" s="52">
        <f t="shared" si="1281"/>
        <v>8726.5177999999996</v>
      </c>
      <c r="CI126" s="51">
        <f t="shared" si="1282"/>
        <v>28848.122543239999</v>
      </c>
      <c r="CJ126" s="48">
        <f t="shared" si="1283"/>
        <v>8534.726200000001</v>
      </c>
      <c r="CK126" s="51">
        <f t="shared" si="1284"/>
        <v>28214.097871960003</v>
      </c>
      <c r="CL126" s="52">
        <f t="shared" si="1285"/>
        <v>8342.9346000000005</v>
      </c>
      <c r="CM126" s="51">
        <f t="shared" si="1286"/>
        <v>27580.073200680003</v>
      </c>
      <c r="CN126" s="53">
        <f t="shared" si="1287"/>
        <v>8151.143</v>
      </c>
      <c r="CO126" s="51">
        <f t="shared" si="1288"/>
        <v>26946.048529399999</v>
      </c>
      <c r="CP126" s="52">
        <f t="shared" si="1289"/>
        <v>7959.3513999999996</v>
      </c>
      <c r="CQ126" s="51">
        <f t="shared" si="1290"/>
        <v>26312.023858119999</v>
      </c>
      <c r="CR126" s="48">
        <f t="shared" si="1291"/>
        <v>7767.5597999999991</v>
      </c>
      <c r="CS126" s="51">
        <f t="shared" si="1292"/>
        <v>25677.999186839999</v>
      </c>
      <c r="CT126" s="53">
        <f t="shared" si="1293"/>
        <v>7575.7681999999995</v>
      </c>
      <c r="CU126" s="51">
        <f t="shared" si="1294"/>
        <v>25043.974515559999</v>
      </c>
      <c r="CV126" s="53">
        <f t="shared" si="1295"/>
        <v>7383.9765999999991</v>
      </c>
      <c r="CW126" s="51">
        <f t="shared" si="1296"/>
        <v>24409.949844279996</v>
      </c>
      <c r="CX126" s="53">
        <f t="shared" si="1297"/>
        <v>7192.1849999999986</v>
      </c>
      <c r="CY126" s="51">
        <f t="shared" si="1298"/>
        <v>23775.925172999996</v>
      </c>
      <c r="CZ126" s="48">
        <f t="shared" si="1299"/>
        <v>7000.393399999999</v>
      </c>
      <c r="DA126" s="51">
        <f t="shared" si="1300"/>
        <v>23141.900501719996</v>
      </c>
      <c r="DB126" s="53">
        <f t="shared" si="1301"/>
        <v>6808.6017999999985</v>
      </c>
      <c r="DC126" s="51">
        <f t="shared" si="1302"/>
        <v>22507.875830439996</v>
      </c>
      <c r="DD126" s="53">
        <f t="shared" si="1303"/>
        <v>6616.8101999999981</v>
      </c>
      <c r="DE126" s="51">
        <f t="shared" si="1304"/>
        <v>21873.851159159993</v>
      </c>
      <c r="DF126" s="53">
        <f t="shared" si="1305"/>
        <v>6425.0185999999985</v>
      </c>
      <c r="DG126" s="51">
        <f t="shared" si="1306"/>
        <v>21239.826487879996</v>
      </c>
      <c r="DH126" s="53">
        <f t="shared" si="1307"/>
        <v>6233.226999999998</v>
      </c>
      <c r="DI126" s="51">
        <f t="shared" si="1308"/>
        <v>20605.801816599993</v>
      </c>
      <c r="DJ126" s="48">
        <f t="shared" si="1309"/>
        <v>6041.4353999999976</v>
      </c>
      <c r="DK126" s="51">
        <f t="shared" si="1310"/>
        <v>19971.777145319993</v>
      </c>
      <c r="DL126" s="53">
        <f t="shared" si="1311"/>
        <v>5849.643799999998</v>
      </c>
      <c r="DM126" s="51">
        <f t="shared" si="1312"/>
        <v>19337.752474039993</v>
      </c>
      <c r="DN126" s="53">
        <f t="shared" si="1313"/>
        <v>5657.8521999999975</v>
      </c>
      <c r="DO126" s="51">
        <f t="shared" si="1314"/>
        <v>18703.727802759993</v>
      </c>
      <c r="DP126" s="48">
        <f t="shared" si="1315"/>
        <v>5466.0605999999971</v>
      </c>
      <c r="DQ126" s="51">
        <f t="shared" si="1316"/>
        <v>18069.70313147999</v>
      </c>
      <c r="DT126" s="48">
        <v>1</v>
      </c>
      <c r="DU126" s="48">
        <v>0.97</v>
      </c>
      <c r="DV126" s="48">
        <v>0.95</v>
      </c>
      <c r="DW126" s="48">
        <v>0.93</v>
      </c>
      <c r="DX126" s="48">
        <f t="shared" ref="DX126:EO126" si="1409">+DW126-0.02</f>
        <v>0.91</v>
      </c>
      <c r="DY126" s="48">
        <f t="shared" si="1409"/>
        <v>0.89</v>
      </c>
      <c r="DZ126" s="48">
        <f t="shared" si="1409"/>
        <v>0.87</v>
      </c>
      <c r="EA126" s="48">
        <f t="shared" si="1409"/>
        <v>0.85</v>
      </c>
      <c r="EB126" s="48">
        <f t="shared" si="1409"/>
        <v>0.83</v>
      </c>
      <c r="EC126" s="48">
        <f t="shared" si="1409"/>
        <v>0.80999999999999994</v>
      </c>
      <c r="ED126" s="48">
        <f t="shared" si="1409"/>
        <v>0.78999999999999992</v>
      </c>
      <c r="EE126" s="48">
        <f t="shared" si="1409"/>
        <v>0.76999999999999991</v>
      </c>
      <c r="EF126" s="48">
        <f t="shared" si="1409"/>
        <v>0.74999999999999989</v>
      </c>
      <c r="EG126" s="48">
        <f t="shared" si="1409"/>
        <v>0.72999999999999987</v>
      </c>
      <c r="EH126" s="48">
        <f t="shared" si="1409"/>
        <v>0.70999999999999985</v>
      </c>
      <c r="EI126" s="48">
        <f t="shared" si="1409"/>
        <v>0.68999999999999984</v>
      </c>
      <c r="EJ126" s="48">
        <f t="shared" si="1409"/>
        <v>0.66999999999999982</v>
      </c>
      <c r="EK126" s="48">
        <f t="shared" si="1409"/>
        <v>0.6499999999999998</v>
      </c>
      <c r="EL126" s="48">
        <f t="shared" si="1409"/>
        <v>0.62999999999999978</v>
      </c>
      <c r="EM126" s="48">
        <f t="shared" si="1409"/>
        <v>0.60999999999999976</v>
      </c>
      <c r="EN126" s="48">
        <f t="shared" si="1409"/>
        <v>0.58999999999999975</v>
      </c>
      <c r="EO126" s="48">
        <f t="shared" si="1409"/>
        <v>0.56999999999999973</v>
      </c>
      <c r="EQ126" s="48">
        <f t="shared" si="1128"/>
        <v>8726.5177999999996</v>
      </c>
      <c r="ER126" s="48">
        <f t="shared" si="956"/>
        <v>8726.5177999999996</v>
      </c>
      <c r="ES126" s="51">
        <f t="shared" ref="ES126" si="1410">+ER126*3.3058</f>
        <v>28848.122543239999</v>
      </c>
      <c r="ET126" s="48">
        <f t="shared" si="1319"/>
        <v>8464.7222659999989</v>
      </c>
      <c r="EU126" s="51">
        <f t="shared" si="1320"/>
        <v>27982.678866942795</v>
      </c>
      <c r="EV126" s="48">
        <f t="shared" si="1321"/>
        <v>8290.1919099999996</v>
      </c>
      <c r="EW126" s="51">
        <f t="shared" si="1322"/>
        <v>27405.716416077998</v>
      </c>
      <c r="EX126" s="48">
        <f t="shared" si="1323"/>
        <v>8115.6615540000003</v>
      </c>
      <c r="EY126" s="51">
        <f t="shared" si="1324"/>
        <v>26828.7539652132</v>
      </c>
      <c r="EZ126" s="52">
        <f t="shared" si="1325"/>
        <v>7941.131198</v>
      </c>
      <c r="FA126" s="51">
        <f t="shared" si="1326"/>
        <v>26251.791514348402</v>
      </c>
      <c r="FB126" s="48">
        <f t="shared" si="1327"/>
        <v>7766.6008419999998</v>
      </c>
      <c r="FC126" s="51">
        <f t="shared" si="1328"/>
        <v>25674.829063483601</v>
      </c>
      <c r="FD126" s="52">
        <f t="shared" si="1329"/>
        <v>7592.0704859999996</v>
      </c>
      <c r="FE126" s="51">
        <f t="shared" si="1330"/>
        <v>25097.8666126188</v>
      </c>
      <c r="FF126" s="53">
        <f t="shared" si="1331"/>
        <v>7417.5401299999994</v>
      </c>
      <c r="FG126" s="51">
        <f t="shared" si="1332"/>
        <v>24520.904161753999</v>
      </c>
      <c r="FH126" s="52">
        <f t="shared" si="1333"/>
        <v>7243.0097739999992</v>
      </c>
      <c r="FI126" s="51">
        <f t="shared" si="1334"/>
        <v>23943.941710889198</v>
      </c>
      <c r="FJ126" s="48">
        <f t="shared" si="1335"/>
        <v>7068.479417999999</v>
      </c>
      <c r="FK126" s="51">
        <f t="shared" si="1336"/>
        <v>23366.979260024396</v>
      </c>
      <c r="FL126" s="53">
        <f t="shared" si="1337"/>
        <v>6893.9490619999988</v>
      </c>
      <c r="FM126" s="51">
        <f t="shared" si="1338"/>
        <v>22790.016809159595</v>
      </c>
      <c r="FN126" s="53">
        <f t="shared" si="1339"/>
        <v>6719.4187059999986</v>
      </c>
      <c r="FO126" s="51">
        <f t="shared" si="1340"/>
        <v>22213.054358294794</v>
      </c>
      <c r="FP126" s="53">
        <f t="shared" si="1341"/>
        <v>6544.8883499999984</v>
      </c>
      <c r="FQ126" s="51">
        <f t="shared" si="1342"/>
        <v>21636.091907429996</v>
      </c>
      <c r="FR126" s="48">
        <f t="shared" si="1343"/>
        <v>6370.3579939999991</v>
      </c>
      <c r="FS126" s="51">
        <f t="shared" si="1344"/>
        <v>21059.129456565199</v>
      </c>
      <c r="FT126" s="53">
        <f t="shared" si="1345"/>
        <v>6195.8276379999988</v>
      </c>
      <c r="FU126" s="51">
        <f t="shared" si="1346"/>
        <v>20482.167005700398</v>
      </c>
      <c r="FV126" s="53">
        <f t="shared" si="1347"/>
        <v>6021.2972819999986</v>
      </c>
      <c r="FW126" s="51">
        <f t="shared" si="1348"/>
        <v>19905.204554835596</v>
      </c>
      <c r="FX126" s="53">
        <f t="shared" si="1349"/>
        <v>5846.7669259999984</v>
      </c>
      <c r="FY126" s="51">
        <f t="shared" si="1350"/>
        <v>19328.242103970795</v>
      </c>
      <c r="FZ126" s="53">
        <f t="shared" si="1351"/>
        <v>5672.2365699999982</v>
      </c>
      <c r="GA126" s="51">
        <f t="shared" si="1352"/>
        <v>18751.279653105994</v>
      </c>
      <c r="GB126" s="48">
        <f t="shared" si="1353"/>
        <v>5497.706213999998</v>
      </c>
      <c r="GC126" s="51">
        <f t="shared" si="1354"/>
        <v>18174.317202241193</v>
      </c>
      <c r="GD126" s="53">
        <f t="shared" si="1355"/>
        <v>5323.1758579999978</v>
      </c>
      <c r="GE126" s="51">
        <f t="shared" si="1356"/>
        <v>17597.354751376392</v>
      </c>
      <c r="GF126" s="53">
        <f t="shared" si="1357"/>
        <v>5148.6455019999976</v>
      </c>
      <c r="GG126" s="51">
        <f t="shared" si="1358"/>
        <v>17020.392300511594</v>
      </c>
      <c r="GH126" s="48">
        <f t="shared" si="1359"/>
        <v>4974.1151459999974</v>
      </c>
      <c r="GI126" s="51">
        <f t="shared" si="1360"/>
        <v>16443.429849646793</v>
      </c>
      <c r="GJ126" s="48"/>
      <c r="GK126" s="48"/>
      <c r="GL126" s="48">
        <v>1</v>
      </c>
      <c r="GM126" s="48">
        <v>0.97</v>
      </c>
      <c r="GN126" s="48">
        <v>0.95</v>
      </c>
      <c r="GO126" s="48">
        <v>0.93</v>
      </c>
      <c r="GP126" s="48">
        <f t="shared" ref="GP126:HG126" si="1411">+GO126-0.02</f>
        <v>0.91</v>
      </c>
      <c r="GQ126" s="48">
        <f t="shared" si="1411"/>
        <v>0.89</v>
      </c>
      <c r="GR126" s="48">
        <f t="shared" si="1411"/>
        <v>0.87</v>
      </c>
      <c r="GS126" s="48">
        <f t="shared" si="1411"/>
        <v>0.85</v>
      </c>
      <c r="GT126" s="48">
        <f t="shared" si="1411"/>
        <v>0.83</v>
      </c>
      <c r="GU126" s="48">
        <f t="shared" si="1411"/>
        <v>0.80999999999999994</v>
      </c>
      <c r="GV126" s="48">
        <f t="shared" si="1411"/>
        <v>0.78999999999999992</v>
      </c>
      <c r="GW126" s="48">
        <f t="shared" si="1411"/>
        <v>0.76999999999999991</v>
      </c>
      <c r="GX126" s="48">
        <f t="shared" si="1411"/>
        <v>0.74999999999999989</v>
      </c>
      <c r="GY126" s="48">
        <f t="shared" si="1411"/>
        <v>0.72999999999999987</v>
      </c>
      <c r="GZ126" s="48">
        <f t="shared" si="1411"/>
        <v>0.70999999999999985</v>
      </c>
      <c r="HA126" s="48">
        <f t="shared" si="1411"/>
        <v>0.68999999999999984</v>
      </c>
      <c r="HB126" s="48">
        <f t="shared" si="1411"/>
        <v>0.66999999999999982</v>
      </c>
      <c r="HC126" s="48">
        <f t="shared" si="1411"/>
        <v>0.6499999999999998</v>
      </c>
      <c r="HD126" s="48">
        <f t="shared" si="1411"/>
        <v>0.62999999999999978</v>
      </c>
      <c r="HE126" s="48">
        <f t="shared" si="1411"/>
        <v>0.60999999999999976</v>
      </c>
      <c r="HF126" s="48">
        <f t="shared" si="1411"/>
        <v>0.58999999999999975</v>
      </c>
      <c r="HG126" s="48">
        <f t="shared" si="1411"/>
        <v>0.56999999999999973</v>
      </c>
    </row>
    <row r="127" spans="1:215" x14ac:dyDescent="0.3">
      <c r="A127" s="2">
        <v>12</v>
      </c>
      <c r="C127" s="41" t="s">
        <v>158</v>
      </c>
      <c r="D127" s="40">
        <f>SUM(D116:D126)</f>
        <v>66550</v>
      </c>
      <c r="E127" s="40">
        <f>SUM(E116:E126)</f>
        <v>219950</v>
      </c>
      <c r="G127" s="48">
        <f t="shared" si="948"/>
        <v>73205</v>
      </c>
      <c r="H127" s="48">
        <f t="shared" si="949"/>
        <v>73205</v>
      </c>
      <c r="I127" s="51">
        <f t="shared" si="950"/>
        <v>242001.08900000001</v>
      </c>
      <c r="J127" s="48">
        <f t="shared" si="1231"/>
        <v>71008.849999999991</v>
      </c>
      <c r="K127" s="51">
        <f t="shared" si="1232"/>
        <v>234741.05632999996</v>
      </c>
      <c r="L127" s="48">
        <f t="shared" si="1233"/>
        <v>69544.75</v>
      </c>
      <c r="M127" s="51">
        <f t="shared" si="1234"/>
        <v>229901.03455000001</v>
      </c>
      <c r="N127" s="48">
        <f t="shared" si="1235"/>
        <v>68080.650000000009</v>
      </c>
      <c r="O127" s="51">
        <f t="shared" si="1236"/>
        <v>225061.01277000003</v>
      </c>
      <c r="P127" s="52">
        <f t="shared" si="1237"/>
        <v>66616.55</v>
      </c>
      <c r="Q127" s="51">
        <f t="shared" si="1238"/>
        <v>220220.99099000002</v>
      </c>
      <c r="R127" s="48">
        <f t="shared" si="1239"/>
        <v>65152.450000000004</v>
      </c>
      <c r="S127" s="51">
        <f t="shared" si="1240"/>
        <v>215380.96921000001</v>
      </c>
      <c r="T127" s="52">
        <f t="shared" si="1241"/>
        <v>63688.35</v>
      </c>
      <c r="U127" s="51">
        <f t="shared" si="1242"/>
        <v>210540.94743</v>
      </c>
      <c r="V127" s="53">
        <f t="shared" si="1243"/>
        <v>62224.25</v>
      </c>
      <c r="W127" s="51">
        <f t="shared" si="1244"/>
        <v>205700.92564999999</v>
      </c>
      <c r="X127" s="52">
        <f t="shared" si="1245"/>
        <v>60760.149999999994</v>
      </c>
      <c r="Y127" s="51">
        <f t="shared" si="1246"/>
        <v>200860.90386999998</v>
      </c>
      <c r="Z127" s="48">
        <f t="shared" si="1247"/>
        <v>59296.049999999996</v>
      </c>
      <c r="AA127" s="51">
        <f t="shared" si="1248"/>
        <v>196020.88209</v>
      </c>
      <c r="AB127" s="53">
        <f t="shared" si="1249"/>
        <v>57831.95</v>
      </c>
      <c r="AC127" s="51">
        <f t="shared" si="1250"/>
        <v>191180.86030999999</v>
      </c>
      <c r="AD127" s="53">
        <f t="shared" si="1251"/>
        <v>56367.849999999991</v>
      </c>
      <c r="AE127" s="51">
        <f t="shared" si="1252"/>
        <v>186340.83852999998</v>
      </c>
      <c r="AF127" s="53">
        <f t="shared" si="1253"/>
        <v>54903.749999999993</v>
      </c>
      <c r="AG127" s="51">
        <f t="shared" si="1254"/>
        <v>181500.81674999997</v>
      </c>
      <c r="AH127" s="48">
        <f t="shared" si="1255"/>
        <v>53439.649999999994</v>
      </c>
      <c r="AI127" s="51">
        <f t="shared" si="1256"/>
        <v>176660.79496999999</v>
      </c>
      <c r="AJ127" s="53">
        <f t="shared" si="1257"/>
        <v>51975.549999999988</v>
      </c>
      <c r="AK127" s="51">
        <f t="shared" si="1258"/>
        <v>171820.77318999998</v>
      </c>
      <c r="AL127" s="53">
        <f t="shared" si="1259"/>
        <v>50511.44999999999</v>
      </c>
      <c r="AM127" s="51">
        <f t="shared" si="1260"/>
        <v>166980.75140999997</v>
      </c>
      <c r="AN127" s="53">
        <f t="shared" si="1261"/>
        <v>49047.349999999984</v>
      </c>
      <c r="AO127" s="51">
        <f t="shared" si="1262"/>
        <v>162140.72962999996</v>
      </c>
      <c r="AP127" s="53">
        <f t="shared" si="1263"/>
        <v>47583.249999999985</v>
      </c>
      <c r="AQ127" s="51">
        <f t="shared" si="1264"/>
        <v>157300.70784999995</v>
      </c>
      <c r="AR127" s="48">
        <f t="shared" si="1265"/>
        <v>46119.149999999987</v>
      </c>
      <c r="AS127" s="51">
        <f t="shared" si="1266"/>
        <v>152460.68606999997</v>
      </c>
      <c r="AT127" s="53">
        <f t="shared" si="1267"/>
        <v>44655.049999999981</v>
      </c>
      <c r="AU127" s="51">
        <f t="shared" si="1268"/>
        <v>147620.66428999993</v>
      </c>
      <c r="AV127" s="53">
        <f t="shared" si="1269"/>
        <v>43190.949999999983</v>
      </c>
      <c r="AW127" s="51">
        <f t="shared" si="1270"/>
        <v>142780.64250999995</v>
      </c>
      <c r="AX127" s="48">
        <f t="shared" si="1271"/>
        <v>41726.849999999977</v>
      </c>
      <c r="AY127" s="51">
        <f t="shared" si="1272"/>
        <v>137940.62072999994</v>
      </c>
      <c r="BB127" s="48">
        <v>1</v>
      </c>
      <c r="BC127" s="48">
        <v>0.97</v>
      </c>
      <c r="BD127" s="48">
        <v>0.95</v>
      </c>
      <c r="BE127" s="48">
        <v>0.93</v>
      </c>
      <c r="BF127" s="48">
        <f t="shared" ref="BF127:BW127" si="1412">+BE127-0.02</f>
        <v>0.91</v>
      </c>
      <c r="BG127" s="48">
        <f t="shared" si="1412"/>
        <v>0.89</v>
      </c>
      <c r="BH127" s="48">
        <f t="shared" si="1412"/>
        <v>0.87</v>
      </c>
      <c r="BI127" s="48">
        <f t="shared" si="1412"/>
        <v>0.85</v>
      </c>
      <c r="BJ127" s="48">
        <f t="shared" si="1412"/>
        <v>0.83</v>
      </c>
      <c r="BK127" s="48">
        <f t="shared" si="1412"/>
        <v>0.80999999999999994</v>
      </c>
      <c r="BL127" s="48">
        <f t="shared" si="1412"/>
        <v>0.78999999999999992</v>
      </c>
      <c r="BM127" s="48">
        <f t="shared" si="1412"/>
        <v>0.76999999999999991</v>
      </c>
      <c r="BN127" s="48">
        <f t="shared" si="1412"/>
        <v>0.74999999999999989</v>
      </c>
      <c r="BO127" s="48">
        <f t="shared" si="1412"/>
        <v>0.72999999999999987</v>
      </c>
      <c r="BP127" s="48">
        <f t="shared" si="1412"/>
        <v>0.70999999999999985</v>
      </c>
      <c r="BQ127" s="48">
        <f t="shared" si="1412"/>
        <v>0.68999999999999984</v>
      </c>
      <c r="BR127" s="48">
        <f t="shared" si="1412"/>
        <v>0.66999999999999982</v>
      </c>
      <c r="BS127" s="48">
        <f t="shared" si="1412"/>
        <v>0.6499999999999998</v>
      </c>
      <c r="BT127" s="48">
        <f t="shared" si="1412"/>
        <v>0.62999999999999978</v>
      </c>
      <c r="BU127" s="48">
        <f t="shared" si="1412"/>
        <v>0.60999999999999976</v>
      </c>
      <c r="BV127" s="48">
        <f t="shared" si="1412"/>
        <v>0.58999999999999975</v>
      </c>
      <c r="BW127" s="48">
        <f t="shared" si="1412"/>
        <v>0.56999999999999973</v>
      </c>
      <c r="BY127" s="48">
        <f t="shared" si="952"/>
        <v>66616.55</v>
      </c>
      <c r="BZ127" s="48">
        <f t="shared" si="953"/>
        <v>66616.55</v>
      </c>
      <c r="CA127" s="51">
        <f t="shared" ref="CA127" si="1413">+BZ127*3.3058</f>
        <v>220220.99099000002</v>
      </c>
      <c r="CB127" s="48">
        <f t="shared" si="1275"/>
        <v>64618.053500000002</v>
      </c>
      <c r="CC127" s="51">
        <f t="shared" si="1276"/>
        <v>213614.36126030001</v>
      </c>
      <c r="CD127" s="48">
        <f t="shared" si="1277"/>
        <v>63285.722499999996</v>
      </c>
      <c r="CE127" s="51">
        <f t="shared" si="1278"/>
        <v>209209.9414405</v>
      </c>
      <c r="CF127" s="48">
        <f t="shared" si="1279"/>
        <v>61953.391500000005</v>
      </c>
      <c r="CG127" s="51">
        <f t="shared" si="1280"/>
        <v>204805.52162070002</v>
      </c>
      <c r="CH127" s="52">
        <f t="shared" si="1281"/>
        <v>60621.060500000007</v>
      </c>
      <c r="CI127" s="51">
        <f t="shared" si="1282"/>
        <v>200401.10180090004</v>
      </c>
      <c r="CJ127" s="48">
        <f t="shared" si="1283"/>
        <v>59288.729500000001</v>
      </c>
      <c r="CK127" s="51">
        <f t="shared" si="1284"/>
        <v>195996.6819811</v>
      </c>
      <c r="CL127" s="52">
        <f t="shared" si="1285"/>
        <v>57956.398500000003</v>
      </c>
      <c r="CM127" s="51">
        <f t="shared" si="1286"/>
        <v>191592.26216130002</v>
      </c>
      <c r="CN127" s="53">
        <f t="shared" si="1287"/>
        <v>56624.067499999997</v>
      </c>
      <c r="CO127" s="51">
        <f t="shared" si="1288"/>
        <v>187187.84234149999</v>
      </c>
      <c r="CP127" s="52">
        <f t="shared" si="1289"/>
        <v>55291.736499999999</v>
      </c>
      <c r="CQ127" s="51">
        <f t="shared" si="1290"/>
        <v>182783.42252170001</v>
      </c>
      <c r="CR127" s="48">
        <f t="shared" si="1291"/>
        <v>53959.405500000001</v>
      </c>
      <c r="CS127" s="51">
        <f t="shared" si="1292"/>
        <v>178379.0027019</v>
      </c>
      <c r="CT127" s="53">
        <f t="shared" si="1293"/>
        <v>52627.074499999995</v>
      </c>
      <c r="CU127" s="51">
        <f t="shared" si="1294"/>
        <v>173974.58288209999</v>
      </c>
      <c r="CV127" s="53">
        <f t="shared" si="1295"/>
        <v>51294.743499999997</v>
      </c>
      <c r="CW127" s="51">
        <f t="shared" si="1296"/>
        <v>169570.16306229998</v>
      </c>
      <c r="CX127" s="53">
        <f t="shared" si="1297"/>
        <v>49962.412499999991</v>
      </c>
      <c r="CY127" s="51">
        <f t="shared" si="1298"/>
        <v>165165.74324249997</v>
      </c>
      <c r="CZ127" s="48">
        <f t="shared" si="1299"/>
        <v>48630.081499999993</v>
      </c>
      <c r="DA127" s="51">
        <f t="shared" si="1300"/>
        <v>160761.32342269999</v>
      </c>
      <c r="DB127" s="53">
        <f t="shared" si="1301"/>
        <v>47297.750499999995</v>
      </c>
      <c r="DC127" s="51">
        <f t="shared" si="1302"/>
        <v>156356.90360289998</v>
      </c>
      <c r="DD127" s="53">
        <f t="shared" si="1303"/>
        <v>45965.419499999989</v>
      </c>
      <c r="DE127" s="51">
        <f t="shared" si="1304"/>
        <v>151952.48378309997</v>
      </c>
      <c r="DF127" s="53">
        <f t="shared" si="1305"/>
        <v>44633.088499999991</v>
      </c>
      <c r="DG127" s="51">
        <f t="shared" si="1306"/>
        <v>147548.06396329997</v>
      </c>
      <c r="DH127" s="53">
        <f t="shared" si="1307"/>
        <v>43300.757499999985</v>
      </c>
      <c r="DI127" s="51">
        <f t="shared" si="1308"/>
        <v>143143.64414349996</v>
      </c>
      <c r="DJ127" s="48">
        <f t="shared" si="1309"/>
        <v>41968.426499999987</v>
      </c>
      <c r="DK127" s="51">
        <f t="shared" si="1310"/>
        <v>138739.22432369995</v>
      </c>
      <c r="DL127" s="53">
        <f t="shared" si="1311"/>
        <v>40636.095499999989</v>
      </c>
      <c r="DM127" s="51">
        <f t="shared" si="1312"/>
        <v>134334.80450389997</v>
      </c>
      <c r="DN127" s="53">
        <f t="shared" si="1313"/>
        <v>39303.764499999983</v>
      </c>
      <c r="DO127" s="51">
        <f t="shared" si="1314"/>
        <v>129930.38468409995</v>
      </c>
      <c r="DP127" s="48">
        <f t="shared" si="1315"/>
        <v>37971.433499999985</v>
      </c>
      <c r="DQ127" s="51">
        <f t="shared" si="1316"/>
        <v>125525.96486429995</v>
      </c>
      <c r="DT127" s="48">
        <v>1</v>
      </c>
      <c r="DU127" s="48">
        <v>0.97</v>
      </c>
      <c r="DV127" s="48">
        <v>0.95</v>
      </c>
      <c r="DW127" s="48">
        <v>0.93</v>
      </c>
      <c r="DX127" s="48">
        <f t="shared" ref="DX127:EO127" si="1414">+DW127-0.02</f>
        <v>0.91</v>
      </c>
      <c r="DY127" s="48">
        <f t="shared" si="1414"/>
        <v>0.89</v>
      </c>
      <c r="DZ127" s="48">
        <f t="shared" si="1414"/>
        <v>0.87</v>
      </c>
      <c r="EA127" s="48">
        <f t="shared" si="1414"/>
        <v>0.85</v>
      </c>
      <c r="EB127" s="48">
        <f t="shared" si="1414"/>
        <v>0.83</v>
      </c>
      <c r="EC127" s="48">
        <f t="shared" si="1414"/>
        <v>0.80999999999999994</v>
      </c>
      <c r="ED127" s="48">
        <f t="shared" si="1414"/>
        <v>0.78999999999999992</v>
      </c>
      <c r="EE127" s="48">
        <f t="shared" si="1414"/>
        <v>0.76999999999999991</v>
      </c>
      <c r="EF127" s="48">
        <f t="shared" si="1414"/>
        <v>0.74999999999999989</v>
      </c>
      <c r="EG127" s="48">
        <f t="shared" si="1414"/>
        <v>0.72999999999999987</v>
      </c>
      <c r="EH127" s="48">
        <f t="shared" si="1414"/>
        <v>0.70999999999999985</v>
      </c>
      <c r="EI127" s="48">
        <f t="shared" si="1414"/>
        <v>0.68999999999999984</v>
      </c>
      <c r="EJ127" s="48">
        <f t="shared" si="1414"/>
        <v>0.66999999999999982</v>
      </c>
      <c r="EK127" s="48">
        <f t="shared" si="1414"/>
        <v>0.6499999999999998</v>
      </c>
      <c r="EL127" s="48">
        <f t="shared" si="1414"/>
        <v>0.62999999999999978</v>
      </c>
      <c r="EM127" s="48">
        <f t="shared" si="1414"/>
        <v>0.60999999999999976</v>
      </c>
      <c r="EN127" s="48">
        <f t="shared" si="1414"/>
        <v>0.58999999999999975</v>
      </c>
      <c r="EO127" s="48">
        <f t="shared" si="1414"/>
        <v>0.56999999999999973</v>
      </c>
      <c r="EQ127" s="48">
        <f t="shared" si="1128"/>
        <v>60621.060500000007</v>
      </c>
      <c r="ER127" s="48">
        <f t="shared" si="956"/>
        <v>60621.060500000007</v>
      </c>
      <c r="ES127" s="51">
        <f t="shared" ref="ES127" si="1415">+ER127*3.3058</f>
        <v>200401.10180090004</v>
      </c>
      <c r="ET127" s="48">
        <f t="shared" si="1319"/>
        <v>58802.428685000006</v>
      </c>
      <c r="EU127" s="51">
        <f t="shared" si="1320"/>
        <v>194389.06874687303</v>
      </c>
      <c r="EV127" s="48">
        <f t="shared" si="1321"/>
        <v>57590.007475000006</v>
      </c>
      <c r="EW127" s="51">
        <f t="shared" si="1322"/>
        <v>190381.04671085504</v>
      </c>
      <c r="EX127" s="48">
        <f t="shared" si="1323"/>
        <v>56377.586265000013</v>
      </c>
      <c r="EY127" s="51">
        <f t="shared" si="1324"/>
        <v>186373.02467483704</v>
      </c>
      <c r="EZ127" s="52">
        <f t="shared" si="1325"/>
        <v>55165.165055000005</v>
      </c>
      <c r="FA127" s="51">
        <f t="shared" si="1326"/>
        <v>182365.00263881902</v>
      </c>
      <c r="FB127" s="48">
        <f t="shared" si="1327"/>
        <v>53952.743845000005</v>
      </c>
      <c r="FC127" s="51">
        <f t="shared" si="1328"/>
        <v>178356.98060280102</v>
      </c>
      <c r="FD127" s="52">
        <f t="shared" si="1329"/>
        <v>52740.322635000004</v>
      </c>
      <c r="FE127" s="51">
        <f t="shared" si="1330"/>
        <v>174348.95856678303</v>
      </c>
      <c r="FF127" s="53">
        <f t="shared" si="1331"/>
        <v>51527.901425000004</v>
      </c>
      <c r="FG127" s="51">
        <f t="shared" si="1332"/>
        <v>170340.93653076503</v>
      </c>
      <c r="FH127" s="52">
        <f t="shared" si="1333"/>
        <v>50315.480215000003</v>
      </c>
      <c r="FI127" s="51">
        <f t="shared" si="1334"/>
        <v>166332.914494747</v>
      </c>
      <c r="FJ127" s="48">
        <f t="shared" si="1335"/>
        <v>49103.059005000003</v>
      </c>
      <c r="FK127" s="51">
        <f t="shared" si="1336"/>
        <v>162324.89245872901</v>
      </c>
      <c r="FL127" s="53">
        <f t="shared" si="1337"/>
        <v>47890.637795000002</v>
      </c>
      <c r="FM127" s="51">
        <f t="shared" si="1338"/>
        <v>158316.87042271101</v>
      </c>
      <c r="FN127" s="53">
        <f t="shared" si="1339"/>
        <v>46678.216585000002</v>
      </c>
      <c r="FO127" s="51">
        <f t="shared" si="1340"/>
        <v>154308.84838669302</v>
      </c>
      <c r="FP127" s="53">
        <f t="shared" si="1341"/>
        <v>45465.795375000002</v>
      </c>
      <c r="FQ127" s="51">
        <f t="shared" si="1342"/>
        <v>150300.82635067502</v>
      </c>
      <c r="FR127" s="48">
        <f t="shared" si="1343"/>
        <v>44253.374164999994</v>
      </c>
      <c r="FS127" s="51">
        <f t="shared" si="1344"/>
        <v>146292.80431465697</v>
      </c>
      <c r="FT127" s="53">
        <f t="shared" si="1345"/>
        <v>43040.952954999993</v>
      </c>
      <c r="FU127" s="51">
        <f t="shared" si="1346"/>
        <v>142284.78227863897</v>
      </c>
      <c r="FV127" s="53">
        <f t="shared" si="1347"/>
        <v>41828.531744999993</v>
      </c>
      <c r="FW127" s="51">
        <f t="shared" si="1348"/>
        <v>138276.76024262098</v>
      </c>
      <c r="FX127" s="53">
        <f t="shared" si="1349"/>
        <v>40616.110534999993</v>
      </c>
      <c r="FY127" s="51">
        <f t="shared" si="1350"/>
        <v>134268.73820660298</v>
      </c>
      <c r="FZ127" s="53">
        <f t="shared" si="1351"/>
        <v>39403.689324999992</v>
      </c>
      <c r="GA127" s="51">
        <f t="shared" si="1352"/>
        <v>130260.71617058497</v>
      </c>
      <c r="GB127" s="48">
        <f t="shared" si="1353"/>
        <v>38191.268114999992</v>
      </c>
      <c r="GC127" s="51">
        <f t="shared" si="1354"/>
        <v>126252.69413456698</v>
      </c>
      <c r="GD127" s="53">
        <f t="shared" si="1355"/>
        <v>36978.846904999991</v>
      </c>
      <c r="GE127" s="51">
        <f t="shared" si="1356"/>
        <v>122244.67209854897</v>
      </c>
      <c r="GF127" s="53">
        <f t="shared" si="1357"/>
        <v>35766.425694999991</v>
      </c>
      <c r="GG127" s="51">
        <f t="shared" si="1358"/>
        <v>118236.65006253097</v>
      </c>
      <c r="GH127" s="48">
        <f t="shared" si="1359"/>
        <v>34554.00448499999</v>
      </c>
      <c r="GI127" s="51">
        <f t="shared" si="1360"/>
        <v>114228.62802651298</v>
      </c>
      <c r="GJ127" s="48"/>
      <c r="GK127" s="48"/>
      <c r="GL127" s="48">
        <v>1</v>
      </c>
      <c r="GM127" s="48">
        <v>0.97</v>
      </c>
      <c r="GN127" s="48">
        <v>0.95</v>
      </c>
      <c r="GO127" s="48">
        <v>0.93</v>
      </c>
      <c r="GP127" s="48">
        <f t="shared" ref="GP127:HG127" si="1416">+GO127-0.02</f>
        <v>0.91</v>
      </c>
      <c r="GQ127" s="48">
        <f t="shared" si="1416"/>
        <v>0.89</v>
      </c>
      <c r="GR127" s="48">
        <f t="shared" si="1416"/>
        <v>0.87</v>
      </c>
      <c r="GS127" s="48">
        <f t="shared" si="1416"/>
        <v>0.85</v>
      </c>
      <c r="GT127" s="48">
        <f t="shared" si="1416"/>
        <v>0.83</v>
      </c>
      <c r="GU127" s="48">
        <f t="shared" si="1416"/>
        <v>0.80999999999999994</v>
      </c>
      <c r="GV127" s="48">
        <f t="shared" si="1416"/>
        <v>0.78999999999999992</v>
      </c>
      <c r="GW127" s="48">
        <f t="shared" si="1416"/>
        <v>0.76999999999999991</v>
      </c>
      <c r="GX127" s="48">
        <f t="shared" si="1416"/>
        <v>0.74999999999999989</v>
      </c>
      <c r="GY127" s="48">
        <f t="shared" si="1416"/>
        <v>0.72999999999999987</v>
      </c>
      <c r="GZ127" s="48">
        <f t="shared" si="1416"/>
        <v>0.70999999999999985</v>
      </c>
      <c r="HA127" s="48">
        <f t="shared" si="1416"/>
        <v>0.68999999999999984</v>
      </c>
      <c r="HB127" s="48">
        <f t="shared" si="1416"/>
        <v>0.66999999999999982</v>
      </c>
      <c r="HC127" s="48">
        <f t="shared" si="1416"/>
        <v>0.6499999999999998</v>
      </c>
      <c r="HD127" s="48">
        <f t="shared" si="1416"/>
        <v>0.62999999999999978</v>
      </c>
      <c r="HE127" s="48">
        <f t="shared" si="1416"/>
        <v>0.60999999999999976</v>
      </c>
      <c r="HF127" s="48">
        <f t="shared" si="1416"/>
        <v>0.58999999999999975</v>
      </c>
      <c r="HG127" s="48">
        <f t="shared" si="1416"/>
        <v>0.56999999999999973</v>
      </c>
    </row>
    <row r="128" spans="1:215" s="54" customFormat="1" x14ac:dyDescent="0.3">
      <c r="C128" s="55"/>
      <c r="D128" s="55"/>
      <c r="E128" s="55"/>
      <c r="G128" s="56"/>
      <c r="H128" s="56"/>
      <c r="I128" s="56"/>
      <c r="J128" s="56"/>
      <c r="K128" s="56"/>
      <c r="L128" s="56"/>
      <c r="M128" s="56"/>
      <c r="N128" s="56"/>
      <c r="O128" s="56"/>
      <c r="P128" s="57"/>
      <c r="Q128" s="56"/>
      <c r="R128" s="56"/>
      <c r="S128" s="56"/>
      <c r="T128" s="57"/>
      <c r="U128" s="56"/>
      <c r="V128" s="58"/>
      <c r="W128" s="56"/>
      <c r="X128" s="57"/>
      <c r="Y128" s="56"/>
      <c r="Z128" s="56"/>
      <c r="AA128" s="56"/>
      <c r="AB128" s="58"/>
      <c r="AC128" s="56"/>
      <c r="AD128" s="58"/>
      <c r="AE128" s="56"/>
      <c r="AF128" s="58"/>
      <c r="AG128" s="56"/>
      <c r="AH128" s="56"/>
      <c r="AI128" s="56"/>
      <c r="AJ128" s="58"/>
      <c r="AK128" s="56"/>
      <c r="AL128" s="58"/>
      <c r="AM128" s="56"/>
      <c r="AN128" s="58"/>
      <c r="AO128" s="56"/>
      <c r="AP128" s="58"/>
      <c r="AQ128" s="56"/>
      <c r="AR128" s="56"/>
      <c r="AS128" s="56"/>
      <c r="AT128" s="58"/>
      <c r="AU128" s="56"/>
      <c r="AV128" s="58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>
        <f t="shared" si="952"/>
        <v>0</v>
      </c>
      <c r="BZ128" s="56"/>
      <c r="CA128" s="56"/>
      <c r="CB128" s="56"/>
      <c r="CC128" s="56"/>
      <c r="CD128" s="56"/>
      <c r="CE128" s="56"/>
      <c r="CF128" s="56"/>
      <c r="CG128" s="56"/>
      <c r="CH128" s="57"/>
      <c r="CI128" s="56"/>
      <c r="CJ128" s="56"/>
      <c r="CK128" s="56"/>
      <c r="CL128" s="57"/>
      <c r="CM128" s="56"/>
      <c r="CN128" s="58"/>
      <c r="CO128" s="56"/>
      <c r="CP128" s="57"/>
      <c r="CQ128" s="56"/>
      <c r="CR128" s="56"/>
      <c r="CS128" s="56"/>
      <c r="CT128" s="58"/>
      <c r="CU128" s="56"/>
      <c r="CV128" s="58"/>
      <c r="CW128" s="56"/>
      <c r="CX128" s="58"/>
      <c r="CY128" s="56"/>
      <c r="CZ128" s="56"/>
      <c r="DA128" s="56"/>
      <c r="DB128" s="58"/>
      <c r="DC128" s="56"/>
      <c r="DD128" s="58"/>
      <c r="DE128" s="56"/>
      <c r="DF128" s="58"/>
      <c r="DG128" s="56"/>
      <c r="DH128" s="58"/>
      <c r="DI128" s="56"/>
      <c r="DJ128" s="56"/>
      <c r="DK128" s="56"/>
      <c r="DL128" s="58"/>
      <c r="DM128" s="56"/>
      <c r="DN128" s="58"/>
      <c r="DO128" s="56"/>
      <c r="DP128" s="56"/>
      <c r="DQ128" s="56"/>
      <c r="DR128" s="56"/>
      <c r="DS128" s="56"/>
      <c r="DT128" s="56">
        <v>1</v>
      </c>
      <c r="DU128" s="56">
        <v>0.97</v>
      </c>
      <c r="DV128" s="56">
        <v>0.95</v>
      </c>
      <c r="DW128" s="56">
        <v>0.93</v>
      </c>
      <c r="DX128" s="56">
        <f t="shared" ref="DX128:EO128" si="1417">+DW128-0.02</f>
        <v>0.91</v>
      </c>
      <c r="DY128" s="56">
        <f t="shared" si="1417"/>
        <v>0.89</v>
      </c>
      <c r="DZ128" s="56">
        <f t="shared" si="1417"/>
        <v>0.87</v>
      </c>
      <c r="EA128" s="56">
        <f t="shared" si="1417"/>
        <v>0.85</v>
      </c>
      <c r="EB128" s="56">
        <f t="shared" si="1417"/>
        <v>0.83</v>
      </c>
      <c r="EC128" s="56">
        <f t="shared" si="1417"/>
        <v>0.80999999999999994</v>
      </c>
      <c r="ED128" s="56">
        <f t="shared" si="1417"/>
        <v>0.78999999999999992</v>
      </c>
      <c r="EE128" s="56">
        <f t="shared" si="1417"/>
        <v>0.76999999999999991</v>
      </c>
      <c r="EF128" s="56">
        <f t="shared" si="1417"/>
        <v>0.74999999999999989</v>
      </c>
      <c r="EG128" s="56">
        <f t="shared" si="1417"/>
        <v>0.72999999999999987</v>
      </c>
      <c r="EH128" s="56">
        <f t="shared" si="1417"/>
        <v>0.70999999999999985</v>
      </c>
      <c r="EI128" s="56">
        <f t="shared" si="1417"/>
        <v>0.68999999999999984</v>
      </c>
      <c r="EJ128" s="56">
        <f t="shared" si="1417"/>
        <v>0.66999999999999982</v>
      </c>
      <c r="EK128" s="56">
        <f t="shared" si="1417"/>
        <v>0.6499999999999998</v>
      </c>
      <c r="EL128" s="56">
        <f t="shared" si="1417"/>
        <v>0.62999999999999978</v>
      </c>
      <c r="EM128" s="56">
        <f t="shared" si="1417"/>
        <v>0.60999999999999976</v>
      </c>
      <c r="EN128" s="56">
        <f t="shared" si="1417"/>
        <v>0.58999999999999975</v>
      </c>
      <c r="EO128" s="56">
        <f t="shared" si="1417"/>
        <v>0.56999999999999973</v>
      </c>
      <c r="EQ128" s="56">
        <f t="shared" si="1128"/>
        <v>0</v>
      </c>
      <c r="ER128" s="56"/>
      <c r="ES128" s="56"/>
      <c r="ET128" s="56"/>
      <c r="EU128" s="56"/>
      <c r="EV128" s="56"/>
      <c r="EW128" s="56"/>
      <c r="EX128" s="56"/>
      <c r="EY128" s="56"/>
      <c r="EZ128" s="57"/>
      <c r="FA128" s="56"/>
      <c r="FB128" s="56"/>
      <c r="FC128" s="56"/>
      <c r="FD128" s="57"/>
      <c r="FE128" s="56"/>
      <c r="FF128" s="58"/>
      <c r="FG128" s="56"/>
      <c r="FH128" s="57"/>
      <c r="FI128" s="56"/>
      <c r="FJ128" s="56"/>
      <c r="FK128" s="56"/>
      <c r="FL128" s="58"/>
      <c r="FM128" s="56"/>
      <c r="FN128" s="58"/>
      <c r="FO128" s="56"/>
      <c r="FP128" s="58"/>
      <c r="FQ128" s="56"/>
      <c r="FR128" s="56"/>
      <c r="FS128" s="56"/>
      <c r="FT128" s="58"/>
      <c r="FU128" s="56"/>
      <c r="FV128" s="58"/>
      <c r="FW128" s="56"/>
      <c r="FX128" s="58"/>
      <c r="FY128" s="56"/>
      <c r="FZ128" s="58"/>
      <c r="GA128" s="56"/>
      <c r="GB128" s="56"/>
      <c r="GC128" s="56"/>
      <c r="GD128" s="58"/>
      <c r="GE128" s="56"/>
      <c r="GF128" s="58"/>
      <c r="GG128" s="56"/>
      <c r="GH128" s="56"/>
      <c r="GI128" s="56"/>
      <c r="GJ128" s="56"/>
      <c r="GK128" s="56"/>
      <c r="GL128" s="56">
        <v>1</v>
      </c>
      <c r="GM128" s="56">
        <v>0.97</v>
      </c>
      <c r="GN128" s="56">
        <v>0.95</v>
      </c>
      <c r="GO128" s="56">
        <v>0.93</v>
      </c>
      <c r="GP128" s="56">
        <f t="shared" ref="GP128:HG128" si="1418">+GO128-0.02</f>
        <v>0.91</v>
      </c>
      <c r="GQ128" s="56">
        <f t="shared" si="1418"/>
        <v>0.89</v>
      </c>
      <c r="GR128" s="56">
        <f t="shared" si="1418"/>
        <v>0.87</v>
      </c>
      <c r="GS128" s="56">
        <f t="shared" si="1418"/>
        <v>0.85</v>
      </c>
      <c r="GT128" s="56">
        <f t="shared" si="1418"/>
        <v>0.83</v>
      </c>
      <c r="GU128" s="56">
        <f t="shared" si="1418"/>
        <v>0.80999999999999994</v>
      </c>
      <c r="GV128" s="56">
        <f t="shared" si="1418"/>
        <v>0.78999999999999992</v>
      </c>
      <c r="GW128" s="56">
        <f t="shared" si="1418"/>
        <v>0.76999999999999991</v>
      </c>
      <c r="GX128" s="56">
        <f t="shared" si="1418"/>
        <v>0.74999999999999989</v>
      </c>
      <c r="GY128" s="56">
        <f t="shared" si="1418"/>
        <v>0.72999999999999987</v>
      </c>
      <c r="GZ128" s="56">
        <f t="shared" si="1418"/>
        <v>0.70999999999999985</v>
      </c>
      <c r="HA128" s="56">
        <f t="shared" si="1418"/>
        <v>0.68999999999999984</v>
      </c>
      <c r="HB128" s="56">
        <f t="shared" si="1418"/>
        <v>0.66999999999999982</v>
      </c>
      <c r="HC128" s="56">
        <f t="shared" si="1418"/>
        <v>0.6499999999999998</v>
      </c>
      <c r="HD128" s="56">
        <f t="shared" si="1418"/>
        <v>0.62999999999999978</v>
      </c>
      <c r="HE128" s="56">
        <f t="shared" si="1418"/>
        <v>0.60999999999999976</v>
      </c>
      <c r="HF128" s="56">
        <f t="shared" si="1418"/>
        <v>0.58999999999999975</v>
      </c>
      <c r="HG128" s="56">
        <f t="shared" si="1418"/>
        <v>0.56999999999999973</v>
      </c>
    </row>
    <row r="129" spans="1:215" s="54" customFormat="1" ht="17.25" thickBot="1" x14ac:dyDescent="0.35">
      <c r="B129" s="54" t="s">
        <v>188</v>
      </c>
      <c r="C129" s="54" t="s">
        <v>131</v>
      </c>
      <c r="D129" s="55" t="s">
        <v>205</v>
      </c>
      <c r="E129" s="55" t="s">
        <v>61</v>
      </c>
      <c r="G129" s="56"/>
      <c r="H129" s="56"/>
      <c r="I129" s="56"/>
      <c r="J129" s="56"/>
      <c r="K129" s="56"/>
      <c r="L129" s="56"/>
      <c r="M129" s="56"/>
      <c r="N129" s="56"/>
      <c r="O129" s="56"/>
      <c r="P129" s="57"/>
      <c r="Q129" s="56"/>
      <c r="R129" s="56"/>
      <c r="S129" s="56"/>
      <c r="T129" s="57"/>
      <c r="U129" s="56"/>
      <c r="V129" s="58"/>
      <c r="W129" s="56"/>
      <c r="X129" s="57"/>
      <c r="Y129" s="56"/>
      <c r="Z129" s="56"/>
      <c r="AA129" s="56"/>
      <c r="AB129" s="58"/>
      <c r="AC129" s="56"/>
      <c r="AD129" s="58"/>
      <c r="AE129" s="56"/>
      <c r="AF129" s="58"/>
      <c r="AG129" s="56"/>
      <c r="AH129" s="56"/>
      <c r="AI129" s="56"/>
      <c r="AJ129" s="58"/>
      <c r="AK129" s="56"/>
      <c r="AL129" s="58"/>
      <c r="AM129" s="56"/>
      <c r="AN129" s="58"/>
      <c r="AO129" s="56"/>
      <c r="AP129" s="58"/>
      <c r="AQ129" s="56"/>
      <c r="AR129" s="56"/>
      <c r="AS129" s="56"/>
      <c r="AT129" s="58"/>
      <c r="AU129" s="56"/>
      <c r="AV129" s="58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>
        <f t="shared" si="952"/>
        <v>0</v>
      </c>
      <c r="BZ129" s="56"/>
      <c r="CA129" s="56"/>
      <c r="CB129" s="56"/>
      <c r="CC129" s="56"/>
      <c r="CD129" s="56"/>
      <c r="CE129" s="56"/>
      <c r="CF129" s="56"/>
      <c r="CG129" s="56"/>
      <c r="CH129" s="57"/>
      <c r="CI129" s="56"/>
      <c r="CJ129" s="56"/>
      <c r="CK129" s="56"/>
      <c r="CL129" s="57"/>
      <c r="CM129" s="56"/>
      <c r="CN129" s="58"/>
      <c r="CO129" s="56"/>
      <c r="CP129" s="57"/>
      <c r="CQ129" s="56"/>
      <c r="CR129" s="56"/>
      <c r="CS129" s="56"/>
      <c r="CT129" s="58"/>
      <c r="CU129" s="56"/>
      <c r="CV129" s="58"/>
      <c r="CW129" s="56"/>
      <c r="CX129" s="58"/>
      <c r="CY129" s="56"/>
      <c r="CZ129" s="56"/>
      <c r="DA129" s="56"/>
      <c r="DB129" s="58"/>
      <c r="DC129" s="56"/>
      <c r="DD129" s="58"/>
      <c r="DE129" s="56"/>
      <c r="DF129" s="58"/>
      <c r="DG129" s="56"/>
      <c r="DH129" s="58"/>
      <c r="DI129" s="56"/>
      <c r="DJ129" s="56"/>
      <c r="DK129" s="56"/>
      <c r="DL129" s="58"/>
      <c r="DM129" s="56"/>
      <c r="DN129" s="58"/>
      <c r="DO129" s="56"/>
      <c r="DP129" s="56"/>
      <c r="DQ129" s="56"/>
      <c r="DR129" s="56"/>
      <c r="DS129" s="56"/>
      <c r="DT129" s="56">
        <v>1</v>
      </c>
      <c r="DU129" s="56">
        <v>0.97</v>
      </c>
      <c r="DV129" s="56">
        <v>0.95</v>
      </c>
      <c r="DW129" s="56">
        <v>0.93</v>
      </c>
      <c r="DX129" s="56">
        <f t="shared" ref="DX129:EO129" si="1419">+DW129-0.02</f>
        <v>0.91</v>
      </c>
      <c r="DY129" s="56">
        <f t="shared" si="1419"/>
        <v>0.89</v>
      </c>
      <c r="DZ129" s="56">
        <f t="shared" si="1419"/>
        <v>0.87</v>
      </c>
      <c r="EA129" s="56">
        <f t="shared" si="1419"/>
        <v>0.85</v>
      </c>
      <c r="EB129" s="56">
        <f t="shared" si="1419"/>
        <v>0.83</v>
      </c>
      <c r="EC129" s="56">
        <f t="shared" si="1419"/>
        <v>0.80999999999999994</v>
      </c>
      <c r="ED129" s="56">
        <f t="shared" si="1419"/>
        <v>0.78999999999999992</v>
      </c>
      <c r="EE129" s="56">
        <f t="shared" si="1419"/>
        <v>0.76999999999999991</v>
      </c>
      <c r="EF129" s="56">
        <f t="shared" si="1419"/>
        <v>0.74999999999999989</v>
      </c>
      <c r="EG129" s="56">
        <f t="shared" si="1419"/>
        <v>0.72999999999999987</v>
      </c>
      <c r="EH129" s="56">
        <f t="shared" si="1419"/>
        <v>0.70999999999999985</v>
      </c>
      <c r="EI129" s="56">
        <f t="shared" si="1419"/>
        <v>0.68999999999999984</v>
      </c>
      <c r="EJ129" s="56">
        <f t="shared" si="1419"/>
        <v>0.66999999999999982</v>
      </c>
      <c r="EK129" s="56">
        <f t="shared" si="1419"/>
        <v>0.6499999999999998</v>
      </c>
      <c r="EL129" s="56">
        <f t="shared" si="1419"/>
        <v>0.62999999999999978</v>
      </c>
      <c r="EM129" s="56">
        <f t="shared" si="1419"/>
        <v>0.60999999999999976</v>
      </c>
      <c r="EN129" s="56">
        <f t="shared" si="1419"/>
        <v>0.58999999999999975</v>
      </c>
      <c r="EO129" s="56">
        <f t="shared" si="1419"/>
        <v>0.56999999999999973</v>
      </c>
      <c r="EQ129" s="56">
        <f t="shared" si="1128"/>
        <v>0</v>
      </c>
      <c r="ER129" s="56"/>
      <c r="ES129" s="56"/>
      <c r="ET129" s="56"/>
      <c r="EU129" s="56"/>
      <c r="EV129" s="56"/>
      <c r="EW129" s="56"/>
      <c r="EX129" s="56"/>
      <c r="EY129" s="56"/>
      <c r="EZ129" s="57"/>
      <c r="FA129" s="56"/>
      <c r="FB129" s="56"/>
      <c r="FC129" s="56"/>
      <c r="FD129" s="57"/>
      <c r="FE129" s="56"/>
      <c r="FF129" s="58"/>
      <c r="FG129" s="56"/>
      <c r="FH129" s="57"/>
      <c r="FI129" s="56"/>
      <c r="FJ129" s="56"/>
      <c r="FK129" s="56"/>
      <c r="FL129" s="58"/>
      <c r="FM129" s="56"/>
      <c r="FN129" s="58"/>
      <c r="FO129" s="56"/>
      <c r="FP129" s="58"/>
      <c r="FQ129" s="56"/>
      <c r="FR129" s="56"/>
      <c r="FS129" s="56"/>
      <c r="FT129" s="58"/>
      <c r="FU129" s="56"/>
      <c r="FV129" s="58"/>
      <c r="FW129" s="56"/>
      <c r="FX129" s="58"/>
      <c r="FY129" s="56"/>
      <c r="FZ129" s="58"/>
      <c r="GA129" s="56"/>
      <c r="GB129" s="56"/>
      <c r="GC129" s="56"/>
      <c r="GD129" s="58"/>
      <c r="GE129" s="56"/>
      <c r="GF129" s="58"/>
      <c r="GG129" s="56"/>
      <c r="GH129" s="56"/>
      <c r="GI129" s="56"/>
      <c r="GJ129" s="56"/>
      <c r="GK129" s="56"/>
      <c r="GL129" s="56">
        <v>1</v>
      </c>
      <c r="GM129" s="56">
        <v>0.97</v>
      </c>
      <c r="GN129" s="56">
        <v>0.95</v>
      </c>
      <c r="GO129" s="56">
        <v>0.93</v>
      </c>
      <c r="GP129" s="56">
        <f t="shared" ref="GP129:HG129" si="1420">+GO129-0.02</f>
        <v>0.91</v>
      </c>
      <c r="GQ129" s="56">
        <f t="shared" si="1420"/>
        <v>0.89</v>
      </c>
      <c r="GR129" s="56">
        <f t="shared" si="1420"/>
        <v>0.87</v>
      </c>
      <c r="GS129" s="56">
        <f t="shared" si="1420"/>
        <v>0.85</v>
      </c>
      <c r="GT129" s="56">
        <f t="shared" si="1420"/>
        <v>0.83</v>
      </c>
      <c r="GU129" s="56">
        <f t="shared" si="1420"/>
        <v>0.80999999999999994</v>
      </c>
      <c r="GV129" s="56">
        <f t="shared" si="1420"/>
        <v>0.78999999999999992</v>
      </c>
      <c r="GW129" s="56">
        <f t="shared" si="1420"/>
        <v>0.76999999999999991</v>
      </c>
      <c r="GX129" s="56">
        <f t="shared" si="1420"/>
        <v>0.74999999999999989</v>
      </c>
      <c r="GY129" s="56">
        <f t="shared" si="1420"/>
        <v>0.72999999999999987</v>
      </c>
      <c r="GZ129" s="56">
        <f t="shared" si="1420"/>
        <v>0.70999999999999985</v>
      </c>
      <c r="HA129" s="56">
        <f t="shared" si="1420"/>
        <v>0.68999999999999984</v>
      </c>
      <c r="HB129" s="56">
        <f t="shared" si="1420"/>
        <v>0.66999999999999982</v>
      </c>
      <c r="HC129" s="56">
        <f t="shared" si="1420"/>
        <v>0.6499999999999998</v>
      </c>
      <c r="HD129" s="56">
        <f t="shared" si="1420"/>
        <v>0.62999999999999978</v>
      </c>
      <c r="HE129" s="56">
        <f t="shared" si="1420"/>
        <v>0.60999999999999976</v>
      </c>
      <c r="HF129" s="56">
        <f t="shared" si="1420"/>
        <v>0.58999999999999975</v>
      </c>
      <c r="HG129" s="56">
        <f t="shared" si="1420"/>
        <v>0.56999999999999973</v>
      </c>
    </row>
    <row r="130" spans="1:215" x14ac:dyDescent="0.3">
      <c r="A130" s="2">
        <v>1</v>
      </c>
      <c r="C130" s="39" t="s">
        <v>189</v>
      </c>
      <c r="D130" s="42">
        <f>TRUNC(26897.3762385438,-1)</f>
        <v>26890</v>
      </c>
      <c r="E130" s="72">
        <f t="shared" ref="E130:E139" si="1421">TRUNC(+D130*3.3058,-1)</f>
        <v>88890</v>
      </c>
      <c r="G130" s="48">
        <f t="shared" si="948"/>
        <v>29579.000000000004</v>
      </c>
      <c r="H130" s="48">
        <f t="shared" si="949"/>
        <v>29579.000000000004</v>
      </c>
      <c r="I130" s="51">
        <f t="shared" si="950"/>
        <v>97782.258200000011</v>
      </c>
      <c r="J130" s="48">
        <f t="shared" ref="J130:J140" si="1422">+H130*BC130</f>
        <v>28691.63</v>
      </c>
      <c r="K130" s="51">
        <f t="shared" ref="K130:K140" si="1423">+J130*3.3058</f>
        <v>94848.790454000002</v>
      </c>
      <c r="L130" s="48">
        <f t="shared" ref="L130:L140" si="1424">+H130*BD130</f>
        <v>28100.050000000003</v>
      </c>
      <c r="M130" s="51">
        <f t="shared" ref="M130:M140" si="1425">+L130*3.3058</f>
        <v>92893.145290000015</v>
      </c>
      <c r="N130" s="48">
        <f t="shared" ref="N130:N140" si="1426">+H130*BE130</f>
        <v>27508.470000000005</v>
      </c>
      <c r="O130" s="51">
        <f t="shared" ref="O130:O140" si="1427">+N130*3.3058</f>
        <v>90937.500126000014</v>
      </c>
      <c r="P130" s="52">
        <f t="shared" ref="P130:P140" si="1428">+H130*BF130</f>
        <v>26916.890000000003</v>
      </c>
      <c r="Q130" s="51">
        <f t="shared" ref="Q130:Q140" si="1429">+P130*3.3058</f>
        <v>88981.854962000012</v>
      </c>
      <c r="R130" s="48">
        <f t="shared" ref="R130:R140" si="1430">+H130*BG130</f>
        <v>26325.310000000005</v>
      </c>
      <c r="S130" s="51">
        <f t="shared" ref="S130:S140" si="1431">+R130*3.3058</f>
        <v>87026.209798000025</v>
      </c>
      <c r="T130" s="52">
        <f t="shared" ref="T130:T140" si="1432">+H130*BH130</f>
        <v>25733.730000000003</v>
      </c>
      <c r="U130" s="51">
        <f t="shared" ref="U130:U140" si="1433">+T130*3.3058</f>
        <v>85070.564634000009</v>
      </c>
      <c r="V130" s="53">
        <f t="shared" ref="V130:V140" si="1434">+H130*BI130</f>
        <v>25142.15</v>
      </c>
      <c r="W130" s="51">
        <f t="shared" ref="W130:W140" si="1435">+V130*3.3058</f>
        <v>83114.919470000008</v>
      </c>
      <c r="X130" s="52">
        <f t="shared" ref="X130:X140" si="1436">+H130*BJ130</f>
        <v>24550.570000000003</v>
      </c>
      <c r="Y130" s="51">
        <f t="shared" ref="Y130:Y140" si="1437">+X130*3.3058</f>
        <v>81159.274306000007</v>
      </c>
      <c r="Z130" s="48">
        <f t="shared" ref="Z130:Z140" si="1438">+H130*BK130</f>
        <v>23958.99</v>
      </c>
      <c r="AA130" s="51">
        <f t="shared" ref="AA130:AA140" si="1439">+Z130*3.3058</f>
        <v>79203.629142000005</v>
      </c>
      <c r="AB130" s="53">
        <f t="shared" ref="AB130:AB140" si="1440">+H130*BL130</f>
        <v>23367.41</v>
      </c>
      <c r="AC130" s="51">
        <f t="shared" ref="AC130:AC140" si="1441">+AB130*3.3058</f>
        <v>77247.983978000004</v>
      </c>
      <c r="AD130" s="53">
        <f t="shared" ref="AD130:AD140" si="1442">+H130*BM130</f>
        <v>22775.83</v>
      </c>
      <c r="AE130" s="51">
        <f t="shared" ref="AE130:AE140" si="1443">+AD130*3.3058</f>
        <v>75292.338814000002</v>
      </c>
      <c r="AF130" s="53">
        <f t="shared" ref="AF130:AF140" si="1444">+H130*BN130</f>
        <v>22184.25</v>
      </c>
      <c r="AG130" s="51">
        <f t="shared" ref="AG130:AG140" si="1445">+AF130*3.3058</f>
        <v>73336.693650000001</v>
      </c>
      <c r="AH130" s="48">
        <f t="shared" ref="AH130:AH140" si="1446">+H130*BO130</f>
        <v>21592.67</v>
      </c>
      <c r="AI130" s="51">
        <f t="shared" ref="AI130:AI140" si="1447">+AH130*3.3058</f>
        <v>71381.048486</v>
      </c>
      <c r="AJ130" s="53">
        <f t="shared" ref="AJ130:AJ140" si="1448">+H130*BP130</f>
        <v>21001.089999999997</v>
      </c>
      <c r="AK130" s="51">
        <f t="shared" ref="AK130:AK140" si="1449">+AJ130*3.3058</f>
        <v>69425.403321999984</v>
      </c>
      <c r="AL130" s="53">
        <f t="shared" ref="AL130:AL140" si="1450">+H130*BQ130</f>
        <v>20409.509999999998</v>
      </c>
      <c r="AM130" s="51">
        <f t="shared" ref="AM130:AM140" si="1451">+AL130*3.3058</f>
        <v>67469.758157999997</v>
      </c>
      <c r="AN130" s="53">
        <f t="shared" ref="AN130:AN140" si="1452">+H130*BR130</f>
        <v>19817.929999999997</v>
      </c>
      <c r="AO130" s="51">
        <f t="shared" ref="AO130:AO140" si="1453">+AN130*3.3058</f>
        <v>65514.112993999988</v>
      </c>
      <c r="AP130" s="53">
        <f t="shared" ref="AP130:AP140" si="1454">+H130*BS130</f>
        <v>19226.349999999995</v>
      </c>
      <c r="AQ130" s="51">
        <f t="shared" ref="AQ130:AQ140" si="1455">+AP130*3.3058</f>
        <v>63558.467829999987</v>
      </c>
      <c r="AR130" s="48">
        <f t="shared" ref="AR130:AR140" si="1456">+H130*BT130</f>
        <v>18634.769999999997</v>
      </c>
      <c r="AS130" s="51">
        <f t="shared" ref="AS130:AS140" si="1457">+AR130*3.3058</f>
        <v>61602.822665999993</v>
      </c>
      <c r="AT130" s="53">
        <f t="shared" ref="AT130:AT140" si="1458">+H130*BU130</f>
        <v>18043.189999999995</v>
      </c>
      <c r="AU130" s="51">
        <f t="shared" ref="AU130:AU140" si="1459">+AT130*3.3058</f>
        <v>59647.177501999984</v>
      </c>
      <c r="AV130" s="53">
        <f t="shared" ref="AV130:AV140" si="1460">+H130*BV130</f>
        <v>17451.609999999993</v>
      </c>
      <c r="AW130" s="51">
        <f t="shared" ref="AW130:AW140" si="1461">+AV130*3.3058</f>
        <v>57691.532337999983</v>
      </c>
      <c r="AX130" s="48">
        <f t="shared" ref="AX130:AX140" si="1462">+H130*BW130</f>
        <v>16860.029999999995</v>
      </c>
      <c r="AY130" s="51">
        <f t="shared" ref="AY130:AY140" si="1463">+AX130*3.3058</f>
        <v>55735.887173999989</v>
      </c>
      <c r="BB130" s="48">
        <v>1</v>
      </c>
      <c r="BC130" s="48">
        <v>0.97</v>
      </c>
      <c r="BD130" s="48">
        <v>0.95</v>
      </c>
      <c r="BE130" s="48">
        <v>0.93</v>
      </c>
      <c r="BF130" s="48">
        <f t="shared" ref="BF130:BW130" si="1464">+BE130-0.02</f>
        <v>0.91</v>
      </c>
      <c r="BG130" s="48">
        <f t="shared" si="1464"/>
        <v>0.89</v>
      </c>
      <c r="BH130" s="48">
        <f t="shared" si="1464"/>
        <v>0.87</v>
      </c>
      <c r="BI130" s="48">
        <f t="shared" si="1464"/>
        <v>0.85</v>
      </c>
      <c r="BJ130" s="48">
        <f t="shared" si="1464"/>
        <v>0.83</v>
      </c>
      <c r="BK130" s="48">
        <f t="shared" si="1464"/>
        <v>0.80999999999999994</v>
      </c>
      <c r="BL130" s="48">
        <f t="shared" si="1464"/>
        <v>0.78999999999999992</v>
      </c>
      <c r="BM130" s="48">
        <f t="shared" si="1464"/>
        <v>0.76999999999999991</v>
      </c>
      <c r="BN130" s="48">
        <f t="shared" si="1464"/>
        <v>0.74999999999999989</v>
      </c>
      <c r="BO130" s="48">
        <f t="shared" si="1464"/>
        <v>0.72999999999999987</v>
      </c>
      <c r="BP130" s="48">
        <f t="shared" si="1464"/>
        <v>0.70999999999999985</v>
      </c>
      <c r="BQ130" s="48">
        <f t="shared" si="1464"/>
        <v>0.68999999999999984</v>
      </c>
      <c r="BR130" s="48">
        <f t="shared" si="1464"/>
        <v>0.66999999999999982</v>
      </c>
      <c r="BS130" s="48">
        <f t="shared" si="1464"/>
        <v>0.6499999999999998</v>
      </c>
      <c r="BT130" s="48">
        <f t="shared" si="1464"/>
        <v>0.62999999999999978</v>
      </c>
      <c r="BU130" s="48">
        <f t="shared" si="1464"/>
        <v>0.60999999999999976</v>
      </c>
      <c r="BV130" s="48">
        <f t="shared" si="1464"/>
        <v>0.58999999999999975</v>
      </c>
      <c r="BW130" s="48">
        <f t="shared" si="1464"/>
        <v>0.56999999999999973</v>
      </c>
      <c r="BY130" s="48">
        <f t="shared" si="952"/>
        <v>26916.890000000003</v>
      </c>
      <c r="BZ130" s="48">
        <f t="shared" si="953"/>
        <v>26916.890000000003</v>
      </c>
      <c r="CA130" s="51">
        <f t="shared" ref="CA130" si="1465">+BZ130*3.3058</f>
        <v>88981.854962000012</v>
      </c>
      <c r="CB130" s="48">
        <f t="shared" ref="CB130:CB140" si="1466">+BZ130*DU130</f>
        <v>26109.383300000001</v>
      </c>
      <c r="CC130" s="51">
        <f t="shared" ref="CC130:CC140" si="1467">+CB130*3.3058</f>
        <v>86312.399313140006</v>
      </c>
      <c r="CD130" s="48">
        <f t="shared" ref="CD130:CD140" si="1468">+BZ130*DV130</f>
        <v>25571.0455</v>
      </c>
      <c r="CE130" s="51">
        <f t="shared" ref="CE130:CE140" si="1469">+CD130*3.3058</f>
        <v>84532.762213900001</v>
      </c>
      <c r="CF130" s="48">
        <f t="shared" ref="CF130:CF140" si="1470">+BZ130*DW130</f>
        <v>25032.707700000003</v>
      </c>
      <c r="CG130" s="51">
        <f t="shared" ref="CG130:CG140" si="1471">+CF130*3.3058</f>
        <v>82753.125114660012</v>
      </c>
      <c r="CH130" s="52">
        <f t="shared" ref="CH130:CH140" si="1472">+BZ130*DX130</f>
        <v>24494.369900000005</v>
      </c>
      <c r="CI130" s="51">
        <f t="shared" ref="CI130:CI140" si="1473">+CH130*3.3058</f>
        <v>80973.488015420022</v>
      </c>
      <c r="CJ130" s="48">
        <f t="shared" ref="CJ130:CJ140" si="1474">+BZ130*DY130</f>
        <v>23956.032100000004</v>
      </c>
      <c r="CK130" s="51">
        <f t="shared" ref="CK130:CK140" si="1475">+CJ130*3.3058</f>
        <v>79193.850916180018</v>
      </c>
      <c r="CL130" s="52">
        <f t="shared" ref="CL130:CL140" si="1476">+BZ130*DZ130</f>
        <v>23417.694300000003</v>
      </c>
      <c r="CM130" s="51">
        <f t="shared" ref="CM130:CM140" si="1477">+CL130*3.3058</f>
        <v>77414.213816940013</v>
      </c>
      <c r="CN130" s="53">
        <f t="shared" ref="CN130:CN140" si="1478">+BZ130*EA130</f>
        <v>22879.356500000002</v>
      </c>
      <c r="CO130" s="51">
        <f t="shared" ref="CO130:CO140" si="1479">+CN130*3.3058</f>
        <v>75634.576717700009</v>
      </c>
      <c r="CP130" s="52">
        <f t="shared" ref="CP130:CP140" si="1480">+BZ130*EB130</f>
        <v>22341.018700000001</v>
      </c>
      <c r="CQ130" s="51">
        <f t="shared" ref="CQ130:CQ140" si="1481">+CP130*3.3058</f>
        <v>73854.939618460005</v>
      </c>
      <c r="CR130" s="48">
        <f t="shared" ref="CR130:CR140" si="1482">+BZ130*EC130</f>
        <v>21802.680899999999</v>
      </c>
      <c r="CS130" s="51">
        <f t="shared" ref="CS130:CS140" si="1483">+CR130*3.3058</f>
        <v>72075.30251922</v>
      </c>
      <c r="CT130" s="53">
        <f t="shared" ref="CT130:CT140" si="1484">+BZ130*ED130</f>
        <v>21264.343100000002</v>
      </c>
      <c r="CU130" s="51">
        <f t="shared" ref="CU130:CU140" si="1485">+CT130*3.3058</f>
        <v>70295.66541998001</v>
      </c>
      <c r="CV130" s="53">
        <f t="shared" ref="CV130:CV140" si="1486">+BZ130*EE130</f>
        <v>20726.005300000001</v>
      </c>
      <c r="CW130" s="51">
        <f t="shared" ref="CW130:CW140" si="1487">+CV130*3.3058</f>
        <v>68516.028320740006</v>
      </c>
      <c r="CX130" s="53">
        <f t="shared" ref="CX130:CX140" si="1488">+BZ130*EF130</f>
        <v>20187.6675</v>
      </c>
      <c r="CY130" s="51">
        <f t="shared" ref="CY130:CY140" si="1489">+CX130*3.3058</f>
        <v>66736.391221500002</v>
      </c>
      <c r="CZ130" s="48">
        <f t="shared" ref="CZ130:CZ140" si="1490">+BZ130*EG130</f>
        <v>19649.329699999998</v>
      </c>
      <c r="DA130" s="51">
        <f t="shared" ref="DA130:DA140" si="1491">+CZ130*3.3058</f>
        <v>64956.754122259998</v>
      </c>
      <c r="DB130" s="53">
        <f t="shared" ref="DB130:DB140" si="1492">+BZ130*EH130</f>
        <v>19110.991899999997</v>
      </c>
      <c r="DC130" s="51">
        <f t="shared" ref="DC130:DC140" si="1493">+DB130*3.3058</f>
        <v>63177.117023019993</v>
      </c>
      <c r="DD130" s="53">
        <f t="shared" ref="DD130:DD140" si="1494">+BZ130*EI130</f>
        <v>18572.654099999996</v>
      </c>
      <c r="DE130" s="51">
        <f t="shared" ref="DE130:DE140" si="1495">+DD130*3.3058</f>
        <v>61397.479923779989</v>
      </c>
      <c r="DF130" s="53">
        <f t="shared" ref="DF130:DF140" si="1496">+BZ130*EJ130</f>
        <v>18034.316299999999</v>
      </c>
      <c r="DG130" s="51">
        <f t="shared" ref="DG130:DG140" si="1497">+DF130*3.3058</f>
        <v>59617.842824539999</v>
      </c>
      <c r="DH130" s="53">
        <f t="shared" ref="DH130:DH140" si="1498">+BZ130*EK130</f>
        <v>17495.978499999997</v>
      </c>
      <c r="DI130" s="51">
        <f t="shared" ref="DI130:DI140" si="1499">+DH130*3.3058</f>
        <v>57838.205725299995</v>
      </c>
      <c r="DJ130" s="48">
        <f t="shared" ref="DJ130:DJ140" si="1500">+BZ130*EL130</f>
        <v>16957.640699999996</v>
      </c>
      <c r="DK130" s="51">
        <f t="shared" ref="DK130:DK140" si="1501">+DJ130*3.3058</f>
        <v>56058.56862605999</v>
      </c>
      <c r="DL130" s="53">
        <f t="shared" ref="DL130:DL140" si="1502">+BZ130*EM130</f>
        <v>16419.302899999995</v>
      </c>
      <c r="DM130" s="51">
        <f t="shared" ref="DM130:DM140" si="1503">+DL130*3.3058</f>
        <v>54278.931526819986</v>
      </c>
      <c r="DN130" s="53">
        <f t="shared" ref="DN130:DN140" si="1504">+BZ130*EN130</f>
        <v>15880.965099999996</v>
      </c>
      <c r="DO130" s="51">
        <f t="shared" ref="DO130:DO140" si="1505">+DN130*3.3058</f>
        <v>52499.294427579989</v>
      </c>
      <c r="DP130" s="48">
        <f t="shared" ref="DP130:DP140" si="1506">+BZ130*EO130</f>
        <v>15342.627299999995</v>
      </c>
      <c r="DQ130" s="51">
        <f t="shared" ref="DQ130:DQ140" si="1507">+DP130*3.3058</f>
        <v>50719.657328339985</v>
      </c>
      <c r="DT130" s="48">
        <v>1</v>
      </c>
      <c r="DU130" s="48">
        <v>0.97</v>
      </c>
      <c r="DV130" s="48">
        <v>0.95</v>
      </c>
      <c r="DW130" s="48">
        <v>0.93</v>
      </c>
      <c r="DX130" s="48">
        <f t="shared" ref="DX130:EO130" si="1508">+DW130-0.02</f>
        <v>0.91</v>
      </c>
      <c r="DY130" s="48">
        <f t="shared" si="1508"/>
        <v>0.89</v>
      </c>
      <c r="DZ130" s="48">
        <f t="shared" si="1508"/>
        <v>0.87</v>
      </c>
      <c r="EA130" s="48">
        <f t="shared" si="1508"/>
        <v>0.85</v>
      </c>
      <c r="EB130" s="48">
        <f t="shared" si="1508"/>
        <v>0.83</v>
      </c>
      <c r="EC130" s="48">
        <f t="shared" si="1508"/>
        <v>0.80999999999999994</v>
      </c>
      <c r="ED130" s="48">
        <f t="shared" si="1508"/>
        <v>0.78999999999999992</v>
      </c>
      <c r="EE130" s="48">
        <f t="shared" si="1508"/>
        <v>0.76999999999999991</v>
      </c>
      <c r="EF130" s="48">
        <f t="shared" si="1508"/>
        <v>0.74999999999999989</v>
      </c>
      <c r="EG130" s="48">
        <f t="shared" si="1508"/>
        <v>0.72999999999999987</v>
      </c>
      <c r="EH130" s="48">
        <f t="shared" si="1508"/>
        <v>0.70999999999999985</v>
      </c>
      <c r="EI130" s="48">
        <f t="shared" si="1508"/>
        <v>0.68999999999999984</v>
      </c>
      <c r="EJ130" s="48">
        <f t="shared" si="1508"/>
        <v>0.66999999999999982</v>
      </c>
      <c r="EK130" s="48">
        <f t="shared" si="1508"/>
        <v>0.6499999999999998</v>
      </c>
      <c r="EL130" s="48">
        <f t="shared" si="1508"/>
        <v>0.62999999999999978</v>
      </c>
      <c r="EM130" s="48">
        <f t="shared" si="1508"/>
        <v>0.60999999999999976</v>
      </c>
      <c r="EN130" s="48">
        <f t="shared" si="1508"/>
        <v>0.58999999999999975</v>
      </c>
      <c r="EO130" s="48">
        <f t="shared" si="1508"/>
        <v>0.56999999999999973</v>
      </c>
      <c r="EQ130" s="48">
        <f t="shared" si="1128"/>
        <v>24494.369900000005</v>
      </c>
      <c r="ER130" s="48">
        <f t="shared" si="956"/>
        <v>24494.369900000005</v>
      </c>
      <c r="ES130" s="51">
        <f t="shared" ref="ES130" si="1509">+ER130*3.3058</f>
        <v>80973.488015420022</v>
      </c>
      <c r="ET130" s="48">
        <f t="shared" ref="ET130:ET140" si="1510">+ER130*GM130</f>
        <v>23759.538803000003</v>
      </c>
      <c r="EU130" s="51">
        <f t="shared" ref="EU130:EU140" si="1511">+ET130*3.3058</f>
        <v>78544.283374957406</v>
      </c>
      <c r="EV130" s="48">
        <f t="shared" ref="EV130:EV140" si="1512">+ER130*GN130</f>
        <v>23269.651405000004</v>
      </c>
      <c r="EW130" s="51">
        <f t="shared" ref="EW130:EW140" si="1513">+EV130*3.3058</f>
        <v>76924.813614649014</v>
      </c>
      <c r="EX130" s="48">
        <f t="shared" ref="EX130:EX140" si="1514">+ER130*GO130</f>
        <v>22779.764007000005</v>
      </c>
      <c r="EY130" s="51">
        <f t="shared" ref="EY130:EY140" si="1515">+EX130*3.3058</f>
        <v>75305.343854340623</v>
      </c>
      <c r="EZ130" s="52">
        <f t="shared" ref="EZ130:EZ140" si="1516">+ER130*GP130</f>
        <v>22289.876609000006</v>
      </c>
      <c r="FA130" s="51">
        <f t="shared" ref="FA130:FA140" si="1517">+EZ130*3.3058</f>
        <v>73685.874094032217</v>
      </c>
      <c r="FB130" s="48">
        <f t="shared" ref="FB130:FB140" si="1518">+ER130*GQ130</f>
        <v>21799.989211000004</v>
      </c>
      <c r="FC130" s="51">
        <f t="shared" ref="FC130:FC140" si="1519">+FB130*3.3058</f>
        <v>72066.404333723811</v>
      </c>
      <c r="FD130" s="52">
        <f t="shared" ref="FD130:FD140" si="1520">+ER130*GR130</f>
        <v>21310.101813000005</v>
      </c>
      <c r="FE130" s="51">
        <f t="shared" ref="FE130:FE140" si="1521">+FD130*3.3058</f>
        <v>70446.934573415419</v>
      </c>
      <c r="FF130" s="53">
        <f t="shared" ref="FF130:FF140" si="1522">+ER130*GS130</f>
        <v>20820.214415000002</v>
      </c>
      <c r="FG130" s="51">
        <f t="shared" ref="FG130:FG140" si="1523">+FF130*3.3058</f>
        <v>68827.464813107013</v>
      </c>
      <c r="FH130" s="52">
        <f t="shared" ref="FH130:FH140" si="1524">+ER130*GT130</f>
        <v>20330.327017000003</v>
      </c>
      <c r="FI130" s="51">
        <f t="shared" ref="FI130:FI140" si="1525">+FH130*3.3058</f>
        <v>67207.995052798608</v>
      </c>
      <c r="FJ130" s="48">
        <f t="shared" ref="FJ130:FJ140" si="1526">+ER130*GU130</f>
        <v>19840.439619000004</v>
      </c>
      <c r="FK130" s="51">
        <f t="shared" ref="FK130:FK140" si="1527">+FJ130*3.3058</f>
        <v>65588.525292490216</v>
      </c>
      <c r="FL130" s="53">
        <f t="shared" ref="FL130:FL140" si="1528">+ER130*GV130</f>
        <v>19350.552221000002</v>
      </c>
      <c r="FM130" s="51">
        <f t="shared" ref="FM130:FM140" si="1529">+FL130*3.3058</f>
        <v>63969.05553218181</v>
      </c>
      <c r="FN130" s="53">
        <f t="shared" ref="FN130:FN140" si="1530">+ER130*GW130</f>
        <v>18860.664823000003</v>
      </c>
      <c r="FO130" s="51">
        <f t="shared" ref="FO130:FO140" si="1531">+FN130*3.3058</f>
        <v>62349.585771873411</v>
      </c>
      <c r="FP130" s="53">
        <f t="shared" ref="FP130:FP140" si="1532">+ER130*GX130</f>
        <v>18370.777425</v>
      </c>
      <c r="FQ130" s="51">
        <f t="shared" ref="FQ130:FQ140" si="1533">+FP130*3.3058</f>
        <v>60730.116011565005</v>
      </c>
      <c r="FR130" s="48">
        <f t="shared" ref="FR130:FR140" si="1534">+ER130*GY130</f>
        <v>17880.890027000001</v>
      </c>
      <c r="FS130" s="51">
        <f t="shared" ref="FS130:FS140" si="1535">+FR130*3.3058</f>
        <v>59110.646251256607</v>
      </c>
      <c r="FT130" s="53">
        <f t="shared" ref="FT130:FT140" si="1536">+ER130*GZ130</f>
        <v>17391.002628999999</v>
      </c>
      <c r="FU130" s="51">
        <f t="shared" ref="FU130:FU140" si="1537">+FT130*3.3058</f>
        <v>57491.176490948194</v>
      </c>
      <c r="FV130" s="53">
        <f t="shared" ref="FV130:FV140" si="1538">+ER130*HA130</f>
        <v>16901.115231</v>
      </c>
      <c r="FW130" s="51">
        <f t="shared" ref="FW130:FW140" si="1539">+FV130*3.3058</f>
        <v>55871.706730639802</v>
      </c>
      <c r="FX130" s="53">
        <f t="shared" ref="FX130:FX140" si="1540">+ER130*HB130</f>
        <v>16411.227832999997</v>
      </c>
      <c r="FY130" s="51">
        <f t="shared" ref="FY130:FY140" si="1541">+FX130*3.3058</f>
        <v>54252.236970331389</v>
      </c>
      <c r="FZ130" s="53">
        <f t="shared" ref="FZ130:FZ140" si="1542">+ER130*HC130</f>
        <v>15921.340434999998</v>
      </c>
      <c r="GA130" s="51">
        <f t="shared" ref="GA130:GA140" si="1543">+FZ130*3.3058</f>
        <v>52632.767210022997</v>
      </c>
      <c r="GB130" s="48">
        <f t="shared" ref="GB130:GB140" si="1544">+ER130*HD130</f>
        <v>15431.453036999997</v>
      </c>
      <c r="GC130" s="51">
        <f t="shared" ref="GC130:GC140" si="1545">+GB130*3.3058</f>
        <v>51013.297449714591</v>
      </c>
      <c r="GD130" s="53">
        <f t="shared" ref="GD130:GD140" si="1546">+ER130*HE130</f>
        <v>14941.565638999997</v>
      </c>
      <c r="GE130" s="51">
        <f t="shared" ref="GE130:GE140" si="1547">+GD130*3.3058</f>
        <v>49393.827689406193</v>
      </c>
      <c r="GF130" s="53">
        <f t="shared" ref="GF130:GF140" si="1548">+ER130*HF130</f>
        <v>14451.678240999996</v>
      </c>
      <c r="GG130" s="51">
        <f t="shared" ref="GG130:GG140" si="1549">+GF130*3.3058</f>
        <v>47774.357929097787</v>
      </c>
      <c r="GH130" s="48">
        <f t="shared" ref="GH130:GH140" si="1550">+ER130*HG130</f>
        <v>13961.790842999997</v>
      </c>
      <c r="GI130" s="51">
        <f t="shared" ref="GI130:GI140" si="1551">+GH130*3.3058</f>
        <v>46154.888168789388</v>
      </c>
      <c r="GJ130" s="48"/>
      <c r="GK130" s="48"/>
      <c r="GL130" s="48">
        <v>1</v>
      </c>
      <c r="GM130" s="48">
        <v>0.97</v>
      </c>
      <c r="GN130" s="48">
        <v>0.95</v>
      </c>
      <c r="GO130" s="48">
        <v>0.93</v>
      </c>
      <c r="GP130" s="48">
        <f t="shared" ref="GP130:HG130" si="1552">+GO130-0.02</f>
        <v>0.91</v>
      </c>
      <c r="GQ130" s="48">
        <f t="shared" si="1552"/>
        <v>0.89</v>
      </c>
      <c r="GR130" s="48">
        <f t="shared" si="1552"/>
        <v>0.87</v>
      </c>
      <c r="GS130" s="48">
        <f t="shared" si="1552"/>
        <v>0.85</v>
      </c>
      <c r="GT130" s="48">
        <f t="shared" si="1552"/>
        <v>0.83</v>
      </c>
      <c r="GU130" s="48">
        <f t="shared" si="1552"/>
        <v>0.80999999999999994</v>
      </c>
      <c r="GV130" s="48">
        <f t="shared" si="1552"/>
        <v>0.78999999999999992</v>
      </c>
      <c r="GW130" s="48">
        <f t="shared" si="1552"/>
        <v>0.76999999999999991</v>
      </c>
      <c r="GX130" s="48">
        <f t="shared" si="1552"/>
        <v>0.74999999999999989</v>
      </c>
      <c r="GY130" s="48">
        <f t="shared" si="1552"/>
        <v>0.72999999999999987</v>
      </c>
      <c r="GZ130" s="48">
        <f t="shared" si="1552"/>
        <v>0.70999999999999985</v>
      </c>
      <c r="HA130" s="48">
        <f t="shared" si="1552"/>
        <v>0.68999999999999984</v>
      </c>
      <c r="HB130" s="48">
        <f t="shared" si="1552"/>
        <v>0.66999999999999982</v>
      </c>
      <c r="HC130" s="48">
        <f t="shared" si="1552"/>
        <v>0.6499999999999998</v>
      </c>
      <c r="HD130" s="48">
        <f t="shared" si="1552"/>
        <v>0.62999999999999978</v>
      </c>
      <c r="HE130" s="48">
        <f t="shared" si="1552"/>
        <v>0.60999999999999976</v>
      </c>
      <c r="HF130" s="48">
        <f t="shared" si="1552"/>
        <v>0.58999999999999975</v>
      </c>
      <c r="HG130" s="48">
        <f t="shared" si="1552"/>
        <v>0.56999999999999973</v>
      </c>
    </row>
    <row r="131" spans="1:215" x14ac:dyDescent="0.3">
      <c r="A131" s="2">
        <v>2</v>
      </c>
      <c r="C131" s="39" t="s">
        <v>157</v>
      </c>
      <c r="D131" s="44">
        <f>TRUNC(978.019398529429,-1)</f>
        <v>970</v>
      </c>
      <c r="E131" s="73">
        <f t="shared" si="1421"/>
        <v>3200</v>
      </c>
      <c r="F131" s="2" t="s">
        <v>369</v>
      </c>
      <c r="G131" s="48">
        <f t="shared" si="948"/>
        <v>1067</v>
      </c>
      <c r="H131" s="48">
        <f t="shared" si="949"/>
        <v>1067</v>
      </c>
      <c r="I131" s="51">
        <f t="shared" si="950"/>
        <v>3527.2885999999999</v>
      </c>
      <c r="J131" s="48">
        <f t="shared" si="1422"/>
        <v>1034.99</v>
      </c>
      <c r="K131" s="51">
        <f t="shared" si="1423"/>
        <v>3421.4699420000002</v>
      </c>
      <c r="L131" s="48">
        <f t="shared" si="1424"/>
        <v>1013.65</v>
      </c>
      <c r="M131" s="51">
        <f t="shared" si="1425"/>
        <v>3350.9241699999998</v>
      </c>
      <c r="N131" s="48">
        <f t="shared" si="1426"/>
        <v>992.31000000000006</v>
      </c>
      <c r="O131" s="51">
        <f t="shared" si="1427"/>
        <v>3280.3783980000003</v>
      </c>
      <c r="P131" s="52">
        <f t="shared" si="1428"/>
        <v>970.97</v>
      </c>
      <c r="Q131" s="51">
        <f t="shared" si="1429"/>
        <v>3209.8326260000003</v>
      </c>
      <c r="R131" s="48">
        <f t="shared" si="1430"/>
        <v>949.63</v>
      </c>
      <c r="S131" s="51">
        <f t="shared" si="1431"/>
        <v>3139.2868539999999</v>
      </c>
      <c r="T131" s="52">
        <f t="shared" si="1432"/>
        <v>928.29</v>
      </c>
      <c r="U131" s="51">
        <f t="shared" si="1433"/>
        <v>3068.741082</v>
      </c>
      <c r="V131" s="53">
        <f t="shared" si="1434"/>
        <v>906.94999999999993</v>
      </c>
      <c r="W131" s="51">
        <f t="shared" si="1435"/>
        <v>2998.1953100000001</v>
      </c>
      <c r="X131" s="52">
        <f t="shared" si="1436"/>
        <v>885.61</v>
      </c>
      <c r="Y131" s="51">
        <f t="shared" si="1437"/>
        <v>2927.6495380000001</v>
      </c>
      <c r="Z131" s="48">
        <f t="shared" si="1438"/>
        <v>864.27</v>
      </c>
      <c r="AA131" s="51">
        <f t="shared" si="1439"/>
        <v>2857.1037660000002</v>
      </c>
      <c r="AB131" s="53">
        <f t="shared" si="1440"/>
        <v>842.93</v>
      </c>
      <c r="AC131" s="51">
        <f t="shared" si="1441"/>
        <v>2786.5579939999998</v>
      </c>
      <c r="AD131" s="53">
        <f t="shared" si="1442"/>
        <v>821.58999999999992</v>
      </c>
      <c r="AE131" s="51">
        <f t="shared" si="1443"/>
        <v>2716.0122219999998</v>
      </c>
      <c r="AF131" s="53">
        <f t="shared" si="1444"/>
        <v>800.24999999999989</v>
      </c>
      <c r="AG131" s="51">
        <f t="shared" si="1445"/>
        <v>2645.4664499999999</v>
      </c>
      <c r="AH131" s="48">
        <f t="shared" si="1446"/>
        <v>778.90999999999985</v>
      </c>
      <c r="AI131" s="51">
        <f t="shared" si="1447"/>
        <v>2574.9206779999995</v>
      </c>
      <c r="AJ131" s="53">
        <f t="shared" si="1448"/>
        <v>757.56999999999982</v>
      </c>
      <c r="AK131" s="51">
        <f t="shared" si="1449"/>
        <v>2504.3749059999996</v>
      </c>
      <c r="AL131" s="53">
        <f t="shared" si="1450"/>
        <v>736.22999999999979</v>
      </c>
      <c r="AM131" s="51">
        <f t="shared" si="1451"/>
        <v>2433.8291339999992</v>
      </c>
      <c r="AN131" s="53">
        <f t="shared" si="1452"/>
        <v>714.88999999999976</v>
      </c>
      <c r="AO131" s="51">
        <f t="shared" si="1453"/>
        <v>2363.2833619999992</v>
      </c>
      <c r="AP131" s="53">
        <f t="shared" si="1454"/>
        <v>693.54999999999984</v>
      </c>
      <c r="AQ131" s="51">
        <f t="shared" si="1455"/>
        <v>2292.7375899999997</v>
      </c>
      <c r="AR131" s="48">
        <f t="shared" si="1456"/>
        <v>672.20999999999981</v>
      </c>
      <c r="AS131" s="51">
        <f t="shared" si="1457"/>
        <v>2222.1918179999993</v>
      </c>
      <c r="AT131" s="53">
        <f t="shared" si="1458"/>
        <v>650.86999999999978</v>
      </c>
      <c r="AU131" s="51">
        <f t="shared" si="1459"/>
        <v>2151.6460459999994</v>
      </c>
      <c r="AV131" s="53">
        <f t="shared" si="1460"/>
        <v>629.52999999999975</v>
      </c>
      <c r="AW131" s="51">
        <f t="shared" si="1461"/>
        <v>2081.100273999999</v>
      </c>
      <c r="AX131" s="48">
        <f t="shared" si="1462"/>
        <v>608.18999999999971</v>
      </c>
      <c r="AY131" s="51">
        <f t="shared" si="1463"/>
        <v>2010.554501999999</v>
      </c>
      <c r="BB131" s="48">
        <v>1</v>
      </c>
      <c r="BC131" s="48">
        <v>0.97</v>
      </c>
      <c r="BD131" s="48">
        <v>0.95</v>
      </c>
      <c r="BE131" s="48">
        <v>0.93</v>
      </c>
      <c r="BF131" s="48">
        <f t="shared" ref="BF131:BW131" si="1553">+BE131-0.02</f>
        <v>0.91</v>
      </c>
      <c r="BG131" s="48">
        <f t="shared" si="1553"/>
        <v>0.89</v>
      </c>
      <c r="BH131" s="48">
        <f t="shared" si="1553"/>
        <v>0.87</v>
      </c>
      <c r="BI131" s="48">
        <f t="shared" si="1553"/>
        <v>0.85</v>
      </c>
      <c r="BJ131" s="48">
        <f t="shared" si="1553"/>
        <v>0.83</v>
      </c>
      <c r="BK131" s="48">
        <f t="shared" si="1553"/>
        <v>0.80999999999999994</v>
      </c>
      <c r="BL131" s="48">
        <f t="shared" si="1553"/>
        <v>0.78999999999999992</v>
      </c>
      <c r="BM131" s="48">
        <f t="shared" si="1553"/>
        <v>0.76999999999999991</v>
      </c>
      <c r="BN131" s="48">
        <f t="shared" si="1553"/>
        <v>0.74999999999999989</v>
      </c>
      <c r="BO131" s="48">
        <f t="shared" si="1553"/>
        <v>0.72999999999999987</v>
      </c>
      <c r="BP131" s="48">
        <f t="shared" si="1553"/>
        <v>0.70999999999999985</v>
      </c>
      <c r="BQ131" s="48">
        <f t="shared" si="1553"/>
        <v>0.68999999999999984</v>
      </c>
      <c r="BR131" s="48">
        <f t="shared" si="1553"/>
        <v>0.66999999999999982</v>
      </c>
      <c r="BS131" s="48">
        <f t="shared" si="1553"/>
        <v>0.6499999999999998</v>
      </c>
      <c r="BT131" s="48">
        <f t="shared" si="1553"/>
        <v>0.62999999999999978</v>
      </c>
      <c r="BU131" s="48">
        <f t="shared" si="1553"/>
        <v>0.60999999999999976</v>
      </c>
      <c r="BV131" s="48">
        <f t="shared" si="1553"/>
        <v>0.58999999999999975</v>
      </c>
      <c r="BW131" s="48">
        <f t="shared" si="1553"/>
        <v>0.56999999999999973</v>
      </c>
      <c r="BY131" s="48">
        <f t="shared" si="952"/>
        <v>970.97</v>
      </c>
      <c r="BZ131" s="48">
        <f t="shared" si="953"/>
        <v>970.97</v>
      </c>
      <c r="CA131" s="51">
        <f t="shared" ref="CA131" si="1554">+BZ131*3.3058</f>
        <v>3209.8326260000003</v>
      </c>
      <c r="CB131" s="48">
        <f t="shared" si="1466"/>
        <v>941.84090000000003</v>
      </c>
      <c r="CC131" s="51">
        <f t="shared" si="1467"/>
        <v>3113.5376472200001</v>
      </c>
      <c r="CD131" s="48">
        <f t="shared" si="1468"/>
        <v>922.42150000000004</v>
      </c>
      <c r="CE131" s="51">
        <f t="shared" si="1469"/>
        <v>3049.3409947</v>
      </c>
      <c r="CF131" s="48">
        <f t="shared" si="1470"/>
        <v>903.00210000000004</v>
      </c>
      <c r="CG131" s="51">
        <f t="shared" si="1471"/>
        <v>2985.1443421800004</v>
      </c>
      <c r="CH131" s="52">
        <f t="shared" si="1472"/>
        <v>883.58270000000005</v>
      </c>
      <c r="CI131" s="51">
        <f t="shared" si="1473"/>
        <v>2920.9476896600004</v>
      </c>
      <c r="CJ131" s="48">
        <f t="shared" si="1474"/>
        <v>864.16330000000005</v>
      </c>
      <c r="CK131" s="51">
        <f t="shared" si="1475"/>
        <v>2856.7510371400003</v>
      </c>
      <c r="CL131" s="52">
        <f t="shared" si="1476"/>
        <v>844.74390000000005</v>
      </c>
      <c r="CM131" s="51">
        <f t="shared" si="1477"/>
        <v>2792.5543846200003</v>
      </c>
      <c r="CN131" s="53">
        <f t="shared" si="1478"/>
        <v>825.32450000000006</v>
      </c>
      <c r="CO131" s="51">
        <f t="shared" si="1479"/>
        <v>2728.3577321000002</v>
      </c>
      <c r="CP131" s="52">
        <f t="shared" si="1480"/>
        <v>805.90509999999995</v>
      </c>
      <c r="CQ131" s="51">
        <f t="shared" si="1481"/>
        <v>2664.1610795799998</v>
      </c>
      <c r="CR131" s="48">
        <f t="shared" si="1482"/>
        <v>786.48569999999995</v>
      </c>
      <c r="CS131" s="51">
        <f t="shared" si="1483"/>
        <v>2599.9644270599997</v>
      </c>
      <c r="CT131" s="53">
        <f t="shared" si="1484"/>
        <v>767.06629999999996</v>
      </c>
      <c r="CU131" s="51">
        <f t="shared" si="1485"/>
        <v>2535.7677745400001</v>
      </c>
      <c r="CV131" s="53">
        <f t="shared" si="1486"/>
        <v>747.64689999999996</v>
      </c>
      <c r="CW131" s="51">
        <f t="shared" si="1487"/>
        <v>2471.5711220200001</v>
      </c>
      <c r="CX131" s="53">
        <f t="shared" si="1488"/>
        <v>728.22749999999996</v>
      </c>
      <c r="CY131" s="51">
        <f t="shared" si="1489"/>
        <v>2407.3744695</v>
      </c>
      <c r="CZ131" s="48">
        <f t="shared" si="1490"/>
        <v>708.80809999999985</v>
      </c>
      <c r="DA131" s="51">
        <f t="shared" si="1491"/>
        <v>2343.1778169799995</v>
      </c>
      <c r="DB131" s="53">
        <f t="shared" si="1492"/>
        <v>689.38869999999986</v>
      </c>
      <c r="DC131" s="51">
        <f t="shared" si="1493"/>
        <v>2278.9811644599995</v>
      </c>
      <c r="DD131" s="53">
        <f t="shared" si="1494"/>
        <v>669.96929999999986</v>
      </c>
      <c r="DE131" s="51">
        <f t="shared" si="1495"/>
        <v>2214.7845119399994</v>
      </c>
      <c r="DF131" s="53">
        <f t="shared" si="1496"/>
        <v>650.54989999999987</v>
      </c>
      <c r="DG131" s="51">
        <f t="shared" si="1497"/>
        <v>2150.5878594199994</v>
      </c>
      <c r="DH131" s="53">
        <f t="shared" si="1498"/>
        <v>631.13049999999987</v>
      </c>
      <c r="DI131" s="51">
        <f t="shared" si="1499"/>
        <v>2086.3912068999998</v>
      </c>
      <c r="DJ131" s="48">
        <f t="shared" si="1500"/>
        <v>611.71109999999976</v>
      </c>
      <c r="DK131" s="51">
        <f t="shared" si="1501"/>
        <v>2022.1945543799993</v>
      </c>
      <c r="DL131" s="53">
        <f t="shared" si="1502"/>
        <v>592.29169999999976</v>
      </c>
      <c r="DM131" s="51">
        <f t="shared" si="1503"/>
        <v>1957.9979018599993</v>
      </c>
      <c r="DN131" s="53">
        <f t="shared" si="1504"/>
        <v>572.87229999999977</v>
      </c>
      <c r="DO131" s="51">
        <f t="shared" si="1505"/>
        <v>1893.8012493399992</v>
      </c>
      <c r="DP131" s="48">
        <f t="shared" si="1506"/>
        <v>553.45289999999977</v>
      </c>
      <c r="DQ131" s="51">
        <f t="shared" si="1507"/>
        <v>1829.6045968199992</v>
      </c>
      <c r="DT131" s="48">
        <v>1</v>
      </c>
      <c r="DU131" s="48">
        <v>0.97</v>
      </c>
      <c r="DV131" s="48">
        <v>0.95</v>
      </c>
      <c r="DW131" s="48">
        <v>0.93</v>
      </c>
      <c r="DX131" s="48">
        <f t="shared" ref="DX131:EO131" si="1555">+DW131-0.02</f>
        <v>0.91</v>
      </c>
      <c r="DY131" s="48">
        <f t="shared" si="1555"/>
        <v>0.89</v>
      </c>
      <c r="DZ131" s="48">
        <f t="shared" si="1555"/>
        <v>0.87</v>
      </c>
      <c r="EA131" s="48">
        <f t="shared" si="1555"/>
        <v>0.85</v>
      </c>
      <c r="EB131" s="48">
        <f t="shared" si="1555"/>
        <v>0.83</v>
      </c>
      <c r="EC131" s="48">
        <f t="shared" si="1555"/>
        <v>0.80999999999999994</v>
      </c>
      <c r="ED131" s="48">
        <f t="shared" si="1555"/>
        <v>0.78999999999999992</v>
      </c>
      <c r="EE131" s="48">
        <f t="shared" si="1555"/>
        <v>0.76999999999999991</v>
      </c>
      <c r="EF131" s="48">
        <f t="shared" si="1555"/>
        <v>0.74999999999999989</v>
      </c>
      <c r="EG131" s="48">
        <f t="shared" si="1555"/>
        <v>0.72999999999999987</v>
      </c>
      <c r="EH131" s="48">
        <f t="shared" si="1555"/>
        <v>0.70999999999999985</v>
      </c>
      <c r="EI131" s="48">
        <f t="shared" si="1555"/>
        <v>0.68999999999999984</v>
      </c>
      <c r="EJ131" s="48">
        <f t="shared" si="1555"/>
        <v>0.66999999999999982</v>
      </c>
      <c r="EK131" s="48">
        <f t="shared" si="1555"/>
        <v>0.6499999999999998</v>
      </c>
      <c r="EL131" s="48">
        <f t="shared" si="1555"/>
        <v>0.62999999999999978</v>
      </c>
      <c r="EM131" s="48">
        <f t="shared" si="1555"/>
        <v>0.60999999999999976</v>
      </c>
      <c r="EN131" s="48">
        <f t="shared" si="1555"/>
        <v>0.58999999999999975</v>
      </c>
      <c r="EO131" s="48">
        <f t="shared" si="1555"/>
        <v>0.56999999999999973</v>
      </c>
      <c r="EQ131" s="48">
        <f t="shared" si="1128"/>
        <v>883.58270000000005</v>
      </c>
      <c r="ER131" s="48">
        <f t="shared" si="956"/>
        <v>883.58270000000005</v>
      </c>
      <c r="ES131" s="51">
        <f t="shared" ref="ES131" si="1556">+ER131*3.3058</f>
        <v>2920.9476896600004</v>
      </c>
      <c r="ET131" s="48">
        <f t="shared" si="1510"/>
        <v>857.07521900000006</v>
      </c>
      <c r="EU131" s="51">
        <f t="shared" si="1511"/>
        <v>2833.3192589702003</v>
      </c>
      <c r="EV131" s="48">
        <f t="shared" si="1512"/>
        <v>839.40356499999996</v>
      </c>
      <c r="EW131" s="51">
        <f t="shared" si="1513"/>
        <v>2774.9003051770001</v>
      </c>
      <c r="EX131" s="48">
        <f t="shared" si="1514"/>
        <v>821.73191100000008</v>
      </c>
      <c r="EY131" s="51">
        <f t="shared" si="1515"/>
        <v>2716.4813513838003</v>
      </c>
      <c r="EZ131" s="52">
        <f t="shared" si="1516"/>
        <v>804.06025700000009</v>
      </c>
      <c r="FA131" s="51">
        <f t="shared" si="1517"/>
        <v>2658.0623975906005</v>
      </c>
      <c r="FB131" s="48">
        <f t="shared" si="1518"/>
        <v>786.3886030000001</v>
      </c>
      <c r="FC131" s="51">
        <f t="shared" si="1519"/>
        <v>2599.6434437974003</v>
      </c>
      <c r="FD131" s="52">
        <f t="shared" si="1520"/>
        <v>768.716949</v>
      </c>
      <c r="FE131" s="51">
        <f t="shared" si="1521"/>
        <v>2541.2244900042001</v>
      </c>
      <c r="FF131" s="53">
        <f t="shared" si="1522"/>
        <v>751.04529500000001</v>
      </c>
      <c r="FG131" s="51">
        <f t="shared" si="1523"/>
        <v>2482.8055362109999</v>
      </c>
      <c r="FH131" s="52">
        <f t="shared" si="1524"/>
        <v>733.37364100000002</v>
      </c>
      <c r="FI131" s="51">
        <f t="shared" si="1525"/>
        <v>2424.3865824178001</v>
      </c>
      <c r="FJ131" s="48">
        <f t="shared" si="1526"/>
        <v>715.70198700000003</v>
      </c>
      <c r="FK131" s="51">
        <f t="shared" si="1527"/>
        <v>2365.9676286246004</v>
      </c>
      <c r="FL131" s="53">
        <f t="shared" si="1528"/>
        <v>698.03033299999993</v>
      </c>
      <c r="FM131" s="51">
        <f t="shared" si="1529"/>
        <v>2307.5486748313997</v>
      </c>
      <c r="FN131" s="53">
        <f t="shared" si="1530"/>
        <v>680.35867899999994</v>
      </c>
      <c r="FO131" s="51">
        <f t="shared" si="1531"/>
        <v>2249.1297210381999</v>
      </c>
      <c r="FP131" s="53">
        <f t="shared" si="1532"/>
        <v>662.68702499999995</v>
      </c>
      <c r="FQ131" s="51">
        <f t="shared" si="1533"/>
        <v>2190.7107672449997</v>
      </c>
      <c r="FR131" s="48">
        <f t="shared" si="1534"/>
        <v>645.01537099999996</v>
      </c>
      <c r="FS131" s="51">
        <f t="shared" si="1535"/>
        <v>2132.2918134518</v>
      </c>
      <c r="FT131" s="53">
        <f t="shared" si="1536"/>
        <v>627.34371699999986</v>
      </c>
      <c r="FU131" s="51">
        <f t="shared" si="1537"/>
        <v>2073.8728596585997</v>
      </c>
      <c r="FV131" s="53">
        <f t="shared" si="1538"/>
        <v>609.67206299999987</v>
      </c>
      <c r="FW131" s="51">
        <f t="shared" si="1539"/>
        <v>2015.4539058653995</v>
      </c>
      <c r="FX131" s="53">
        <f t="shared" si="1540"/>
        <v>592.00040899999988</v>
      </c>
      <c r="FY131" s="51">
        <f t="shared" si="1541"/>
        <v>1957.0349520721995</v>
      </c>
      <c r="FZ131" s="53">
        <f t="shared" si="1542"/>
        <v>574.32875499999989</v>
      </c>
      <c r="GA131" s="51">
        <f t="shared" si="1543"/>
        <v>1898.6159982789998</v>
      </c>
      <c r="GB131" s="48">
        <f t="shared" si="1544"/>
        <v>556.65710099999978</v>
      </c>
      <c r="GC131" s="51">
        <f t="shared" si="1545"/>
        <v>1840.1970444857993</v>
      </c>
      <c r="GD131" s="53">
        <f t="shared" si="1546"/>
        <v>538.98544699999979</v>
      </c>
      <c r="GE131" s="51">
        <f t="shared" si="1547"/>
        <v>1781.7780906925993</v>
      </c>
      <c r="GF131" s="53">
        <f t="shared" si="1548"/>
        <v>521.31379299999981</v>
      </c>
      <c r="GG131" s="51">
        <f t="shared" si="1549"/>
        <v>1723.3591368993993</v>
      </c>
      <c r="GH131" s="48">
        <f t="shared" si="1550"/>
        <v>503.64213899999976</v>
      </c>
      <c r="GI131" s="51">
        <f t="shared" si="1551"/>
        <v>1664.9401831061991</v>
      </c>
      <c r="GJ131" s="48"/>
      <c r="GK131" s="48"/>
      <c r="GL131" s="48">
        <v>1</v>
      </c>
      <c r="GM131" s="48">
        <v>0.97</v>
      </c>
      <c r="GN131" s="48">
        <v>0.95</v>
      </c>
      <c r="GO131" s="48">
        <v>0.93</v>
      </c>
      <c r="GP131" s="48">
        <f t="shared" ref="GP131:HG131" si="1557">+GO131-0.02</f>
        <v>0.91</v>
      </c>
      <c r="GQ131" s="48">
        <f t="shared" si="1557"/>
        <v>0.89</v>
      </c>
      <c r="GR131" s="48">
        <f t="shared" si="1557"/>
        <v>0.87</v>
      </c>
      <c r="GS131" s="48">
        <f t="shared" si="1557"/>
        <v>0.85</v>
      </c>
      <c r="GT131" s="48">
        <f t="shared" si="1557"/>
        <v>0.83</v>
      </c>
      <c r="GU131" s="48">
        <f t="shared" si="1557"/>
        <v>0.80999999999999994</v>
      </c>
      <c r="GV131" s="48">
        <f t="shared" si="1557"/>
        <v>0.78999999999999992</v>
      </c>
      <c r="GW131" s="48">
        <f t="shared" si="1557"/>
        <v>0.76999999999999991</v>
      </c>
      <c r="GX131" s="48">
        <f t="shared" si="1557"/>
        <v>0.74999999999999989</v>
      </c>
      <c r="GY131" s="48">
        <f t="shared" si="1557"/>
        <v>0.72999999999999987</v>
      </c>
      <c r="GZ131" s="48">
        <f t="shared" si="1557"/>
        <v>0.70999999999999985</v>
      </c>
      <c r="HA131" s="48">
        <f t="shared" si="1557"/>
        <v>0.68999999999999984</v>
      </c>
      <c r="HB131" s="48">
        <f t="shared" si="1557"/>
        <v>0.66999999999999982</v>
      </c>
      <c r="HC131" s="48">
        <f t="shared" si="1557"/>
        <v>0.6499999999999998</v>
      </c>
      <c r="HD131" s="48">
        <f t="shared" si="1557"/>
        <v>0.62999999999999978</v>
      </c>
      <c r="HE131" s="48">
        <f t="shared" si="1557"/>
        <v>0.60999999999999976</v>
      </c>
      <c r="HF131" s="48">
        <f t="shared" si="1557"/>
        <v>0.58999999999999975</v>
      </c>
      <c r="HG131" s="48">
        <f t="shared" si="1557"/>
        <v>0.56999999999999973</v>
      </c>
    </row>
    <row r="132" spans="1:215" x14ac:dyDescent="0.3">
      <c r="A132" s="2">
        <v>3</v>
      </c>
      <c r="C132" s="39" t="s">
        <v>190</v>
      </c>
      <c r="D132" s="44">
        <v>0</v>
      </c>
      <c r="E132" s="73">
        <f t="shared" si="1421"/>
        <v>0</v>
      </c>
      <c r="G132" s="48">
        <f t="shared" si="948"/>
        <v>0</v>
      </c>
      <c r="H132" s="48">
        <f t="shared" si="949"/>
        <v>0</v>
      </c>
      <c r="I132" s="51">
        <f t="shared" si="950"/>
        <v>0</v>
      </c>
      <c r="J132" s="48">
        <f t="shared" si="1422"/>
        <v>0</v>
      </c>
      <c r="K132" s="51">
        <f t="shared" si="1423"/>
        <v>0</v>
      </c>
      <c r="L132" s="48">
        <f t="shared" si="1424"/>
        <v>0</v>
      </c>
      <c r="M132" s="51">
        <f t="shared" si="1425"/>
        <v>0</v>
      </c>
      <c r="N132" s="48">
        <f t="shared" si="1426"/>
        <v>0</v>
      </c>
      <c r="O132" s="51">
        <f t="shared" si="1427"/>
        <v>0</v>
      </c>
      <c r="P132" s="52">
        <f t="shared" si="1428"/>
        <v>0</v>
      </c>
      <c r="Q132" s="51">
        <f t="shared" si="1429"/>
        <v>0</v>
      </c>
      <c r="R132" s="48">
        <f t="shared" si="1430"/>
        <v>0</v>
      </c>
      <c r="S132" s="51">
        <f t="shared" si="1431"/>
        <v>0</v>
      </c>
      <c r="T132" s="52">
        <f t="shared" si="1432"/>
        <v>0</v>
      </c>
      <c r="U132" s="51">
        <f t="shared" si="1433"/>
        <v>0</v>
      </c>
      <c r="V132" s="53">
        <f t="shared" si="1434"/>
        <v>0</v>
      </c>
      <c r="W132" s="51">
        <f t="shared" si="1435"/>
        <v>0</v>
      </c>
      <c r="X132" s="52">
        <f t="shared" si="1436"/>
        <v>0</v>
      </c>
      <c r="Y132" s="51">
        <f t="shared" si="1437"/>
        <v>0</v>
      </c>
      <c r="Z132" s="48">
        <f t="shared" si="1438"/>
        <v>0</v>
      </c>
      <c r="AA132" s="51">
        <f t="shared" si="1439"/>
        <v>0</v>
      </c>
      <c r="AB132" s="53">
        <f t="shared" si="1440"/>
        <v>0</v>
      </c>
      <c r="AC132" s="51">
        <f t="shared" si="1441"/>
        <v>0</v>
      </c>
      <c r="AD132" s="53">
        <f t="shared" si="1442"/>
        <v>0</v>
      </c>
      <c r="AE132" s="51">
        <f t="shared" si="1443"/>
        <v>0</v>
      </c>
      <c r="AF132" s="53">
        <f t="shared" si="1444"/>
        <v>0</v>
      </c>
      <c r="AG132" s="51">
        <f t="shared" si="1445"/>
        <v>0</v>
      </c>
      <c r="AH132" s="48">
        <f t="shared" si="1446"/>
        <v>0</v>
      </c>
      <c r="AI132" s="51">
        <f t="shared" si="1447"/>
        <v>0</v>
      </c>
      <c r="AJ132" s="53">
        <f t="shared" si="1448"/>
        <v>0</v>
      </c>
      <c r="AK132" s="51">
        <f t="shared" si="1449"/>
        <v>0</v>
      </c>
      <c r="AL132" s="53">
        <f t="shared" si="1450"/>
        <v>0</v>
      </c>
      <c r="AM132" s="51">
        <f t="shared" si="1451"/>
        <v>0</v>
      </c>
      <c r="AN132" s="53">
        <f t="shared" si="1452"/>
        <v>0</v>
      </c>
      <c r="AO132" s="51">
        <f t="shared" si="1453"/>
        <v>0</v>
      </c>
      <c r="AP132" s="53">
        <f t="shared" si="1454"/>
        <v>0</v>
      </c>
      <c r="AQ132" s="51">
        <f t="shared" si="1455"/>
        <v>0</v>
      </c>
      <c r="AR132" s="48">
        <f t="shared" si="1456"/>
        <v>0</v>
      </c>
      <c r="AS132" s="51">
        <f t="shared" si="1457"/>
        <v>0</v>
      </c>
      <c r="AT132" s="53">
        <f t="shared" si="1458"/>
        <v>0</v>
      </c>
      <c r="AU132" s="51">
        <f t="shared" si="1459"/>
        <v>0</v>
      </c>
      <c r="AV132" s="53">
        <f t="shared" si="1460"/>
        <v>0</v>
      </c>
      <c r="AW132" s="51">
        <f t="shared" si="1461"/>
        <v>0</v>
      </c>
      <c r="AX132" s="48">
        <f t="shared" si="1462"/>
        <v>0</v>
      </c>
      <c r="AY132" s="51">
        <f t="shared" si="1463"/>
        <v>0</v>
      </c>
      <c r="BB132" s="48">
        <v>1</v>
      </c>
      <c r="BC132" s="48">
        <v>0.97</v>
      </c>
      <c r="BD132" s="48">
        <v>0.95</v>
      </c>
      <c r="BE132" s="48">
        <v>0.93</v>
      </c>
      <c r="BF132" s="48">
        <f t="shared" ref="BF132:BW132" si="1558">+BE132-0.02</f>
        <v>0.91</v>
      </c>
      <c r="BG132" s="48">
        <f t="shared" si="1558"/>
        <v>0.89</v>
      </c>
      <c r="BH132" s="48">
        <f t="shared" si="1558"/>
        <v>0.87</v>
      </c>
      <c r="BI132" s="48">
        <f t="shared" si="1558"/>
        <v>0.85</v>
      </c>
      <c r="BJ132" s="48">
        <f t="shared" si="1558"/>
        <v>0.83</v>
      </c>
      <c r="BK132" s="48">
        <f t="shared" si="1558"/>
        <v>0.80999999999999994</v>
      </c>
      <c r="BL132" s="48">
        <f t="shared" si="1558"/>
        <v>0.78999999999999992</v>
      </c>
      <c r="BM132" s="48">
        <f t="shared" si="1558"/>
        <v>0.76999999999999991</v>
      </c>
      <c r="BN132" s="48">
        <f t="shared" si="1558"/>
        <v>0.74999999999999989</v>
      </c>
      <c r="BO132" s="48">
        <f t="shared" si="1558"/>
        <v>0.72999999999999987</v>
      </c>
      <c r="BP132" s="48">
        <f t="shared" si="1558"/>
        <v>0.70999999999999985</v>
      </c>
      <c r="BQ132" s="48">
        <f t="shared" si="1558"/>
        <v>0.68999999999999984</v>
      </c>
      <c r="BR132" s="48">
        <f t="shared" si="1558"/>
        <v>0.66999999999999982</v>
      </c>
      <c r="BS132" s="48">
        <f t="shared" si="1558"/>
        <v>0.6499999999999998</v>
      </c>
      <c r="BT132" s="48">
        <f t="shared" si="1558"/>
        <v>0.62999999999999978</v>
      </c>
      <c r="BU132" s="48">
        <f t="shared" si="1558"/>
        <v>0.60999999999999976</v>
      </c>
      <c r="BV132" s="48">
        <f t="shared" si="1558"/>
        <v>0.58999999999999975</v>
      </c>
      <c r="BW132" s="48">
        <f t="shared" si="1558"/>
        <v>0.56999999999999973</v>
      </c>
      <c r="BY132" s="48">
        <f t="shared" si="952"/>
        <v>0</v>
      </c>
      <c r="BZ132" s="48">
        <f t="shared" si="953"/>
        <v>0</v>
      </c>
      <c r="CA132" s="51">
        <f t="shared" ref="CA132" si="1559">+BZ132*3.3058</f>
        <v>0</v>
      </c>
      <c r="CB132" s="48">
        <f t="shared" si="1466"/>
        <v>0</v>
      </c>
      <c r="CC132" s="51">
        <f t="shared" si="1467"/>
        <v>0</v>
      </c>
      <c r="CD132" s="48">
        <f t="shared" si="1468"/>
        <v>0</v>
      </c>
      <c r="CE132" s="51">
        <f t="shared" si="1469"/>
        <v>0</v>
      </c>
      <c r="CF132" s="48">
        <f t="shared" si="1470"/>
        <v>0</v>
      </c>
      <c r="CG132" s="51">
        <f t="shared" si="1471"/>
        <v>0</v>
      </c>
      <c r="CH132" s="52">
        <f t="shared" si="1472"/>
        <v>0</v>
      </c>
      <c r="CI132" s="51">
        <f t="shared" si="1473"/>
        <v>0</v>
      </c>
      <c r="CJ132" s="48">
        <f t="shared" si="1474"/>
        <v>0</v>
      </c>
      <c r="CK132" s="51">
        <f t="shared" si="1475"/>
        <v>0</v>
      </c>
      <c r="CL132" s="52">
        <f t="shared" si="1476"/>
        <v>0</v>
      </c>
      <c r="CM132" s="51">
        <f t="shared" si="1477"/>
        <v>0</v>
      </c>
      <c r="CN132" s="53">
        <f t="shared" si="1478"/>
        <v>0</v>
      </c>
      <c r="CO132" s="51">
        <f t="shared" si="1479"/>
        <v>0</v>
      </c>
      <c r="CP132" s="52">
        <f t="shared" si="1480"/>
        <v>0</v>
      </c>
      <c r="CQ132" s="51">
        <f t="shared" si="1481"/>
        <v>0</v>
      </c>
      <c r="CR132" s="48">
        <f t="shared" si="1482"/>
        <v>0</v>
      </c>
      <c r="CS132" s="51">
        <f t="shared" si="1483"/>
        <v>0</v>
      </c>
      <c r="CT132" s="53">
        <f t="shared" si="1484"/>
        <v>0</v>
      </c>
      <c r="CU132" s="51">
        <f t="shared" si="1485"/>
        <v>0</v>
      </c>
      <c r="CV132" s="53">
        <f t="shared" si="1486"/>
        <v>0</v>
      </c>
      <c r="CW132" s="51">
        <f t="shared" si="1487"/>
        <v>0</v>
      </c>
      <c r="CX132" s="53">
        <f t="shared" si="1488"/>
        <v>0</v>
      </c>
      <c r="CY132" s="51">
        <f t="shared" si="1489"/>
        <v>0</v>
      </c>
      <c r="CZ132" s="48">
        <f t="shared" si="1490"/>
        <v>0</v>
      </c>
      <c r="DA132" s="51">
        <f t="shared" si="1491"/>
        <v>0</v>
      </c>
      <c r="DB132" s="53">
        <f t="shared" si="1492"/>
        <v>0</v>
      </c>
      <c r="DC132" s="51">
        <f t="shared" si="1493"/>
        <v>0</v>
      </c>
      <c r="DD132" s="53">
        <f t="shared" si="1494"/>
        <v>0</v>
      </c>
      <c r="DE132" s="51">
        <f t="shared" si="1495"/>
        <v>0</v>
      </c>
      <c r="DF132" s="53">
        <f t="shared" si="1496"/>
        <v>0</v>
      </c>
      <c r="DG132" s="51">
        <f t="shared" si="1497"/>
        <v>0</v>
      </c>
      <c r="DH132" s="53">
        <f t="shared" si="1498"/>
        <v>0</v>
      </c>
      <c r="DI132" s="51">
        <f t="shared" si="1499"/>
        <v>0</v>
      </c>
      <c r="DJ132" s="48">
        <f t="shared" si="1500"/>
        <v>0</v>
      </c>
      <c r="DK132" s="51">
        <f t="shared" si="1501"/>
        <v>0</v>
      </c>
      <c r="DL132" s="53">
        <f t="shared" si="1502"/>
        <v>0</v>
      </c>
      <c r="DM132" s="51">
        <f t="shared" si="1503"/>
        <v>0</v>
      </c>
      <c r="DN132" s="53">
        <f t="shared" si="1504"/>
        <v>0</v>
      </c>
      <c r="DO132" s="51">
        <f t="shared" si="1505"/>
        <v>0</v>
      </c>
      <c r="DP132" s="48">
        <f t="shared" si="1506"/>
        <v>0</v>
      </c>
      <c r="DQ132" s="51">
        <f t="shared" si="1507"/>
        <v>0</v>
      </c>
      <c r="DT132" s="48">
        <v>1</v>
      </c>
      <c r="DU132" s="48">
        <v>0.97</v>
      </c>
      <c r="DV132" s="48">
        <v>0.95</v>
      </c>
      <c r="DW132" s="48">
        <v>0.93</v>
      </c>
      <c r="DX132" s="48">
        <f t="shared" ref="DX132:EO132" si="1560">+DW132-0.02</f>
        <v>0.91</v>
      </c>
      <c r="DY132" s="48">
        <f t="shared" si="1560"/>
        <v>0.89</v>
      </c>
      <c r="DZ132" s="48">
        <f t="shared" si="1560"/>
        <v>0.87</v>
      </c>
      <c r="EA132" s="48">
        <f t="shared" si="1560"/>
        <v>0.85</v>
      </c>
      <c r="EB132" s="48">
        <f t="shared" si="1560"/>
        <v>0.83</v>
      </c>
      <c r="EC132" s="48">
        <f t="shared" si="1560"/>
        <v>0.80999999999999994</v>
      </c>
      <c r="ED132" s="48">
        <f t="shared" si="1560"/>
        <v>0.78999999999999992</v>
      </c>
      <c r="EE132" s="48">
        <f t="shared" si="1560"/>
        <v>0.76999999999999991</v>
      </c>
      <c r="EF132" s="48">
        <f t="shared" si="1560"/>
        <v>0.74999999999999989</v>
      </c>
      <c r="EG132" s="48">
        <f t="shared" si="1560"/>
        <v>0.72999999999999987</v>
      </c>
      <c r="EH132" s="48">
        <f t="shared" si="1560"/>
        <v>0.70999999999999985</v>
      </c>
      <c r="EI132" s="48">
        <f t="shared" si="1560"/>
        <v>0.68999999999999984</v>
      </c>
      <c r="EJ132" s="48">
        <f t="shared" si="1560"/>
        <v>0.66999999999999982</v>
      </c>
      <c r="EK132" s="48">
        <f t="shared" si="1560"/>
        <v>0.6499999999999998</v>
      </c>
      <c r="EL132" s="48">
        <f t="shared" si="1560"/>
        <v>0.62999999999999978</v>
      </c>
      <c r="EM132" s="48">
        <f t="shared" si="1560"/>
        <v>0.60999999999999976</v>
      </c>
      <c r="EN132" s="48">
        <f t="shared" si="1560"/>
        <v>0.58999999999999975</v>
      </c>
      <c r="EO132" s="48">
        <f t="shared" si="1560"/>
        <v>0.56999999999999973</v>
      </c>
      <c r="EQ132" s="48">
        <f t="shared" si="1128"/>
        <v>0</v>
      </c>
      <c r="ER132" s="48">
        <f t="shared" si="956"/>
        <v>0</v>
      </c>
      <c r="ES132" s="51">
        <f t="shared" ref="ES132" si="1561">+ER132*3.3058</f>
        <v>0</v>
      </c>
      <c r="ET132" s="48">
        <f t="shared" si="1510"/>
        <v>0</v>
      </c>
      <c r="EU132" s="51">
        <f t="shared" si="1511"/>
        <v>0</v>
      </c>
      <c r="EV132" s="48">
        <f t="shared" si="1512"/>
        <v>0</v>
      </c>
      <c r="EW132" s="51">
        <f t="shared" si="1513"/>
        <v>0</v>
      </c>
      <c r="EX132" s="48">
        <f t="shared" si="1514"/>
        <v>0</v>
      </c>
      <c r="EY132" s="51">
        <f t="shared" si="1515"/>
        <v>0</v>
      </c>
      <c r="EZ132" s="52">
        <f t="shared" si="1516"/>
        <v>0</v>
      </c>
      <c r="FA132" s="51">
        <f t="shared" si="1517"/>
        <v>0</v>
      </c>
      <c r="FB132" s="48">
        <f t="shared" si="1518"/>
        <v>0</v>
      </c>
      <c r="FC132" s="51">
        <f t="shared" si="1519"/>
        <v>0</v>
      </c>
      <c r="FD132" s="52">
        <f t="shared" si="1520"/>
        <v>0</v>
      </c>
      <c r="FE132" s="51">
        <f t="shared" si="1521"/>
        <v>0</v>
      </c>
      <c r="FF132" s="53">
        <f t="shared" si="1522"/>
        <v>0</v>
      </c>
      <c r="FG132" s="51">
        <f t="shared" si="1523"/>
        <v>0</v>
      </c>
      <c r="FH132" s="52">
        <f t="shared" si="1524"/>
        <v>0</v>
      </c>
      <c r="FI132" s="51">
        <f t="shared" si="1525"/>
        <v>0</v>
      </c>
      <c r="FJ132" s="48">
        <f t="shared" si="1526"/>
        <v>0</v>
      </c>
      <c r="FK132" s="51">
        <f t="shared" si="1527"/>
        <v>0</v>
      </c>
      <c r="FL132" s="53">
        <f t="shared" si="1528"/>
        <v>0</v>
      </c>
      <c r="FM132" s="51">
        <f t="shared" si="1529"/>
        <v>0</v>
      </c>
      <c r="FN132" s="53">
        <f t="shared" si="1530"/>
        <v>0</v>
      </c>
      <c r="FO132" s="51">
        <f t="shared" si="1531"/>
        <v>0</v>
      </c>
      <c r="FP132" s="53">
        <f t="shared" si="1532"/>
        <v>0</v>
      </c>
      <c r="FQ132" s="51">
        <f t="shared" si="1533"/>
        <v>0</v>
      </c>
      <c r="FR132" s="48">
        <f t="shared" si="1534"/>
        <v>0</v>
      </c>
      <c r="FS132" s="51">
        <f t="shared" si="1535"/>
        <v>0</v>
      </c>
      <c r="FT132" s="53">
        <f t="shared" si="1536"/>
        <v>0</v>
      </c>
      <c r="FU132" s="51">
        <f t="shared" si="1537"/>
        <v>0</v>
      </c>
      <c r="FV132" s="53">
        <f t="shared" si="1538"/>
        <v>0</v>
      </c>
      <c r="FW132" s="51">
        <f t="shared" si="1539"/>
        <v>0</v>
      </c>
      <c r="FX132" s="53">
        <f t="shared" si="1540"/>
        <v>0</v>
      </c>
      <c r="FY132" s="51">
        <f t="shared" si="1541"/>
        <v>0</v>
      </c>
      <c r="FZ132" s="53">
        <f t="shared" si="1542"/>
        <v>0</v>
      </c>
      <c r="GA132" s="51">
        <f t="shared" si="1543"/>
        <v>0</v>
      </c>
      <c r="GB132" s="48">
        <f t="shared" si="1544"/>
        <v>0</v>
      </c>
      <c r="GC132" s="51">
        <f t="shared" si="1545"/>
        <v>0</v>
      </c>
      <c r="GD132" s="53">
        <f t="shared" si="1546"/>
        <v>0</v>
      </c>
      <c r="GE132" s="51">
        <f t="shared" si="1547"/>
        <v>0</v>
      </c>
      <c r="GF132" s="53">
        <f t="shared" si="1548"/>
        <v>0</v>
      </c>
      <c r="GG132" s="51">
        <f t="shared" si="1549"/>
        <v>0</v>
      </c>
      <c r="GH132" s="48">
        <f t="shared" si="1550"/>
        <v>0</v>
      </c>
      <c r="GI132" s="51">
        <f t="shared" si="1551"/>
        <v>0</v>
      </c>
      <c r="GJ132" s="48"/>
      <c r="GK132" s="48"/>
      <c r="GL132" s="48">
        <v>1</v>
      </c>
      <c r="GM132" s="48">
        <v>0.97</v>
      </c>
      <c r="GN132" s="48">
        <v>0.95</v>
      </c>
      <c r="GO132" s="48">
        <v>0.93</v>
      </c>
      <c r="GP132" s="48">
        <f t="shared" ref="GP132:HG132" si="1562">+GO132-0.02</f>
        <v>0.91</v>
      </c>
      <c r="GQ132" s="48">
        <f t="shared" si="1562"/>
        <v>0.89</v>
      </c>
      <c r="GR132" s="48">
        <f t="shared" si="1562"/>
        <v>0.87</v>
      </c>
      <c r="GS132" s="48">
        <f t="shared" si="1562"/>
        <v>0.85</v>
      </c>
      <c r="GT132" s="48">
        <f t="shared" si="1562"/>
        <v>0.83</v>
      </c>
      <c r="GU132" s="48">
        <f t="shared" si="1562"/>
        <v>0.80999999999999994</v>
      </c>
      <c r="GV132" s="48">
        <f t="shared" si="1562"/>
        <v>0.78999999999999992</v>
      </c>
      <c r="GW132" s="48">
        <f t="shared" si="1562"/>
        <v>0.76999999999999991</v>
      </c>
      <c r="GX132" s="48">
        <f t="shared" si="1562"/>
        <v>0.74999999999999989</v>
      </c>
      <c r="GY132" s="48">
        <f t="shared" si="1562"/>
        <v>0.72999999999999987</v>
      </c>
      <c r="GZ132" s="48">
        <f t="shared" si="1562"/>
        <v>0.70999999999999985</v>
      </c>
      <c r="HA132" s="48">
        <f t="shared" si="1562"/>
        <v>0.68999999999999984</v>
      </c>
      <c r="HB132" s="48">
        <f t="shared" si="1562"/>
        <v>0.66999999999999982</v>
      </c>
      <c r="HC132" s="48">
        <f t="shared" si="1562"/>
        <v>0.6499999999999998</v>
      </c>
      <c r="HD132" s="48">
        <f t="shared" si="1562"/>
        <v>0.62999999999999978</v>
      </c>
      <c r="HE132" s="48">
        <f t="shared" si="1562"/>
        <v>0.60999999999999976</v>
      </c>
      <c r="HF132" s="48">
        <f t="shared" si="1562"/>
        <v>0.58999999999999975</v>
      </c>
      <c r="HG132" s="48">
        <f t="shared" si="1562"/>
        <v>0.56999999999999973</v>
      </c>
    </row>
    <row r="133" spans="1:215" x14ac:dyDescent="0.3">
      <c r="A133" s="2">
        <v>4</v>
      </c>
      <c r="C133" s="39" t="s">
        <v>191</v>
      </c>
      <c r="D133" s="44">
        <v>0</v>
      </c>
      <c r="E133" s="73">
        <f t="shared" si="1421"/>
        <v>0</v>
      </c>
      <c r="G133" s="48">
        <f t="shared" si="948"/>
        <v>0</v>
      </c>
      <c r="H133" s="48">
        <f t="shared" si="949"/>
        <v>0</v>
      </c>
      <c r="I133" s="51">
        <f t="shared" si="950"/>
        <v>0</v>
      </c>
      <c r="J133" s="48">
        <f t="shared" si="1422"/>
        <v>0</v>
      </c>
      <c r="K133" s="51">
        <f t="shared" si="1423"/>
        <v>0</v>
      </c>
      <c r="L133" s="48">
        <f t="shared" si="1424"/>
        <v>0</v>
      </c>
      <c r="M133" s="51">
        <f t="shared" si="1425"/>
        <v>0</v>
      </c>
      <c r="N133" s="48">
        <f t="shared" si="1426"/>
        <v>0</v>
      </c>
      <c r="O133" s="51">
        <f t="shared" si="1427"/>
        <v>0</v>
      </c>
      <c r="P133" s="52">
        <f t="shared" si="1428"/>
        <v>0</v>
      </c>
      <c r="Q133" s="51">
        <f t="shared" si="1429"/>
        <v>0</v>
      </c>
      <c r="R133" s="48">
        <f t="shared" si="1430"/>
        <v>0</v>
      </c>
      <c r="S133" s="51">
        <f t="shared" si="1431"/>
        <v>0</v>
      </c>
      <c r="T133" s="52">
        <f t="shared" si="1432"/>
        <v>0</v>
      </c>
      <c r="U133" s="51">
        <f t="shared" si="1433"/>
        <v>0</v>
      </c>
      <c r="V133" s="53">
        <f t="shared" si="1434"/>
        <v>0</v>
      </c>
      <c r="W133" s="51">
        <f t="shared" si="1435"/>
        <v>0</v>
      </c>
      <c r="X133" s="52">
        <f t="shared" si="1436"/>
        <v>0</v>
      </c>
      <c r="Y133" s="51">
        <f t="shared" si="1437"/>
        <v>0</v>
      </c>
      <c r="Z133" s="48">
        <f t="shared" si="1438"/>
        <v>0</v>
      </c>
      <c r="AA133" s="51">
        <f t="shared" si="1439"/>
        <v>0</v>
      </c>
      <c r="AB133" s="53">
        <f t="shared" si="1440"/>
        <v>0</v>
      </c>
      <c r="AC133" s="51">
        <f t="shared" si="1441"/>
        <v>0</v>
      </c>
      <c r="AD133" s="53">
        <f t="shared" si="1442"/>
        <v>0</v>
      </c>
      <c r="AE133" s="51">
        <f t="shared" si="1443"/>
        <v>0</v>
      </c>
      <c r="AF133" s="53">
        <f t="shared" si="1444"/>
        <v>0</v>
      </c>
      <c r="AG133" s="51">
        <f t="shared" si="1445"/>
        <v>0</v>
      </c>
      <c r="AH133" s="48">
        <f t="shared" si="1446"/>
        <v>0</v>
      </c>
      <c r="AI133" s="51">
        <f t="shared" si="1447"/>
        <v>0</v>
      </c>
      <c r="AJ133" s="53">
        <f t="shared" si="1448"/>
        <v>0</v>
      </c>
      <c r="AK133" s="51">
        <f t="shared" si="1449"/>
        <v>0</v>
      </c>
      <c r="AL133" s="53">
        <f t="shared" si="1450"/>
        <v>0</v>
      </c>
      <c r="AM133" s="51">
        <f t="shared" si="1451"/>
        <v>0</v>
      </c>
      <c r="AN133" s="53">
        <f t="shared" si="1452"/>
        <v>0</v>
      </c>
      <c r="AO133" s="51">
        <f t="shared" si="1453"/>
        <v>0</v>
      </c>
      <c r="AP133" s="53">
        <f t="shared" si="1454"/>
        <v>0</v>
      </c>
      <c r="AQ133" s="51">
        <f t="shared" si="1455"/>
        <v>0</v>
      </c>
      <c r="AR133" s="48">
        <f t="shared" si="1456"/>
        <v>0</v>
      </c>
      <c r="AS133" s="51">
        <f t="shared" si="1457"/>
        <v>0</v>
      </c>
      <c r="AT133" s="53">
        <f t="shared" si="1458"/>
        <v>0</v>
      </c>
      <c r="AU133" s="51">
        <f t="shared" si="1459"/>
        <v>0</v>
      </c>
      <c r="AV133" s="53">
        <f t="shared" si="1460"/>
        <v>0</v>
      </c>
      <c r="AW133" s="51">
        <f t="shared" si="1461"/>
        <v>0</v>
      </c>
      <c r="AX133" s="48">
        <f t="shared" si="1462"/>
        <v>0</v>
      </c>
      <c r="AY133" s="51">
        <f t="shared" si="1463"/>
        <v>0</v>
      </c>
      <c r="BB133" s="48">
        <v>1</v>
      </c>
      <c r="BC133" s="48">
        <v>0.97</v>
      </c>
      <c r="BD133" s="48">
        <v>0.95</v>
      </c>
      <c r="BE133" s="48">
        <v>0.93</v>
      </c>
      <c r="BF133" s="48">
        <f t="shared" ref="BF133:BW133" si="1563">+BE133-0.02</f>
        <v>0.91</v>
      </c>
      <c r="BG133" s="48">
        <f t="shared" si="1563"/>
        <v>0.89</v>
      </c>
      <c r="BH133" s="48">
        <f t="shared" si="1563"/>
        <v>0.87</v>
      </c>
      <c r="BI133" s="48">
        <f t="shared" si="1563"/>
        <v>0.85</v>
      </c>
      <c r="BJ133" s="48">
        <f t="shared" si="1563"/>
        <v>0.83</v>
      </c>
      <c r="BK133" s="48">
        <f t="shared" si="1563"/>
        <v>0.80999999999999994</v>
      </c>
      <c r="BL133" s="48">
        <f t="shared" si="1563"/>
        <v>0.78999999999999992</v>
      </c>
      <c r="BM133" s="48">
        <f t="shared" si="1563"/>
        <v>0.76999999999999991</v>
      </c>
      <c r="BN133" s="48">
        <f t="shared" si="1563"/>
        <v>0.74999999999999989</v>
      </c>
      <c r="BO133" s="48">
        <f t="shared" si="1563"/>
        <v>0.72999999999999987</v>
      </c>
      <c r="BP133" s="48">
        <f t="shared" si="1563"/>
        <v>0.70999999999999985</v>
      </c>
      <c r="BQ133" s="48">
        <f t="shared" si="1563"/>
        <v>0.68999999999999984</v>
      </c>
      <c r="BR133" s="48">
        <f t="shared" si="1563"/>
        <v>0.66999999999999982</v>
      </c>
      <c r="BS133" s="48">
        <f t="shared" si="1563"/>
        <v>0.6499999999999998</v>
      </c>
      <c r="BT133" s="48">
        <f t="shared" si="1563"/>
        <v>0.62999999999999978</v>
      </c>
      <c r="BU133" s="48">
        <f t="shared" si="1563"/>
        <v>0.60999999999999976</v>
      </c>
      <c r="BV133" s="48">
        <f t="shared" si="1563"/>
        <v>0.58999999999999975</v>
      </c>
      <c r="BW133" s="48">
        <f t="shared" si="1563"/>
        <v>0.56999999999999973</v>
      </c>
      <c r="BY133" s="48">
        <f t="shared" si="952"/>
        <v>0</v>
      </c>
      <c r="BZ133" s="48">
        <f t="shared" si="953"/>
        <v>0</v>
      </c>
      <c r="CA133" s="51">
        <f t="shared" ref="CA133" si="1564">+BZ133*3.3058</f>
        <v>0</v>
      </c>
      <c r="CB133" s="48">
        <f t="shared" si="1466"/>
        <v>0</v>
      </c>
      <c r="CC133" s="51">
        <f t="shared" si="1467"/>
        <v>0</v>
      </c>
      <c r="CD133" s="48">
        <f t="shared" si="1468"/>
        <v>0</v>
      </c>
      <c r="CE133" s="51">
        <f t="shared" si="1469"/>
        <v>0</v>
      </c>
      <c r="CF133" s="48">
        <f t="shared" si="1470"/>
        <v>0</v>
      </c>
      <c r="CG133" s="51">
        <f t="shared" si="1471"/>
        <v>0</v>
      </c>
      <c r="CH133" s="52">
        <f t="shared" si="1472"/>
        <v>0</v>
      </c>
      <c r="CI133" s="51">
        <f t="shared" si="1473"/>
        <v>0</v>
      </c>
      <c r="CJ133" s="48">
        <f t="shared" si="1474"/>
        <v>0</v>
      </c>
      <c r="CK133" s="51">
        <f t="shared" si="1475"/>
        <v>0</v>
      </c>
      <c r="CL133" s="52">
        <f t="shared" si="1476"/>
        <v>0</v>
      </c>
      <c r="CM133" s="51">
        <f t="shared" si="1477"/>
        <v>0</v>
      </c>
      <c r="CN133" s="53">
        <f t="shared" si="1478"/>
        <v>0</v>
      </c>
      <c r="CO133" s="51">
        <f t="shared" si="1479"/>
        <v>0</v>
      </c>
      <c r="CP133" s="52">
        <f t="shared" si="1480"/>
        <v>0</v>
      </c>
      <c r="CQ133" s="51">
        <f t="shared" si="1481"/>
        <v>0</v>
      </c>
      <c r="CR133" s="48">
        <f t="shared" si="1482"/>
        <v>0</v>
      </c>
      <c r="CS133" s="51">
        <f t="shared" si="1483"/>
        <v>0</v>
      </c>
      <c r="CT133" s="53">
        <f t="shared" si="1484"/>
        <v>0</v>
      </c>
      <c r="CU133" s="51">
        <f t="shared" si="1485"/>
        <v>0</v>
      </c>
      <c r="CV133" s="53">
        <f t="shared" si="1486"/>
        <v>0</v>
      </c>
      <c r="CW133" s="51">
        <f t="shared" si="1487"/>
        <v>0</v>
      </c>
      <c r="CX133" s="53">
        <f t="shared" si="1488"/>
        <v>0</v>
      </c>
      <c r="CY133" s="51">
        <f t="shared" si="1489"/>
        <v>0</v>
      </c>
      <c r="CZ133" s="48">
        <f t="shared" si="1490"/>
        <v>0</v>
      </c>
      <c r="DA133" s="51">
        <f t="shared" si="1491"/>
        <v>0</v>
      </c>
      <c r="DB133" s="53">
        <f t="shared" si="1492"/>
        <v>0</v>
      </c>
      <c r="DC133" s="51">
        <f t="shared" si="1493"/>
        <v>0</v>
      </c>
      <c r="DD133" s="53">
        <f t="shared" si="1494"/>
        <v>0</v>
      </c>
      <c r="DE133" s="51">
        <f t="shared" si="1495"/>
        <v>0</v>
      </c>
      <c r="DF133" s="53">
        <f t="shared" si="1496"/>
        <v>0</v>
      </c>
      <c r="DG133" s="51">
        <f t="shared" si="1497"/>
        <v>0</v>
      </c>
      <c r="DH133" s="53">
        <f t="shared" si="1498"/>
        <v>0</v>
      </c>
      <c r="DI133" s="51">
        <f t="shared" si="1499"/>
        <v>0</v>
      </c>
      <c r="DJ133" s="48">
        <f t="shared" si="1500"/>
        <v>0</v>
      </c>
      <c r="DK133" s="51">
        <f t="shared" si="1501"/>
        <v>0</v>
      </c>
      <c r="DL133" s="53">
        <f t="shared" si="1502"/>
        <v>0</v>
      </c>
      <c r="DM133" s="51">
        <f t="shared" si="1503"/>
        <v>0</v>
      </c>
      <c r="DN133" s="53">
        <f t="shared" si="1504"/>
        <v>0</v>
      </c>
      <c r="DO133" s="51">
        <f t="shared" si="1505"/>
        <v>0</v>
      </c>
      <c r="DP133" s="48">
        <f t="shared" si="1506"/>
        <v>0</v>
      </c>
      <c r="DQ133" s="51">
        <f t="shared" si="1507"/>
        <v>0</v>
      </c>
      <c r="DT133" s="48">
        <v>1</v>
      </c>
      <c r="DU133" s="48">
        <v>0.97</v>
      </c>
      <c r="DV133" s="48">
        <v>0.95</v>
      </c>
      <c r="DW133" s="48">
        <v>0.93</v>
      </c>
      <c r="DX133" s="48">
        <f t="shared" ref="DX133:EO133" si="1565">+DW133-0.02</f>
        <v>0.91</v>
      </c>
      <c r="DY133" s="48">
        <f t="shared" si="1565"/>
        <v>0.89</v>
      </c>
      <c r="DZ133" s="48">
        <f t="shared" si="1565"/>
        <v>0.87</v>
      </c>
      <c r="EA133" s="48">
        <f t="shared" si="1565"/>
        <v>0.85</v>
      </c>
      <c r="EB133" s="48">
        <f t="shared" si="1565"/>
        <v>0.83</v>
      </c>
      <c r="EC133" s="48">
        <f t="shared" si="1565"/>
        <v>0.80999999999999994</v>
      </c>
      <c r="ED133" s="48">
        <f t="shared" si="1565"/>
        <v>0.78999999999999992</v>
      </c>
      <c r="EE133" s="48">
        <f t="shared" si="1565"/>
        <v>0.76999999999999991</v>
      </c>
      <c r="EF133" s="48">
        <f t="shared" si="1565"/>
        <v>0.74999999999999989</v>
      </c>
      <c r="EG133" s="48">
        <f t="shared" si="1565"/>
        <v>0.72999999999999987</v>
      </c>
      <c r="EH133" s="48">
        <f t="shared" si="1565"/>
        <v>0.70999999999999985</v>
      </c>
      <c r="EI133" s="48">
        <f t="shared" si="1565"/>
        <v>0.68999999999999984</v>
      </c>
      <c r="EJ133" s="48">
        <f t="shared" si="1565"/>
        <v>0.66999999999999982</v>
      </c>
      <c r="EK133" s="48">
        <f t="shared" si="1565"/>
        <v>0.6499999999999998</v>
      </c>
      <c r="EL133" s="48">
        <f t="shared" si="1565"/>
        <v>0.62999999999999978</v>
      </c>
      <c r="EM133" s="48">
        <f t="shared" si="1565"/>
        <v>0.60999999999999976</v>
      </c>
      <c r="EN133" s="48">
        <f t="shared" si="1565"/>
        <v>0.58999999999999975</v>
      </c>
      <c r="EO133" s="48">
        <f t="shared" si="1565"/>
        <v>0.56999999999999973</v>
      </c>
      <c r="EQ133" s="48">
        <f t="shared" si="1128"/>
        <v>0</v>
      </c>
      <c r="ER133" s="48">
        <f t="shared" si="956"/>
        <v>0</v>
      </c>
      <c r="ES133" s="51">
        <f t="shared" ref="ES133" si="1566">+ER133*3.3058</f>
        <v>0</v>
      </c>
      <c r="ET133" s="48">
        <f t="shared" si="1510"/>
        <v>0</v>
      </c>
      <c r="EU133" s="51">
        <f t="shared" si="1511"/>
        <v>0</v>
      </c>
      <c r="EV133" s="48">
        <f t="shared" si="1512"/>
        <v>0</v>
      </c>
      <c r="EW133" s="51">
        <f t="shared" si="1513"/>
        <v>0</v>
      </c>
      <c r="EX133" s="48">
        <f t="shared" si="1514"/>
        <v>0</v>
      </c>
      <c r="EY133" s="51">
        <f t="shared" si="1515"/>
        <v>0</v>
      </c>
      <c r="EZ133" s="52">
        <f t="shared" si="1516"/>
        <v>0</v>
      </c>
      <c r="FA133" s="51">
        <f t="shared" si="1517"/>
        <v>0</v>
      </c>
      <c r="FB133" s="48">
        <f t="shared" si="1518"/>
        <v>0</v>
      </c>
      <c r="FC133" s="51">
        <f t="shared" si="1519"/>
        <v>0</v>
      </c>
      <c r="FD133" s="52">
        <f t="shared" si="1520"/>
        <v>0</v>
      </c>
      <c r="FE133" s="51">
        <f t="shared" si="1521"/>
        <v>0</v>
      </c>
      <c r="FF133" s="53">
        <f t="shared" si="1522"/>
        <v>0</v>
      </c>
      <c r="FG133" s="51">
        <f t="shared" si="1523"/>
        <v>0</v>
      </c>
      <c r="FH133" s="52">
        <f t="shared" si="1524"/>
        <v>0</v>
      </c>
      <c r="FI133" s="51">
        <f t="shared" si="1525"/>
        <v>0</v>
      </c>
      <c r="FJ133" s="48">
        <f t="shared" si="1526"/>
        <v>0</v>
      </c>
      <c r="FK133" s="51">
        <f t="shared" si="1527"/>
        <v>0</v>
      </c>
      <c r="FL133" s="53">
        <f t="shared" si="1528"/>
        <v>0</v>
      </c>
      <c r="FM133" s="51">
        <f t="shared" si="1529"/>
        <v>0</v>
      </c>
      <c r="FN133" s="53">
        <f t="shared" si="1530"/>
        <v>0</v>
      </c>
      <c r="FO133" s="51">
        <f t="shared" si="1531"/>
        <v>0</v>
      </c>
      <c r="FP133" s="53">
        <f t="shared" si="1532"/>
        <v>0</v>
      </c>
      <c r="FQ133" s="51">
        <f t="shared" si="1533"/>
        <v>0</v>
      </c>
      <c r="FR133" s="48">
        <f t="shared" si="1534"/>
        <v>0</v>
      </c>
      <c r="FS133" s="51">
        <f t="shared" si="1535"/>
        <v>0</v>
      </c>
      <c r="FT133" s="53">
        <f t="shared" si="1536"/>
        <v>0</v>
      </c>
      <c r="FU133" s="51">
        <f t="shared" si="1537"/>
        <v>0</v>
      </c>
      <c r="FV133" s="53">
        <f t="shared" si="1538"/>
        <v>0</v>
      </c>
      <c r="FW133" s="51">
        <f t="shared" si="1539"/>
        <v>0</v>
      </c>
      <c r="FX133" s="53">
        <f t="shared" si="1540"/>
        <v>0</v>
      </c>
      <c r="FY133" s="51">
        <f t="shared" si="1541"/>
        <v>0</v>
      </c>
      <c r="FZ133" s="53">
        <f t="shared" si="1542"/>
        <v>0</v>
      </c>
      <c r="GA133" s="51">
        <f t="shared" si="1543"/>
        <v>0</v>
      </c>
      <c r="GB133" s="48">
        <f t="shared" si="1544"/>
        <v>0</v>
      </c>
      <c r="GC133" s="51">
        <f t="shared" si="1545"/>
        <v>0</v>
      </c>
      <c r="GD133" s="53">
        <f t="shared" si="1546"/>
        <v>0</v>
      </c>
      <c r="GE133" s="51">
        <f t="shared" si="1547"/>
        <v>0</v>
      </c>
      <c r="GF133" s="53">
        <f t="shared" si="1548"/>
        <v>0</v>
      </c>
      <c r="GG133" s="51">
        <f t="shared" si="1549"/>
        <v>0</v>
      </c>
      <c r="GH133" s="48">
        <f t="shared" si="1550"/>
        <v>0</v>
      </c>
      <c r="GI133" s="51">
        <f t="shared" si="1551"/>
        <v>0</v>
      </c>
      <c r="GJ133" s="48"/>
      <c r="GK133" s="48"/>
      <c r="GL133" s="48">
        <v>1</v>
      </c>
      <c r="GM133" s="48">
        <v>0.97</v>
      </c>
      <c r="GN133" s="48">
        <v>0.95</v>
      </c>
      <c r="GO133" s="48">
        <v>0.93</v>
      </c>
      <c r="GP133" s="48">
        <f t="shared" ref="GP133:HG133" si="1567">+GO133-0.02</f>
        <v>0.91</v>
      </c>
      <c r="GQ133" s="48">
        <f t="shared" si="1567"/>
        <v>0.89</v>
      </c>
      <c r="GR133" s="48">
        <f t="shared" si="1567"/>
        <v>0.87</v>
      </c>
      <c r="GS133" s="48">
        <f t="shared" si="1567"/>
        <v>0.85</v>
      </c>
      <c r="GT133" s="48">
        <f t="shared" si="1567"/>
        <v>0.83</v>
      </c>
      <c r="GU133" s="48">
        <f t="shared" si="1567"/>
        <v>0.80999999999999994</v>
      </c>
      <c r="GV133" s="48">
        <f t="shared" si="1567"/>
        <v>0.78999999999999992</v>
      </c>
      <c r="GW133" s="48">
        <f t="shared" si="1567"/>
        <v>0.76999999999999991</v>
      </c>
      <c r="GX133" s="48">
        <f t="shared" si="1567"/>
        <v>0.74999999999999989</v>
      </c>
      <c r="GY133" s="48">
        <f t="shared" si="1567"/>
        <v>0.72999999999999987</v>
      </c>
      <c r="GZ133" s="48">
        <f t="shared" si="1567"/>
        <v>0.70999999999999985</v>
      </c>
      <c r="HA133" s="48">
        <f t="shared" si="1567"/>
        <v>0.68999999999999984</v>
      </c>
      <c r="HB133" s="48">
        <f t="shared" si="1567"/>
        <v>0.66999999999999982</v>
      </c>
      <c r="HC133" s="48">
        <f t="shared" si="1567"/>
        <v>0.6499999999999998</v>
      </c>
      <c r="HD133" s="48">
        <f t="shared" si="1567"/>
        <v>0.62999999999999978</v>
      </c>
      <c r="HE133" s="48">
        <f t="shared" si="1567"/>
        <v>0.60999999999999976</v>
      </c>
      <c r="HF133" s="48">
        <f t="shared" si="1567"/>
        <v>0.58999999999999975</v>
      </c>
      <c r="HG133" s="48">
        <f t="shared" si="1567"/>
        <v>0.56999999999999973</v>
      </c>
    </row>
    <row r="134" spans="1:215" x14ac:dyDescent="0.3">
      <c r="A134" s="2">
        <v>5</v>
      </c>
      <c r="C134" s="39" t="s">
        <v>192</v>
      </c>
      <c r="D134" s="44">
        <v>0</v>
      </c>
      <c r="E134" s="73">
        <f t="shared" si="1421"/>
        <v>0</v>
      </c>
      <c r="G134" s="48">
        <f t="shared" si="948"/>
        <v>0</v>
      </c>
      <c r="H134" s="48">
        <f t="shared" si="949"/>
        <v>0</v>
      </c>
      <c r="I134" s="51">
        <f t="shared" si="950"/>
        <v>0</v>
      </c>
      <c r="J134" s="48">
        <f t="shared" si="1422"/>
        <v>0</v>
      </c>
      <c r="K134" s="51">
        <f t="shared" si="1423"/>
        <v>0</v>
      </c>
      <c r="L134" s="48">
        <f t="shared" si="1424"/>
        <v>0</v>
      </c>
      <c r="M134" s="51">
        <f t="shared" si="1425"/>
        <v>0</v>
      </c>
      <c r="N134" s="48">
        <f t="shared" si="1426"/>
        <v>0</v>
      </c>
      <c r="O134" s="51">
        <f t="shared" si="1427"/>
        <v>0</v>
      </c>
      <c r="P134" s="52">
        <f t="shared" si="1428"/>
        <v>0</v>
      </c>
      <c r="Q134" s="51">
        <f t="shared" si="1429"/>
        <v>0</v>
      </c>
      <c r="R134" s="48">
        <f t="shared" si="1430"/>
        <v>0</v>
      </c>
      <c r="S134" s="51">
        <f t="shared" si="1431"/>
        <v>0</v>
      </c>
      <c r="T134" s="52">
        <f t="shared" si="1432"/>
        <v>0</v>
      </c>
      <c r="U134" s="51">
        <f t="shared" si="1433"/>
        <v>0</v>
      </c>
      <c r="V134" s="53">
        <f t="shared" si="1434"/>
        <v>0</v>
      </c>
      <c r="W134" s="51">
        <f t="shared" si="1435"/>
        <v>0</v>
      </c>
      <c r="X134" s="52">
        <f t="shared" si="1436"/>
        <v>0</v>
      </c>
      <c r="Y134" s="51">
        <f t="shared" si="1437"/>
        <v>0</v>
      </c>
      <c r="Z134" s="48">
        <f t="shared" si="1438"/>
        <v>0</v>
      </c>
      <c r="AA134" s="51">
        <f t="shared" si="1439"/>
        <v>0</v>
      </c>
      <c r="AB134" s="53">
        <f t="shared" si="1440"/>
        <v>0</v>
      </c>
      <c r="AC134" s="51">
        <f t="shared" si="1441"/>
        <v>0</v>
      </c>
      <c r="AD134" s="53">
        <f t="shared" si="1442"/>
        <v>0</v>
      </c>
      <c r="AE134" s="51">
        <f t="shared" si="1443"/>
        <v>0</v>
      </c>
      <c r="AF134" s="53">
        <f t="shared" si="1444"/>
        <v>0</v>
      </c>
      <c r="AG134" s="51">
        <f t="shared" si="1445"/>
        <v>0</v>
      </c>
      <c r="AH134" s="48">
        <f t="shared" si="1446"/>
        <v>0</v>
      </c>
      <c r="AI134" s="51">
        <f t="shared" si="1447"/>
        <v>0</v>
      </c>
      <c r="AJ134" s="53">
        <f t="shared" si="1448"/>
        <v>0</v>
      </c>
      <c r="AK134" s="51">
        <f t="shared" si="1449"/>
        <v>0</v>
      </c>
      <c r="AL134" s="53">
        <f t="shared" si="1450"/>
        <v>0</v>
      </c>
      <c r="AM134" s="51">
        <f t="shared" si="1451"/>
        <v>0</v>
      </c>
      <c r="AN134" s="53">
        <f t="shared" si="1452"/>
        <v>0</v>
      </c>
      <c r="AO134" s="51">
        <f t="shared" si="1453"/>
        <v>0</v>
      </c>
      <c r="AP134" s="53">
        <f t="shared" si="1454"/>
        <v>0</v>
      </c>
      <c r="AQ134" s="51">
        <f t="shared" si="1455"/>
        <v>0</v>
      </c>
      <c r="AR134" s="48">
        <f t="shared" si="1456"/>
        <v>0</v>
      </c>
      <c r="AS134" s="51">
        <f t="shared" si="1457"/>
        <v>0</v>
      </c>
      <c r="AT134" s="53">
        <f t="shared" si="1458"/>
        <v>0</v>
      </c>
      <c r="AU134" s="51">
        <f t="shared" si="1459"/>
        <v>0</v>
      </c>
      <c r="AV134" s="53">
        <f t="shared" si="1460"/>
        <v>0</v>
      </c>
      <c r="AW134" s="51">
        <f t="shared" si="1461"/>
        <v>0</v>
      </c>
      <c r="AX134" s="48">
        <f t="shared" si="1462"/>
        <v>0</v>
      </c>
      <c r="AY134" s="51">
        <f t="shared" si="1463"/>
        <v>0</v>
      </c>
      <c r="BB134" s="48">
        <v>1</v>
      </c>
      <c r="BC134" s="48">
        <v>0.97</v>
      </c>
      <c r="BD134" s="48">
        <v>0.95</v>
      </c>
      <c r="BE134" s="48">
        <v>0.93</v>
      </c>
      <c r="BF134" s="48">
        <f t="shared" ref="BF134:BW134" si="1568">+BE134-0.02</f>
        <v>0.91</v>
      </c>
      <c r="BG134" s="48">
        <f t="shared" si="1568"/>
        <v>0.89</v>
      </c>
      <c r="BH134" s="48">
        <f t="shared" si="1568"/>
        <v>0.87</v>
      </c>
      <c r="BI134" s="48">
        <f t="shared" si="1568"/>
        <v>0.85</v>
      </c>
      <c r="BJ134" s="48">
        <f t="shared" si="1568"/>
        <v>0.83</v>
      </c>
      <c r="BK134" s="48">
        <f t="shared" si="1568"/>
        <v>0.80999999999999994</v>
      </c>
      <c r="BL134" s="48">
        <f t="shared" si="1568"/>
        <v>0.78999999999999992</v>
      </c>
      <c r="BM134" s="48">
        <f t="shared" si="1568"/>
        <v>0.76999999999999991</v>
      </c>
      <c r="BN134" s="48">
        <f t="shared" si="1568"/>
        <v>0.74999999999999989</v>
      </c>
      <c r="BO134" s="48">
        <f t="shared" si="1568"/>
        <v>0.72999999999999987</v>
      </c>
      <c r="BP134" s="48">
        <f t="shared" si="1568"/>
        <v>0.70999999999999985</v>
      </c>
      <c r="BQ134" s="48">
        <f t="shared" si="1568"/>
        <v>0.68999999999999984</v>
      </c>
      <c r="BR134" s="48">
        <f t="shared" si="1568"/>
        <v>0.66999999999999982</v>
      </c>
      <c r="BS134" s="48">
        <f t="shared" si="1568"/>
        <v>0.6499999999999998</v>
      </c>
      <c r="BT134" s="48">
        <f t="shared" si="1568"/>
        <v>0.62999999999999978</v>
      </c>
      <c r="BU134" s="48">
        <f t="shared" si="1568"/>
        <v>0.60999999999999976</v>
      </c>
      <c r="BV134" s="48">
        <f t="shared" si="1568"/>
        <v>0.58999999999999975</v>
      </c>
      <c r="BW134" s="48">
        <f t="shared" si="1568"/>
        <v>0.56999999999999973</v>
      </c>
      <c r="BY134" s="48">
        <f t="shared" si="952"/>
        <v>0</v>
      </c>
      <c r="BZ134" s="48">
        <f t="shared" si="953"/>
        <v>0</v>
      </c>
      <c r="CA134" s="51">
        <f t="shared" ref="CA134" si="1569">+BZ134*3.3058</f>
        <v>0</v>
      </c>
      <c r="CB134" s="48">
        <f t="shared" si="1466"/>
        <v>0</v>
      </c>
      <c r="CC134" s="51">
        <f t="shared" si="1467"/>
        <v>0</v>
      </c>
      <c r="CD134" s="48">
        <f t="shared" si="1468"/>
        <v>0</v>
      </c>
      <c r="CE134" s="51">
        <f t="shared" si="1469"/>
        <v>0</v>
      </c>
      <c r="CF134" s="48">
        <f t="shared" si="1470"/>
        <v>0</v>
      </c>
      <c r="CG134" s="51">
        <f t="shared" si="1471"/>
        <v>0</v>
      </c>
      <c r="CH134" s="52">
        <f t="shared" si="1472"/>
        <v>0</v>
      </c>
      <c r="CI134" s="51">
        <f t="shared" si="1473"/>
        <v>0</v>
      </c>
      <c r="CJ134" s="48">
        <f t="shared" si="1474"/>
        <v>0</v>
      </c>
      <c r="CK134" s="51">
        <f t="shared" si="1475"/>
        <v>0</v>
      </c>
      <c r="CL134" s="52">
        <f t="shared" si="1476"/>
        <v>0</v>
      </c>
      <c r="CM134" s="51">
        <f t="shared" si="1477"/>
        <v>0</v>
      </c>
      <c r="CN134" s="53">
        <f t="shared" si="1478"/>
        <v>0</v>
      </c>
      <c r="CO134" s="51">
        <f t="shared" si="1479"/>
        <v>0</v>
      </c>
      <c r="CP134" s="52">
        <f t="shared" si="1480"/>
        <v>0</v>
      </c>
      <c r="CQ134" s="51">
        <f t="shared" si="1481"/>
        <v>0</v>
      </c>
      <c r="CR134" s="48">
        <f t="shared" si="1482"/>
        <v>0</v>
      </c>
      <c r="CS134" s="51">
        <f t="shared" si="1483"/>
        <v>0</v>
      </c>
      <c r="CT134" s="53">
        <f t="shared" si="1484"/>
        <v>0</v>
      </c>
      <c r="CU134" s="51">
        <f t="shared" si="1485"/>
        <v>0</v>
      </c>
      <c r="CV134" s="53">
        <f t="shared" si="1486"/>
        <v>0</v>
      </c>
      <c r="CW134" s="51">
        <f t="shared" si="1487"/>
        <v>0</v>
      </c>
      <c r="CX134" s="53">
        <f t="shared" si="1488"/>
        <v>0</v>
      </c>
      <c r="CY134" s="51">
        <f t="shared" si="1489"/>
        <v>0</v>
      </c>
      <c r="CZ134" s="48">
        <f t="shared" si="1490"/>
        <v>0</v>
      </c>
      <c r="DA134" s="51">
        <f t="shared" si="1491"/>
        <v>0</v>
      </c>
      <c r="DB134" s="53">
        <f t="shared" si="1492"/>
        <v>0</v>
      </c>
      <c r="DC134" s="51">
        <f t="shared" si="1493"/>
        <v>0</v>
      </c>
      <c r="DD134" s="53">
        <f t="shared" si="1494"/>
        <v>0</v>
      </c>
      <c r="DE134" s="51">
        <f t="shared" si="1495"/>
        <v>0</v>
      </c>
      <c r="DF134" s="53">
        <f t="shared" si="1496"/>
        <v>0</v>
      </c>
      <c r="DG134" s="51">
        <f t="shared" si="1497"/>
        <v>0</v>
      </c>
      <c r="DH134" s="53">
        <f t="shared" si="1498"/>
        <v>0</v>
      </c>
      <c r="DI134" s="51">
        <f t="shared" si="1499"/>
        <v>0</v>
      </c>
      <c r="DJ134" s="48">
        <f t="shared" si="1500"/>
        <v>0</v>
      </c>
      <c r="DK134" s="51">
        <f t="shared" si="1501"/>
        <v>0</v>
      </c>
      <c r="DL134" s="53">
        <f t="shared" si="1502"/>
        <v>0</v>
      </c>
      <c r="DM134" s="51">
        <f t="shared" si="1503"/>
        <v>0</v>
      </c>
      <c r="DN134" s="53">
        <f t="shared" si="1504"/>
        <v>0</v>
      </c>
      <c r="DO134" s="51">
        <f t="shared" si="1505"/>
        <v>0</v>
      </c>
      <c r="DP134" s="48">
        <f t="shared" si="1506"/>
        <v>0</v>
      </c>
      <c r="DQ134" s="51">
        <f t="shared" si="1507"/>
        <v>0</v>
      </c>
      <c r="DT134" s="48">
        <v>1</v>
      </c>
      <c r="DU134" s="48">
        <v>0.97</v>
      </c>
      <c r="DV134" s="48">
        <v>0.95</v>
      </c>
      <c r="DW134" s="48">
        <v>0.93</v>
      </c>
      <c r="DX134" s="48">
        <f t="shared" ref="DX134:EO134" si="1570">+DW134-0.02</f>
        <v>0.91</v>
      </c>
      <c r="DY134" s="48">
        <f t="shared" si="1570"/>
        <v>0.89</v>
      </c>
      <c r="DZ134" s="48">
        <f t="shared" si="1570"/>
        <v>0.87</v>
      </c>
      <c r="EA134" s="48">
        <f t="shared" si="1570"/>
        <v>0.85</v>
      </c>
      <c r="EB134" s="48">
        <f t="shared" si="1570"/>
        <v>0.83</v>
      </c>
      <c r="EC134" s="48">
        <f t="shared" si="1570"/>
        <v>0.80999999999999994</v>
      </c>
      <c r="ED134" s="48">
        <f t="shared" si="1570"/>
        <v>0.78999999999999992</v>
      </c>
      <c r="EE134" s="48">
        <f t="shared" si="1570"/>
        <v>0.76999999999999991</v>
      </c>
      <c r="EF134" s="48">
        <f t="shared" si="1570"/>
        <v>0.74999999999999989</v>
      </c>
      <c r="EG134" s="48">
        <f t="shared" si="1570"/>
        <v>0.72999999999999987</v>
      </c>
      <c r="EH134" s="48">
        <f t="shared" si="1570"/>
        <v>0.70999999999999985</v>
      </c>
      <c r="EI134" s="48">
        <f t="shared" si="1570"/>
        <v>0.68999999999999984</v>
      </c>
      <c r="EJ134" s="48">
        <f t="shared" si="1570"/>
        <v>0.66999999999999982</v>
      </c>
      <c r="EK134" s="48">
        <f t="shared" si="1570"/>
        <v>0.6499999999999998</v>
      </c>
      <c r="EL134" s="48">
        <f t="shared" si="1570"/>
        <v>0.62999999999999978</v>
      </c>
      <c r="EM134" s="48">
        <f t="shared" si="1570"/>
        <v>0.60999999999999976</v>
      </c>
      <c r="EN134" s="48">
        <f t="shared" si="1570"/>
        <v>0.58999999999999975</v>
      </c>
      <c r="EO134" s="48">
        <f t="shared" si="1570"/>
        <v>0.56999999999999973</v>
      </c>
      <c r="EQ134" s="48">
        <f t="shared" si="1128"/>
        <v>0</v>
      </c>
      <c r="ER134" s="48">
        <f t="shared" si="956"/>
        <v>0</v>
      </c>
      <c r="ES134" s="51">
        <f t="shared" ref="ES134" si="1571">+ER134*3.3058</f>
        <v>0</v>
      </c>
      <c r="ET134" s="48">
        <f t="shared" si="1510"/>
        <v>0</v>
      </c>
      <c r="EU134" s="51">
        <f t="shared" si="1511"/>
        <v>0</v>
      </c>
      <c r="EV134" s="48">
        <f t="shared" si="1512"/>
        <v>0</v>
      </c>
      <c r="EW134" s="51">
        <f t="shared" si="1513"/>
        <v>0</v>
      </c>
      <c r="EX134" s="48">
        <f t="shared" si="1514"/>
        <v>0</v>
      </c>
      <c r="EY134" s="51">
        <f t="shared" si="1515"/>
        <v>0</v>
      </c>
      <c r="EZ134" s="52">
        <f t="shared" si="1516"/>
        <v>0</v>
      </c>
      <c r="FA134" s="51">
        <f t="shared" si="1517"/>
        <v>0</v>
      </c>
      <c r="FB134" s="48">
        <f t="shared" si="1518"/>
        <v>0</v>
      </c>
      <c r="FC134" s="51">
        <f t="shared" si="1519"/>
        <v>0</v>
      </c>
      <c r="FD134" s="52">
        <f t="shared" si="1520"/>
        <v>0</v>
      </c>
      <c r="FE134" s="51">
        <f t="shared" si="1521"/>
        <v>0</v>
      </c>
      <c r="FF134" s="53">
        <f t="shared" si="1522"/>
        <v>0</v>
      </c>
      <c r="FG134" s="51">
        <f t="shared" si="1523"/>
        <v>0</v>
      </c>
      <c r="FH134" s="52">
        <f t="shared" si="1524"/>
        <v>0</v>
      </c>
      <c r="FI134" s="51">
        <f t="shared" si="1525"/>
        <v>0</v>
      </c>
      <c r="FJ134" s="48">
        <f t="shared" si="1526"/>
        <v>0</v>
      </c>
      <c r="FK134" s="51">
        <f t="shared" si="1527"/>
        <v>0</v>
      </c>
      <c r="FL134" s="53">
        <f t="shared" si="1528"/>
        <v>0</v>
      </c>
      <c r="FM134" s="51">
        <f t="shared" si="1529"/>
        <v>0</v>
      </c>
      <c r="FN134" s="53">
        <f t="shared" si="1530"/>
        <v>0</v>
      </c>
      <c r="FO134" s="51">
        <f t="shared" si="1531"/>
        <v>0</v>
      </c>
      <c r="FP134" s="53">
        <f t="shared" si="1532"/>
        <v>0</v>
      </c>
      <c r="FQ134" s="51">
        <f t="shared" si="1533"/>
        <v>0</v>
      </c>
      <c r="FR134" s="48">
        <f t="shared" si="1534"/>
        <v>0</v>
      </c>
      <c r="FS134" s="51">
        <f t="shared" si="1535"/>
        <v>0</v>
      </c>
      <c r="FT134" s="53">
        <f t="shared" si="1536"/>
        <v>0</v>
      </c>
      <c r="FU134" s="51">
        <f t="shared" si="1537"/>
        <v>0</v>
      </c>
      <c r="FV134" s="53">
        <f t="shared" si="1538"/>
        <v>0</v>
      </c>
      <c r="FW134" s="51">
        <f t="shared" si="1539"/>
        <v>0</v>
      </c>
      <c r="FX134" s="53">
        <f t="shared" si="1540"/>
        <v>0</v>
      </c>
      <c r="FY134" s="51">
        <f t="shared" si="1541"/>
        <v>0</v>
      </c>
      <c r="FZ134" s="53">
        <f t="shared" si="1542"/>
        <v>0</v>
      </c>
      <c r="GA134" s="51">
        <f t="shared" si="1543"/>
        <v>0</v>
      </c>
      <c r="GB134" s="48">
        <f t="shared" si="1544"/>
        <v>0</v>
      </c>
      <c r="GC134" s="51">
        <f t="shared" si="1545"/>
        <v>0</v>
      </c>
      <c r="GD134" s="53">
        <f t="shared" si="1546"/>
        <v>0</v>
      </c>
      <c r="GE134" s="51">
        <f t="shared" si="1547"/>
        <v>0</v>
      </c>
      <c r="GF134" s="53">
        <f t="shared" si="1548"/>
        <v>0</v>
      </c>
      <c r="GG134" s="51">
        <f t="shared" si="1549"/>
        <v>0</v>
      </c>
      <c r="GH134" s="48">
        <f t="shared" si="1550"/>
        <v>0</v>
      </c>
      <c r="GI134" s="51">
        <f t="shared" si="1551"/>
        <v>0</v>
      </c>
      <c r="GJ134" s="48"/>
      <c r="GK134" s="48"/>
      <c r="GL134" s="48">
        <v>1</v>
      </c>
      <c r="GM134" s="48">
        <v>0.97</v>
      </c>
      <c r="GN134" s="48">
        <v>0.95</v>
      </c>
      <c r="GO134" s="48">
        <v>0.93</v>
      </c>
      <c r="GP134" s="48">
        <f t="shared" ref="GP134:HG134" si="1572">+GO134-0.02</f>
        <v>0.91</v>
      </c>
      <c r="GQ134" s="48">
        <f t="shared" si="1572"/>
        <v>0.89</v>
      </c>
      <c r="GR134" s="48">
        <f t="shared" si="1572"/>
        <v>0.87</v>
      </c>
      <c r="GS134" s="48">
        <f t="shared" si="1572"/>
        <v>0.85</v>
      </c>
      <c r="GT134" s="48">
        <f t="shared" si="1572"/>
        <v>0.83</v>
      </c>
      <c r="GU134" s="48">
        <f t="shared" si="1572"/>
        <v>0.80999999999999994</v>
      </c>
      <c r="GV134" s="48">
        <f t="shared" si="1572"/>
        <v>0.78999999999999992</v>
      </c>
      <c r="GW134" s="48">
        <f t="shared" si="1572"/>
        <v>0.76999999999999991</v>
      </c>
      <c r="GX134" s="48">
        <f t="shared" si="1572"/>
        <v>0.74999999999999989</v>
      </c>
      <c r="GY134" s="48">
        <f t="shared" si="1572"/>
        <v>0.72999999999999987</v>
      </c>
      <c r="GZ134" s="48">
        <f t="shared" si="1572"/>
        <v>0.70999999999999985</v>
      </c>
      <c r="HA134" s="48">
        <f t="shared" si="1572"/>
        <v>0.68999999999999984</v>
      </c>
      <c r="HB134" s="48">
        <f t="shared" si="1572"/>
        <v>0.66999999999999982</v>
      </c>
      <c r="HC134" s="48">
        <f t="shared" si="1572"/>
        <v>0.6499999999999998</v>
      </c>
      <c r="HD134" s="48">
        <f t="shared" si="1572"/>
        <v>0.62999999999999978</v>
      </c>
      <c r="HE134" s="48">
        <f t="shared" si="1572"/>
        <v>0.60999999999999976</v>
      </c>
      <c r="HF134" s="48">
        <f t="shared" si="1572"/>
        <v>0.58999999999999975</v>
      </c>
      <c r="HG134" s="48">
        <f t="shared" si="1572"/>
        <v>0.56999999999999973</v>
      </c>
    </row>
    <row r="135" spans="1:215" x14ac:dyDescent="0.3">
      <c r="A135" s="2">
        <v>6</v>
      </c>
      <c r="C135" s="39" t="s">
        <v>193</v>
      </c>
      <c r="D135" s="44">
        <v>0</v>
      </c>
      <c r="E135" s="73">
        <f t="shared" si="1421"/>
        <v>0</v>
      </c>
      <c r="G135" s="48">
        <f t="shared" si="948"/>
        <v>0</v>
      </c>
      <c r="H135" s="48">
        <f t="shared" si="949"/>
        <v>0</v>
      </c>
      <c r="I135" s="51">
        <f t="shared" si="950"/>
        <v>0</v>
      </c>
      <c r="J135" s="48">
        <f t="shared" si="1422"/>
        <v>0</v>
      </c>
      <c r="K135" s="51">
        <f t="shared" si="1423"/>
        <v>0</v>
      </c>
      <c r="L135" s="48">
        <f t="shared" si="1424"/>
        <v>0</v>
      </c>
      <c r="M135" s="51">
        <f t="shared" si="1425"/>
        <v>0</v>
      </c>
      <c r="N135" s="48">
        <f t="shared" si="1426"/>
        <v>0</v>
      </c>
      <c r="O135" s="51">
        <f t="shared" si="1427"/>
        <v>0</v>
      </c>
      <c r="P135" s="52">
        <f t="shared" si="1428"/>
        <v>0</v>
      </c>
      <c r="Q135" s="51">
        <f t="shared" si="1429"/>
        <v>0</v>
      </c>
      <c r="R135" s="48">
        <f t="shared" si="1430"/>
        <v>0</v>
      </c>
      <c r="S135" s="51">
        <f t="shared" si="1431"/>
        <v>0</v>
      </c>
      <c r="T135" s="52">
        <f t="shared" si="1432"/>
        <v>0</v>
      </c>
      <c r="U135" s="51">
        <f t="shared" si="1433"/>
        <v>0</v>
      </c>
      <c r="V135" s="53">
        <f t="shared" si="1434"/>
        <v>0</v>
      </c>
      <c r="W135" s="51">
        <f t="shared" si="1435"/>
        <v>0</v>
      </c>
      <c r="X135" s="52">
        <f t="shared" si="1436"/>
        <v>0</v>
      </c>
      <c r="Y135" s="51">
        <f t="shared" si="1437"/>
        <v>0</v>
      </c>
      <c r="Z135" s="48">
        <f t="shared" si="1438"/>
        <v>0</v>
      </c>
      <c r="AA135" s="51">
        <f t="shared" si="1439"/>
        <v>0</v>
      </c>
      <c r="AB135" s="53">
        <f t="shared" si="1440"/>
        <v>0</v>
      </c>
      <c r="AC135" s="51">
        <f t="shared" si="1441"/>
        <v>0</v>
      </c>
      <c r="AD135" s="53">
        <f t="shared" si="1442"/>
        <v>0</v>
      </c>
      <c r="AE135" s="51">
        <f t="shared" si="1443"/>
        <v>0</v>
      </c>
      <c r="AF135" s="53">
        <f t="shared" si="1444"/>
        <v>0</v>
      </c>
      <c r="AG135" s="51">
        <f t="shared" si="1445"/>
        <v>0</v>
      </c>
      <c r="AH135" s="48">
        <f t="shared" si="1446"/>
        <v>0</v>
      </c>
      <c r="AI135" s="51">
        <f t="shared" si="1447"/>
        <v>0</v>
      </c>
      <c r="AJ135" s="53">
        <f t="shared" si="1448"/>
        <v>0</v>
      </c>
      <c r="AK135" s="51">
        <f t="shared" si="1449"/>
        <v>0</v>
      </c>
      <c r="AL135" s="53">
        <f t="shared" si="1450"/>
        <v>0</v>
      </c>
      <c r="AM135" s="51">
        <f t="shared" si="1451"/>
        <v>0</v>
      </c>
      <c r="AN135" s="53">
        <f t="shared" si="1452"/>
        <v>0</v>
      </c>
      <c r="AO135" s="51">
        <f t="shared" si="1453"/>
        <v>0</v>
      </c>
      <c r="AP135" s="53">
        <f t="shared" si="1454"/>
        <v>0</v>
      </c>
      <c r="AQ135" s="51">
        <f t="shared" si="1455"/>
        <v>0</v>
      </c>
      <c r="AR135" s="48">
        <f t="shared" si="1456"/>
        <v>0</v>
      </c>
      <c r="AS135" s="51">
        <f t="shared" si="1457"/>
        <v>0</v>
      </c>
      <c r="AT135" s="53">
        <f t="shared" si="1458"/>
        <v>0</v>
      </c>
      <c r="AU135" s="51">
        <f t="shared" si="1459"/>
        <v>0</v>
      </c>
      <c r="AV135" s="53">
        <f t="shared" si="1460"/>
        <v>0</v>
      </c>
      <c r="AW135" s="51">
        <f t="shared" si="1461"/>
        <v>0</v>
      </c>
      <c r="AX135" s="48">
        <f t="shared" si="1462"/>
        <v>0</v>
      </c>
      <c r="AY135" s="51">
        <f t="shared" si="1463"/>
        <v>0</v>
      </c>
      <c r="BB135" s="48">
        <v>1</v>
      </c>
      <c r="BC135" s="48">
        <v>0.97</v>
      </c>
      <c r="BD135" s="48">
        <v>0.95</v>
      </c>
      <c r="BE135" s="48">
        <v>0.93</v>
      </c>
      <c r="BF135" s="48">
        <f t="shared" ref="BF135:BW135" si="1573">+BE135-0.02</f>
        <v>0.91</v>
      </c>
      <c r="BG135" s="48">
        <f t="shared" si="1573"/>
        <v>0.89</v>
      </c>
      <c r="BH135" s="48">
        <f t="shared" si="1573"/>
        <v>0.87</v>
      </c>
      <c r="BI135" s="48">
        <f t="shared" si="1573"/>
        <v>0.85</v>
      </c>
      <c r="BJ135" s="48">
        <f t="shared" si="1573"/>
        <v>0.83</v>
      </c>
      <c r="BK135" s="48">
        <f t="shared" si="1573"/>
        <v>0.80999999999999994</v>
      </c>
      <c r="BL135" s="48">
        <f t="shared" si="1573"/>
        <v>0.78999999999999992</v>
      </c>
      <c r="BM135" s="48">
        <f t="shared" si="1573"/>
        <v>0.76999999999999991</v>
      </c>
      <c r="BN135" s="48">
        <f t="shared" si="1573"/>
        <v>0.74999999999999989</v>
      </c>
      <c r="BO135" s="48">
        <f t="shared" si="1573"/>
        <v>0.72999999999999987</v>
      </c>
      <c r="BP135" s="48">
        <f t="shared" si="1573"/>
        <v>0.70999999999999985</v>
      </c>
      <c r="BQ135" s="48">
        <f t="shared" si="1573"/>
        <v>0.68999999999999984</v>
      </c>
      <c r="BR135" s="48">
        <f t="shared" si="1573"/>
        <v>0.66999999999999982</v>
      </c>
      <c r="BS135" s="48">
        <f t="shared" si="1573"/>
        <v>0.6499999999999998</v>
      </c>
      <c r="BT135" s="48">
        <f t="shared" si="1573"/>
        <v>0.62999999999999978</v>
      </c>
      <c r="BU135" s="48">
        <f t="shared" si="1573"/>
        <v>0.60999999999999976</v>
      </c>
      <c r="BV135" s="48">
        <f t="shared" si="1573"/>
        <v>0.58999999999999975</v>
      </c>
      <c r="BW135" s="48">
        <f t="shared" si="1573"/>
        <v>0.56999999999999973</v>
      </c>
      <c r="BY135" s="48">
        <f t="shared" si="952"/>
        <v>0</v>
      </c>
      <c r="BZ135" s="48">
        <f t="shared" si="953"/>
        <v>0</v>
      </c>
      <c r="CA135" s="51">
        <f t="shared" ref="CA135" si="1574">+BZ135*3.3058</f>
        <v>0</v>
      </c>
      <c r="CB135" s="48">
        <f t="shared" si="1466"/>
        <v>0</v>
      </c>
      <c r="CC135" s="51">
        <f t="shared" si="1467"/>
        <v>0</v>
      </c>
      <c r="CD135" s="48">
        <f t="shared" si="1468"/>
        <v>0</v>
      </c>
      <c r="CE135" s="51">
        <f t="shared" si="1469"/>
        <v>0</v>
      </c>
      <c r="CF135" s="48">
        <f t="shared" si="1470"/>
        <v>0</v>
      </c>
      <c r="CG135" s="51">
        <f t="shared" si="1471"/>
        <v>0</v>
      </c>
      <c r="CH135" s="52">
        <f t="shared" si="1472"/>
        <v>0</v>
      </c>
      <c r="CI135" s="51">
        <f t="shared" si="1473"/>
        <v>0</v>
      </c>
      <c r="CJ135" s="48">
        <f t="shared" si="1474"/>
        <v>0</v>
      </c>
      <c r="CK135" s="51">
        <f t="shared" si="1475"/>
        <v>0</v>
      </c>
      <c r="CL135" s="52">
        <f t="shared" si="1476"/>
        <v>0</v>
      </c>
      <c r="CM135" s="51">
        <f t="shared" si="1477"/>
        <v>0</v>
      </c>
      <c r="CN135" s="53">
        <f t="shared" si="1478"/>
        <v>0</v>
      </c>
      <c r="CO135" s="51">
        <f t="shared" si="1479"/>
        <v>0</v>
      </c>
      <c r="CP135" s="52">
        <f t="shared" si="1480"/>
        <v>0</v>
      </c>
      <c r="CQ135" s="51">
        <f t="shared" si="1481"/>
        <v>0</v>
      </c>
      <c r="CR135" s="48">
        <f t="shared" si="1482"/>
        <v>0</v>
      </c>
      <c r="CS135" s="51">
        <f t="shared" si="1483"/>
        <v>0</v>
      </c>
      <c r="CT135" s="53">
        <f t="shared" si="1484"/>
        <v>0</v>
      </c>
      <c r="CU135" s="51">
        <f t="shared" si="1485"/>
        <v>0</v>
      </c>
      <c r="CV135" s="53">
        <f t="shared" si="1486"/>
        <v>0</v>
      </c>
      <c r="CW135" s="51">
        <f t="shared" si="1487"/>
        <v>0</v>
      </c>
      <c r="CX135" s="53">
        <f t="shared" si="1488"/>
        <v>0</v>
      </c>
      <c r="CY135" s="51">
        <f t="shared" si="1489"/>
        <v>0</v>
      </c>
      <c r="CZ135" s="48">
        <f t="shared" si="1490"/>
        <v>0</v>
      </c>
      <c r="DA135" s="51">
        <f t="shared" si="1491"/>
        <v>0</v>
      </c>
      <c r="DB135" s="53">
        <f t="shared" si="1492"/>
        <v>0</v>
      </c>
      <c r="DC135" s="51">
        <f t="shared" si="1493"/>
        <v>0</v>
      </c>
      <c r="DD135" s="53">
        <f t="shared" si="1494"/>
        <v>0</v>
      </c>
      <c r="DE135" s="51">
        <f t="shared" si="1495"/>
        <v>0</v>
      </c>
      <c r="DF135" s="53">
        <f t="shared" si="1496"/>
        <v>0</v>
      </c>
      <c r="DG135" s="51">
        <f t="shared" si="1497"/>
        <v>0</v>
      </c>
      <c r="DH135" s="53">
        <f t="shared" si="1498"/>
        <v>0</v>
      </c>
      <c r="DI135" s="51">
        <f t="shared" si="1499"/>
        <v>0</v>
      </c>
      <c r="DJ135" s="48">
        <f t="shared" si="1500"/>
        <v>0</v>
      </c>
      <c r="DK135" s="51">
        <f t="shared" si="1501"/>
        <v>0</v>
      </c>
      <c r="DL135" s="53">
        <f t="shared" si="1502"/>
        <v>0</v>
      </c>
      <c r="DM135" s="51">
        <f t="shared" si="1503"/>
        <v>0</v>
      </c>
      <c r="DN135" s="53">
        <f t="shared" si="1504"/>
        <v>0</v>
      </c>
      <c r="DO135" s="51">
        <f t="shared" si="1505"/>
        <v>0</v>
      </c>
      <c r="DP135" s="48">
        <f t="shared" si="1506"/>
        <v>0</v>
      </c>
      <c r="DQ135" s="51">
        <f t="shared" si="1507"/>
        <v>0</v>
      </c>
      <c r="DT135" s="48">
        <v>1</v>
      </c>
      <c r="DU135" s="48">
        <v>0.97</v>
      </c>
      <c r="DV135" s="48">
        <v>0.95</v>
      </c>
      <c r="DW135" s="48">
        <v>0.93</v>
      </c>
      <c r="DX135" s="48">
        <f t="shared" ref="DX135:EO135" si="1575">+DW135-0.02</f>
        <v>0.91</v>
      </c>
      <c r="DY135" s="48">
        <f t="shared" si="1575"/>
        <v>0.89</v>
      </c>
      <c r="DZ135" s="48">
        <f t="shared" si="1575"/>
        <v>0.87</v>
      </c>
      <c r="EA135" s="48">
        <f t="shared" si="1575"/>
        <v>0.85</v>
      </c>
      <c r="EB135" s="48">
        <f t="shared" si="1575"/>
        <v>0.83</v>
      </c>
      <c r="EC135" s="48">
        <f t="shared" si="1575"/>
        <v>0.80999999999999994</v>
      </c>
      <c r="ED135" s="48">
        <f t="shared" si="1575"/>
        <v>0.78999999999999992</v>
      </c>
      <c r="EE135" s="48">
        <f t="shared" si="1575"/>
        <v>0.76999999999999991</v>
      </c>
      <c r="EF135" s="48">
        <f t="shared" si="1575"/>
        <v>0.74999999999999989</v>
      </c>
      <c r="EG135" s="48">
        <f t="shared" si="1575"/>
        <v>0.72999999999999987</v>
      </c>
      <c r="EH135" s="48">
        <f t="shared" si="1575"/>
        <v>0.70999999999999985</v>
      </c>
      <c r="EI135" s="48">
        <f t="shared" si="1575"/>
        <v>0.68999999999999984</v>
      </c>
      <c r="EJ135" s="48">
        <f t="shared" si="1575"/>
        <v>0.66999999999999982</v>
      </c>
      <c r="EK135" s="48">
        <f t="shared" si="1575"/>
        <v>0.6499999999999998</v>
      </c>
      <c r="EL135" s="48">
        <f t="shared" si="1575"/>
        <v>0.62999999999999978</v>
      </c>
      <c r="EM135" s="48">
        <f t="shared" si="1575"/>
        <v>0.60999999999999976</v>
      </c>
      <c r="EN135" s="48">
        <f t="shared" si="1575"/>
        <v>0.58999999999999975</v>
      </c>
      <c r="EO135" s="48">
        <f t="shared" si="1575"/>
        <v>0.56999999999999973</v>
      </c>
      <c r="EQ135" s="48">
        <f t="shared" si="1128"/>
        <v>0</v>
      </c>
      <c r="ER135" s="48">
        <f t="shared" si="956"/>
        <v>0</v>
      </c>
      <c r="ES135" s="51">
        <f t="shared" ref="ES135" si="1576">+ER135*3.3058</f>
        <v>0</v>
      </c>
      <c r="ET135" s="48">
        <f t="shared" si="1510"/>
        <v>0</v>
      </c>
      <c r="EU135" s="51">
        <f t="shared" si="1511"/>
        <v>0</v>
      </c>
      <c r="EV135" s="48">
        <f t="shared" si="1512"/>
        <v>0</v>
      </c>
      <c r="EW135" s="51">
        <f t="shared" si="1513"/>
        <v>0</v>
      </c>
      <c r="EX135" s="48">
        <f t="shared" si="1514"/>
        <v>0</v>
      </c>
      <c r="EY135" s="51">
        <f t="shared" si="1515"/>
        <v>0</v>
      </c>
      <c r="EZ135" s="52">
        <f t="shared" si="1516"/>
        <v>0</v>
      </c>
      <c r="FA135" s="51">
        <f t="shared" si="1517"/>
        <v>0</v>
      </c>
      <c r="FB135" s="48">
        <f t="shared" si="1518"/>
        <v>0</v>
      </c>
      <c r="FC135" s="51">
        <f t="shared" si="1519"/>
        <v>0</v>
      </c>
      <c r="FD135" s="52">
        <f t="shared" si="1520"/>
        <v>0</v>
      </c>
      <c r="FE135" s="51">
        <f t="shared" si="1521"/>
        <v>0</v>
      </c>
      <c r="FF135" s="53">
        <f t="shared" si="1522"/>
        <v>0</v>
      </c>
      <c r="FG135" s="51">
        <f t="shared" si="1523"/>
        <v>0</v>
      </c>
      <c r="FH135" s="52">
        <f t="shared" si="1524"/>
        <v>0</v>
      </c>
      <c r="FI135" s="51">
        <f t="shared" si="1525"/>
        <v>0</v>
      </c>
      <c r="FJ135" s="48">
        <f t="shared" si="1526"/>
        <v>0</v>
      </c>
      <c r="FK135" s="51">
        <f t="shared" si="1527"/>
        <v>0</v>
      </c>
      <c r="FL135" s="53">
        <f t="shared" si="1528"/>
        <v>0</v>
      </c>
      <c r="FM135" s="51">
        <f t="shared" si="1529"/>
        <v>0</v>
      </c>
      <c r="FN135" s="53">
        <f t="shared" si="1530"/>
        <v>0</v>
      </c>
      <c r="FO135" s="51">
        <f t="shared" si="1531"/>
        <v>0</v>
      </c>
      <c r="FP135" s="53">
        <f t="shared" si="1532"/>
        <v>0</v>
      </c>
      <c r="FQ135" s="51">
        <f t="shared" si="1533"/>
        <v>0</v>
      </c>
      <c r="FR135" s="48">
        <f t="shared" si="1534"/>
        <v>0</v>
      </c>
      <c r="FS135" s="51">
        <f t="shared" si="1535"/>
        <v>0</v>
      </c>
      <c r="FT135" s="53">
        <f t="shared" si="1536"/>
        <v>0</v>
      </c>
      <c r="FU135" s="51">
        <f t="shared" si="1537"/>
        <v>0</v>
      </c>
      <c r="FV135" s="53">
        <f t="shared" si="1538"/>
        <v>0</v>
      </c>
      <c r="FW135" s="51">
        <f t="shared" si="1539"/>
        <v>0</v>
      </c>
      <c r="FX135" s="53">
        <f t="shared" si="1540"/>
        <v>0</v>
      </c>
      <c r="FY135" s="51">
        <f t="shared" si="1541"/>
        <v>0</v>
      </c>
      <c r="FZ135" s="53">
        <f t="shared" si="1542"/>
        <v>0</v>
      </c>
      <c r="GA135" s="51">
        <f t="shared" si="1543"/>
        <v>0</v>
      </c>
      <c r="GB135" s="48">
        <f t="shared" si="1544"/>
        <v>0</v>
      </c>
      <c r="GC135" s="51">
        <f t="shared" si="1545"/>
        <v>0</v>
      </c>
      <c r="GD135" s="53">
        <f t="shared" si="1546"/>
        <v>0</v>
      </c>
      <c r="GE135" s="51">
        <f t="shared" si="1547"/>
        <v>0</v>
      </c>
      <c r="GF135" s="53">
        <f t="shared" si="1548"/>
        <v>0</v>
      </c>
      <c r="GG135" s="51">
        <f t="shared" si="1549"/>
        <v>0</v>
      </c>
      <c r="GH135" s="48">
        <f t="shared" si="1550"/>
        <v>0</v>
      </c>
      <c r="GI135" s="51">
        <f t="shared" si="1551"/>
        <v>0</v>
      </c>
      <c r="GJ135" s="48"/>
      <c r="GK135" s="48"/>
      <c r="GL135" s="48">
        <v>1</v>
      </c>
      <c r="GM135" s="48">
        <v>0.97</v>
      </c>
      <c r="GN135" s="48">
        <v>0.95</v>
      </c>
      <c r="GO135" s="48">
        <v>0.93</v>
      </c>
      <c r="GP135" s="48">
        <f t="shared" ref="GP135:HG135" si="1577">+GO135-0.02</f>
        <v>0.91</v>
      </c>
      <c r="GQ135" s="48">
        <f t="shared" si="1577"/>
        <v>0.89</v>
      </c>
      <c r="GR135" s="48">
        <f t="shared" si="1577"/>
        <v>0.87</v>
      </c>
      <c r="GS135" s="48">
        <f t="shared" si="1577"/>
        <v>0.85</v>
      </c>
      <c r="GT135" s="48">
        <f t="shared" si="1577"/>
        <v>0.83</v>
      </c>
      <c r="GU135" s="48">
        <f t="shared" si="1577"/>
        <v>0.80999999999999994</v>
      </c>
      <c r="GV135" s="48">
        <f t="shared" si="1577"/>
        <v>0.78999999999999992</v>
      </c>
      <c r="GW135" s="48">
        <f t="shared" si="1577"/>
        <v>0.76999999999999991</v>
      </c>
      <c r="GX135" s="48">
        <f t="shared" si="1577"/>
        <v>0.74999999999999989</v>
      </c>
      <c r="GY135" s="48">
        <f t="shared" si="1577"/>
        <v>0.72999999999999987</v>
      </c>
      <c r="GZ135" s="48">
        <f t="shared" si="1577"/>
        <v>0.70999999999999985</v>
      </c>
      <c r="HA135" s="48">
        <f t="shared" si="1577"/>
        <v>0.68999999999999984</v>
      </c>
      <c r="HB135" s="48">
        <f t="shared" si="1577"/>
        <v>0.66999999999999982</v>
      </c>
      <c r="HC135" s="48">
        <f t="shared" si="1577"/>
        <v>0.6499999999999998</v>
      </c>
      <c r="HD135" s="48">
        <f t="shared" si="1577"/>
        <v>0.62999999999999978</v>
      </c>
      <c r="HE135" s="48">
        <f t="shared" si="1577"/>
        <v>0.60999999999999976</v>
      </c>
      <c r="HF135" s="48">
        <f t="shared" si="1577"/>
        <v>0.58999999999999975</v>
      </c>
      <c r="HG135" s="48">
        <f t="shared" si="1577"/>
        <v>0.56999999999999973</v>
      </c>
    </row>
    <row r="136" spans="1:215" x14ac:dyDescent="0.3">
      <c r="A136" s="2">
        <v>7</v>
      </c>
      <c r="C136" s="39" t="s">
        <v>194</v>
      </c>
      <c r="D136" s="44">
        <v>0</v>
      </c>
      <c r="E136" s="73">
        <f t="shared" si="1421"/>
        <v>0</v>
      </c>
      <c r="G136" s="48">
        <f t="shared" si="948"/>
        <v>0</v>
      </c>
      <c r="H136" s="48">
        <f t="shared" si="949"/>
        <v>0</v>
      </c>
      <c r="I136" s="51">
        <f t="shared" si="950"/>
        <v>0</v>
      </c>
      <c r="J136" s="48">
        <f t="shared" si="1422"/>
        <v>0</v>
      </c>
      <c r="K136" s="51">
        <f t="shared" si="1423"/>
        <v>0</v>
      </c>
      <c r="L136" s="48">
        <f t="shared" si="1424"/>
        <v>0</v>
      </c>
      <c r="M136" s="51">
        <f t="shared" si="1425"/>
        <v>0</v>
      </c>
      <c r="N136" s="48">
        <f t="shared" si="1426"/>
        <v>0</v>
      </c>
      <c r="O136" s="51">
        <f t="shared" si="1427"/>
        <v>0</v>
      </c>
      <c r="P136" s="52">
        <f t="shared" si="1428"/>
        <v>0</v>
      </c>
      <c r="Q136" s="51">
        <f t="shared" si="1429"/>
        <v>0</v>
      </c>
      <c r="R136" s="48">
        <f t="shared" si="1430"/>
        <v>0</v>
      </c>
      <c r="S136" s="51">
        <f t="shared" si="1431"/>
        <v>0</v>
      </c>
      <c r="T136" s="52">
        <f t="shared" si="1432"/>
        <v>0</v>
      </c>
      <c r="U136" s="51">
        <f t="shared" si="1433"/>
        <v>0</v>
      </c>
      <c r="V136" s="53">
        <f t="shared" si="1434"/>
        <v>0</v>
      </c>
      <c r="W136" s="51">
        <f t="shared" si="1435"/>
        <v>0</v>
      </c>
      <c r="X136" s="52">
        <f t="shared" si="1436"/>
        <v>0</v>
      </c>
      <c r="Y136" s="51">
        <f t="shared" si="1437"/>
        <v>0</v>
      </c>
      <c r="Z136" s="48">
        <f t="shared" si="1438"/>
        <v>0</v>
      </c>
      <c r="AA136" s="51">
        <f t="shared" si="1439"/>
        <v>0</v>
      </c>
      <c r="AB136" s="53">
        <f t="shared" si="1440"/>
        <v>0</v>
      </c>
      <c r="AC136" s="51">
        <f t="shared" si="1441"/>
        <v>0</v>
      </c>
      <c r="AD136" s="53">
        <f t="shared" si="1442"/>
        <v>0</v>
      </c>
      <c r="AE136" s="51">
        <f t="shared" si="1443"/>
        <v>0</v>
      </c>
      <c r="AF136" s="53">
        <f t="shared" si="1444"/>
        <v>0</v>
      </c>
      <c r="AG136" s="51">
        <f t="shared" si="1445"/>
        <v>0</v>
      </c>
      <c r="AH136" s="48">
        <f t="shared" si="1446"/>
        <v>0</v>
      </c>
      <c r="AI136" s="51">
        <f t="shared" si="1447"/>
        <v>0</v>
      </c>
      <c r="AJ136" s="53">
        <f t="shared" si="1448"/>
        <v>0</v>
      </c>
      <c r="AK136" s="51">
        <f t="shared" si="1449"/>
        <v>0</v>
      </c>
      <c r="AL136" s="53">
        <f t="shared" si="1450"/>
        <v>0</v>
      </c>
      <c r="AM136" s="51">
        <f t="shared" si="1451"/>
        <v>0</v>
      </c>
      <c r="AN136" s="53">
        <f t="shared" si="1452"/>
        <v>0</v>
      </c>
      <c r="AO136" s="51">
        <f t="shared" si="1453"/>
        <v>0</v>
      </c>
      <c r="AP136" s="53">
        <f t="shared" si="1454"/>
        <v>0</v>
      </c>
      <c r="AQ136" s="51">
        <f t="shared" si="1455"/>
        <v>0</v>
      </c>
      <c r="AR136" s="48">
        <f t="shared" si="1456"/>
        <v>0</v>
      </c>
      <c r="AS136" s="51">
        <f t="shared" si="1457"/>
        <v>0</v>
      </c>
      <c r="AT136" s="53">
        <f t="shared" si="1458"/>
        <v>0</v>
      </c>
      <c r="AU136" s="51">
        <f t="shared" si="1459"/>
        <v>0</v>
      </c>
      <c r="AV136" s="53">
        <f t="shared" si="1460"/>
        <v>0</v>
      </c>
      <c r="AW136" s="51">
        <f t="shared" si="1461"/>
        <v>0</v>
      </c>
      <c r="AX136" s="48">
        <f t="shared" si="1462"/>
        <v>0</v>
      </c>
      <c r="AY136" s="51">
        <f t="shared" si="1463"/>
        <v>0</v>
      </c>
      <c r="BB136" s="48">
        <v>1</v>
      </c>
      <c r="BC136" s="48">
        <v>0.97</v>
      </c>
      <c r="BD136" s="48">
        <v>0.95</v>
      </c>
      <c r="BE136" s="48">
        <v>0.93</v>
      </c>
      <c r="BF136" s="48">
        <f t="shared" ref="BF136:BW136" si="1578">+BE136-0.02</f>
        <v>0.91</v>
      </c>
      <c r="BG136" s="48">
        <f t="shared" si="1578"/>
        <v>0.89</v>
      </c>
      <c r="BH136" s="48">
        <f t="shared" si="1578"/>
        <v>0.87</v>
      </c>
      <c r="BI136" s="48">
        <f t="shared" si="1578"/>
        <v>0.85</v>
      </c>
      <c r="BJ136" s="48">
        <f t="shared" si="1578"/>
        <v>0.83</v>
      </c>
      <c r="BK136" s="48">
        <f t="shared" si="1578"/>
        <v>0.80999999999999994</v>
      </c>
      <c r="BL136" s="48">
        <f t="shared" si="1578"/>
        <v>0.78999999999999992</v>
      </c>
      <c r="BM136" s="48">
        <f t="shared" si="1578"/>
        <v>0.76999999999999991</v>
      </c>
      <c r="BN136" s="48">
        <f t="shared" si="1578"/>
        <v>0.74999999999999989</v>
      </c>
      <c r="BO136" s="48">
        <f t="shared" si="1578"/>
        <v>0.72999999999999987</v>
      </c>
      <c r="BP136" s="48">
        <f t="shared" si="1578"/>
        <v>0.70999999999999985</v>
      </c>
      <c r="BQ136" s="48">
        <f t="shared" si="1578"/>
        <v>0.68999999999999984</v>
      </c>
      <c r="BR136" s="48">
        <f t="shared" si="1578"/>
        <v>0.66999999999999982</v>
      </c>
      <c r="BS136" s="48">
        <f t="shared" si="1578"/>
        <v>0.6499999999999998</v>
      </c>
      <c r="BT136" s="48">
        <f t="shared" si="1578"/>
        <v>0.62999999999999978</v>
      </c>
      <c r="BU136" s="48">
        <f t="shared" si="1578"/>
        <v>0.60999999999999976</v>
      </c>
      <c r="BV136" s="48">
        <f t="shared" si="1578"/>
        <v>0.58999999999999975</v>
      </c>
      <c r="BW136" s="48">
        <f t="shared" si="1578"/>
        <v>0.56999999999999973</v>
      </c>
      <c r="BY136" s="48">
        <f t="shared" si="952"/>
        <v>0</v>
      </c>
      <c r="BZ136" s="48">
        <f t="shared" si="953"/>
        <v>0</v>
      </c>
      <c r="CA136" s="51">
        <f t="shared" ref="CA136" si="1579">+BZ136*3.3058</f>
        <v>0</v>
      </c>
      <c r="CB136" s="48">
        <f t="shared" si="1466"/>
        <v>0</v>
      </c>
      <c r="CC136" s="51">
        <f t="shared" si="1467"/>
        <v>0</v>
      </c>
      <c r="CD136" s="48">
        <f t="shared" si="1468"/>
        <v>0</v>
      </c>
      <c r="CE136" s="51">
        <f t="shared" si="1469"/>
        <v>0</v>
      </c>
      <c r="CF136" s="48">
        <f t="shared" si="1470"/>
        <v>0</v>
      </c>
      <c r="CG136" s="51">
        <f t="shared" si="1471"/>
        <v>0</v>
      </c>
      <c r="CH136" s="52">
        <f t="shared" si="1472"/>
        <v>0</v>
      </c>
      <c r="CI136" s="51">
        <f t="shared" si="1473"/>
        <v>0</v>
      </c>
      <c r="CJ136" s="48">
        <f t="shared" si="1474"/>
        <v>0</v>
      </c>
      <c r="CK136" s="51">
        <f t="shared" si="1475"/>
        <v>0</v>
      </c>
      <c r="CL136" s="52">
        <f t="shared" si="1476"/>
        <v>0</v>
      </c>
      <c r="CM136" s="51">
        <f t="shared" si="1477"/>
        <v>0</v>
      </c>
      <c r="CN136" s="53">
        <f t="shared" si="1478"/>
        <v>0</v>
      </c>
      <c r="CO136" s="51">
        <f t="shared" si="1479"/>
        <v>0</v>
      </c>
      <c r="CP136" s="52">
        <f t="shared" si="1480"/>
        <v>0</v>
      </c>
      <c r="CQ136" s="51">
        <f t="shared" si="1481"/>
        <v>0</v>
      </c>
      <c r="CR136" s="48">
        <f t="shared" si="1482"/>
        <v>0</v>
      </c>
      <c r="CS136" s="51">
        <f t="shared" si="1483"/>
        <v>0</v>
      </c>
      <c r="CT136" s="53">
        <f t="shared" si="1484"/>
        <v>0</v>
      </c>
      <c r="CU136" s="51">
        <f t="shared" si="1485"/>
        <v>0</v>
      </c>
      <c r="CV136" s="53">
        <f t="shared" si="1486"/>
        <v>0</v>
      </c>
      <c r="CW136" s="51">
        <f t="shared" si="1487"/>
        <v>0</v>
      </c>
      <c r="CX136" s="53">
        <f t="shared" si="1488"/>
        <v>0</v>
      </c>
      <c r="CY136" s="51">
        <f t="shared" si="1489"/>
        <v>0</v>
      </c>
      <c r="CZ136" s="48">
        <f t="shared" si="1490"/>
        <v>0</v>
      </c>
      <c r="DA136" s="51">
        <f t="shared" si="1491"/>
        <v>0</v>
      </c>
      <c r="DB136" s="53">
        <f t="shared" si="1492"/>
        <v>0</v>
      </c>
      <c r="DC136" s="51">
        <f t="shared" si="1493"/>
        <v>0</v>
      </c>
      <c r="DD136" s="53">
        <f t="shared" si="1494"/>
        <v>0</v>
      </c>
      <c r="DE136" s="51">
        <f t="shared" si="1495"/>
        <v>0</v>
      </c>
      <c r="DF136" s="53">
        <f t="shared" si="1496"/>
        <v>0</v>
      </c>
      <c r="DG136" s="51">
        <f t="shared" si="1497"/>
        <v>0</v>
      </c>
      <c r="DH136" s="53">
        <f t="shared" si="1498"/>
        <v>0</v>
      </c>
      <c r="DI136" s="51">
        <f t="shared" si="1499"/>
        <v>0</v>
      </c>
      <c r="DJ136" s="48">
        <f t="shared" si="1500"/>
        <v>0</v>
      </c>
      <c r="DK136" s="51">
        <f t="shared" si="1501"/>
        <v>0</v>
      </c>
      <c r="DL136" s="53">
        <f t="shared" si="1502"/>
        <v>0</v>
      </c>
      <c r="DM136" s="51">
        <f t="shared" si="1503"/>
        <v>0</v>
      </c>
      <c r="DN136" s="53">
        <f t="shared" si="1504"/>
        <v>0</v>
      </c>
      <c r="DO136" s="51">
        <f t="shared" si="1505"/>
        <v>0</v>
      </c>
      <c r="DP136" s="48">
        <f t="shared" si="1506"/>
        <v>0</v>
      </c>
      <c r="DQ136" s="51">
        <f t="shared" si="1507"/>
        <v>0</v>
      </c>
      <c r="DT136" s="48">
        <v>1</v>
      </c>
      <c r="DU136" s="48">
        <v>0.97</v>
      </c>
      <c r="DV136" s="48">
        <v>0.95</v>
      </c>
      <c r="DW136" s="48">
        <v>0.93</v>
      </c>
      <c r="DX136" s="48">
        <f t="shared" ref="DX136:EO136" si="1580">+DW136-0.02</f>
        <v>0.91</v>
      </c>
      <c r="DY136" s="48">
        <f t="shared" si="1580"/>
        <v>0.89</v>
      </c>
      <c r="DZ136" s="48">
        <f t="shared" si="1580"/>
        <v>0.87</v>
      </c>
      <c r="EA136" s="48">
        <f t="shared" si="1580"/>
        <v>0.85</v>
      </c>
      <c r="EB136" s="48">
        <f t="shared" si="1580"/>
        <v>0.83</v>
      </c>
      <c r="EC136" s="48">
        <f t="shared" si="1580"/>
        <v>0.80999999999999994</v>
      </c>
      <c r="ED136" s="48">
        <f t="shared" si="1580"/>
        <v>0.78999999999999992</v>
      </c>
      <c r="EE136" s="48">
        <f t="shared" si="1580"/>
        <v>0.76999999999999991</v>
      </c>
      <c r="EF136" s="48">
        <f t="shared" si="1580"/>
        <v>0.74999999999999989</v>
      </c>
      <c r="EG136" s="48">
        <f t="shared" si="1580"/>
        <v>0.72999999999999987</v>
      </c>
      <c r="EH136" s="48">
        <f t="shared" si="1580"/>
        <v>0.70999999999999985</v>
      </c>
      <c r="EI136" s="48">
        <f t="shared" si="1580"/>
        <v>0.68999999999999984</v>
      </c>
      <c r="EJ136" s="48">
        <f t="shared" si="1580"/>
        <v>0.66999999999999982</v>
      </c>
      <c r="EK136" s="48">
        <f t="shared" si="1580"/>
        <v>0.6499999999999998</v>
      </c>
      <c r="EL136" s="48">
        <f t="shared" si="1580"/>
        <v>0.62999999999999978</v>
      </c>
      <c r="EM136" s="48">
        <f t="shared" si="1580"/>
        <v>0.60999999999999976</v>
      </c>
      <c r="EN136" s="48">
        <f t="shared" si="1580"/>
        <v>0.58999999999999975</v>
      </c>
      <c r="EO136" s="48">
        <f t="shared" si="1580"/>
        <v>0.56999999999999973</v>
      </c>
      <c r="EQ136" s="48">
        <f t="shared" si="1128"/>
        <v>0</v>
      </c>
      <c r="ER136" s="48">
        <f t="shared" si="956"/>
        <v>0</v>
      </c>
      <c r="ES136" s="51">
        <f t="shared" ref="ES136" si="1581">+ER136*3.3058</f>
        <v>0</v>
      </c>
      <c r="ET136" s="48">
        <f t="shared" si="1510"/>
        <v>0</v>
      </c>
      <c r="EU136" s="51">
        <f t="shared" si="1511"/>
        <v>0</v>
      </c>
      <c r="EV136" s="48">
        <f t="shared" si="1512"/>
        <v>0</v>
      </c>
      <c r="EW136" s="51">
        <f t="shared" si="1513"/>
        <v>0</v>
      </c>
      <c r="EX136" s="48">
        <f t="shared" si="1514"/>
        <v>0</v>
      </c>
      <c r="EY136" s="51">
        <f t="shared" si="1515"/>
        <v>0</v>
      </c>
      <c r="EZ136" s="52">
        <f t="shared" si="1516"/>
        <v>0</v>
      </c>
      <c r="FA136" s="51">
        <f t="shared" si="1517"/>
        <v>0</v>
      </c>
      <c r="FB136" s="48">
        <f t="shared" si="1518"/>
        <v>0</v>
      </c>
      <c r="FC136" s="51">
        <f t="shared" si="1519"/>
        <v>0</v>
      </c>
      <c r="FD136" s="52">
        <f t="shared" si="1520"/>
        <v>0</v>
      </c>
      <c r="FE136" s="51">
        <f t="shared" si="1521"/>
        <v>0</v>
      </c>
      <c r="FF136" s="53">
        <f t="shared" si="1522"/>
        <v>0</v>
      </c>
      <c r="FG136" s="51">
        <f t="shared" si="1523"/>
        <v>0</v>
      </c>
      <c r="FH136" s="52">
        <f t="shared" si="1524"/>
        <v>0</v>
      </c>
      <c r="FI136" s="51">
        <f t="shared" si="1525"/>
        <v>0</v>
      </c>
      <c r="FJ136" s="48">
        <f t="shared" si="1526"/>
        <v>0</v>
      </c>
      <c r="FK136" s="51">
        <f t="shared" si="1527"/>
        <v>0</v>
      </c>
      <c r="FL136" s="53">
        <f t="shared" si="1528"/>
        <v>0</v>
      </c>
      <c r="FM136" s="51">
        <f t="shared" si="1529"/>
        <v>0</v>
      </c>
      <c r="FN136" s="53">
        <f t="shared" si="1530"/>
        <v>0</v>
      </c>
      <c r="FO136" s="51">
        <f t="shared" si="1531"/>
        <v>0</v>
      </c>
      <c r="FP136" s="53">
        <f t="shared" si="1532"/>
        <v>0</v>
      </c>
      <c r="FQ136" s="51">
        <f t="shared" si="1533"/>
        <v>0</v>
      </c>
      <c r="FR136" s="48">
        <f t="shared" si="1534"/>
        <v>0</v>
      </c>
      <c r="FS136" s="51">
        <f t="shared" si="1535"/>
        <v>0</v>
      </c>
      <c r="FT136" s="53">
        <f t="shared" si="1536"/>
        <v>0</v>
      </c>
      <c r="FU136" s="51">
        <f t="shared" si="1537"/>
        <v>0</v>
      </c>
      <c r="FV136" s="53">
        <f t="shared" si="1538"/>
        <v>0</v>
      </c>
      <c r="FW136" s="51">
        <f t="shared" si="1539"/>
        <v>0</v>
      </c>
      <c r="FX136" s="53">
        <f t="shared" si="1540"/>
        <v>0</v>
      </c>
      <c r="FY136" s="51">
        <f t="shared" si="1541"/>
        <v>0</v>
      </c>
      <c r="FZ136" s="53">
        <f t="shared" si="1542"/>
        <v>0</v>
      </c>
      <c r="GA136" s="51">
        <f t="shared" si="1543"/>
        <v>0</v>
      </c>
      <c r="GB136" s="48">
        <f t="shared" si="1544"/>
        <v>0</v>
      </c>
      <c r="GC136" s="51">
        <f t="shared" si="1545"/>
        <v>0</v>
      </c>
      <c r="GD136" s="53">
        <f t="shared" si="1546"/>
        <v>0</v>
      </c>
      <c r="GE136" s="51">
        <f t="shared" si="1547"/>
        <v>0</v>
      </c>
      <c r="GF136" s="53">
        <f t="shared" si="1548"/>
        <v>0</v>
      </c>
      <c r="GG136" s="51">
        <f t="shared" si="1549"/>
        <v>0</v>
      </c>
      <c r="GH136" s="48">
        <f t="shared" si="1550"/>
        <v>0</v>
      </c>
      <c r="GI136" s="51">
        <f t="shared" si="1551"/>
        <v>0</v>
      </c>
      <c r="GJ136" s="48"/>
      <c r="GK136" s="48"/>
      <c r="GL136" s="48">
        <v>1</v>
      </c>
      <c r="GM136" s="48">
        <v>0.97</v>
      </c>
      <c r="GN136" s="48">
        <v>0.95</v>
      </c>
      <c r="GO136" s="48">
        <v>0.93</v>
      </c>
      <c r="GP136" s="48">
        <f t="shared" ref="GP136:HG136" si="1582">+GO136-0.02</f>
        <v>0.91</v>
      </c>
      <c r="GQ136" s="48">
        <f t="shared" si="1582"/>
        <v>0.89</v>
      </c>
      <c r="GR136" s="48">
        <f t="shared" si="1582"/>
        <v>0.87</v>
      </c>
      <c r="GS136" s="48">
        <f t="shared" si="1582"/>
        <v>0.85</v>
      </c>
      <c r="GT136" s="48">
        <f t="shared" si="1582"/>
        <v>0.83</v>
      </c>
      <c r="GU136" s="48">
        <f t="shared" si="1582"/>
        <v>0.80999999999999994</v>
      </c>
      <c r="GV136" s="48">
        <f t="shared" si="1582"/>
        <v>0.78999999999999992</v>
      </c>
      <c r="GW136" s="48">
        <f t="shared" si="1582"/>
        <v>0.76999999999999991</v>
      </c>
      <c r="GX136" s="48">
        <f t="shared" si="1582"/>
        <v>0.74999999999999989</v>
      </c>
      <c r="GY136" s="48">
        <f t="shared" si="1582"/>
        <v>0.72999999999999987</v>
      </c>
      <c r="GZ136" s="48">
        <f t="shared" si="1582"/>
        <v>0.70999999999999985</v>
      </c>
      <c r="HA136" s="48">
        <f t="shared" si="1582"/>
        <v>0.68999999999999984</v>
      </c>
      <c r="HB136" s="48">
        <f t="shared" si="1582"/>
        <v>0.66999999999999982</v>
      </c>
      <c r="HC136" s="48">
        <f t="shared" si="1582"/>
        <v>0.6499999999999998</v>
      </c>
      <c r="HD136" s="48">
        <f t="shared" si="1582"/>
        <v>0.62999999999999978</v>
      </c>
      <c r="HE136" s="48">
        <f t="shared" si="1582"/>
        <v>0.60999999999999976</v>
      </c>
      <c r="HF136" s="48">
        <f t="shared" si="1582"/>
        <v>0.58999999999999975</v>
      </c>
      <c r="HG136" s="48">
        <f t="shared" si="1582"/>
        <v>0.56999999999999973</v>
      </c>
    </row>
    <row r="137" spans="1:215" x14ac:dyDescent="0.3">
      <c r="A137" s="2">
        <v>8</v>
      </c>
      <c r="C137" s="39" t="s">
        <v>195</v>
      </c>
      <c r="D137" s="44">
        <v>0</v>
      </c>
      <c r="E137" s="73">
        <f t="shared" si="1421"/>
        <v>0</v>
      </c>
      <c r="G137" s="48">
        <f t="shared" si="948"/>
        <v>0</v>
      </c>
      <c r="H137" s="48">
        <f t="shared" si="949"/>
        <v>0</v>
      </c>
      <c r="I137" s="51">
        <f t="shared" si="950"/>
        <v>0</v>
      </c>
      <c r="J137" s="48">
        <f t="shared" si="1422"/>
        <v>0</v>
      </c>
      <c r="K137" s="51">
        <f t="shared" si="1423"/>
        <v>0</v>
      </c>
      <c r="L137" s="48">
        <f t="shared" si="1424"/>
        <v>0</v>
      </c>
      <c r="M137" s="51">
        <f t="shared" si="1425"/>
        <v>0</v>
      </c>
      <c r="N137" s="48">
        <f t="shared" si="1426"/>
        <v>0</v>
      </c>
      <c r="O137" s="51">
        <f t="shared" si="1427"/>
        <v>0</v>
      </c>
      <c r="P137" s="52">
        <f t="shared" si="1428"/>
        <v>0</v>
      </c>
      <c r="Q137" s="51">
        <f t="shared" si="1429"/>
        <v>0</v>
      </c>
      <c r="R137" s="48">
        <f t="shared" si="1430"/>
        <v>0</v>
      </c>
      <c r="S137" s="51">
        <f t="shared" si="1431"/>
        <v>0</v>
      </c>
      <c r="T137" s="52">
        <f t="shared" si="1432"/>
        <v>0</v>
      </c>
      <c r="U137" s="51">
        <f t="shared" si="1433"/>
        <v>0</v>
      </c>
      <c r="V137" s="53">
        <f t="shared" si="1434"/>
        <v>0</v>
      </c>
      <c r="W137" s="51">
        <f t="shared" si="1435"/>
        <v>0</v>
      </c>
      <c r="X137" s="52">
        <f t="shared" si="1436"/>
        <v>0</v>
      </c>
      <c r="Y137" s="51">
        <f t="shared" si="1437"/>
        <v>0</v>
      </c>
      <c r="Z137" s="48">
        <f t="shared" si="1438"/>
        <v>0</v>
      </c>
      <c r="AA137" s="51">
        <f t="shared" si="1439"/>
        <v>0</v>
      </c>
      <c r="AB137" s="53">
        <f t="shared" si="1440"/>
        <v>0</v>
      </c>
      <c r="AC137" s="51">
        <f t="shared" si="1441"/>
        <v>0</v>
      </c>
      <c r="AD137" s="53">
        <f t="shared" si="1442"/>
        <v>0</v>
      </c>
      <c r="AE137" s="51">
        <f t="shared" si="1443"/>
        <v>0</v>
      </c>
      <c r="AF137" s="53">
        <f t="shared" si="1444"/>
        <v>0</v>
      </c>
      <c r="AG137" s="51">
        <f t="shared" si="1445"/>
        <v>0</v>
      </c>
      <c r="AH137" s="48">
        <f t="shared" si="1446"/>
        <v>0</v>
      </c>
      <c r="AI137" s="51">
        <f t="shared" si="1447"/>
        <v>0</v>
      </c>
      <c r="AJ137" s="53">
        <f t="shared" si="1448"/>
        <v>0</v>
      </c>
      <c r="AK137" s="51">
        <f t="shared" si="1449"/>
        <v>0</v>
      </c>
      <c r="AL137" s="53">
        <f t="shared" si="1450"/>
        <v>0</v>
      </c>
      <c r="AM137" s="51">
        <f t="shared" si="1451"/>
        <v>0</v>
      </c>
      <c r="AN137" s="53">
        <f t="shared" si="1452"/>
        <v>0</v>
      </c>
      <c r="AO137" s="51">
        <f t="shared" si="1453"/>
        <v>0</v>
      </c>
      <c r="AP137" s="53">
        <f t="shared" si="1454"/>
        <v>0</v>
      </c>
      <c r="AQ137" s="51">
        <f t="shared" si="1455"/>
        <v>0</v>
      </c>
      <c r="AR137" s="48">
        <f t="shared" si="1456"/>
        <v>0</v>
      </c>
      <c r="AS137" s="51">
        <f t="shared" si="1457"/>
        <v>0</v>
      </c>
      <c r="AT137" s="53">
        <f t="shared" si="1458"/>
        <v>0</v>
      </c>
      <c r="AU137" s="51">
        <f t="shared" si="1459"/>
        <v>0</v>
      </c>
      <c r="AV137" s="53">
        <f t="shared" si="1460"/>
        <v>0</v>
      </c>
      <c r="AW137" s="51">
        <f t="shared" si="1461"/>
        <v>0</v>
      </c>
      <c r="AX137" s="48">
        <f t="shared" si="1462"/>
        <v>0</v>
      </c>
      <c r="AY137" s="51">
        <f t="shared" si="1463"/>
        <v>0</v>
      </c>
      <c r="BB137" s="48">
        <v>1</v>
      </c>
      <c r="BC137" s="48">
        <v>0.97</v>
      </c>
      <c r="BD137" s="48">
        <v>0.95</v>
      </c>
      <c r="BE137" s="48">
        <v>0.93</v>
      </c>
      <c r="BF137" s="48">
        <f t="shared" ref="BF137:BW137" si="1583">+BE137-0.02</f>
        <v>0.91</v>
      </c>
      <c r="BG137" s="48">
        <f t="shared" si="1583"/>
        <v>0.89</v>
      </c>
      <c r="BH137" s="48">
        <f t="shared" si="1583"/>
        <v>0.87</v>
      </c>
      <c r="BI137" s="48">
        <f t="shared" si="1583"/>
        <v>0.85</v>
      </c>
      <c r="BJ137" s="48">
        <f t="shared" si="1583"/>
        <v>0.83</v>
      </c>
      <c r="BK137" s="48">
        <f t="shared" si="1583"/>
        <v>0.80999999999999994</v>
      </c>
      <c r="BL137" s="48">
        <f t="shared" si="1583"/>
        <v>0.78999999999999992</v>
      </c>
      <c r="BM137" s="48">
        <f t="shared" si="1583"/>
        <v>0.76999999999999991</v>
      </c>
      <c r="BN137" s="48">
        <f t="shared" si="1583"/>
        <v>0.74999999999999989</v>
      </c>
      <c r="BO137" s="48">
        <f t="shared" si="1583"/>
        <v>0.72999999999999987</v>
      </c>
      <c r="BP137" s="48">
        <f t="shared" si="1583"/>
        <v>0.70999999999999985</v>
      </c>
      <c r="BQ137" s="48">
        <f t="shared" si="1583"/>
        <v>0.68999999999999984</v>
      </c>
      <c r="BR137" s="48">
        <f t="shared" si="1583"/>
        <v>0.66999999999999982</v>
      </c>
      <c r="BS137" s="48">
        <f t="shared" si="1583"/>
        <v>0.6499999999999998</v>
      </c>
      <c r="BT137" s="48">
        <f t="shared" si="1583"/>
        <v>0.62999999999999978</v>
      </c>
      <c r="BU137" s="48">
        <f t="shared" si="1583"/>
        <v>0.60999999999999976</v>
      </c>
      <c r="BV137" s="48">
        <f t="shared" si="1583"/>
        <v>0.58999999999999975</v>
      </c>
      <c r="BW137" s="48">
        <f t="shared" si="1583"/>
        <v>0.56999999999999973</v>
      </c>
      <c r="BY137" s="48">
        <f t="shared" si="952"/>
        <v>0</v>
      </c>
      <c r="BZ137" s="48">
        <f t="shared" si="953"/>
        <v>0</v>
      </c>
      <c r="CA137" s="51">
        <f t="shared" ref="CA137" si="1584">+BZ137*3.3058</f>
        <v>0</v>
      </c>
      <c r="CB137" s="48">
        <f t="shared" si="1466"/>
        <v>0</v>
      </c>
      <c r="CC137" s="51">
        <f t="shared" si="1467"/>
        <v>0</v>
      </c>
      <c r="CD137" s="48">
        <f t="shared" si="1468"/>
        <v>0</v>
      </c>
      <c r="CE137" s="51">
        <f t="shared" si="1469"/>
        <v>0</v>
      </c>
      <c r="CF137" s="48">
        <f t="shared" si="1470"/>
        <v>0</v>
      </c>
      <c r="CG137" s="51">
        <f t="shared" si="1471"/>
        <v>0</v>
      </c>
      <c r="CH137" s="52">
        <f t="shared" si="1472"/>
        <v>0</v>
      </c>
      <c r="CI137" s="51">
        <f t="shared" si="1473"/>
        <v>0</v>
      </c>
      <c r="CJ137" s="48">
        <f t="shared" si="1474"/>
        <v>0</v>
      </c>
      <c r="CK137" s="51">
        <f t="shared" si="1475"/>
        <v>0</v>
      </c>
      <c r="CL137" s="52">
        <f t="shared" si="1476"/>
        <v>0</v>
      </c>
      <c r="CM137" s="51">
        <f t="shared" si="1477"/>
        <v>0</v>
      </c>
      <c r="CN137" s="53">
        <f t="shared" si="1478"/>
        <v>0</v>
      </c>
      <c r="CO137" s="51">
        <f t="shared" si="1479"/>
        <v>0</v>
      </c>
      <c r="CP137" s="52">
        <f t="shared" si="1480"/>
        <v>0</v>
      </c>
      <c r="CQ137" s="51">
        <f t="shared" si="1481"/>
        <v>0</v>
      </c>
      <c r="CR137" s="48">
        <f t="shared" si="1482"/>
        <v>0</v>
      </c>
      <c r="CS137" s="51">
        <f t="shared" si="1483"/>
        <v>0</v>
      </c>
      <c r="CT137" s="53">
        <f t="shared" si="1484"/>
        <v>0</v>
      </c>
      <c r="CU137" s="51">
        <f t="shared" si="1485"/>
        <v>0</v>
      </c>
      <c r="CV137" s="53">
        <f t="shared" si="1486"/>
        <v>0</v>
      </c>
      <c r="CW137" s="51">
        <f t="shared" si="1487"/>
        <v>0</v>
      </c>
      <c r="CX137" s="53">
        <f t="shared" si="1488"/>
        <v>0</v>
      </c>
      <c r="CY137" s="51">
        <f t="shared" si="1489"/>
        <v>0</v>
      </c>
      <c r="CZ137" s="48">
        <f t="shared" si="1490"/>
        <v>0</v>
      </c>
      <c r="DA137" s="51">
        <f t="shared" si="1491"/>
        <v>0</v>
      </c>
      <c r="DB137" s="53">
        <f t="shared" si="1492"/>
        <v>0</v>
      </c>
      <c r="DC137" s="51">
        <f t="shared" si="1493"/>
        <v>0</v>
      </c>
      <c r="DD137" s="53">
        <f t="shared" si="1494"/>
        <v>0</v>
      </c>
      <c r="DE137" s="51">
        <f t="shared" si="1495"/>
        <v>0</v>
      </c>
      <c r="DF137" s="53">
        <f t="shared" si="1496"/>
        <v>0</v>
      </c>
      <c r="DG137" s="51">
        <f t="shared" si="1497"/>
        <v>0</v>
      </c>
      <c r="DH137" s="53">
        <f t="shared" si="1498"/>
        <v>0</v>
      </c>
      <c r="DI137" s="51">
        <f t="shared" si="1499"/>
        <v>0</v>
      </c>
      <c r="DJ137" s="48">
        <f t="shared" si="1500"/>
        <v>0</v>
      </c>
      <c r="DK137" s="51">
        <f t="shared" si="1501"/>
        <v>0</v>
      </c>
      <c r="DL137" s="53">
        <f t="shared" si="1502"/>
        <v>0</v>
      </c>
      <c r="DM137" s="51">
        <f t="shared" si="1503"/>
        <v>0</v>
      </c>
      <c r="DN137" s="53">
        <f t="shared" si="1504"/>
        <v>0</v>
      </c>
      <c r="DO137" s="51">
        <f t="shared" si="1505"/>
        <v>0</v>
      </c>
      <c r="DP137" s="48">
        <f t="shared" si="1506"/>
        <v>0</v>
      </c>
      <c r="DQ137" s="51">
        <f t="shared" si="1507"/>
        <v>0</v>
      </c>
      <c r="DT137" s="48">
        <v>1</v>
      </c>
      <c r="DU137" s="48">
        <v>0.97</v>
      </c>
      <c r="DV137" s="48">
        <v>0.95</v>
      </c>
      <c r="DW137" s="48">
        <v>0.93</v>
      </c>
      <c r="DX137" s="48">
        <f t="shared" ref="DX137:EO137" si="1585">+DW137-0.02</f>
        <v>0.91</v>
      </c>
      <c r="DY137" s="48">
        <f t="shared" si="1585"/>
        <v>0.89</v>
      </c>
      <c r="DZ137" s="48">
        <f t="shared" si="1585"/>
        <v>0.87</v>
      </c>
      <c r="EA137" s="48">
        <f t="shared" si="1585"/>
        <v>0.85</v>
      </c>
      <c r="EB137" s="48">
        <f t="shared" si="1585"/>
        <v>0.83</v>
      </c>
      <c r="EC137" s="48">
        <f t="shared" si="1585"/>
        <v>0.80999999999999994</v>
      </c>
      <c r="ED137" s="48">
        <f t="shared" si="1585"/>
        <v>0.78999999999999992</v>
      </c>
      <c r="EE137" s="48">
        <f t="shared" si="1585"/>
        <v>0.76999999999999991</v>
      </c>
      <c r="EF137" s="48">
        <f t="shared" si="1585"/>
        <v>0.74999999999999989</v>
      </c>
      <c r="EG137" s="48">
        <f t="shared" si="1585"/>
        <v>0.72999999999999987</v>
      </c>
      <c r="EH137" s="48">
        <f t="shared" si="1585"/>
        <v>0.70999999999999985</v>
      </c>
      <c r="EI137" s="48">
        <f t="shared" si="1585"/>
        <v>0.68999999999999984</v>
      </c>
      <c r="EJ137" s="48">
        <f t="shared" si="1585"/>
        <v>0.66999999999999982</v>
      </c>
      <c r="EK137" s="48">
        <f t="shared" si="1585"/>
        <v>0.6499999999999998</v>
      </c>
      <c r="EL137" s="48">
        <f t="shared" si="1585"/>
        <v>0.62999999999999978</v>
      </c>
      <c r="EM137" s="48">
        <f t="shared" si="1585"/>
        <v>0.60999999999999976</v>
      </c>
      <c r="EN137" s="48">
        <f t="shared" si="1585"/>
        <v>0.58999999999999975</v>
      </c>
      <c r="EO137" s="48">
        <f t="shared" si="1585"/>
        <v>0.56999999999999973</v>
      </c>
      <c r="EQ137" s="48">
        <f t="shared" si="1128"/>
        <v>0</v>
      </c>
      <c r="ER137" s="48">
        <f t="shared" si="956"/>
        <v>0</v>
      </c>
      <c r="ES137" s="51">
        <f t="shared" ref="ES137" si="1586">+ER137*3.3058</f>
        <v>0</v>
      </c>
      <c r="ET137" s="48">
        <f t="shared" si="1510"/>
        <v>0</v>
      </c>
      <c r="EU137" s="51">
        <f t="shared" si="1511"/>
        <v>0</v>
      </c>
      <c r="EV137" s="48">
        <f t="shared" si="1512"/>
        <v>0</v>
      </c>
      <c r="EW137" s="51">
        <f t="shared" si="1513"/>
        <v>0</v>
      </c>
      <c r="EX137" s="48">
        <f t="shared" si="1514"/>
        <v>0</v>
      </c>
      <c r="EY137" s="51">
        <f t="shared" si="1515"/>
        <v>0</v>
      </c>
      <c r="EZ137" s="52">
        <f t="shared" si="1516"/>
        <v>0</v>
      </c>
      <c r="FA137" s="51">
        <f t="shared" si="1517"/>
        <v>0</v>
      </c>
      <c r="FB137" s="48">
        <f t="shared" si="1518"/>
        <v>0</v>
      </c>
      <c r="FC137" s="51">
        <f t="shared" si="1519"/>
        <v>0</v>
      </c>
      <c r="FD137" s="52">
        <f t="shared" si="1520"/>
        <v>0</v>
      </c>
      <c r="FE137" s="51">
        <f t="shared" si="1521"/>
        <v>0</v>
      </c>
      <c r="FF137" s="53">
        <f t="shared" si="1522"/>
        <v>0</v>
      </c>
      <c r="FG137" s="51">
        <f t="shared" si="1523"/>
        <v>0</v>
      </c>
      <c r="FH137" s="52">
        <f t="shared" si="1524"/>
        <v>0</v>
      </c>
      <c r="FI137" s="51">
        <f t="shared" si="1525"/>
        <v>0</v>
      </c>
      <c r="FJ137" s="48">
        <f t="shared" si="1526"/>
        <v>0</v>
      </c>
      <c r="FK137" s="51">
        <f t="shared" si="1527"/>
        <v>0</v>
      </c>
      <c r="FL137" s="53">
        <f t="shared" si="1528"/>
        <v>0</v>
      </c>
      <c r="FM137" s="51">
        <f t="shared" si="1529"/>
        <v>0</v>
      </c>
      <c r="FN137" s="53">
        <f t="shared" si="1530"/>
        <v>0</v>
      </c>
      <c r="FO137" s="51">
        <f t="shared" si="1531"/>
        <v>0</v>
      </c>
      <c r="FP137" s="53">
        <f t="shared" si="1532"/>
        <v>0</v>
      </c>
      <c r="FQ137" s="51">
        <f t="shared" si="1533"/>
        <v>0</v>
      </c>
      <c r="FR137" s="48">
        <f t="shared" si="1534"/>
        <v>0</v>
      </c>
      <c r="FS137" s="51">
        <f t="shared" si="1535"/>
        <v>0</v>
      </c>
      <c r="FT137" s="53">
        <f t="shared" si="1536"/>
        <v>0</v>
      </c>
      <c r="FU137" s="51">
        <f t="shared" si="1537"/>
        <v>0</v>
      </c>
      <c r="FV137" s="53">
        <f t="shared" si="1538"/>
        <v>0</v>
      </c>
      <c r="FW137" s="51">
        <f t="shared" si="1539"/>
        <v>0</v>
      </c>
      <c r="FX137" s="53">
        <f t="shared" si="1540"/>
        <v>0</v>
      </c>
      <c r="FY137" s="51">
        <f t="shared" si="1541"/>
        <v>0</v>
      </c>
      <c r="FZ137" s="53">
        <f t="shared" si="1542"/>
        <v>0</v>
      </c>
      <c r="GA137" s="51">
        <f t="shared" si="1543"/>
        <v>0</v>
      </c>
      <c r="GB137" s="48">
        <f t="shared" si="1544"/>
        <v>0</v>
      </c>
      <c r="GC137" s="51">
        <f t="shared" si="1545"/>
        <v>0</v>
      </c>
      <c r="GD137" s="53">
        <f t="shared" si="1546"/>
        <v>0</v>
      </c>
      <c r="GE137" s="51">
        <f t="shared" si="1547"/>
        <v>0</v>
      </c>
      <c r="GF137" s="53">
        <f t="shared" si="1548"/>
        <v>0</v>
      </c>
      <c r="GG137" s="51">
        <f t="shared" si="1549"/>
        <v>0</v>
      </c>
      <c r="GH137" s="48">
        <f t="shared" si="1550"/>
        <v>0</v>
      </c>
      <c r="GI137" s="51">
        <f t="shared" si="1551"/>
        <v>0</v>
      </c>
      <c r="GJ137" s="48"/>
      <c r="GK137" s="48"/>
      <c r="GL137" s="48">
        <v>1</v>
      </c>
      <c r="GM137" s="48">
        <v>0.97</v>
      </c>
      <c r="GN137" s="48">
        <v>0.95</v>
      </c>
      <c r="GO137" s="48">
        <v>0.93</v>
      </c>
      <c r="GP137" s="48">
        <f t="shared" ref="GP137:HG137" si="1587">+GO137-0.02</f>
        <v>0.91</v>
      </c>
      <c r="GQ137" s="48">
        <f t="shared" si="1587"/>
        <v>0.89</v>
      </c>
      <c r="GR137" s="48">
        <f t="shared" si="1587"/>
        <v>0.87</v>
      </c>
      <c r="GS137" s="48">
        <f t="shared" si="1587"/>
        <v>0.85</v>
      </c>
      <c r="GT137" s="48">
        <f t="shared" si="1587"/>
        <v>0.83</v>
      </c>
      <c r="GU137" s="48">
        <f t="shared" si="1587"/>
        <v>0.80999999999999994</v>
      </c>
      <c r="GV137" s="48">
        <f t="shared" si="1587"/>
        <v>0.78999999999999992</v>
      </c>
      <c r="GW137" s="48">
        <f t="shared" si="1587"/>
        <v>0.76999999999999991</v>
      </c>
      <c r="GX137" s="48">
        <f t="shared" si="1587"/>
        <v>0.74999999999999989</v>
      </c>
      <c r="GY137" s="48">
        <f t="shared" si="1587"/>
        <v>0.72999999999999987</v>
      </c>
      <c r="GZ137" s="48">
        <f t="shared" si="1587"/>
        <v>0.70999999999999985</v>
      </c>
      <c r="HA137" s="48">
        <f t="shared" si="1587"/>
        <v>0.68999999999999984</v>
      </c>
      <c r="HB137" s="48">
        <f t="shared" si="1587"/>
        <v>0.66999999999999982</v>
      </c>
      <c r="HC137" s="48">
        <f t="shared" si="1587"/>
        <v>0.6499999999999998</v>
      </c>
      <c r="HD137" s="48">
        <f t="shared" si="1587"/>
        <v>0.62999999999999978</v>
      </c>
      <c r="HE137" s="48">
        <f t="shared" si="1587"/>
        <v>0.60999999999999976</v>
      </c>
      <c r="HF137" s="48">
        <f t="shared" si="1587"/>
        <v>0.58999999999999975</v>
      </c>
      <c r="HG137" s="48">
        <f t="shared" si="1587"/>
        <v>0.56999999999999973</v>
      </c>
    </row>
    <row r="138" spans="1:215" x14ac:dyDescent="0.3">
      <c r="A138" s="2">
        <v>9</v>
      </c>
      <c r="C138" s="39" t="s">
        <v>196</v>
      </c>
      <c r="D138" s="44">
        <f>TRUNC(10837.2654578401,-1)</f>
        <v>10830</v>
      </c>
      <c r="E138" s="73">
        <f t="shared" si="1421"/>
        <v>35800</v>
      </c>
      <c r="F138" s="2" t="s">
        <v>368</v>
      </c>
      <c r="G138" s="48">
        <f t="shared" si="948"/>
        <v>11913.000000000002</v>
      </c>
      <c r="H138" s="48">
        <f t="shared" si="949"/>
        <v>11913.000000000002</v>
      </c>
      <c r="I138" s="51">
        <f t="shared" si="950"/>
        <v>39381.995400000007</v>
      </c>
      <c r="J138" s="48">
        <f t="shared" si="1422"/>
        <v>11555.61</v>
      </c>
      <c r="K138" s="51">
        <f t="shared" si="1423"/>
        <v>38200.535538000004</v>
      </c>
      <c r="L138" s="48">
        <f t="shared" si="1424"/>
        <v>11317.35</v>
      </c>
      <c r="M138" s="51">
        <f t="shared" si="1425"/>
        <v>37412.895629999999</v>
      </c>
      <c r="N138" s="48">
        <f t="shared" si="1426"/>
        <v>11079.090000000002</v>
      </c>
      <c r="O138" s="51">
        <f t="shared" si="1427"/>
        <v>36625.255722000009</v>
      </c>
      <c r="P138" s="52">
        <f t="shared" si="1428"/>
        <v>10840.830000000002</v>
      </c>
      <c r="Q138" s="51">
        <f t="shared" si="1429"/>
        <v>35837.615814000004</v>
      </c>
      <c r="R138" s="48">
        <f t="shared" si="1430"/>
        <v>10602.570000000002</v>
      </c>
      <c r="S138" s="51">
        <f t="shared" si="1431"/>
        <v>35049.975906000007</v>
      </c>
      <c r="T138" s="52">
        <f t="shared" si="1432"/>
        <v>10364.310000000001</v>
      </c>
      <c r="U138" s="51">
        <f t="shared" si="1433"/>
        <v>34262.335998000002</v>
      </c>
      <c r="V138" s="53">
        <f t="shared" si="1434"/>
        <v>10126.050000000001</v>
      </c>
      <c r="W138" s="51">
        <f t="shared" si="1435"/>
        <v>33474.696090000005</v>
      </c>
      <c r="X138" s="52">
        <f t="shared" si="1436"/>
        <v>9887.7900000000009</v>
      </c>
      <c r="Y138" s="51">
        <f t="shared" si="1437"/>
        <v>32687.056182000004</v>
      </c>
      <c r="Z138" s="48">
        <f t="shared" si="1438"/>
        <v>9649.5300000000007</v>
      </c>
      <c r="AA138" s="51">
        <f t="shared" si="1439"/>
        <v>31899.416274000003</v>
      </c>
      <c r="AB138" s="53">
        <f t="shared" si="1440"/>
        <v>9411.27</v>
      </c>
      <c r="AC138" s="51">
        <f t="shared" si="1441"/>
        <v>31111.776366000002</v>
      </c>
      <c r="AD138" s="53">
        <f t="shared" si="1442"/>
        <v>9173.01</v>
      </c>
      <c r="AE138" s="51">
        <f t="shared" si="1443"/>
        <v>30324.136458000001</v>
      </c>
      <c r="AF138" s="53">
        <f t="shared" si="1444"/>
        <v>8934.75</v>
      </c>
      <c r="AG138" s="51">
        <f t="shared" si="1445"/>
        <v>29536.49655</v>
      </c>
      <c r="AH138" s="48">
        <f t="shared" si="1446"/>
        <v>8696.49</v>
      </c>
      <c r="AI138" s="51">
        <f t="shared" si="1447"/>
        <v>28748.856641999999</v>
      </c>
      <c r="AJ138" s="53">
        <f t="shared" si="1448"/>
        <v>8458.23</v>
      </c>
      <c r="AK138" s="51">
        <f t="shared" si="1449"/>
        <v>27961.216733999998</v>
      </c>
      <c r="AL138" s="53">
        <f t="shared" si="1450"/>
        <v>8219.9699999999993</v>
      </c>
      <c r="AM138" s="51">
        <f t="shared" si="1451"/>
        <v>27173.576825999997</v>
      </c>
      <c r="AN138" s="53">
        <f t="shared" si="1452"/>
        <v>7981.7099999999991</v>
      </c>
      <c r="AO138" s="51">
        <f t="shared" si="1453"/>
        <v>26385.936917999999</v>
      </c>
      <c r="AP138" s="53">
        <f t="shared" si="1454"/>
        <v>7743.4499999999989</v>
      </c>
      <c r="AQ138" s="51">
        <f t="shared" si="1455"/>
        <v>25598.297009999998</v>
      </c>
      <c r="AR138" s="48">
        <f t="shared" si="1456"/>
        <v>7505.1899999999987</v>
      </c>
      <c r="AS138" s="51">
        <f t="shared" si="1457"/>
        <v>24810.657101999997</v>
      </c>
      <c r="AT138" s="53">
        <f t="shared" si="1458"/>
        <v>7266.9299999999985</v>
      </c>
      <c r="AU138" s="51">
        <f t="shared" si="1459"/>
        <v>24023.017193999996</v>
      </c>
      <c r="AV138" s="53">
        <f t="shared" si="1460"/>
        <v>7028.6699999999983</v>
      </c>
      <c r="AW138" s="51">
        <f t="shared" si="1461"/>
        <v>23235.377285999995</v>
      </c>
      <c r="AX138" s="48">
        <f t="shared" si="1462"/>
        <v>6790.409999999998</v>
      </c>
      <c r="AY138" s="51">
        <f t="shared" si="1463"/>
        <v>22447.737377999994</v>
      </c>
      <c r="BB138" s="48">
        <v>1</v>
      </c>
      <c r="BC138" s="48">
        <v>0.97</v>
      </c>
      <c r="BD138" s="48">
        <v>0.95</v>
      </c>
      <c r="BE138" s="48">
        <v>0.93</v>
      </c>
      <c r="BF138" s="48">
        <f t="shared" ref="BF138:BW138" si="1588">+BE138-0.02</f>
        <v>0.91</v>
      </c>
      <c r="BG138" s="48">
        <f t="shared" si="1588"/>
        <v>0.89</v>
      </c>
      <c r="BH138" s="48">
        <f t="shared" si="1588"/>
        <v>0.87</v>
      </c>
      <c r="BI138" s="48">
        <f t="shared" si="1588"/>
        <v>0.85</v>
      </c>
      <c r="BJ138" s="48">
        <f t="shared" si="1588"/>
        <v>0.83</v>
      </c>
      <c r="BK138" s="48">
        <f t="shared" si="1588"/>
        <v>0.80999999999999994</v>
      </c>
      <c r="BL138" s="48">
        <f t="shared" si="1588"/>
        <v>0.78999999999999992</v>
      </c>
      <c r="BM138" s="48">
        <f t="shared" si="1588"/>
        <v>0.76999999999999991</v>
      </c>
      <c r="BN138" s="48">
        <f t="shared" si="1588"/>
        <v>0.74999999999999989</v>
      </c>
      <c r="BO138" s="48">
        <f t="shared" si="1588"/>
        <v>0.72999999999999987</v>
      </c>
      <c r="BP138" s="48">
        <f t="shared" si="1588"/>
        <v>0.70999999999999985</v>
      </c>
      <c r="BQ138" s="48">
        <f t="shared" si="1588"/>
        <v>0.68999999999999984</v>
      </c>
      <c r="BR138" s="48">
        <f t="shared" si="1588"/>
        <v>0.66999999999999982</v>
      </c>
      <c r="BS138" s="48">
        <f t="shared" si="1588"/>
        <v>0.6499999999999998</v>
      </c>
      <c r="BT138" s="48">
        <f t="shared" si="1588"/>
        <v>0.62999999999999978</v>
      </c>
      <c r="BU138" s="48">
        <f t="shared" si="1588"/>
        <v>0.60999999999999976</v>
      </c>
      <c r="BV138" s="48">
        <f t="shared" si="1588"/>
        <v>0.58999999999999975</v>
      </c>
      <c r="BW138" s="48">
        <f t="shared" si="1588"/>
        <v>0.56999999999999973</v>
      </c>
      <c r="BY138" s="48">
        <f t="shared" si="952"/>
        <v>10840.830000000002</v>
      </c>
      <c r="BZ138" s="48">
        <f t="shared" si="953"/>
        <v>10840.830000000002</v>
      </c>
      <c r="CA138" s="51">
        <f t="shared" ref="CA138" si="1589">+BZ138*3.3058</f>
        <v>35837.615814000004</v>
      </c>
      <c r="CB138" s="48">
        <f t="shared" si="1466"/>
        <v>10515.605100000001</v>
      </c>
      <c r="CC138" s="51">
        <f t="shared" si="1467"/>
        <v>34762.487339580002</v>
      </c>
      <c r="CD138" s="48">
        <f t="shared" si="1468"/>
        <v>10298.788500000001</v>
      </c>
      <c r="CE138" s="51">
        <f t="shared" si="1469"/>
        <v>34045.735023300003</v>
      </c>
      <c r="CF138" s="48">
        <f t="shared" si="1470"/>
        <v>10081.971900000002</v>
      </c>
      <c r="CG138" s="51">
        <f t="shared" si="1471"/>
        <v>33328.982707020012</v>
      </c>
      <c r="CH138" s="52">
        <f t="shared" si="1472"/>
        <v>9865.1553000000022</v>
      </c>
      <c r="CI138" s="51">
        <f t="shared" si="1473"/>
        <v>32612.230390740009</v>
      </c>
      <c r="CJ138" s="48">
        <f t="shared" si="1474"/>
        <v>9648.3387000000021</v>
      </c>
      <c r="CK138" s="51">
        <f t="shared" si="1475"/>
        <v>31895.478074460007</v>
      </c>
      <c r="CL138" s="52">
        <f t="shared" si="1476"/>
        <v>9431.522100000002</v>
      </c>
      <c r="CM138" s="51">
        <f t="shared" si="1477"/>
        <v>31178.725758180008</v>
      </c>
      <c r="CN138" s="53">
        <f t="shared" si="1478"/>
        <v>9214.7055000000018</v>
      </c>
      <c r="CO138" s="51">
        <f t="shared" si="1479"/>
        <v>30461.973441900005</v>
      </c>
      <c r="CP138" s="52">
        <f t="shared" si="1480"/>
        <v>8997.8889000000017</v>
      </c>
      <c r="CQ138" s="51">
        <f t="shared" si="1481"/>
        <v>29745.221125620006</v>
      </c>
      <c r="CR138" s="48">
        <f t="shared" si="1482"/>
        <v>8781.0723000000016</v>
      </c>
      <c r="CS138" s="51">
        <f t="shared" si="1483"/>
        <v>29028.468809340007</v>
      </c>
      <c r="CT138" s="53">
        <f t="shared" si="1484"/>
        <v>8564.2556999999997</v>
      </c>
      <c r="CU138" s="51">
        <f t="shared" si="1485"/>
        <v>28311.716493060001</v>
      </c>
      <c r="CV138" s="53">
        <f t="shared" si="1486"/>
        <v>8347.4390999999996</v>
      </c>
      <c r="CW138" s="51">
        <f t="shared" si="1487"/>
        <v>27594.964176779999</v>
      </c>
      <c r="CX138" s="53">
        <f t="shared" si="1488"/>
        <v>8130.6225000000004</v>
      </c>
      <c r="CY138" s="51">
        <f t="shared" si="1489"/>
        <v>26878.211860500003</v>
      </c>
      <c r="CZ138" s="48">
        <f t="shared" si="1490"/>
        <v>7913.8059000000003</v>
      </c>
      <c r="DA138" s="51">
        <f t="shared" si="1491"/>
        <v>26161.459544220001</v>
      </c>
      <c r="DB138" s="53">
        <f t="shared" si="1492"/>
        <v>7696.9892999999993</v>
      </c>
      <c r="DC138" s="51">
        <f t="shared" si="1493"/>
        <v>25444.707227939998</v>
      </c>
      <c r="DD138" s="53">
        <f t="shared" si="1494"/>
        <v>7480.1726999999992</v>
      </c>
      <c r="DE138" s="51">
        <f t="shared" si="1495"/>
        <v>24727.954911659999</v>
      </c>
      <c r="DF138" s="53">
        <f t="shared" si="1496"/>
        <v>7263.3560999999991</v>
      </c>
      <c r="DG138" s="51">
        <f t="shared" si="1497"/>
        <v>24011.202595379997</v>
      </c>
      <c r="DH138" s="53">
        <f t="shared" si="1498"/>
        <v>7046.539499999999</v>
      </c>
      <c r="DI138" s="51">
        <f t="shared" si="1499"/>
        <v>23294.450279099998</v>
      </c>
      <c r="DJ138" s="48">
        <f t="shared" si="1500"/>
        <v>6829.7228999999988</v>
      </c>
      <c r="DK138" s="51">
        <f t="shared" si="1501"/>
        <v>22577.697962819995</v>
      </c>
      <c r="DL138" s="53">
        <f t="shared" si="1502"/>
        <v>6612.9062999999987</v>
      </c>
      <c r="DM138" s="51">
        <f t="shared" si="1503"/>
        <v>21860.945646539996</v>
      </c>
      <c r="DN138" s="53">
        <f t="shared" si="1504"/>
        <v>6396.0896999999986</v>
      </c>
      <c r="DO138" s="51">
        <f t="shared" si="1505"/>
        <v>21144.193330259997</v>
      </c>
      <c r="DP138" s="48">
        <f t="shared" si="1506"/>
        <v>6179.2730999999976</v>
      </c>
      <c r="DQ138" s="51">
        <f t="shared" si="1507"/>
        <v>20427.441013979991</v>
      </c>
      <c r="DT138" s="48">
        <v>1</v>
      </c>
      <c r="DU138" s="48">
        <v>0.97</v>
      </c>
      <c r="DV138" s="48">
        <v>0.95</v>
      </c>
      <c r="DW138" s="48">
        <v>0.93</v>
      </c>
      <c r="DX138" s="48">
        <f t="shared" ref="DX138:EO138" si="1590">+DW138-0.02</f>
        <v>0.91</v>
      </c>
      <c r="DY138" s="48">
        <f t="shared" si="1590"/>
        <v>0.89</v>
      </c>
      <c r="DZ138" s="48">
        <f t="shared" si="1590"/>
        <v>0.87</v>
      </c>
      <c r="EA138" s="48">
        <f t="shared" si="1590"/>
        <v>0.85</v>
      </c>
      <c r="EB138" s="48">
        <f t="shared" si="1590"/>
        <v>0.83</v>
      </c>
      <c r="EC138" s="48">
        <f t="shared" si="1590"/>
        <v>0.80999999999999994</v>
      </c>
      <c r="ED138" s="48">
        <f t="shared" si="1590"/>
        <v>0.78999999999999992</v>
      </c>
      <c r="EE138" s="48">
        <f t="shared" si="1590"/>
        <v>0.76999999999999991</v>
      </c>
      <c r="EF138" s="48">
        <f t="shared" si="1590"/>
        <v>0.74999999999999989</v>
      </c>
      <c r="EG138" s="48">
        <f t="shared" si="1590"/>
        <v>0.72999999999999987</v>
      </c>
      <c r="EH138" s="48">
        <f t="shared" si="1590"/>
        <v>0.70999999999999985</v>
      </c>
      <c r="EI138" s="48">
        <f t="shared" si="1590"/>
        <v>0.68999999999999984</v>
      </c>
      <c r="EJ138" s="48">
        <f t="shared" si="1590"/>
        <v>0.66999999999999982</v>
      </c>
      <c r="EK138" s="48">
        <f t="shared" si="1590"/>
        <v>0.6499999999999998</v>
      </c>
      <c r="EL138" s="48">
        <f t="shared" si="1590"/>
        <v>0.62999999999999978</v>
      </c>
      <c r="EM138" s="48">
        <f t="shared" si="1590"/>
        <v>0.60999999999999976</v>
      </c>
      <c r="EN138" s="48">
        <f t="shared" si="1590"/>
        <v>0.58999999999999975</v>
      </c>
      <c r="EO138" s="48">
        <f t="shared" si="1590"/>
        <v>0.56999999999999973</v>
      </c>
      <c r="EQ138" s="48">
        <f t="shared" si="1128"/>
        <v>9865.1553000000022</v>
      </c>
      <c r="ER138" s="48">
        <f t="shared" si="956"/>
        <v>9865.1553000000022</v>
      </c>
      <c r="ES138" s="51">
        <f t="shared" ref="ES138" si="1591">+ER138*3.3058</f>
        <v>32612.230390740009</v>
      </c>
      <c r="ET138" s="48">
        <f t="shared" si="1510"/>
        <v>9569.2006410000013</v>
      </c>
      <c r="EU138" s="51">
        <f t="shared" si="1511"/>
        <v>31633.863479017804</v>
      </c>
      <c r="EV138" s="48">
        <f t="shared" si="1512"/>
        <v>9371.8975350000019</v>
      </c>
      <c r="EW138" s="51">
        <f t="shared" si="1513"/>
        <v>30981.618871203005</v>
      </c>
      <c r="EX138" s="48">
        <f t="shared" si="1514"/>
        <v>9174.5944290000025</v>
      </c>
      <c r="EY138" s="51">
        <f t="shared" si="1515"/>
        <v>30329.37426338821</v>
      </c>
      <c r="EZ138" s="52">
        <f t="shared" si="1516"/>
        <v>8977.2913230000031</v>
      </c>
      <c r="FA138" s="51">
        <f t="shared" si="1517"/>
        <v>29677.129655573412</v>
      </c>
      <c r="FB138" s="48">
        <f t="shared" si="1518"/>
        <v>8779.9882170000019</v>
      </c>
      <c r="FC138" s="51">
        <f t="shared" si="1519"/>
        <v>29024.885047758606</v>
      </c>
      <c r="FD138" s="52">
        <f t="shared" si="1520"/>
        <v>8582.6851110000025</v>
      </c>
      <c r="FE138" s="51">
        <f t="shared" si="1521"/>
        <v>28372.640439943811</v>
      </c>
      <c r="FF138" s="53">
        <f t="shared" si="1522"/>
        <v>8385.3820050000013</v>
      </c>
      <c r="FG138" s="51">
        <f t="shared" si="1523"/>
        <v>27720.395832129005</v>
      </c>
      <c r="FH138" s="52">
        <f t="shared" si="1524"/>
        <v>8188.078899000001</v>
      </c>
      <c r="FI138" s="51">
        <f t="shared" si="1525"/>
        <v>27068.151224314202</v>
      </c>
      <c r="FJ138" s="48">
        <f t="shared" si="1526"/>
        <v>7990.7757930000016</v>
      </c>
      <c r="FK138" s="51">
        <f t="shared" si="1527"/>
        <v>26415.906616499407</v>
      </c>
      <c r="FL138" s="53">
        <f t="shared" si="1528"/>
        <v>7793.4726870000013</v>
      </c>
      <c r="FM138" s="51">
        <f t="shared" si="1529"/>
        <v>25763.662008684605</v>
      </c>
      <c r="FN138" s="53">
        <f t="shared" si="1530"/>
        <v>7596.169581000001</v>
      </c>
      <c r="FO138" s="51">
        <f t="shared" si="1531"/>
        <v>25111.417400869803</v>
      </c>
      <c r="FP138" s="53">
        <f t="shared" si="1532"/>
        <v>7398.8664750000007</v>
      </c>
      <c r="FQ138" s="51">
        <f t="shared" si="1533"/>
        <v>24459.172793055004</v>
      </c>
      <c r="FR138" s="48">
        <f t="shared" si="1534"/>
        <v>7201.5633690000004</v>
      </c>
      <c r="FS138" s="51">
        <f t="shared" si="1535"/>
        <v>23806.928185240202</v>
      </c>
      <c r="FT138" s="53">
        <f t="shared" si="1536"/>
        <v>7004.2602630000001</v>
      </c>
      <c r="FU138" s="51">
        <f t="shared" si="1537"/>
        <v>23154.6835774254</v>
      </c>
      <c r="FV138" s="53">
        <f t="shared" si="1538"/>
        <v>6806.9571569999998</v>
      </c>
      <c r="FW138" s="51">
        <f t="shared" si="1539"/>
        <v>22502.438969610601</v>
      </c>
      <c r="FX138" s="53">
        <f t="shared" si="1540"/>
        <v>6609.6540509999995</v>
      </c>
      <c r="FY138" s="51">
        <f t="shared" si="1541"/>
        <v>21850.194361795799</v>
      </c>
      <c r="FZ138" s="53">
        <f t="shared" si="1542"/>
        <v>6412.3509449999992</v>
      </c>
      <c r="GA138" s="51">
        <f t="shared" si="1543"/>
        <v>21197.949753980996</v>
      </c>
      <c r="GB138" s="48">
        <f t="shared" si="1544"/>
        <v>6215.0478389999989</v>
      </c>
      <c r="GC138" s="51">
        <f t="shared" si="1545"/>
        <v>20545.705146166198</v>
      </c>
      <c r="GD138" s="53">
        <f t="shared" si="1546"/>
        <v>6017.7447329999986</v>
      </c>
      <c r="GE138" s="51">
        <f t="shared" si="1547"/>
        <v>19893.460538351395</v>
      </c>
      <c r="GF138" s="53">
        <f t="shared" si="1548"/>
        <v>5820.4416269999983</v>
      </c>
      <c r="GG138" s="51">
        <f t="shared" si="1549"/>
        <v>19241.215930536597</v>
      </c>
      <c r="GH138" s="48">
        <f t="shared" si="1550"/>
        <v>5623.1385209999989</v>
      </c>
      <c r="GI138" s="51">
        <f t="shared" si="1551"/>
        <v>18588.971322721798</v>
      </c>
      <c r="GJ138" s="48"/>
      <c r="GK138" s="48"/>
      <c r="GL138" s="48">
        <v>1</v>
      </c>
      <c r="GM138" s="48">
        <v>0.97</v>
      </c>
      <c r="GN138" s="48">
        <v>0.95</v>
      </c>
      <c r="GO138" s="48">
        <v>0.93</v>
      </c>
      <c r="GP138" s="48">
        <f t="shared" ref="GP138:HG138" si="1592">+GO138-0.02</f>
        <v>0.91</v>
      </c>
      <c r="GQ138" s="48">
        <f t="shared" si="1592"/>
        <v>0.89</v>
      </c>
      <c r="GR138" s="48">
        <f t="shared" si="1592"/>
        <v>0.87</v>
      </c>
      <c r="GS138" s="48">
        <f t="shared" si="1592"/>
        <v>0.85</v>
      </c>
      <c r="GT138" s="48">
        <f t="shared" si="1592"/>
        <v>0.83</v>
      </c>
      <c r="GU138" s="48">
        <f t="shared" si="1592"/>
        <v>0.80999999999999994</v>
      </c>
      <c r="GV138" s="48">
        <f t="shared" si="1592"/>
        <v>0.78999999999999992</v>
      </c>
      <c r="GW138" s="48">
        <f t="shared" si="1592"/>
        <v>0.76999999999999991</v>
      </c>
      <c r="GX138" s="48">
        <f t="shared" si="1592"/>
        <v>0.74999999999999989</v>
      </c>
      <c r="GY138" s="48">
        <f t="shared" si="1592"/>
        <v>0.72999999999999987</v>
      </c>
      <c r="GZ138" s="48">
        <f t="shared" si="1592"/>
        <v>0.70999999999999985</v>
      </c>
      <c r="HA138" s="48">
        <f t="shared" si="1592"/>
        <v>0.68999999999999984</v>
      </c>
      <c r="HB138" s="48">
        <f t="shared" si="1592"/>
        <v>0.66999999999999982</v>
      </c>
      <c r="HC138" s="48">
        <f t="shared" si="1592"/>
        <v>0.6499999999999998</v>
      </c>
      <c r="HD138" s="48">
        <f t="shared" si="1592"/>
        <v>0.62999999999999978</v>
      </c>
      <c r="HE138" s="48">
        <f t="shared" si="1592"/>
        <v>0.60999999999999976</v>
      </c>
      <c r="HF138" s="48">
        <f t="shared" si="1592"/>
        <v>0.58999999999999975</v>
      </c>
      <c r="HG138" s="48">
        <f t="shared" si="1592"/>
        <v>0.56999999999999973</v>
      </c>
    </row>
    <row r="139" spans="1:215" ht="17.25" thickBot="1" x14ac:dyDescent="0.35">
      <c r="A139" s="2">
        <v>10</v>
      </c>
      <c r="C139" s="39" t="s">
        <v>156</v>
      </c>
      <c r="D139" s="45">
        <v>0</v>
      </c>
      <c r="E139" s="74">
        <f t="shared" si="1421"/>
        <v>0</v>
      </c>
      <c r="G139" s="48">
        <f t="shared" si="948"/>
        <v>0</v>
      </c>
      <c r="H139" s="48">
        <f t="shared" si="949"/>
        <v>0</v>
      </c>
      <c r="I139" s="51">
        <f t="shared" si="950"/>
        <v>0</v>
      </c>
      <c r="J139" s="48">
        <f t="shared" si="1422"/>
        <v>0</v>
      </c>
      <c r="K139" s="51">
        <f t="shared" si="1423"/>
        <v>0</v>
      </c>
      <c r="L139" s="48">
        <f t="shared" si="1424"/>
        <v>0</v>
      </c>
      <c r="M139" s="51">
        <f t="shared" si="1425"/>
        <v>0</v>
      </c>
      <c r="N139" s="48">
        <f t="shared" si="1426"/>
        <v>0</v>
      </c>
      <c r="O139" s="51">
        <f t="shared" si="1427"/>
        <v>0</v>
      </c>
      <c r="P139" s="52">
        <f t="shared" si="1428"/>
        <v>0</v>
      </c>
      <c r="Q139" s="51">
        <f t="shared" si="1429"/>
        <v>0</v>
      </c>
      <c r="R139" s="48">
        <f t="shared" si="1430"/>
        <v>0</v>
      </c>
      <c r="S139" s="51">
        <f t="shared" si="1431"/>
        <v>0</v>
      </c>
      <c r="T139" s="52">
        <f t="shared" si="1432"/>
        <v>0</v>
      </c>
      <c r="U139" s="51">
        <f t="shared" si="1433"/>
        <v>0</v>
      </c>
      <c r="V139" s="53">
        <f t="shared" si="1434"/>
        <v>0</v>
      </c>
      <c r="W139" s="51">
        <f t="shared" si="1435"/>
        <v>0</v>
      </c>
      <c r="X139" s="52">
        <f t="shared" si="1436"/>
        <v>0</v>
      </c>
      <c r="Y139" s="51">
        <f t="shared" si="1437"/>
        <v>0</v>
      </c>
      <c r="Z139" s="48">
        <f t="shared" si="1438"/>
        <v>0</v>
      </c>
      <c r="AA139" s="51">
        <f t="shared" si="1439"/>
        <v>0</v>
      </c>
      <c r="AB139" s="53">
        <f t="shared" si="1440"/>
        <v>0</v>
      </c>
      <c r="AC139" s="51">
        <f t="shared" si="1441"/>
        <v>0</v>
      </c>
      <c r="AD139" s="53">
        <f t="shared" si="1442"/>
        <v>0</v>
      </c>
      <c r="AE139" s="51">
        <f t="shared" si="1443"/>
        <v>0</v>
      </c>
      <c r="AF139" s="53">
        <f t="shared" si="1444"/>
        <v>0</v>
      </c>
      <c r="AG139" s="51">
        <f t="shared" si="1445"/>
        <v>0</v>
      </c>
      <c r="AH139" s="48">
        <f t="shared" si="1446"/>
        <v>0</v>
      </c>
      <c r="AI139" s="51">
        <f t="shared" si="1447"/>
        <v>0</v>
      </c>
      <c r="AJ139" s="53">
        <f t="shared" si="1448"/>
        <v>0</v>
      </c>
      <c r="AK139" s="51">
        <f t="shared" si="1449"/>
        <v>0</v>
      </c>
      <c r="AL139" s="53">
        <f t="shared" si="1450"/>
        <v>0</v>
      </c>
      <c r="AM139" s="51">
        <f t="shared" si="1451"/>
        <v>0</v>
      </c>
      <c r="AN139" s="53">
        <f t="shared" si="1452"/>
        <v>0</v>
      </c>
      <c r="AO139" s="51">
        <f t="shared" si="1453"/>
        <v>0</v>
      </c>
      <c r="AP139" s="53">
        <f t="shared" si="1454"/>
        <v>0</v>
      </c>
      <c r="AQ139" s="51">
        <f t="shared" si="1455"/>
        <v>0</v>
      </c>
      <c r="AR139" s="48">
        <f t="shared" si="1456"/>
        <v>0</v>
      </c>
      <c r="AS139" s="51">
        <f t="shared" si="1457"/>
        <v>0</v>
      </c>
      <c r="AT139" s="53">
        <f t="shared" si="1458"/>
        <v>0</v>
      </c>
      <c r="AU139" s="51">
        <f t="shared" si="1459"/>
        <v>0</v>
      </c>
      <c r="AV139" s="53">
        <f t="shared" si="1460"/>
        <v>0</v>
      </c>
      <c r="AW139" s="51">
        <f t="shared" si="1461"/>
        <v>0</v>
      </c>
      <c r="AX139" s="48">
        <f t="shared" si="1462"/>
        <v>0</v>
      </c>
      <c r="AY139" s="51">
        <f t="shared" si="1463"/>
        <v>0</v>
      </c>
      <c r="BB139" s="48">
        <v>1</v>
      </c>
      <c r="BC139" s="48">
        <v>0.97</v>
      </c>
      <c r="BD139" s="48">
        <v>0.95</v>
      </c>
      <c r="BE139" s="48">
        <v>0.93</v>
      </c>
      <c r="BF139" s="48">
        <f t="shared" ref="BF139:BW139" si="1593">+BE139-0.02</f>
        <v>0.91</v>
      </c>
      <c r="BG139" s="48">
        <f t="shared" si="1593"/>
        <v>0.89</v>
      </c>
      <c r="BH139" s="48">
        <f t="shared" si="1593"/>
        <v>0.87</v>
      </c>
      <c r="BI139" s="48">
        <f t="shared" si="1593"/>
        <v>0.85</v>
      </c>
      <c r="BJ139" s="48">
        <f t="shared" si="1593"/>
        <v>0.83</v>
      </c>
      <c r="BK139" s="48">
        <f t="shared" si="1593"/>
        <v>0.80999999999999994</v>
      </c>
      <c r="BL139" s="48">
        <f t="shared" si="1593"/>
        <v>0.78999999999999992</v>
      </c>
      <c r="BM139" s="48">
        <f t="shared" si="1593"/>
        <v>0.76999999999999991</v>
      </c>
      <c r="BN139" s="48">
        <f t="shared" si="1593"/>
        <v>0.74999999999999989</v>
      </c>
      <c r="BO139" s="48">
        <f t="shared" si="1593"/>
        <v>0.72999999999999987</v>
      </c>
      <c r="BP139" s="48">
        <f t="shared" si="1593"/>
        <v>0.70999999999999985</v>
      </c>
      <c r="BQ139" s="48">
        <f t="shared" si="1593"/>
        <v>0.68999999999999984</v>
      </c>
      <c r="BR139" s="48">
        <f t="shared" si="1593"/>
        <v>0.66999999999999982</v>
      </c>
      <c r="BS139" s="48">
        <f t="shared" si="1593"/>
        <v>0.6499999999999998</v>
      </c>
      <c r="BT139" s="48">
        <f t="shared" si="1593"/>
        <v>0.62999999999999978</v>
      </c>
      <c r="BU139" s="48">
        <f t="shared" si="1593"/>
        <v>0.60999999999999976</v>
      </c>
      <c r="BV139" s="48">
        <f t="shared" si="1593"/>
        <v>0.58999999999999975</v>
      </c>
      <c r="BW139" s="48">
        <f t="shared" si="1593"/>
        <v>0.56999999999999973</v>
      </c>
      <c r="BY139" s="48">
        <f t="shared" si="952"/>
        <v>0</v>
      </c>
      <c r="BZ139" s="48">
        <f t="shared" si="953"/>
        <v>0</v>
      </c>
      <c r="CA139" s="51">
        <f t="shared" ref="CA139" si="1594">+BZ139*3.3058</f>
        <v>0</v>
      </c>
      <c r="CB139" s="48">
        <f t="shared" si="1466"/>
        <v>0</v>
      </c>
      <c r="CC139" s="51">
        <f t="shared" si="1467"/>
        <v>0</v>
      </c>
      <c r="CD139" s="48">
        <f t="shared" si="1468"/>
        <v>0</v>
      </c>
      <c r="CE139" s="51">
        <f t="shared" si="1469"/>
        <v>0</v>
      </c>
      <c r="CF139" s="48">
        <f t="shared" si="1470"/>
        <v>0</v>
      </c>
      <c r="CG139" s="51">
        <f t="shared" si="1471"/>
        <v>0</v>
      </c>
      <c r="CH139" s="52">
        <f t="shared" si="1472"/>
        <v>0</v>
      </c>
      <c r="CI139" s="51">
        <f t="shared" si="1473"/>
        <v>0</v>
      </c>
      <c r="CJ139" s="48">
        <f t="shared" si="1474"/>
        <v>0</v>
      </c>
      <c r="CK139" s="51">
        <f t="shared" si="1475"/>
        <v>0</v>
      </c>
      <c r="CL139" s="52">
        <f t="shared" si="1476"/>
        <v>0</v>
      </c>
      <c r="CM139" s="51">
        <f t="shared" si="1477"/>
        <v>0</v>
      </c>
      <c r="CN139" s="53">
        <f t="shared" si="1478"/>
        <v>0</v>
      </c>
      <c r="CO139" s="51">
        <f t="shared" si="1479"/>
        <v>0</v>
      </c>
      <c r="CP139" s="52">
        <f t="shared" si="1480"/>
        <v>0</v>
      </c>
      <c r="CQ139" s="51">
        <f t="shared" si="1481"/>
        <v>0</v>
      </c>
      <c r="CR139" s="48">
        <f t="shared" si="1482"/>
        <v>0</v>
      </c>
      <c r="CS139" s="51">
        <f t="shared" si="1483"/>
        <v>0</v>
      </c>
      <c r="CT139" s="53">
        <f t="shared" si="1484"/>
        <v>0</v>
      </c>
      <c r="CU139" s="51">
        <f t="shared" si="1485"/>
        <v>0</v>
      </c>
      <c r="CV139" s="53">
        <f t="shared" si="1486"/>
        <v>0</v>
      </c>
      <c r="CW139" s="51">
        <f t="shared" si="1487"/>
        <v>0</v>
      </c>
      <c r="CX139" s="53">
        <f t="shared" si="1488"/>
        <v>0</v>
      </c>
      <c r="CY139" s="51">
        <f t="shared" si="1489"/>
        <v>0</v>
      </c>
      <c r="CZ139" s="48">
        <f t="shared" si="1490"/>
        <v>0</v>
      </c>
      <c r="DA139" s="51">
        <f t="shared" si="1491"/>
        <v>0</v>
      </c>
      <c r="DB139" s="53">
        <f t="shared" si="1492"/>
        <v>0</v>
      </c>
      <c r="DC139" s="51">
        <f t="shared" si="1493"/>
        <v>0</v>
      </c>
      <c r="DD139" s="53">
        <f t="shared" si="1494"/>
        <v>0</v>
      </c>
      <c r="DE139" s="51">
        <f t="shared" si="1495"/>
        <v>0</v>
      </c>
      <c r="DF139" s="53">
        <f t="shared" si="1496"/>
        <v>0</v>
      </c>
      <c r="DG139" s="51">
        <f t="shared" si="1497"/>
        <v>0</v>
      </c>
      <c r="DH139" s="53">
        <f t="shared" si="1498"/>
        <v>0</v>
      </c>
      <c r="DI139" s="51">
        <f t="shared" si="1499"/>
        <v>0</v>
      </c>
      <c r="DJ139" s="48">
        <f t="shared" si="1500"/>
        <v>0</v>
      </c>
      <c r="DK139" s="51">
        <f t="shared" si="1501"/>
        <v>0</v>
      </c>
      <c r="DL139" s="53">
        <f t="shared" si="1502"/>
        <v>0</v>
      </c>
      <c r="DM139" s="51">
        <f t="shared" si="1503"/>
        <v>0</v>
      </c>
      <c r="DN139" s="53">
        <f t="shared" si="1504"/>
        <v>0</v>
      </c>
      <c r="DO139" s="51">
        <f t="shared" si="1505"/>
        <v>0</v>
      </c>
      <c r="DP139" s="48">
        <f t="shared" si="1506"/>
        <v>0</v>
      </c>
      <c r="DQ139" s="51">
        <f t="shared" si="1507"/>
        <v>0</v>
      </c>
      <c r="DT139" s="48">
        <v>1</v>
      </c>
      <c r="DU139" s="48">
        <v>0.97</v>
      </c>
      <c r="DV139" s="48">
        <v>0.95</v>
      </c>
      <c r="DW139" s="48">
        <v>0.93</v>
      </c>
      <c r="DX139" s="48">
        <f t="shared" ref="DX139:EO139" si="1595">+DW139-0.02</f>
        <v>0.91</v>
      </c>
      <c r="DY139" s="48">
        <f t="shared" si="1595"/>
        <v>0.89</v>
      </c>
      <c r="DZ139" s="48">
        <f t="shared" si="1595"/>
        <v>0.87</v>
      </c>
      <c r="EA139" s="48">
        <f t="shared" si="1595"/>
        <v>0.85</v>
      </c>
      <c r="EB139" s="48">
        <f t="shared" si="1595"/>
        <v>0.83</v>
      </c>
      <c r="EC139" s="48">
        <f t="shared" si="1595"/>
        <v>0.80999999999999994</v>
      </c>
      <c r="ED139" s="48">
        <f t="shared" si="1595"/>
        <v>0.78999999999999992</v>
      </c>
      <c r="EE139" s="48">
        <f t="shared" si="1595"/>
        <v>0.76999999999999991</v>
      </c>
      <c r="EF139" s="48">
        <f t="shared" si="1595"/>
        <v>0.74999999999999989</v>
      </c>
      <c r="EG139" s="48">
        <f t="shared" si="1595"/>
        <v>0.72999999999999987</v>
      </c>
      <c r="EH139" s="48">
        <f t="shared" si="1595"/>
        <v>0.70999999999999985</v>
      </c>
      <c r="EI139" s="48">
        <f t="shared" si="1595"/>
        <v>0.68999999999999984</v>
      </c>
      <c r="EJ139" s="48">
        <f t="shared" si="1595"/>
        <v>0.66999999999999982</v>
      </c>
      <c r="EK139" s="48">
        <f t="shared" si="1595"/>
        <v>0.6499999999999998</v>
      </c>
      <c r="EL139" s="48">
        <f t="shared" si="1595"/>
        <v>0.62999999999999978</v>
      </c>
      <c r="EM139" s="48">
        <f t="shared" si="1595"/>
        <v>0.60999999999999976</v>
      </c>
      <c r="EN139" s="48">
        <f t="shared" si="1595"/>
        <v>0.58999999999999975</v>
      </c>
      <c r="EO139" s="48">
        <f t="shared" si="1595"/>
        <v>0.56999999999999973</v>
      </c>
      <c r="EQ139" s="48">
        <f t="shared" si="1128"/>
        <v>0</v>
      </c>
      <c r="ER139" s="48">
        <f t="shared" si="956"/>
        <v>0</v>
      </c>
      <c r="ES139" s="51">
        <f t="shared" ref="ES139" si="1596">+ER139*3.3058</f>
        <v>0</v>
      </c>
      <c r="ET139" s="48">
        <f t="shared" si="1510"/>
        <v>0</v>
      </c>
      <c r="EU139" s="51">
        <f t="shared" si="1511"/>
        <v>0</v>
      </c>
      <c r="EV139" s="48">
        <f t="shared" si="1512"/>
        <v>0</v>
      </c>
      <c r="EW139" s="51">
        <f t="shared" si="1513"/>
        <v>0</v>
      </c>
      <c r="EX139" s="48">
        <f t="shared" si="1514"/>
        <v>0</v>
      </c>
      <c r="EY139" s="51">
        <f t="shared" si="1515"/>
        <v>0</v>
      </c>
      <c r="EZ139" s="52">
        <f t="shared" si="1516"/>
        <v>0</v>
      </c>
      <c r="FA139" s="51">
        <f t="shared" si="1517"/>
        <v>0</v>
      </c>
      <c r="FB139" s="48">
        <f t="shared" si="1518"/>
        <v>0</v>
      </c>
      <c r="FC139" s="51">
        <f t="shared" si="1519"/>
        <v>0</v>
      </c>
      <c r="FD139" s="52">
        <f t="shared" si="1520"/>
        <v>0</v>
      </c>
      <c r="FE139" s="51">
        <f t="shared" si="1521"/>
        <v>0</v>
      </c>
      <c r="FF139" s="53">
        <f t="shared" si="1522"/>
        <v>0</v>
      </c>
      <c r="FG139" s="51">
        <f t="shared" si="1523"/>
        <v>0</v>
      </c>
      <c r="FH139" s="52">
        <f t="shared" si="1524"/>
        <v>0</v>
      </c>
      <c r="FI139" s="51">
        <f t="shared" si="1525"/>
        <v>0</v>
      </c>
      <c r="FJ139" s="48">
        <f t="shared" si="1526"/>
        <v>0</v>
      </c>
      <c r="FK139" s="51">
        <f t="shared" si="1527"/>
        <v>0</v>
      </c>
      <c r="FL139" s="53">
        <f t="shared" si="1528"/>
        <v>0</v>
      </c>
      <c r="FM139" s="51">
        <f t="shared" si="1529"/>
        <v>0</v>
      </c>
      <c r="FN139" s="53">
        <f t="shared" si="1530"/>
        <v>0</v>
      </c>
      <c r="FO139" s="51">
        <f t="shared" si="1531"/>
        <v>0</v>
      </c>
      <c r="FP139" s="53">
        <f t="shared" si="1532"/>
        <v>0</v>
      </c>
      <c r="FQ139" s="51">
        <f t="shared" si="1533"/>
        <v>0</v>
      </c>
      <c r="FR139" s="48">
        <f t="shared" si="1534"/>
        <v>0</v>
      </c>
      <c r="FS139" s="51">
        <f t="shared" si="1535"/>
        <v>0</v>
      </c>
      <c r="FT139" s="53">
        <f t="shared" si="1536"/>
        <v>0</v>
      </c>
      <c r="FU139" s="51">
        <f t="shared" si="1537"/>
        <v>0</v>
      </c>
      <c r="FV139" s="53">
        <f t="shared" si="1538"/>
        <v>0</v>
      </c>
      <c r="FW139" s="51">
        <f t="shared" si="1539"/>
        <v>0</v>
      </c>
      <c r="FX139" s="53">
        <f t="shared" si="1540"/>
        <v>0</v>
      </c>
      <c r="FY139" s="51">
        <f t="shared" si="1541"/>
        <v>0</v>
      </c>
      <c r="FZ139" s="53">
        <f t="shared" si="1542"/>
        <v>0</v>
      </c>
      <c r="GA139" s="51">
        <f t="shared" si="1543"/>
        <v>0</v>
      </c>
      <c r="GB139" s="48">
        <f t="shared" si="1544"/>
        <v>0</v>
      </c>
      <c r="GC139" s="51">
        <f t="shared" si="1545"/>
        <v>0</v>
      </c>
      <c r="GD139" s="53">
        <f t="shared" si="1546"/>
        <v>0</v>
      </c>
      <c r="GE139" s="51">
        <f t="shared" si="1547"/>
        <v>0</v>
      </c>
      <c r="GF139" s="53">
        <f t="shared" si="1548"/>
        <v>0</v>
      </c>
      <c r="GG139" s="51">
        <f t="shared" si="1549"/>
        <v>0</v>
      </c>
      <c r="GH139" s="48">
        <f t="shared" si="1550"/>
        <v>0</v>
      </c>
      <c r="GI139" s="51">
        <f t="shared" si="1551"/>
        <v>0</v>
      </c>
      <c r="GJ139" s="48"/>
      <c r="GK139" s="48"/>
      <c r="GL139" s="48">
        <v>1</v>
      </c>
      <c r="GM139" s="48">
        <v>0.97</v>
      </c>
      <c r="GN139" s="48">
        <v>0.95</v>
      </c>
      <c r="GO139" s="48">
        <v>0.93</v>
      </c>
      <c r="GP139" s="48">
        <f t="shared" ref="GP139:HG139" si="1597">+GO139-0.02</f>
        <v>0.91</v>
      </c>
      <c r="GQ139" s="48">
        <f t="shared" si="1597"/>
        <v>0.89</v>
      </c>
      <c r="GR139" s="48">
        <f t="shared" si="1597"/>
        <v>0.87</v>
      </c>
      <c r="GS139" s="48">
        <f t="shared" si="1597"/>
        <v>0.85</v>
      </c>
      <c r="GT139" s="48">
        <f t="shared" si="1597"/>
        <v>0.83</v>
      </c>
      <c r="GU139" s="48">
        <f t="shared" si="1597"/>
        <v>0.80999999999999994</v>
      </c>
      <c r="GV139" s="48">
        <f t="shared" si="1597"/>
        <v>0.78999999999999992</v>
      </c>
      <c r="GW139" s="48">
        <f t="shared" si="1597"/>
        <v>0.76999999999999991</v>
      </c>
      <c r="GX139" s="48">
        <f t="shared" si="1597"/>
        <v>0.74999999999999989</v>
      </c>
      <c r="GY139" s="48">
        <f t="shared" si="1597"/>
        <v>0.72999999999999987</v>
      </c>
      <c r="GZ139" s="48">
        <f t="shared" si="1597"/>
        <v>0.70999999999999985</v>
      </c>
      <c r="HA139" s="48">
        <f t="shared" si="1597"/>
        <v>0.68999999999999984</v>
      </c>
      <c r="HB139" s="48">
        <f t="shared" si="1597"/>
        <v>0.66999999999999982</v>
      </c>
      <c r="HC139" s="48">
        <f t="shared" si="1597"/>
        <v>0.6499999999999998</v>
      </c>
      <c r="HD139" s="48">
        <f t="shared" si="1597"/>
        <v>0.62999999999999978</v>
      </c>
      <c r="HE139" s="48">
        <f t="shared" si="1597"/>
        <v>0.60999999999999976</v>
      </c>
      <c r="HF139" s="48">
        <f t="shared" si="1597"/>
        <v>0.58999999999999975</v>
      </c>
      <c r="HG139" s="48">
        <f t="shared" si="1597"/>
        <v>0.56999999999999973</v>
      </c>
    </row>
    <row r="140" spans="1:215" x14ac:dyDescent="0.3">
      <c r="A140" s="2">
        <v>11</v>
      </c>
      <c r="C140" s="27" t="s">
        <v>158</v>
      </c>
      <c r="D140" s="40">
        <f>SUM(D130:D139)</f>
        <v>38690</v>
      </c>
      <c r="E140" s="40">
        <f>SUM(E130:E139)</f>
        <v>127890</v>
      </c>
      <c r="G140" s="48">
        <f t="shared" si="948"/>
        <v>42559</v>
      </c>
      <c r="H140" s="48">
        <f t="shared" si="949"/>
        <v>42559</v>
      </c>
      <c r="I140" s="51">
        <f t="shared" si="950"/>
        <v>140691.5422</v>
      </c>
      <c r="J140" s="48">
        <f t="shared" si="1422"/>
        <v>41282.229999999996</v>
      </c>
      <c r="K140" s="51">
        <f t="shared" si="1423"/>
        <v>136470.79593399999</v>
      </c>
      <c r="L140" s="48">
        <f t="shared" si="1424"/>
        <v>40431.049999999996</v>
      </c>
      <c r="M140" s="51">
        <f t="shared" si="1425"/>
        <v>133656.96508999998</v>
      </c>
      <c r="N140" s="48">
        <f t="shared" si="1426"/>
        <v>39579.870000000003</v>
      </c>
      <c r="O140" s="51">
        <f t="shared" si="1427"/>
        <v>130843.13424600002</v>
      </c>
      <c r="P140" s="52">
        <f t="shared" si="1428"/>
        <v>38728.69</v>
      </c>
      <c r="Q140" s="51">
        <f t="shared" si="1429"/>
        <v>128029.30340200001</v>
      </c>
      <c r="R140" s="48">
        <f t="shared" si="1430"/>
        <v>37877.51</v>
      </c>
      <c r="S140" s="51">
        <f t="shared" si="1431"/>
        <v>125215.47255800001</v>
      </c>
      <c r="T140" s="52">
        <f t="shared" si="1432"/>
        <v>37026.33</v>
      </c>
      <c r="U140" s="51">
        <f t="shared" si="1433"/>
        <v>122401.64171400001</v>
      </c>
      <c r="V140" s="53">
        <f t="shared" si="1434"/>
        <v>36175.15</v>
      </c>
      <c r="W140" s="51">
        <f t="shared" si="1435"/>
        <v>119587.81087</v>
      </c>
      <c r="X140" s="52">
        <f t="shared" si="1436"/>
        <v>35323.97</v>
      </c>
      <c r="Y140" s="51">
        <f t="shared" si="1437"/>
        <v>116773.980026</v>
      </c>
      <c r="Z140" s="48">
        <f t="shared" si="1438"/>
        <v>34472.79</v>
      </c>
      <c r="AA140" s="51">
        <f t="shared" si="1439"/>
        <v>113960.14918200001</v>
      </c>
      <c r="AB140" s="53">
        <f t="shared" si="1440"/>
        <v>33621.609999999993</v>
      </c>
      <c r="AC140" s="51">
        <f t="shared" si="1441"/>
        <v>111146.31833799998</v>
      </c>
      <c r="AD140" s="53">
        <f t="shared" si="1442"/>
        <v>32770.429999999993</v>
      </c>
      <c r="AE140" s="51">
        <f t="shared" si="1443"/>
        <v>108332.48749399999</v>
      </c>
      <c r="AF140" s="53">
        <f t="shared" si="1444"/>
        <v>31919.249999999996</v>
      </c>
      <c r="AG140" s="51">
        <f t="shared" si="1445"/>
        <v>105518.65664999999</v>
      </c>
      <c r="AH140" s="48">
        <f t="shared" si="1446"/>
        <v>31068.069999999996</v>
      </c>
      <c r="AI140" s="51">
        <f t="shared" si="1447"/>
        <v>102704.82580599999</v>
      </c>
      <c r="AJ140" s="53">
        <f t="shared" si="1448"/>
        <v>30216.889999999992</v>
      </c>
      <c r="AK140" s="51">
        <f t="shared" si="1449"/>
        <v>99890.994961999982</v>
      </c>
      <c r="AL140" s="53">
        <f t="shared" si="1450"/>
        <v>29365.709999999992</v>
      </c>
      <c r="AM140" s="51">
        <f t="shared" si="1451"/>
        <v>97077.164117999971</v>
      </c>
      <c r="AN140" s="53">
        <f t="shared" si="1452"/>
        <v>28514.529999999992</v>
      </c>
      <c r="AO140" s="51">
        <f t="shared" si="1453"/>
        <v>94263.333273999975</v>
      </c>
      <c r="AP140" s="53">
        <f t="shared" si="1454"/>
        <v>27663.349999999991</v>
      </c>
      <c r="AQ140" s="51">
        <f t="shared" si="1455"/>
        <v>91449.502429999979</v>
      </c>
      <c r="AR140" s="48">
        <f t="shared" si="1456"/>
        <v>26812.169999999991</v>
      </c>
      <c r="AS140" s="51">
        <f t="shared" si="1457"/>
        <v>88635.671585999968</v>
      </c>
      <c r="AT140" s="53">
        <f t="shared" si="1458"/>
        <v>25960.989999999991</v>
      </c>
      <c r="AU140" s="51">
        <f t="shared" si="1459"/>
        <v>85821.840741999971</v>
      </c>
      <c r="AV140" s="53">
        <f t="shared" si="1460"/>
        <v>25109.80999999999</v>
      </c>
      <c r="AW140" s="51">
        <f t="shared" si="1461"/>
        <v>83008.009897999975</v>
      </c>
      <c r="AX140" s="48">
        <f t="shared" si="1462"/>
        <v>24258.62999999999</v>
      </c>
      <c r="AY140" s="51">
        <f t="shared" si="1463"/>
        <v>80194.179053999964</v>
      </c>
      <c r="BB140" s="48">
        <v>1</v>
      </c>
      <c r="BC140" s="48">
        <v>0.97</v>
      </c>
      <c r="BD140" s="48">
        <v>0.95</v>
      </c>
      <c r="BE140" s="48">
        <v>0.93</v>
      </c>
      <c r="BF140" s="48">
        <f t="shared" ref="BF140:BW140" si="1598">+BE140-0.02</f>
        <v>0.91</v>
      </c>
      <c r="BG140" s="48">
        <f t="shared" si="1598"/>
        <v>0.89</v>
      </c>
      <c r="BH140" s="48">
        <f t="shared" si="1598"/>
        <v>0.87</v>
      </c>
      <c r="BI140" s="48">
        <f t="shared" si="1598"/>
        <v>0.85</v>
      </c>
      <c r="BJ140" s="48">
        <f t="shared" si="1598"/>
        <v>0.83</v>
      </c>
      <c r="BK140" s="48">
        <f t="shared" si="1598"/>
        <v>0.80999999999999994</v>
      </c>
      <c r="BL140" s="48">
        <f t="shared" si="1598"/>
        <v>0.78999999999999992</v>
      </c>
      <c r="BM140" s="48">
        <f t="shared" si="1598"/>
        <v>0.76999999999999991</v>
      </c>
      <c r="BN140" s="48">
        <f t="shared" si="1598"/>
        <v>0.74999999999999989</v>
      </c>
      <c r="BO140" s="48">
        <f t="shared" si="1598"/>
        <v>0.72999999999999987</v>
      </c>
      <c r="BP140" s="48">
        <f t="shared" si="1598"/>
        <v>0.70999999999999985</v>
      </c>
      <c r="BQ140" s="48">
        <f t="shared" si="1598"/>
        <v>0.68999999999999984</v>
      </c>
      <c r="BR140" s="48">
        <f t="shared" si="1598"/>
        <v>0.66999999999999982</v>
      </c>
      <c r="BS140" s="48">
        <f t="shared" si="1598"/>
        <v>0.6499999999999998</v>
      </c>
      <c r="BT140" s="48">
        <f t="shared" si="1598"/>
        <v>0.62999999999999978</v>
      </c>
      <c r="BU140" s="48">
        <f t="shared" si="1598"/>
        <v>0.60999999999999976</v>
      </c>
      <c r="BV140" s="48">
        <f t="shared" si="1598"/>
        <v>0.58999999999999975</v>
      </c>
      <c r="BW140" s="48">
        <f t="shared" si="1598"/>
        <v>0.56999999999999973</v>
      </c>
      <c r="BY140" s="48">
        <f t="shared" si="952"/>
        <v>38728.69</v>
      </c>
      <c r="BZ140" s="48">
        <f t="shared" si="953"/>
        <v>38728.69</v>
      </c>
      <c r="CA140" s="51">
        <f t="shared" ref="CA140" si="1599">+BZ140*3.3058</f>
        <v>128029.30340200001</v>
      </c>
      <c r="CB140" s="48">
        <f t="shared" si="1466"/>
        <v>37566.829299999998</v>
      </c>
      <c r="CC140" s="51">
        <f t="shared" si="1467"/>
        <v>124188.42429994</v>
      </c>
      <c r="CD140" s="48">
        <f t="shared" si="1468"/>
        <v>36792.255499999999</v>
      </c>
      <c r="CE140" s="51">
        <f t="shared" si="1469"/>
        <v>121627.83823189999</v>
      </c>
      <c r="CF140" s="48">
        <f t="shared" si="1470"/>
        <v>36017.681700000001</v>
      </c>
      <c r="CG140" s="51">
        <f t="shared" si="1471"/>
        <v>119067.25216386</v>
      </c>
      <c r="CH140" s="52">
        <f t="shared" si="1472"/>
        <v>35243.107900000003</v>
      </c>
      <c r="CI140" s="51">
        <f t="shared" si="1473"/>
        <v>116506.66609582001</v>
      </c>
      <c r="CJ140" s="48">
        <f t="shared" si="1474"/>
        <v>34468.534100000004</v>
      </c>
      <c r="CK140" s="51">
        <f t="shared" si="1475"/>
        <v>113946.08002778002</v>
      </c>
      <c r="CL140" s="52">
        <f t="shared" si="1476"/>
        <v>33693.960299999999</v>
      </c>
      <c r="CM140" s="51">
        <f t="shared" si="1477"/>
        <v>111385.49395973999</v>
      </c>
      <c r="CN140" s="53">
        <f t="shared" si="1478"/>
        <v>32919.386500000001</v>
      </c>
      <c r="CO140" s="51">
        <f t="shared" si="1479"/>
        <v>108824.9078917</v>
      </c>
      <c r="CP140" s="52">
        <f t="shared" si="1480"/>
        <v>32144.812699999999</v>
      </c>
      <c r="CQ140" s="51">
        <f t="shared" si="1481"/>
        <v>106264.32182365999</v>
      </c>
      <c r="CR140" s="48">
        <f t="shared" si="1482"/>
        <v>31370.2389</v>
      </c>
      <c r="CS140" s="51">
        <f t="shared" si="1483"/>
        <v>103703.73575562</v>
      </c>
      <c r="CT140" s="53">
        <f t="shared" si="1484"/>
        <v>30595.665099999998</v>
      </c>
      <c r="CU140" s="51">
        <f t="shared" si="1485"/>
        <v>101143.14968757999</v>
      </c>
      <c r="CV140" s="53">
        <f t="shared" si="1486"/>
        <v>29821.091299999996</v>
      </c>
      <c r="CW140" s="51">
        <f t="shared" si="1487"/>
        <v>98582.563619539986</v>
      </c>
      <c r="CX140" s="53">
        <f t="shared" si="1488"/>
        <v>29046.517499999998</v>
      </c>
      <c r="CY140" s="51">
        <f t="shared" si="1489"/>
        <v>96021.977551499993</v>
      </c>
      <c r="CZ140" s="48">
        <f t="shared" si="1490"/>
        <v>28271.943699999996</v>
      </c>
      <c r="DA140" s="51">
        <f t="shared" si="1491"/>
        <v>93461.391483459985</v>
      </c>
      <c r="DB140" s="53">
        <f t="shared" si="1492"/>
        <v>27497.369899999994</v>
      </c>
      <c r="DC140" s="51">
        <f t="shared" si="1493"/>
        <v>90900.805415419978</v>
      </c>
      <c r="DD140" s="53">
        <f t="shared" si="1494"/>
        <v>26722.796099999996</v>
      </c>
      <c r="DE140" s="51">
        <f t="shared" si="1495"/>
        <v>88340.219347379985</v>
      </c>
      <c r="DF140" s="53">
        <f t="shared" si="1496"/>
        <v>25948.222299999994</v>
      </c>
      <c r="DG140" s="51">
        <f t="shared" si="1497"/>
        <v>85779.633279339978</v>
      </c>
      <c r="DH140" s="53">
        <f t="shared" si="1498"/>
        <v>25173.648499999992</v>
      </c>
      <c r="DI140" s="51">
        <f t="shared" si="1499"/>
        <v>83219.047211299971</v>
      </c>
      <c r="DJ140" s="48">
        <f t="shared" si="1500"/>
        <v>24399.074699999994</v>
      </c>
      <c r="DK140" s="51">
        <f t="shared" si="1501"/>
        <v>80658.461143259978</v>
      </c>
      <c r="DL140" s="53">
        <f t="shared" si="1502"/>
        <v>23624.500899999992</v>
      </c>
      <c r="DM140" s="51">
        <f t="shared" si="1503"/>
        <v>78097.87507521997</v>
      </c>
      <c r="DN140" s="53">
        <f t="shared" si="1504"/>
        <v>22849.92709999999</v>
      </c>
      <c r="DO140" s="51">
        <f t="shared" si="1505"/>
        <v>75537.289007179963</v>
      </c>
      <c r="DP140" s="48">
        <f t="shared" si="1506"/>
        <v>22075.353299999992</v>
      </c>
      <c r="DQ140" s="51">
        <f t="shared" si="1507"/>
        <v>72976.70293913997</v>
      </c>
      <c r="DT140" s="48">
        <v>1</v>
      </c>
      <c r="DU140" s="48">
        <v>0.97</v>
      </c>
      <c r="DV140" s="48">
        <v>0.95</v>
      </c>
      <c r="DW140" s="48">
        <v>0.93</v>
      </c>
      <c r="DX140" s="48">
        <f t="shared" ref="DX140:EO140" si="1600">+DW140-0.02</f>
        <v>0.91</v>
      </c>
      <c r="DY140" s="48">
        <f t="shared" si="1600"/>
        <v>0.89</v>
      </c>
      <c r="DZ140" s="48">
        <f t="shared" si="1600"/>
        <v>0.87</v>
      </c>
      <c r="EA140" s="48">
        <f t="shared" si="1600"/>
        <v>0.85</v>
      </c>
      <c r="EB140" s="48">
        <f t="shared" si="1600"/>
        <v>0.83</v>
      </c>
      <c r="EC140" s="48">
        <f t="shared" si="1600"/>
        <v>0.80999999999999994</v>
      </c>
      <c r="ED140" s="48">
        <f t="shared" si="1600"/>
        <v>0.78999999999999992</v>
      </c>
      <c r="EE140" s="48">
        <f t="shared" si="1600"/>
        <v>0.76999999999999991</v>
      </c>
      <c r="EF140" s="48">
        <f t="shared" si="1600"/>
        <v>0.74999999999999989</v>
      </c>
      <c r="EG140" s="48">
        <f t="shared" si="1600"/>
        <v>0.72999999999999987</v>
      </c>
      <c r="EH140" s="48">
        <f t="shared" si="1600"/>
        <v>0.70999999999999985</v>
      </c>
      <c r="EI140" s="48">
        <f t="shared" si="1600"/>
        <v>0.68999999999999984</v>
      </c>
      <c r="EJ140" s="48">
        <f t="shared" si="1600"/>
        <v>0.66999999999999982</v>
      </c>
      <c r="EK140" s="48">
        <f t="shared" si="1600"/>
        <v>0.6499999999999998</v>
      </c>
      <c r="EL140" s="48">
        <f t="shared" si="1600"/>
        <v>0.62999999999999978</v>
      </c>
      <c r="EM140" s="48">
        <f t="shared" si="1600"/>
        <v>0.60999999999999976</v>
      </c>
      <c r="EN140" s="48">
        <f t="shared" si="1600"/>
        <v>0.58999999999999975</v>
      </c>
      <c r="EO140" s="48">
        <f t="shared" si="1600"/>
        <v>0.56999999999999973</v>
      </c>
      <c r="EQ140" s="48">
        <f t="shared" si="1128"/>
        <v>35243.107900000003</v>
      </c>
      <c r="ER140" s="48">
        <f t="shared" si="956"/>
        <v>35243.107900000003</v>
      </c>
      <c r="ES140" s="51">
        <f t="shared" ref="ES140" si="1601">+ER140*3.3058</f>
        <v>116506.66609582001</v>
      </c>
      <c r="ET140" s="48">
        <f t="shared" si="1510"/>
        <v>34185.814663000005</v>
      </c>
      <c r="EU140" s="51">
        <f t="shared" si="1511"/>
        <v>113011.46611294542</v>
      </c>
      <c r="EV140" s="48">
        <f t="shared" si="1512"/>
        <v>33480.952505000001</v>
      </c>
      <c r="EW140" s="51">
        <f t="shared" si="1513"/>
        <v>110681.33279102901</v>
      </c>
      <c r="EX140" s="48">
        <f t="shared" si="1514"/>
        <v>32776.090347000005</v>
      </c>
      <c r="EY140" s="51">
        <f t="shared" si="1515"/>
        <v>108351.19946911262</v>
      </c>
      <c r="EZ140" s="52">
        <f t="shared" si="1516"/>
        <v>32071.228189000005</v>
      </c>
      <c r="FA140" s="51">
        <f t="shared" si="1517"/>
        <v>106021.06614719622</v>
      </c>
      <c r="FB140" s="48">
        <f t="shared" si="1518"/>
        <v>31366.366031000001</v>
      </c>
      <c r="FC140" s="51">
        <f t="shared" si="1519"/>
        <v>103690.9328252798</v>
      </c>
      <c r="FD140" s="52">
        <f t="shared" si="1520"/>
        <v>30661.503873000001</v>
      </c>
      <c r="FE140" s="51">
        <f t="shared" si="1521"/>
        <v>101360.79950336341</v>
      </c>
      <c r="FF140" s="53">
        <f t="shared" si="1522"/>
        <v>29956.641715000002</v>
      </c>
      <c r="FG140" s="51">
        <f t="shared" si="1523"/>
        <v>99030.666181447014</v>
      </c>
      <c r="FH140" s="52">
        <f t="shared" si="1524"/>
        <v>29251.779557000002</v>
      </c>
      <c r="FI140" s="51">
        <f t="shared" si="1525"/>
        <v>96700.532859530605</v>
      </c>
      <c r="FJ140" s="48">
        <f t="shared" si="1526"/>
        <v>28546.917399000002</v>
      </c>
      <c r="FK140" s="51">
        <f t="shared" si="1527"/>
        <v>94370.399537614212</v>
      </c>
      <c r="FL140" s="53">
        <f t="shared" si="1528"/>
        <v>27842.055240999998</v>
      </c>
      <c r="FM140" s="51">
        <f t="shared" si="1529"/>
        <v>92040.266215697789</v>
      </c>
      <c r="FN140" s="53">
        <f t="shared" si="1530"/>
        <v>27137.193082999998</v>
      </c>
      <c r="FO140" s="51">
        <f t="shared" si="1531"/>
        <v>89710.132893781396</v>
      </c>
      <c r="FP140" s="53">
        <f t="shared" si="1532"/>
        <v>26432.330924999998</v>
      </c>
      <c r="FQ140" s="51">
        <f t="shared" si="1533"/>
        <v>87379.999571865003</v>
      </c>
      <c r="FR140" s="48">
        <f t="shared" si="1534"/>
        <v>25727.468766999998</v>
      </c>
      <c r="FS140" s="51">
        <f t="shared" si="1535"/>
        <v>85049.866249948594</v>
      </c>
      <c r="FT140" s="53">
        <f t="shared" si="1536"/>
        <v>25022.606608999999</v>
      </c>
      <c r="FU140" s="51">
        <f t="shared" si="1537"/>
        <v>82719.732928032201</v>
      </c>
      <c r="FV140" s="53">
        <f t="shared" si="1538"/>
        <v>24317.744450999995</v>
      </c>
      <c r="FW140" s="51">
        <f t="shared" si="1539"/>
        <v>80389.599606115778</v>
      </c>
      <c r="FX140" s="53">
        <f t="shared" si="1540"/>
        <v>23612.882292999995</v>
      </c>
      <c r="FY140" s="51">
        <f t="shared" si="1541"/>
        <v>78059.466284199385</v>
      </c>
      <c r="FZ140" s="53">
        <f t="shared" si="1542"/>
        <v>22908.020134999995</v>
      </c>
      <c r="GA140" s="51">
        <f t="shared" si="1543"/>
        <v>75729.332962282992</v>
      </c>
      <c r="GB140" s="48">
        <f t="shared" si="1544"/>
        <v>22203.157976999995</v>
      </c>
      <c r="GC140" s="51">
        <f t="shared" si="1545"/>
        <v>73399.199640366583</v>
      </c>
      <c r="GD140" s="53">
        <f t="shared" si="1546"/>
        <v>21498.295818999992</v>
      </c>
      <c r="GE140" s="51">
        <f t="shared" si="1547"/>
        <v>71069.066318450175</v>
      </c>
      <c r="GF140" s="53">
        <f t="shared" si="1548"/>
        <v>20793.433660999992</v>
      </c>
      <c r="GG140" s="51">
        <f t="shared" si="1549"/>
        <v>68738.932996533767</v>
      </c>
      <c r="GH140" s="48">
        <f t="shared" si="1550"/>
        <v>20088.571502999992</v>
      </c>
      <c r="GI140" s="51">
        <f t="shared" si="1551"/>
        <v>66408.799674617374</v>
      </c>
      <c r="GJ140" s="48"/>
      <c r="GK140" s="48"/>
      <c r="GL140" s="48">
        <v>1</v>
      </c>
      <c r="GM140" s="48">
        <v>0.97</v>
      </c>
      <c r="GN140" s="48">
        <v>0.95</v>
      </c>
      <c r="GO140" s="48">
        <v>0.93</v>
      </c>
      <c r="GP140" s="48">
        <f t="shared" ref="GP140:HG140" si="1602">+GO140-0.02</f>
        <v>0.91</v>
      </c>
      <c r="GQ140" s="48">
        <f t="shared" si="1602"/>
        <v>0.89</v>
      </c>
      <c r="GR140" s="48">
        <f t="shared" si="1602"/>
        <v>0.87</v>
      </c>
      <c r="GS140" s="48">
        <f t="shared" si="1602"/>
        <v>0.85</v>
      </c>
      <c r="GT140" s="48">
        <f t="shared" si="1602"/>
        <v>0.83</v>
      </c>
      <c r="GU140" s="48">
        <f t="shared" si="1602"/>
        <v>0.80999999999999994</v>
      </c>
      <c r="GV140" s="48">
        <f t="shared" si="1602"/>
        <v>0.78999999999999992</v>
      </c>
      <c r="GW140" s="48">
        <f t="shared" si="1602"/>
        <v>0.76999999999999991</v>
      </c>
      <c r="GX140" s="48">
        <f t="shared" si="1602"/>
        <v>0.74999999999999989</v>
      </c>
      <c r="GY140" s="48">
        <f t="shared" si="1602"/>
        <v>0.72999999999999987</v>
      </c>
      <c r="GZ140" s="48">
        <f t="shared" si="1602"/>
        <v>0.70999999999999985</v>
      </c>
      <c r="HA140" s="48">
        <f t="shared" si="1602"/>
        <v>0.68999999999999984</v>
      </c>
      <c r="HB140" s="48">
        <f t="shared" si="1602"/>
        <v>0.66999999999999982</v>
      </c>
      <c r="HC140" s="48">
        <f t="shared" si="1602"/>
        <v>0.6499999999999998</v>
      </c>
      <c r="HD140" s="48">
        <f t="shared" si="1602"/>
        <v>0.62999999999999978</v>
      </c>
      <c r="HE140" s="48">
        <f t="shared" si="1602"/>
        <v>0.60999999999999976</v>
      </c>
      <c r="HF140" s="48">
        <f t="shared" si="1602"/>
        <v>0.58999999999999975</v>
      </c>
      <c r="HG140" s="48">
        <f t="shared" si="1602"/>
        <v>0.56999999999999973</v>
      </c>
    </row>
    <row r="141" spans="1:215" s="54" customFormat="1" x14ac:dyDescent="0.3">
      <c r="C141" s="55"/>
      <c r="D141" s="55"/>
      <c r="E141" s="55"/>
      <c r="G141" s="56"/>
      <c r="H141" s="56"/>
      <c r="I141" s="56"/>
      <c r="J141" s="56"/>
      <c r="K141" s="56"/>
      <c r="L141" s="56"/>
      <c r="M141" s="56"/>
      <c r="N141" s="56"/>
      <c r="O141" s="56"/>
      <c r="P141" s="57"/>
      <c r="Q141" s="56"/>
      <c r="R141" s="56"/>
      <c r="S141" s="56"/>
      <c r="T141" s="57"/>
      <c r="U141" s="56"/>
      <c r="V141" s="58"/>
      <c r="W141" s="56"/>
      <c r="X141" s="57"/>
      <c r="Y141" s="56"/>
      <c r="Z141" s="56"/>
      <c r="AA141" s="56"/>
      <c r="AB141" s="58"/>
      <c r="AC141" s="56"/>
      <c r="AD141" s="58"/>
      <c r="AE141" s="56"/>
      <c r="AF141" s="58"/>
      <c r="AG141" s="56"/>
      <c r="AH141" s="56"/>
      <c r="AI141" s="56"/>
      <c r="AJ141" s="58"/>
      <c r="AK141" s="56"/>
      <c r="AL141" s="58"/>
      <c r="AM141" s="56"/>
      <c r="AN141" s="58"/>
      <c r="AO141" s="56"/>
      <c r="AP141" s="58"/>
      <c r="AQ141" s="56"/>
      <c r="AR141" s="56"/>
      <c r="AS141" s="56"/>
      <c r="AT141" s="58"/>
      <c r="AU141" s="56"/>
      <c r="AV141" s="58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56">
        <f t="shared" si="952"/>
        <v>0</v>
      </c>
      <c r="BZ141" s="56"/>
      <c r="CA141" s="56"/>
      <c r="CB141" s="56"/>
      <c r="CC141" s="56"/>
      <c r="CD141" s="56"/>
      <c r="CE141" s="56"/>
      <c r="CF141" s="56"/>
      <c r="CG141" s="56"/>
      <c r="CH141" s="57"/>
      <c r="CI141" s="56"/>
      <c r="CJ141" s="56"/>
      <c r="CK141" s="56"/>
      <c r="CL141" s="57"/>
      <c r="CM141" s="56"/>
      <c r="CN141" s="58"/>
      <c r="CO141" s="56"/>
      <c r="CP141" s="57"/>
      <c r="CQ141" s="56"/>
      <c r="CR141" s="56"/>
      <c r="CS141" s="56"/>
      <c r="CT141" s="58"/>
      <c r="CU141" s="56"/>
      <c r="CV141" s="58"/>
      <c r="CW141" s="56"/>
      <c r="CX141" s="58"/>
      <c r="CY141" s="56"/>
      <c r="CZ141" s="56"/>
      <c r="DA141" s="56"/>
      <c r="DB141" s="58"/>
      <c r="DC141" s="56"/>
      <c r="DD141" s="58"/>
      <c r="DE141" s="56"/>
      <c r="DF141" s="58"/>
      <c r="DG141" s="56"/>
      <c r="DH141" s="58"/>
      <c r="DI141" s="56"/>
      <c r="DJ141" s="56"/>
      <c r="DK141" s="56"/>
      <c r="DL141" s="58"/>
      <c r="DM141" s="56"/>
      <c r="DN141" s="58"/>
      <c r="DO141" s="56"/>
      <c r="DP141" s="56"/>
      <c r="DQ141" s="56"/>
      <c r="DR141" s="56"/>
      <c r="DS141" s="56"/>
      <c r="DT141" s="56">
        <v>1</v>
      </c>
      <c r="DU141" s="56">
        <v>0.97</v>
      </c>
      <c r="DV141" s="56">
        <v>0.95</v>
      </c>
      <c r="DW141" s="56">
        <v>0.93</v>
      </c>
      <c r="DX141" s="56">
        <f t="shared" ref="DX141:EO141" si="1603">+DW141-0.02</f>
        <v>0.91</v>
      </c>
      <c r="DY141" s="56">
        <f t="shared" si="1603"/>
        <v>0.89</v>
      </c>
      <c r="DZ141" s="56">
        <f t="shared" si="1603"/>
        <v>0.87</v>
      </c>
      <c r="EA141" s="56">
        <f t="shared" si="1603"/>
        <v>0.85</v>
      </c>
      <c r="EB141" s="56">
        <f t="shared" si="1603"/>
        <v>0.83</v>
      </c>
      <c r="EC141" s="56">
        <f t="shared" si="1603"/>
        <v>0.80999999999999994</v>
      </c>
      <c r="ED141" s="56">
        <f t="shared" si="1603"/>
        <v>0.78999999999999992</v>
      </c>
      <c r="EE141" s="56">
        <f t="shared" si="1603"/>
        <v>0.76999999999999991</v>
      </c>
      <c r="EF141" s="56">
        <f t="shared" si="1603"/>
        <v>0.74999999999999989</v>
      </c>
      <c r="EG141" s="56">
        <f t="shared" si="1603"/>
        <v>0.72999999999999987</v>
      </c>
      <c r="EH141" s="56">
        <f t="shared" si="1603"/>
        <v>0.70999999999999985</v>
      </c>
      <c r="EI141" s="56">
        <f t="shared" si="1603"/>
        <v>0.68999999999999984</v>
      </c>
      <c r="EJ141" s="56">
        <f t="shared" si="1603"/>
        <v>0.66999999999999982</v>
      </c>
      <c r="EK141" s="56">
        <f t="shared" si="1603"/>
        <v>0.6499999999999998</v>
      </c>
      <c r="EL141" s="56">
        <f t="shared" si="1603"/>
        <v>0.62999999999999978</v>
      </c>
      <c r="EM141" s="56">
        <f t="shared" si="1603"/>
        <v>0.60999999999999976</v>
      </c>
      <c r="EN141" s="56">
        <f t="shared" si="1603"/>
        <v>0.58999999999999975</v>
      </c>
      <c r="EO141" s="56">
        <f t="shared" si="1603"/>
        <v>0.56999999999999973</v>
      </c>
      <c r="EQ141" s="56">
        <f t="shared" si="1128"/>
        <v>0</v>
      </c>
      <c r="ER141" s="56"/>
      <c r="ES141" s="56"/>
      <c r="ET141" s="56"/>
      <c r="EU141" s="56"/>
      <c r="EV141" s="56"/>
      <c r="EW141" s="56"/>
      <c r="EX141" s="56"/>
      <c r="EY141" s="56"/>
      <c r="EZ141" s="57"/>
      <c r="FA141" s="56"/>
      <c r="FB141" s="56"/>
      <c r="FC141" s="56"/>
      <c r="FD141" s="57"/>
      <c r="FE141" s="56"/>
      <c r="FF141" s="58"/>
      <c r="FG141" s="56"/>
      <c r="FH141" s="57"/>
      <c r="FI141" s="56"/>
      <c r="FJ141" s="56"/>
      <c r="FK141" s="56"/>
      <c r="FL141" s="58"/>
      <c r="FM141" s="56"/>
      <c r="FN141" s="58"/>
      <c r="FO141" s="56"/>
      <c r="FP141" s="58"/>
      <c r="FQ141" s="56"/>
      <c r="FR141" s="56"/>
      <c r="FS141" s="56"/>
      <c r="FT141" s="58"/>
      <c r="FU141" s="56"/>
      <c r="FV141" s="58"/>
      <c r="FW141" s="56"/>
      <c r="FX141" s="58"/>
      <c r="FY141" s="56"/>
      <c r="FZ141" s="58"/>
      <c r="GA141" s="56"/>
      <c r="GB141" s="56"/>
      <c r="GC141" s="56"/>
      <c r="GD141" s="58"/>
      <c r="GE141" s="56"/>
      <c r="GF141" s="58"/>
      <c r="GG141" s="56"/>
      <c r="GH141" s="56"/>
      <c r="GI141" s="56"/>
      <c r="GJ141" s="56"/>
      <c r="GK141" s="56"/>
      <c r="GL141" s="56">
        <v>1</v>
      </c>
      <c r="GM141" s="56">
        <v>0.97</v>
      </c>
      <c r="GN141" s="56">
        <v>0.95</v>
      </c>
      <c r="GO141" s="56">
        <v>0.93</v>
      </c>
      <c r="GP141" s="56">
        <f t="shared" ref="GP141:HG141" si="1604">+GO141-0.02</f>
        <v>0.91</v>
      </c>
      <c r="GQ141" s="56">
        <f t="shared" si="1604"/>
        <v>0.89</v>
      </c>
      <c r="GR141" s="56">
        <f t="shared" si="1604"/>
        <v>0.87</v>
      </c>
      <c r="GS141" s="56">
        <f t="shared" si="1604"/>
        <v>0.85</v>
      </c>
      <c r="GT141" s="56">
        <f t="shared" si="1604"/>
        <v>0.83</v>
      </c>
      <c r="GU141" s="56">
        <f t="shared" si="1604"/>
        <v>0.80999999999999994</v>
      </c>
      <c r="GV141" s="56">
        <f t="shared" si="1604"/>
        <v>0.78999999999999992</v>
      </c>
      <c r="GW141" s="56">
        <f t="shared" si="1604"/>
        <v>0.76999999999999991</v>
      </c>
      <c r="GX141" s="56">
        <f t="shared" si="1604"/>
        <v>0.74999999999999989</v>
      </c>
      <c r="GY141" s="56">
        <f t="shared" si="1604"/>
        <v>0.72999999999999987</v>
      </c>
      <c r="GZ141" s="56">
        <f t="shared" si="1604"/>
        <v>0.70999999999999985</v>
      </c>
      <c r="HA141" s="56">
        <f t="shared" si="1604"/>
        <v>0.68999999999999984</v>
      </c>
      <c r="HB141" s="56">
        <f t="shared" si="1604"/>
        <v>0.66999999999999982</v>
      </c>
      <c r="HC141" s="56">
        <f t="shared" si="1604"/>
        <v>0.6499999999999998</v>
      </c>
      <c r="HD141" s="56">
        <f t="shared" si="1604"/>
        <v>0.62999999999999978</v>
      </c>
      <c r="HE141" s="56">
        <f t="shared" si="1604"/>
        <v>0.60999999999999976</v>
      </c>
      <c r="HF141" s="56">
        <f t="shared" si="1604"/>
        <v>0.58999999999999975</v>
      </c>
      <c r="HG141" s="56">
        <f t="shared" si="1604"/>
        <v>0.56999999999999973</v>
      </c>
    </row>
    <row r="142" spans="1:215" s="54" customFormat="1" ht="17.25" thickBot="1" x14ac:dyDescent="0.35">
      <c r="B142" s="54" t="s">
        <v>197</v>
      </c>
      <c r="C142" s="54" t="s">
        <v>131</v>
      </c>
      <c r="D142" s="55" t="s">
        <v>205</v>
      </c>
      <c r="E142" s="55" t="s">
        <v>61</v>
      </c>
      <c r="G142" s="56"/>
      <c r="H142" s="56"/>
      <c r="I142" s="56"/>
      <c r="J142" s="56"/>
      <c r="K142" s="56"/>
      <c r="L142" s="56"/>
      <c r="M142" s="56"/>
      <c r="N142" s="56"/>
      <c r="O142" s="56"/>
      <c r="P142" s="57"/>
      <c r="Q142" s="56"/>
      <c r="R142" s="56"/>
      <c r="S142" s="56"/>
      <c r="T142" s="57"/>
      <c r="U142" s="56"/>
      <c r="V142" s="58"/>
      <c r="W142" s="56"/>
      <c r="X142" s="57"/>
      <c r="Y142" s="56"/>
      <c r="Z142" s="56"/>
      <c r="AA142" s="56"/>
      <c r="AB142" s="58"/>
      <c r="AC142" s="56"/>
      <c r="AD142" s="58"/>
      <c r="AE142" s="56"/>
      <c r="AF142" s="58"/>
      <c r="AG142" s="56"/>
      <c r="AH142" s="56"/>
      <c r="AI142" s="56"/>
      <c r="AJ142" s="58"/>
      <c r="AK142" s="56"/>
      <c r="AL142" s="58"/>
      <c r="AM142" s="56"/>
      <c r="AN142" s="58"/>
      <c r="AO142" s="56"/>
      <c r="AP142" s="58"/>
      <c r="AQ142" s="56"/>
      <c r="AR142" s="56"/>
      <c r="AS142" s="56"/>
      <c r="AT142" s="58"/>
      <c r="AU142" s="56"/>
      <c r="AV142" s="58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>
        <f t="shared" si="952"/>
        <v>0</v>
      </c>
      <c r="BZ142" s="56"/>
      <c r="CA142" s="56"/>
      <c r="CB142" s="56"/>
      <c r="CC142" s="56"/>
      <c r="CD142" s="56"/>
      <c r="CE142" s="56"/>
      <c r="CF142" s="56"/>
      <c r="CG142" s="56"/>
      <c r="CH142" s="57"/>
      <c r="CI142" s="56"/>
      <c r="CJ142" s="56"/>
      <c r="CK142" s="56"/>
      <c r="CL142" s="57"/>
      <c r="CM142" s="56"/>
      <c r="CN142" s="58"/>
      <c r="CO142" s="56"/>
      <c r="CP142" s="57"/>
      <c r="CQ142" s="56"/>
      <c r="CR142" s="56"/>
      <c r="CS142" s="56"/>
      <c r="CT142" s="58"/>
      <c r="CU142" s="56"/>
      <c r="CV142" s="58"/>
      <c r="CW142" s="56"/>
      <c r="CX142" s="58"/>
      <c r="CY142" s="56"/>
      <c r="CZ142" s="56"/>
      <c r="DA142" s="56"/>
      <c r="DB142" s="58"/>
      <c r="DC142" s="56"/>
      <c r="DD142" s="58"/>
      <c r="DE142" s="56"/>
      <c r="DF142" s="58"/>
      <c r="DG142" s="56"/>
      <c r="DH142" s="58"/>
      <c r="DI142" s="56"/>
      <c r="DJ142" s="56"/>
      <c r="DK142" s="56"/>
      <c r="DL142" s="58"/>
      <c r="DM142" s="56"/>
      <c r="DN142" s="58"/>
      <c r="DO142" s="56"/>
      <c r="DP142" s="56"/>
      <c r="DQ142" s="56"/>
      <c r="DR142" s="56"/>
      <c r="DS142" s="56"/>
      <c r="DT142" s="56">
        <v>1</v>
      </c>
      <c r="DU142" s="56">
        <v>0.97</v>
      </c>
      <c r="DV142" s="56">
        <v>0.95</v>
      </c>
      <c r="DW142" s="56">
        <v>0.93</v>
      </c>
      <c r="DX142" s="56">
        <f t="shared" ref="DX142:EO142" si="1605">+DW142-0.02</f>
        <v>0.91</v>
      </c>
      <c r="DY142" s="56">
        <f t="shared" si="1605"/>
        <v>0.89</v>
      </c>
      <c r="DZ142" s="56">
        <f t="shared" si="1605"/>
        <v>0.87</v>
      </c>
      <c r="EA142" s="56">
        <f t="shared" si="1605"/>
        <v>0.85</v>
      </c>
      <c r="EB142" s="56">
        <f t="shared" si="1605"/>
        <v>0.83</v>
      </c>
      <c r="EC142" s="56">
        <f t="shared" si="1605"/>
        <v>0.80999999999999994</v>
      </c>
      <c r="ED142" s="56">
        <f t="shared" si="1605"/>
        <v>0.78999999999999992</v>
      </c>
      <c r="EE142" s="56">
        <f t="shared" si="1605"/>
        <v>0.76999999999999991</v>
      </c>
      <c r="EF142" s="56">
        <f t="shared" si="1605"/>
        <v>0.74999999999999989</v>
      </c>
      <c r="EG142" s="56">
        <f t="shared" si="1605"/>
        <v>0.72999999999999987</v>
      </c>
      <c r="EH142" s="56">
        <f t="shared" si="1605"/>
        <v>0.70999999999999985</v>
      </c>
      <c r="EI142" s="56">
        <f t="shared" si="1605"/>
        <v>0.68999999999999984</v>
      </c>
      <c r="EJ142" s="56">
        <f t="shared" si="1605"/>
        <v>0.66999999999999982</v>
      </c>
      <c r="EK142" s="56">
        <f t="shared" si="1605"/>
        <v>0.6499999999999998</v>
      </c>
      <c r="EL142" s="56">
        <f t="shared" si="1605"/>
        <v>0.62999999999999978</v>
      </c>
      <c r="EM142" s="56">
        <f t="shared" si="1605"/>
        <v>0.60999999999999976</v>
      </c>
      <c r="EN142" s="56">
        <f t="shared" si="1605"/>
        <v>0.58999999999999975</v>
      </c>
      <c r="EO142" s="56">
        <f t="shared" si="1605"/>
        <v>0.56999999999999973</v>
      </c>
      <c r="EQ142" s="56">
        <f t="shared" si="1128"/>
        <v>0</v>
      </c>
      <c r="ER142" s="56"/>
      <c r="ES142" s="56"/>
      <c r="ET142" s="56"/>
      <c r="EU142" s="56"/>
      <c r="EV142" s="56"/>
      <c r="EW142" s="56"/>
      <c r="EX142" s="56"/>
      <c r="EY142" s="56"/>
      <c r="EZ142" s="57"/>
      <c r="FA142" s="56"/>
      <c r="FB142" s="56"/>
      <c r="FC142" s="56"/>
      <c r="FD142" s="57"/>
      <c r="FE142" s="56"/>
      <c r="FF142" s="58"/>
      <c r="FG142" s="56"/>
      <c r="FH142" s="57"/>
      <c r="FI142" s="56"/>
      <c r="FJ142" s="56"/>
      <c r="FK142" s="56"/>
      <c r="FL142" s="58"/>
      <c r="FM142" s="56"/>
      <c r="FN142" s="58"/>
      <c r="FO142" s="56"/>
      <c r="FP142" s="58"/>
      <c r="FQ142" s="56"/>
      <c r="FR142" s="56"/>
      <c r="FS142" s="56"/>
      <c r="FT142" s="58"/>
      <c r="FU142" s="56"/>
      <c r="FV142" s="58"/>
      <c r="FW142" s="56"/>
      <c r="FX142" s="58"/>
      <c r="FY142" s="56"/>
      <c r="FZ142" s="58"/>
      <c r="GA142" s="56"/>
      <c r="GB142" s="56"/>
      <c r="GC142" s="56"/>
      <c r="GD142" s="58"/>
      <c r="GE142" s="56"/>
      <c r="GF142" s="58"/>
      <c r="GG142" s="56"/>
      <c r="GH142" s="56"/>
      <c r="GI142" s="56"/>
      <c r="GJ142" s="56"/>
      <c r="GK142" s="56"/>
      <c r="GL142" s="56">
        <v>1</v>
      </c>
      <c r="GM142" s="56">
        <v>0.97</v>
      </c>
      <c r="GN142" s="56">
        <v>0.95</v>
      </c>
      <c r="GO142" s="56">
        <v>0.93</v>
      </c>
      <c r="GP142" s="56">
        <f t="shared" ref="GP142:HG142" si="1606">+GO142-0.02</f>
        <v>0.91</v>
      </c>
      <c r="GQ142" s="56">
        <f t="shared" si="1606"/>
        <v>0.89</v>
      </c>
      <c r="GR142" s="56">
        <f t="shared" si="1606"/>
        <v>0.87</v>
      </c>
      <c r="GS142" s="56">
        <f t="shared" si="1606"/>
        <v>0.85</v>
      </c>
      <c r="GT142" s="56">
        <f t="shared" si="1606"/>
        <v>0.83</v>
      </c>
      <c r="GU142" s="56">
        <f t="shared" si="1606"/>
        <v>0.80999999999999994</v>
      </c>
      <c r="GV142" s="56">
        <f t="shared" si="1606"/>
        <v>0.78999999999999992</v>
      </c>
      <c r="GW142" s="56">
        <f t="shared" si="1606"/>
        <v>0.76999999999999991</v>
      </c>
      <c r="GX142" s="56">
        <f t="shared" si="1606"/>
        <v>0.74999999999999989</v>
      </c>
      <c r="GY142" s="56">
        <f t="shared" si="1606"/>
        <v>0.72999999999999987</v>
      </c>
      <c r="GZ142" s="56">
        <f t="shared" si="1606"/>
        <v>0.70999999999999985</v>
      </c>
      <c r="HA142" s="56">
        <f t="shared" si="1606"/>
        <v>0.68999999999999984</v>
      </c>
      <c r="HB142" s="56">
        <f t="shared" si="1606"/>
        <v>0.66999999999999982</v>
      </c>
      <c r="HC142" s="56">
        <f t="shared" si="1606"/>
        <v>0.6499999999999998</v>
      </c>
      <c r="HD142" s="56">
        <f t="shared" si="1606"/>
        <v>0.62999999999999978</v>
      </c>
      <c r="HE142" s="56">
        <f t="shared" si="1606"/>
        <v>0.60999999999999976</v>
      </c>
      <c r="HF142" s="56">
        <f t="shared" si="1606"/>
        <v>0.58999999999999975</v>
      </c>
      <c r="HG142" s="56">
        <f t="shared" si="1606"/>
        <v>0.56999999999999973</v>
      </c>
    </row>
    <row r="143" spans="1:215" x14ac:dyDescent="0.3">
      <c r="A143" s="2">
        <v>1</v>
      </c>
      <c r="C143" s="39" t="s">
        <v>198</v>
      </c>
      <c r="D143" s="42">
        <v>0</v>
      </c>
      <c r="E143" s="72">
        <f>TRUNC(+D143*3.3058,-1)</f>
        <v>0</v>
      </c>
      <c r="G143" s="48">
        <f t="shared" si="948"/>
        <v>0</v>
      </c>
      <c r="H143" s="48">
        <f t="shared" si="949"/>
        <v>0</v>
      </c>
      <c r="I143" s="51">
        <f t="shared" si="950"/>
        <v>0</v>
      </c>
      <c r="J143" s="48">
        <f t="shared" ref="J143:J148" si="1607">+H143*BC143</f>
        <v>0</v>
      </c>
      <c r="K143" s="51">
        <f t="shared" ref="K143:K148" si="1608">+J143*3.3058</f>
        <v>0</v>
      </c>
      <c r="L143" s="48">
        <f t="shared" ref="L143:L148" si="1609">+H143*BD143</f>
        <v>0</v>
      </c>
      <c r="M143" s="51">
        <f t="shared" ref="M143:M148" si="1610">+L143*3.3058</f>
        <v>0</v>
      </c>
      <c r="N143" s="48">
        <f t="shared" ref="N143:N148" si="1611">+H143*BE143</f>
        <v>0</v>
      </c>
      <c r="O143" s="51">
        <f t="shared" ref="O143:O148" si="1612">+N143*3.3058</f>
        <v>0</v>
      </c>
      <c r="P143" s="52">
        <f t="shared" ref="P143:P148" si="1613">+H143*BF143</f>
        <v>0</v>
      </c>
      <c r="Q143" s="51">
        <f t="shared" ref="Q143:Q148" si="1614">+P143*3.3058</f>
        <v>0</v>
      </c>
      <c r="R143" s="48">
        <f t="shared" ref="R143:R148" si="1615">+H143*BG143</f>
        <v>0</v>
      </c>
      <c r="S143" s="51">
        <f t="shared" ref="S143:S148" si="1616">+R143*3.3058</f>
        <v>0</v>
      </c>
      <c r="T143" s="52">
        <f t="shared" ref="T143:T148" si="1617">+H143*BH143</f>
        <v>0</v>
      </c>
      <c r="U143" s="51">
        <f t="shared" ref="U143:U148" si="1618">+T143*3.3058</f>
        <v>0</v>
      </c>
      <c r="V143" s="53">
        <f t="shared" ref="V143:V148" si="1619">+H143*BI143</f>
        <v>0</v>
      </c>
      <c r="W143" s="51">
        <f t="shared" ref="W143:W148" si="1620">+V143*3.3058</f>
        <v>0</v>
      </c>
      <c r="X143" s="52">
        <f t="shared" ref="X143:X148" si="1621">+H143*BJ143</f>
        <v>0</v>
      </c>
      <c r="Y143" s="51">
        <f t="shared" ref="Y143:Y148" si="1622">+X143*3.3058</f>
        <v>0</v>
      </c>
      <c r="Z143" s="48">
        <f t="shared" ref="Z143:Z148" si="1623">+H143*BK143</f>
        <v>0</v>
      </c>
      <c r="AA143" s="51">
        <f t="shared" ref="AA143:AA148" si="1624">+Z143*3.3058</f>
        <v>0</v>
      </c>
      <c r="AB143" s="53">
        <f t="shared" ref="AB143:AB148" si="1625">+H143*BL143</f>
        <v>0</v>
      </c>
      <c r="AC143" s="51">
        <f t="shared" ref="AC143:AC148" si="1626">+AB143*3.3058</f>
        <v>0</v>
      </c>
      <c r="AD143" s="53">
        <f t="shared" ref="AD143:AD148" si="1627">+H143*BM143</f>
        <v>0</v>
      </c>
      <c r="AE143" s="51">
        <f t="shared" ref="AE143:AE148" si="1628">+AD143*3.3058</f>
        <v>0</v>
      </c>
      <c r="AF143" s="53">
        <f t="shared" ref="AF143:AF148" si="1629">+H143*BN143</f>
        <v>0</v>
      </c>
      <c r="AG143" s="51">
        <f t="shared" ref="AG143:AG148" si="1630">+AF143*3.3058</f>
        <v>0</v>
      </c>
      <c r="AH143" s="48">
        <f t="shared" ref="AH143:AH148" si="1631">+H143*BO143</f>
        <v>0</v>
      </c>
      <c r="AI143" s="51">
        <f t="shared" ref="AI143:AI148" si="1632">+AH143*3.3058</f>
        <v>0</v>
      </c>
      <c r="AJ143" s="53">
        <f t="shared" ref="AJ143:AJ148" si="1633">+H143*BP143</f>
        <v>0</v>
      </c>
      <c r="AK143" s="51">
        <f t="shared" ref="AK143:AK148" si="1634">+AJ143*3.3058</f>
        <v>0</v>
      </c>
      <c r="AL143" s="53">
        <f t="shared" ref="AL143:AL148" si="1635">+H143*BQ143</f>
        <v>0</v>
      </c>
      <c r="AM143" s="51">
        <f t="shared" ref="AM143:AM148" si="1636">+AL143*3.3058</f>
        <v>0</v>
      </c>
      <c r="AN143" s="53">
        <f t="shared" ref="AN143:AN148" si="1637">+H143*BR143</f>
        <v>0</v>
      </c>
      <c r="AO143" s="51">
        <f t="shared" ref="AO143:AO148" si="1638">+AN143*3.3058</f>
        <v>0</v>
      </c>
      <c r="AP143" s="53">
        <f t="shared" ref="AP143:AP148" si="1639">+H143*BS143</f>
        <v>0</v>
      </c>
      <c r="AQ143" s="51">
        <f t="shared" ref="AQ143:AQ148" si="1640">+AP143*3.3058</f>
        <v>0</v>
      </c>
      <c r="AR143" s="48">
        <f t="shared" ref="AR143:AR148" si="1641">+H143*BT143</f>
        <v>0</v>
      </c>
      <c r="AS143" s="51">
        <f t="shared" ref="AS143:AS148" si="1642">+AR143*3.3058</f>
        <v>0</v>
      </c>
      <c r="AT143" s="53">
        <f t="shared" ref="AT143:AT148" si="1643">+H143*BU143</f>
        <v>0</v>
      </c>
      <c r="AU143" s="51">
        <f t="shared" ref="AU143:AU148" si="1644">+AT143*3.3058</f>
        <v>0</v>
      </c>
      <c r="AV143" s="53">
        <f t="shared" ref="AV143:AV148" si="1645">+H143*BV143</f>
        <v>0</v>
      </c>
      <c r="AW143" s="51">
        <f t="shared" ref="AW143:AW148" si="1646">+AV143*3.3058</f>
        <v>0</v>
      </c>
      <c r="AX143" s="48">
        <f t="shared" ref="AX143:AX148" si="1647">+H143*BW143</f>
        <v>0</v>
      </c>
      <c r="AY143" s="51">
        <f t="shared" ref="AY143:AY148" si="1648">+AX143*3.3058</f>
        <v>0</v>
      </c>
      <c r="BB143" s="48">
        <v>1</v>
      </c>
      <c r="BC143" s="48">
        <v>0.97</v>
      </c>
      <c r="BD143" s="48">
        <v>0.95</v>
      </c>
      <c r="BE143" s="48">
        <v>0.93</v>
      </c>
      <c r="BF143" s="48">
        <f t="shared" ref="BF143:BW143" si="1649">+BE143-0.02</f>
        <v>0.91</v>
      </c>
      <c r="BG143" s="48">
        <f t="shared" si="1649"/>
        <v>0.89</v>
      </c>
      <c r="BH143" s="48">
        <f t="shared" si="1649"/>
        <v>0.87</v>
      </c>
      <c r="BI143" s="48">
        <f t="shared" si="1649"/>
        <v>0.85</v>
      </c>
      <c r="BJ143" s="48">
        <f t="shared" si="1649"/>
        <v>0.83</v>
      </c>
      <c r="BK143" s="48">
        <f t="shared" si="1649"/>
        <v>0.80999999999999994</v>
      </c>
      <c r="BL143" s="48">
        <f t="shared" si="1649"/>
        <v>0.78999999999999992</v>
      </c>
      <c r="BM143" s="48">
        <f t="shared" si="1649"/>
        <v>0.76999999999999991</v>
      </c>
      <c r="BN143" s="48">
        <f t="shared" si="1649"/>
        <v>0.74999999999999989</v>
      </c>
      <c r="BO143" s="48">
        <f t="shared" si="1649"/>
        <v>0.72999999999999987</v>
      </c>
      <c r="BP143" s="48">
        <f t="shared" si="1649"/>
        <v>0.70999999999999985</v>
      </c>
      <c r="BQ143" s="48">
        <f t="shared" si="1649"/>
        <v>0.68999999999999984</v>
      </c>
      <c r="BR143" s="48">
        <f t="shared" si="1649"/>
        <v>0.66999999999999982</v>
      </c>
      <c r="BS143" s="48">
        <f t="shared" si="1649"/>
        <v>0.6499999999999998</v>
      </c>
      <c r="BT143" s="48">
        <f t="shared" si="1649"/>
        <v>0.62999999999999978</v>
      </c>
      <c r="BU143" s="48">
        <f t="shared" si="1649"/>
        <v>0.60999999999999976</v>
      </c>
      <c r="BV143" s="48">
        <f t="shared" si="1649"/>
        <v>0.58999999999999975</v>
      </c>
      <c r="BW143" s="48">
        <f t="shared" si="1649"/>
        <v>0.56999999999999973</v>
      </c>
      <c r="BY143" s="48">
        <f t="shared" si="952"/>
        <v>0</v>
      </c>
      <c r="BZ143" s="48">
        <f t="shared" si="953"/>
        <v>0</v>
      </c>
      <c r="CA143" s="51">
        <f t="shared" ref="CA143" si="1650">+BZ143*3.3058</f>
        <v>0</v>
      </c>
      <c r="CB143" s="48">
        <f t="shared" ref="CB143:CB148" si="1651">+BZ143*DU143</f>
        <v>0</v>
      </c>
      <c r="CC143" s="51">
        <f t="shared" ref="CC143:CC148" si="1652">+CB143*3.3058</f>
        <v>0</v>
      </c>
      <c r="CD143" s="48">
        <f t="shared" ref="CD143:CD148" si="1653">+BZ143*DV143</f>
        <v>0</v>
      </c>
      <c r="CE143" s="51">
        <f t="shared" ref="CE143:CE148" si="1654">+CD143*3.3058</f>
        <v>0</v>
      </c>
      <c r="CF143" s="48">
        <f t="shared" ref="CF143:CF148" si="1655">+BZ143*DW143</f>
        <v>0</v>
      </c>
      <c r="CG143" s="51">
        <f t="shared" ref="CG143:CG148" si="1656">+CF143*3.3058</f>
        <v>0</v>
      </c>
      <c r="CH143" s="52">
        <f t="shared" ref="CH143:CH148" si="1657">+BZ143*DX143</f>
        <v>0</v>
      </c>
      <c r="CI143" s="51">
        <f t="shared" ref="CI143:CI148" si="1658">+CH143*3.3058</f>
        <v>0</v>
      </c>
      <c r="CJ143" s="48">
        <f t="shared" ref="CJ143:CJ148" si="1659">+BZ143*DY143</f>
        <v>0</v>
      </c>
      <c r="CK143" s="51">
        <f t="shared" ref="CK143:CK148" si="1660">+CJ143*3.3058</f>
        <v>0</v>
      </c>
      <c r="CL143" s="52">
        <f t="shared" ref="CL143:CL148" si="1661">+BZ143*DZ143</f>
        <v>0</v>
      </c>
      <c r="CM143" s="51">
        <f t="shared" ref="CM143:CM148" si="1662">+CL143*3.3058</f>
        <v>0</v>
      </c>
      <c r="CN143" s="53">
        <f t="shared" ref="CN143:CN148" si="1663">+BZ143*EA143</f>
        <v>0</v>
      </c>
      <c r="CO143" s="51">
        <f t="shared" ref="CO143:CO148" si="1664">+CN143*3.3058</f>
        <v>0</v>
      </c>
      <c r="CP143" s="52">
        <f t="shared" ref="CP143:CP148" si="1665">+BZ143*EB143</f>
        <v>0</v>
      </c>
      <c r="CQ143" s="51">
        <f t="shared" ref="CQ143:CQ148" si="1666">+CP143*3.3058</f>
        <v>0</v>
      </c>
      <c r="CR143" s="48">
        <f t="shared" ref="CR143:CR148" si="1667">+BZ143*EC143</f>
        <v>0</v>
      </c>
      <c r="CS143" s="51">
        <f t="shared" ref="CS143:CS148" si="1668">+CR143*3.3058</f>
        <v>0</v>
      </c>
      <c r="CT143" s="53">
        <f t="shared" ref="CT143:CT148" si="1669">+BZ143*ED143</f>
        <v>0</v>
      </c>
      <c r="CU143" s="51">
        <f t="shared" ref="CU143:CU148" si="1670">+CT143*3.3058</f>
        <v>0</v>
      </c>
      <c r="CV143" s="53">
        <f t="shared" ref="CV143:CV148" si="1671">+BZ143*EE143</f>
        <v>0</v>
      </c>
      <c r="CW143" s="51">
        <f t="shared" ref="CW143:CW148" si="1672">+CV143*3.3058</f>
        <v>0</v>
      </c>
      <c r="CX143" s="53">
        <f t="shared" ref="CX143:CX148" si="1673">+BZ143*EF143</f>
        <v>0</v>
      </c>
      <c r="CY143" s="51">
        <f t="shared" ref="CY143:CY148" si="1674">+CX143*3.3058</f>
        <v>0</v>
      </c>
      <c r="CZ143" s="48">
        <f t="shared" ref="CZ143:CZ148" si="1675">+BZ143*EG143</f>
        <v>0</v>
      </c>
      <c r="DA143" s="51">
        <f t="shared" ref="DA143:DA148" si="1676">+CZ143*3.3058</f>
        <v>0</v>
      </c>
      <c r="DB143" s="53">
        <f t="shared" ref="DB143:DB148" si="1677">+BZ143*EH143</f>
        <v>0</v>
      </c>
      <c r="DC143" s="51">
        <f t="shared" ref="DC143:DC148" si="1678">+DB143*3.3058</f>
        <v>0</v>
      </c>
      <c r="DD143" s="53">
        <f t="shared" ref="DD143:DD148" si="1679">+BZ143*EI143</f>
        <v>0</v>
      </c>
      <c r="DE143" s="51">
        <f t="shared" ref="DE143:DE148" si="1680">+DD143*3.3058</f>
        <v>0</v>
      </c>
      <c r="DF143" s="53">
        <f t="shared" ref="DF143:DF148" si="1681">+BZ143*EJ143</f>
        <v>0</v>
      </c>
      <c r="DG143" s="51">
        <f t="shared" ref="DG143:DG148" si="1682">+DF143*3.3058</f>
        <v>0</v>
      </c>
      <c r="DH143" s="53">
        <f t="shared" ref="DH143:DH148" si="1683">+BZ143*EK143</f>
        <v>0</v>
      </c>
      <c r="DI143" s="51">
        <f t="shared" ref="DI143:DI148" si="1684">+DH143*3.3058</f>
        <v>0</v>
      </c>
      <c r="DJ143" s="48">
        <f t="shared" ref="DJ143:DJ148" si="1685">+BZ143*EL143</f>
        <v>0</v>
      </c>
      <c r="DK143" s="51">
        <f t="shared" ref="DK143:DK148" si="1686">+DJ143*3.3058</f>
        <v>0</v>
      </c>
      <c r="DL143" s="53">
        <f t="shared" ref="DL143:DL148" si="1687">+BZ143*EM143</f>
        <v>0</v>
      </c>
      <c r="DM143" s="51">
        <f t="shared" ref="DM143:DM148" si="1688">+DL143*3.3058</f>
        <v>0</v>
      </c>
      <c r="DN143" s="53">
        <f t="shared" ref="DN143:DN148" si="1689">+BZ143*EN143</f>
        <v>0</v>
      </c>
      <c r="DO143" s="51">
        <f t="shared" ref="DO143:DO148" si="1690">+DN143*3.3058</f>
        <v>0</v>
      </c>
      <c r="DP143" s="48">
        <f t="shared" ref="DP143:DP148" si="1691">+BZ143*EO143</f>
        <v>0</v>
      </c>
      <c r="DQ143" s="51">
        <f t="shared" ref="DQ143:DQ148" si="1692">+DP143*3.3058</f>
        <v>0</v>
      </c>
      <c r="DT143" s="48">
        <v>1</v>
      </c>
      <c r="DU143" s="48">
        <v>0.97</v>
      </c>
      <c r="DV143" s="48">
        <v>0.95</v>
      </c>
      <c r="DW143" s="48">
        <v>0.93</v>
      </c>
      <c r="DX143" s="48">
        <f t="shared" ref="DX143:EO143" si="1693">+DW143-0.02</f>
        <v>0.91</v>
      </c>
      <c r="DY143" s="48">
        <f t="shared" si="1693"/>
        <v>0.89</v>
      </c>
      <c r="DZ143" s="48">
        <f t="shared" si="1693"/>
        <v>0.87</v>
      </c>
      <c r="EA143" s="48">
        <f t="shared" si="1693"/>
        <v>0.85</v>
      </c>
      <c r="EB143" s="48">
        <f t="shared" si="1693"/>
        <v>0.83</v>
      </c>
      <c r="EC143" s="48">
        <f t="shared" si="1693"/>
        <v>0.80999999999999994</v>
      </c>
      <c r="ED143" s="48">
        <f t="shared" si="1693"/>
        <v>0.78999999999999992</v>
      </c>
      <c r="EE143" s="48">
        <f t="shared" si="1693"/>
        <v>0.76999999999999991</v>
      </c>
      <c r="EF143" s="48">
        <f t="shared" si="1693"/>
        <v>0.74999999999999989</v>
      </c>
      <c r="EG143" s="48">
        <f t="shared" si="1693"/>
        <v>0.72999999999999987</v>
      </c>
      <c r="EH143" s="48">
        <f t="shared" si="1693"/>
        <v>0.70999999999999985</v>
      </c>
      <c r="EI143" s="48">
        <f t="shared" si="1693"/>
        <v>0.68999999999999984</v>
      </c>
      <c r="EJ143" s="48">
        <f t="shared" si="1693"/>
        <v>0.66999999999999982</v>
      </c>
      <c r="EK143" s="48">
        <f t="shared" si="1693"/>
        <v>0.6499999999999998</v>
      </c>
      <c r="EL143" s="48">
        <f t="shared" si="1693"/>
        <v>0.62999999999999978</v>
      </c>
      <c r="EM143" s="48">
        <f t="shared" si="1693"/>
        <v>0.60999999999999976</v>
      </c>
      <c r="EN143" s="48">
        <f t="shared" si="1693"/>
        <v>0.58999999999999975</v>
      </c>
      <c r="EO143" s="48">
        <f t="shared" si="1693"/>
        <v>0.56999999999999973</v>
      </c>
      <c r="EQ143" s="48">
        <f t="shared" si="1128"/>
        <v>0</v>
      </c>
      <c r="ER143" s="48">
        <f t="shared" si="956"/>
        <v>0</v>
      </c>
      <c r="ES143" s="51">
        <f t="shared" ref="ES143" si="1694">+ER143*3.3058</f>
        <v>0</v>
      </c>
      <c r="ET143" s="48">
        <f t="shared" ref="ET143:ET148" si="1695">+ER143*GM143</f>
        <v>0</v>
      </c>
      <c r="EU143" s="51">
        <f t="shared" ref="EU143:EU148" si="1696">+ET143*3.3058</f>
        <v>0</v>
      </c>
      <c r="EV143" s="48">
        <f t="shared" ref="EV143:EV148" si="1697">+ER143*GN143</f>
        <v>0</v>
      </c>
      <c r="EW143" s="51">
        <f t="shared" ref="EW143:EW148" si="1698">+EV143*3.3058</f>
        <v>0</v>
      </c>
      <c r="EX143" s="48">
        <f t="shared" ref="EX143:EX148" si="1699">+ER143*GO143</f>
        <v>0</v>
      </c>
      <c r="EY143" s="51">
        <f t="shared" ref="EY143:EY148" si="1700">+EX143*3.3058</f>
        <v>0</v>
      </c>
      <c r="EZ143" s="52">
        <f t="shared" ref="EZ143:EZ148" si="1701">+ER143*GP143</f>
        <v>0</v>
      </c>
      <c r="FA143" s="51">
        <f t="shared" ref="FA143:FA148" si="1702">+EZ143*3.3058</f>
        <v>0</v>
      </c>
      <c r="FB143" s="48">
        <f t="shared" ref="FB143:FB148" si="1703">+ER143*GQ143</f>
        <v>0</v>
      </c>
      <c r="FC143" s="51">
        <f t="shared" ref="FC143:FC148" si="1704">+FB143*3.3058</f>
        <v>0</v>
      </c>
      <c r="FD143" s="52">
        <f t="shared" ref="FD143:FD148" si="1705">+ER143*GR143</f>
        <v>0</v>
      </c>
      <c r="FE143" s="51">
        <f t="shared" ref="FE143:FE148" si="1706">+FD143*3.3058</f>
        <v>0</v>
      </c>
      <c r="FF143" s="53">
        <f t="shared" ref="FF143:FF148" si="1707">+ER143*GS143</f>
        <v>0</v>
      </c>
      <c r="FG143" s="51">
        <f t="shared" ref="FG143:FG148" si="1708">+FF143*3.3058</f>
        <v>0</v>
      </c>
      <c r="FH143" s="52">
        <f t="shared" ref="FH143:FH148" si="1709">+ER143*GT143</f>
        <v>0</v>
      </c>
      <c r="FI143" s="51">
        <f t="shared" ref="FI143:FI148" si="1710">+FH143*3.3058</f>
        <v>0</v>
      </c>
      <c r="FJ143" s="48">
        <f t="shared" ref="FJ143:FJ148" si="1711">+ER143*GU143</f>
        <v>0</v>
      </c>
      <c r="FK143" s="51">
        <f t="shared" ref="FK143:FK148" si="1712">+FJ143*3.3058</f>
        <v>0</v>
      </c>
      <c r="FL143" s="53">
        <f t="shared" ref="FL143:FL148" si="1713">+ER143*GV143</f>
        <v>0</v>
      </c>
      <c r="FM143" s="51">
        <f t="shared" ref="FM143:FM148" si="1714">+FL143*3.3058</f>
        <v>0</v>
      </c>
      <c r="FN143" s="53">
        <f t="shared" ref="FN143:FN148" si="1715">+ER143*GW143</f>
        <v>0</v>
      </c>
      <c r="FO143" s="51">
        <f t="shared" ref="FO143:FO148" si="1716">+FN143*3.3058</f>
        <v>0</v>
      </c>
      <c r="FP143" s="53">
        <f t="shared" ref="FP143:FP148" si="1717">+ER143*GX143</f>
        <v>0</v>
      </c>
      <c r="FQ143" s="51">
        <f t="shared" ref="FQ143:FQ148" si="1718">+FP143*3.3058</f>
        <v>0</v>
      </c>
      <c r="FR143" s="48">
        <f t="shared" ref="FR143:FR148" si="1719">+ER143*GY143</f>
        <v>0</v>
      </c>
      <c r="FS143" s="51">
        <f t="shared" ref="FS143:FS148" si="1720">+FR143*3.3058</f>
        <v>0</v>
      </c>
      <c r="FT143" s="53">
        <f t="shared" ref="FT143:FT148" si="1721">+ER143*GZ143</f>
        <v>0</v>
      </c>
      <c r="FU143" s="51">
        <f t="shared" ref="FU143:FU148" si="1722">+FT143*3.3058</f>
        <v>0</v>
      </c>
      <c r="FV143" s="53">
        <f t="shared" ref="FV143:FV148" si="1723">+ER143*HA143</f>
        <v>0</v>
      </c>
      <c r="FW143" s="51">
        <f t="shared" ref="FW143:FW148" si="1724">+FV143*3.3058</f>
        <v>0</v>
      </c>
      <c r="FX143" s="53">
        <f t="shared" ref="FX143:FX148" si="1725">+ER143*HB143</f>
        <v>0</v>
      </c>
      <c r="FY143" s="51">
        <f t="shared" ref="FY143:FY148" si="1726">+FX143*3.3058</f>
        <v>0</v>
      </c>
      <c r="FZ143" s="53">
        <f t="shared" ref="FZ143:FZ148" si="1727">+ER143*HC143</f>
        <v>0</v>
      </c>
      <c r="GA143" s="51">
        <f t="shared" ref="GA143:GA148" si="1728">+FZ143*3.3058</f>
        <v>0</v>
      </c>
      <c r="GB143" s="48">
        <f t="shared" ref="GB143:GB148" si="1729">+ER143*HD143</f>
        <v>0</v>
      </c>
      <c r="GC143" s="51">
        <f t="shared" ref="GC143:GC148" si="1730">+GB143*3.3058</f>
        <v>0</v>
      </c>
      <c r="GD143" s="53">
        <f t="shared" ref="GD143:GD148" si="1731">+ER143*HE143</f>
        <v>0</v>
      </c>
      <c r="GE143" s="51">
        <f t="shared" ref="GE143:GE148" si="1732">+GD143*3.3058</f>
        <v>0</v>
      </c>
      <c r="GF143" s="53">
        <f t="shared" ref="GF143:GF148" si="1733">+ER143*HF143</f>
        <v>0</v>
      </c>
      <c r="GG143" s="51">
        <f t="shared" ref="GG143:GG148" si="1734">+GF143*3.3058</f>
        <v>0</v>
      </c>
      <c r="GH143" s="48">
        <f t="shared" ref="GH143:GH148" si="1735">+ER143*HG143</f>
        <v>0</v>
      </c>
      <c r="GI143" s="51">
        <f t="shared" ref="GI143:GI148" si="1736">+GH143*3.3058</f>
        <v>0</v>
      </c>
      <c r="GJ143" s="48"/>
      <c r="GK143" s="48"/>
      <c r="GL143" s="48">
        <v>1</v>
      </c>
      <c r="GM143" s="48">
        <v>0.97</v>
      </c>
      <c r="GN143" s="48">
        <v>0.95</v>
      </c>
      <c r="GO143" s="48">
        <v>0.93</v>
      </c>
      <c r="GP143" s="48">
        <f t="shared" ref="GP143:HG143" si="1737">+GO143-0.02</f>
        <v>0.91</v>
      </c>
      <c r="GQ143" s="48">
        <f t="shared" si="1737"/>
        <v>0.89</v>
      </c>
      <c r="GR143" s="48">
        <f t="shared" si="1737"/>
        <v>0.87</v>
      </c>
      <c r="GS143" s="48">
        <f t="shared" si="1737"/>
        <v>0.85</v>
      </c>
      <c r="GT143" s="48">
        <f t="shared" si="1737"/>
        <v>0.83</v>
      </c>
      <c r="GU143" s="48">
        <f t="shared" si="1737"/>
        <v>0.80999999999999994</v>
      </c>
      <c r="GV143" s="48">
        <f t="shared" si="1737"/>
        <v>0.78999999999999992</v>
      </c>
      <c r="GW143" s="48">
        <f t="shared" si="1737"/>
        <v>0.76999999999999991</v>
      </c>
      <c r="GX143" s="48">
        <f t="shared" si="1737"/>
        <v>0.74999999999999989</v>
      </c>
      <c r="GY143" s="48">
        <f t="shared" si="1737"/>
        <v>0.72999999999999987</v>
      </c>
      <c r="GZ143" s="48">
        <f t="shared" si="1737"/>
        <v>0.70999999999999985</v>
      </c>
      <c r="HA143" s="48">
        <f t="shared" si="1737"/>
        <v>0.68999999999999984</v>
      </c>
      <c r="HB143" s="48">
        <f t="shared" si="1737"/>
        <v>0.66999999999999982</v>
      </c>
      <c r="HC143" s="48">
        <f t="shared" si="1737"/>
        <v>0.6499999999999998</v>
      </c>
      <c r="HD143" s="48">
        <f t="shared" si="1737"/>
        <v>0.62999999999999978</v>
      </c>
      <c r="HE143" s="48">
        <f t="shared" si="1737"/>
        <v>0.60999999999999976</v>
      </c>
      <c r="HF143" s="48">
        <f t="shared" si="1737"/>
        <v>0.58999999999999975</v>
      </c>
      <c r="HG143" s="48">
        <f t="shared" si="1737"/>
        <v>0.56999999999999973</v>
      </c>
    </row>
    <row r="144" spans="1:215" x14ac:dyDescent="0.3">
      <c r="A144" s="2">
        <v>2</v>
      </c>
      <c r="C144" s="39" t="s">
        <v>199</v>
      </c>
      <c r="D144" s="44">
        <v>0</v>
      </c>
      <c r="E144" s="73">
        <f>TRUNC(+D144*3.3058,-1)</f>
        <v>0</v>
      </c>
      <c r="G144" s="48">
        <f t="shared" si="948"/>
        <v>0</v>
      </c>
      <c r="H144" s="48">
        <f t="shared" si="949"/>
        <v>0</v>
      </c>
      <c r="I144" s="51">
        <f t="shared" si="950"/>
        <v>0</v>
      </c>
      <c r="J144" s="48">
        <f t="shared" si="1607"/>
        <v>0</v>
      </c>
      <c r="K144" s="51">
        <f t="shared" si="1608"/>
        <v>0</v>
      </c>
      <c r="L144" s="48">
        <f t="shared" si="1609"/>
        <v>0</v>
      </c>
      <c r="M144" s="51">
        <f t="shared" si="1610"/>
        <v>0</v>
      </c>
      <c r="N144" s="48">
        <f t="shared" si="1611"/>
        <v>0</v>
      </c>
      <c r="O144" s="51">
        <f t="shared" si="1612"/>
        <v>0</v>
      </c>
      <c r="P144" s="52">
        <f t="shared" si="1613"/>
        <v>0</v>
      </c>
      <c r="Q144" s="51">
        <f t="shared" si="1614"/>
        <v>0</v>
      </c>
      <c r="R144" s="48">
        <f t="shared" si="1615"/>
        <v>0</v>
      </c>
      <c r="S144" s="51">
        <f t="shared" si="1616"/>
        <v>0</v>
      </c>
      <c r="T144" s="52">
        <f t="shared" si="1617"/>
        <v>0</v>
      </c>
      <c r="U144" s="51">
        <f t="shared" si="1618"/>
        <v>0</v>
      </c>
      <c r="V144" s="53">
        <f t="shared" si="1619"/>
        <v>0</v>
      </c>
      <c r="W144" s="51">
        <f t="shared" si="1620"/>
        <v>0</v>
      </c>
      <c r="X144" s="52">
        <f t="shared" si="1621"/>
        <v>0</v>
      </c>
      <c r="Y144" s="51">
        <f t="shared" si="1622"/>
        <v>0</v>
      </c>
      <c r="Z144" s="48">
        <f t="shared" si="1623"/>
        <v>0</v>
      </c>
      <c r="AA144" s="51">
        <f t="shared" si="1624"/>
        <v>0</v>
      </c>
      <c r="AB144" s="53">
        <f t="shared" si="1625"/>
        <v>0</v>
      </c>
      <c r="AC144" s="51">
        <f t="shared" si="1626"/>
        <v>0</v>
      </c>
      <c r="AD144" s="53">
        <f t="shared" si="1627"/>
        <v>0</v>
      </c>
      <c r="AE144" s="51">
        <f t="shared" si="1628"/>
        <v>0</v>
      </c>
      <c r="AF144" s="53">
        <f t="shared" si="1629"/>
        <v>0</v>
      </c>
      <c r="AG144" s="51">
        <f t="shared" si="1630"/>
        <v>0</v>
      </c>
      <c r="AH144" s="48">
        <f t="shared" si="1631"/>
        <v>0</v>
      </c>
      <c r="AI144" s="51">
        <f t="shared" si="1632"/>
        <v>0</v>
      </c>
      <c r="AJ144" s="53">
        <f t="shared" si="1633"/>
        <v>0</v>
      </c>
      <c r="AK144" s="51">
        <f t="shared" si="1634"/>
        <v>0</v>
      </c>
      <c r="AL144" s="53">
        <f t="shared" si="1635"/>
        <v>0</v>
      </c>
      <c r="AM144" s="51">
        <f t="shared" si="1636"/>
        <v>0</v>
      </c>
      <c r="AN144" s="53">
        <f t="shared" si="1637"/>
        <v>0</v>
      </c>
      <c r="AO144" s="51">
        <f t="shared" si="1638"/>
        <v>0</v>
      </c>
      <c r="AP144" s="53">
        <f t="shared" si="1639"/>
        <v>0</v>
      </c>
      <c r="AQ144" s="51">
        <f t="shared" si="1640"/>
        <v>0</v>
      </c>
      <c r="AR144" s="48">
        <f t="shared" si="1641"/>
        <v>0</v>
      </c>
      <c r="AS144" s="51">
        <f t="shared" si="1642"/>
        <v>0</v>
      </c>
      <c r="AT144" s="53">
        <f t="shared" si="1643"/>
        <v>0</v>
      </c>
      <c r="AU144" s="51">
        <f t="shared" si="1644"/>
        <v>0</v>
      </c>
      <c r="AV144" s="53">
        <f t="shared" si="1645"/>
        <v>0</v>
      </c>
      <c r="AW144" s="51">
        <f t="shared" si="1646"/>
        <v>0</v>
      </c>
      <c r="AX144" s="48">
        <f t="shared" si="1647"/>
        <v>0</v>
      </c>
      <c r="AY144" s="51">
        <f t="shared" si="1648"/>
        <v>0</v>
      </c>
      <c r="BB144" s="48">
        <v>1</v>
      </c>
      <c r="BC144" s="48">
        <v>0.97</v>
      </c>
      <c r="BD144" s="48">
        <v>0.95</v>
      </c>
      <c r="BE144" s="48">
        <v>0.93</v>
      </c>
      <c r="BF144" s="48">
        <f t="shared" ref="BF144:BW144" si="1738">+BE144-0.02</f>
        <v>0.91</v>
      </c>
      <c r="BG144" s="48">
        <f t="shared" si="1738"/>
        <v>0.89</v>
      </c>
      <c r="BH144" s="48">
        <f t="shared" si="1738"/>
        <v>0.87</v>
      </c>
      <c r="BI144" s="48">
        <f t="shared" si="1738"/>
        <v>0.85</v>
      </c>
      <c r="BJ144" s="48">
        <f t="shared" si="1738"/>
        <v>0.83</v>
      </c>
      <c r="BK144" s="48">
        <f t="shared" si="1738"/>
        <v>0.80999999999999994</v>
      </c>
      <c r="BL144" s="48">
        <f t="shared" si="1738"/>
        <v>0.78999999999999992</v>
      </c>
      <c r="BM144" s="48">
        <f t="shared" si="1738"/>
        <v>0.76999999999999991</v>
      </c>
      <c r="BN144" s="48">
        <f t="shared" si="1738"/>
        <v>0.74999999999999989</v>
      </c>
      <c r="BO144" s="48">
        <f t="shared" si="1738"/>
        <v>0.72999999999999987</v>
      </c>
      <c r="BP144" s="48">
        <f t="shared" si="1738"/>
        <v>0.70999999999999985</v>
      </c>
      <c r="BQ144" s="48">
        <f t="shared" si="1738"/>
        <v>0.68999999999999984</v>
      </c>
      <c r="BR144" s="48">
        <f t="shared" si="1738"/>
        <v>0.66999999999999982</v>
      </c>
      <c r="BS144" s="48">
        <f t="shared" si="1738"/>
        <v>0.6499999999999998</v>
      </c>
      <c r="BT144" s="48">
        <f t="shared" si="1738"/>
        <v>0.62999999999999978</v>
      </c>
      <c r="BU144" s="48">
        <f t="shared" si="1738"/>
        <v>0.60999999999999976</v>
      </c>
      <c r="BV144" s="48">
        <f t="shared" si="1738"/>
        <v>0.58999999999999975</v>
      </c>
      <c r="BW144" s="48">
        <f t="shared" si="1738"/>
        <v>0.56999999999999973</v>
      </c>
      <c r="BY144" s="48">
        <f t="shared" si="952"/>
        <v>0</v>
      </c>
      <c r="BZ144" s="48">
        <f t="shared" si="953"/>
        <v>0</v>
      </c>
      <c r="CA144" s="51">
        <f t="shared" ref="CA144" si="1739">+BZ144*3.3058</f>
        <v>0</v>
      </c>
      <c r="CB144" s="48">
        <f t="shared" si="1651"/>
        <v>0</v>
      </c>
      <c r="CC144" s="51">
        <f t="shared" si="1652"/>
        <v>0</v>
      </c>
      <c r="CD144" s="48">
        <f t="shared" si="1653"/>
        <v>0</v>
      </c>
      <c r="CE144" s="51">
        <f t="shared" si="1654"/>
        <v>0</v>
      </c>
      <c r="CF144" s="48">
        <f t="shared" si="1655"/>
        <v>0</v>
      </c>
      <c r="CG144" s="51">
        <f t="shared" si="1656"/>
        <v>0</v>
      </c>
      <c r="CH144" s="52">
        <f t="shared" si="1657"/>
        <v>0</v>
      </c>
      <c r="CI144" s="51">
        <f t="shared" si="1658"/>
        <v>0</v>
      </c>
      <c r="CJ144" s="48">
        <f t="shared" si="1659"/>
        <v>0</v>
      </c>
      <c r="CK144" s="51">
        <f t="shared" si="1660"/>
        <v>0</v>
      </c>
      <c r="CL144" s="52">
        <f t="shared" si="1661"/>
        <v>0</v>
      </c>
      <c r="CM144" s="51">
        <f t="shared" si="1662"/>
        <v>0</v>
      </c>
      <c r="CN144" s="53">
        <f t="shared" si="1663"/>
        <v>0</v>
      </c>
      <c r="CO144" s="51">
        <f t="shared" si="1664"/>
        <v>0</v>
      </c>
      <c r="CP144" s="52">
        <f t="shared" si="1665"/>
        <v>0</v>
      </c>
      <c r="CQ144" s="51">
        <f t="shared" si="1666"/>
        <v>0</v>
      </c>
      <c r="CR144" s="48">
        <f t="shared" si="1667"/>
        <v>0</v>
      </c>
      <c r="CS144" s="51">
        <f t="shared" si="1668"/>
        <v>0</v>
      </c>
      <c r="CT144" s="53">
        <f t="shared" si="1669"/>
        <v>0</v>
      </c>
      <c r="CU144" s="51">
        <f t="shared" si="1670"/>
        <v>0</v>
      </c>
      <c r="CV144" s="53">
        <f t="shared" si="1671"/>
        <v>0</v>
      </c>
      <c r="CW144" s="51">
        <f t="shared" si="1672"/>
        <v>0</v>
      </c>
      <c r="CX144" s="53">
        <f t="shared" si="1673"/>
        <v>0</v>
      </c>
      <c r="CY144" s="51">
        <f t="shared" si="1674"/>
        <v>0</v>
      </c>
      <c r="CZ144" s="48">
        <f t="shared" si="1675"/>
        <v>0</v>
      </c>
      <c r="DA144" s="51">
        <f t="shared" si="1676"/>
        <v>0</v>
      </c>
      <c r="DB144" s="53">
        <f t="shared" si="1677"/>
        <v>0</v>
      </c>
      <c r="DC144" s="51">
        <f t="shared" si="1678"/>
        <v>0</v>
      </c>
      <c r="DD144" s="53">
        <f t="shared" si="1679"/>
        <v>0</v>
      </c>
      <c r="DE144" s="51">
        <f t="shared" si="1680"/>
        <v>0</v>
      </c>
      <c r="DF144" s="53">
        <f t="shared" si="1681"/>
        <v>0</v>
      </c>
      <c r="DG144" s="51">
        <f t="shared" si="1682"/>
        <v>0</v>
      </c>
      <c r="DH144" s="53">
        <f t="shared" si="1683"/>
        <v>0</v>
      </c>
      <c r="DI144" s="51">
        <f t="shared" si="1684"/>
        <v>0</v>
      </c>
      <c r="DJ144" s="48">
        <f t="shared" si="1685"/>
        <v>0</v>
      </c>
      <c r="DK144" s="51">
        <f t="shared" si="1686"/>
        <v>0</v>
      </c>
      <c r="DL144" s="53">
        <f t="shared" si="1687"/>
        <v>0</v>
      </c>
      <c r="DM144" s="51">
        <f t="shared" si="1688"/>
        <v>0</v>
      </c>
      <c r="DN144" s="53">
        <f t="shared" si="1689"/>
        <v>0</v>
      </c>
      <c r="DO144" s="51">
        <f t="shared" si="1690"/>
        <v>0</v>
      </c>
      <c r="DP144" s="48">
        <f t="shared" si="1691"/>
        <v>0</v>
      </c>
      <c r="DQ144" s="51">
        <f t="shared" si="1692"/>
        <v>0</v>
      </c>
      <c r="DT144" s="48">
        <v>1</v>
      </c>
      <c r="DU144" s="48">
        <v>0.97</v>
      </c>
      <c r="DV144" s="48">
        <v>0.95</v>
      </c>
      <c r="DW144" s="48">
        <v>0.93</v>
      </c>
      <c r="DX144" s="48">
        <f t="shared" ref="DX144:EO144" si="1740">+DW144-0.02</f>
        <v>0.91</v>
      </c>
      <c r="DY144" s="48">
        <f t="shared" si="1740"/>
        <v>0.89</v>
      </c>
      <c r="DZ144" s="48">
        <f t="shared" si="1740"/>
        <v>0.87</v>
      </c>
      <c r="EA144" s="48">
        <f t="shared" si="1740"/>
        <v>0.85</v>
      </c>
      <c r="EB144" s="48">
        <f t="shared" si="1740"/>
        <v>0.83</v>
      </c>
      <c r="EC144" s="48">
        <f t="shared" si="1740"/>
        <v>0.80999999999999994</v>
      </c>
      <c r="ED144" s="48">
        <f t="shared" si="1740"/>
        <v>0.78999999999999992</v>
      </c>
      <c r="EE144" s="48">
        <f t="shared" si="1740"/>
        <v>0.76999999999999991</v>
      </c>
      <c r="EF144" s="48">
        <f t="shared" si="1740"/>
        <v>0.74999999999999989</v>
      </c>
      <c r="EG144" s="48">
        <f t="shared" si="1740"/>
        <v>0.72999999999999987</v>
      </c>
      <c r="EH144" s="48">
        <f t="shared" si="1740"/>
        <v>0.70999999999999985</v>
      </c>
      <c r="EI144" s="48">
        <f t="shared" si="1740"/>
        <v>0.68999999999999984</v>
      </c>
      <c r="EJ144" s="48">
        <f t="shared" si="1740"/>
        <v>0.66999999999999982</v>
      </c>
      <c r="EK144" s="48">
        <f t="shared" si="1740"/>
        <v>0.6499999999999998</v>
      </c>
      <c r="EL144" s="48">
        <f t="shared" si="1740"/>
        <v>0.62999999999999978</v>
      </c>
      <c r="EM144" s="48">
        <f t="shared" si="1740"/>
        <v>0.60999999999999976</v>
      </c>
      <c r="EN144" s="48">
        <f t="shared" si="1740"/>
        <v>0.58999999999999975</v>
      </c>
      <c r="EO144" s="48">
        <f t="shared" si="1740"/>
        <v>0.56999999999999973</v>
      </c>
      <c r="EQ144" s="48">
        <f t="shared" si="1128"/>
        <v>0</v>
      </c>
      <c r="ER144" s="48">
        <f t="shared" si="956"/>
        <v>0</v>
      </c>
      <c r="ES144" s="51">
        <f t="shared" ref="ES144" si="1741">+ER144*3.3058</f>
        <v>0</v>
      </c>
      <c r="ET144" s="48">
        <f t="shared" si="1695"/>
        <v>0</v>
      </c>
      <c r="EU144" s="51">
        <f t="shared" si="1696"/>
        <v>0</v>
      </c>
      <c r="EV144" s="48">
        <f t="shared" si="1697"/>
        <v>0</v>
      </c>
      <c r="EW144" s="51">
        <f t="shared" si="1698"/>
        <v>0</v>
      </c>
      <c r="EX144" s="48">
        <f t="shared" si="1699"/>
        <v>0</v>
      </c>
      <c r="EY144" s="51">
        <f t="shared" si="1700"/>
        <v>0</v>
      </c>
      <c r="EZ144" s="52">
        <f t="shared" si="1701"/>
        <v>0</v>
      </c>
      <c r="FA144" s="51">
        <f t="shared" si="1702"/>
        <v>0</v>
      </c>
      <c r="FB144" s="48">
        <f t="shared" si="1703"/>
        <v>0</v>
      </c>
      <c r="FC144" s="51">
        <f t="shared" si="1704"/>
        <v>0</v>
      </c>
      <c r="FD144" s="52">
        <f t="shared" si="1705"/>
        <v>0</v>
      </c>
      <c r="FE144" s="51">
        <f t="shared" si="1706"/>
        <v>0</v>
      </c>
      <c r="FF144" s="53">
        <f t="shared" si="1707"/>
        <v>0</v>
      </c>
      <c r="FG144" s="51">
        <f t="shared" si="1708"/>
        <v>0</v>
      </c>
      <c r="FH144" s="52">
        <f t="shared" si="1709"/>
        <v>0</v>
      </c>
      <c r="FI144" s="51">
        <f t="shared" si="1710"/>
        <v>0</v>
      </c>
      <c r="FJ144" s="48">
        <f t="shared" si="1711"/>
        <v>0</v>
      </c>
      <c r="FK144" s="51">
        <f t="shared" si="1712"/>
        <v>0</v>
      </c>
      <c r="FL144" s="53">
        <f t="shared" si="1713"/>
        <v>0</v>
      </c>
      <c r="FM144" s="51">
        <f t="shared" si="1714"/>
        <v>0</v>
      </c>
      <c r="FN144" s="53">
        <f t="shared" si="1715"/>
        <v>0</v>
      </c>
      <c r="FO144" s="51">
        <f t="shared" si="1716"/>
        <v>0</v>
      </c>
      <c r="FP144" s="53">
        <f t="shared" si="1717"/>
        <v>0</v>
      </c>
      <c r="FQ144" s="51">
        <f t="shared" si="1718"/>
        <v>0</v>
      </c>
      <c r="FR144" s="48">
        <f t="shared" si="1719"/>
        <v>0</v>
      </c>
      <c r="FS144" s="51">
        <f t="shared" si="1720"/>
        <v>0</v>
      </c>
      <c r="FT144" s="53">
        <f t="shared" si="1721"/>
        <v>0</v>
      </c>
      <c r="FU144" s="51">
        <f t="shared" si="1722"/>
        <v>0</v>
      </c>
      <c r="FV144" s="53">
        <f t="shared" si="1723"/>
        <v>0</v>
      </c>
      <c r="FW144" s="51">
        <f t="shared" si="1724"/>
        <v>0</v>
      </c>
      <c r="FX144" s="53">
        <f t="shared" si="1725"/>
        <v>0</v>
      </c>
      <c r="FY144" s="51">
        <f t="shared" si="1726"/>
        <v>0</v>
      </c>
      <c r="FZ144" s="53">
        <f t="shared" si="1727"/>
        <v>0</v>
      </c>
      <c r="GA144" s="51">
        <f t="shared" si="1728"/>
        <v>0</v>
      </c>
      <c r="GB144" s="48">
        <f t="shared" si="1729"/>
        <v>0</v>
      </c>
      <c r="GC144" s="51">
        <f t="shared" si="1730"/>
        <v>0</v>
      </c>
      <c r="GD144" s="53">
        <f t="shared" si="1731"/>
        <v>0</v>
      </c>
      <c r="GE144" s="51">
        <f t="shared" si="1732"/>
        <v>0</v>
      </c>
      <c r="GF144" s="53">
        <f t="shared" si="1733"/>
        <v>0</v>
      </c>
      <c r="GG144" s="51">
        <f t="shared" si="1734"/>
        <v>0</v>
      </c>
      <c r="GH144" s="48">
        <f t="shared" si="1735"/>
        <v>0</v>
      </c>
      <c r="GI144" s="51">
        <f t="shared" si="1736"/>
        <v>0</v>
      </c>
      <c r="GJ144" s="48"/>
      <c r="GK144" s="48"/>
      <c r="GL144" s="48">
        <v>1</v>
      </c>
      <c r="GM144" s="48">
        <v>0.97</v>
      </c>
      <c r="GN144" s="48">
        <v>0.95</v>
      </c>
      <c r="GO144" s="48">
        <v>0.93</v>
      </c>
      <c r="GP144" s="48">
        <f t="shared" ref="GP144:HG144" si="1742">+GO144-0.02</f>
        <v>0.91</v>
      </c>
      <c r="GQ144" s="48">
        <f t="shared" si="1742"/>
        <v>0.89</v>
      </c>
      <c r="GR144" s="48">
        <f t="shared" si="1742"/>
        <v>0.87</v>
      </c>
      <c r="GS144" s="48">
        <f t="shared" si="1742"/>
        <v>0.85</v>
      </c>
      <c r="GT144" s="48">
        <f t="shared" si="1742"/>
        <v>0.83</v>
      </c>
      <c r="GU144" s="48">
        <f t="shared" si="1742"/>
        <v>0.80999999999999994</v>
      </c>
      <c r="GV144" s="48">
        <f t="shared" si="1742"/>
        <v>0.78999999999999992</v>
      </c>
      <c r="GW144" s="48">
        <f t="shared" si="1742"/>
        <v>0.76999999999999991</v>
      </c>
      <c r="GX144" s="48">
        <f t="shared" si="1742"/>
        <v>0.74999999999999989</v>
      </c>
      <c r="GY144" s="48">
        <f t="shared" si="1742"/>
        <v>0.72999999999999987</v>
      </c>
      <c r="GZ144" s="48">
        <f t="shared" si="1742"/>
        <v>0.70999999999999985</v>
      </c>
      <c r="HA144" s="48">
        <f t="shared" si="1742"/>
        <v>0.68999999999999984</v>
      </c>
      <c r="HB144" s="48">
        <f t="shared" si="1742"/>
        <v>0.66999999999999982</v>
      </c>
      <c r="HC144" s="48">
        <f t="shared" si="1742"/>
        <v>0.6499999999999998</v>
      </c>
      <c r="HD144" s="48">
        <f t="shared" si="1742"/>
        <v>0.62999999999999978</v>
      </c>
      <c r="HE144" s="48">
        <f t="shared" si="1742"/>
        <v>0.60999999999999976</v>
      </c>
      <c r="HF144" s="48">
        <f t="shared" si="1742"/>
        <v>0.58999999999999975</v>
      </c>
      <c r="HG144" s="48">
        <f t="shared" si="1742"/>
        <v>0.56999999999999973</v>
      </c>
    </row>
    <row r="145" spans="1:215" x14ac:dyDescent="0.3">
      <c r="A145" s="2">
        <v>3</v>
      </c>
      <c r="C145" s="39" t="s">
        <v>200</v>
      </c>
      <c r="D145" s="44">
        <v>0</v>
      </c>
      <c r="E145" s="73">
        <f>TRUNC(+D145*3.3058,-1)</f>
        <v>0</v>
      </c>
      <c r="G145" s="48">
        <f t="shared" si="948"/>
        <v>0</v>
      </c>
      <c r="H145" s="48">
        <f t="shared" si="949"/>
        <v>0</v>
      </c>
      <c r="I145" s="51">
        <f t="shared" si="950"/>
        <v>0</v>
      </c>
      <c r="J145" s="48">
        <f t="shared" si="1607"/>
        <v>0</v>
      </c>
      <c r="K145" s="51">
        <f t="shared" si="1608"/>
        <v>0</v>
      </c>
      <c r="L145" s="48">
        <f t="shared" si="1609"/>
        <v>0</v>
      </c>
      <c r="M145" s="51">
        <f t="shared" si="1610"/>
        <v>0</v>
      </c>
      <c r="N145" s="48">
        <f t="shared" si="1611"/>
        <v>0</v>
      </c>
      <c r="O145" s="51">
        <f t="shared" si="1612"/>
        <v>0</v>
      </c>
      <c r="P145" s="52">
        <f t="shared" si="1613"/>
        <v>0</v>
      </c>
      <c r="Q145" s="51">
        <f t="shared" si="1614"/>
        <v>0</v>
      </c>
      <c r="R145" s="48">
        <f t="shared" si="1615"/>
        <v>0</v>
      </c>
      <c r="S145" s="51">
        <f t="shared" si="1616"/>
        <v>0</v>
      </c>
      <c r="T145" s="52">
        <f t="shared" si="1617"/>
        <v>0</v>
      </c>
      <c r="U145" s="51">
        <f t="shared" si="1618"/>
        <v>0</v>
      </c>
      <c r="V145" s="53">
        <f t="shared" si="1619"/>
        <v>0</v>
      </c>
      <c r="W145" s="51">
        <f t="shared" si="1620"/>
        <v>0</v>
      </c>
      <c r="X145" s="52">
        <f t="shared" si="1621"/>
        <v>0</v>
      </c>
      <c r="Y145" s="51">
        <f t="shared" si="1622"/>
        <v>0</v>
      </c>
      <c r="Z145" s="48">
        <f t="shared" si="1623"/>
        <v>0</v>
      </c>
      <c r="AA145" s="51">
        <f t="shared" si="1624"/>
        <v>0</v>
      </c>
      <c r="AB145" s="53">
        <f t="shared" si="1625"/>
        <v>0</v>
      </c>
      <c r="AC145" s="51">
        <f t="shared" si="1626"/>
        <v>0</v>
      </c>
      <c r="AD145" s="53">
        <f t="shared" si="1627"/>
        <v>0</v>
      </c>
      <c r="AE145" s="51">
        <f t="shared" si="1628"/>
        <v>0</v>
      </c>
      <c r="AF145" s="53">
        <f t="shared" si="1629"/>
        <v>0</v>
      </c>
      <c r="AG145" s="51">
        <f t="shared" si="1630"/>
        <v>0</v>
      </c>
      <c r="AH145" s="48">
        <f t="shared" si="1631"/>
        <v>0</v>
      </c>
      <c r="AI145" s="51">
        <f t="shared" si="1632"/>
        <v>0</v>
      </c>
      <c r="AJ145" s="53">
        <f t="shared" si="1633"/>
        <v>0</v>
      </c>
      <c r="AK145" s="51">
        <f t="shared" si="1634"/>
        <v>0</v>
      </c>
      <c r="AL145" s="53">
        <f t="shared" si="1635"/>
        <v>0</v>
      </c>
      <c r="AM145" s="51">
        <f t="shared" si="1636"/>
        <v>0</v>
      </c>
      <c r="AN145" s="53">
        <f t="shared" si="1637"/>
        <v>0</v>
      </c>
      <c r="AO145" s="51">
        <f t="shared" si="1638"/>
        <v>0</v>
      </c>
      <c r="AP145" s="53">
        <f t="shared" si="1639"/>
        <v>0</v>
      </c>
      <c r="AQ145" s="51">
        <f t="shared" si="1640"/>
        <v>0</v>
      </c>
      <c r="AR145" s="48">
        <f t="shared" si="1641"/>
        <v>0</v>
      </c>
      <c r="AS145" s="51">
        <f t="shared" si="1642"/>
        <v>0</v>
      </c>
      <c r="AT145" s="53">
        <f t="shared" si="1643"/>
        <v>0</v>
      </c>
      <c r="AU145" s="51">
        <f t="shared" si="1644"/>
        <v>0</v>
      </c>
      <c r="AV145" s="53">
        <f t="shared" si="1645"/>
        <v>0</v>
      </c>
      <c r="AW145" s="51">
        <f t="shared" si="1646"/>
        <v>0</v>
      </c>
      <c r="AX145" s="48">
        <f t="shared" si="1647"/>
        <v>0</v>
      </c>
      <c r="AY145" s="51">
        <f t="shared" si="1648"/>
        <v>0</v>
      </c>
      <c r="BB145" s="48">
        <v>1</v>
      </c>
      <c r="BC145" s="48">
        <v>0.97</v>
      </c>
      <c r="BD145" s="48">
        <v>0.95</v>
      </c>
      <c r="BE145" s="48">
        <v>0.93</v>
      </c>
      <c r="BF145" s="48">
        <f t="shared" ref="BF145:BW145" si="1743">+BE145-0.02</f>
        <v>0.91</v>
      </c>
      <c r="BG145" s="48">
        <f t="shared" si="1743"/>
        <v>0.89</v>
      </c>
      <c r="BH145" s="48">
        <f t="shared" si="1743"/>
        <v>0.87</v>
      </c>
      <c r="BI145" s="48">
        <f t="shared" si="1743"/>
        <v>0.85</v>
      </c>
      <c r="BJ145" s="48">
        <f t="shared" si="1743"/>
        <v>0.83</v>
      </c>
      <c r="BK145" s="48">
        <f t="shared" si="1743"/>
        <v>0.80999999999999994</v>
      </c>
      <c r="BL145" s="48">
        <f t="shared" si="1743"/>
        <v>0.78999999999999992</v>
      </c>
      <c r="BM145" s="48">
        <f t="shared" si="1743"/>
        <v>0.76999999999999991</v>
      </c>
      <c r="BN145" s="48">
        <f t="shared" si="1743"/>
        <v>0.74999999999999989</v>
      </c>
      <c r="BO145" s="48">
        <f t="shared" si="1743"/>
        <v>0.72999999999999987</v>
      </c>
      <c r="BP145" s="48">
        <f t="shared" si="1743"/>
        <v>0.70999999999999985</v>
      </c>
      <c r="BQ145" s="48">
        <f t="shared" si="1743"/>
        <v>0.68999999999999984</v>
      </c>
      <c r="BR145" s="48">
        <f t="shared" si="1743"/>
        <v>0.66999999999999982</v>
      </c>
      <c r="BS145" s="48">
        <f t="shared" si="1743"/>
        <v>0.6499999999999998</v>
      </c>
      <c r="BT145" s="48">
        <f t="shared" si="1743"/>
        <v>0.62999999999999978</v>
      </c>
      <c r="BU145" s="48">
        <f t="shared" si="1743"/>
        <v>0.60999999999999976</v>
      </c>
      <c r="BV145" s="48">
        <f t="shared" si="1743"/>
        <v>0.58999999999999975</v>
      </c>
      <c r="BW145" s="48">
        <f t="shared" si="1743"/>
        <v>0.56999999999999973</v>
      </c>
      <c r="BY145" s="48">
        <f t="shared" si="952"/>
        <v>0</v>
      </c>
      <c r="BZ145" s="48">
        <f t="shared" si="953"/>
        <v>0</v>
      </c>
      <c r="CA145" s="51">
        <f t="shared" ref="CA145" si="1744">+BZ145*3.3058</f>
        <v>0</v>
      </c>
      <c r="CB145" s="48">
        <f t="shared" si="1651"/>
        <v>0</v>
      </c>
      <c r="CC145" s="51">
        <f t="shared" si="1652"/>
        <v>0</v>
      </c>
      <c r="CD145" s="48">
        <f t="shared" si="1653"/>
        <v>0</v>
      </c>
      <c r="CE145" s="51">
        <f t="shared" si="1654"/>
        <v>0</v>
      </c>
      <c r="CF145" s="48">
        <f t="shared" si="1655"/>
        <v>0</v>
      </c>
      <c r="CG145" s="51">
        <f t="shared" si="1656"/>
        <v>0</v>
      </c>
      <c r="CH145" s="52">
        <f t="shared" si="1657"/>
        <v>0</v>
      </c>
      <c r="CI145" s="51">
        <f t="shared" si="1658"/>
        <v>0</v>
      </c>
      <c r="CJ145" s="48">
        <f t="shared" si="1659"/>
        <v>0</v>
      </c>
      <c r="CK145" s="51">
        <f t="shared" si="1660"/>
        <v>0</v>
      </c>
      <c r="CL145" s="52">
        <f t="shared" si="1661"/>
        <v>0</v>
      </c>
      <c r="CM145" s="51">
        <f t="shared" si="1662"/>
        <v>0</v>
      </c>
      <c r="CN145" s="53">
        <f t="shared" si="1663"/>
        <v>0</v>
      </c>
      <c r="CO145" s="51">
        <f t="shared" si="1664"/>
        <v>0</v>
      </c>
      <c r="CP145" s="52">
        <f t="shared" si="1665"/>
        <v>0</v>
      </c>
      <c r="CQ145" s="51">
        <f t="shared" si="1666"/>
        <v>0</v>
      </c>
      <c r="CR145" s="48">
        <f t="shared" si="1667"/>
        <v>0</v>
      </c>
      <c r="CS145" s="51">
        <f t="shared" si="1668"/>
        <v>0</v>
      </c>
      <c r="CT145" s="53">
        <f t="shared" si="1669"/>
        <v>0</v>
      </c>
      <c r="CU145" s="51">
        <f t="shared" si="1670"/>
        <v>0</v>
      </c>
      <c r="CV145" s="53">
        <f t="shared" si="1671"/>
        <v>0</v>
      </c>
      <c r="CW145" s="51">
        <f t="shared" si="1672"/>
        <v>0</v>
      </c>
      <c r="CX145" s="53">
        <f t="shared" si="1673"/>
        <v>0</v>
      </c>
      <c r="CY145" s="51">
        <f t="shared" si="1674"/>
        <v>0</v>
      </c>
      <c r="CZ145" s="48">
        <f t="shared" si="1675"/>
        <v>0</v>
      </c>
      <c r="DA145" s="51">
        <f t="shared" si="1676"/>
        <v>0</v>
      </c>
      <c r="DB145" s="53">
        <f t="shared" si="1677"/>
        <v>0</v>
      </c>
      <c r="DC145" s="51">
        <f t="shared" si="1678"/>
        <v>0</v>
      </c>
      <c r="DD145" s="53">
        <f t="shared" si="1679"/>
        <v>0</v>
      </c>
      <c r="DE145" s="51">
        <f t="shared" si="1680"/>
        <v>0</v>
      </c>
      <c r="DF145" s="53">
        <f t="shared" si="1681"/>
        <v>0</v>
      </c>
      <c r="DG145" s="51">
        <f t="shared" si="1682"/>
        <v>0</v>
      </c>
      <c r="DH145" s="53">
        <f t="shared" si="1683"/>
        <v>0</v>
      </c>
      <c r="DI145" s="51">
        <f t="shared" si="1684"/>
        <v>0</v>
      </c>
      <c r="DJ145" s="48">
        <f t="shared" si="1685"/>
        <v>0</v>
      </c>
      <c r="DK145" s="51">
        <f t="shared" si="1686"/>
        <v>0</v>
      </c>
      <c r="DL145" s="53">
        <f t="shared" si="1687"/>
        <v>0</v>
      </c>
      <c r="DM145" s="51">
        <f t="shared" si="1688"/>
        <v>0</v>
      </c>
      <c r="DN145" s="53">
        <f t="shared" si="1689"/>
        <v>0</v>
      </c>
      <c r="DO145" s="51">
        <f t="shared" si="1690"/>
        <v>0</v>
      </c>
      <c r="DP145" s="48">
        <f t="shared" si="1691"/>
        <v>0</v>
      </c>
      <c r="DQ145" s="51">
        <f t="shared" si="1692"/>
        <v>0</v>
      </c>
      <c r="DT145" s="48">
        <v>1</v>
      </c>
      <c r="DU145" s="48">
        <v>0.97</v>
      </c>
      <c r="DV145" s="48">
        <v>0.95</v>
      </c>
      <c r="DW145" s="48">
        <v>0.93</v>
      </c>
      <c r="DX145" s="48">
        <f t="shared" ref="DX145:EO145" si="1745">+DW145-0.02</f>
        <v>0.91</v>
      </c>
      <c r="DY145" s="48">
        <f t="shared" si="1745"/>
        <v>0.89</v>
      </c>
      <c r="DZ145" s="48">
        <f t="shared" si="1745"/>
        <v>0.87</v>
      </c>
      <c r="EA145" s="48">
        <f t="shared" si="1745"/>
        <v>0.85</v>
      </c>
      <c r="EB145" s="48">
        <f t="shared" si="1745"/>
        <v>0.83</v>
      </c>
      <c r="EC145" s="48">
        <f t="shared" si="1745"/>
        <v>0.80999999999999994</v>
      </c>
      <c r="ED145" s="48">
        <f t="shared" si="1745"/>
        <v>0.78999999999999992</v>
      </c>
      <c r="EE145" s="48">
        <f t="shared" si="1745"/>
        <v>0.76999999999999991</v>
      </c>
      <c r="EF145" s="48">
        <f t="shared" si="1745"/>
        <v>0.74999999999999989</v>
      </c>
      <c r="EG145" s="48">
        <f t="shared" si="1745"/>
        <v>0.72999999999999987</v>
      </c>
      <c r="EH145" s="48">
        <f t="shared" si="1745"/>
        <v>0.70999999999999985</v>
      </c>
      <c r="EI145" s="48">
        <f t="shared" si="1745"/>
        <v>0.68999999999999984</v>
      </c>
      <c r="EJ145" s="48">
        <f t="shared" si="1745"/>
        <v>0.66999999999999982</v>
      </c>
      <c r="EK145" s="48">
        <f t="shared" si="1745"/>
        <v>0.6499999999999998</v>
      </c>
      <c r="EL145" s="48">
        <f t="shared" si="1745"/>
        <v>0.62999999999999978</v>
      </c>
      <c r="EM145" s="48">
        <f t="shared" si="1745"/>
        <v>0.60999999999999976</v>
      </c>
      <c r="EN145" s="48">
        <f t="shared" si="1745"/>
        <v>0.58999999999999975</v>
      </c>
      <c r="EO145" s="48">
        <f t="shared" si="1745"/>
        <v>0.56999999999999973</v>
      </c>
      <c r="EQ145" s="48">
        <f t="shared" si="1128"/>
        <v>0</v>
      </c>
      <c r="ER145" s="48">
        <f t="shared" si="956"/>
        <v>0</v>
      </c>
      <c r="ES145" s="51">
        <f t="shared" ref="ES145" si="1746">+ER145*3.3058</f>
        <v>0</v>
      </c>
      <c r="ET145" s="48">
        <f t="shared" si="1695"/>
        <v>0</v>
      </c>
      <c r="EU145" s="51">
        <f t="shared" si="1696"/>
        <v>0</v>
      </c>
      <c r="EV145" s="48">
        <f t="shared" si="1697"/>
        <v>0</v>
      </c>
      <c r="EW145" s="51">
        <f t="shared" si="1698"/>
        <v>0</v>
      </c>
      <c r="EX145" s="48">
        <f t="shared" si="1699"/>
        <v>0</v>
      </c>
      <c r="EY145" s="51">
        <f t="shared" si="1700"/>
        <v>0</v>
      </c>
      <c r="EZ145" s="52">
        <f t="shared" si="1701"/>
        <v>0</v>
      </c>
      <c r="FA145" s="51">
        <f t="shared" si="1702"/>
        <v>0</v>
      </c>
      <c r="FB145" s="48">
        <f t="shared" si="1703"/>
        <v>0</v>
      </c>
      <c r="FC145" s="51">
        <f t="shared" si="1704"/>
        <v>0</v>
      </c>
      <c r="FD145" s="52">
        <f t="shared" si="1705"/>
        <v>0</v>
      </c>
      <c r="FE145" s="51">
        <f t="shared" si="1706"/>
        <v>0</v>
      </c>
      <c r="FF145" s="53">
        <f t="shared" si="1707"/>
        <v>0</v>
      </c>
      <c r="FG145" s="51">
        <f t="shared" si="1708"/>
        <v>0</v>
      </c>
      <c r="FH145" s="52">
        <f t="shared" si="1709"/>
        <v>0</v>
      </c>
      <c r="FI145" s="51">
        <f t="shared" si="1710"/>
        <v>0</v>
      </c>
      <c r="FJ145" s="48">
        <f t="shared" si="1711"/>
        <v>0</v>
      </c>
      <c r="FK145" s="51">
        <f t="shared" si="1712"/>
        <v>0</v>
      </c>
      <c r="FL145" s="53">
        <f t="shared" si="1713"/>
        <v>0</v>
      </c>
      <c r="FM145" s="51">
        <f t="shared" si="1714"/>
        <v>0</v>
      </c>
      <c r="FN145" s="53">
        <f t="shared" si="1715"/>
        <v>0</v>
      </c>
      <c r="FO145" s="51">
        <f t="shared" si="1716"/>
        <v>0</v>
      </c>
      <c r="FP145" s="53">
        <f t="shared" si="1717"/>
        <v>0</v>
      </c>
      <c r="FQ145" s="51">
        <f t="shared" si="1718"/>
        <v>0</v>
      </c>
      <c r="FR145" s="48">
        <f t="shared" si="1719"/>
        <v>0</v>
      </c>
      <c r="FS145" s="51">
        <f t="shared" si="1720"/>
        <v>0</v>
      </c>
      <c r="FT145" s="53">
        <f t="shared" si="1721"/>
        <v>0</v>
      </c>
      <c r="FU145" s="51">
        <f t="shared" si="1722"/>
        <v>0</v>
      </c>
      <c r="FV145" s="53">
        <f t="shared" si="1723"/>
        <v>0</v>
      </c>
      <c r="FW145" s="51">
        <f t="shared" si="1724"/>
        <v>0</v>
      </c>
      <c r="FX145" s="53">
        <f t="shared" si="1725"/>
        <v>0</v>
      </c>
      <c r="FY145" s="51">
        <f t="shared" si="1726"/>
        <v>0</v>
      </c>
      <c r="FZ145" s="53">
        <f t="shared" si="1727"/>
        <v>0</v>
      </c>
      <c r="GA145" s="51">
        <f t="shared" si="1728"/>
        <v>0</v>
      </c>
      <c r="GB145" s="48">
        <f t="shared" si="1729"/>
        <v>0</v>
      </c>
      <c r="GC145" s="51">
        <f t="shared" si="1730"/>
        <v>0</v>
      </c>
      <c r="GD145" s="53">
        <f t="shared" si="1731"/>
        <v>0</v>
      </c>
      <c r="GE145" s="51">
        <f t="shared" si="1732"/>
        <v>0</v>
      </c>
      <c r="GF145" s="53">
        <f t="shared" si="1733"/>
        <v>0</v>
      </c>
      <c r="GG145" s="51">
        <f t="shared" si="1734"/>
        <v>0</v>
      </c>
      <c r="GH145" s="48">
        <f t="shared" si="1735"/>
        <v>0</v>
      </c>
      <c r="GI145" s="51">
        <f t="shared" si="1736"/>
        <v>0</v>
      </c>
      <c r="GJ145" s="48"/>
      <c r="GK145" s="48"/>
      <c r="GL145" s="48">
        <v>1</v>
      </c>
      <c r="GM145" s="48">
        <v>0.97</v>
      </c>
      <c r="GN145" s="48">
        <v>0.95</v>
      </c>
      <c r="GO145" s="48">
        <v>0.93</v>
      </c>
      <c r="GP145" s="48">
        <f t="shared" ref="GP145:HG145" si="1747">+GO145-0.02</f>
        <v>0.91</v>
      </c>
      <c r="GQ145" s="48">
        <f t="shared" si="1747"/>
        <v>0.89</v>
      </c>
      <c r="GR145" s="48">
        <f t="shared" si="1747"/>
        <v>0.87</v>
      </c>
      <c r="GS145" s="48">
        <f t="shared" si="1747"/>
        <v>0.85</v>
      </c>
      <c r="GT145" s="48">
        <f t="shared" si="1747"/>
        <v>0.83</v>
      </c>
      <c r="GU145" s="48">
        <f t="shared" si="1747"/>
        <v>0.80999999999999994</v>
      </c>
      <c r="GV145" s="48">
        <f t="shared" si="1747"/>
        <v>0.78999999999999992</v>
      </c>
      <c r="GW145" s="48">
        <f t="shared" si="1747"/>
        <v>0.76999999999999991</v>
      </c>
      <c r="GX145" s="48">
        <f t="shared" si="1747"/>
        <v>0.74999999999999989</v>
      </c>
      <c r="GY145" s="48">
        <f t="shared" si="1747"/>
        <v>0.72999999999999987</v>
      </c>
      <c r="GZ145" s="48">
        <f t="shared" si="1747"/>
        <v>0.70999999999999985</v>
      </c>
      <c r="HA145" s="48">
        <f t="shared" si="1747"/>
        <v>0.68999999999999984</v>
      </c>
      <c r="HB145" s="48">
        <f t="shared" si="1747"/>
        <v>0.66999999999999982</v>
      </c>
      <c r="HC145" s="48">
        <f t="shared" si="1747"/>
        <v>0.6499999999999998</v>
      </c>
      <c r="HD145" s="48">
        <f t="shared" si="1747"/>
        <v>0.62999999999999978</v>
      </c>
      <c r="HE145" s="48">
        <f t="shared" si="1747"/>
        <v>0.60999999999999976</v>
      </c>
      <c r="HF145" s="48">
        <f t="shared" si="1747"/>
        <v>0.58999999999999975</v>
      </c>
      <c r="HG145" s="48">
        <f t="shared" si="1747"/>
        <v>0.56999999999999973</v>
      </c>
    </row>
    <row r="146" spans="1:215" x14ac:dyDescent="0.3">
      <c r="A146" s="2">
        <v>4</v>
      </c>
      <c r="C146" s="39" t="s">
        <v>157</v>
      </c>
      <c r="D146" s="44">
        <f>TRUNC(75244.7450429207+11059.9280163552
+6858.60732497764
+1960.64961841815,-1)</f>
        <v>95120</v>
      </c>
      <c r="E146" s="73">
        <f>TRUNC(+D146*3.3058,-1)</f>
        <v>314440</v>
      </c>
      <c r="F146" s="37" t="s">
        <v>372</v>
      </c>
      <c r="G146" s="48">
        <f t="shared" si="948"/>
        <v>104632.00000000001</v>
      </c>
      <c r="H146" s="48">
        <f t="shared" si="949"/>
        <v>104632.00000000001</v>
      </c>
      <c r="I146" s="51">
        <f t="shared" si="950"/>
        <v>345892.46560000005</v>
      </c>
      <c r="J146" s="48">
        <f t="shared" si="1607"/>
        <v>101493.04000000001</v>
      </c>
      <c r="K146" s="51">
        <f t="shared" si="1608"/>
        <v>335515.69163200003</v>
      </c>
      <c r="L146" s="48">
        <f t="shared" si="1609"/>
        <v>99400.400000000009</v>
      </c>
      <c r="M146" s="51">
        <f t="shared" si="1610"/>
        <v>328597.84232000005</v>
      </c>
      <c r="N146" s="48">
        <f t="shared" si="1611"/>
        <v>97307.760000000024</v>
      </c>
      <c r="O146" s="51">
        <f t="shared" si="1612"/>
        <v>321679.99300800008</v>
      </c>
      <c r="P146" s="52">
        <f t="shared" si="1613"/>
        <v>95215.12000000001</v>
      </c>
      <c r="Q146" s="51">
        <f t="shared" si="1614"/>
        <v>314762.14369600004</v>
      </c>
      <c r="R146" s="48">
        <f t="shared" si="1615"/>
        <v>93122.48000000001</v>
      </c>
      <c r="S146" s="51">
        <f t="shared" si="1616"/>
        <v>307844.29438400007</v>
      </c>
      <c r="T146" s="52">
        <f t="shared" si="1617"/>
        <v>91029.840000000011</v>
      </c>
      <c r="U146" s="51">
        <f t="shared" si="1618"/>
        <v>300926.44507200003</v>
      </c>
      <c r="V146" s="53">
        <f t="shared" si="1619"/>
        <v>88937.200000000012</v>
      </c>
      <c r="W146" s="51">
        <f t="shared" si="1620"/>
        <v>294008.59576000005</v>
      </c>
      <c r="X146" s="52">
        <f t="shared" si="1621"/>
        <v>86844.560000000012</v>
      </c>
      <c r="Y146" s="51">
        <f t="shared" si="1622"/>
        <v>287090.74644800002</v>
      </c>
      <c r="Z146" s="48">
        <f t="shared" si="1623"/>
        <v>84751.920000000013</v>
      </c>
      <c r="AA146" s="51">
        <f t="shared" si="1624"/>
        <v>280172.89713600004</v>
      </c>
      <c r="AB146" s="53">
        <f t="shared" si="1625"/>
        <v>82659.28</v>
      </c>
      <c r="AC146" s="51">
        <f t="shared" si="1626"/>
        <v>273255.04782400001</v>
      </c>
      <c r="AD146" s="53">
        <f t="shared" si="1627"/>
        <v>80566.64</v>
      </c>
      <c r="AE146" s="51">
        <f t="shared" si="1628"/>
        <v>266337.19851200003</v>
      </c>
      <c r="AF146" s="53">
        <f t="shared" si="1629"/>
        <v>78474</v>
      </c>
      <c r="AG146" s="51">
        <f t="shared" si="1630"/>
        <v>259419.3492</v>
      </c>
      <c r="AH146" s="48">
        <f t="shared" si="1631"/>
        <v>76381.36</v>
      </c>
      <c r="AI146" s="51">
        <f t="shared" si="1632"/>
        <v>252501.49988800002</v>
      </c>
      <c r="AJ146" s="53">
        <f t="shared" si="1633"/>
        <v>74288.72</v>
      </c>
      <c r="AK146" s="51">
        <f t="shared" si="1634"/>
        <v>245583.65057600001</v>
      </c>
      <c r="AL146" s="53">
        <f t="shared" si="1635"/>
        <v>72196.079999999987</v>
      </c>
      <c r="AM146" s="51">
        <f t="shared" si="1636"/>
        <v>238665.80126399995</v>
      </c>
      <c r="AN146" s="53">
        <f t="shared" si="1637"/>
        <v>70103.439999999988</v>
      </c>
      <c r="AO146" s="51">
        <f t="shared" si="1638"/>
        <v>231747.95195199997</v>
      </c>
      <c r="AP146" s="53">
        <f t="shared" si="1639"/>
        <v>68010.799999999988</v>
      </c>
      <c r="AQ146" s="51">
        <f t="shared" si="1640"/>
        <v>224830.10263999997</v>
      </c>
      <c r="AR146" s="48">
        <f t="shared" si="1641"/>
        <v>65918.159999999989</v>
      </c>
      <c r="AS146" s="51">
        <f t="shared" si="1642"/>
        <v>217912.25332799996</v>
      </c>
      <c r="AT146" s="53">
        <f t="shared" si="1643"/>
        <v>63825.519999999982</v>
      </c>
      <c r="AU146" s="51">
        <f t="shared" si="1644"/>
        <v>210994.40401599996</v>
      </c>
      <c r="AV146" s="53">
        <f t="shared" si="1645"/>
        <v>61732.879999999983</v>
      </c>
      <c r="AW146" s="51">
        <f t="shared" si="1646"/>
        <v>204076.55470399995</v>
      </c>
      <c r="AX146" s="48">
        <f t="shared" si="1647"/>
        <v>59640.239999999983</v>
      </c>
      <c r="AY146" s="51">
        <f t="shared" si="1648"/>
        <v>197158.70539199995</v>
      </c>
      <c r="BB146" s="48">
        <v>1</v>
      </c>
      <c r="BC146" s="48">
        <v>0.97</v>
      </c>
      <c r="BD146" s="48">
        <v>0.95</v>
      </c>
      <c r="BE146" s="48">
        <v>0.93</v>
      </c>
      <c r="BF146" s="48">
        <f t="shared" ref="BF146:BW146" si="1748">+BE146-0.02</f>
        <v>0.91</v>
      </c>
      <c r="BG146" s="48">
        <f t="shared" si="1748"/>
        <v>0.89</v>
      </c>
      <c r="BH146" s="48">
        <f t="shared" si="1748"/>
        <v>0.87</v>
      </c>
      <c r="BI146" s="48">
        <f t="shared" si="1748"/>
        <v>0.85</v>
      </c>
      <c r="BJ146" s="48">
        <f t="shared" si="1748"/>
        <v>0.83</v>
      </c>
      <c r="BK146" s="48">
        <f t="shared" si="1748"/>
        <v>0.80999999999999994</v>
      </c>
      <c r="BL146" s="48">
        <f t="shared" si="1748"/>
        <v>0.78999999999999992</v>
      </c>
      <c r="BM146" s="48">
        <f t="shared" si="1748"/>
        <v>0.76999999999999991</v>
      </c>
      <c r="BN146" s="48">
        <f t="shared" si="1748"/>
        <v>0.74999999999999989</v>
      </c>
      <c r="BO146" s="48">
        <f t="shared" si="1748"/>
        <v>0.72999999999999987</v>
      </c>
      <c r="BP146" s="48">
        <f t="shared" si="1748"/>
        <v>0.70999999999999985</v>
      </c>
      <c r="BQ146" s="48">
        <f t="shared" si="1748"/>
        <v>0.68999999999999984</v>
      </c>
      <c r="BR146" s="48">
        <f t="shared" si="1748"/>
        <v>0.66999999999999982</v>
      </c>
      <c r="BS146" s="48">
        <f t="shared" si="1748"/>
        <v>0.6499999999999998</v>
      </c>
      <c r="BT146" s="48">
        <f t="shared" si="1748"/>
        <v>0.62999999999999978</v>
      </c>
      <c r="BU146" s="48">
        <f t="shared" si="1748"/>
        <v>0.60999999999999976</v>
      </c>
      <c r="BV146" s="48">
        <f t="shared" si="1748"/>
        <v>0.58999999999999975</v>
      </c>
      <c r="BW146" s="48">
        <f t="shared" si="1748"/>
        <v>0.56999999999999973</v>
      </c>
      <c r="BY146" s="48">
        <f t="shared" si="952"/>
        <v>95215.12000000001</v>
      </c>
      <c r="BZ146" s="48">
        <f t="shared" si="953"/>
        <v>95215.12000000001</v>
      </c>
      <c r="CA146" s="51">
        <f t="shared" ref="CA146" si="1749">+BZ146*3.3058</f>
        <v>314762.14369600004</v>
      </c>
      <c r="CB146" s="48">
        <f t="shared" si="1651"/>
        <v>92358.666400000002</v>
      </c>
      <c r="CC146" s="51">
        <f t="shared" si="1652"/>
        <v>305319.27938512003</v>
      </c>
      <c r="CD146" s="48">
        <f t="shared" si="1653"/>
        <v>90454.364000000001</v>
      </c>
      <c r="CE146" s="51">
        <f t="shared" si="1654"/>
        <v>299024.03651120001</v>
      </c>
      <c r="CF146" s="48">
        <f t="shared" si="1655"/>
        <v>88550.061600000015</v>
      </c>
      <c r="CG146" s="51">
        <f t="shared" si="1656"/>
        <v>292728.79363728006</v>
      </c>
      <c r="CH146" s="52">
        <f t="shared" si="1657"/>
        <v>86645.759200000015</v>
      </c>
      <c r="CI146" s="51">
        <f t="shared" si="1658"/>
        <v>286433.55076336005</v>
      </c>
      <c r="CJ146" s="48">
        <f t="shared" si="1659"/>
        <v>84741.456800000014</v>
      </c>
      <c r="CK146" s="51">
        <f t="shared" si="1660"/>
        <v>280138.30788944004</v>
      </c>
      <c r="CL146" s="52">
        <f t="shared" si="1661"/>
        <v>82837.154400000014</v>
      </c>
      <c r="CM146" s="51">
        <f t="shared" si="1662"/>
        <v>273843.06501552003</v>
      </c>
      <c r="CN146" s="53">
        <f t="shared" si="1663"/>
        <v>80932.852000000014</v>
      </c>
      <c r="CO146" s="51">
        <f t="shared" si="1664"/>
        <v>267547.82214160007</v>
      </c>
      <c r="CP146" s="52">
        <f t="shared" si="1665"/>
        <v>79028.549599999998</v>
      </c>
      <c r="CQ146" s="51">
        <f t="shared" si="1666"/>
        <v>261252.57926768</v>
      </c>
      <c r="CR146" s="48">
        <f t="shared" si="1667"/>
        <v>77124.247199999998</v>
      </c>
      <c r="CS146" s="51">
        <f t="shared" si="1668"/>
        <v>254957.33639375999</v>
      </c>
      <c r="CT146" s="53">
        <f t="shared" si="1669"/>
        <v>75219.944799999997</v>
      </c>
      <c r="CU146" s="51">
        <f t="shared" si="1670"/>
        <v>248662.09351984001</v>
      </c>
      <c r="CV146" s="53">
        <f t="shared" si="1671"/>
        <v>73315.642399999997</v>
      </c>
      <c r="CW146" s="51">
        <f t="shared" si="1672"/>
        <v>242366.85064592</v>
      </c>
      <c r="CX146" s="53">
        <f t="shared" si="1673"/>
        <v>71411.34</v>
      </c>
      <c r="CY146" s="51">
        <f t="shared" si="1674"/>
        <v>236071.60777199999</v>
      </c>
      <c r="CZ146" s="48">
        <f t="shared" si="1675"/>
        <v>69507.037599999996</v>
      </c>
      <c r="DA146" s="51">
        <f t="shared" si="1676"/>
        <v>229776.36489808001</v>
      </c>
      <c r="DB146" s="53">
        <f t="shared" si="1677"/>
        <v>67602.735199999996</v>
      </c>
      <c r="DC146" s="51">
        <f t="shared" si="1678"/>
        <v>223481.12202415999</v>
      </c>
      <c r="DD146" s="53">
        <f t="shared" si="1679"/>
        <v>65698.432799999995</v>
      </c>
      <c r="DE146" s="51">
        <f t="shared" si="1680"/>
        <v>217185.87915023998</v>
      </c>
      <c r="DF146" s="53">
        <f t="shared" si="1681"/>
        <v>63794.130399999987</v>
      </c>
      <c r="DG146" s="51">
        <f t="shared" si="1682"/>
        <v>210890.63627631997</v>
      </c>
      <c r="DH146" s="53">
        <f t="shared" si="1683"/>
        <v>61889.827999999987</v>
      </c>
      <c r="DI146" s="51">
        <f t="shared" si="1684"/>
        <v>204595.39340239996</v>
      </c>
      <c r="DJ146" s="48">
        <f t="shared" si="1685"/>
        <v>59985.525599999986</v>
      </c>
      <c r="DK146" s="51">
        <f t="shared" si="1686"/>
        <v>198300.15052847995</v>
      </c>
      <c r="DL146" s="53">
        <f t="shared" si="1687"/>
        <v>58081.223199999986</v>
      </c>
      <c r="DM146" s="51">
        <f t="shared" si="1688"/>
        <v>192004.90765455997</v>
      </c>
      <c r="DN146" s="53">
        <f t="shared" si="1689"/>
        <v>56176.920799999985</v>
      </c>
      <c r="DO146" s="51">
        <f t="shared" si="1690"/>
        <v>185709.66478063996</v>
      </c>
      <c r="DP146" s="48">
        <f t="shared" si="1691"/>
        <v>54272.618399999978</v>
      </c>
      <c r="DQ146" s="51">
        <f t="shared" si="1692"/>
        <v>179414.42190671992</v>
      </c>
      <c r="DT146" s="48">
        <v>1</v>
      </c>
      <c r="DU146" s="48">
        <v>0.97</v>
      </c>
      <c r="DV146" s="48">
        <v>0.95</v>
      </c>
      <c r="DW146" s="48">
        <v>0.93</v>
      </c>
      <c r="DX146" s="48">
        <f t="shared" ref="DX146:EO146" si="1750">+DW146-0.02</f>
        <v>0.91</v>
      </c>
      <c r="DY146" s="48">
        <f t="shared" si="1750"/>
        <v>0.89</v>
      </c>
      <c r="DZ146" s="48">
        <f t="shared" si="1750"/>
        <v>0.87</v>
      </c>
      <c r="EA146" s="48">
        <f t="shared" si="1750"/>
        <v>0.85</v>
      </c>
      <c r="EB146" s="48">
        <f t="shared" si="1750"/>
        <v>0.83</v>
      </c>
      <c r="EC146" s="48">
        <f t="shared" si="1750"/>
        <v>0.80999999999999994</v>
      </c>
      <c r="ED146" s="48">
        <f t="shared" si="1750"/>
        <v>0.78999999999999992</v>
      </c>
      <c r="EE146" s="48">
        <f t="shared" si="1750"/>
        <v>0.76999999999999991</v>
      </c>
      <c r="EF146" s="48">
        <f t="shared" si="1750"/>
        <v>0.74999999999999989</v>
      </c>
      <c r="EG146" s="48">
        <f t="shared" si="1750"/>
        <v>0.72999999999999987</v>
      </c>
      <c r="EH146" s="48">
        <f t="shared" si="1750"/>
        <v>0.70999999999999985</v>
      </c>
      <c r="EI146" s="48">
        <f t="shared" si="1750"/>
        <v>0.68999999999999984</v>
      </c>
      <c r="EJ146" s="48">
        <f t="shared" si="1750"/>
        <v>0.66999999999999982</v>
      </c>
      <c r="EK146" s="48">
        <f t="shared" si="1750"/>
        <v>0.6499999999999998</v>
      </c>
      <c r="EL146" s="48">
        <f t="shared" si="1750"/>
        <v>0.62999999999999978</v>
      </c>
      <c r="EM146" s="48">
        <f t="shared" si="1750"/>
        <v>0.60999999999999976</v>
      </c>
      <c r="EN146" s="48">
        <f t="shared" si="1750"/>
        <v>0.58999999999999975</v>
      </c>
      <c r="EO146" s="48">
        <f t="shared" si="1750"/>
        <v>0.56999999999999973</v>
      </c>
      <c r="EQ146" s="48">
        <f t="shared" si="1128"/>
        <v>86645.759200000015</v>
      </c>
      <c r="ER146" s="48">
        <f t="shared" si="956"/>
        <v>86645.759200000015</v>
      </c>
      <c r="ES146" s="51">
        <f t="shared" ref="ES146" si="1751">+ER146*3.3058</f>
        <v>286433.55076336005</v>
      </c>
      <c r="ET146" s="48">
        <f t="shared" si="1695"/>
        <v>84046.386424000011</v>
      </c>
      <c r="EU146" s="51">
        <f t="shared" si="1696"/>
        <v>277840.54424045922</v>
      </c>
      <c r="EV146" s="48">
        <f t="shared" si="1697"/>
        <v>82313.471240000013</v>
      </c>
      <c r="EW146" s="51">
        <f t="shared" si="1698"/>
        <v>272111.87322519207</v>
      </c>
      <c r="EX146" s="48">
        <f t="shared" si="1699"/>
        <v>80580.556056000016</v>
      </c>
      <c r="EY146" s="51">
        <f t="shared" si="1700"/>
        <v>266383.20220992487</v>
      </c>
      <c r="EZ146" s="52">
        <f t="shared" si="1701"/>
        <v>78847.640872000018</v>
      </c>
      <c r="FA146" s="51">
        <f t="shared" si="1702"/>
        <v>260654.53119465767</v>
      </c>
      <c r="FB146" s="48">
        <f t="shared" si="1703"/>
        <v>77114.72568800002</v>
      </c>
      <c r="FC146" s="51">
        <f t="shared" si="1704"/>
        <v>254925.86017939047</v>
      </c>
      <c r="FD146" s="52">
        <f t="shared" si="1705"/>
        <v>75381.810504000008</v>
      </c>
      <c r="FE146" s="51">
        <f t="shared" si="1706"/>
        <v>249197.18916412324</v>
      </c>
      <c r="FF146" s="53">
        <f t="shared" si="1707"/>
        <v>73648.895320000011</v>
      </c>
      <c r="FG146" s="51">
        <f t="shared" si="1708"/>
        <v>243468.51814885603</v>
      </c>
      <c r="FH146" s="52">
        <f t="shared" si="1709"/>
        <v>71915.980136000013</v>
      </c>
      <c r="FI146" s="51">
        <f t="shared" si="1710"/>
        <v>237739.84713358886</v>
      </c>
      <c r="FJ146" s="48">
        <f t="shared" si="1711"/>
        <v>70183.064952000001</v>
      </c>
      <c r="FK146" s="51">
        <f t="shared" si="1712"/>
        <v>232011.1761183216</v>
      </c>
      <c r="FL146" s="53">
        <f t="shared" si="1713"/>
        <v>68450.149768000003</v>
      </c>
      <c r="FM146" s="51">
        <f t="shared" si="1714"/>
        <v>226282.50510305443</v>
      </c>
      <c r="FN146" s="53">
        <f t="shared" si="1715"/>
        <v>66717.234584000005</v>
      </c>
      <c r="FO146" s="51">
        <f t="shared" si="1716"/>
        <v>220553.83408778723</v>
      </c>
      <c r="FP146" s="53">
        <f t="shared" si="1717"/>
        <v>64984.3194</v>
      </c>
      <c r="FQ146" s="51">
        <f t="shared" si="1718"/>
        <v>214825.16307251999</v>
      </c>
      <c r="FR146" s="48">
        <f t="shared" si="1719"/>
        <v>63251.404216000003</v>
      </c>
      <c r="FS146" s="51">
        <f t="shared" si="1720"/>
        <v>209096.49205725282</v>
      </c>
      <c r="FT146" s="53">
        <f t="shared" si="1721"/>
        <v>61518.489031999998</v>
      </c>
      <c r="FU146" s="51">
        <f t="shared" si="1722"/>
        <v>203367.82104198559</v>
      </c>
      <c r="FV146" s="53">
        <f t="shared" si="1723"/>
        <v>59785.573847999993</v>
      </c>
      <c r="FW146" s="51">
        <f t="shared" si="1724"/>
        <v>197639.15002671839</v>
      </c>
      <c r="FX146" s="53">
        <f t="shared" si="1725"/>
        <v>58052.658663999995</v>
      </c>
      <c r="FY146" s="51">
        <f t="shared" si="1726"/>
        <v>191910.47901145119</v>
      </c>
      <c r="FZ146" s="53">
        <f t="shared" si="1727"/>
        <v>56319.74347999999</v>
      </c>
      <c r="GA146" s="51">
        <f t="shared" si="1728"/>
        <v>186181.80799618398</v>
      </c>
      <c r="GB146" s="48">
        <f t="shared" si="1729"/>
        <v>54586.828295999992</v>
      </c>
      <c r="GC146" s="51">
        <f t="shared" si="1730"/>
        <v>180453.13698091678</v>
      </c>
      <c r="GD146" s="53">
        <f t="shared" si="1731"/>
        <v>52853.913111999987</v>
      </c>
      <c r="GE146" s="51">
        <f t="shared" si="1732"/>
        <v>174724.46596564955</v>
      </c>
      <c r="GF146" s="53">
        <f t="shared" si="1733"/>
        <v>51120.99792799999</v>
      </c>
      <c r="GG146" s="51">
        <f t="shared" si="1734"/>
        <v>168995.79495038238</v>
      </c>
      <c r="GH146" s="48">
        <f t="shared" si="1735"/>
        <v>49388.082743999985</v>
      </c>
      <c r="GI146" s="51">
        <f t="shared" si="1736"/>
        <v>163267.12393511515</v>
      </c>
      <c r="GJ146" s="48"/>
      <c r="GK146" s="48"/>
      <c r="GL146" s="48">
        <v>1</v>
      </c>
      <c r="GM146" s="48">
        <v>0.97</v>
      </c>
      <c r="GN146" s="48">
        <v>0.95</v>
      </c>
      <c r="GO146" s="48">
        <v>0.93</v>
      </c>
      <c r="GP146" s="48">
        <f t="shared" ref="GP146:HG146" si="1752">+GO146-0.02</f>
        <v>0.91</v>
      </c>
      <c r="GQ146" s="48">
        <f t="shared" si="1752"/>
        <v>0.89</v>
      </c>
      <c r="GR146" s="48">
        <f t="shared" si="1752"/>
        <v>0.87</v>
      </c>
      <c r="GS146" s="48">
        <f t="shared" si="1752"/>
        <v>0.85</v>
      </c>
      <c r="GT146" s="48">
        <f t="shared" si="1752"/>
        <v>0.83</v>
      </c>
      <c r="GU146" s="48">
        <f t="shared" si="1752"/>
        <v>0.80999999999999994</v>
      </c>
      <c r="GV146" s="48">
        <f t="shared" si="1752"/>
        <v>0.78999999999999992</v>
      </c>
      <c r="GW146" s="48">
        <f t="shared" si="1752"/>
        <v>0.76999999999999991</v>
      </c>
      <c r="GX146" s="48">
        <f t="shared" si="1752"/>
        <v>0.74999999999999989</v>
      </c>
      <c r="GY146" s="48">
        <f t="shared" si="1752"/>
        <v>0.72999999999999987</v>
      </c>
      <c r="GZ146" s="48">
        <f t="shared" si="1752"/>
        <v>0.70999999999999985</v>
      </c>
      <c r="HA146" s="48">
        <f t="shared" si="1752"/>
        <v>0.68999999999999984</v>
      </c>
      <c r="HB146" s="48">
        <f t="shared" si="1752"/>
        <v>0.66999999999999982</v>
      </c>
      <c r="HC146" s="48">
        <f t="shared" si="1752"/>
        <v>0.6499999999999998</v>
      </c>
      <c r="HD146" s="48">
        <f t="shared" si="1752"/>
        <v>0.62999999999999978</v>
      </c>
      <c r="HE146" s="48">
        <f t="shared" si="1752"/>
        <v>0.60999999999999976</v>
      </c>
      <c r="HF146" s="48">
        <f t="shared" si="1752"/>
        <v>0.58999999999999975</v>
      </c>
      <c r="HG146" s="48">
        <f t="shared" si="1752"/>
        <v>0.56999999999999973</v>
      </c>
    </row>
    <row r="147" spans="1:215" ht="17.25" thickBot="1" x14ac:dyDescent="0.35">
      <c r="A147" s="2">
        <v>5</v>
      </c>
      <c r="C147" s="39" t="s">
        <v>156</v>
      </c>
      <c r="D147" s="45">
        <v>0</v>
      </c>
      <c r="E147" s="74">
        <f>TRUNC(+D147*3.3058,-1)</f>
        <v>0</v>
      </c>
      <c r="G147" s="48">
        <f t="shared" si="948"/>
        <v>0</v>
      </c>
      <c r="H147" s="48">
        <f t="shared" si="949"/>
        <v>0</v>
      </c>
      <c r="I147" s="51">
        <f t="shared" si="950"/>
        <v>0</v>
      </c>
      <c r="J147" s="48">
        <f t="shared" si="1607"/>
        <v>0</v>
      </c>
      <c r="K147" s="51">
        <f t="shared" si="1608"/>
        <v>0</v>
      </c>
      <c r="L147" s="48">
        <f t="shared" si="1609"/>
        <v>0</v>
      </c>
      <c r="M147" s="51">
        <f t="shared" si="1610"/>
        <v>0</v>
      </c>
      <c r="N147" s="48">
        <f t="shared" si="1611"/>
        <v>0</v>
      </c>
      <c r="O147" s="51">
        <f t="shared" si="1612"/>
        <v>0</v>
      </c>
      <c r="P147" s="52">
        <f t="shared" si="1613"/>
        <v>0</v>
      </c>
      <c r="Q147" s="51">
        <f t="shared" si="1614"/>
        <v>0</v>
      </c>
      <c r="R147" s="48">
        <f t="shared" si="1615"/>
        <v>0</v>
      </c>
      <c r="S147" s="51">
        <f t="shared" si="1616"/>
        <v>0</v>
      </c>
      <c r="T147" s="52">
        <f t="shared" si="1617"/>
        <v>0</v>
      </c>
      <c r="U147" s="51">
        <f t="shared" si="1618"/>
        <v>0</v>
      </c>
      <c r="V147" s="53">
        <f t="shared" si="1619"/>
        <v>0</v>
      </c>
      <c r="W147" s="51">
        <f t="shared" si="1620"/>
        <v>0</v>
      </c>
      <c r="X147" s="52">
        <f t="shared" si="1621"/>
        <v>0</v>
      </c>
      <c r="Y147" s="51">
        <f t="shared" si="1622"/>
        <v>0</v>
      </c>
      <c r="Z147" s="48">
        <f t="shared" si="1623"/>
        <v>0</v>
      </c>
      <c r="AA147" s="51">
        <f t="shared" si="1624"/>
        <v>0</v>
      </c>
      <c r="AB147" s="53">
        <f t="shared" si="1625"/>
        <v>0</v>
      </c>
      <c r="AC147" s="51">
        <f t="shared" si="1626"/>
        <v>0</v>
      </c>
      <c r="AD147" s="53">
        <f t="shared" si="1627"/>
        <v>0</v>
      </c>
      <c r="AE147" s="51">
        <f t="shared" si="1628"/>
        <v>0</v>
      </c>
      <c r="AF147" s="53">
        <f t="shared" si="1629"/>
        <v>0</v>
      </c>
      <c r="AG147" s="51">
        <f t="shared" si="1630"/>
        <v>0</v>
      </c>
      <c r="AH147" s="48">
        <f t="shared" si="1631"/>
        <v>0</v>
      </c>
      <c r="AI147" s="51">
        <f t="shared" si="1632"/>
        <v>0</v>
      </c>
      <c r="AJ147" s="53">
        <f t="shared" si="1633"/>
        <v>0</v>
      </c>
      <c r="AK147" s="51">
        <f t="shared" si="1634"/>
        <v>0</v>
      </c>
      <c r="AL147" s="53">
        <f t="shared" si="1635"/>
        <v>0</v>
      </c>
      <c r="AM147" s="51">
        <f t="shared" si="1636"/>
        <v>0</v>
      </c>
      <c r="AN147" s="53">
        <f t="shared" si="1637"/>
        <v>0</v>
      </c>
      <c r="AO147" s="51">
        <f t="shared" si="1638"/>
        <v>0</v>
      </c>
      <c r="AP147" s="53">
        <f t="shared" si="1639"/>
        <v>0</v>
      </c>
      <c r="AQ147" s="51">
        <f t="shared" si="1640"/>
        <v>0</v>
      </c>
      <c r="AR147" s="48">
        <f t="shared" si="1641"/>
        <v>0</v>
      </c>
      <c r="AS147" s="51">
        <f t="shared" si="1642"/>
        <v>0</v>
      </c>
      <c r="AT147" s="53">
        <f t="shared" si="1643"/>
        <v>0</v>
      </c>
      <c r="AU147" s="51">
        <f t="shared" si="1644"/>
        <v>0</v>
      </c>
      <c r="AV147" s="53">
        <f t="shared" si="1645"/>
        <v>0</v>
      </c>
      <c r="AW147" s="51">
        <f t="shared" si="1646"/>
        <v>0</v>
      </c>
      <c r="AX147" s="48">
        <f t="shared" si="1647"/>
        <v>0</v>
      </c>
      <c r="AY147" s="51">
        <f t="shared" si="1648"/>
        <v>0</v>
      </c>
      <c r="BB147" s="48">
        <v>1</v>
      </c>
      <c r="BC147" s="48">
        <v>0.97</v>
      </c>
      <c r="BD147" s="48">
        <v>0.95</v>
      </c>
      <c r="BE147" s="48">
        <v>0.93</v>
      </c>
      <c r="BF147" s="48">
        <f t="shared" ref="BF147:BW147" si="1753">+BE147-0.02</f>
        <v>0.91</v>
      </c>
      <c r="BG147" s="48">
        <f t="shared" si="1753"/>
        <v>0.89</v>
      </c>
      <c r="BH147" s="48">
        <f t="shared" si="1753"/>
        <v>0.87</v>
      </c>
      <c r="BI147" s="48">
        <f t="shared" si="1753"/>
        <v>0.85</v>
      </c>
      <c r="BJ147" s="48">
        <f t="shared" si="1753"/>
        <v>0.83</v>
      </c>
      <c r="BK147" s="48">
        <f t="shared" si="1753"/>
        <v>0.80999999999999994</v>
      </c>
      <c r="BL147" s="48">
        <f t="shared" si="1753"/>
        <v>0.78999999999999992</v>
      </c>
      <c r="BM147" s="48">
        <f t="shared" si="1753"/>
        <v>0.76999999999999991</v>
      </c>
      <c r="BN147" s="48">
        <f t="shared" si="1753"/>
        <v>0.74999999999999989</v>
      </c>
      <c r="BO147" s="48">
        <f t="shared" si="1753"/>
        <v>0.72999999999999987</v>
      </c>
      <c r="BP147" s="48">
        <f t="shared" si="1753"/>
        <v>0.70999999999999985</v>
      </c>
      <c r="BQ147" s="48">
        <f t="shared" si="1753"/>
        <v>0.68999999999999984</v>
      </c>
      <c r="BR147" s="48">
        <f t="shared" si="1753"/>
        <v>0.66999999999999982</v>
      </c>
      <c r="BS147" s="48">
        <f t="shared" si="1753"/>
        <v>0.6499999999999998</v>
      </c>
      <c r="BT147" s="48">
        <f t="shared" si="1753"/>
        <v>0.62999999999999978</v>
      </c>
      <c r="BU147" s="48">
        <f t="shared" si="1753"/>
        <v>0.60999999999999976</v>
      </c>
      <c r="BV147" s="48">
        <f t="shared" si="1753"/>
        <v>0.58999999999999975</v>
      </c>
      <c r="BW147" s="48">
        <f t="shared" si="1753"/>
        <v>0.56999999999999973</v>
      </c>
      <c r="BY147" s="48">
        <f t="shared" si="952"/>
        <v>0</v>
      </c>
      <c r="BZ147" s="48">
        <f t="shared" si="953"/>
        <v>0</v>
      </c>
      <c r="CA147" s="51">
        <f t="shared" ref="CA147" si="1754">+BZ147*3.3058</f>
        <v>0</v>
      </c>
      <c r="CB147" s="48">
        <f t="shared" si="1651"/>
        <v>0</v>
      </c>
      <c r="CC147" s="51">
        <f t="shared" si="1652"/>
        <v>0</v>
      </c>
      <c r="CD147" s="48">
        <f t="shared" si="1653"/>
        <v>0</v>
      </c>
      <c r="CE147" s="51">
        <f t="shared" si="1654"/>
        <v>0</v>
      </c>
      <c r="CF147" s="48">
        <f t="shared" si="1655"/>
        <v>0</v>
      </c>
      <c r="CG147" s="51">
        <f t="shared" si="1656"/>
        <v>0</v>
      </c>
      <c r="CH147" s="52">
        <f t="shared" si="1657"/>
        <v>0</v>
      </c>
      <c r="CI147" s="51">
        <f t="shared" si="1658"/>
        <v>0</v>
      </c>
      <c r="CJ147" s="48">
        <f t="shared" si="1659"/>
        <v>0</v>
      </c>
      <c r="CK147" s="51">
        <f t="shared" si="1660"/>
        <v>0</v>
      </c>
      <c r="CL147" s="52">
        <f t="shared" si="1661"/>
        <v>0</v>
      </c>
      <c r="CM147" s="51">
        <f t="shared" si="1662"/>
        <v>0</v>
      </c>
      <c r="CN147" s="53">
        <f t="shared" si="1663"/>
        <v>0</v>
      </c>
      <c r="CO147" s="51">
        <f t="shared" si="1664"/>
        <v>0</v>
      </c>
      <c r="CP147" s="52">
        <f t="shared" si="1665"/>
        <v>0</v>
      </c>
      <c r="CQ147" s="51">
        <f t="shared" si="1666"/>
        <v>0</v>
      </c>
      <c r="CR147" s="48">
        <f t="shared" si="1667"/>
        <v>0</v>
      </c>
      <c r="CS147" s="51">
        <f t="shared" si="1668"/>
        <v>0</v>
      </c>
      <c r="CT147" s="53">
        <f t="shared" si="1669"/>
        <v>0</v>
      </c>
      <c r="CU147" s="51">
        <f t="shared" si="1670"/>
        <v>0</v>
      </c>
      <c r="CV147" s="53">
        <f t="shared" si="1671"/>
        <v>0</v>
      </c>
      <c r="CW147" s="51">
        <f t="shared" si="1672"/>
        <v>0</v>
      </c>
      <c r="CX147" s="53">
        <f t="shared" si="1673"/>
        <v>0</v>
      </c>
      <c r="CY147" s="51">
        <f t="shared" si="1674"/>
        <v>0</v>
      </c>
      <c r="CZ147" s="48">
        <f t="shared" si="1675"/>
        <v>0</v>
      </c>
      <c r="DA147" s="51">
        <f t="shared" si="1676"/>
        <v>0</v>
      </c>
      <c r="DB147" s="53">
        <f t="shared" si="1677"/>
        <v>0</v>
      </c>
      <c r="DC147" s="51">
        <f t="shared" si="1678"/>
        <v>0</v>
      </c>
      <c r="DD147" s="53">
        <f t="shared" si="1679"/>
        <v>0</v>
      </c>
      <c r="DE147" s="51">
        <f t="shared" si="1680"/>
        <v>0</v>
      </c>
      <c r="DF147" s="53">
        <f t="shared" si="1681"/>
        <v>0</v>
      </c>
      <c r="DG147" s="51">
        <f t="shared" si="1682"/>
        <v>0</v>
      </c>
      <c r="DH147" s="53">
        <f t="shared" si="1683"/>
        <v>0</v>
      </c>
      <c r="DI147" s="51">
        <f t="shared" si="1684"/>
        <v>0</v>
      </c>
      <c r="DJ147" s="48">
        <f t="shared" si="1685"/>
        <v>0</v>
      </c>
      <c r="DK147" s="51">
        <f t="shared" si="1686"/>
        <v>0</v>
      </c>
      <c r="DL147" s="53">
        <f t="shared" si="1687"/>
        <v>0</v>
      </c>
      <c r="DM147" s="51">
        <f t="shared" si="1688"/>
        <v>0</v>
      </c>
      <c r="DN147" s="53">
        <f t="shared" si="1689"/>
        <v>0</v>
      </c>
      <c r="DO147" s="51">
        <f t="shared" si="1690"/>
        <v>0</v>
      </c>
      <c r="DP147" s="48">
        <f t="shared" si="1691"/>
        <v>0</v>
      </c>
      <c r="DQ147" s="51">
        <f t="shared" si="1692"/>
        <v>0</v>
      </c>
      <c r="DT147" s="48">
        <v>1</v>
      </c>
      <c r="DU147" s="48">
        <v>0.97</v>
      </c>
      <c r="DV147" s="48">
        <v>0.95</v>
      </c>
      <c r="DW147" s="48">
        <v>0.93</v>
      </c>
      <c r="DX147" s="48">
        <f t="shared" ref="DX147:EO147" si="1755">+DW147-0.02</f>
        <v>0.91</v>
      </c>
      <c r="DY147" s="48">
        <f t="shared" si="1755"/>
        <v>0.89</v>
      </c>
      <c r="DZ147" s="48">
        <f t="shared" si="1755"/>
        <v>0.87</v>
      </c>
      <c r="EA147" s="48">
        <f t="shared" si="1755"/>
        <v>0.85</v>
      </c>
      <c r="EB147" s="48">
        <f t="shared" si="1755"/>
        <v>0.83</v>
      </c>
      <c r="EC147" s="48">
        <f t="shared" si="1755"/>
        <v>0.80999999999999994</v>
      </c>
      <c r="ED147" s="48">
        <f t="shared" si="1755"/>
        <v>0.78999999999999992</v>
      </c>
      <c r="EE147" s="48">
        <f t="shared" si="1755"/>
        <v>0.76999999999999991</v>
      </c>
      <c r="EF147" s="48">
        <f t="shared" si="1755"/>
        <v>0.74999999999999989</v>
      </c>
      <c r="EG147" s="48">
        <f t="shared" si="1755"/>
        <v>0.72999999999999987</v>
      </c>
      <c r="EH147" s="48">
        <f t="shared" si="1755"/>
        <v>0.70999999999999985</v>
      </c>
      <c r="EI147" s="48">
        <f t="shared" si="1755"/>
        <v>0.68999999999999984</v>
      </c>
      <c r="EJ147" s="48">
        <f t="shared" si="1755"/>
        <v>0.66999999999999982</v>
      </c>
      <c r="EK147" s="48">
        <f t="shared" si="1755"/>
        <v>0.6499999999999998</v>
      </c>
      <c r="EL147" s="48">
        <f t="shared" si="1755"/>
        <v>0.62999999999999978</v>
      </c>
      <c r="EM147" s="48">
        <f t="shared" si="1755"/>
        <v>0.60999999999999976</v>
      </c>
      <c r="EN147" s="48">
        <f t="shared" si="1755"/>
        <v>0.58999999999999975</v>
      </c>
      <c r="EO147" s="48">
        <f t="shared" si="1755"/>
        <v>0.56999999999999973</v>
      </c>
      <c r="EQ147" s="48">
        <f t="shared" si="1128"/>
        <v>0</v>
      </c>
      <c r="ER147" s="48">
        <f t="shared" si="956"/>
        <v>0</v>
      </c>
      <c r="ES147" s="51">
        <f t="shared" ref="ES147" si="1756">+ER147*3.3058</f>
        <v>0</v>
      </c>
      <c r="ET147" s="48">
        <f t="shared" si="1695"/>
        <v>0</v>
      </c>
      <c r="EU147" s="51">
        <f t="shared" si="1696"/>
        <v>0</v>
      </c>
      <c r="EV147" s="48">
        <f t="shared" si="1697"/>
        <v>0</v>
      </c>
      <c r="EW147" s="51">
        <f t="shared" si="1698"/>
        <v>0</v>
      </c>
      <c r="EX147" s="48">
        <f t="shared" si="1699"/>
        <v>0</v>
      </c>
      <c r="EY147" s="51">
        <f t="shared" si="1700"/>
        <v>0</v>
      </c>
      <c r="EZ147" s="52">
        <f t="shared" si="1701"/>
        <v>0</v>
      </c>
      <c r="FA147" s="51">
        <f t="shared" si="1702"/>
        <v>0</v>
      </c>
      <c r="FB147" s="48">
        <f t="shared" si="1703"/>
        <v>0</v>
      </c>
      <c r="FC147" s="51">
        <f t="shared" si="1704"/>
        <v>0</v>
      </c>
      <c r="FD147" s="52">
        <f t="shared" si="1705"/>
        <v>0</v>
      </c>
      <c r="FE147" s="51">
        <f t="shared" si="1706"/>
        <v>0</v>
      </c>
      <c r="FF147" s="53">
        <f t="shared" si="1707"/>
        <v>0</v>
      </c>
      <c r="FG147" s="51">
        <f t="shared" si="1708"/>
        <v>0</v>
      </c>
      <c r="FH147" s="52">
        <f t="shared" si="1709"/>
        <v>0</v>
      </c>
      <c r="FI147" s="51">
        <f t="shared" si="1710"/>
        <v>0</v>
      </c>
      <c r="FJ147" s="48">
        <f t="shared" si="1711"/>
        <v>0</v>
      </c>
      <c r="FK147" s="51">
        <f t="shared" si="1712"/>
        <v>0</v>
      </c>
      <c r="FL147" s="53">
        <f t="shared" si="1713"/>
        <v>0</v>
      </c>
      <c r="FM147" s="51">
        <f t="shared" si="1714"/>
        <v>0</v>
      </c>
      <c r="FN147" s="53">
        <f t="shared" si="1715"/>
        <v>0</v>
      </c>
      <c r="FO147" s="51">
        <f t="shared" si="1716"/>
        <v>0</v>
      </c>
      <c r="FP147" s="53">
        <f t="shared" si="1717"/>
        <v>0</v>
      </c>
      <c r="FQ147" s="51">
        <f t="shared" si="1718"/>
        <v>0</v>
      </c>
      <c r="FR147" s="48">
        <f t="shared" si="1719"/>
        <v>0</v>
      </c>
      <c r="FS147" s="51">
        <f t="shared" si="1720"/>
        <v>0</v>
      </c>
      <c r="FT147" s="53">
        <f t="shared" si="1721"/>
        <v>0</v>
      </c>
      <c r="FU147" s="51">
        <f t="shared" si="1722"/>
        <v>0</v>
      </c>
      <c r="FV147" s="53">
        <f t="shared" si="1723"/>
        <v>0</v>
      </c>
      <c r="FW147" s="51">
        <f t="shared" si="1724"/>
        <v>0</v>
      </c>
      <c r="FX147" s="53">
        <f t="shared" si="1725"/>
        <v>0</v>
      </c>
      <c r="FY147" s="51">
        <f t="shared" si="1726"/>
        <v>0</v>
      </c>
      <c r="FZ147" s="53">
        <f t="shared" si="1727"/>
        <v>0</v>
      </c>
      <c r="GA147" s="51">
        <f t="shared" si="1728"/>
        <v>0</v>
      </c>
      <c r="GB147" s="48">
        <f t="shared" si="1729"/>
        <v>0</v>
      </c>
      <c r="GC147" s="51">
        <f t="shared" si="1730"/>
        <v>0</v>
      </c>
      <c r="GD147" s="53">
        <f t="shared" si="1731"/>
        <v>0</v>
      </c>
      <c r="GE147" s="51">
        <f t="shared" si="1732"/>
        <v>0</v>
      </c>
      <c r="GF147" s="53">
        <f t="shared" si="1733"/>
        <v>0</v>
      </c>
      <c r="GG147" s="51">
        <f t="shared" si="1734"/>
        <v>0</v>
      </c>
      <c r="GH147" s="48">
        <f t="shared" si="1735"/>
        <v>0</v>
      </c>
      <c r="GI147" s="51">
        <f t="shared" si="1736"/>
        <v>0</v>
      </c>
      <c r="GJ147" s="48"/>
      <c r="GK147" s="48"/>
      <c r="GL147" s="48">
        <v>1</v>
      </c>
      <c r="GM147" s="48">
        <v>0.97</v>
      </c>
      <c r="GN147" s="48">
        <v>0.95</v>
      </c>
      <c r="GO147" s="48">
        <v>0.93</v>
      </c>
      <c r="GP147" s="48">
        <f t="shared" ref="GP147:HG147" si="1757">+GO147-0.02</f>
        <v>0.91</v>
      </c>
      <c r="GQ147" s="48">
        <f t="shared" si="1757"/>
        <v>0.89</v>
      </c>
      <c r="GR147" s="48">
        <f t="shared" si="1757"/>
        <v>0.87</v>
      </c>
      <c r="GS147" s="48">
        <f t="shared" si="1757"/>
        <v>0.85</v>
      </c>
      <c r="GT147" s="48">
        <f t="shared" si="1757"/>
        <v>0.83</v>
      </c>
      <c r="GU147" s="48">
        <f t="shared" si="1757"/>
        <v>0.80999999999999994</v>
      </c>
      <c r="GV147" s="48">
        <f t="shared" si="1757"/>
        <v>0.78999999999999992</v>
      </c>
      <c r="GW147" s="48">
        <f t="shared" si="1757"/>
        <v>0.76999999999999991</v>
      </c>
      <c r="GX147" s="48">
        <f t="shared" si="1757"/>
        <v>0.74999999999999989</v>
      </c>
      <c r="GY147" s="48">
        <f t="shared" si="1757"/>
        <v>0.72999999999999987</v>
      </c>
      <c r="GZ147" s="48">
        <f t="shared" si="1757"/>
        <v>0.70999999999999985</v>
      </c>
      <c r="HA147" s="48">
        <f t="shared" si="1757"/>
        <v>0.68999999999999984</v>
      </c>
      <c r="HB147" s="48">
        <f t="shared" si="1757"/>
        <v>0.66999999999999982</v>
      </c>
      <c r="HC147" s="48">
        <f t="shared" si="1757"/>
        <v>0.6499999999999998</v>
      </c>
      <c r="HD147" s="48">
        <f t="shared" si="1757"/>
        <v>0.62999999999999978</v>
      </c>
      <c r="HE147" s="48">
        <f t="shared" si="1757"/>
        <v>0.60999999999999976</v>
      </c>
      <c r="HF147" s="48">
        <f t="shared" si="1757"/>
        <v>0.58999999999999975</v>
      </c>
      <c r="HG147" s="48">
        <f t="shared" si="1757"/>
        <v>0.56999999999999973</v>
      </c>
    </row>
    <row r="148" spans="1:215" x14ac:dyDescent="0.3">
      <c r="A148" s="2">
        <v>6</v>
      </c>
      <c r="C148" s="27" t="s">
        <v>158</v>
      </c>
      <c r="D148" s="40">
        <f>SUM(D143:D147)</f>
        <v>95120</v>
      </c>
      <c r="E148" s="40">
        <f>SUM(E143:E147)</f>
        <v>314440</v>
      </c>
      <c r="G148" s="48">
        <f t="shared" ref="G148:G155" si="1758">+D148*1.1</f>
        <v>104632.00000000001</v>
      </c>
      <c r="H148" s="48">
        <f t="shared" ref="H148:H155" si="1759">+G148</f>
        <v>104632.00000000001</v>
      </c>
      <c r="I148" s="51">
        <f t="shared" ref="I148:I155" si="1760">+H148*3.3058</f>
        <v>345892.46560000005</v>
      </c>
      <c r="J148" s="48">
        <f t="shared" si="1607"/>
        <v>101493.04000000001</v>
      </c>
      <c r="K148" s="51">
        <f t="shared" si="1608"/>
        <v>335515.69163200003</v>
      </c>
      <c r="L148" s="48">
        <f t="shared" si="1609"/>
        <v>99400.400000000009</v>
      </c>
      <c r="M148" s="51">
        <f t="shared" si="1610"/>
        <v>328597.84232000005</v>
      </c>
      <c r="N148" s="48">
        <f t="shared" si="1611"/>
        <v>97307.760000000024</v>
      </c>
      <c r="O148" s="51">
        <f t="shared" si="1612"/>
        <v>321679.99300800008</v>
      </c>
      <c r="P148" s="52">
        <f t="shared" si="1613"/>
        <v>95215.12000000001</v>
      </c>
      <c r="Q148" s="51">
        <f t="shared" si="1614"/>
        <v>314762.14369600004</v>
      </c>
      <c r="R148" s="48">
        <f t="shared" si="1615"/>
        <v>93122.48000000001</v>
      </c>
      <c r="S148" s="51">
        <f t="shared" si="1616"/>
        <v>307844.29438400007</v>
      </c>
      <c r="T148" s="52">
        <f t="shared" si="1617"/>
        <v>91029.840000000011</v>
      </c>
      <c r="U148" s="51">
        <f t="shared" si="1618"/>
        <v>300926.44507200003</v>
      </c>
      <c r="V148" s="53">
        <f t="shared" si="1619"/>
        <v>88937.200000000012</v>
      </c>
      <c r="W148" s="51">
        <f t="shared" si="1620"/>
        <v>294008.59576000005</v>
      </c>
      <c r="X148" s="52">
        <f t="shared" si="1621"/>
        <v>86844.560000000012</v>
      </c>
      <c r="Y148" s="51">
        <f t="shared" si="1622"/>
        <v>287090.74644800002</v>
      </c>
      <c r="Z148" s="48">
        <f t="shared" si="1623"/>
        <v>84751.920000000013</v>
      </c>
      <c r="AA148" s="51">
        <f t="shared" si="1624"/>
        <v>280172.89713600004</v>
      </c>
      <c r="AB148" s="53">
        <f t="shared" si="1625"/>
        <v>82659.28</v>
      </c>
      <c r="AC148" s="51">
        <f t="shared" si="1626"/>
        <v>273255.04782400001</v>
      </c>
      <c r="AD148" s="53">
        <f t="shared" si="1627"/>
        <v>80566.64</v>
      </c>
      <c r="AE148" s="51">
        <f t="shared" si="1628"/>
        <v>266337.19851200003</v>
      </c>
      <c r="AF148" s="53">
        <f t="shared" si="1629"/>
        <v>78474</v>
      </c>
      <c r="AG148" s="51">
        <f t="shared" si="1630"/>
        <v>259419.3492</v>
      </c>
      <c r="AH148" s="48">
        <f t="shared" si="1631"/>
        <v>76381.36</v>
      </c>
      <c r="AI148" s="51">
        <f t="shared" si="1632"/>
        <v>252501.49988800002</v>
      </c>
      <c r="AJ148" s="53">
        <f t="shared" si="1633"/>
        <v>74288.72</v>
      </c>
      <c r="AK148" s="51">
        <f t="shared" si="1634"/>
        <v>245583.65057600001</v>
      </c>
      <c r="AL148" s="53">
        <f t="shared" si="1635"/>
        <v>72196.079999999987</v>
      </c>
      <c r="AM148" s="51">
        <f t="shared" si="1636"/>
        <v>238665.80126399995</v>
      </c>
      <c r="AN148" s="53">
        <f t="shared" si="1637"/>
        <v>70103.439999999988</v>
      </c>
      <c r="AO148" s="51">
        <f t="shared" si="1638"/>
        <v>231747.95195199997</v>
      </c>
      <c r="AP148" s="53">
        <f t="shared" si="1639"/>
        <v>68010.799999999988</v>
      </c>
      <c r="AQ148" s="51">
        <f t="shared" si="1640"/>
        <v>224830.10263999997</v>
      </c>
      <c r="AR148" s="48">
        <f t="shared" si="1641"/>
        <v>65918.159999999989</v>
      </c>
      <c r="AS148" s="51">
        <f t="shared" si="1642"/>
        <v>217912.25332799996</v>
      </c>
      <c r="AT148" s="53">
        <f t="shared" si="1643"/>
        <v>63825.519999999982</v>
      </c>
      <c r="AU148" s="51">
        <f t="shared" si="1644"/>
        <v>210994.40401599996</v>
      </c>
      <c r="AV148" s="53">
        <f t="shared" si="1645"/>
        <v>61732.879999999983</v>
      </c>
      <c r="AW148" s="51">
        <f t="shared" si="1646"/>
        <v>204076.55470399995</v>
      </c>
      <c r="AX148" s="48">
        <f t="shared" si="1647"/>
        <v>59640.239999999983</v>
      </c>
      <c r="AY148" s="51">
        <f t="shared" si="1648"/>
        <v>197158.70539199995</v>
      </c>
      <c r="BB148" s="48">
        <v>1</v>
      </c>
      <c r="BC148" s="48">
        <v>0.97</v>
      </c>
      <c r="BD148" s="48">
        <v>0.95</v>
      </c>
      <c r="BE148" s="48">
        <v>0.93</v>
      </c>
      <c r="BF148" s="48">
        <f t="shared" ref="BF148:BW148" si="1761">+BE148-0.02</f>
        <v>0.91</v>
      </c>
      <c r="BG148" s="48">
        <f t="shared" si="1761"/>
        <v>0.89</v>
      </c>
      <c r="BH148" s="48">
        <f t="shared" si="1761"/>
        <v>0.87</v>
      </c>
      <c r="BI148" s="48">
        <f t="shared" si="1761"/>
        <v>0.85</v>
      </c>
      <c r="BJ148" s="48">
        <f t="shared" si="1761"/>
        <v>0.83</v>
      </c>
      <c r="BK148" s="48">
        <f t="shared" si="1761"/>
        <v>0.80999999999999994</v>
      </c>
      <c r="BL148" s="48">
        <f t="shared" si="1761"/>
        <v>0.78999999999999992</v>
      </c>
      <c r="BM148" s="48">
        <f t="shared" si="1761"/>
        <v>0.76999999999999991</v>
      </c>
      <c r="BN148" s="48">
        <f t="shared" si="1761"/>
        <v>0.74999999999999989</v>
      </c>
      <c r="BO148" s="48">
        <f t="shared" si="1761"/>
        <v>0.72999999999999987</v>
      </c>
      <c r="BP148" s="48">
        <f t="shared" si="1761"/>
        <v>0.70999999999999985</v>
      </c>
      <c r="BQ148" s="48">
        <f t="shared" si="1761"/>
        <v>0.68999999999999984</v>
      </c>
      <c r="BR148" s="48">
        <f t="shared" si="1761"/>
        <v>0.66999999999999982</v>
      </c>
      <c r="BS148" s="48">
        <f t="shared" si="1761"/>
        <v>0.6499999999999998</v>
      </c>
      <c r="BT148" s="48">
        <f t="shared" si="1761"/>
        <v>0.62999999999999978</v>
      </c>
      <c r="BU148" s="48">
        <f t="shared" si="1761"/>
        <v>0.60999999999999976</v>
      </c>
      <c r="BV148" s="48">
        <f t="shared" si="1761"/>
        <v>0.58999999999999975</v>
      </c>
      <c r="BW148" s="48">
        <f t="shared" si="1761"/>
        <v>0.56999999999999973</v>
      </c>
      <c r="BY148" s="48">
        <f t="shared" ref="BY148:BY155" si="1762">+G148*0.91</f>
        <v>95215.12000000001</v>
      </c>
      <c r="BZ148" s="48">
        <f t="shared" ref="BZ148:BZ155" si="1763">+BY148</f>
        <v>95215.12000000001</v>
      </c>
      <c r="CA148" s="51">
        <f t="shared" ref="CA148" si="1764">+BZ148*3.3058</f>
        <v>314762.14369600004</v>
      </c>
      <c r="CB148" s="48">
        <f t="shared" si="1651"/>
        <v>92358.666400000002</v>
      </c>
      <c r="CC148" s="51">
        <f t="shared" si="1652"/>
        <v>305319.27938512003</v>
      </c>
      <c r="CD148" s="48">
        <f t="shared" si="1653"/>
        <v>90454.364000000001</v>
      </c>
      <c r="CE148" s="51">
        <f t="shared" si="1654"/>
        <v>299024.03651120001</v>
      </c>
      <c r="CF148" s="48">
        <f t="shared" si="1655"/>
        <v>88550.061600000015</v>
      </c>
      <c r="CG148" s="51">
        <f t="shared" si="1656"/>
        <v>292728.79363728006</v>
      </c>
      <c r="CH148" s="52">
        <f t="shared" si="1657"/>
        <v>86645.759200000015</v>
      </c>
      <c r="CI148" s="51">
        <f t="shared" si="1658"/>
        <v>286433.55076336005</v>
      </c>
      <c r="CJ148" s="48">
        <f t="shared" si="1659"/>
        <v>84741.456800000014</v>
      </c>
      <c r="CK148" s="51">
        <f t="shared" si="1660"/>
        <v>280138.30788944004</v>
      </c>
      <c r="CL148" s="52">
        <f t="shared" si="1661"/>
        <v>82837.154400000014</v>
      </c>
      <c r="CM148" s="51">
        <f t="shared" si="1662"/>
        <v>273843.06501552003</v>
      </c>
      <c r="CN148" s="53">
        <f t="shared" si="1663"/>
        <v>80932.852000000014</v>
      </c>
      <c r="CO148" s="51">
        <f t="shared" si="1664"/>
        <v>267547.82214160007</v>
      </c>
      <c r="CP148" s="52">
        <f t="shared" si="1665"/>
        <v>79028.549599999998</v>
      </c>
      <c r="CQ148" s="51">
        <f t="shared" si="1666"/>
        <v>261252.57926768</v>
      </c>
      <c r="CR148" s="48">
        <f t="shared" si="1667"/>
        <v>77124.247199999998</v>
      </c>
      <c r="CS148" s="51">
        <f t="shared" si="1668"/>
        <v>254957.33639375999</v>
      </c>
      <c r="CT148" s="53">
        <f t="shared" si="1669"/>
        <v>75219.944799999997</v>
      </c>
      <c r="CU148" s="51">
        <f t="shared" si="1670"/>
        <v>248662.09351984001</v>
      </c>
      <c r="CV148" s="53">
        <f t="shared" si="1671"/>
        <v>73315.642399999997</v>
      </c>
      <c r="CW148" s="51">
        <f t="shared" si="1672"/>
        <v>242366.85064592</v>
      </c>
      <c r="CX148" s="53">
        <f t="shared" si="1673"/>
        <v>71411.34</v>
      </c>
      <c r="CY148" s="51">
        <f t="shared" si="1674"/>
        <v>236071.60777199999</v>
      </c>
      <c r="CZ148" s="48">
        <f t="shared" si="1675"/>
        <v>69507.037599999996</v>
      </c>
      <c r="DA148" s="51">
        <f t="shared" si="1676"/>
        <v>229776.36489808001</v>
      </c>
      <c r="DB148" s="53">
        <f t="shared" si="1677"/>
        <v>67602.735199999996</v>
      </c>
      <c r="DC148" s="51">
        <f t="shared" si="1678"/>
        <v>223481.12202415999</v>
      </c>
      <c r="DD148" s="53">
        <f t="shared" si="1679"/>
        <v>65698.432799999995</v>
      </c>
      <c r="DE148" s="51">
        <f t="shared" si="1680"/>
        <v>217185.87915023998</v>
      </c>
      <c r="DF148" s="53">
        <f t="shared" si="1681"/>
        <v>63794.130399999987</v>
      </c>
      <c r="DG148" s="51">
        <f t="shared" si="1682"/>
        <v>210890.63627631997</v>
      </c>
      <c r="DH148" s="53">
        <f t="shared" si="1683"/>
        <v>61889.827999999987</v>
      </c>
      <c r="DI148" s="51">
        <f t="shared" si="1684"/>
        <v>204595.39340239996</v>
      </c>
      <c r="DJ148" s="48">
        <f t="shared" si="1685"/>
        <v>59985.525599999986</v>
      </c>
      <c r="DK148" s="51">
        <f t="shared" si="1686"/>
        <v>198300.15052847995</v>
      </c>
      <c r="DL148" s="53">
        <f t="shared" si="1687"/>
        <v>58081.223199999986</v>
      </c>
      <c r="DM148" s="51">
        <f t="shared" si="1688"/>
        <v>192004.90765455997</v>
      </c>
      <c r="DN148" s="53">
        <f t="shared" si="1689"/>
        <v>56176.920799999985</v>
      </c>
      <c r="DO148" s="51">
        <f t="shared" si="1690"/>
        <v>185709.66478063996</v>
      </c>
      <c r="DP148" s="48">
        <f t="shared" si="1691"/>
        <v>54272.618399999978</v>
      </c>
      <c r="DQ148" s="51">
        <f t="shared" si="1692"/>
        <v>179414.42190671992</v>
      </c>
      <c r="DT148" s="48">
        <v>1</v>
      </c>
      <c r="DU148" s="48">
        <v>0.97</v>
      </c>
      <c r="DV148" s="48">
        <v>0.95</v>
      </c>
      <c r="DW148" s="48">
        <v>0.93</v>
      </c>
      <c r="DX148" s="48">
        <f t="shared" ref="DX148:EO148" si="1765">+DW148-0.02</f>
        <v>0.91</v>
      </c>
      <c r="DY148" s="48">
        <f t="shared" si="1765"/>
        <v>0.89</v>
      </c>
      <c r="DZ148" s="48">
        <f t="shared" si="1765"/>
        <v>0.87</v>
      </c>
      <c r="EA148" s="48">
        <f t="shared" si="1765"/>
        <v>0.85</v>
      </c>
      <c r="EB148" s="48">
        <f t="shared" si="1765"/>
        <v>0.83</v>
      </c>
      <c r="EC148" s="48">
        <f t="shared" si="1765"/>
        <v>0.80999999999999994</v>
      </c>
      <c r="ED148" s="48">
        <f t="shared" si="1765"/>
        <v>0.78999999999999992</v>
      </c>
      <c r="EE148" s="48">
        <f t="shared" si="1765"/>
        <v>0.76999999999999991</v>
      </c>
      <c r="EF148" s="48">
        <f t="shared" si="1765"/>
        <v>0.74999999999999989</v>
      </c>
      <c r="EG148" s="48">
        <f t="shared" si="1765"/>
        <v>0.72999999999999987</v>
      </c>
      <c r="EH148" s="48">
        <f t="shared" si="1765"/>
        <v>0.70999999999999985</v>
      </c>
      <c r="EI148" s="48">
        <f t="shared" si="1765"/>
        <v>0.68999999999999984</v>
      </c>
      <c r="EJ148" s="48">
        <f t="shared" si="1765"/>
        <v>0.66999999999999982</v>
      </c>
      <c r="EK148" s="48">
        <f t="shared" si="1765"/>
        <v>0.6499999999999998</v>
      </c>
      <c r="EL148" s="48">
        <f t="shared" si="1765"/>
        <v>0.62999999999999978</v>
      </c>
      <c r="EM148" s="48">
        <f t="shared" si="1765"/>
        <v>0.60999999999999976</v>
      </c>
      <c r="EN148" s="48">
        <f t="shared" si="1765"/>
        <v>0.58999999999999975</v>
      </c>
      <c r="EO148" s="48">
        <f t="shared" si="1765"/>
        <v>0.56999999999999973</v>
      </c>
      <c r="EQ148" s="48">
        <f t="shared" si="1128"/>
        <v>86645.759200000015</v>
      </c>
      <c r="ER148" s="48">
        <f t="shared" ref="ER148:ER155" si="1766">+EQ148</f>
        <v>86645.759200000015</v>
      </c>
      <c r="ES148" s="51">
        <f t="shared" ref="ES148" si="1767">+ER148*3.3058</f>
        <v>286433.55076336005</v>
      </c>
      <c r="ET148" s="48">
        <f t="shared" si="1695"/>
        <v>84046.386424000011</v>
      </c>
      <c r="EU148" s="51">
        <f t="shared" si="1696"/>
        <v>277840.54424045922</v>
      </c>
      <c r="EV148" s="48">
        <f t="shared" si="1697"/>
        <v>82313.471240000013</v>
      </c>
      <c r="EW148" s="51">
        <f t="shared" si="1698"/>
        <v>272111.87322519207</v>
      </c>
      <c r="EX148" s="48">
        <f t="shared" si="1699"/>
        <v>80580.556056000016</v>
      </c>
      <c r="EY148" s="51">
        <f t="shared" si="1700"/>
        <v>266383.20220992487</v>
      </c>
      <c r="EZ148" s="52">
        <f t="shared" si="1701"/>
        <v>78847.640872000018</v>
      </c>
      <c r="FA148" s="51">
        <f t="shared" si="1702"/>
        <v>260654.53119465767</v>
      </c>
      <c r="FB148" s="48">
        <f t="shared" si="1703"/>
        <v>77114.72568800002</v>
      </c>
      <c r="FC148" s="51">
        <f t="shared" si="1704"/>
        <v>254925.86017939047</v>
      </c>
      <c r="FD148" s="52">
        <f t="shared" si="1705"/>
        <v>75381.810504000008</v>
      </c>
      <c r="FE148" s="51">
        <f t="shared" si="1706"/>
        <v>249197.18916412324</v>
      </c>
      <c r="FF148" s="53">
        <f t="shared" si="1707"/>
        <v>73648.895320000011</v>
      </c>
      <c r="FG148" s="51">
        <f t="shared" si="1708"/>
        <v>243468.51814885603</v>
      </c>
      <c r="FH148" s="52">
        <f t="shared" si="1709"/>
        <v>71915.980136000013</v>
      </c>
      <c r="FI148" s="51">
        <f t="shared" si="1710"/>
        <v>237739.84713358886</v>
      </c>
      <c r="FJ148" s="48">
        <f t="shared" si="1711"/>
        <v>70183.064952000001</v>
      </c>
      <c r="FK148" s="51">
        <f t="shared" si="1712"/>
        <v>232011.1761183216</v>
      </c>
      <c r="FL148" s="53">
        <f t="shared" si="1713"/>
        <v>68450.149768000003</v>
      </c>
      <c r="FM148" s="51">
        <f t="shared" si="1714"/>
        <v>226282.50510305443</v>
      </c>
      <c r="FN148" s="53">
        <f t="shared" si="1715"/>
        <v>66717.234584000005</v>
      </c>
      <c r="FO148" s="51">
        <f t="shared" si="1716"/>
        <v>220553.83408778723</v>
      </c>
      <c r="FP148" s="53">
        <f t="shared" si="1717"/>
        <v>64984.3194</v>
      </c>
      <c r="FQ148" s="51">
        <f t="shared" si="1718"/>
        <v>214825.16307251999</v>
      </c>
      <c r="FR148" s="48">
        <f t="shared" si="1719"/>
        <v>63251.404216000003</v>
      </c>
      <c r="FS148" s="51">
        <f t="shared" si="1720"/>
        <v>209096.49205725282</v>
      </c>
      <c r="FT148" s="53">
        <f t="shared" si="1721"/>
        <v>61518.489031999998</v>
      </c>
      <c r="FU148" s="51">
        <f t="shared" si="1722"/>
        <v>203367.82104198559</v>
      </c>
      <c r="FV148" s="53">
        <f t="shared" si="1723"/>
        <v>59785.573847999993</v>
      </c>
      <c r="FW148" s="51">
        <f t="shared" si="1724"/>
        <v>197639.15002671839</v>
      </c>
      <c r="FX148" s="53">
        <f t="shared" si="1725"/>
        <v>58052.658663999995</v>
      </c>
      <c r="FY148" s="51">
        <f t="shared" si="1726"/>
        <v>191910.47901145119</v>
      </c>
      <c r="FZ148" s="53">
        <f t="shared" si="1727"/>
        <v>56319.74347999999</v>
      </c>
      <c r="GA148" s="51">
        <f t="shared" si="1728"/>
        <v>186181.80799618398</v>
      </c>
      <c r="GB148" s="48">
        <f t="shared" si="1729"/>
        <v>54586.828295999992</v>
      </c>
      <c r="GC148" s="51">
        <f t="shared" si="1730"/>
        <v>180453.13698091678</v>
      </c>
      <c r="GD148" s="53">
        <f t="shared" si="1731"/>
        <v>52853.913111999987</v>
      </c>
      <c r="GE148" s="51">
        <f t="shared" si="1732"/>
        <v>174724.46596564955</v>
      </c>
      <c r="GF148" s="53">
        <f t="shared" si="1733"/>
        <v>51120.99792799999</v>
      </c>
      <c r="GG148" s="51">
        <f t="shared" si="1734"/>
        <v>168995.79495038238</v>
      </c>
      <c r="GH148" s="48">
        <f t="shared" si="1735"/>
        <v>49388.082743999985</v>
      </c>
      <c r="GI148" s="51">
        <f t="shared" si="1736"/>
        <v>163267.12393511515</v>
      </c>
      <c r="GJ148" s="48"/>
      <c r="GK148" s="48"/>
      <c r="GL148" s="48">
        <v>1</v>
      </c>
      <c r="GM148" s="48">
        <v>0.97</v>
      </c>
      <c r="GN148" s="48">
        <v>0.95</v>
      </c>
      <c r="GO148" s="48">
        <v>0.93</v>
      </c>
      <c r="GP148" s="48">
        <f t="shared" ref="GP148:HG148" si="1768">+GO148-0.02</f>
        <v>0.91</v>
      </c>
      <c r="GQ148" s="48">
        <f t="shared" si="1768"/>
        <v>0.89</v>
      </c>
      <c r="GR148" s="48">
        <f t="shared" si="1768"/>
        <v>0.87</v>
      </c>
      <c r="GS148" s="48">
        <f t="shared" si="1768"/>
        <v>0.85</v>
      </c>
      <c r="GT148" s="48">
        <f t="shared" si="1768"/>
        <v>0.83</v>
      </c>
      <c r="GU148" s="48">
        <f t="shared" si="1768"/>
        <v>0.80999999999999994</v>
      </c>
      <c r="GV148" s="48">
        <f t="shared" si="1768"/>
        <v>0.78999999999999992</v>
      </c>
      <c r="GW148" s="48">
        <f t="shared" si="1768"/>
        <v>0.76999999999999991</v>
      </c>
      <c r="GX148" s="48">
        <f t="shared" si="1768"/>
        <v>0.74999999999999989</v>
      </c>
      <c r="GY148" s="48">
        <f t="shared" si="1768"/>
        <v>0.72999999999999987</v>
      </c>
      <c r="GZ148" s="48">
        <f t="shared" si="1768"/>
        <v>0.70999999999999985</v>
      </c>
      <c r="HA148" s="48">
        <f t="shared" si="1768"/>
        <v>0.68999999999999984</v>
      </c>
      <c r="HB148" s="48">
        <f t="shared" si="1768"/>
        <v>0.66999999999999982</v>
      </c>
      <c r="HC148" s="48">
        <f t="shared" si="1768"/>
        <v>0.6499999999999998</v>
      </c>
      <c r="HD148" s="48">
        <f t="shared" si="1768"/>
        <v>0.62999999999999978</v>
      </c>
      <c r="HE148" s="48">
        <f t="shared" si="1768"/>
        <v>0.60999999999999976</v>
      </c>
      <c r="HF148" s="48">
        <f t="shared" si="1768"/>
        <v>0.58999999999999975</v>
      </c>
      <c r="HG148" s="48">
        <f t="shared" si="1768"/>
        <v>0.56999999999999973</v>
      </c>
    </row>
    <row r="149" spans="1:215" s="54" customFormat="1" x14ac:dyDescent="0.3">
      <c r="C149" s="55"/>
      <c r="D149" s="55"/>
      <c r="E149" s="55"/>
      <c r="G149" s="56"/>
      <c r="H149" s="56"/>
      <c r="I149" s="56"/>
      <c r="J149" s="56"/>
      <c r="K149" s="56"/>
      <c r="L149" s="56"/>
      <c r="M149" s="56"/>
      <c r="N149" s="56"/>
      <c r="O149" s="56"/>
      <c r="P149" s="57"/>
      <c r="Q149" s="56"/>
      <c r="R149" s="56"/>
      <c r="S149" s="56"/>
      <c r="T149" s="57"/>
      <c r="U149" s="56"/>
      <c r="V149" s="58"/>
      <c r="W149" s="56"/>
      <c r="X149" s="57"/>
      <c r="Y149" s="56"/>
      <c r="Z149" s="56"/>
      <c r="AA149" s="56"/>
      <c r="AB149" s="58"/>
      <c r="AC149" s="56"/>
      <c r="AD149" s="58"/>
      <c r="AE149" s="56"/>
      <c r="AF149" s="58"/>
      <c r="AG149" s="56"/>
      <c r="AH149" s="56"/>
      <c r="AI149" s="56"/>
      <c r="AJ149" s="58"/>
      <c r="AK149" s="56"/>
      <c r="AL149" s="58"/>
      <c r="AM149" s="56"/>
      <c r="AN149" s="58"/>
      <c r="AO149" s="56"/>
      <c r="AP149" s="58"/>
      <c r="AQ149" s="56"/>
      <c r="AR149" s="56"/>
      <c r="AS149" s="56"/>
      <c r="AT149" s="58"/>
      <c r="AU149" s="56"/>
      <c r="AV149" s="58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>
        <f t="shared" si="1762"/>
        <v>0</v>
      </c>
      <c r="BZ149" s="56"/>
      <c r="CA149" s="56"/>
      <c r="CB149" s="56"/>
      <c r="CC149" s="56"/>
      <c r="CD149" s="56"/>
      <c r="CE149" s="56"/>
      <c r="CF149" s="56"/>
      <c r="CG149" s="56"/>
      <c r="CH149" s="57"/>
      <c r="CI149" s="56"/>
      <c r="CJ149" s="56"/>
      <c r="CK149" s="56"/>
      <c r="CL149" s="57"/>
      <c r="CM149" s="56"/>
      <c r="CN149" s="58"/>
      <c r="CO149" s="56"/>
      <c r="CP149" s="57"/>
      <c r="CQ149" s="56"/>
      <c r="CR149" s="56"/>
      <c r="CS149" s="56"/>
      <c r="CT149" s="58"/>
      <c r="CU149" s="56"/>
      <c r="CV149" s="58"/>
      <c r="CW149" s="56"/>
      <c r="CX149" s="58"/>
      <c r="CY149" s="56"/>
      <c r="CZ149" s="56"/>
      <c r="DA149" s="56"/>
      <c r="DB149" s="58"/>
      <c r="DC149" s="56"/>
      <c r="DD149" s="58"/>
      <c r="DE149" s="56"/>
      <c r="DF149" s="58"/>
      <c r="DG149" s="56"/>
      <c r="DH149" s="58"/>
      <c r="DI149" s="56"/>
      <c r="DJ149" s="56"/>
      <c r="DK149" s="56"/>
      <c r="DL149" s="58"/>
      <c r="DM149" s="56"/>
      <c r="DN149" s="58"/>
      <c r="DO149" s="56"/>
      <c r="DP149" s="56"/>
      <c r="DQ149" s="56"/>
      <c r="DR149" s="56"/>
      <c r="DS149" s="56"/>
      <c r="DT149" s="56">
        <v>1</v>
      </c>
      <c r="DU149" s="56">
        <v>0.97</v>
      </c>
      <c r="DV149" s="56">
        <v>0.95</v>
      </c>
      <c r="DW149" s="56">
        <v>0.93</v>
      </c>
      <c r="DX149" s="56">
        <f t="shared" ref="DX149:EO149" si="1769">+DW149-0.02</f>
        <v>0.91</v>
      </c>
      <c r="DY149" s="56">
        <f t="shared" si="1769"/>
        <v>0.89</v>
      </c>
      <c r="DZ149" s="56">
        <f t="shared" si="1769"/>
        <v>0.87</v>
      </c>
      <c r="EA149" s="56">
        <f t="shared" si="1769"/>
        <v>0.85</v>
      </c>
      <c r="EB149" s="56">
        <f t="shared" si="1769"/>
        <v>0.83</v>
      </c>
      <c r="EC149" s="56">
        <f t="shared" si="1769"/>
        <v>0.80999999999999994</v>
      </c>
      <c r="ED149" s="56">
        <f t="shared" si="1769"/>
        <v>0.78999999999999992</v>
      </c>
      <c r="EE149" s="56">
        <f t="shared" si="1769"/>
        <v>0.76999999999999991</v>
      </c>
      <c r="EF149" s="56">
        <f t="shared" si="1769"/>
        <v>0.74999999999999989</v>
      </c>
      <c r="EG149" s="56">
        <f t="shared" si="1769"/>
        <v>0.72999999999999987</v>
      </c>
      <c r="EH149" s="56">
        <f t="shared" si="1769"/>
        <v>0.70999999999999985</v>
      </c>
      <c r="EI149" s="56">
        <f t="shared" si="1769"/>
        <v>0.68999999999999984</v>
      </c>
      <c r="EJ149" s="56">
        <f t="shared" si="1769"/>
        <v>0.66999999999999982</v>
      </c>
      <c r="EK149" s="56">
        <f t="shared" si="1769"/>
        <v>0.6499999999999998</v>
      </c>
      <c r="EL149" s="56">
        <f t="shared" si="1769"/>
        <v>0.62999999999999978</v>
      </c>
      <c r="EM149" s="56">
        <f t="shared" si="1769"/>
        <v>0.60999999999999976</v>
      </c>
      <c r="EN149" s="56">
        <f t="shared" si="1769"/>
        <v>0.58999999999999975</v>
      </c>
      <c r="EO149" s="56">
        <f t="shared" si="1769"/>
        <v>0.56999999999999973</v>
      </c>
      <c r="EQ149" s="56">
        <f t="shared" si="1128"/>
        <v>0</v>
      </c>
      <c r="ER149" s="56"/>
      <c r="ES149" s="56"/>
      <c r="ET149" s="56"/>
      <c r="EU149" s="56"/>
      <c r="EV149" s="56"/>
      <c r="EW149" s="56"/>
      <c r="EX149" s="56"/>
      <c r="EY149" s="56"/>
      <c r="EZ149" s="57"/>
      <c r="FA149" s="56"/>
      <c r="FB149" s="56"/>
      <c r="FC149" s="56"/>
      <c r="FD149" s="57"/>
      <c r="FE149" s="56"/>
      <c r="FF149" s="58"/>
      <c r="FG149" s="56"/>
      <c r="FH149" s="57"/>
      <c r="FI149" s="56"/>
      <c r="FJ149" s="56"/>
      <c r="FK149" s="56"/>
      <c r="FL149" s="58"/>
      <c r="FM149" s="56"/>
      <c r="FN149" s="58"/>
      <c r="FO149" s="56"/>
      <c r="FP149" s="58"/>
      <c r="FQ149" s="56"/>
      <c r="FR149" s="56"/>
      <c r="FS149" s="56"/>
      <c r="FT149" s="58"/>
      <c r="FU149" s="56"/>
      <c r="FV149" s="58"/>
      <c r="FW149" s="56"/>
      <c r="FX149" s="58"/>
      <c r="FY149" s="56"/>
      <c r="FZ149" s="58"/>
      <c r="GA149" s="56"/>
      <c r="GB149" s="56"/>
      <c r="GC149" s="56"/>
      <c r="GD149" s="58"/>
      <c r="GE149" s="56"/>
      <c r="GF149" s="58"/>
      <c r="GG149" s="56"/>
      <c r="GH149" s="56"/>
      <c r="GI149" s="56"/>
      <c r="GJ149" s="56"/>
      <c r="GK149" s="56"/>
      <c r="GL149" s="56">
        <v>1</v>
      </c>
      <c r="GM149" s="56">
        <v>0.97</v>
      </c>
      <c r="GN149" s="56">
        <v>0.95</v>
      </c>
      <c r="GO149" s="56">
        <v>0.93</v>
      </c>
      <c r="GP149" s="56">
        <f t="shared" ref="GP149:HG149" si="1770">+GO149-0.02</f>
        <v>0.91</v>
      </c>
      <c r="GQ149" s="56">
        <f t="shared" si="1770"/>
        <v>0.89</v>
      </c>
      <c r="GR149" s="56">
        <f t="shared" si="1770"/>
        <v>0.87</v>
      </c>
      <c r="GS149" s="56">
        <f t="shared" si="1770"/>
        <v>0.85</v>
      </c>
      <c r="GT149" s="56">
        <f t="shared" si="1770"/>
        <v>0.83</v>
      </c>
      <c r="GU149" s="56">
        <f t="shared" si="1770"/>
        <v>0.80999999999999994</v>
      </c>
      <c r="GV149" s="56">
        <f t="shared" si="1770"/>
        <v>0.78999999999999992</v>
      </c>
      <c r="GW149" s="56">
        <f t="shared" si="1770"/>
        <v>0.76999999999999991</v>
      </c>
      <c r="GX149" s="56">
        <f t="shared" si="1770"/>
        <v>0.74999999999999989</v>
      </c>
      <c r="GY149" s="56">
        <f t="shared" si="1770"/>
        <v>0.72999999999999987</v>
      </c>
      <c r="GZ149" s="56">
        <f t="shared" si="1770"/>
        <v>0.70999999999999985</v>
      </c>
      <c r="HA149" s="56">
        <f t="shared" si="1770"/>
        <v>0.68999999999999984</v>
      </c>
      <c r="HB149" s="56">
        <f t="shared" si="1770"/>
        <v>0.66999999999999982</v>
      </c>
      <c r="HC149" s="56">
        <f t="shared" si="1770"/>
        <v>0.6499999999999998</v>
      </c>
      <c r="HD149" s="56">
        <f t="shared" si="1770"/>
        <v>0.62999999999999978</v>
      </c>
      <c r="HE149" s="56">
        <f t="shared" si="1770"/>
        <v>0.60999999999999976</v>
      </c>
      <c r="HF149" s="56">
        <f t="shared" si="1770"/>
        <v>0.58999999999999975</v>
      </c>
      <c r="HG149" s="56">
        <f t="shared" si="1770"/>
        <v>0.56999999999999973</v>
      </c>
    </row>
    <row r="150" spans="1:215" s="54" customFormat="1" ht="17.25" thickBot="1" x14ac:dyDescent="0.35">
      <c r="B150" s="54" t="s">
        <v>201</v>
      </c>
      <c r="C150" s="54" t="s">
        <v>131</v>
      </c>
      <c r="D150" s="55" t="s">
        <v>207</v>
      </c>
      <c r="E150" s="55" t="s">
        <v>61</v>
      </c>
      <c r="G150" s="56"/>
      <c r="H150" s="56"/>
      <c r="I150" s="56"/>
      <c r="J150" s="56"/>
      <c r="K150" s="56"/>
      <c r="L150" s="56"/>
      <c r="M150" s="56"/>
      <c r="N150" s="56"/>
      <c r="O150" s="56"/>
      <c r="P150" s="57"/>
      <c r="Q150" s="56"/>
      <c r="R150" s="56"/>
      <c r="S150" s="56"/>
      <c r="T150" s="57"/>
      <c r="U150" s="56"/>
      <c r="V150" s="58"/>
      <c r="W150" s="56"/>
      <c r="X150" s="57"/>
      <c r="Y150" s="56"/>
      <c r="Z150" s="56"/>
      <c r="AA150" s="56"/>
      <c r="AB150" s="58"/>
      <c r="AC150" s="56"/>
      <c r="AD150" s="58"/>
      <c r="AE150" s="56"/>
      <c r="AF150" s="58"/>
      <c r="AG150" s="56"/>
      <c r="AH150" s="56"/>
      <c r="AI150" s="56"/>
      <c r="AJ150" s="58"/>
      <c r="AK150" s="56"/>
      <c r="AL150" s="58"/>
      <c r="AM150" s="56"/>
      <c r="AN150" s="58"/>
      <c r="AO150" s="56"/>
      <c r="AP150" s="58"/>
      <c r="AQ150" s="56"/>
      <c r="AR150" s="56"/>
      <c r="AS150" s="56"/>
      <c r="AT150" s="58"/>
      <c r="AU150" s="56"/>
      <c r="AV150" s="58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>
        <f t="shared" si="1762"/>
        <v>0</v>
      </c>
      <c r="BZ150" s="56"/>
      <c r="CA150" s="56"/>
      <c r="CB150" s="56"/>
      <c r="CC150" s="56"/>
      <c r="CD150" s="56"/>
      <c r="CE150" s="56"/>
      <c r="CF150" s="56"/>
      <c r="CG150" s="56"/>
      <c r="CH150" s="57"/>
      <c r="CI150" s="56"/>
      <c r="CJ150" s="56"/>
      <c r="CK150" s="56"/>
      <c r="CL150" s="57"/>
      <c r="CM150" s="56"/>
      <c r="CN150" s="58"/>
      <c r="CO150" s="56"/>
      <c r="CP150" s="57"/>
      <c r="CQ150" s="56"/>
      <c r="CR150" s="56"/>
      <c r="CS150" s="56"/>
      <c r="CT150" s="58"/>
      <c r="CU150" s="56"/>
      <c r="CV150" s="58"/>
      <c r="CW150" s="56"/>
      <c r="CX150" s="58"/>
      <c r="CY150" s="56"/>
      <c r="CZ150" s="56"/>
      <c r="DA150" s="56"/>
      <c r="DB150" s="58"/>
      <c r="DC150" s="56"/>
      <c r="DD150" s="58"/>
      <c r="DE150" s="56"/>
      <c r="DF150" s="58"/>
      <c r="DG150" s="56"/>
      <c r="DH150" s="58"/>
      <c r="DI150" s="56"/>
      <c r="DJ150" s="56"/>
      <c r="DK150" s="56"/>
      <c r="DL150" s="58"/>
      <c r="DM150" s="56"/>
      <c r="DN150" s="58"/>
      <c r="DO150" s="56"/>
      <c r="DP150" s="56"/>
      <c r="DQ150" s="56"/>
      <c r="DR150" s="56"/>
      <c r="DS150" s="56"/>
      <c r="DT150" s="56">
        <v>1</v>
      </c>
      <c r="DU150" s="56">
        <v>0.97</v>
      </c>
      <c r="DV150" s="56">
        <v>0.95</v>
      </c>
      <c r="DW150" s="56">
        <v>0.93</v>
      </c>
      <c r="DX150" s="56">
        <f t="shared" ref="DX150:EO150" si="1771">+DW150-0.02</f>
        <v>0.91</v>
      </c>
      <c r="DY150" s="56">
        <f t="shared" si="1771"/>
        <v>0.89</v>
      </c>
      <c r="DZ150" s="56">
        <f t="shared" si="1771"/>
        <v>0.87</v>
      </c>
      <c r="EA150" s="56">
        <f t="shared" si="1771"/>
        <v>0.85</v>
      </c>
      <c r="EB150" s="56">
        <f t="shared" si="1771"/>
        <v>0.83</v>
      </c>
      <c r="EC150" s="56">
        <f t="shared" si="1771"/>
        <v>0.80999999999999994</v>
      </c>
      <c r="ED150" s="56">
        <f t="shared" si="1771"/>
        <v>0.78999999999999992</v>
      </c>
      <c r="EE150" s="56">
        <f t="shared" si="1771"/>
        <v>0.76999999999999991</v>
      </c>
      <c r="EF150" s="56">
        <f t="shared" si="1771"/>
        <v>0.74999999999999989</v>
      </c>
      <c r="EG150" s="56">
        <f t="shared" si="1771"/>
        <v>0.72999999999999987</v>
      </c>
      <c r="EH150" s="56">
        <f t="shared" si="1771"/>
        <v>0.70999999999999985</v>
      </c>
      <c r="EI150" s="56">
        <f t="shared" si="1771"/>
        <v>0.68999999999999984</v>
      </c>
      <c r="EJ150" s="56">
        <f t="shared" si="1771"/>
        <v>0.66999999999999982</v>
      </c>
      <c r="EK150" s="56">
        <f t="shared" si="1771"/>
        <v>0.6499999999999998</v>
      </c>
      <c r="EL150" s="56">
        <f t="shared" si="1771"/>
        <v>0.62999999999999978</v>
      </c>
      <c r="EM150" s="56">
        <f t="shared" si="1771"/>
        <v>0.60999999999999976</v>
      </c>
      <c r="EN150" s="56">
        <f t="shared" si="1771"/>
        <v>0.58999999999999975</v>
      </c>
      <c r="EO150" s="56">
        <f t="shared" si="1771"/>
        <v>0.56999999999999973</v>
      </c>
      <c r="EQ150" s="56">
        <f t="shared" si="1128"/>
        <v>0</v>
      </c>
      <c r="ER150" s="56"/>
      <c r="ES150" s="56"/>
      <c r="ET150" s="56"/>
      <c r="EU150" s="56"/>
      <c r="EV150" s="56"/>
      <c r="EW150" s="56"/>
      <c r="EX150" s="56"/>
      <c r="EY150" s="56"/>
      <c r="EZ150" s="57"/>
      <c r="FA150" s="56"/>
      <c r="FB150" s="56"/>
      <c r="FC150" s="56"/>
      <c r="FD150" s="57"/>
      <c r="FE150" s="56"/>
      <c r="FF150" s="58"/>
      <c r="FG150" s="56"/>
      <c r="FH150" s="57"/>
      <c r="FI150" s="56"/>
      <c r="FJ150" s="56"/>
      <c r="FK150" s="56"/>
      <c r="FL150" s="58"/>
      <c r="FM150" s="56"/>
      <c r="FN150" s="58"/>
      <c r="FO150" s="56"/>
      <c r="FP150" s="58"/>
      <c r="FQ150" s="56"/>
      <c r="FR150" s="56"/>
      <c r="FS150" s="56"/>
      <c r="FT150" s="58"/>
      <c r="FU150" s="56"/>
      <c r="FV150" s="58"/>
      <c r="FW150" s="56"/>
      <c r="FX150" s="58"/>
      <c r="FY150" s="56"/>
      <c r="FZ150" s="58"/>
      <c r="GA150" s="56"/>
      <c r="GB150" s="56"/>
      <c r="GC150" s="56"/>
      <c r="GD150" s="58"/>
      <c r="GE150" s="56"/>
      <c r="GF150" s="58"/>
      <c r="GG150" s="56"/>
      <c r="GH150" s="56"/>
      <c r="GI150" s="56"/>
      <c r="GJ150" s="56"/>
      <c r="GK150" s="56"/>
      <c r="GL150" s="56">
        <v>1</v>
      </c>
      <c r="GM150" s="56">
        <v>0.97</v>
      </c>
      <c r="GN150" s="56">
        <v>0.95</v>
      </c>
      <c r="GO150" s="56">
        <v>0.93</v>
      </c>
      <c r="GP150" s="56">
        <f t="shared" ref="GP150:HG150" si="1772">+GO150-0.02</f>
        <v>0.91</v>
      </c>
      <c r="GQ150" s="56">
        <f t="shared" si="1772"/>
        <v>0.89</v>
      </c>
      <c r="GR150" s="56">
        <f t="shared" si="1772"/>
        <v>0.87</v>
      </c>
      <c r="GS150" s="56">
        <f t="shared" si="1772"/>
        <v>0.85</v>
      </c>
      <c r="GT150" s="56">
        <f t="shared" si="1772"/>
        <v>0.83</v>
      </c>
      <c r="GU150" s="56">
        <f t="shared" si="1772"/>
        <v>0.80999999999999994</v>
      </c>
      <c r="GV150" s="56">
        <f t="shared" si="1772"/>
        <v>0.78999999999999992</v>
      </c>
      <c r="GW150" s="56">
        <f t="shared" si="1772"/>
        <v>0.76999999999999991</v>
      </c>
      <c r="GX150" s="56">
        <f t="shared" si="1772"/>
        <v>0.74999999999999989</v>
      </c>
      <c r="GY150" s="56">
        <f t="shared" si="1772"/>
        <v>0.72999999999999987</v>
      </c>
      <c r="GZ150" s="56">
        <f t="shared" si="1772"/>
        <v>0.70999999999999985</v>
      </c>
      <c r="HA150" s="56">
        <f t="shared" si="1772"/>
        <v>0.68999999999999984</v>
      </c>
      <c r="HB150" s="56">
        <f t="shared" si="1772"/>
        <v>0.66999999999999982</v>
      </c>
      <c r="HC150" s="56">
        <f t="shared" si="1772"/>
        <v>0.6499999999999998</v>
      </c>
      <c r="HD150" s="56">
        <f t="shared" si="1772"/>
        <v>0.62999999999999978</v>
      </c>
      <c r="HE150" s="56">
        <f t="shared" si="1772"/>
        <v>0.60999999999999976</v>
      </c>
      <c r="HF150" s="56">
        <f t="shared" si="1772"/>
        <v>0.58999999999999975</v>
      </c>
      <c r="HG150" s="56">
        <f t="shared" si="1772"/>
        <v>0.56999999999999973</v>
      </c>
    </row>
    <row r="151" spans="1:215" x14ac:dyDescent="0.3">
      <c r="A151" s="2">
        <v>1</v>
      </c>
      <c r="C151" s="39" t="s">
        <v>202</v>
      </c>
      <c r="D151" s="42">
        <f>TRUNC(11150.2713122466,-1)</f>
        <v>11150</v>
      </c>
      <c r="E151" s="72">
        <f>TRUNC(+D151*3.3058,-1)</f>
        <v>36850</v>
      </c>
      <c r="G151" s="48">
        <f t="shared" si="1758"/>
        <v>12265.000000000002</v>
      </c>
      <c r="H151" s="48">
        <f t="shared" si="1759"/>
        <v>12265.000000000002</v>
      </c>
      <c r="I151" s="51">
        <f t="shared" si="1760"/>
        <v>40545.63700000001</v>
      </c>
      <c r="J151" s="48">
        <f t="shared" ref="J151:J155" si="1773">+H151*BC151</f>
        <v>11897.050000000001</v>
      </c>
      <c r="K151" s="51">
        <f t="shared" ref="K151:K155" si="1774">+J151*3.3058</f>
        <v>39329.267890000003</v>
      </c>
      <c r="L151" s="48">
        <f t="shared" ref="L151:L155" si="1775">+H151*BD151</f>
        <v>11651.750000000002</v>
      </c>
      <c r="M151" s="51">
        <f t="shared" ref="M151:M155" si="1776">+L151*3.3058</f>
        <v>38518.35515000001</v>
      </c>
      <c r="N151" s="48">
        <f>+H151*BE151</f>
        <v>11406.450000000003</v>
      </c>
      <c r="O151" s="51">
        <f t="shared" ref="O151:O155" si="1777">+N151*3.3058</f>
        <v>37707.442410000011</v>
      </c>
      <c r="P151" s="52">
        <f>+H151*BF151</f>
        <v>11161.150000000001</v>
      </c>
      <c r="Q151" s="51">
        <f t="shared" ref="Q151:Q155" si="1778">+P151*3.3058</f>
        <v>36896.529670000004</v>
      </c>
      <c r="R151" s="48">
        <f>+H151*BG151</f>
        <v>10915.850000000002</v>
      </c>
      <c r="S151" s="51">
        <f t="shared" ref="S151:S155" si="1779">+R151*3.3058</f>
        <v>36085.616930000011</v>
      </c>
      <c r="T151" s="52">
        <f>+H151*BH151</f>
        <v>10670.550000000001</v>
      </c>
      <c r="U151" s="51">
        <f t="shared" ref="U151:U155" si="1780">+T151*3.3058</f>
        <v>35274.704190000004</v>
      </c>
      <c r="V151" s="53">
        <f>+H151*BI151</f>
        <v>10425.250000000002</v>
      </c>
      <c r="W151" s="51">
        <f t="shared" ref="W151:W155" si="1781">+V151*3.3058</f>
        <v>34463.791450000004</v>
      </c>
      <c r="X151" s="52">
        <f>+H151*BJ151</f>
        <v>10179.950000000001</v>
      </c>
      <c r="Y151" s="51">
        <f t="shared" ref="Y151:Y155" si="1782">+X151*3.3058</f>
        <v>33652.878710000005</v>
      </c>
      <c r="Z151" s="48">
        <f>+H151*BK151</f>
        <v>9934.6500000000015</v>
      </c>
      <c r="AA151" s="51">
        <f t="shared" ref="AA151:AA155" si="1783">+Z151*3.3058</f>
        <v>32841.965970000005</v>
      </c>
      <c r="AB151" s="53">
        <f>+H151*BL151</f>
        <v>9689.35</v>
      </c>
      <c r="AC151" s="51">
        <f t="shared" ref="AC151:AC155" si="1784">+AB151*3.3058</f>
        <v>32031.053230000001</v>
      </c>
      <c r="AD151" s="53">
        <f>+H151*BM151</f>
        <v>9444.0500000000011</v>
      </c>
      <c r="AE151" s="51">
        <f t="shared" ref="AE151:AE155" si="1785">+AD151*3.3058</f>
        <v>31220.140490000005</v>
      </c>
      <c r="AF151" s="53">
        <f>+H151*BN151</f>
        <v>9198.75</v>
      </c>
      <c r="AG151" s="51">
        <f t="shared" ref="AG151:AG155" si="1786">+AF151*3.3058</f>
        <v>30409.227750000002</v>
      </c>
      <c r="AH151" s="48">
        <f>+H151*BO151</f>
        <v>8953.4499999999989</v>
      </c>
      <c r="AI151" s="51">
        <f t="shared" ref="AI151:AI155" si="1787">+AH151*3.3058</f>
        <v>29598.315009999998</v>
      </c>
      <c r="AJ151" s="53">
        <f>+H151*BP151</f>
        <v>8708.15</v>
      </c>
      <c r="AK151" s="51">
        <f t="shared" ref="AK151:AK155" si="1788">+AJ151*3.3058</f>
        <v>28787.402269999999</v>
      </c>
      <c r="AL151" s="53">
        <f>+H151*BQ151</f>
        <v>8462.8499999999985</v>
      </c>
      <c r="AM151" s="51">
        <f t="shared" ref="AM151:AM155" si="1789">+AL151*3.3058</f>
        <v>27976.489529999995</v>
      </c>
      <c r="AN151" s="53">
        <f>+H151*BR151</f>
        <v>8217.5499999999993</v>
      </c>
      <c r="AO151" s="51">
        <f t="shared" ref="AO151:AO155" si="1790">+AN151*3.3058</f>
        <v>27165.576789999999</v>
      </c>
      <c r="AP151" s="53">
        <f>+H151*BS151</f>
        <v>7972.2499999999991</v>
      </c>
      <c r="AQ151" s="51">
        <f t="shared" ref="AQ151:AQ155" si="1791">+AP151*3.3058</f>
        <v>26354.664049999996</v>
      </c>
      <c r="AR151" s="48">
        <f>+H151*BT151</f>
        <v>7726.9499999999989</v>
      </c>
      <c r="AS151" s="51">
        <f t="shared" ref="AS151:AS155" si="1792">+AR151*3.3058</f>
        <v>25543.751309999996</v>
      </c>
      <c r="AT151" s="53">
        <f>+H151*BU151</f>
        <v>7481.6499999999978</v>
      </c>
      <c r="AU151" s="51">
        <f t="shared" ref="AU151:AU155" si="1793">+AT151*3.3058</f>
        <v>24732.838569999993</v>
      </c>
      <c r="AV151" s="53">
        <f>+H151*BV151</f>
        <v>7236.3499999999976</v>
      </c>
      <c r="AW151" s="51">
        <f t="shared" ref="AW151:AW155" si="1794">+AV151*3.3058</f>
        <v>23921.925829999993</v>
      </c>
      <c r="AX151" s="48">
        <f>+H151*BW151</f>
        <v>6991.0499999999975</v>
      </c>
      <c r="AY151" s="51">
        <f t="shared" ref="AY151:AY155" si="1795">+AX151*3.3058</f>
        <v>23111.013089999993</v>
      </c>
      <c r="BB151" s="48">
        <v>1</v>
      </c>
      <c r="BC151" s="48">
        <v>0.97</v>
      </c>
      <c r="BD151" s="48">
        <v>0.95</v>
      </c>
      <c r="BE151" s="48">
        <v>0.93</v>
      </c>
      <c r="BF151" s="48">
        <f t="shared" ref="BF151:BW151" si="1796">+BE151-0.02</f>
        <v>0.91</v>
      </c>
      <c r="BG151" s="48">
        <f t="shared" si="1796"/>
        <v>0.89</v>
      </c>
      <c r="BH151" s="48">
        <f t="shared" si="1796"/>
        <v>0.87</v>
      </c>
      <c r="BI151" s="48">
        <f t="shared" si="1796"/>
        <v>0.85</v>
      </c>
      <c r="BJ151" s="48">
        <f t="shared" si="1796"/>
        <v>0.83</v>
      </c>
      <c r="BK151" s="48">
        <f t="shared" si="1796"/>
        <v>0.80999999999999994</v>
      </c>
      <c r="BL151" s="48">
        <f t="shared" si="1796"/>
        <v>0.78999999999999992</v>
      </c>
      <c r="BM151" s="48">
        <f t="shared" si="1796"/>
        <v>0.76999999999999991</v>
      </c>
      <c r="BN151" s="48">
        <f t="shared" si="1796"/>
        <v>0.74999999999999989</v>
      </c>
      <c r="BO151" s="48">
        <f t="shared" si="1796"/>
        <v>0.72999999999999987</v>
      </c>
      <c r="BP151" s="48">
        <f t="shared" si="1796"/>
        <v>0.70999999999999985</v>
      </c>
      <c r="BQ151" s="48">
        <f t="shared" si="1796"/>
        <v>0.68999999999999984</v>
      </c>
      <c r="BR151" s="48">
        <f t="shared" si="1796"/>
        <v>0.66999999999999982</v>
      </c>
      <c r="BS151" s="48">
        <f t="shared" si="1796"/>
        <v>0.6499999999999998</v>
      </c>
      <c r="BT151" s="48">
        <f t="shared" si="1796"/>
        <v>0.62999999999999978</v>
      </c>
      <c r="BU151" s="48">
        <f t="shared" si="1796"/>
        <v>0.60999999999999976</v>
      </c>
      <c r="BV151" s="48">
        <f t="shared" si="1796"/>
        <v>0.58999999999999975</v>
      </c>
      <c r="BW151" s="48">
        <f t="shared" si="1796"/>
        <v>0.56999999999999973</v>
      </c>
      <c r="BY151" s="48">
        <f t="shared" si="1762"/>
        <v>11161.150000000001</v>
      </c>
      <c r="BZ151" s="48">
        <f t="shared" si="1763"/>
        <v>11161.150000000001</v>
      </c>
      <c r="CA151" s="51">
        <f t="shared" ref="CA151" si="1797">+BZ151*3.3058</f>
        <v>36896.529670000004</v>
      </c>
      <c r="CB151" s="48">
        <f t="shared" ref="CB151:CB155" si="1798">+BZ151*DU151</f>
        <v>10826.315500000001</v>
      </c>
      <c r="CC151" s="51">
        <f t="shared" ref="CC151:CC155" si="1799">+CB151*3.3058</f>
        <v>35789.633779900003</v>
      </c>
      <c r="CD151" s="48">
        <f t="shared" ref="CD151:CD155" si="1800">+BZ151*DV151</f>
        <v>10603.092500000001</v>
      </c>
      <c r="CE151" s="51">
        <f t="shared" ref="CE151:CE155" si="1801">+CD151*3.3058</f>
        <v>35051.703186500003</v>
      </c>
      <c r="CF151" s="48">
        <f>+BZ151*DW151</f>
        <v>10379.869500000003</v>
      </c>
      <c r="CG151" s="51">
        <f t="shared" ref="CG151:CG155" si="1802">+CF151*3.3058</f>
        <v>34313.77259310001</v>
      </c>
      <c r="CH151" s="52">
        <f>+BZ151*DX151</f>
        <v>10156.646500000003</v>
      </c>
      <c r="CI151" s="51">
        <f t="shared" ref="CI151:CI155" si="1803">+CH151*3.3058</f>
        <v>33575.841999700009</v>
      </c>
      <c r="CJ151" s="48">
        <f>+BZ151*DY151</f>
        <v>9933.4235000000008</v>
      </c>
      <c r="CK151" s="51">
        <f t="shared" ref="CK151:CK155" si="1804">+CJ151*3.3058</f>
        <v>32837.911406300002</v>
      </c>
      <c r="CL151" s="52">
        <f>+BZ151*DZ151</f>
        <v>9710.2005000000008</v>
      </c>
      <c r="CM151" s="51">
        <f t="shared" ref="CM151:CM155" si="1805">+CL151*3.3058</f>
        <v>32099.980812900005</v>
      </c>
      <c r="CN151" s="53">
        <f>+BZ151*EA151</f>
        <v>9486.9775000000009</v>
      </c>
      <c r="CO151" s="51">
        <f t="shared" ref="CO151:CO155" si="1806">+CN151*3.3058</f>
        <v>31362.050219500004</v>
      </c>
      <c r="CP151" s="52">
        <f>+BZ151*EB151</f>
        <v>9263.7545000000009</v>
      </c>
      <c r="CQ151" s="51">
        <f t="shared" ref="CQ151:CQ155" si="1807">+CP151*3.3058</f>
        <v>30624.119626100004</v>
      </c>
      <c r="CR151" s="48">
        <f>+BZ151*EC151</f>
        <v>9040.531500000001</v>
      </c>
      <c r="CS151" s="51">
        <f t="shared" ref="CS151:CS155" si="1808">+CR151*3.3058</f>
        <v>29886.189032700004</v>
      </c>
      <c r="CT151" s="53">
        <f>+BZ151*ED151</f>
        <v>8817.308500000001</v>
      </c>
      <c r="CU151" s="51">
        <f t="shared" ref="CU151:CU155" si="1809">+CT151*3.3058</f>
        <v>29148.258439300003</v>
      </c>
      <c r="CV151" s="53">
        <f>+BZ151*EE151</f>
        <v>8594.0854999999992</v>
      </c>
      <c r="CW151" s="51">
        <f t="shared" ref="CW151:CW155" si="1810">+CV151*3.3058</f>
        <v>28410.327845899999</v>
      </c>
      <c r="CX151" s="53">
        <f>+BZ151*EF151</f>
        <v>8370.8624999999993</v>
      </c>
      <c r="CY151" s="51">
        <f t="shared" ref="CY151:CY155" si="1811">+CX151*3.3058</f>
        <v>27672.397252499999</v>
      </c>
      <c r="CZ151" s="48">
        <f>+BZ151*EG151</f>
        <v>8147.6394999999993</v>
      </c>
      <c r="DA151" s="51">
        <f t="shared" ref="DA151:DA155" si="1812">+CZ151*3.3058</f>
        <v>26934.466659099999</v>
      </c>
      <c r="DB151" s="53">
        <f>+BZ151*EH151</f>
        <v>7924.4164999999994</v>
      </c>
      <c r="DC151" s="51">
        <f t="shared" ref="DC151:DC155" si="1813">+DB151*3.3058</f>
        <v>26196.536065699998</v>
      </c>
      <c r="DD151" s="53">
        <f>+BZ151*EI151</f>
        <v>7701.1934999999994</v>
      </c>
      <c r="DE151" s="51">
        <f t="shared" ref="DE151:DE155" si="1814">+DD151*3.3058</f>
        <v>25458.605472299998</v>
      </c>
      <c r="DF151" s="53">
        <f>+BZ151*EJ151</f>
        <v>7477.9704999999985</v>
      </c>
      <c r="DG151" s="51">
        <f t="shared" ref="DG151:DG155" si="1815">+DF151*3.3058</f>
        <v>24720.674878899994</v>
      </c>
      <c r="DH151" s="53">
        <f>+BZ151*EK151</f>
        <v>7254.7474999999986</v>
      </c>
      <c r="DI151" s="51">
        <f t="shared" ref="DI151:DI155" si="1816">+DH151*3.3058</f>
        <v>23982.744285499997</v>
      </c>
      <c r="DJ151" s="48">
        <f>+BZ151*EL151</f>
        <v>7031.5244999999986</v>
      </c>
      <c r="DK151" s="51">
        <f t="shared" ref="DK151:DK155" si="1817">+DJ151*3.3058</f>
        <v>23244.813692099997</v>
      </c>
      <c r="DL151" s="53">
        <f>+BZ151*EM151</f>
        <v>6808.3014999999987</v>
      </c>
      <c r="DM151" s="51">
        <f t="shared" ref="DM151:DM155" si="1818">+DL151*3.3058</f>
        <v>22506.883098699996</v>
      </c>
      <c r="DN151" s="53">
        <f>+BZ151*EN151</f>
        <v>6585.0784999999978</v>
      </c>
      <c r="DO151" s="51">
        <f t="shared" ref="DO151:DO155" si="1819">+DN151*3.3058</f>
        <v>21768.952505299992</v>
      </c>
      <c r="DP151" s="48">
        <f>+BZ151*EO151</f>
        <v>6361.8554999999978</v>
      </c>
      <c r="DQ151" s="51">
        <f t="shared" ref="DQ151:DQ155" si="1820">+DP151*3.3058</f>
        <v>21031.021911899992</v>
      </c>
      <c r="DT151" s="48">
        <v>1</v>
      </c>
      <c r="DU151" s="48">
        <v>0.97</v>
      </c>
      <c r="DV151" s="48">
        <v>0.95</v>
      </c>
      <c r="DW151" s="48">
        <v>0.93</v>
      </c>
      <c r="DX151" s="48">
        <f t="shared" ref="DX151:EO151" si="1821">+DW151-0.02</f>
        <v>0.91</v>
      </c>
      <c r="DY151" s="48">
        <f t="shared" si="1821"/>
        <v>0.89</v>
      </c>
      <c r="DZ151" s="48">
        <f t="shared" si="1821"/>
        <v>0.87</v>
      </c>
      <c r="EA151" s="48">
        <f t="shared" si="1821"/>
        <v>0.85</v>
      </c>
      <c r="EB151" s="48">
        <f t="shared" si="1821"/>
        <v>0.83</v>
      </c>
      <c r="EC151" s="48">
        <f t="shared" si="1821"/>
        <v>0.80999999999999994</v>
      </c>
      <c r="ED151" s="48">
        <f t="shared" si="1821"/>
        <v>0.78999999999999992</v>
      </c>
      <c r="EE151" s="48">
        <f t="shared" si="1821"/>
        <v>0.76999999999999991</v>
      </c>
      <c r="EF151" s="48">
        <f t="shared" si="1821"/>
        <v>0.74999999999999989</v>
      </c>
      <c r="EG151" s="48">
        <f t="shared" si="1821"/>
        <v>0.72999999999999987</v>
      </c>
      <c r="EH151" s="48">
        <f t="shared" si="1821"/>
        <v>0.70999999999999985</v>
      </c>
      <c r="EI151" s="48">
        <f t="shared" si="1821"/>
        <v>0.68999999999999984</v>
      </c>
      <c r="EJ151" s="48">
        <f t="shared" si="1821"/>
        <v>0.66999999999999982</v>
      </c>
      <c r="EK151" s="48">
        <f t="shared" si="1821"/>
        <v>0.6499999999999998</v>
      </c>
      <c r="EL151" s="48">
        <f t="shared" si="1821"/>
        <v>0.62999999999999978</v>
      </c>
      <c r="EM151" s="48">
        <f t="shared" si="1821"/>
        <v>0.60999999999999976</v>
      </c>
      <c r="EN151" s="48">
        <f t="shared" si="1821"/>
        <v>0.58999999999999975</v>
      </c>
      <c r="EO151" s="48">
        <f t="shared" si="1821"/>
        <v>0.56999999999999973</v>
      </c>
      <c r="EQ151" s="48">
        <f t="shared" si="1128"/>
        <v>10156.646500000003</v>
      </c>
      <c r="ER151" s="48">
        <f t="shared" si="1766"/>
        <v>10156.646500000003</v>
      </c>
      <c r="ES151" s="51">
        <f t="shared" ref="ES151" si="1822">+ER151*3.3058</f>
        <v>33575.841999700009</v>
      </c>
      <c r="ET151" s="48">
        <f t="shared" ref="ET151:ET155" si="1823">+ER151*GM151</f>
        <v>9851.9471050000029</v>
      </c>
      <c r="EU151" s="51">
        <f t="shared" ref="EU151:EU155" si="1824">+ET151*3.3058</f>
        <v>32568.566739709011</v>
      </c>
      <c r="EV151" s="48">
        <f t="shared" ref="EV151:EV155" si="1825">+ER151*GN151</f>
        <v>9648.8141750000013</v>
      </c>
      <c r="EW151" s="51">
        <f t="shared" ref="EW151:EW155" si="1826">+EV151*3.3058</f>
        <v>31897.049899715006</v>
      </c>
      <c r="EX151" s="48">
        <f>+ER151*GO151</f>
        <v>9445.6812450000034</v>
      </c>
      <c r="EY151" s="51">
        <f t="shared" ref="EY151:EY155" si="1827">+EX151*3.3058</f>
        <v>31225.533059721012</v>
      </c>
      <c r="EZ151" s="52">
        <f>+ER151*GP151</f>
        <v>9242.5483150000018</v>
      </c>
      <c r="FA151" s="51">
        <f t="shared" ref="FA151:FA155" si="1828">+EZ151*3.3058</f>
        <v>30554.016219727007</v>
      </c>
      <c r="FB151" s="48">
        <f>+ER151*GQ151</f>
        <v>9039.4153850000021</v>
      </c>
      <c r="FC151" s="51">
        <f t="shared" ref="FC151:FC155" si="1829">+FB151*3.3058</f>
        <v>29882.499379733006</v>
      </c>
      <c r="FD151" s="52">
        <f>+ER151*GR151</f>
        <v>8836.2824550000023</v>
      </c>
      <c r="FE151" s="51">
        <f t="shared" ref="FE151:FE155" si="1830">+FD151*3.3058</f>
        <v>29210.982539739009</v>
      </c>
      <c r="FF151" s="53">
        <f>+ER151*GS151</f>
        <v>8633.1495250000025</v>
      </c>
      <c r="FG151" s="51">
        <f t="shared" ref="FG151:FG155" si="1831">+FF151*3.3058</f>
        <v>28539.465699745007</v>
      </c>
      <c r="FH151" s="52">
        <f>+ER151*GT151</f>
        <v>8430.016595000001</v>
      </c>
      <c r="FI151" s="51">
        <f t="shared" ref="FI151:FI155" si="1832">+FH151*3.3058</f>
        <v>27867.948859751003</v>
      </c>
      <c r="FJ151" s="48">
        <f>+ER151*GU151</f>
        <v>8226.8836650000012</v>
      </c>
      <c r="FK151" s="51">
        <f t="shared" ref="FK151:FK155" si="1833">+FJ151*3.3058</f>
        <v>27196.432019757005</v>
      </c>
      <c r="FL151" s="53">
        <f>+ER151*GV151</f>
        <v>8023.7507350000014</v>
      </c>
      <c r="FM151" s="51">
        <f t="shared" ref="FM151:FM155" si="1834">+FL151*3.3058</f>
        <v>26524.915179763004</v>
      </c>
      <c r="FN151" s="53">
        <f>+ER151*GW151</f>
        <v>7820.6178050000008</v>
      </c>
      <c r="FO151" s="51">
        <f t="shared" ref="FO151:FO155" si="1835">+FN151*3.3058</f>
        <v>25853.398339769003</v>
      </c>
      <c r="FP151" s="53">
        <f>+ER151*GX151</f>
        <v>7617.484875000001</v>
      </c>
      <c r="FQ151" s="51">
        <f t="shared" ref="FQ151:FQ155" si="1836">+FP151*3.3058</f>
        <v>25181.881499775005</v>
      </c>
      <c r="FR151" s="48">
        <f>+ER151*GY151</f>
        <v>7414.3519450000003</v>
      </c>
      <c r="FS151" s="51">
        <f t="shared" ref="FS151:FS155" si="1837">+FR151*3.3058</f>
        <v>24510.364659781</v>
      </c>
      <c r="FT151" s="53">
        <f>+ER151*GZ151</f>
        <v>7211.2190150000006</v>
      </c>
      <c r="FU151" s="51">
        <f t="shared" ref="FU151:FU155" si="1838">+FT151*3.3058</f>
        <v>23838.847819787003</v>
      </c>
      <c r="FV151" s="53">
        <f>+ER151*HA151</f>
        <v>7008.0860849999999</v>
      </c>
      <c r="FW151" s="51">
        <f t="shared" ref="FW151:FW155" si="1839">+FV151*3.3058</f>
        <v>23167.330979793001</v>
      </c>
      <c r="FX151" s="53">
        <f>+ER151*HB151</f>
        <v>6804.9531550000002</v>
      </c>
      <c r="FY151" s="51">
        <f t="shared" ref="FY151:FY155" si="1840">+FX151*3.3058</f>
        <v>22495.814139799</v>
      </c>
      <c r="FZ151" s="53">
        <f>+ER151*HC151</f>
        <v>6601.8202249999995</v>
      </c>
      <c r="GA151" s="51">
        <f t="shared" ref="GA151:GA155" si="1841">+FZ151*3.3058</f>
        <v>21824.297299804999</v>
      </c>
      <c r="GB151" s="48">
        <f>+ER151*HD151</f>
        <v>6398.6872949999997</v>
      </c>
      <c r="GC151" s="51">
        <f t="shared" ref="GC151:GC155" si="1842">+GB151*3.3058</f>
        <v>21152.780459810998</v>
      </c>
      <c r="GD151" s="53">
        <f>+ER151*HE151</f>
        <v>6195.5543649999991</v>
      </c>
      <c r="GE151" s="51">
        <f t="shared" ref="GE151:GE155" si="1843">+GD151*3.3058</f>
        <v>20481.263619816997</v>
      </c>
      <c r="GF151" s="53">
        <f>+ER151*HF151</f>
        <v>5992.4214349999993</v>
      </c>
      <c r="GG151" s="51">
        <f t="shared" ref="GG151:GG155" si="1844">+GF151*3.3058</f>
        <v>19809.746779822999</v>
      </c>
      <c r="GH151" s="48">
        <f>+ER151*HG151</f>
        <v>5789.2885049999986</v>
      </c>
      <c r="GI151" s="51">
        <f t="shared" ref="GI151:GI155" si="1845">+GH151*3.3058</f>
        <v>19138.229939828994</v>
      </c>
      <c r="GJ151" s="48"/>
      <c r="GK151" s="48"/>
      <c r="GL151" s="48">
        <v>1</v>
      </c>
      <c r="GM151" s="48">
        <v>0.97</v>
      </c>
      <c r="GN151" s="48">
        <v>0.95</v>
      </c>
      <c r="GO151" s="48">
        <v>0.93</v>
      </c>
      <c r="GP151" s="48">
        <f t="shared" ref="GP151:HG151" si="1846">+GO151-0.02</f>
        <v>0.91</v>
      </c>
      <c r="GQ151" s="48">
        <f t="shared" si="1846"/>
        <v>0.89</v>
      </c>
      <c r="GR151" s="48">
        <f t="shared" si="1846"/>
        <v>0.87</v>
      </c>
      <c r="GS151" s="48">
        <f t="shared" si="1846"/>
        <v>0.85</v>
      </c>
      <c r="GT151" s="48">
        <f t="shared" si="1846"/>
        <v>0.83</v>
      </c>
      <c r="GU151" s="48">
        <f t="shared" si="1846"/>
        <v>0.80999999999999994</v>
      </c>
      <c r="GV151" s="48">
        <f t="shared" si="1846"/>
        <v>0.78999999999999992</v>
      </c>
      <c r="GW151" s="48">
        <f t="shared" si="1846"/>
        <v>0.76999999999999991</v>
      </c>
      <c r="GX151" s="48">
        <f t="shared" si="1846"/>
        <v>0.74999999999999989</v>
      </c>
      <c r="GY151" s="48">
        <f t="shared" si="1846"/>
        <v>0.72999999999999987</v>
      </c>
      <c r="GZ151" s="48">
        <f t="shared" si="1846"/>
        <v>0.70999999999999985</v>
      </c>
      <c r="HA151" s="48">
        <f t="shared" si="1846"/>
        <v>0.68999999999999984</v>
      </c>
      <c r="HB151" s="48">
        <f t="shared" si="1846"/>
        <v>0.66999999999999982</v>
      </c>
      <c r="HC151" s="48">
        <f t="shared" si="1846"/>
        <v>0.6499999999999998</v>
      </c>
      <c r="HD151" s="48">
        <f t="shared" si="1846"/>
        <v>0.62999999999999978</v>
      </c>
      <c r="HE151" s="48">
        <f t="shared" si="1846"/>
        <v>0.60999999999999976</v>
      </c>
      <c r="HF151" s="48">
        <f t="shared" si="1846"/>
        <v>0.58999999999999975</v>
      </c>
      <c r="HG151" s="48">
        <f t="shared" si="1846"/>
        <v>0.56999999999999973</v>
      </c>
    </row>
    <row r="152" spans="1:215" x14ac:dyDescent="0.3">
      <c r="A152" s="2">
        <v>2</v>
      </c>
      <c r="C152" s="39" t="s">
        <v>203</v>
      </c>
      <c r="D152" s="44">
        <f>TRUNC(5170.641185285,-1)</f>
        <v>5170</v>
      </c>
      <c r="E152" s="73">
        <f>TRUNC(+D152*3.3058,-1)</f>
        <v>17090</v>
      </c>
      <c r="F152" s="2" t="s">
        <v>370</v>
      </c>
      <c r="G152" s="48">
        <f t="shared" si="1758"/>
        <v>5687.0000000000009</v>
      </c>
      <c r="H152" s="48">
        <f t="shared" si="1759"/>
        <v>5687.0000000000009</v>
      </c>
      <c r="I152" s="51">
        <f t="shared" si="1760"/>
        <v>18800.084600000002</v>
      </c>
      <c r="J152" s="48">
        <f t="shared" si="1773"/>
        <v>5516.39</v>
      </c>
      <c r="K152" s="51">
        <f t="shared" si="1774"/>
        <v>18236.082062000001</v>
      </c>
      <c r="L152" s="48">
        <f t="shared" si="1775"/>
        <v>5402.6500000000005</v>
      </c>
      <c r="M152" s="51">
        <f t="shared" si="1776"/>
        <v>17860.080370000003</v>
      </c>
      <c r="N152" s="48">
        <f>+H152*BE152</f>
        <v>5288.9100000000008</v>
      </c>
      <c r="O152" s="51">
        <f t="shared" si="1777"/>
        <v>17484.078678000002</v>
      </c>
      <c r="P152" s="52">
        <f>+H152*BF152</f>
        <v>5175.170000000001</v>
      </c>
      <c r="Q152" s="51">
        <f t="shared" si="1778"/>
        <v>17108.076986000004</v>
      </c>
      <c r="R152" s="48">
        <f>+H152*BG152</f>
        <v>5061.4300000000012</v>
      </c>
      <c r="S152" s="51">
        <f t="shared" si="1779"/>
        <v>16732.075294000006</v>
      </c>
      <c r="T152" s="52">
        <f>+H152*BH152</f>
        <v>4947.6900000000005</v>
      </c>
      <c r="U152" s="51">
        <f t="shared" si="1780"/>
        <v>16356.073602000002</v>
      </c>
      <c r="V152" s="53">
        <f>+H152*BI152</f>
        <v>4833.9500000000007</v>
      </c>
      <c r="W152" s="51">
        <f t="shared" si="1781"/>
        <v>15980.071910000002</v>
      </c>
      <c r="X152" s="52">
        <f>+H152*BJ152</f>
        <v>4720.2100000000009</v>
      </c>
      <c r="Y152" s="51">
        <f t="shared" si="1782"/>
        <v>15604.070218000003</v>
      </c>
      <c r="Z152" s="48">
        <f>+H152*BK152</f>
        <v>4606.47</v>
      </c>
      <c r="AA152" s="51">
        <f t="shared" si="1783"/>
        <v>15228.068526000001</v>
      </c>
      <c r="AB152" s="53">
        <f>+H152*BL152</f>
        <v>4492.7300000000005</v>
      </c>
      <c r="AC152" s="51">
        <f t="shared" si="1784"/>
        <v>14852.066834000001</v>
      </c>
      <c r="AD152" s="53">
        <f>+H152*BM152</f>
        <v>4378.99</v>
      </c>
      <c r="AE152" s="51">
        <f t="shared" si="1785"/>
        <v>14476.065141999999</v>
      </c>
      <c r="AF152" s="53">
        <f>+H152*BN152</f>
        <v>4265.25</v>
      </c>
      <c r="AG152" s="51">
        <f t="shared" si="1786"/>
        <v>14100.06345</v>
      </c>
      <c r="AH152" s="48">
        <f>+H152*BO152</f>
        <v>4151.51</v>
      </c>
      <c r="AI152" s="51">
        <f t="shared" si="1787"/>
        <v>13724.061758000002</v>
      </c>
      <c r="AJ152" s="53">
        <f>+H152*BP152</f>
        <v>4037.77</v>
      </c>
      <c r="AK152" s="51">
        <f t="shared" si="1788"/>
        <v>13348.060066</v>
      </c>
      <c r="AL152" s="53">
        <f>+H152*BQ152</f>
        <v>3924.0299999999997</v>
      </c>
      <c r="AM152" s="51">
        <f t="shared" si="1789"/>
        <v>12972.058374</v>
      </c>
      <c r="AN152" s="53">
        <f>+H152*BR152</f>
        <v>3810.2899999999995</v>
      </c>
      <c r="AO152" s="51">
        <f t="shared" si="1790"/>
        <v>12596.056681999999</v>
      </c>
      <c r="AP152" s="53">
        <f>+H152*BS152</f>
        <v>3696.5499999999993</v>
      </c>
      <c r="AQ152" s="51">
        <f t="shared" si="1791"/>
        <v>12220.054989999999</v>
      </c>
      <c r="AR152" s="48">
        <f>+H152*BT152</f>
        <v>3582.8099999999995</v>
      </c>
      <c r="AS152" s="51">
        <f t="shared" si="1792"/>
        <v>11844.053297999999</v>
      </c>
      <c r="AT152" s="53">
        <f>+H152*BU152</f>
        <v>3469.0699999999993</v>
      </c>
      <c r="AU152" s="51">
        <f t="shared" si="1793"/>
        <v>11468.051605999997</v>
      </c>
      <c r="AV152" s="53">
        <f>+H152*BV152</f>
        <v>3355.329999999999</v>
      </c>
      <c r="AW152" s="51">
        <f t="shared" si="1794"/>
        <v>11092.049913999997</v>
      </c>
      <c r="AX152" s="48">
        <f>+H152*BW152</f>
        <v>3241.5899999999988</v>
      </c>
      <c r="AY152" s="51">
        <f t="shared" si="1795"/>
        <v>10716.048221999996</v>
      </c>
      <c r="BB152" s="48">
        <v>1</v>
      </c>
      <c r="BC152" s="48">
        <v>0.97</v>
      </c>
      <c r="BD152" s="48">
        <v>0.95</v>
      </c>
      <c r="BE152" s="48">
        <v>0.93</v>
      </c>
      <c r="BF152" s="48">
        <f t="shared" ref="BF152:BW152" si="1847">+BE152-0.02</f>
        <v>0.91</v>
      </c>
      <c r="BG152" s="48">
        <f t="shared" si="1847"/>
        <v>0.89</v>
      </c>
      <c r="BH152" s="48">
        <f t="shared" si="1847"/>
        <v>0.87</v>
      </c>
      <c r="BI152" s="48">
        <f t="shared" si="1847"/>
        <v>0.85</v>
      </c>
      <c r="BJ152" s="48">
        <f t="shared" si="1847"/>
        <v>0.83</v>
      </c>
      <c r="BK152" s="48">
        <f t="shared" si="1847"/>
        <v>0.80999999999999994</v>
      </c>
      <c r="BL152" s="48">
        <f t="shared" si="1847"/>
        <v>0.78999999999999992</v>
      </c>
      <c r="BM152" s="48">
        <f t="shared" si="1847"/>
        <v>0.76999999999999991</v>
      </c>
      <c r="BN152" s="48">
        <f t="shared" si="1847"/>
        <v>0.74999999999999989</v>
      </c>
      <c r="BO152" s="48">
        <f t="shared" si="1847"/>
        <v>0.72999999999999987</v>
      </c>
      <c r="BP152" s="48">
        <f t="shared" si="1847"/>
        <v>0.70999999999999985</v>
      </c>
      <c r="BQ152" s="48">
        <f t="shared" si="1847"/>
        <v>0.68999999999999984</v>
      </c>
      <c r="BR152" s="48">
        <f t="shared" si="1847"/>
        <v>0.66999999999999982</v>
      </c>
      <c r="BS152" s="48">
        <f t="shared" si="1847"/>
        <v>0.6499999999999998</v>
      </c>
      <c r="BT152" s="48">
        <f t="shared" si="1847"/>
        <v>0.62999999999999978</v>
      </c>
      <c r="BU152" s="48">
        <f t="shared" si="1847"/>
        <v>0.60999999999999976</v>
      </c>
      <c r="BV152" s="48">
        <f t="shared" si="1847"/>
        <v>0.58999999999999975</v>
      </c>
      <c r="BW152" s="48">
        <f t="shared" si="1847"/>
        <v>0.56999999999999973</v>
      </c>
      <c r="BY152" s="48">
        <f t="shared" si="1762"/>
        <v>5175.170000000001</v>
      </c>
      <c r="BZ152" s="48">
        <f t="shared" si="1763"/>
        <v>5175.170000000001</v>
      </c>
      <c r="CA152" s="51">
        <f t="shared" ref="CA152" si="1848">+BZ152*3.3058</f>
        <v>17108.076986000004</v>
      </c>
      <c r="CB152" s="48">
        <f t="shared" si="1798"/>
        <v>5019.9149000000007</v>
      </c>
      <c r="CC152" s="51">
        <f t="shared" si="1799"/>
        <v>16594.834676420003</v>
      </c>
      <c r="CD152" s="48">
        <f t="shared" si="1800"/>
        <v>4916.4115000000011</v>
      </c>
      <c r="CE152" s="51">
        <f t="shared" si="1801"/>
        <v>16252.673136700005</v>
      </c>
      <c r="CF152" s="48">
        <f>+BZ152*DW152</f>
        <v>4812.9081000000015</v>
      </c>
      <c r="CG152" s="51">
        <f t="shared" si="1802"/>
        <v>15910.511596980004</v>
      </c>
      <c r="CH152" s="52">
        <f>+BZ152*DX152</f>
        <v>4709.404700000001</v>
      </c>
      <c r="CI152" s="51">
        <f t="shared" si="1803"/>
        <v>15568.350057260004</v>
      </c>
      <c r="CJ152" s="48">
        <f>+BZ152*DY152</f>
        <v>4605.9013000000014</v>
      </c>
      <c r="CK152" s="51">
        <f t="shared" si="1804"/>
        <v>15226.188517540006</v>
      </c>
      <c r="CL152" s="52">
        <f>+BZ152*DZ152</f>
        <v>4502.3979000000008</v>
      </c>
      <c r="CM152" s="51">
        <f t="shared" si="1805"/>
        <v>14884.026977820004</v>
      </c>
      <c r="CN152" s="53">
        <f>+BZ152*EA152</f>
        <v>4398.8945000000003</v>
      </c>
      <c r="CO152" s="51">
        <f t="shared" si="1806"/>
        <v>14541.865438100001</v>
      </c>
      <c r="CP152" s="52">
        <f>+BZ152*EB152</f>
        <v>4295.3911000000007</v>
      </c>
      <c r="CQ152" s="51">
        <f t="shared" si="1807"/>
        <v>14199.703898380003</v>
      </c>
      <c r="CR152" s="48">
        <f>+BZ152*EC152</f>
        <v>4191.8877000000002</v>
      </c>
      <c r="CS152" s="51">
        <f t="shared" si="1808"/>
        <v>13857.542358660001</v>
      </c>
      <c r="CT152" s="53">
        <f>+BZ152*ED152</f>
        <v>4088.3843000000002</v>
      </c>
      <c r="CU152" s="51">
        <f t="shared" si="1809"/>
        <v>13515.380818940001</v>
      </c>
      <c r="CV152" s="53">
        <f>+BZ152*EE152</f>
        <v>3984.8809000000001</v>
      </c>
      <c r="CW152" s="51">
        <f t="shared" si="1810"/>
        <v>13173.21927922</v>
      </c>
      <c r="CX152" s="53">
        <f>+BZ152*EF152</f>
        <v>3881.3775000000001</v>
      </c>
      <c r="CY152" s="51">
        <f t="shared" si="1811"/>
        <v>12831.0577395</v>
      </c>
      <c r="CZ152" s="48">
        <f>+BZ152*EG152</f>
        <v>3777.8741</v>
      </c>
      <c r="DA152" s="51">
        <f t="shared" si="1812"/>
        <v>12488.89619978</v>
      </c>
      <c r="DB152" s="53">
        <f>+BZ152*EH152</f>
        <v>3674.3706999999999</v>
      </c>
      <c r="DC152" s="51">
        <f t="shared" si="1813"/>
        <v>12146.734660059999</v>
      </c>
      <c r="DD152" s="53">
        <f>+BZ152*EI152</f>
        <v>3570.8672999999999</v>
      </c>
      <c r="DE152" s="51">
        <f t="shared" si="1814"/>
        <v>11804.573120339999</v>
      </c>
      <c r="DF152" s="53">
        <f>+BZ152*EJ152</f>
        <v>3467.3638999999998</v>
      </c>
      <c r="DG152" s="51">
        <f t="shared" si="1815"/>
        <v>11462.411580619999</v>
      </c>
      <c r="DH152" s="53">
        <f>+BZ152*EK152</f>
        <v>3363.8604999999998</v>
      </c>
      <c r="DI152" s="51">
        <f t="shared" si="1816"/>
        <v>11120.2500409</v>
      </c>
      <c r="DJ152" s="48">
        <f>+BZ152*EL152</f>
        <v>3260.3570999999997</v>
      </c>
      <c r="DK152" s="51">
        <f t="shared" si="1817"/>
        <v>10778.08850118</v>
      </c>
      <c r="DL152" s="53">
        <f>+BZ152*EM152</f>
        <v>3156.8536999999992</v>
      </c>
      <c r="DM152" s="51">
        <f t="shared" si="1818"/>
        <v>10435.926961459998</v>
      </c>
      <c r="DN152" s="53">
        <f>+BZ152*EN152</f>
        <v>3053.3502999999992</v>
      </c>
      <c r="DO152" s="51">
        <f t="shared" si="1819"/>
        <v>10093.765421739998</v>
      </c>
      <c r="DP152" s="48">
        <f>+BZ152*EO152</f>
        <v>2949.8468999999991</v>
      </c>
      <c r="DQ152" s="51">
        <f t="shared" si="1820"/>
        <v>9751.6038820199974</v>
      </c>
      <c r="DT152" s="48">
        <v>1</v>
      </c>
      <c r="DU152" s="48">
        <v>0.97</v>
      </c>
      <c r="DV152" s="48">
        <v>0.95</v>
      </c>
      <c r="DW152" s="48">
        <v>0.93</v>
      </c>
      <c r="DX152" s="48">
        <f t="shared" ref="DX152:EO152" si="1849">+DW152-0.02</f>
        <v>0.91</v>
      </c>
      <c r="DY152" s="48">
        <f t="shared" si="1849"/>
        <v>0.89</v>
      </c>
      <c r="DZ152" s="48">
        <f t="shared" si="1849"/>
        <v>0.87</v>
      </c>
      <c r="EA152" s="48">
        <f t="shared" si="1849"/>
        <v>0.85</v>
      </c>
      <c r="EB152" s="48">
        <f t="shared" si="1849"/>
        <v>0.83</v>
      </c>
      <c r="EC152" s="48">
        <f t="shared" si="1849"/>
        <v>0.80999999999999994</v>
      </c>
      <c r="ED152" s="48">
        <f t="shared" si="1849"/>
        <v>0.78999999999999992</v>
      </c>
      <c r="EE152" s="48">
        <f t="shared" si="1849"/>
        <v>0.76999999999999991</v>
      </c>
      <c r="EF152" s="48">
        <f t="shared" si="1849"/>
        <v>0.74999999999999989</v>
      </c>
      <c r="EG152" s="48">
        <f t="shared" si="1849"/>
        <v>0.72999999999999987</v>
      </c>
      <c r="EH152" s="48">
        <f t="shared" si="1849"/>
        <v>0.70999999999999985</v>
      </c>
      <c r="EI152" s="48">
        <f t="shared" si="1849"/>
        <v>0.68999999999999984</v>
      </c>
      <c r="EJ152" s="48">
        <f t="shared" si="1849"/>
        <v>0.66999999999999982</v>
      </c>
      <c r="EK152" s="48">
        <f t="shared" si="1849"/>
        <v>0.6499999999999998</v>
      </c>
      <c r="EL152" s="48">
        <f t="shared" si="1849"/>
        <v>0.62999999999999978</v>
      </c>
      <c r="EM152" s="48">
        <f t="shared" si="1849"/>
        <v>0.60999999999999976</v>
      </c>
      <c r="EN152" s="48">
        <f t="shared" si="1849"/>
        <v>0.58999999999999975</v>
      </c>
      <c r="EO152" s="48">
        <f t="shared" si="1849"/>
        <v>0.56999999999999973</v>
      </c>
      <c r="EQ152" s="48">
        <f t="shared" si="1128"/>
        <v>4709.404700000001</v>
      </c>
      <c r="ER152" s="48">
        <f t="shared" si="1766"/>
        <v>4709.404700000001</v>
      </c>
      <c r="ES152" s="51">
        <f t="shared" ref="ES152" si="1850">+ER152*3.3058</f>
        <v>15568.350057260004</v>
      </c>
      <c r="ET152" s="48">
        <f t="shared" si="1823"/>
        <v>4568.1225590000004</v>
      </c>
      <c r="EU152" s="51">
        <f t="shared" si="1824"/>
        <v>15101.299555542202</v>
      </c>
      <c r="EV152" s="48">
        <f t="shared" si="1825"/>
        <v>4473.9344650000003</v>
      </c>
      <c r="EW152" s="51">
        <f t="shared" si="1826"/>
        <v>14789.932554397001</v>
      </c>
      <c r="EX152" s="48">
        <f>+ER152*GO152</f>
        <v>4379.7463710000011</v>
      </c>
      <c r="EY152" s="51">
        <f t="shared" si="1827"/>
        <v>14478.565553251803</v>
      </c>
      <c r="EZ152" s="52">
        <f>+ER152*GP152</f>
        <v>4285.558277000001</v>
      </c>
      <c r="FA152" s="51">
        <f t="shared" si="1828"/>
        <v>14167.198552106604</v>
      </c>
      <c r="FB152" s="48">
        <f>+ER152*GQ152</f>
        <v>4191.3701830000009</v>
      </c>
      <c r="FC152" s="51">
        <f t="shared" si="1829"/>
        <v>13855.831550961404</v>
      </c>
      <c r="FD152" s="52">
        <f>+ER152*GR152</f>
        <v>4097.1820890000008</v>
      </c>
      <c r="FE152" s="51">
        <f t="shared" si="1830"/>
        <v>13544.464549816203</v>
      </c>
      <c r="FF152" s="53">
        <f>+ER152*GS152</f>
        <v>4002.9939950000007</v>
      </c>
      <c r="FG152" s="51">
        <f t="shared" si="1831"/>
        <v>13233.097548671003</v>
      </c>
      <c r="FH152" s="52">
        <f>+ER152*GT152</f>
        <v>3908.8059010000006</v>
      </c>
      <c r="FI152" s="51">
        <f t="shared" si="1832"/>
        <v>12921.730547525802</v>
      </c>
      <c r="FJ152" s="48">
        <f>+ER152*GU152</f>
        <v>3814.6178070000005</v>
      </c>
      <c r="FK152" s="51">
        <f t="shared" si="1833"/>
        <v>12610.363546380602</v>
      </c>
      <c r="FL152" s="53">
        <f>+ER152*GV152</f>
        <v>3720.4297130000004</v>
      </c>
      <c r="FM152" s="51">
        <f t="shared" si="1834"/>
        <v>12298.996545235401</v>
      </c>
      <c r="FN152" s="53">
        <f>+ER152*GW152</f>
        <v>3626.2416190000004</v>
      </c>
      <c r="FO152" s="51">
        <f t="shared" si="1835"/>
        <v>11987.629544090201</v>
      </c>
      <c r="FP152" s="53">
        <f>+ER152*GX152</f>
        <v>3532.0535250000003</v>
      </c>
      <c r="FQ152" s="51">
        <f t="shared" si="1836"/>
        <v>11676.262542945002</v>
      </c>
      <c r="FR152" s="48">
        <f>+ER152*GY152</f>
        <v>3437.8654310000002</v>
      </c>
      <c r="FS152" s="51">
        <f t="shared" si="1837"/>
        <v>11364.8955417998</v>
      </c>
      <c r="FT152" s="53">
        <f>+ER152*GZ152</f>
        <v>3343.6773370000001</v>
      </c>
      <c r="FU152" s="51">
        <f t="shared" si="1838"/>
        <v>11053.528540654601</v>
      </c>
      <c r="FV152" s="53">
        <f>+ER152*HA152</f>
        <v>3249.489243</v>
      </c>
      <c r="FW152" s="51">
        <f t="shared" si="1839"/>
        <v>10742.1615395094</v>
      </c>
      <c r="FX152" s="53">
        <f>+ER152*HB152</f>
        <v>3155.3011489999999</v>
      </c>
      <c r="FY152" s="51">
        <f t="shared" si="1840"/>
        <v>10430.7945383642</v>
      </c>
      <c r="FZ152" s="53">
        <f>+ER152*HC152</f>
        <v>3061.1130549999998</v>
      </c>
      <c r="GA152" s="51">
        <f t="shared" si="1841"/>
        <v>10119.427537219</v>
      </c>
      <c r="GB152" s="48">
        <f>+ER152*HD152</f>
        <v>2966.9249609999997</v>
      </c>
      <c r="GC152" s="51">
        <f t="shared" si="1842"/>
        <v>9808.0605360737991</v>
      </c>
      <c r="GD152" s="53">
        <f>+ER152*HE152</f>
        <v>2872.7368669999996</v>
      </c>
      <c r="GE152" s="51">
        <f t="shared" si="1843"/>
        <v>9496.6935349285995</v>
      </c>
      <c r="GF152" s="53">
        <f>+ER152*HF152</f>
        <v>2778.5487729999995</v>
      </c>
      <c r="GG152" s="51">
        <f t="shared" si="1844"/>
        <v>9185.3265337833982</v>
      </c>
      <c r="GH152" s="48">
        <f>+ER152*HG152</f>
        <v>2684.3606789999994</v>
      </c>
      <c r="GI152" s="51">
        <f t="shared" si="1845"/>
        <v>8873.9595326381987</v>
      </c>
      <c r="GJ152" s="48"/>
      <c r="GK152" s="48"/>
      <c r="GL152" s="48">
        <v>1</v>
      </c>
      <c r="GM152" s="48">
        <v>0.97</v>
      </c>
      <c r="GN152" s="48">
        <v>0.95</v>
      </c>
      <c r="GO152" s="48">
        <v>0.93</v>
      </c>
      <c r="GP152" s="48">
        <f t="shared" ref="GP152:HG152" si="1851">+GO152-0.02</f>
        <v>0.91</v>
      </c>
      <c r="GQ152" s="48">
        <f t="shared" si="1851"/>
        <v>0.89</v>
      </c>
      <c r="GR152" s="48">
        <f t="shared" si="1851"/>
        <v>0.87</v>
      </c>
      <c r="GS152" s="48">
        <f t="shared" si="1851"/>
        <v>0.85</v>
      </c>
      <c r="GT152" s="48">
        <f t="shared" si="1851"/>
        <v>0.83</v>
      </c>
      <c r="GU152" s="48">
        <f t="shared" si="1851"/>
        <v>0.80999999999999994</v>
      </c>
      <c r="GV152" s="48">
        <f t="shared" si="1851"/>
        <v>0.78999999999999992</v>
      </c>
      <c r="GW152" s="48">
        <f t="shared" si="1851"/>
        <v>0.76999999999999991</v>
      </c>
      <c r="GX152" s="48">
        <f t="shared" si="1851"/>
        <v>0.74999999999999989</v>
      </c>
      <c r="GY152" s="48">
        <f t="shared" si="1851"/>
        <v>0.72999999999999987</v>
      </c>
      <c r="GZ152" s="48">
        <f t="shared" si="1851"/>
        <v>0.70999999999999985</v>
      </c>
      <c r="HA152" s="48">
        <f t="shared" si="1851"/>
        <v>0.68999999999999984</v>
      </c>
      <c r="HB152" s="48">
        <f t="shared" si="1851"/>
        <v>0.66999999999999982</v>
      </c>
      <c r="HC152" s="48">
        <f t="shared" si="1851"/>
        <v>0.6499999999999998</v>
      </c>
      <c r="HD152" s="48">
        <f t="shared" si="1851"/>
        <v>0.62999999999999978</v>
      </c>
      <c r="HE152" s="48">
        <f t="shared" si="1851"/>
        <v>0.60999999999999976</v>
      </c>
      <c r="HF152" s="48">
        <f t="shared" si="1851"/>
        <v>0.58999999999999975</v>
      </c>
      <c r="HG152" s="48">
        <f t="shared" si="1851"/>
        <v>0.56999999999999973</v>
      </c>
    </row>
    <row r="153" spans="1:215" x14ac:dyDescent="0.3">
      <c r="A153" s="2">
        <v>3</v>
      </c>
      <c r="C153" s="39" t="s">
        <v>157</v>
      </c>
      <c r="D153" s="44">
        <f>TRUNC(4674.9804969276+1627.94425536364,-1)</f>
        <v>6300</v>
      </c>
      <c r="E153" s="73">
        <f>TRUNC(+D153*3.3058,-1)</f>
        <v>20820</v>
      </c>
      <c r="F153" s="2" t="s">
        <v>371</v>
      </c>
      <c r="G153" s="48">
        <f t="shared" si="1758"/>
        <v>6930.0000000000009</v>
      </c>
      <c r="H153" s="48">
        <f t="shared" si="1759"/>
        <v>6930.0000000000009</v>
      </c>
      <c r="I153" s="51">
        <f t="shared" si="1760"/>
        <v>22909.194000000003</v>
      </c>
      <c r="J153" s="48">
        <f t="shared" si="1773"/>
        <v>6722.1</v>
      </c>
      <c r="K153" s="51">
        <f t="shared" si="1774"/>
        <v>22221.918180000001</v>
      </c>
      <c r="L153" s="48">
        <f t="shared" si="1775"/>
        <v>6583.5000000000009</v>
      </c>
      <c r="M153" s="51">
        <f t="shared" si="1776"/>
        <v>21763.734300000004</v>
      </c>
      <c r="N153" s="48">
        <f>+H153*BE153</f>
        <v>6444.9000000000015</v>
      </c>
      <c r="O153" s="51">
        <f t="shared" si="1777"/>
        <v>21305.550420000007</v>
      </c>
      <c r="P153" s="52">
        <f>+H153*BF153</f>
        <v>6306.3000000000011</v>
      </c>
      <c r="Q153" s="51">
        <f t="shared" si="1778"/>
        <v>20847.366540000003</v>
      </c>
      <c r="R153" s="48">
        <f>+H153*BG153</f>
        <v>6167.7000000000007</v>
      </c>
      <c r="S153" s="51">
        <f t="shared" si="1779"/>
        <v>20389.182660000002</v>
      </c>
      <c r="T153" s="52">
        <f>+H153*BH153</f>
        <v>6029.1</v>
      </c>
      <c r="U153" s="51">
        <f t="shared" si="1780"/>
        <v>19930.998780000002</v>
      </c>
      <c r="V153" s="53">
        <f>+H153*BI153</f>
        <v>5890.5000000000009</v>
      </c>
      <c r="W153" s="51">
        <f t="shared" si="1781"/>
        <v>19472.814900000005</v>
      </c>
      <c r="X153" s="52">
        <f>+H153*BJ153</f>
        <v>5751.9000000000005</v>
      </c>
      <c r="Y153" s="51">
        <f t="shared" si="1782"/>
        <v>19014.631020000001</v>
      </c>
      <c r="Z153" s="48">
        <f>+H153*BK153</f>
        <v>5613.3</v>
      </c>
      <c r="AA153" s="51">
        <f t="shared" si="1783"/>
        <v>18556.44714</v>
      </c>
      <c r="AB153" s="53">
        <f>+H153*BL153</f>
        <v>5474.7</v>
      </c>
      <c r="AC153" s="51">
        <f t="shared" si="1784"/>
        <v>18098.26326</v>
      </c>
      <c r="AD153" s="53">
        <f>+H153*BM153</f>
        <v>5336.1</v>
      </c>
      <c r="AE153" s="51">
        <f t="shared" si="1785"/>
        <v>17640.079380000003</v>
      </c>
      <c r="AF153" s="53">
        <f>+H153*BN153</f>
        <v>5197.5</v>
      </c>
      <c r="AG153" s="51">
        <f t="shared" si="1786"/>
        <v>17181.895499999999</v>
      </c>
      <c r="AH153" s="48">
        <f>+H153*BO153</f>
        <v>5058.8999999999996</v>
      </c>
      <c r="AI153" s="51">
        <f t="shared" si="1787"/>
        <v>16723.711619999998</v>
      </c>
      <c r="AJ153" s="53">
        <f>+H153*BP153</f>
        <v>4920.2999999999993</v>
      </c>
      <c r="AK153" s="51">
        <f t="shared" si="1788"/>
        <v>16265.527739999998</v>
      </c>
      <c r="AL153" s="53">
        <f>+H153*BQ153</f>
        <v>4781.7</v>
      </c>
      <c r="AM153" s="51">
        <f t="shared" si="1789"/>
        <v>15807.343859999999</v>
      </c>
      <c r="AN153" s="53">
        <f>+H153*BR153</f>
        <v>4643.0999999999995</v>
      </c>
      <c r="AO153" s="51">
        <f t="shared" si="1790"/>
        <v>15349.159979999999</v>
      </c>
      <c r="AP153" s="53">
        <f>+H153*BS153</f>
        <v>4504.4999999999991</v>
      </c>
      <c r="AQ153" s="51">
        <f t="shared" si="1791"/>
        <v>14890.976099999998</v>
      </c>
      <c r="AR153" s="48">
        <f>+H153*BT153</f>
        <v>4365.8999999999987</v>
      </c>
      <c r="AS153" s="51">
        <f t="shared" si="1792"/>
        <v>14432.792219999996</v>
      </c>
      <c r="AT153" s="53">
        <f>+H153*BU153</f>
        <v>4227.2999999999993</v>
      </c>
      <c r="AU153" s="51">
        <f t="shared" si="1793"/>
        <v>13974.608339999997</v>
      </c>
      <c r="AV153" s="53">
        <f>+H153*BV153</f>
        <v>4088.6999999999989</v>
      </c>
      <c r="AW153" s="51">
        <f t="shared" si="1794"/>
        <v>13516.424459999997</v>
      </c>
      <c r="AX153" s="48">
        <f>+H153*BW153</f>
        <v>3950.0999999999985</v>
      </c>
      <c r="AY153" s="51">
        <f t="shared" si="1795"/>
        <v>13058.240579999996</v>
      </c>
      <c r="BB153" s="48">
        <v>1</v>
      </c>
      <c r="BC153" s="48">
        <v>0.97</v>
      </c>
      <c r="BD153" s="48">
        <v>0.95</v>
      </c>
      <c r="BE153" s="48">
        <v>0.93</v>
      </c>
      <c r="BF153" s="48">
        <f t="shared" ref="BF153:BW153" si="1852">+BE153-0.02</f>
        <v>0.91</v>
      </c>
      <c r="BG153" s="48">
        <f t="shared" si="1852"/>
        <v>0.89</v>
      </c>
      <c r="BH153" s="48">
        <f t="shared" si="1852"/>
        <v>0.87</v>
      </c>
      <c r="BI153" s="48">
        <f t="shared" si="1852"/>
        <v>0.85</v>
      </c>
      <c r="BJ153" s="48">
        <f t="shared" si="1852"/>
        <v>0.83</v>
      </c>
      <c r="BK153" s="48">
        <f t="shared" si="1852"/>
        <v>0.80999999999999994</v>
      </c>
      <c r="BL153" s="48">
        <f t="shared" si="1852"/>
        <v>0.78999999999999992</v>
      </c>
      <c r="BM153" s="48">
        <f t="shared" si="1852"/>
        <v>0.76999999999999991</v>
      </c>
      <c r="BN153" s="48">
        <f t="shared" si="1852"/>
        <v>0.74999999999999989</v>
      </c>
      <c r="BO153" s="48">
        <f t="shared" si="1852"/>
        <v>0.72999999999999987</v>
      </c>
      <c r="BP153" s="48">
        <f t="shared" si="1852"/>
        <v>0.70999999999999985</v>
      </c>
      <c r="BQ153" s="48">
        <f t="shared" si="1852"/>
        <v>0.68999999999999984</v>
      </c>
      <c r="BR153" s="48">
        <f t="shared" si="1852"/>
        <v>0.66999999999999982</v>
      </c>
      <c r="BS153" s="48">
        <f t="shared" si="1852"/>
        <v>0.6499999999999998</v>
      </c>
      <c r="BT153" s="48">
        <f t="shared" si="1852"/>
        <v>0.62999999999999978</v>
      </c>
      <c r="BU153" s="48">
        <f t="shared" si="1852"/>
        <v>0.60999999999999976</v>
      </c>
      <c r="BV153" s="48">
        <f t="shared" si="1852"/>
        <v>0.58999999999999975</v>
      </c>
      <c r="BW153" s="48">
        <f t="shared" si="1852"/>
        <v>0.56999999999999973</v>
      </c>
      <c r="BY153" s="48">
        <f t="shared" si="1762"/>
        <v>6306.3000000000011</v>
      </c>
      <c r="BZ153" s="48">
        <f t="shared" si="1763"/>
        <v>6306.3000000000011</v>
      </c>
      <c r="CA153" s="51">
        <f t="shared" ref="CA153" si="1853">+BZ153*3.3058</f>
        <v>20847.366540000003</v>
      </c>
      <c r="CB153" s="48">
        <f t="shared" si="1798"/>
        <v>6117.1110000000008</v>
      </c>
      <c r="CC153" s="51">
        <f t="shared" si="1799"/>
        <v>20221.945543800004</v>
      </c>
      <c r="CD153" s="48">
        <f t="shared" si="1800"/>
        <v>5990.9850000000006</v>
      </c>
      <c r="CE153" s="51">
        <f t="shared" si="1801"/>
        <v>19804.998213000003</v>
      </c>
      <c r="CF153" s="48">
        <f>+BZ153*DW153</f>
        <v>5864.8590000000013</v>
      </c>
      <c r="CG153" s="51">
        <f t="shared" si="1802"/>
        <v>19388.050882200005</v>
      </c>
      <c r="CH153" s="52">
        <f>+BZ153*DX153</f>
        <v>5738.7330000000011</v>
      </c>
      <c r="CI153" s="51">
        <f t="shared" si="1803"/>
        <v>18971.103551400003</v>
      </c>
      <c r="CJ153" s="48">
        <f>+BZ153*DY153</f>
        <v>5612.6070000000009</v>
      </c>
      <c r="CK153" s="51">
        <f t="shared" si="1804"/>
        <v>18554.156220600002</v>
      </c>
      <c r="CL153" s="52">
        <f>+BZ153*DZ153</f>
        <v>5486.4810000000007</v>
      </c>
      <c r="CM153" s="51">
        <f t="shared" si="1805"/>
        <v>18137.208889800004</v>
      </c>
      <c r="CN153" s="53">
        <f>+BZ153*EA153</f>
        <v>5360.3550000000005</v>
      </c>
      <c r="CO153" s="51">
        <f t="shared" si="1806"/>
        <v>17720.261559000002</v>
      </c>
      <c r="CP153" s="52">
        <f>+BZ153*EB153</f>
        <v>5234.2290000000003</v>
      </c>
      <c r="CQ153" s="51">
        <f t="shared" si="1807"/>
        <v>17303.314228200001</v>
      </c>
      <c r="CR153" s="48">
        <f>+BZ153*EC153</f>
        <v>5108.1030000000001</v>
      </c>
      <c r="CS153" s="51">
        <f t="shared" si="1808"/>
        <v>16886.366897399999</v>
      </c>
      <c r="CT153" s="53">
        <f>+BZ153*ED153</f>
        <v>4981.9770000000008</v>
      </c>
      <c r="CU153" s="51">
        <f t="shared" si="1809"/>
        <v>16469.419566600001</v>
      </c>
      <c r="CV153" s="53">
        <f>+BZ153*EE153</f>
        <v>4855.8510000000006</v>
      </c>
      <c r="CW153" s="51">
        <f t="shared" si="1810"/>
        <v>16052.472235800002</v>
      </c>
      <c r="CX153" s="53">
        <f>+BZ153*EF153</f>
        <v>4729.7250000000004</v>
      </c>
      <c r="CY153" s="51">
        <f t="shared" si="1811"/>
        <v>15635.524905000002</v>
      </c>
      <c r="CZ153" s="48">
        <f>+BZ153*EG153</f>
        <v>4603.5990000000002</v>
      </c>
      <c r="DA153" s="51">
        <f t="shared" si="1812"/>
        <v>15218.577574200001</v>
      </c>
      <c r="DB153" s="53">
        <f>+BZ153*EH153</f>
        <v>4477.473</v>
      </c>
      <c r="DC153" s="51">
        <f t="shared" si="1813"/>
        <v>14801.630243400001</v>
      </c>
      <c r="DD153" s="53">
        <f>+BZ153*EI153</f>
        <v>4351.3469999999998</v>
      </c>
      <c r="DE153" s="51">
        <f t="shared" si="1814"/>
        <v>14384.682912599999</v>
      </c>
      <c r="DF153" s="53">
        <f>+BZ153*EJ153</f>
        <v>4225.2209999999995</v>
      </c>
      <c r="DG153" s="51">
        <f t="shared" si="1815"/>
        <v>13967.7355818</v>
      </c>
      <c r="DH153" s="53">
        <f>+BZ153*EK153</f>
        <v>4099.0949999999993</v>
      </c>
      <c r="DI153" s="51">
        <f t="shared" si="1816"/>
        <v>13550.788250999998</v>
      </c>
      <c r="DJ153" s="48">
        <f>+BZ153*EL153</f>
        <v>3972.9689999999991</v>
      </c>
      <c r="DK153" s="51">
        <f t="shared" si="1817"/>
        <v>13133.840920199997</v>
      </c>
      <c r="DL153" s="53">
        <f>+BZ153*EM153</f>
        <v>3846.8429999999994</v>
      </c>
      <c r="DM153" s="51">
        <f t="shared" si="1818"/>
        <v>12716.893589399999</v>
      </c>
      <c r="DN153" s="53">
        <f>+BZ153*EN153</f>
        <v>3720.7169999999992</v>
      </c>
      <c r="DO153" s="51">
        <f t="shared" si="1819"/>
        <v>12299.946258599997</v>
      </c>
      <c r="DP153" s="48">
        <f>+BZ153*EO153</f>
        <v>3594.590999999999</v>
      </c>
      <c r="DQ153" s="51">
        <f t="shared" si="1820"/>
        <v>11882.998927799998</v>
      </c>
      <c r="DT153" s="48">
        <v>1</v>
      </c>
      <c r="DU153" s="48">
        <v>0.97</v>
      </c>
      <c r="DV153" s="48">
        <v>0.95</v>
      </c>
      <c r="DW153" s="48">
        <v>0.93</v>
      </c>
      <c r="DX153" s="48">
        <f t="shared" ref="DX153:EO153" si="1854">+DW153-0.02</f>
        <v>0.91</v>
      </c>
      <c r="DY153" s="48">
        <f t="shared" si="1854"/>
        <v>0.89</v>
      </c>
      <c r="DZ153" s="48">
        <f t="shared" si="1854"/>
        <v>0.87</v>
      </c>
      <c r="EA153" s="48">
        <f t="shared" si="1854"/>
        <v>0.85</v>
      </c>
      <c r="EB153" s="48">
        <f t="shared" si="1854"/>
        <v>0.83</v>
      </c>
      <c r="EC153" s="48">
        <f t="shared" si="1854"/>
        <v>0.80999999999999994</v>
      </c>
      <c r="ED153" s="48">
        <f t="shared" si="1854"/>
        <v>0.78999999999999992</v>
      </c>
      <c r="EE153" s="48">
        <f t="shared" si="1854"/>
        <v>0.76999999999999991</v>
      </c>
      <c r="EF153" s="48">
        <f t="shared" si="1854"/>
        <v>0.74999999999999989</v>
      </c>
      <c r="EG153" s="48">
        <f t="shared" si="1854"/>
        <v>0.72999999999999987</v>
      </c>
      <c r="EH153" s="48">
        <f t="shared" si="1854"/>
        <v>0.70999999999999985</v>
      </c>
      <c r="EI153" s="48">
        <f t="shared" si="1854"/>
        <v>0.68999999999999984</v>
      </c>
      <c r="EJ153" s="48">
        <f t="shared" si="1854"/>
        <v>0.66999999999999982</v>
      </c>
      <c r="EK153" s="48">
        <f t="shared" si="1854"/>
        <v>0.6499999999999998</v>
      </c>
      <c r="EL153" s="48">
        <f t="shared" si="1854"/>
        <v>0.62999999999999978</v>
      </c>
      <c r="EM153" s="48">
        <f t="shared" si="1854"/>
        <v>0.60999999999999976</v>
      </c>
      <c r="EN153" s="48">
        <f t="shared" si="1854"/>
        <v>0.58999999999999975</v>
      </c>
      <c r="EO153" s="48">
        <f t="shared" si="1854"/>
        <v>0.56999999999999973</v>
      </c>
      <c r="EQ153" s="48">
        <f t="shared" si="1128"/>
        <v>5738.7330000000011</v>
      </c>
      <c r="ER153" s="48">
        <f t="shared" si="1766"/>
        <v>5738.7330000000011</v>
      </c>
      <c r="ES153" s="51">
        <f t="shared" ref="ES153" si="1855">+ER153*3.3058</f>
        <v>18971.103551400003</v>
      </c>
      <c r="ET153" s="48">
        <f t="shared" si="1823"/>
        <v>5566.5710100000006</v>
      </c>
      <c r="EU153" s="51">
        <f t="shared" si="1824"/>
        <v>18401.970444858001</v>
      </c>
      <c r="EV153" s="48">
        <f t="shared" si="1825"/>
        <v>5451.7963500000005</v>
      </c>
      <c r="EW153" s="51">
        <f t="shared" si="1826"/>
        <v>18022.548373830003</v>
      </c>
      <c r="EX153" s="48">
        <f>+ER153*GO153</f>
        <v>5337.0216900000014</v>
      </c>
      <c r="EY153" s="51">
        <f t="shared" si="1827"/>
        <v>17643.126302802004</v>
      </c>
      <c r="EZ153" s="52">
        <f>+ER153*GP153</f>
        <v>5222.2470300000014</v>
      </c>
      <c r="FA153" s="51">
        <f t="shared" si="1828"/>
        <v>17263.704231774005</v>
      </c>
      <c r="FB153" s="48">
        <f>+ER153*GQ153</f>
        <v>5107.4723700000013</v>
      </c>
      <c r="FC153" s="51">
        <f t="shared" si="1829"/>
        <v>16884.282160746006</v>
      </c>
      <c r="FD153" s="52">
        <f>+ER153*GR153</f>
        <v>4992.6977100000013</v>
      </c>
      <c r="FE153" s="51">
        <f t="shared" si="1830"/>
        <v>16504.860089718004</v>
      </c>
      <c r="FF153" s="53">
        <f>+ER153*GS153</f>
        <v>4877.9230500000012</v>
      </c>
      <c r="FG153" s="51">
        <f t="shared" si="1831"/>
        <v>16125.438018690005</v>
      </c>
      <c r="FH153" s="52">
        <f>+ER153*GT153</f>
        <v>4763.1483900000003</v>
      </c>
      <c r="FI153" s="51">
        <f t="shared" si="1832"/>
        <v>15746.015947662001</v>
      </c>
      <c r="FJ153" s="48">
        <f>+ER153*GU153</f>
        <v>4648.3737300000003</v>
      </c>
      <c r="FK153" s="51">
        <f t="shared" si="1833"/>
        <v>15366.593876634</v>
      </c>
      <c r="FL153" s="53">
        <f>+ER153*GV153</f>
        <v>4533.5990700000002</v>
      </c>
      <c r="FM153" s="51">
        <f t="shared" si="1834"/>
        <v>14987.171805606002</v>
      </c>
      <c r="FN153" s="53">
        <f>+ER153*GW153</f>
        <v>4418.8244100000002</v>
      </c>
      <c r="FO153" s="51">
        <f t="shared" si="1835"/>
        <v>14607.749734578001</v>
      </c>
      <c r="FP153" s="53">
        <f>+ER153*GX153</f>
        <v>4304.0497500000001</v>
      </c>
      <c r="FQ153" s="51">
        <f t="shared" si="1836"/>
        <v>14228.327663550001</v>
      </c>
      <c r="FR153" s="48">
        <f>+ER153*GY153</f>
        <v>4189.2750900000001</v>
      </c>
      <c r="FS153" s="51">
        <f t="shared" si="1837"/>
        <v>13848.905592522</v>
      </c>
      <c r="FT153" s="53">
        <f>+ER153*GZ153</f>
        <v>4074.5004300000001</v>
      </c>
      <c r="FU153" s="51">
        <f t="shared" si="1838"/>
        <v>13469.483521494001</v>
      </c>
      <c r="FV153" s="53">
        <f>+ER153*HA153</f>
        <v>3959.72577</v>
      </c>
      <c r="FW153" s="51">
        <f t="shared" si="1839"/>
        <v>13090.061450466001</v>
      </c>
      <c r="FX153" s="53">
        <f>+ER153*HB153</f>
        <v>3844.9511099999995</v>
      </c>
      <c r="FY153" s="51">
        <f t="shared" si="1840"/>
        <v>12710.639379437998</v>
      </c>
      <c r="FZ153" s="53">
        <f>+ER153*HC153</f>
        <v>3730.1764499999995</v>
      </c>
      <c r="GA153" s="51">
        <f t="shared" si="1841"/>
        <v>12331.217308409998</v>
      </c>
      <c r="GB153" s="48">
        <f>+ER153*HD153</f>
        <v>3615.4017899999994</v>
      </c>
      <c r="GC153" s="51">
        <f t="shared" si="1842"/>
        <v>11951.795237381999</v>
      </c>
      <c r="GD153" s="53">
        <f>+ER153*HE153</f>
        <v>3500.6271299999994</v>
      </c>
      <c r="GE153" s="51">
        <f t="shared" si="1843"/>
        <v>11572.373166353998</v>
      </c>
      <c r="GF153" s="53">
        <f>+ER153*HF153</f>
        <v>3385.8524699999994</v>
      </c>
      <c r="GG153" s="51">
        <f t="shared" si="1844"/>
        <v>11192.951095325998</v>
      </c>
      <c r="GH153" s="48">
        <f>+ER153*HG153</f>
        <v>3271.0778099999989</v>
      </c>
      <c r="GI153" s="51">
        <f t="shared" si="1845"/>
        <v>10813.529024297997</v>
      </c>
      <c r="GJ153" s="48"/>
      <c r="GK153" s="48"/>
      <c r="GL153" s="48">
        <v>1</v>
      </c>
      <c r="GM153" s="48">
        <v>0.97</v>
      </c>
      <c r="GN153" s="48">
        <v>0.95</v>
      </c>
      <c r="GO153" s="48">
        <v>0.93</v>
      </c>
      <c r="GP153" s="48">
        <f t="shared" ref="GP153:HG153" si="1856">+GO153-0.02</f>
        <v>0.91</v>
      </c>
      <c r="GQ153" s="48">
        <f t="shared" si="1856"/>
        <v>0.89</v>
      </c>
      <c r="GR153" s="48">
        <f t="shared" si="1856"/>
        <v>0.87</v>
      </c>
      <c r="GS153" s="48">
        <f t="shared" si="1856"/>
        <v>0.85</v>
      </c>
      <c r="GT153" s="48">
        <f t="shared" si="1856"/>
        <v>0.83</v>
      </c>
      <c r="GU153" s="48">
        <f t="shared" si="1856"/>
        <v>0.80999999999999994</v>
      </c>
      <c r="GV153" s="48">
        <f t="shared" si="1856"/>
        <v>0.78999999999999992</v>
      </c>
      <c r="GW153" s="48">
        <f t="shared" si="1856"/>
        <v>0.76999999999999991</v>
      </c>
      <c r="GX153" s="48">
        <f t="shared" si="1856"/>
        <v>0.74999999999999989</v>
      </c>
      <c r="GY153" s="48">
        <f t="shared" si="1856"/>
        <v>0.72999999999999987</v>
      </c>
      <c r="GZ153" s="48">
        <f t="shared" si="1856"/>
        <v>0.70999999999999985</v>
      </c>
      <c r="HA153" s="48">
        <f t="shared" si="1856"/>
        <v>0.68999999999999984</v>
      </c>
      <c r="HB153" s="48">
        <f t="shared" si="1856"/>
        <v>0.66999999999999982</v>
      </c>
      <c r="HC153" s="48">
        <f t="shared" si="1856"/>
        <v>0.6499999999999998</v>
      </c>
      <c r="HD153" s="48">
        <f t="shared" si="1856"/>
        <v>0.62999999999999978</v>
      </c>
      <c r="HE153" s="48">
        <f t="shared" si="1856"/>
        <v>0.60999999999999976</v>
      </c>
      <c r="HF153" s="48">
        <f t="shared" si="1856"/>
        <v>0.58999999999999975</v>
      </c>
      <c r="HG153" s="48">
        <f t="shared" si="1856"/>
        <v>0.56999999999999973</v>
      </c>
    </row>
    <row r="154" spans="1:215" ht="17.25" thickBot="1" x14ac:dyDescent="0.35">
      <c r="A154" s="2">
        <v>4</v>
      </c>
      <c r="C154" s="39" t="s">
        <v>156</v>
      </c>
      <c r="D154" s="45">
        <v>0</v>
      </c>
      <c r="E154" s="74">
        <f>TRUNC(+D154*3.3058,-1)</f>
        <v>0</v>
      </c>
      <c r="G154" s="48">
        <f t="shared" si="1758"/>
        <v>0</v>
      </c>
      <c r="H154" s="48">
        <f t="shared" si="1759"/>
        <v>0</v>
      </c>
      <c r="I154" s="51">
        <f t="shared" si="1760"/>
        <v>0</v>
      </c>
      <c r="J154" s="48">
        <f t="shared" si="1773"/>
        <v>0</v>
      </c>
      <c r="K154" s="51">
        <f t="shared" si="1774"/>
        <v>0</v>
      </c>
      <c r="L154" s="48">
        <f t="shared" si="1775"/>
        <v>0</v>
      </c>
      <c r="M154" s="51">
        <f t="shared" si="1776"/>
        <v>0</v>
      </c>
      <c r="N154" s="48">
        <f>+H154*BE154</f>
        <v>0</v>
      </c>
      <c r="O154" s="51">
        <f t="shared" si="1777"/>
        <v>0</v>
      </c>
      <c r="P154" s="52">
        <f>+H154*BF154</f>
        <v>0</v>
      </c>
      <c r="Q154" s="51">
        <f t="shared" si="1778"/>
        <v>0</v>
      </c>
      <c r="R154" s="48">
        <f>+H154*BG154</f>
        <v>0</v>
      </c>
      <c r="S154" s="51">
        <f t="shared" si="1779"/>
        <v>0</v>
      </c>
      <c r="T154" s="52">
        <f>+H154*BH154</f>
        <v>0</v>
      </c>
      <c r="U154" s="51">
        <f t="shared" si="1780"/>
        <v>0</v>
      </c>
      <c r="V154" s="53">
        <f>+H154*BI154</f>
        <v>0</v>
      </c>
      <c r="W154" s="51">
        <f t="shared" si="1781"/>
        <v>0</v>
      </c>
      <c r="X154" s="52">
        <f>+H154*BJ154</f>
        <v>0</v>
      </c>
      <c r="Y154" s="51">
        <f t="shared" si="1782"/>
        <v>0</v>
      </c>
      <c r="Z154" s="48">
        <f>+H154*BK154</f>
        <v>0</v>
      </c>
      <c r="AA154" s="51">
        <f t="shared" si="1783"/>
        <v>0</v>
      </c>
      <c r="AB154" s="53">
        <f>+H154*BL154</f>
        <v>0</v>
      </c>
      <c r="AC154" s="51">
        <f t="shared" si="1784"/>
        <v>0</v>
      </c>
      <c r="AD154" s="53">
        <f>+H154*BM154</f>
        <v>0</v>
      </c>
      <c r="AE154" s="51">
        <f t="shared" si="1785"/>
        <v>0</v>
      </c>
      <c r="AF154" s="53">
        <f>+H154*BN154</f>
        <v>0</v>
      </c>
      <c r="AG154" s="51">
        <f t="shared" si="1786"/>
        <v>0</v>
      </c>
      <c r="AH154" s="48">
        <f>+H154*BO154</f>
        <v>0</v>
      </c>
      <c r="AI154" s="51">
        <f t="shared" si="1787"/>
        <v>0</v>
      </c>
      <c r="AJ154" s="53">
        <f>+H154*BP154</f>
        <v>0</v>
      </c>
      <c r="AK154" s="51">
        <f t="shared" si="1788"/>
        <v>0</v>
      </c>
      <c r="AL154" s="53">
        <f>+H154*BQ154</f>
        <v>0</v>
      </c>
      <c r="AM154" s="51">
        <f t="shared" si="1789"/>
        <v>0</v>
      </c>
      <c r="AN154" s="53">
        <f>+H154*BR154</f>
        <v>0</v>
      </c>
      <c r="AO154" s="51">
        <f t="shared" si="1790"/>
        <v>0</v>
      </c>
      <c r="AP154" s="53">
        <f>+H154*BS154</f>
        <v>0</v>
      </c>
      <c r="AQ154" s="51">
        <f t="shared" si="1791"/>
        <v>0</v>
      </c>
      <c r="AR154" s="48">
        <f>+H154*BT154</f>
        <v>0</v>
      </c>
      <c r="AS154" s="51">
        <f t="shared" si="1792"/>
        <v>0</v>
      </c>
      <c r="AT154" s="53">
        <f>+H154*BU154</f>
        <v>0</v>
      </c>
      <c r="AU154" s="51">
        <f t="shared" si="1793"/>
        <v>0</v>
      </c>
      <c r="AV154" s="53">
        <f>+H154*BV154</f>
        <v>0</v>
      </c>
      <c r="AW154" s="51">
        <f t="shared" si="1794"/>
        <v>0</v>
      </c>
      <c r="AX154" s="48">
        <f>+H154*BW154</f>
        <v>0</v>
      </c>
      <c r="AY154" s="51">
        <f t="shared" si="1795"/>
        <v>0</v>
      </c>
      <c r="BB154" s="48">
        <v>1</v>
      </c>
      <c r="BC154" s="48">
        <v>0.97</v>
      </c>
      <c r="BD154" s="48">
        <v>0.95</v>
      </c>
      <c r="BE154" s="48">
        <v>0.93</v>
      </c>
      <c r="BF154" s="48">
        <f t="shared" ref="BF154:BW154" si="1857">+BE154-0.02</f>
        <v>0.91</v>
      </c>
      <c r="BG154" s="48">
        <f t="shared" si="1857"/>
        <v>0.89</v>
      </c>
      <c r="BH154" s="48">
        <f t="shared" si="1857"/>
        <v>0.87</v>
      </c>
      <c r="BI154" s="48">
        <f t="shared" si="1857"/>
        <v>0.85</v>
      </c>
      <c r="BJ154" s="48">
        <f t="shared" si="1857"/>
        <v>0.83</v>
      </c>
      <c r="BK154" s="48">
        <f t="shared" si="1857"/>
        <v>0.80999999999999994</v>
      </c>
      <c r="BL154" s="48">
        <f t="shared" si="1857"/>
        <v>0.78999999999999992</v>
      </c>
      <c r="BM154" s="48">
        <f t="shared" si="1857"/>
        <v>0.76999999999999991</v>
      </c>
      <c r="BN154" s="48">
        <f t="shared" si="1857"/>
        <v>0.74999999999999989</v>
      </c>
      <c r="BO154" s="48">
        <f t="shared" si="1857"/>
        <v>0.72999999999999987</v>
      </c>
      <c r="BP154" s="48">
        <f t="shared" si="1857"/>
        <v>0.70999999999999985</v>
      </c>
      <c r="BQ154" s="48">
        <f t="shared" si="1857"/>
        <v>0.68999999999999984</v>
      </c>
      <c r="BR154" s="48">
        <f t="shared" si="1857"/>
        <v>0.66999999999999982</v>
      </c>
      <c r="BS154" s="48">
        <f t="shared" si="1857"/>
        <v>0.6499999999999998</v>
      </c>
      <c r="BT154" s="48">
        <f t="shared" si="1857"/>
        <v>0.62999999999999978</v>
      </c>
      <c r="BU154" s="48">
        <f t="shared" si="1857"/>
        <v>0.60999999999999976</v>
      </c>
      <c r="BV154" s="48">
        <f t="shared" si="1857"/>
        <v>0.58999999999999975</v>
      </c>
      <c r="BW154" s="48">
        <f t="shared" si="1857"/>
        <v>0.56999999999999973</v>
      </c>
      <c r="BY154" s="48">
        <f t="shared" si="1762"/>
        <v>0</v>
      </c>
      <c r="BZ154" s="48">
        <f t="shared" si="1763"/>
        <v>0</v>
      </c>
      <c r="CA154" s="51">
        <f t="shared" ref="CA154" si="1858">+BZ154*3.3058</f>
        <v>0</v>
      </c>
      <c r="CB154" s="48">
        <f t="shared" si="1798"/>
        <v>0</v>
      </c>
      <c r="CC154" s="51">
        <f t="shared" si="1799"/>
        <v>0</v>
      </c>
      <c r="CD154" s="48">
        <f t="shared" si="1800"/>
        <v>0</v>
      </c>
      <c r="CE154" s="51">
        <f t="shared" si="1801"/>
        <v>0</v>
      </c>
      <c r="CF154" s="48">
        <f>+BZ154*DW154</f>
        <v>0</v>
      </c>
      <c r="CG154" s="51">
        <f t="shared" si="1802"/>
        <v>0</v>
      </c>
      <c r="CH154" s="52">
        <f>+BZ154*DX154</f>
        <v>0</v>
      </c>
      <c r="CI154" s="51">
        <f t="shared" si="1803"/>
        <v>0</v>
      </c>
      <c r="CJ154" s="48">
        <f>+BZ154*DY154</f>
        <v>0</v>
      </c>
      <c r="CK154" s="51">
        <f t="shared" si="1804"/>
        <v>0</v>
      </c>
      <c r="CL154" s="52">
        <f>+BZ154*DZ154</f>
        <v>0</v>
      </c>
      <c r="CM154" s="51">
        <f t="shared" si="1805"/>
        <v>0</v>
      </c>
      <c r="CN154" s="53">
        <f>+BZ154*EA154</f>
        <v>0</v>
      </c>
      <c r="CO154" s="51">
        <f t="shared" si="1806"/>
        <v>0</v>
      </c>
      <c r="CP154" s="52">
        <f>+BZ154*EB154</f>
        <v>0</v>
      </c>
      <c r="CQ154" s="51">
        <f t="shared" si="1807"/>
        <v>0</v>
      </c>
      <c r="CR154" s="48">
        <f>+BZ154*EC154</f>
        <v>0</v>
      </c>
      <c r="CS154" s="51">
        <f t="shared" si="1808"/>
        <v>0</v>
      </c>
      <c r="CT154" s="53">
        <f>+BZ154*ED154</f>
        <v>0</v>
      </c>
      <c r="CU154" s="51">
        <f t="shared" si="1809"/>
        <v>0</v>
      </c>
      <c r="CV154" s="53">
        <f>+BZ154*EE154</f>
        <v>0</v>
      </c>
      <c r="CW154" s="51">
        <f t="shared" si="1810"/>
        <v>0</v>
      </c>
      <c r="CX154" s="53">
        <f>+BZ154*EF154</f>
        <v>0</v>
      </c>
      <c r="CY154" s="51">
        <f t="shared" si="1811"/>
        <v>0</v>
      </c>
      <c r="CZ154" s="48">
        <f>+BZ154*EG154</f>
        <v>0</v>
      </c>
      <c r="DA154" s="51">
        <f t="shared" si="1812"/>
        <v>0</v>
      </c>
      <c r="DB154" s="53">
        <f>+BZ154*EH154</f>
        <v>0</v>
      </c>
      <c r="DC154" s="51">
        <f t="shared" si="1813"/>
        <v>0</v>
      </c>
      <c r="DD154" s="53">
        <f>+BZ154*EI154</f>
        <v>0</v>
      </c>
      <c r="DE154" s="51">
        <f t="shared" si="1814"/>
        <v>0</v>
      </c>
      <c r="DF154" s="53">
        <f>+BZ154*EJ154</f>
        <v>0</v>
      </c>
      <c r="DG154" s="51">
        <f t="shared" si="1815"/>
        <v>0</v>
      </c>
      <c r="DH154" s="53">
        <f>+BZ154*EK154</f>
        <v>0</v>
      </c>
      <c r="DI154" s="51">
        <f t="shared" si="1816"/>
        <v>0</v>
      </c>
      <c r="DJ154" s="48">
        <f>+BZ154*EL154</f>
        <v>0</v>
      </c>
      <c r="DK154" s="51">
        <f t="shared" si="1817"/>
        <v>0</v>
      </c>
      <c r="DL154" s="53">
        <f>+BZ154*EM154</f>
        <v>0</v>
      </c>
      <c r="DM154" s="51">
        <f t="shared" si="1818"/>
        <v>0</v>
      </c>
      <c r="DN154" s="53">
        <f>+BZ154*EN154</f>
        <v>0</v>
      </c>
      <c r="DO154" s="51">
        <f t="shared" si="1819"/>
        <v>0</v>
      </c>
      <c r="DP154" s="48">
        <f>+BZ154*EO154</f>
        <v>0</v>
      </c>
      <c r="DQ154" s="51">
        <f t="shared" si="1820"/>
        <v>0</v>
      </c>
      <c r="DT154" s="48">
        <v>1</v>
      </c>
      <c r="DU154" s="48">
        <v>0.97</v>
      </c>
      <c r="DV154" s="48">
        <v>0.95</v>
      </c>
      <c r="DW154" s="48">
        <v>0.93</v>
      </c>
      <c r="DX154" s="48">
        <f t="shared" ref="DX154:EO154" si="1859">+DW154-0.02</f>
        <v>0.91</v>
      </c>
      <c r="DY154" s="48">
        <f t="shared" si="1859"/>
        <v>0.89</v>
      </c>
      <c r="DZ154" s="48">
        <f t="shared" si="1859"/>
        <v>0.87</v>
      </c>
      <c r="EA154" s="48">
        <f t="shared" si="1859"/>
        <v>0.85</v>
      </c>
      <c r="EB154" s="48">
        <f t="shared" si="1859"/>
        <v>0.83</v>
      </c>
      <c r="EC154" s="48">
        <f t="shared" si="1859"/>
        <v>0.80999999999999994</v>
      </c>
      <c r="ED154" s="48">
        <f t="shared" si="1859"/>
        <v>0.78999999999999992</v>
      </c>
      <c r="EE154" s="48">
        <f t="shared" si="1859"/>
        <v>0.76999999999999991</v>
      </c>
      <c r="EF154" s="48">
        <f t="shared" si="1859"/>
        <v>0.74999999999999989</v>
      </c>
      <c r="EG154" s="48">
        <f t="shared" si="1859"/>
        <v>0.72999999999999987</v>
      </c>
      <c r="EH154" s="48">
        <f t="shared" si="1859"/>
        <v>0.70999999999999985</v>
      </c>
      <c r="EI154" s="48">
        <f t="shared" si="1859"/>
        <v>0.68999999999999984</v>
      </c>
      <c r="EJ154" s="48">
        <f t="shared" si="1859"/>
        <v>0.66999999999999982</v>
      </c>
      <c r="EK154" s="48">
        <f t="shared" si="1859"/>
        <v>0.6499999999999998</v>
      </c>
      <c r="EL154" s="48">
        <f t="shared" si="1859"/>
        <v>0.62999999999999978</v>
      </c>
      <c r="EM154" s="48">
        <f t="shared" si="1859"/>
        <v>0.60999999999999976</v>
      </c>
      <c r="EN154" s="48">
        <f t="shared" si="1859"/>
        <v>0.58999999999999975</v>
      </c>
      <c r="EO154" s="48">
        <f t="shared" si="1859"/>
        <v>0.56999999999999973</v>
      </c>
      <c r="EQ154" s="48">
        <f t="shared" si="1128"/>
        <v>0</v>
      </c>
      <c r="ER154" s="48">
        <f t="shared" si="1766"/>
        <v>0</v>
      </c>
      <c r="ES154" s="51">
        <f t="shared" ref="ES154" si="1860">+ER154*3.3058</f>
        <v>0</v>
      </c>
      <c r="ET154" s="48">
        <f t="shared" si="1823"/>
        <v>0</v>
      </c>
      <c r="EU154" s="51">
        <f t="shared" si="1824"/>
        <v>0</v>
      </c>
      <c r="EV154" s="48">
        <f t="shared" si="1825"/>
        <v>0</v>
      </c>
      <c r="EW154" s="51">
        <f t="shared" si="1826"/>
        <v>0</v>
      </c>
      <c r="EX154" s="48">
        <f>+ER154*GO154</f>
        <v>0</v>
      </c>
      <c r="EY154" s="51">
        <f t="shared" si="1827"/>
        <v>0</v>
      </c>
      <c r="EZ154" s="52">
        <f>+ER154*GP154</f>
        <v>0</v>
      </c>
      <c r="FA154" s="51">
        <f t="shared" si="1828"/>
        <v>0</v>
      </c>
      <c r="FB154" s="48">
        <f>+ER154*GQ154</f>
        <v>0</v>
      </c>
      <c r="FC154" s="51">
        <f t="shared" si="1829"/>
        <v>0</v>
      </c>
      <c r="FD154" s="52">
        <f>+ER154*GR154</f>
        <v>0</v>
      </c>
      <c r="FE154" s="51">
        <f t="shared" si="1830"/>
        <v>0</v>
      </c>
      <c r="FF154" s="53">
        <f>+ER154*GS154</f>
        <v>0</v>
      </c>
      <c r="FG154" s="51">
        <f t="shared" si="1831"/>
        <v>0</v>
      </c>
      <c r="FH154" s="52">
        <f>+ER154*GT154</f>
        <v>0</v>
      </c>
      <c r="FI154" s="51">
        <f t="shared" si="1832"/>
        <v>0</v>
      </c>
      <c r="FJ154" s="48">
        <f>+ER154*GU154</f>
        <v>0</v>
      </c>
      <c r="FK154" s="51">
        <f t="shared" si="1833"/>
        <v>0</v>
      </c>
      <c r="FL154" s="53">
        <f>+ER154*GV154</f>
        <v>0</v>
      </c>
      <c r="FM154" s="51">
        <f t="shared" si="1834"/>
        <v>0</v>
      </c>
      <c r="FN154" s="53">
        <f>+ER154*GW154</f>
        <v>0</v>
      </c>
      <c r="FO154" s="51">
        <f t="shared" si="1835"/>
        <v>0</v>
      </c>
      <c r="FP154" s="53">
        <f>+ER154*GX154</f>
        <v>0</v>
      </c>
      <c r="FQ154" s="51">
        <f t="shared" si="1836"/>
        <v>0</v>
      </c>
      <c r="FR154" s="48">
        <f>+ER154*GY154</f>
        <v>0</v>
      </c>
      <c r="FS154" s="51">
        <f t="shared" si="1837"/>
        <v>0</v>
      </c>
      <c r="FT154" s="53">
        <f>+ER154*GZ154</f>
        <v>0</v>
      </c>
      <c r="FU154" s="51">
        <f t="shared" si="1838"/>
        <v>0</v>
      </c>
      <c r="FV154" s="53">
        <f>+ER154*HA154</f>
        <v>0</v>
      </c>
      <c r="FW154" s="51">
        <f t="shared" si="1839"/>
        <v>0</v>
      </c>
      <c r="FX154" s="53">
        <f>+ER154*HB154</f>
        <v>0</v>
      </c>
      <c r="FY154" s="51">
        <f t="shared" si="1840"/>
        <v>0</v>
      </c>
      <c r="FZ154" s="53">
        <f>+ER154*HC154</f>
        <v>0</v>
      </c>
      <c r="GA154" s="51">
        <f t="shared" si="1841"/>
        <v>0</v>
      </c>
      <c r="GB154" s="48">
        <f>+ER154*HD154</f>
        <v>0</v>
      </c>
      <c r="GC154" s="51">
        <f t="shared" si="1842"/>
        <v>0</v>
      </c>
      <c r="GD154" s="53">
        <f>+ER154*HE154</f>
        <v>0</v>
      </c>
      <c r="GE154" s="51">
        <f t="shared" si="1843"/>
        <v>0</v>
      </c>
      <c r="GF154" s="53">
        <f>+ER154*HF154</f>
        <v>0</v>
      </c>
      <c r="GG154" s="51">
        <f t="shared" si="1844"/>
        <v>0</v>
      </c>
      <c r="GH154" s="48">
        <f>+ER154*HG154</f>
        <v>0</v>
      </c>
      <c r="GI154" s="51">
        <f t="shared" si="1845"/>
        <v>0</v>
      </c>
      <c r="GJ154" s="48"/>
      <c r="GK154" s="48"/>
      <c r="GL154" s="48">
        <v>1</v>
      </c>
      <c r="GM154" s="48">
        <v>0.97</v>
      </c>
      <c r="GN154" s="48">
        <v>0.95</v>
      </c>
      <c r="GO154" s="48">
        <v>0.93</v>
      </c>
      <c r="GP154" s="48">
        <f t="shared" ref="GP154:HG154" si="1861">+GO154-0.02</f>
        <v>0.91</v>
      </c>
      <c r="GQ154" s="48">
        <f t="shared" si="1861"/>
        <v>0.89</v>
      </c>
      <c r="GR154" s="48">
        <f t="shared" si="1861"/>
        <v>0.87</v>
      </c>
      <c r="GS154" s="48">
        <f t="shared" si="1861"/>
        <v>0.85</v>
      </c>
      <c r="GT154" s="48">
        <f t="shared" si="1861"/>
        <v>0.83</v>
      </c>
      <c r="GU154" s="48">
        <f t="shared" si="1861"/>
        <v>0.80999999999999994</v>
      </c>
      <c r="GV154" s="48">
        <f t="shared" si="1861"/>
        <v>0.78999999999999992</v>
      </c>
      <c r="GW154" s="48">
        <f t="shared" si="1861"/>
        <v>0.76999999999999991</v>
      </c>
      <c r="GX154" s="48">
        <f t="shared" si="1861"/>
        <v>0.74999999999999989</v>
      </c>
      <c r="GY154" s="48">
        <f t="shared" si="1861"/>
        <v>0.72999999999999987</v>
      </c>
      <c r="GZ154" s="48">
        <f t="shared" si="1861"/>
        <v>0.70999999999999985</v>
      </c>
      <c r="HA154" s="48">
        <f t="shared" si="1861"/>
        <v>0.68999999999999984</v>
      </c>
      <c r="HB154" s="48">
        <f t="shared" si="1861"/>
        <v>0.66999999999999982</v>
      </c>
      <c r="HC154" s="48">
        <f t="shared" si="1861"/>
        <v>0.6499999999999998</v>
      </c>
      <c r="HD154" s="48">
        <f t="shared" si="1861"/>
        <v>0.62999999999999978</v>
      </c>
      <c r="HE154" s="48">
        <f t="shared" si="1861"/>
        <v>0.60999999999999976</v>
      </c>
      <c r="HF154" s="48">
        <f t="shared" si="1861"/>
        <v>0.58999999999999975</v>
      </c>
      <c r="HG154" s="48">
        <f t="shared" si="1861"/>
        <v>0.56999999999999973</v>
      </c>
    </row>
    <row r="155" spans="1:215" x14ac:dyDescent="0.3">
      <c r="A155" s="2">
        <v>5</v>
      </c>
      <c r="C155" s="27" t="s">
        <v>158</v>
      </c>
      <c r="D155" s="40">
        <f>SUM(D151:D154)</f>
        <v>22620</v>
      </c>
      <c r="E155" s="40">
        <f>SUM(E150:E154)</f>
        <v>74760</v>
      </c>
      <c r="G155" s="48">
        <f t="shared" si="1758"/>
        <v>24882.000000000004</v>
      </c>
      <c r="H155" s="48">
        <f t="shared" si="1759"/>
        <v>24882.000000000004</v>
      </c>
      <c r="I155" s="51">
        <f t="shared" si="1760"/>
        <v>82254.915600000008</v>
      </c>
      <c r="J155" s="48">
        <f t="shared" si="1773"/>
        <v>24135.540000000005</v>
      </c>
      <c r="K155" s="51">
        <f t="shared" si="1774"/>
        <v>79787.268132000012</v>
      </c>
      <c r="L155" s="48">
        <f t="shared" si="1775"/>
        <v>23637.9</v>
      </c>
      <c r="M155" s="51">
        <f t="shared" si="1776"/>
        <v>78142.16982000001</v>
      </c>
      <c r="N155" s="48">
        <f>+H155*BE155</f>
        <v>23140.260000000006</v>
      </c>
      <c r="O155" s="51">
        <f t="shared" si="1777"/>
        <v>76497.071508000023</v>
      </c>
      <c r="P155" s="52">
        <f>+H155*BF155</f>
        <v>22642.620000000003</v>
      </c>
      <c r="Q155" s="51">
        <f t="shared" si="1778"/>
        <v>74851.973196000006</v>
      </c>
      <c r="R155" s="48">
        <f>+H155*BG155</f>
        <v>22144.980000000003</v>
      </c>
      <c r="S155" s="51">
        <f t="shared" si="1779"/>
        <v>73206.874884000019</v>
      </c>
      <c r="T155" s="52">
        <f>+H155*BH155</f>
        <v>21647.340000000004</v>
      </c>
      <c r="U155" s="51">
        <f t="shared" si="1780"/>
        <v>71561.776572000017</v>
      </c>
      <c r="V155" s="53">
        <f>+H155*BI155</f>
        <v>21149.7</v>
      </c>
      <c r="W155" s="51">
        <f t="shared" si="1781"/>
        <v>69916.678260000001</v>
      </c>
      <c r="X155" s="52">
        <f>+H155*BJ155</f>
        <v>20652.060000000001</v>
      </c>
      <c r="Y155" s="51">
        <f t="shared" si="1782"/>
        <v>68271.579947999999</v>
      </c>
      <c r="Z155" s="48">
        <f>+H155*BK155</f>
        <v>20154.420000000002</v>
      </c>
      <c r="AA155" s="51">
        <f t="shared" si="1783"/>
        <v>66626.481636000011</v>
      </c>
      <c r="AB155" s="53">
        <f>+H155*BL155</f>
        <v>19656.780000000002</v>
      </c>
      <c r="AC155" s="51">
        <f t="shared" si="1784"/>
        <v>64981.383324000009</v>
      </c>
      <c r="AD155" s="53">
        <f>+H155*BM155</f>
        <v>19159.14</v>
      </c>
      <c r="AE155" s="51">
        <f t="shared" si="1785"/>
        <v>63336.285012</v>
      </c>
      <c r="AF155" s="53">
        <f>+H155*BN155</f>
        <v>18661.5</v>
      </c>
      <c r="AG155" s="51">
        <f t="shared" si="1786"/>
        <v>61691.186699999998</v>
      </c>
      <c r="AH155" s="48">
        <f>+H155*BO155</f>
        <v>18163.86</v>
      </c>
      <c r="AI155" s="51">
        <f t="shared" si="1787"/>
        <v>60046.088388000004</v>
      </c>
      <c r="AJ155" s="53">
        <f>+H155*BP155</f>
        <v>17666.219999999998</v>
      </c>
      <c r="AK155" s="51">
        <f t="shared" si="1788"/>
        <v>58400.990075999995</v>
      </c>
      <c r="AL155" s="53">
        <f>+H155*BQ155</f>
        <v>17168.579999999998</v>
      </c>
      <c r="AM155" s="51">
        <f t="shared" si="1789"/>
        <v>56755.891763999993</v>
      </c>
      <c r="AN155" s="53">
        <f>+H155*BR155</f>
        <v>16670.939999999999</v>
      </c>
      <c r="AO155" s="51">
        <f t="shared" si="1790"/>
        <v>55110.793451999998</v>
      </c>
      <c r="AP155" s="53">
        <f>+H155*BS155</f>
        <v>16173.299999999997</v>
      </c>
      <c r="AQ155" s="51">
        <f t="shared" si="1791"/>
        <v>53465.695139999996</v>
      </c>
      <c r="AR155" s="48">
        <f>+H155*BT155</f>
        <v>15675.659999999996</v>
      </c>
      <c r="AS155" s="51">
        <f t="shared" si="1792"/>
        <v>51820.596827999987</v>
      </c>
      <c r="AT155" s="53">
        <f>+H155*BU155</f>
        <v>15178.019999999997</v>
      </c>
      <c r="AU155" s="51">
        <f t="shared" si="1793"/>
        <v>50175.498515999992</v>
      </c>
      <c r="AV155" s="53">
        <f>+H155*BV155</f>
        <v>14680.379999999996</v>
      </c>
      <c r="AW155" s="51">
        <f t="shared" si="1794"/>
        <v>48530.400203999983</v>
      </c>
      <c r="AX155" s="48">
        <f>+H155*BW155</f>
        <v>14182.739999999996</v>
      </c>
      <c r="AY155" s="51">
        <f t="shared" si="1795"/>
        <v>46885.301891999989</v>
      </c>
      <c r="BB155" s="48">
        <v>1</v>
      </c>
      <c r="BC155" s="48">
        <v>0.97</v>
      </c>
      <c r="BD155" s="48">
        <v>0.95</v>
      </c>
      <c r="BE155" s="48">
        <v>0.93</v>
      </c>
      <c r="BF155" s="48">
        <f t="shared" ref="BF155:BW155" si="1862">+BE155-0.02</f>
        <v>0.91</v>
      </c>
      <c r="BG155" s="48">
        <f t="shared" si="1862"/>
        <v>0.89</v>
      </c>
      <c r="BH155" s="48">
        <f t="shared" si="1862"/>
        <v>0.87</v>
      </c>
      <c r="BI155" s="48">
        <f t="shared" si="1862"/>
        <v>0.85</v>
      </c>
      <c r="BJ155" s="48">
        <f t="shared" si="1862"/>
        <v>0.83</v>
      </c>
      <c r="BK155" s="48">
        <f t="shared" si="1862"/>
        <v>0.80999999999999994</v>
      </c>
      <c r="BL155" s="48">
        <f t="shared" si="1862"/>
        <v>0.78999999999999992</v>
      </c>
      <c r="BM155" s="48">
        <f t="shared" si="1862"/>
        <v>0.76999999999999991</v>
      </c>
      <c r="BN155" s="48">
        <f t="shared" si="1862"/>
        <v>0.74999999999999989</v>
      </c>
      <c r="BO155" s="48">
        <f t="shared" si="1862"/>
        <v>0.72999999999999987</v>
      </c>
      <c r="BP155" s="48">
        <f t="shared" si="1862"/>
        <v>0.70999999999999985</v>
      </c>
      <c r="BQ155" s="48">
        <f t="shared" si="1862"/>
        <v>0.68999999999999984</v>
      </c>
      <c r="BR155" s="48">
        <f t="shared" si="1862"/>
        <v>0.66999999999999982</v>
      </c>
      <c r="BS155" s="48">
        <f t="shared" si="1862"/>
        <v>0.6499999999999998</v>
      </c>
      <c r="BT155" s="48">
        <f t="shared" si="1862"/>
        <v>0.62999999999999978</v>
      </c>
      <c r="BU155" s="48">
        <f t="shared" si="1862"/>
        <v>0.60999999999999976</v>
      </c>
      <c r="BV155" s="48">
        <f t="shared" si="1862"/>
        <v>0.58999999999999975</v>
      </c>
      <c r="BW155" s="48">
        <f t="shared" si="1862"/>
        <v>0.56999999999999973</v>
      </c>
      <c r="BY155" s="48">
        <f t="shared" si="1762"/>
        <v>22642.620000000003</v>
      </c>
      <c r="BZ155" s="48">
        <f t="shared" si="1763"/>
        <v>22642.620000000003</v>
      </c>
      <c r="CA155" s="51">
        <f t="shared" ref="CA155" si="1863">+BZ155*3.3058</f>
        <v>74851.973196000006</v>
      </c>
      <c r="CB155" s="48">
        <f t="shared" si="1798"/>
        <v>21963.341400000001</v>
      </c>
      <c r="CC155" s="51">
        <f t="shared" si="1799"/>
        <v>72606.414000119999</v>
      </c>
      <c r="CD155" s="48">
        <f t="shared" si="1800"/>
        <v>21510.489000000001</v>
      </c>
      <c r="CE155" s="51">
        <f t="shared" si="1801"/>
        <v>71109.374536200005</v>
      </c>
      <c r="CF155" s="48">
        <f>+BZ155*DW155</f>
        <v>21057.636600000005</v>
      </c>
      <c r="CG155" s="51">
        <f t="shared" si="1802"/>
        <v>69612.335072280024</v>
      </c>
      <c r="CH155" s="52">
        <f>+BZ155*DX155</f>
        <v>20604.784200000002</v>
      </c>
      <c r="CI155" s="51">
        <f t="shared" si="1803"/>
        <v>68115.295608360015</v>
      </c>
      <c r="CJ155" s="48">
        <f>+BZ155*DY155</f>
        <v>20151.931800000002</v>
      </c>
      <c r="CK155" s="51">
        <f t="shared" si="1804"/>
        <v>66618.256144440005</v>
      </c>
      <c r="CL155" s="52">
        <f>+BZ155*DZ155</f>
        <v>19699.079400000002</v>
      </c>
      <c r="CM155" s="51">
        <f t="shared" si="1805"/>
        <v>65121.21668052001</v>
      </c>
      <c r="CN155" s="53">
        <f>+BZ155*EA155</f>
        <v>19246.227000000003</v>
      </c>
      <c r="CO155" s="51">
        <f t="shared" si="1806"/>
        <v>63624.177216600008</v>
      </c>
      <c r="CP155" s="52">
        <f>+BZ155*EB155</f>
        <v>18793.374600000003</v>
      </c>
      <c r="CQ155" s="51">
        <f t="shared" si="1807"/>
        <v>62127.137752680013</v>
      </c>
      <c r="CR155" s="48">
        <f>+BZ155*EC155</f>
        <v>18340.522199999999</v>
      </c>
      <c r="CS155" s="51">
        <f t="shared" si="1808"/>
        <v>60630.098288759997</v>
      </c>
      <c r="CT155" s="53">
        <f>+BZ155*ED155</f>
        <v>17887.6698</v>
      </c>
      <c r="CU155" s="51">
        <f t="shared" si="1809"/>
        <v>59133.058824840002</v>
      </c>
      <c r="CV155" s="53">
        <f>+BZ155*EE155</f>
        <v>17434.8174</v>
      </c>
      <c r="CW155" s="51">
        <f t="shared" si="1810"/>
        <v>57636.01936092</v>
      </c>
      <c r="CX155" s="53">
        <f>+BZ155*EF155</f>
        <v>16981.965</v>
      </c>
      <c r="CY155" s="51">
        <f t="shared" si="1811"/>
        <v>56138.979897000005</v>
      </c>
      <c r="CZ155" s="48">
        <f>+BZ155*EG155</f>
        <v>16529.1126</v>
      </c>
      <c r="DA155" s="51">
        <f t="shared" si="1812"/>
        <v>54641.940433080003</v>
      </c>
      <c r="DB155" s="53">
        <f>+BZ155*EH155</f>
        <v>16076.260199999999</v>
      </c>
      <c r="DC155" s="51">
        <f t="shared" si="1813"/>
        <v>53144.90096916</v>
      </c>
      <c r="DD155" s="53">
        <f>+BZ155*EI155</f>
        <v>15623.407799999997</v>
      </c>
      <c r="DE155" s="51">
        <f t="shared" si="1814"/>
        <v>51647.861505239991</v>
      </c>
      <c r="DF155" s="53">
        <f>+BZ155*EJ155</f>
        <v>15170.555399999997</v>
      </c>
      <c r="DG155" s="51">
        <f t="shared" si="1815"/>
        <v>50150.822041319996</v>
      </c>
      <c r="DH155" s="53">
        <f>+BZ155*EK155</f>
        <v>14717.702999999998</v>
      </c>
      <c r="DI155" s="51">
        <f t="shared" si="1816"/>
        <v>48653.782577399994</v>
      </c>
      <c r="DJ155" s="48">
        <f>+BZ155*EL155</f>
        <v>14264.850599999996</v>
      </c>
      <c r="DK155" s="51">
        <f t="shared" si="1817"/>
        <v>47156.743113479992</v>
      </c>
      <c r="DL155" s="53">
        <f>+BZ155*EM155</f>
        <v>13811.998199999996</v>
      </c>
      <c r="DM155" s="51">
        <f t="shared" si="1818"/>
        <v>45659.70364955999</v>
      </c>
      <c r="DN155" s="53">
        <f>+BZ155*EN155</f>
        <v>13359.145799999997</v>
      </c>
      <c r="DO155" s="51">
        <f t="shared" si="1819"/>
        <v>44162.664185639987</v>
      </c>
      <c r="DP155" s="48">
        <f>+BZ155*EO155</f>
        <v>12906.293399999995</v>
      </c>
      <c r="DQ155" s="51">
        <f t="shared" si="1820"/>
        <v>42665.624721719985</v>
      </c>
      <c r="DT155" s="48">
        <v>1</v>
      </c>
      <c r="DU155" s="48">
        <v>0.97</v>
      </c>
      <c r="DV155" s="48">
        <v>0.95</v>
      </c>
      <c r="DW155" s="48">
        <v>0.93</v>
      </c>
      <c r="DX155" s="48">
        <f t="shared" ref="DX155:EO155" si="1864">+DW155-0.02</f>
        <v>0.91</v>
      </c>
      <c r="DY155" s="48">
        <f t="shared" si="1864"/>
        <v>0.89</v>
      </c>
      <c r="DZ155" s="48">
        <f t="shared" si="1864"/>
        <v>0.87</v>
      </c>
      <c r="EA155" s="48">
        <f t="shared" si="1864"/>
        <v>0.85</v>
      </c>
      <c r="EB155" s="48">
        <f t="shared" si="1864"/>
        <v>0.83</v>
      </c>
      <c r="EC155" s="48">
        <f t="shared" si="1864"/>
        <v>0.80999999999999994</v>
      </c>
      <c r="ED155" s="48">
        <f t="shared" si="1864"/>
        <v>0.78999999999999992</v>
      </c>
      <c r="EE155" s="48">
        <f t="shared" si="1864"/>
        <v>0.76999999999999991</v>
      </c>
      <c r="EF155" s="48">
        <f t="shared" si="1864"/>
        <v>0.74999999999999989</v>
      </c>
      <c r="EG155" s="48">
        <f t="shared" si="1864"/>
        <v>0.72999999999999987</v>
      </c>
      <c r="EH155" s="48">
        <f t="shared" si="1864"/>
        <v>0.70999999999999985</v>
      </c>
      <c r="EI155" s="48">
        <f t="shared" si="1864"/>
        <v>0.68999999999999984</v>
      </c>
      <c r="EJ155" s="48">
        <f t="shared" si="1864"/>
        <v>0.66999999999999982</v>
      </c>
      <c r="EK155" s="48">
        <f t="shared" si="1864"/>
        <v>0.6499999999999998</v>
      </c>
      <c r="EL155" s="48">
        <f t="shared" si="1864"/>
        <v>0.62999999999999978</v>
      </c>
      <c r="EM155" s="48">
        <f t="shared" si="1864"/>
        <v>0.60999999999999976</v>
      </c>
      <c r="EN155" s="48">
        <f t="shared" si="1864"/>
        <v>0.58999999999999975</v>
      </c>
      <c r="EO155" s="48">
        <f t="shared" si="1864"/>
        <v>0.56999999999999973</v>
      </c>
      <c r="EQ155" s="48">
        <f t="shared" si="1128"/>
        <v>20604.784200000002</v>
      </c>
      <c r="ER155" s="48">
        <f t="shared" si="1766"/>
        <v>20604.784200000002</v>
      </c>
      <c r="ES155" s="51">
        <f t="shared" ref="ES155" si="1865">+ER155*3.3058</f>
        <v>68115.295608360015</v>
      </c>
      <c r="ET155" s="48">
        <f t="shared" si="1823"/>
        <v>19986.640674000002</v>
      </c>
      <c r="EU155" s="51">
        <f t="shared" si="1824"/>
        <v>66071.836740109211</v>
      </c>
      <c r="EV155" s="48">
        <f t="shared" si="1825"/>
        <v>19574.544990000002</v>
      </c>
      <c r="EW155" s="51">
        <f t="shared" si="1826"/>
        <v>64709.530827942006</v>
      </c>
      <c r="EX155" s="48">
        <f>+ER155*GO155</f>
        <v>19162.449306000002</v>
      </c>
      <c r="EY155" s="51">
        <f t="shared" si="1827"/>
        <v>63347.224915774808</v>
      </c>
      <c r="EZ155" s="52">
        <f>+ER155*GP155</f>
        <v>18750.353622000002</v>
      </c>
      <c r="FA155" s="51">
        <f t="shared" si="1828"/>
        <v>61984.919003607611</v>
      </c>
      <c r="FB155" s="48">
        <f>+ER155*GQ155</f>
        <v>18338.257938000002</v>
      </c>
      <c r="FC155" s="51">
        <f t="shared" si="1829"/>
        <v>60622.613091440413</v>
      </c>
      <c r="FD155" s="52">
        <f>+ER155*GR155</f>
        <v>17926.162254000003</v>
      </c>
      <c r="FE155" s="51">
        <f t="shared" si="1830"/>
        <v>59260.307179273208</v>
      </c>
      <c r="FF155" s="53">
        <f>+ER155*GS155</f>
        <v>17514.066570000003</v>
      </c>
      <c r="FG155" s="51">
        <f t="shared" si="1831"/>
        <v>57898.00126710601</v>
      </c>
      <c r="FH155" s="52">
        <f>+ER155*GT155</f>
        <v>17101.970885999999</v>
      </c>
      <c r="FI155" s="51">
        <f t="shared" si="1832"/>
        <v>56535.695354938798</v>
      </c>
      <c r="FJ155" s="48">
        <f>+ER155*GU155</f>
        <v>16689.875201999999</v>
      </c>
      <c r="FK155" s="51">
        <f t="shared" si="1833"/>
        <v>55173.3894427716</v>
      </c>
      <c r="FL155" s="53">
        <f>+ER155*GV155</f>
        <v>16277.779517999999</v>
      </c>
      <c r="FM155" s="51">
        <f t="shared" si="1834"/>
        <v>53811.083530604395</v>
      </c>
      <c r="FN155" s="53">
        <f>+ER155*GW155</f>
        <v>15865.683833999999</v>
      </c>
      <c r="FO155" s="51">
        <f t="shared" si="1835"/>
        <v>52448.777618437198</v>
      </c>
      <c r="FP155" s="53">
        <f>+ER155*GX155</f>
        <v>15453.58815</v>
      </c>
      <c r="FQ155" s="51">
        <f t="shared" si="1836"/>
        <v>51086.47170627</v>
      </c>
      <c r="FR155" s="48">
        <f>+ER155*GY155</f>
        <v>15041.492465999998</v>
      </c>
      <c r="FS155" s="51">
        <f t="shared" si="1837"/>
        <v>49724.165794102795</v>
      </c>
      <c r="FT155" s="53">
        <f>+ER155*GZ155</f>
        <v>14629.396781999998</v>
      </c>
      <c r="FU155" s="51">
        <f t="shared" si="1838"/>
        <v>48361.859881935598</v>
      </c>
      <c r="FV155" s="53">
        <f>+ER155*HA155</f>
        <v>14217.301097999998</v>
      </c>
      <c r="FW155" s="51">
        <f t="shared" si="1839"/>
        <v>46999.553969768393</v>
      </c>
      <c r="FX155" s="53">
        <f>+ER155*HB155</f>
        <v>13805.205413999998</v>
      </c>
      <c r="FY155" s="51">
        <f t="shared" si="1840"/>
        <v>45637.248057601195</v>
      </c>
      <c r="FZ155" s="53">
        <f>+ER155*HC155</f>
        <v>13393.109729999996</v>
      </c>
      <c r="GA155" s="51">
        <f t="shared" si="1841"/>
        <v>44274.94214543399</v>
      </c>
      <c r="GB155" s="48">
        <f>+ER155*HD155</f>
        <v>12981.014045999997</v>
      </c>
      <c r="GC155" s="51">
        <f t="shared" si="1842"/>
        <v>42912.636233266792</v>
      </c>
      <c r="GD155" s="53">
        <f>+ER155*HE155</f>
        <v>12568.918361999997</v>
      </c>
      <c r="GE155" s="51">
        <f t="shared" si="1843"/>
        <v>41550.330321099587</v>
      </c>
      <c r="GF155" s="53">
        <f>+ER155*HF155</f>
        <v>12156.822677999995</v>
      </c>
      <c r="GG155" s="51">
        <f t="shared" si="1844"/>
        <v>40188.024408932382</v>
      </c>
      <c r="GH155" s="48">
        <f>+ER155*HG155</f>
        <v>11744.726993999995</v>
      </c>
      <c r="GI155" s="51">
        <f t="shared" si="1845"/>
        <v>38825.718496765185</v>
      </c>
      <c r="GJ155" s="48"/>
      <c r="GK155" s="48"/>
      <c r="GL155" s="48">
        <v>1</v>
      </c>
      <c r="GM155" s="48">
        <v>0.97</v>
      </c>
      <c r="GN155" s="48">
        <v>0.95</v>
      </c>
      <c r="GO155" s="48">
        <v>0.93</v>
      </c>
      <c r="GP155" s="48">
        <f t="shared" ref="GP155:HG155" si="1866">+GO155-0.02</f>
        <v>0.91</v>
      </c>
      <c r="GQ155" s="48">
        <f t="shared" si="1866"/>
        <v>0.89</v>
      </c>
      <c r="GR155" s="48">
        <f t="shared" si="1866"/>
        <v>0.87</v>
      </c>
      <c r="GS155" s="48">
        <f t="shared" si="1866"/>
        <v>0.85</v>
      </c>
      <c r="GT155" s="48">
        <f t="shared" si="1866"/>
        <v>0.83</v>
      </c>
      <c r="GU155" s="48">
        <f t="shared" si="1866"/>
        <v>0.80999999999999994</v>
      </c>
      <c r="GV155" s="48">
        <f t="shared" si="1866"/>
        <v>0.78999999999999992</v>
      </c>
      <c r="GW155" s="48">
        <f t="shared" si="1866"/>
        <v>0.76999999999999991</v>
      </c>
      <c r="GX155" s="48">
        <f t="shared" si="1866"/>
        <v>0.74999999999999989</v>
      </c>
      <c r="GY155" s="48">
        <f t="shared" si="1866"/>
        <v>0.72999999999999987</v>
      </c>
      <c r="GZ155" s="48">
        <f t="shared" si="1866"/>
        <v>0.70999999999999985</v>
      </c>
      <c r="HA155" s="48">
        <f t="shared" si="1866"/>
        <v>0.68999999999999984</v>
      </c>
      <c r="HB155" s="48">
        <f t="shared" si="1866"/>
        <v>0.66999999999999982</v>
      </c>
      <c r="HC155" s="48">
        <f t="shared" si="1866"/>
        <v>0.6499999999999998</v>
      </c>
      <c r="HD155" s="48">
        <f t="shared" si="1866"/>
        <v>0.62999999999999978</v>
      </c>
      <c r="HE155" s="48">
        <f t="shared" si="1866"/>
        <v>0.60999999999999976</v>
      </c>
      <c r="HF155" s="48">
        <f t="shared" si="1866"/>
        <v>0.58999999999999975</v>
      </c>
      <c r="HG155" s="48">
        <f t="shared" si="1866"/>
        <v>0.56999999999999973</v>
      </c>
    </row>
    <row r="156" spans="1:215" x14ac:dyDescent="0.3">
      <c r="K156" s="49"/>
      <c r="M156" s="49"/>
      <c r="O156" s="49"/>
      <c r="Q156" s="49"/>
      <c r="S156" s="49"/>
      <c r="U156" s="49"/>
      <c r="V156" s="53"/>
      <c r="W156" s="49"/>
      <c r="Y156" s="49"/>
      <c r="AA156" s="49"/>
      <c r="AB156" s="53"/>
      <c r="AC156" s="49"/>
      <c r="AD156" s="53"/>
      <c r="AE156" s="49"/>
      <c r="AF156" s="53"/>
      <c r="AG156" s="49"/>
      <c r="AI156" s="49"/>
      <c r="AJ156" s="53"/>
      <c r="AK156" s="49"/>
      <c r="AL156" s="53"/>
      <c r="AM156" s="49"/>
      <c r="AN156" s="53"/>
      <c r="AO156" s="49"/>
      <c r="AP156" s="53"/>
      <c r="AQ156" s="49"/>
      <c r="AS156" s="49"/>
      <c r="AT156" s="53"/>
      <c r="AU156" s="49"/>
      <c r="AV156" s="53"/>
      <c r="AW156" s="49"/>
      <c r="AY156" s="49"/>
      <c r="CA156" s="49"/>
      <c r="CC156" s="49"/>
      <c r="CE156" s="49"/>
      <c r="CG156" s="49"/>
      <c r="CH156" s="52"/>
      <c r="CI156" s="49"/>
      <c r="CK156" s="49"/>
      <c r="CL156" s="52"/>
      <c r="CM156" s="49"/>
      <c r="CN156" s="53"/>
      <c r="CO156" s="49"/>
      <c r="CP156" s="52"/>
      <c r="CQ156" s="49"/>
      <c r="CS156" s="49"/>
      <c r="CT156" s="53"/>
      <c r="CU156" s="49"/>
      <c r="CV156" s="53"/>
      <c r="CW156" s="49"/>
      <c r="CX156" s="53"/>
      <c r="CY156" s="49"/>
      <c r="DA156" s="49"/>
      <c r="DB156" s="53"/>
      <c r="DC156" s="49"/>
      <c r="DD156" s="53"/>
      <c r="DE156" s="49"/>
      <c r="DF156" s="53"/>
      <c r="DG156" s="49"/>
      <c r="DH156" s="53"/>
      <c r="DI156" s="49"/>
      <c r="DK156" s="49"/>
      <c r="DL156" s="53"/>
      <c r="DM156" s="49"/>
      <c r="DN156" s="53"/>
      <c r="DO156" s="49"/>
      <c r="DQ156" s="49"/>
      <c r="EQ156" s="48"/>
      <c r="ER156" s="48"/>
      <c r="ES156" s="49"/>
      <c r="ET156" s="48"/>
      <c r="EU156" s="49"/>
      <c r="EV156" s="48"/>
      <c r="EW156" s="49"/>
      <c r="EX156" s="48"/>
      <c r="EY156" s="49"/>
      <c r="EZ156" s="52"/>
      <c r="FA156" s="49"/>
      <c r="FB156" s="48"/>
      <c r="FC156" s="49"/>
      <c r="FD156" s="52"/>
      <c r="FE156" s="49"/>
      <c r="FF156" s="53"/>
      <c r="FG156" s="49"/>
      <c r="FH156" s="52"/>
      <c r="FI156" s="49"/>
      <c r="FJ156" s="48"/>
      <c r="FK156" s="49"/>
      <c r="FL156" s="53"/>
      <c r="FM156" s="49"/>
      <c r="FN156" s="53"/>
      <c r="FO156" s="49"/>
      <c r="FP156" s="53"/>
      <c r="FQ156" s="49"/>
      <c r="FR156" s="48"/>
      <c r="FS156" s="49"/>
      <c r="FT156" s="53"/>
      <c r="FU156" s="49"/>
      <c r="FV156" s="53"/>
      <c r="FW156" s="49"/>
      <c r="FX156" s="53"/>
      <c r="FY156" s="49"/>
      <c r="FZ156" s="53"/>
      <c r="GA156" s="49"/>
      <c r="GB156" s="48"/>
      <c r="GC156" s="49"/>
      <c r="GD156" s="53"/>
      <c r="GE156" s="49"/>
      <c r="GF156" s="53"/>
      <c r="GG156" s="49"/>
      <c r="GH156" s="48"/>
      <c r="GI156" s="49"/>
      <c r="GJ156" s="48"/>
      <c r="GK156" s="48"/>
      <c r="GL156" s="48"/>
      <c r="GM156" s="48"/>
      <c r="GN156" s="48"/>
      <c r="GO156" s="48"/>
      <c r="GP156" s="48"/>
      <c r="GQ156" s="48"/>
      <c r="GR156" s="48"/>
      <c r="GS156" s="48"/>
      <c r="GT156" s="48"/>
      <c r="GU156" s="48"/>
      <c r="GV156" s="48"/>
      <c r="GW156" s="48"/>
      <c r="GX156" s="48"/>
      <c r="GY156" s="48"/>
      <c r="GZ156" s="48"/>
      <c r="HA156" s="48"/>
      <c r="HB156" s="48"/>
      <c r="HC156" s="48"/>
      <c r="HD156" s="48"/>
      <c r="HE156" s="48"/>
      <c r="HF156" s="48"/>
      <c r="HG156" s="48"/>
    </row>
    <row r="157" spans="1:215" x14ac:dyDescent="0.3">
      <c r="K157" s="49"/>
      <c r="M157" s="49"/>
      <c r="O157" s="49"/>
      <c r="Q157" s="49"/>
      <c r="S157" s="49"/>
      <c r="U157" s="49"/>
      <c r="V157" s="53"/>
      <c r="W157" s="49"/>
      <c r="Y157" s="49"/>
      <c r="AA157" s="49"/>
      <c r="AB157" s="53"/>
      <c r="AC157" s="49"/>
      <c r="AD157" s="53"/>
      <c r="AE157" s="49"/>
      <c r="AF157" s="53"/>
      <c r="AG157" s="49"/>
      <c r="AI157" s="49"/>
      <c r="AJ157" s="53"/>
      <c r="AK157" s="49"/>
      <c r="AL157" s="53"/>
      <c r="AM157" s="49"/>
      <c r="AN157" s="53"/>
      <c r="AO157" s="49"/>
      <c r="AP157" s="53"/>
      <c r="AQ157" s="49"/>
      <c r="AS157" s="49"/>
      <c r="AT157" s="53"/>
      <c r="AU157" s="49"/>
      <c r="AV157" s="53"/>
      <c r="AW157" s="49"/>
      <c r="AY157" s="49"/>
      <c r="CA157" s="49"/>
      <c r="CC157" s="49"/>
      <c r="CE157" s="49"/>
      <c r="CG157" s="49"/>
      <c r="CH157" s="52"/>
      <c r="CI157" s="49"/>
      <c r="CK157" s="49"/>
      <c r="CL157" s="52"/>
      <c r="CM157" s="49"/>
      <c r="CN157" s="53"/>
      <c r="CO157" s="49"/>
      <c r="CP157" s="52"/>
      <c r="CQ157" s="49"/>
      <c r="CS157" s="49"/>
      <c r="CT157" s="53"/>
      <c r="CU157" s="49"/>
      <c r="CV157" s="53"/>
      <c r="CW157" s="49"/>
      <c r="CX157" s="53"/>
      <c r="CY157" s="49"/>
      <c r="DA157" s="49"/>
      <c r="DB157" s="53"/>
      <c r="DC157" s="49"/>
      <c r="DD157" s="53"/>
      <c r="DE157" s="49"/>
      <c r="DF157" s="53"/>
      <c r="DG157" s="49"/>
      <c r="DH157" s="53"/>
      <c r="DI157" s="49"/>
      <c r="DK157" s="49"/>
      <c r="DL157" s="53"/>
      <c r="DM157" s="49"/>
      <c r="DN157" s="53"/>
      <c r="DO157" s="49"/>
      <c r="DQ157" s="49"/>
      <c r="EQ157" s="48"/>
      <c r="ER157" s="48"/>
      <c r="ES157" s="49"/>
      <c r="ET157" s="48"/>
      <c r="EU157" s="49"/>
      <c r="EV157" s="48"/>
      <c r="EW157" s="49"/>
      <c r="EX157" s="48"/>
      <c r="EY157" s="49"/>
      <c r="EZ157" s="52"/>
      <c r="FA157" s="49"/>
      <c r="FB157" s="48"/>
      <c r="FC157" s="49"/>
      <c r="FD157" s="52"/>
      <c r="FE157" s="49"/>
      <c r="FF157" s="53"/>
      <c r="FG157" s="49"/>
      <c r="FH157" s="52"/>
      <c r="FI157" s="49"/>
      <c r="FJ157" s="48"/>
      <c r="FK157" s="49"/>
      <c r="FL157" s="53"/>
      <c r="FM157" s="49"/>
      <c r="FN157" s="53"/>
      <c r="FO157" s="49"/>
      <c r="FP157" s="53"/>
      <c r="FQ157" s="49"/>
      <c r="FR157" s="48"/>
      <c r="FS157" s="49"/>
      <c r="FT157" s="53"/>
      <c r="FU157" s="49"/>
      <c r="FV157" s="53"/>
      <c r="FW157" s="49"/>
      <c r="FX157" s="53"/>
      <c r="FY157" s="49"/>
      <c r="FZ157" s="53"/>
      <c r="GA157" s="49"/>
      <c r="GB157" s="48"/>
      <c r="GC157" s="49"/>
      <c r="GD157" s="53"/>
      <c r="GE157" s="49"/>
      <c r="GF157" s="53"/>
      <c r="GG157" s="49"/>
      <c r="GH157" s="48"/>
      <c r="GI157" s="49"/>
      <c r="GJ157" s="48"/>
      <c r="GK157" s="48"/>
      <c r="GL157" s="48"/>
      <c r="GM157" s="48"/>
      <c r="GN157" s="48"/>
      <c r="GO157" s="48"/>
      <c r="GP157" s="48"/>
      <c r="GQ157" s="48"/>
      <c r="GR157" s="48"/>
      <c r="GS157" s="48"/>
      <c r="GT157" s="48"/>
      <c r="GU157" s="48"/>
      <c r="GV157" s="48"/>
      <c r="GW157" s="48"/>
      <c r="GX157" s="48"/>
      <c r="GY157" s="48"/>
      <c r="GZ157" s="48"/>
      <c r="HA157" s="48"/>
      <c r="HB157" s="48"/>
      <c r="HC157" s="48"/>
      <c r="HD157" s="48"/>
      <c r="HE157" s="48"/>
      <c r="HF157" s="48"/>
      <c r="HG157" s="48"/>
    </row>
    <row r="158" spans="1:215" x14ac:dyDescent="0.3">
      <c r="K158" s="49"/>
      <c r="M158" s="49"/>
      <c r="O158" s="49"/>
      <c r="Q158" s="49"/>
      <c r="S158" s="49"/>
      <c r="U158" s="49"/>
      <c r="V158" s="53"/>
      <c r="W158" s="49"/>
      <c r="Y158" s="49"/>
      <c r="AA158" s="49"/>
      <c r="AB158" s="53"/>
      <c r="AC158" s="49"/>
      <c r="AD158" s="53"/>
      <c r="AE158" s="49"/>
      <c r="AF158" s="53"/>
      <c r="AG158" s="49"/>
      <c r="AI158" s="49"/>
      <c r="AJ158" s="53"/>
      <c r="AK158" s="49"/>
      <c r="AL158" s="53"/>
      <c r="AM158" s="49"/>
      <c r="AN158" s="53"/>
      <c r="AO158" s="49"/>
      <c r="AP158" s="53"/>
      <c r="AQ158" s="49"/>
      <c r="AS158" s="49"/>
      <c r="AT158" s="53"/>
      <c r="AU158" s="49"/>
      <c r="AV158" s="53"/>
      <c r="AW158" s="49"/>
      <c r="AY158" s="49"/>
      <c r="CA158" s="49"/>
      <c r="CC158" s="49"/>
      <c r="CE158" s="49"/>
      <c r="CG158" s="49"/>
      <c r="CH158" s="52"/>
      <c r="CI158" s="49"/>
      <c r="CK158" s="49"/>
      <c r="CL158" s="52"/>
      <c r="CM158" s="49"/>
      <c r="CN158" s="53"/>
      <c r="CO158" s="49"/>
      <c r="CP158" s="52"/>
      <c r="CQ158" s="49"/>
      <c r="CS158" s="49"/>
      <c r="CT158" s="53"/>
      <c r="CU158" s="49"/>
      <c r="CV158" s="53"/>
      <c r="CW158" s="49"/>
      <c r="CX158" s="53"/>
      <c r="CY158" s="49"/>
      <c r="DA158" s="49"/>
      <c r="DB158" s="53"/>
      <c r="DC158" s="49"/>
      <c r="DD158" s="53"/>
      <c r="DE158" s="49"/>
      <c r="DF158" s="53"/>
      <c r="DG158" s="49"/>
      <c r="DH158" s="53"/>
      <c r="DI158" s="49"/>
      <c r="DK158" s="49"/>
      <c r="DL158" s="53"/>
      <c r="DM158" s="49"/>
      <c r="DN158" s="53"/>
      <c r="DO158" s="49"/>
      <c r="DQ158" s="49"/>
      <c r="EQ158" s="48"/>
      <c r="ER158" s="48"/>
      <c r="ES158" s="49"/>
      <c r="ET158" s="48"/>
      <c r="EU158" s="49"/>
      <c r="EV158" s="48"/>
      <c r="EW158" s="49"/>
      <c r="EX158" s="48"/>
      <c r="EY158" s="49"/>
      <c r="EZ158" s="52"/>
      <c r="FA158" s="49"/>
      <c r="FB158" s="48"/>
      <c r="FC158" s="49"/>
      <c r="FD158" s="52"/>
      <c r="FE158" s="49"/>
      <c r="FF158" s="53"/>
      <c r="FG158" s="49"/>
      <c r="FH158" s="52"/>
      <c r="FI158" s="49"/>
      <c r="FJ158" s="48"/>
      <c r="FK158" s="49"/>
      <c r="FL158" s="53"/>
      <c r="FM158" s="49"/>
      <c r="FN158" s="53"/>
      <c r="FO158" s="49"/>
      <c r="FP158" s="53"/>
      <c r="FQ158" s="49"/>
      <c r="FR158" s="48"/>
      <c r="FS158" s="49"/>
      <c r="FT158" s="53"/>
      <c r="FU158" s="49"/>
      <c r="FV158" s="53"/>
      <c r="FW158" s="49"/>
      <c r="FX158" s="53"/>
      <c r="FY158" s="49"/>
      <c r="FZ158" s="53"/>
      <c r="GA158" s="49"/>
      <c r="GB158" s="48"/>
      <c r="GC158" s="49"/>
      <c r="GD158" s="53"/>
      <c r="GE158" s="49"/>
      <c r="GF158" s="53"/>
      <c r="GG158" s="49"/>
      <c r="GH158" s="48"/>
      <c r="GI158" s="49"/>
      <c r="GJ158" s="48"/>
      <c r="GK158" s="48"/>
      <c r="GL158" s="48"/>
      <c r="GM158" s="48"/>
      <c r="GN158" s="48"/>
      <c r="GO158" s="48"/>
      <c r="GP158" s="48"/>
      <c r="GQ158" s="48"/>
      <c r="GR158" s="48"/>
      <c r="GS158" s="48"/>
      <c r="GT158" s="48"/>
      <c r="GU158" s="48"/>
      <c r="GV158" s="48"/>
      <c r="GW158" s="48"/>
      <c r="GX158" s="48"/>
      <c r="GY158" s="48"/>
      <c r="GZ158" s="48"/>
      <c r="HA158" s="48"/>
      <c r="HB158" s="48"/>
      <c r="HC158" s="48"/>
      <c r="HD158" s="48"/>
      <c r="HE158" s="48"/>
      <c r="HF158" s="48"/>
      <c r="HG158" s="48"/>
    </row>
    <row r="159" spans="1:215" x14ac:dyDescent="0.3">
      <c r="K159" s="49"/>
      <c r="M159" s="49"/>
      <c r="O159" s="49"/>
      <c r="Q159" s="49"/>
      <c r="S159" s="49"/>
      <c r="U159" s="49"/>
      <c r="V159" s="53"/>
      <c r="W159" s="49"/>
      <c r="Y159" s="49"/>
      <c r="AA159" s="49"/>
      <c r="AB159" s="53"/>
      <c r="AC159" s="49"/>
      <c r="AD159" s="53"/>
      <c r="AE159" s="49"/>
      <c r="AF159" s="53"/>
      <c r="AG159" s="49"/>
      <c r="AI159" s="49"/>
      <c r="AJ159" s="53"/>
      <c r="AK159" s="49"/>
      <c r="AL159" s="53"/>
      <c r="AM159" s="49"/>
      <c r="AN159" s="53"/>
      <c r="AO159" s="49"/>
      <c r="AP159" s="53"/>
      <c r="AQ159" s="49"/>
      <c r="AS159" s="49"/>
      <c r="AT159" s="53"/>
      <c r="AU159" s="49"/>
      <c r="AV159" s="53"/>
      <c r="AW159" s="49"/>
      <c r="AY159" s="49"/>
      <c r="CA159" s="49"/>
      <c r="CC159" s="49"/>
      <c r="CE159" s="49"/>
      <c r="CG159" s="49"/>
      <c r="CH159" s="52"/>
      <c r="CI159" s="49"/>
      <c r="CK159" s="49"/>
      <c r="CL159" s="52"/>
      <c r="CM159" s="49"/>
      <c r="CN159" s="53"/>
      <c r="CO159" s="49"/>
      <c r="CP159" s="52"/>
      <c r="CQ159" s="49"/>
      <c r="CS159" s="49"/>
      <c r="CT159" s="53"/>
      <c r="CU159" s="49"/>
      <c r="CV159" s="53"/>
      <c r="CW159" s="49"/>
      <c r="CX159" s="53"/>
      <c r="CY159" s="49"/>
      <c r="DA159" s="49"/>
      <c r="DB159" s="53"/>
      <c r="DC159" s="49"/>
      <c r="DD159" s="53"/>
      <c r="DE159" s="49"/>
      <c r="DF159" s="53"/>
      <c r="DG159" s="49"/>
      <c r="DH159" s="53"/>
      <c r="DI159" s="49"/>
      <c r="DK159" s="49"/>
      <c r="DL159" s="53"/>
      <c r="DM159" s="49"/>
      <c r="DN159" s="53"/>
      <c r="DO159" s="49"/>
      <c r="DQ159" s="49"/>
      <c r="EQ159" s="48"/>
      <c r="ER159" s="48"/>
      <c r="ES159" s="49"/>
      <c r="ET159" s="48"/>
      <c r="EU159" s="49"/>
      <c r="EV159" s="48"/>
      <c r="EW159" s="49"/>
      <c r="EX159" s="48"/>
      <c r="EY159" s="49"/>
      <c r="EZ159" s="52"/>
      <c r="FA159" s="49"/>
      <c r="FB159" s="48"/>
      <c r="FC159" s="49"/>
      <c r="FD159" s="52"/>
      <c r="FE159" s="49"/>
      <c r="FF159" s="53"/>
      <c r="FG159" s="49"/>
      <c r="FH159" s="52"/>
      <c r="FI159" s="49"/>
      <c r="FJ159" s="48"/>
      <c r="FK159" s="49"/>
      <c r="FL159" s="53"/>
      <c r="FM159" s="49"/>
      <c r="FN159" s="53"/>
      <c r="FO159" s="49"/>
      <c r="FP159" s="53"/>
      <c r="FQ159" s="49"/>
      <c r="FR159" s="48"/>
      <c r="FS159" s="49"/>
      <c r="FT159" s="53"/>
      <c r="FU159" s="49"/>
      <c r="FV159" s="53"/>
      <c r="FW159" s="49"/>
      <c r="FX159" s="53"/>
      <c r="FY159" s="49"/>
      <c r="FZ159" s="53"/>
      <c r="GA159" s="49"/>
      <c r="GB159" s="48"/>
      <c r="GC159" s="49"/>
      <c r="GD159" s="53"/>
      <c r="GE159" s="49"/>
      <c r="GF159" s="53"/>
      <c r="GG159" s="49"/>
      <c r="GH159" s="48"/>
      <c r="GI159" s="49"/>
      <c r="GJ159" s="48"/>
      <c r="GK159" s="48"/>
      <c r="GL159" s="48"/>
      <c r="GM159" s="48"/>
      <c r="GN159" s="48"/>
      <c r="GO159" s="48"/>
      <c r="GP159" s="48"/>
      <c r="GQ159" s="48"/>
      <c r="GR159" s="48"/>
      <c r="GS159" s="48"/>
      <c r="GT159" s="48"/>
      <c r="GU159" s="48"/>
      <c r="GV159" s="48"/>
      <c r="GW159" s="48"/>
      <c r="GX159" s="48"/>
      <c r="GY159" s="48"/>
      <c r="GZ159" s="48"/>
      <c r="HA159" s="48"/>
      <c r="HB159" s="48"/>
      <c r="HC159" s="48"/>
      <c r="HD159" s="48"/>
      <c r="HE159" s="48"/>
      <c r="HF159" s="48"/>
      <c r="HG159" s="48"/>
    </row>
    <row r="160" spans="1:215" x14ac:dyDescent="0.3">
      <c r="K160" s="49"/>
      <c r="M160" s="49"/>
      <c r="O160" s="49"/>
      <c r="Q160" s="49"/>
      <c r="S160" s="49"/>
      <c r="U160" s="49"/>
      <c r="V160" s="53"/>
      <c r="W160" s="49"/>
      <c r="Y160" s="49"/>
      <c r="AA160" s="49"/>
      <c r="AB160" s="53"/>
      <c r="AC160" s="49"/>
      <c r="AD160" s="53"/>
      <c r="AE160" s="49"/>
      <c r="AF160" s="53"/>
      <c r="AG160" s="49"/>
      <c r="AI160" s="49"/>
      <c r="AJ160" s="53"/>
      <c r="AK160" s="49"/>
      <c r="AL160" s="53"/>
      <c r="AM160" s="49"/>
      <c r="AN160" s="53"/>
      <c r="AO160" s="49"/>
      <c r="AP160" s="53"/>
      <c r="AQ160" s="49"/>
      <c r="AS160" s="49"/>
      <c r="AT160" s="53"/>
      <c r="AU160" s="49"/>
      <c r="AV160" s="53"/>
      <c r="AW160" s="49"/>
      <c r="AY160" s="49"/>
      <c r="CA160" s="49"/>
      <c r="CC160" s="49"/>
      <c r="CE160" s="49"/>
      <c r="CG160" s="49"/>
      <c r="CH160" s="52"/>
      <c r="CI160" s="49"/>
      <c r="CK160" s="49"/>
      <c r="CL160" s="52"/>
      <c r="CM160" s="49"/>
      <c r="CN160" s="53"/>
      <c r="CO160" s="49"/>
      <c r="CP160" s="52"/>
      <c r="CQ160" s="49"/>
      <c r="CS160" s="49"/>
      <c r="CT160" s="53"/>
      <c r="CU160" s="49"/>
      <c r="CV160" s="53"/>
      <c r="CW160" s="49"/>
      <c r="CX160" s="53"/>
      <c r="CY160" s="49"/>
      <c r="DA160" s="49"/>
      <c r="DB160" s="53"/>
      <c r="DC160" s="49"/>
      <c r="DD160" s="53"/>
      <c r="DE160" s="49"/>
      <c r="DF160" s="53"/>
      <c r="DG160" s="49"/>
      <c r="DH160" s="53"/>
      <c r="DI160" s="49"/>
      <c r="DK160" s="49"/>
      <c r="DL160" s="53"/>
      <c r="DM160" s="49"/>
      <c r="DN160" s="53"/>
      <c r="DO160" s="49"/>
      <c r="DQ160" s="49"/>
      <c r="EQ160" s="48"/>
      <c r="ER160" s="48"/>
      <c r="ES160" s="49"/>
      <c r="ET160" s="48"/>
      <c r="EU160" s="49"/>
      <c r="EV160" s="48"/>
      <c r="EW160" s="49"/>
      <c r="EX160" s="48"/>
      <c r="EY160" s="49"/>
      <c r="EZ160" s="52"/>
      <c r="FA160" s="49"/>
      <c r="FB160" s="48"/>
      <c r="FC160" s="49"/>
      <c r="FD160" s="52"/>
      <c r="FE160" s="49"/>
      <c r="FF160" s="53"/>
      <c r="FG160" s="49"/>
      <c r="FH160" s="52"/>
      <c r="FI160" s="49"/>
      <c r="FJ160" s="48"/>
      <c r="FK160" s="49"/>
      <c r="FL160" s="53"/>
      <c r="FM160" s="49"/>
      <c r="FN160" s="53"/>
      <c r="FO160" s="49"/>
      <c r="FP160" s="53"/>
      <c r="FQ160" s="49"/>
      <c r="FR160" s="48"/>
      <c r="FS160" s="49"/>
      <c r="FT160" s="53"/>
      <c r="FU160" s="49"/>
      <c r="FV160" s="53"/>
      <c r="FW160" s="49"/>
      <c r="FX160" s="53"/>
      <c r="FY160" s="49"/>
      <c r="FZ160" s="53"/>
      <c r="GA160" s="49"/>
      <c r="GB160" s="48"/>
      <c r="GC160" s="49"/>
      <c r="GD160" s="53"/>
      <c r="GE160" s="49"/>
      <c r="GF160" s="53"/>
      <c r="GG160" s="49"/>
      <c r="GH160" s="48"/>
      <c r="GI160" s="49"/>
      <c r="GJ160" s="48"/>
      <c r="GK160" s="48"/>
      <c r="GL160" s="48"/>
      <c r="GM160" s="48"/>
      <c r="GN160" s="48"/>
      <c r="GO160" s="48"/>
      <c r="GP160" s="48"/>
      <c r="GQ160" s="48"/>
      <c r="GR160" s="48"/>
      <c r="GS160" s="48"/>
      <c r="GT160" s="48"/>
      <c r="GU160" s="48"/>
      <c r="GV160" s="48"/>
      <c r="GW160" s="48"/>
      <c r="GX160" s="48"/>
      <c r="GY160" s="48"/>
      <c r="GZ160" s="48"/>
      <c r="HA160" s="48"/>
      <c r="HB160" s="48"/>
      <c r="HC160" s="48"/>
      <c r="HD160" s="48"/>
      <c r="HE160" s="48"/>
      <c r="HF160" s="48"/>
      <c r="HG160" s="48"/>
    </row>
    <row r="161" spans="11:215" x14ac:dyDescent="0.3">
      <c r="K161" s="49"/>
      <c r="M161" s="49"/>
      <c r="O161" s="49"/>
      <c r="Q161" s="49"/>
      <c r="S161" s="49"/>
      <c r="U161" s="49"/>
      <c r="V161" s="53"/>
      <c r="W161" s="49"/>
      <c r="Y161" s="49"/>
      <c r="AA161" s="49"/>
      <c r="AB161" s="53"/>
      <c r="AC161" s="49"/>
      <c r="AD161" s="53"/>
      <c r="AE161" s="49"/>
      <c r="AF161" s="53"/>
      <c r="AG161" s="49"/>
      <c r="AI161" s="49"/>
      <c r="AJ161" s="53"/>
      <c r="AK161" s="49"/>
      <c r="AL161" s="53"/>
      <c r="AM161" s="49"/>
      <c r="AN161" s="53"/>
      <c r="AO161" s="49"/>
      <c r="AP161" s="53"/>
      <c r="AQ161" s="49"/>
      <c r="AS161" s="49"/>
      <c r="AT161" s="53"/>
      <c r="AU161" s="49"/>
      <c r="AV161" s="53"/>
      <c r="AW161" s="49"/>
      <c r="AY161" s="49"/>
      <c r="CA161" s="49"/>
      <c r="CC161" s="49"/>
      <c r="CE161" s="49"/>
      <c r="CG161" s="49"/>
      <c r="CH161" s="52"/>
      <c r="CI161" s="49"/>
      <c r="CK161" s="49"/>
      <c r="CL161" s="52"/>
      <c r="CM161" s="49"/>
      <c r="CN161" s="53"/>
      <c r="CO161" s="49"/>
      <c r="CP161" s="52"/>
      <c r="CQ161" s="49"/>
      <c r="CS161" s="49"/>
      <c r="CT161" s="53"/>
      <c r="CU161" s="49"/>
      <c r="CV161" s="53"/>
      <c r="CW161" s="49"/>
      <c r="CX161" s="53"/>
      <c r="CY161" s="49"/>
      <c r="DA161" s="49"/>
      <c r="DB161" s="53"/>
      <c r="DC161" s="49"/>
      <c r="DD161" s="53"/>
      <c r="DE161" s="49"/>
      <c r="DF161" s="53"/>
      <c r="DG161" s="49"/>
      <c r="DH161" s="53"/>
      <c r="DI161" s="49"/>
      <c r="DK161" s="49"/>
      <c r="DL161" s="53"/>
      <c r="DM161" s="49"/>
      <c r="DN161" s="53"/>
      <c r="DO161" s="49"/>
      <c r="DQ161" s="49"/>
      <c r="EQ161" s="48"/>
      <c r="ER161" s="48"/>
      <c r="ES161" s="49"/>
      <c r="ET161" s="48"/>
      <c r="EU161" s="49"/>
      <c r="EV161" s="48"/>
      <c r="EW161" s="49"/>
      <c r="EX161" s="48"/>
      <c r="EY161" s="49"/>
      <c r="EZ161" s="52"/>
      <c r="FA161" s="49"/>
      <c r="FB161" s="48"/>
      <c r="FC161" s="49"/>
      <c r="FD161" s="52"/>
      <c r="FE161" s="49"/>
      <c r="FF161" s="53"/>
      <c r="FG161" s="49"/>
      <c r="FH161" s="52"/>
      <c r="FI161" s="49"/>
      <c r="FJ161" s="48"/>
      <c r="FK161" s="49"/>
      <c r="FL161" s="53"/>
      <c r="FM161" s="49"/>
      <c r="FN161" s="53"/>
      <c r="FO161" s="49"/>
      <c r="FP161" s="53"/>
      <c r="FQ161" s="49"/>
      <c r="FR161" s="48"/>
      <c r="FS161" s="49"/>
      <c r="FT161" s="53"/>
      <c r="FU161" s="49"/>
      <c r="FV161" s="53"/>
      <c r="FW161" s="49"/>
      <c r="FX161" s="53"/>
      <c r="FY161" s="49"/>
      <c r="FZ161" s="53"/>
      <c r="GA161" s="49"/>
      <c r="GB161" s="48"/>
      <c r="GC161" s="49"/>
      <c r="GD161" s="53"/>
      <c r="GE161" s="49"/>
      <c r="GF161" s="53"/>
      <c r="GG161" s="49"/>
      <c r="GH161" s="48"/>
      <c r="GI161" s="49"/>
      <c r="GJ161" s="48"/>
      <c r="GK161" s="48"/>
      <c r="GL161" s="48"/>
      <c r="GM161" s="48"/>
      <c r="GN161" s="48"/>
      <c r="GO161" s="48"/>
      <c r="GP161" s="48"/>
      <c r="GQ161" s="48"/>
      <c r="GR161" s="48"/>
      <c r="GS161" s="48"/>
      <c r="GT161" s="48"/>
      <c r="GU161" s="48"/>
      <c r="GV161" s="48"/>
      <c r="GW161" s="48"/>
      <c r="GX161" s="48"/>
      <c r="GY161" s="48"/>
      <c r="GZ161" s="48"/>
      <c r="HA161" s="48"/>
      <c r="HB161" s="48"/>
      <c r="HC161" s="48"/>
      <c r="HD161" s="48"/>
      <c r="HE161" s="48"/>
      <c r="HF161" s="48"/>
      <c r="HG161" s="48"/>
    </row>
    <row r="162" spans="11:215" x14ac:dyDescent="0.3">
      <c r="K162" s="49"/>
      <c r="M162" s="49"/>
      <c r="O162" s="49"/>
      <c r="Q162" s="49"/>
      <c r="S162" s="49"/>
      <c r="U162" s="49"/>
      <c r="V162" s="53"/>
      <c r="W162" s="49"/>
      <c r="Y162" s="49"/>
      <c r="AA162" s="49"/>
      <c r="AB162" s="53"/>
      <c r="AC162" s="49"/>
      <c r="AD162" s="53"/>
      <c r="AE162" s="49"/>
      <c r="AF162" s="53"/>
      <c r="AG162" s="49"/>
      <c r="AI162" s="49"/>
      <c r="AJ162" s="53"/>
      <c r="AK162" s="49"/>
      <c r="AL162" s="53"/>
      <c r="AM162" s="49"/>
      <c r="AN162" s="53"/>
      <c r="AO162" s="49"/>
      <c r="AP162" s="53"/>
      <c r="AQ162" s="49"/>
      <c r="AS162" s="49"/>
      <c r="AT162" s="53"/>
      <c r="AU162" s="49"/>
      <c r="AV162" s="53"/>
      <c r="AW162" s="49"/>
      <c r="AY162" s="49"/>
      <c r="CA162" s="49"/>
      <c r="CC162" s="49"/>
      <c r="CE162" s="49"/>
      <c r="CG162" s="49"/>
      <c r="CH162" s="52"/>
      <c r="CI162" s="49"/>
      <c r="CK162" s="49"/>
      <c r="CL162" s="52"/>
      <c r="CM162" s="49"/>
      <c r="CN162" s="53"/>
      <c r="CO162" s="49"/>
      <c r="CP162" s="52"/>
      <c r="CQ162" s="49"/>
      <c r="CS162" s="49"/>
      <c r="CT162" s="53"/>
      <c r="CU162" s="49"/>
      <c r="CV162" s="53"/>
      <c r="CW162" s="49"/>
      <c r="CX162" s="53"/>
      <c r="CY162" s="49"/>
      <c r="DA162" s="49"/>
      <c r="DB162" s="53"/>
      <c r="DC162" s="49"/>
      <c r="DD162" s="53"/>
      <c r="DE162" s="49"/>
      <c r="DF162" s="53"/>
      <c r="DG162" s="49"/>
      <c r="DH162" s="53"/>
      <c r="DI162" s="49"/>
      <c r="DK162" s="49"/>
      <c r="DL162" s="53"/>
      <c r="DM162" s="49"/>
      <c r="DN162" s="53"/>
      <c r="DO162" s="49"/>
      <c r="DQ162" s="49"/>
      <c r="EQ162" s="48"/>
      <c r="ER162" s="48"/>
      <c r="ES162" s="49"/>
      <c r="ET162" s="48"/>
      <c r="EU162" s="49"/>
      <c r="EV162" s="48"/>
      <c r="EW162" s="49"/>
      <c r="EX162" s="48"/>
      <c r="EY162" s="49"/>
      <c r="EZ162" s="52"/>
      <c r="FA162" s="49"/>
      <c r="FB162" s="48"/>
      <c r="FC162" s="49"/>
      <c r="FD162" s="52"/>
      <c r="FE162" s="49"/>
      <c r="FF162" s="53"/>
      <c r="FG162" s="49"/>
      <c r="FH162" s="52"/>
      <c r="FI162" s="49"/>
      <c r="FJ162" s="48"/>
      <c r="FK162" s="49"/>
      <c r="FL162" s="53"/>
      <c r="FM162" s="49"/>
      <c r="FN162" s="53"/>
      <c r="FO162" s="49"/>
      <c r="FP162" s="53"/>
      <c r="FQ162" s="49"/>
      <c r="FR162" s="48"/>
      <c r="FS162" s="49"/>
      <c r="FT162" s="53"/>
      <c r="FU162" s="49"/>
      <c r="FV162" s="53"/>
      <c r="FW162" s="49"/>
      <c r="FX162" s="53"/>
      <c r="FY162" s="49"/>
      <c r="FZ162" s="53"/>
      <c r="GA162" s="49"/>
      <c r="GB162" s="48"/>
      <c r="GC162" s="49"/>
      <c r="GD162" s="53"/>
      <c r="GE162" s="49"/>
      <c r="GF162" s="53"/>
      <c r="GG162" s="49"/>
      <c r="GH162" s="48"/>
      <c r="GI162" s="49"/>
      <c r="GJ162" s="48"/>
      <c r="GK162" s="48"/>
      <c r="GL162" s="48"/>
      <c r="GM162" s="48"/>
      <c r="GN162" s="48"/>
      <c r="GO162" s="48"/>
      <c r="GP162" s="48"/>
      <c r="GQ162" s="48"/>
      <c r="GR162" s="48"/>
      <c r="GS162" s="48"/>
      <c r="GT162" s="48"/>
      <c r="GU162" s="48"/>
      <c r="GV162" s="48"/>
      <c r="GW162" s="48"/>
      <c r="GX162" s="48"/>
      <c r="GY162" s="48"/>
      <c r="GZ162" s="48"/>
      <c r="HA162" s="48"/>
      <c r="HB162" s="48"/>
      <c r="HC162" s="48"/>
      <c r="HD162" s="48"/>
      <c r="HE162" s="48"/>
      <c r="HF162" s="48"/>
      <c r="HG162" s="48"/>
    </row>
    <row r="163" spans="11:215" x14ac:dyDescent="0.3">
      <c r="K163" s="49"/>
      <c r="M163" s="49"/>
      <c r="O163" s="49"/>
      <c r="Q163" s="49"/>
      <c r="S163" s="49"/>
      <c r="U163" s="49"/>
      <c r="V163" s="53"/>
      <c r="W163" s="49"/>
      <c r="Y163" s="49"/>
      <c r="AA163" s="49"/>
      <c r="AB163" s="53"/>
      <c r="AC163" s="49"/>
      <c r="AD163" s="53"/>
      <c r="AE163" s="49"/>
      <c r="AF163" s="53"/>
      <c r="AG163" s="49"/>
      <c r="AI163" s="49"/>
      <c r="AJ163" s="53"/>
      <c r="AK163" s="49"/>
      <c r="AL163" s="53"/>
      <c r="AM163" s="49"/>
      <c r="AN163" s="53"/>
      <c r="AO163" s="49"/>
      <c r="AP163" s="53"/>
      <c r="AQ163" s="49"/>
      <c r="AS163" s="49"/>
      <c r="AT163" s="53"/>
      <c r="AU163" s="49"/>
      <c r="AV163" s="53"/>
      <c r="AW163" s="49"/>
      <c r="AY163" s="49"/>
      <c r="CA163" s="49"/>
      <c r="CC163" s="49"/>
      <c r="CE163" s="49"/>
      <c r="CG163" s="49"/>
      <c r="CH163" s="52"/>
      <c r="CI163" s="49"/>
      <c r="CK163" s="49"/>
      <c r="CL163" s="52"/>
      <c r="CM163" s="49"/>
      <c r="CN163" s="53"/>
      <c r="CO163" s="49"/>
      <c r="CP163" s="52"/>
      <c r="CQ163" s="49"/>
      <c r="CS163" s="49"/>
      <c r="CT163" s="53"/>
      <c r="CU163" s="49"/>
      <c r="CV163" s="53"/>
      <c r="CW163" s="49"/>
      <c r="CX163" s="53"/>
      <c r="CY163" s="49"/>
      <c r="DA163" s="49"/>
      <c r="DB163" s="53"/>
      <c r="DC163" s="49"/>
      <c r="DD163" s="53"/>
      <c r="DE163" s="49"/>
      <c r="DF163" s="53"/>
      <c r="DG163" s="49"/>
      <c r="DH163" s="53"/>
      <c r="DI163" s="49"/>
      <c r="DK163" s="49"/>
      <c r="DL163" s="53"/>
      <c r="DM163" s="49"/>
      <c r="DN163" s="53"/>
      <c r="DO163" s="49"/>
      <c r="DQ163" s="49"/>
      <c r="EQ163" s="48"/>
      <c r="ER163" s="48"/>
      <c r="ES163" s="49"/>
      <c r="ET163" s="48"/>
      <c r="EU163" s="49"/>
      <c r="EV163" s="48"/>
      <c r="EW163" s="49"/>
      <c r="EX163" s="48"/>
      <c r="EY163" s="49"/>
      <c r="EZ163" s="52"/>
      <c r="FA163" s="49"/>
      <c r="FB163" s="48"/>
      <c r="FC163" s="49"/>
      <c r="FD163" s="52"/>
      <c r="FE163" s="49"/>
      <c r="FF163" s="53"/>
      <c r="FG163" s="49"/>
      <c r="FH163" s="52"/>
      <c r="FI163" s="49"/>
      <c r="FJ163" s="48"/>
      <c r="FK163" s="49"/>
      <c r="FL163" s="53"/>
      <c r="FM163" s="49"/>
      <c r="FN163" s="53"/>
      <c r="FO163" s="49"/>
      <c r="FP163" s="53"/>
      <c r="FQ163" s="49"/>
      <c r="FR163" s="48"/>
      <c r="FS163" s="49"/>
      <c r="FT163" s="53"/>
      <c r="FU163" s="49"/>
      <c r="FV163" s="53"/>
      <c r="FW163" s="49"/>
      <c r="FX163" s="53"/>
      <c r="FY163" s="49"/>
      <c r="FZ163" s="53"/>
      <c r="GA163" s="49"/>
      <c r="GB163" s="48"/>
      <c r="GC163" s="49"/>
      <c r="GD163" s="53"/>
      <c r="GE163" s="49"/>
      <c r="GF163" s="53"/>
      <c r="GG163" s="49"/>
      <c r="GH163" s="48"/>
      <c r="GI163" s="49"/>
      <c r="GJ163" s="48"/>
      <c r="GK163" s="48"/>
      <c r="GL163" s="48"/>
      <c r="GM163" s="48"/>
      <c r="GN163" s="48"/>
      <c r="GO163" s="48"/>
      <c r="GP163" s="48"/>
      <c r="GQ163" s="48"/>
      <c r="GR163" s="48"/>
      <c r="GS163" s="48"/>
      <c r="GT163" s="4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</row>
    <row r="164" spans="11:215" x14ac:dyDescent="0.3">
      <c r="K164" s="49"/>
      <c r="M164" s="49"/>
      <c r="O164" s="49"/>
      <c r="Q164" s="49"/>
      <c r="S164" s="49"/>
      <c r="U164" s="49"/>
      <c r="V164" s="53"/>
      <c r="W164" s="49"/>
      <c r="Y164" s="49"/>
      <c r="AA164" s="49"/>
      <c r="AB164" s="53"/>
      <c r="AC164" s="49"/>
      <c r="AD164" s="53"/>
      <c r="AE164" s="49"/>
      <c r="AF164" s="53"/>
      <c r="AG164" s="49"/>
      <c r="AI164" s="49"/>
      <c r="AJ164" s="53"/>
      <c r="AK164" s="49"/>
      <c r="AL164" s="53"/>
      <c r="AM164" s="49"/>
      <c r="AN164" s="53"/>
      <c r="AO164" s="49"/>
      <c r="AP164" s="53"/>
      <c r="AQ164" s="49"/>
      <c r="AS164" s="49"/>
      <c r="AT164" s="53"/>
      <c r="AU164" s="49"/>
      <c r="AV164" s="53"/>
      <c r="AW164" s="49"/>
      <c r="AY164" s="49"/>
      <c r="CA164" s="49"/>
      <c r="CC164" s="49"/>
      <c r="CE164" s="49"/>
      <c r="CG164" s="49"/>
      <c r="CH164" s="52"/>
      <c r="CI164" s="49"/>
      <c r="CK164" s="49"/>
      <c r="CL164" s="52"/>
      <c r="CM164" s="49"/>
      <c r="CN164" s="53"/>
      <c r="CO164" s="49"/>
      <c r="CP164" s="52"/>
      <c r="CQ164" s="49"/>
      <c r="CS164" s="49"/>
      <c r="CT164" s="53"/>
      <c r="CU164" s="49"/>
      <c r="CV164" s="53"/>
      <c r="CW164" s="49"/>
      <c r="CX164" s="53"/>
      <c r="CY164" s="49"/>
      <c r="DA164" s="49"/>
      <c r="DB164" s="53"/>
      <c r="DC164" s="49"/>
      <c r="DD164" s="53"/>
      <c r="DE164" s="49"/>
      <c r="DF164" s="53"/>
      <c r="DG164" s="49"/>
      <c r="DH164" s="53"/>
      <c r="DI164" s="49"/>
      <c r="DK164" s="49"/>
      <c r="DL164" s="53"/>
      <c r="DM164" s="49"/>
      <c r="DN164" s="53"/>
      <c r="DO164" s="49"/>
      <c r="DQ164" s="49"/>
      <c r="EQ164" s="48"/>
      <c r="ER164" s="48"/>
      <c r="ES164" s="49"/>
      <c r="ET164" s="48"/>
      <c r="EU164" s="49"/>
      <c r="EV164" s="48"/>
      <c r="EW164" s="49"/>
      <c r="EX164" s="48"/>
      <c r="EY164" s="49"/>
      <c r="EZ164" s="52"/>
      <c r="FA164" s="49"/>
      <c r="FB164" s="48"/>
      <c r="FC164" s="49"/>
      <c r="FD164" s="52"/>
      <c r="FE164" s="49"/>
      <c r="FF164" s="53"/>
      <c r="FG164" s="49"/>
      <c r="FH164" s="52"/>
      <c r="FI164" s="49"/>
      <c r="FJ164" s="48"/>
      <c r="FK164" s="49"/>
      <c r="FL164" s="53"/>
      <c r="FM164" s="49"/>
      <c r="FN164" s="53"/>
      <c r="FO164" s="49"/>
      <c r="FP164" s="53"/>
      <c r="FQ164" s="49"/>
      <c r="FR164" s="48"/>
      <c r="FS164" s="49"/>
      <c r="FT164" s="53"/>
      <c r="FU164" s="49"/>
      <c r="FV164" s="53"/>
      <c r="FW164" s="49"/>
      <c r="FX164" s="53"/>
      <c r="FY164" s="49"/>
      <c r="FZ164" s="53"/>
      <c r="GA164" s="49"/>
      <c r="GB164" s="48"/>
      <c r="GC164" s="49"/>
      <c r="GD164" s="53"/>
      <c r="GE164" s="49"/>
      <c r="GF164" s="53"/>
      <c r="GG164" s="49"/>
      <c r="GH164" s="48"/>
      <c r="GI164" s="49"/>
      <c r="GJ164" s="48"/>
      <c r="GK164" s="48"/>
      <c r="GL164" s="48"/>
      <c r="GM164" s="48"/>
      <c r="GN164" s="48"/>
      <c r="GO164" s="48"/>
      <c r="GP164" s="48"/>
      <c r="GQ164" s="48"/>
      <c r="GR164" s="48"/>
      <c r="GS164" s="48"/>
      <c r="GT164" s="48"/>
      <c r="GU164" s="48"/>
      <c r="GV164" s="48"/>
      <c r="GW164" s="48"/>
      <c r="GX164" s="48"/>
      <c r="GY164" s="48"/>
      <c r="GZ164" s="48"/>
      <c r="HA164" s="48"/>
      <c r="HB164" s="48"/>
      <c r="HC164" s="48"/>
      <c r="HD164" s="48"/>
      <c r="HE164" s="48"/>
      <c r="HF164" s="48"/>
      <c r="HG164" s="48"/>
    </row>
    <row r="165" spans="11:215" x14ac:dyDescent="0.3">
      <c r="K165" s="49"/>
      <c r="M165" s="49"/>
      <c r="O165" s="49"/>
      <c r="Q165" s="49"/>
      <c r="S165" s="49"/>
      <c r="U165" s="49"/>
      <c r="V165" s="53"/>
      <c r="W165" s="49"/>
      <c r="Y165" s="49"/>
      <c r="AA165" s="49"/>
      <c r="AB165" s="53"/>
      <c r="AC165" s="49"/>
      <c r="AD165" s="53"/>
      <c r="AE165" s="49"/>
      <c r="AF165" s="53"/>
      <c r="AG165" s="49"/>
      <c r="AI165" s="49"/>
      <c r="AJ165" s="53"/>
      <c r="AK165" s="49"/>
      <c r="AL165" s="53"/>
      <c r="AM165" s="49"/>
      <c r="AN165" s="53"/>
      <c r="AO165" s="49"/>
      <c r="AP165" s="53"/>
      <c r="AQ165" s="49"/>
      <c r="AS165" s="49"/>
      <c r="AT165" s="53"/>
      <c r="AU165" s="49"/>
      <c r="AV165" s="53"/>
      <c r="AW165" s="49"/>
      <c r="AY165" s="49"/>
      <c r="CA165" s="49"/>
      <c r="CC165" s="49"/>
      <c r="CE165" s="49"/>
      <c r="CG165" s="49"/>
      <c r="CH165" s="52"/>
      <c r="CI165" s="49"/>
      <c r="CK165" s="49"/>
      <c r="CL165" s="52"/>
      <c r="CM165" s="49"/>
      <c r="CN165" s="53"/>
      <c r="CO165" s="49"/>
      <c r="CP165" s="52"/>
      <c r="CQ165" s="49"/>
      <c r="CS165" s="49"/>
      <c r="CT165" s="53"/>
      <c r="CU165" s="49"/>
      <c r="CV165" s="53"/>
      <c r="CW165" s="49"/>
      <c r="CX165" s="53"/>
      <c r="CY165" s="49"/>
      <c r="DA165" s="49"/>
      <c r="DB165" s="53"/>
      <c r="DC165" s="49"/>
      <c r="DD165" s="53"/>
      <c r="DE165" s="49"/>
      <c r="DF165" s="53"/>
      <c r="DG165" s="49"/>
      <c r="DH165" s="53"/>
      <c r="DI165" s="49"/>
      <c r="DK165" s="49"/>
      <c r="DL165" s="53"/>
      <c r="DM165" s="49"/>
      <c r="DN165" s="53"/>
      <c r="DO165" s="49"/>
      <c r="DQ165" s="49"/>
      <c r="EQ165" s="48"/>
      <c r="ER165" s="48"/>
      <c r="ES165" s="49"/>
      <c r="ET165" s="48"/>
      <c r="EU165" s="49"/>
      <c r="EV165" s="48"/>
      <c r="EW165" s="49"/>
      <c r="EX165" s="48"/>
      <c r="EY165" s="49"/>
      <c r="EZ165" s="52"/>
      <c r="FA165" s="49"/>
      <c r="FB165" s="48"/>
      <c r="FC165" s="49"/>
      <c r="FD165" s="52"/>
      <c r="FE165" s="49"/>
      <c r="FF165" s="53"/>
      <c r="FG165" s="49"/>
      <c r="FH165" s="52"/>
      <c r="FI165" s="49"/>
      <c r="FJ165" s="48"/>
      <c r="FK165" s="49"/>
      <c r="FL165" s="53"/>
      <c r="FM165" s="49"/>
      <c r="FN165" s="53"/>
      <c r="FO165" s="49"/>
      <c r="FP165" s="53"/>
      <c r="FQ165" s="49"/>
      <c r="FR165" s="48"/>
      <c r="FS165" s="49"/>
      <c r="FT165" s="53"/>
      <c r="FU165" s="49"/>
      <c r="FV165" s="53"/>
      <c r="FW165" s="49"/>
      <c r="FX165" s="53"/>
      <c r="FY165" s="49"/>
      <c r="FZ165" s="53"/>
      <c r="GA165" s="49"/>
      <c r="GB165" s="48"/>
      <c r="GC165" s="49"/>
      <c r="GD165" s="53"/>
      <c r="GE165" s="49"/>
      <c r="GF165" s="53"/>
      <c r="GG165" s="49"/>
      <c r="GH165" s="48"/>
      <c r="GI165" s="49"/>
      <c r="GJ165" s="48"/>
      <c r="GK165" s="48"/>
      <c r="GL165" s="48"/>
      <c r="GM165" s="48"/>
      <c r="GN165" s="48"/>
      <c r="GO165" s="48"/>
      <c r="GP165" s="48"/>
      <c r="GQ165" s="48"/>
      <c r="GR165" s="48"/>
      <c r="GS165" s="48"/>
      <c r="GT165" s="48"/>
      <c r="GU165" s="48"/>
      <c r="GV165" s="48"/>
      <c r="GW165" s="48"/>
      <c r="GX165" s="48"/>
      <c r="GY165" s="48"/>
      <c r="GZ165" s="48"/>
      <c r="HA165" s="48"/>
      <c r="HB165" s="48"/>
      <c r="HC165" s="48"/>
      <c r="HD165" s="48"/>
      <c r="HE165" s="48"/>
      <c r="HF165" s="48"/>
      <c r="HG165" s="48"/>
    </row>
    <row r="166" spans="11:215" x14ac:dyDescent="0.3">
      <c r="K166" s="49"/>
      <c r="M166" s="49"/>
      <c r="O166" s="49"/>
      <c r="Q166" s="49"/>
      <c r="S166" s="49"/>
      <c r="U166" s="49"/>
      <c r="V166" s="53"/>
      <c r="W166" s="49"/>
      <c r="Y166" s="49"/>
      <c r="AA166" s="49"/>
      <c r="AB166" s="53"/>
      <c r="AC166" s="49"/>
      <c r="AD166" s="53"/>
      <c r="AE166" s="49"/>
      <c r="AF166" s="53"/>
      <c r="AG166" s="49"/>
      <c r="AI166" s="49"/>
      <c r="AJ166" s="53"/>
      <c r="AK166" s="49"/>
      <c r="AL166" s="53"/>
      <c r="AM166" s="49"/>
      <c r="AN166" s="53"/>
      <c r="AO166" s="49"/>
      <c r="AP166" s="53"/>
      <c r="AQ166" s="49"/>
      <c r="AS166" s="49"/>
      <c r="AT166" s="53"/>
      <c r="AU166" s="49"/>
      <c r="AV166" s="53"/>
      <c r="AW166" s="49"/>
      <c r="AY166" s="49"/>
      <c r="CA166" s="49"/>
      <c r="CC166" s="49"/>
      <c r="CE166" s="49"/>
      <c r="CG166" s="49"/>
      <c r="CH166" s="52"/>
      <c r="CI166" s="49"/>
      <c r="CK166" s="49"/>
      <c r="CL166" s="52"/>
      <c r="CM166" s="49"/>
      <c r="CN166" s="53"/>
      <c r="CO166" s="49"/>
      <c r="CP166" s="52"/>
      <c r="CQ166" s="49"/>
      <c r="CS166" s="49"/>
      <c r="CT166" s="53"/>
      <c r="CU166" s="49"/>
      <c r="CV166" s="53"/>
      <c r="CW166" s="49"/>
      <c r="CX166" s="53"/>
      <c r="CY166" s="49"/>
      <c r="DA166" s="49"/>
      <c r="DB166" s="53"/>
      <c r="DC166" s="49"/>
      <c r="DD166" s="53"/>
      <c r="DE166" s="49"/>
      <c r="DF166" s="53"/>
      <c r="DG166" s="49"/>
      <c r="DH166" s="53"/>
      <c r="DI166" s="49"/>
      <c r="DK166" s="49"/>
      <c r="DL166" s="53"/>
      <c r="DM166" s="49"/>
      <c r="DN166" s="53"/>
      <c r="DO166" s="49"/>
      <c r="DQ166" s="49"/>
      <c r="EQ166" s="48"/>
      <c r="ER166" s="48"/>
      <c r="ES166" s="49"/>
      <c r="ET166" s="48"/>
      <c r="EU166" s="49"/>
      <c r="EV166" s="48"/>
      <c r="EW166" s="49"/>
      <c r="EX166" s="48"/>
      <c r="EY166" s="49"/>
      <c r="EZ166" s="52"/>
      <c r="FA166" s="49"/>
      <c r="FB166" s="48"/>
      <c r="FC166" s="49"/>
      <c r="FD166" s="52"/>
      <c r="FE166" s="49"/>
      <c r="FF166" s="53"/>
      <c r="FG166" s="49"/>
      <c r="FH166" s="52"/>
      <c r="FI166" s="49"/>
      <c r="FJ166" s="48"/>
      <c r="FK166" s="49"/>
      <c r="FL166" s="53"/>
      <c r="FM166" s="49"/>
      <c r="FN166" s="53"/>
      <c r="FO166" s="49"/>
      <c r="FP166" s="53"/>
      <c r="FQ166" s="49"/>
      <c r="FR166" s="48"/>
      <c r="FS166" s="49"/>
      <c r="FT166" s="53"/>
      <c r="FU166" s="49"/>
      <c r="FV166" s="53"/>
      <c r="FW166" s="49"/>
      <c r="FX166" s="53"/>
      <c r="FY166" s="49"/>
      <c r="FZ166" s="53"/>
      <c r="GA166" s="49"/>
      <c r="GB166" s="48"/>
      <c r="GC166" s="49"/>
      <c r="GD166" s="53"/>
      <c r="GE166" s="49"/>
      <c r="GF166" s="53"/>
      <c r="GG166" s="49"/>
      <c r="GH166" s="48"/>
      <c r="GI166" s="49"/>
      <c r="GJ166" s="48"/>
      <c r="GK166" s="48"/>
      <c r="GL166" s="48"/>
      <c r="GM166" s="48"/>
      <c r="GN166" s="48"/>
      <c r="GO166" s="48"/>
      <c r="GP166" s="48"/>
      <c r="GQ166" s="48"/>
      <c r="GR166" s="48"/>
      <c r="GS166" s="48"/>
      <c r="GT166" s="48"/>
      <c r="GU166" s="48"/>
      <c r="GV166" s="48"/>
      <c r="GW166" s="48"/>
      <c r="GX166" s="48"/>
      <c r="GY166" s="48"/>
      <c r="GZ166" s="48"/>
      <c r="HA166" s="48"/>
      <c r="HB166" s="48"/>
      <c r="HC166" s="48"/>
      <c r="HD166" s="48"/>
      <c r="HE166" s="48"/>
      <c r="HF166" s="48"/>
      <c r="HG166" s="48"/>
    </row>
    <row r="167" spans="11:215" x14ac:dyDescent="0.3">
      <c r="K167" s="49"/>
      <c r="M167" s="49"/>
      <c r="O167" s="49"/>
      <c r="Q167" s="49"/>
      <c r="S167" s="49"/>
      <c r="U167" s="49"/>
      <c r="V167" s="53"/>
      <c r="W167" s="49"/>
      <c r="Y167" s="49"/>
      <c r="AA167" s="49"/>
      <c r="AB167" s="53"/>
      <c r="AC167" s="49"/>
      <c r="AD167" s="53"/>
      <c r="AE167" s="49"/>
      <c r="AF167" s="53"/>
      <c r="AG167" s="49"/>
      <c r="AI167" s="49"/>
      <c r="AJ167" s="53"/>
      <c r="AK167" s="49"/>
      <c r="AL167" s="53"/>
      <c r="AM167" s="49"/>
      <c r="AN167" s="53"/>
      <c r="AO167" s="49"/>
      <c r="AP167" s="53"/>
      <c r="AQ167" s="49"/>
      <c r="AS167" s="49"/>
      <c r="AT167" s="53"/>
      <c r="AU167" s="49"/>
      <c r="AV167" s="53"/>
      <c r="AW167" s="49"/>
      <c r="AY167" s="49"/>
      <c r="CA167" s="49"/>
      <c r="CC167" s="49"/>
      <c r="CE167" s="49"/>
      <c r="CG167" s="49"/>
      <c r="CH167" s="52"/>
      <c r="CI167" s="49"/>
      <c r="CK167" s="49"/>
      <c r="CL167" s="52"/>
      <c r="CM167" s="49"/>
      <c r="CN167" s="53"/>
      <c r="CO167" s="49"/>
      <c r="CP167" s="52"/>
      <c r="CQ167" s="49"/>
      <c r="CS167" s="49"/>
      <c r="CT167" s="53"/>
      <c r="CU167" s="49"/>
      <c r="CV167" s="53"/>
      <c r="CW167" s="49"/>
      <c r="CX167" s="53"/>
      <c r="CY167" s="49"/>
      <c r="DA167" s="49"/>
      <c r="DB167" s="53"/>
      <c r="DC167" s="49"/>
      <c r="DD167" s="53"/>
      <c r="DE167" s="49"/>
      <c r="DF167" s="53"/>
      <c r="DG167" s="49"/>
      <c r="DH167" s="53"/>
      <c r="DI167" s="49"/>
      <c r="DK167" s="49"/>
      <c r="DL167" s="53"/>
      <c r="DM167" s="49"/>
      <c r="DN167" s="53"/>
      <c r="DO167" s="49"/>
      <c r="DQ167" s="49"/>
      <c r="EQ167" s="48"/>
      <c r="ER167" s="48"/>
      <c r="ES167" s="49"/>
      <c r="ET167" s="48"/>
      <c r="EU167" s="49"/>
      <c r="EV167" s="48"/>
      <c r="EW167" s="49"/>
      <c r="EX167" s="48"/>
      <c r="EY167" s="49"/>
      <c r="EZ167" s="52"/>
      <c r="FA167" s="49"/>
      <c r="FB167" s="48"/>
      <c r="FC167" s="49"/>
      <c r="FD167" s="52"/>
      <c r="FE167" s="49"/>
      <c r="FF167" s="53"/>
      <c r="FG167" s="49"/>
      <c r="FH167" s="52"/>
      <c r="FI167" s="49"/>
      <c r="FJ167" s="48"/>
      <c r="FK167" s="49"/>
      <c r="FL167" s="53"/>
      <c r="FM167" s="49"/>
      <c r="FN167" s="53"/>
      <c r="FO167" s="49"/>
      <c r="FP167" s="53"/>
      <c r="FQ167" s="49"/>
      <c r="FR167" s="48"/>
      <c r="FS167" s="49"/>
      <c r="FT167" s="53"/>
      <c r="FU167" s="49"/>
      <c r="FV167" s="53"/>
      <c r="FW167" s="49"/>
      <c r="FX167" s="53"/>
      <c r="FY167" s="49"/>
      <c r="FZ167" s="53"/>
      <c r="GA167" s="49"/>
      <c r="GB167" s="48"/>
      <c r="GC167" s="49"/>
      <c r="GD167" s="53"/>
      <c r="GE167" s="49"/>
      <c r="GF167" s="53"/>
      <c r="GG167" s="49"/>
      <c r="GH167" s="48"/>
      <c r="GI167" s="49"/>
      <c r="GJ167" s="48"/>
      <c r="GK167" s="48"/>
      <c r="GL167" s="48"/>
      <c r="GM167" s="48"/>
      <c r="GN167" s="48"/>
      <c r="GO167" s="48"/>
      <c r="GP167" s="48"/>
      <c r="GQ167" s="48"/>
      <c r="GR167" s="48"/>
      <c r="GS167" s="48"/>
      <c r="GT167" s="48"/>
      <c r="GU167" s="48"/>
      <c r="GV167" s="48"/>
      <c r="GW167" s="48"/>
      <c r="GX167" s="48"/>
      <c r="GY167" s="48"/>
      <c r="GZ167" s="48"/>
      <c r="HA167" s="48"/>
      <c r="HB167" s="48"/>
      <c r="HC167" s="48"/>
      <c r="HD167" s="48"/>
      <c r="HE167" s="48"/>
      <c r="HF167" s="48"/>
      <c r="HG167" s="48"/>
    </row>
    <row r="168" spans="11:215" x14ac:dyDescent="0.3">
      <c r="K168" s="49"/>
      <c r="M168" s="49"/>
      <c r="O168" s="49"/>
      <c r="Q168" s="49"/>
      <c r="S168" s="49"/>
      <c r="U168" s="49"/>
      <c r="V168" s="53"/>
      <c r="W168" s="49"/>
      <c r="Y168" s="49"/>
      <c r="AA168" s="49"/>
      <c r="AB168" s="53"/>
      <c r="AC168" s="49"/>
      <c r="AD168" s="53"/>
      <c r="AE168" s="49"/>
      <c r="AF168" s="53"/>
      <c r="AG168" s="49"/>
      <c r="AI168" s="49"/>
      <c r="AK168" s="49"/>
      <c r="AL168" s="53"/>
      <c r="AM168" s="49"/>
      <c r="AN168" s="53"/>
      <c r="AO168" s="49"/>
      <c r="AP168" s="53"/>
      <c r="AQ168" s="49"/>
      <c r="AS168" s="49"/>
      <c r="AT168" s="53"/>
      <c r="AU168" s="49"/>
      <c r="AV168" s="53"/>
      <c r="AW168" s="49"/>
      <c r="AY168" s="49"/>
      <c r="CA168" s="49"/>
      <c r="CC168" s="49"/>
      <c r="CE168" s="49"/>
      <c r="CG168" s="49"/>
      <c r="CH168" s="52"/>
      <c r="CI168" s="49"/>
      <c r="CK168" s="49"/>
      <c r="CL168" s="52"/>
      <c r="CM168" s="49"/>
      <c r="CN168" s="53"/>
      <c r="CO168" s="49"/>
      <c r="CP168" s="52"/>
      <c r="CQ168" s="49"/>
      <c r="CS168" s="49"/>
      <c r="CT168" s="53"/>
      <c r="CU168" s="49"/>
      <c r="CV168" s="53"/>
      <c r="CW168" s="49"/>
      <c r="CX168" s="53"/>
      <c r="CY168" s="49"/>
      <c r="DA168" s="49"/>
      <c r="DC168" s="49"/>
      <c r="DD168" s="53"/>
      <c r="DE168" s="49"/>
      <c r="DF168" s="53"/>
      <c r="DG168" s="49"/>
      <c r="DH168" s="53"/>
      <c r="DI168" s="49"/>
      <c r="DK168" s="49"/>
      <c r="DL168" s="53"/>
      <c r="DM168" s="49"/>
      <c r="DN168" s="53"/>
      <c r="DO168" s="49"/>
      <c r="DQ168" s="49"/>
      <c r="EQ168" s="48"/>
      <c r="ER168" s="48"/>
      <c r="ES168" s="49"/>
      <c r="ET168" s="48"/>
      <c r="EU168" s="49"/>
      <c r="EV168" s="48"/>
      <c r="EW168" s="49"/>
      <c r="EX168" s="48"/>
      <c r="EY168" s="49"/>
      <c r="EZ168" s="52"/>
      <c r="FA168" s="49"/>
      <c r="FB168" s="48"/>
      <c r="FC168" s="49"/>
      <c r="FD168" s="52"/>
      <c r="FE168" s="49"/>
      <c r="FF168" s="53"/>
      <c r="FG168" s="49"/>
      <c r="FH168" s="52"/>
      <c r="FI168" s="49"/>
      <c r="FJ168" s="48"/>
      <c r="FK168" s="49"/>
      <c r="FL168" s="53"/>
      <c r="FM168" s="49"/>
      <c r="FN168" s="53"/>
      <c r="FO168" s="49"/>
      <c r="FP168" s="53"/>
      <c r="FQ168" s="49"/>
      <c r="FR168" s="48"/>
      <c r="FS168" s="49"/>
      <c r="FT168" s="48"/>
      <c r="FU168" s="49"/>
      <c r="FV168" s="53"/>
      <c r="FW168" s="49"/>
      <c r="FX168" s="53"/>
      <c r="FY168" s="49"/>
      <c r="FZ168" s="53"/>
      <c r="GA168" s="49"/>
      <c r="GB168" s="48"/>
      <c r="GC168" s="49"/>
      <c r="GD168" s="53"/>
      <c r="GE168" s="49"/>
      <c r="GF168" s="53"/>
      <c r="GG168" s="49"/>
      <c r="GH168" s="48"/>
      <c r="GI168" s="49"/>
      <c r="GJ168" s="48"/>
      <c r="GK168" s="48"/>
      <c r="GL168" s="48"/>
      <c r="GM168" s="48"/>
      <c r="GN168" s="48"/>
      <c r="GO168" s="48"/>
      <c r="GP168" s="48"/>
      <c r="GQ168" s="48"/>
      <c r="GR168" s="48"/>
      <c r="GS168" s="48"/>
      <c r="GT168" s="48"/>
      <c r="GU168" s="48"/>
      <c r="GV168" s="48"/>
      <c r="GW168" s="48"/>
      <c r="GX168" s="48"/>
      <c r="GY168" s="48"/>
      <c r="GZ168" s="48"/>
      <c r="HA168" s="48"/>
      <c r="HB168" s="48"/>
      <c r="HC168" s="48"/>
      <c r="HD168" s="48"/>
      <c r="HE168" s="48"/>
      <c r="HF168" s="48"/>
      <c r="HG168" s="48"/>
    </row>
    <row r="169" spans="11:215" x14ac:dyDescent="0.3">
      <c r="K169" s="49"/>
      <c r="M169" s="49"/>
      <c r="O169" s="49"/>
      <c r="Q169" s="49"/>
      <c r="S169" s="49"/>
      <c r="U169" s="49"/>
      <c r="V169" s="53"/>
      <c r="W169" s="49"/>
      <c r="Y169" s="49"/>
      <c r="AA169" s="49"/>
      <c r="AB169" s="53"/>
      <c r="AC169" s="49"/>
      <c r="AD169" s="53"/>
      <c r="AE169" s="49"/>
      <c r="AF169" s="53"/>
      <c r="AG169" s="49"/>
      <c r="AI169" s="49"/>
      <c r="AK169" s="49"/>
      <c r="AL169" s="53"/>
      <c r="AM169" s="49"/>
      <c r="AN169" s="53"/>
      <c r="AO169" s="49"/>
      <c r="AP169" s="53"/>
      <c r="AQ169" s="49"/>
      <c r="AS169" s="49"/>
      <c r="AT169" s="53"/>
      <c r="AU169" s="49"/>
      <c r="AV169" s="53"/>
      <c r="AW169" s="49"/>
      <c r="AY169" s="49"/>
      <c r="CA169" s="49"/>
      <c r="CC169" s="49"/>
      <c r="CE169" s="49"/>
      <c r="CG169" s="49"/>
      <c r="CH169" s="52"/>
      <c r="CI169" s="49"/>
      <c r="CK169" s="49"/>
      <c r="CL169" s="52"/>
      <c r="CM169" s="49"/>
      <c r="CN169" s="53"/>
      <c r="CO169" s="49"/>
      <c r="CP169" s="52"/>
      <c r="CQ169" s="49"/>
      <c r="CS169" s="49"/>
      <c r="CT169" s="53"/>
      <c r="CU169" s="49"/>
      <c r="CV169" s="53"/>
      <c r="CW169" s="49"/>
      <c r="CX169" s="53"/>
      <c r="CY169" s="49"/>
      <c r="DA169" s="49"/>
      <c r="DC169" s="49"/>
      <c r="DD169" s="53"/>
      <c r="DE169" s="49"/>
      <c r="DF169" s="53"/>
      <c r="DG169" s="49"/>
      <c r="DH169" s="53"/>
      <c r="DI169" s="49"/>
      <c r="DK169" s="49"/>
      <c r="DL169" s="53"/>
      <c r="DM169" s="49"/>
      <c r="DN169" s="53"/>
      <c r="DO169" s="49"/>
      <c r="DQ169" s="49"/>
      <c r="EQ169" s="48"/>
      <c r="ER169" s="48"/>
      <c r="ES169" s="49"/>
      <c r="ET169" s="48"/>
      <c r="EU169" s="49"/>
      <c r="EV169" s="48"/>
      <c r="EW169" s="49"/>
      <c r="EX169" s="48"/>
      <c r="EY169" s="49"/>
      <c r="EZ169" s="52"/>
      <c r="FA169" s="49"/>
      <c r="FB169" s="48"/>
      <c r="FC169" s="49"/>
      <c r="FD169" s="52"/>
      <c r="FE169" s="49"/>
      <c r="FF169" s="53"/>
      <c r="FG169" s="49"/>
      <c r="FH169" s="52"/>
      <c r="FI169" s="49"/>
      <c r="FJ169" s="48"/>
      <c r="FK169" s="49"/>
      <c r="FL169" s="53"/>
      <c r="FM169" s="49"/>
      <c r="FN169" s="53"/>
      <c r="FO169" s="49"/>
      <c r="FP169" s="53"/>
      <c r="FQ169" s="49"/>
      <c r="FR169" s="48"/>
      <c r="FS169" s="49"/>
      <c r="FT169" s="48"/>
      <c r="FU169" s="49"/>
      <c r="FV169" s="53"/>
      <c r="FW169" s="49"/>
      <c r="FX169" s="53"/>
      <c r="FY169" s="49"/>
      <c r="FZ169" s="53"/>
      <c r="GA169" s="49"/>
      <c r="GB169" s="48"/>
      <c r="GC169" s="49"/>
      <c r="GD169" s="53"/>
      <c r="GE169" s="49"/>
      <c r="GF169" s="53"/>
      <c r="GG169" s="49"/>
      <c r="GH169" s="48"/>
      <c r="GI169" s="49"/>
      <c r="GJ169" s="48"/>
      <c r="GK169" s="48"/>
      <c r="GL169" s="48"/>
      <c r="GM169" s="48"/>
      <c r="GN169" s="48"/>
      <c r="GO169" s="48"/>
      <c r="GP169" s="48"/>
      <c r="GQ169" s="48"/>
      <c r="GR169" s="48"/>
      <c r="GS169" s="48"/>
      <c r="GT169" s="48"/>
      <c r="GU169" s="48"/>
      <c r="GV169" s="48"/>
      <c r="GW169" s="48"/>
      <c r="GX169" s="48"/>
      <c r="GY169" s="48"/>
      <c r="GZ169" s="48"/>
      <c r="HA169" s="48"/>
      <c r="HB169" s="48"/>
      <c r="HC169" s="48"/>
      <c r="HD169" s="48"/>
      <c r="HE169" s="48"/>
      <c r="HF169" s="48"/>
      <c r="HG169" s="48"/>
    </row>
    <row r="170" spans="11:215" x14ac:dyDescent="0.3">
      <c r="K170" s="49"/>
      <c r="M170" s="49"/>
      <c r="O170" s="49"/>
      <c r="Q170" s="49"/>
      <c r="S170" s="49"/>
      <c r="U170" s="49"/>
      <c r="V170" s="53"/>
      <c r="W170" s="49"/>
      <c r="Y170" s="49"/>
      <c r="AA170" s="49"/>
      <c r="AB170" s="53"/>
      <c r="AC170" s="49"/>
      <c r="AD170" s="53"/>
      <c r="AE170" s="49"/>
      <c r="AF170" s="53"/>
      <c r="AG170" s="49"/>
      <c r="AI170" s="49"/>
      <c r="AK170" s="49"/>
      <c r="AL170" s="53"/>
      <c r="AM170" s="49"/>
      <c r="AN170" s="53"/>
      <c r="AO170" s="49"/>
      <c r="AP170" s="53"/>
      <c r="AQ170" s="49"/>
      <c r="AS170" s="49"/>
      <c r="AT170" s="53"/>
      <c r="AU170" s="49"/>
      <c r="AV170" s="53"/>
      <c r="AW170" s="49"/>
      <c r="AY170" s="49"/>
      <c r="CA170" s="49"/>
      <c r="CC170" s="49"/>
      <c r="CE170" s="49"/>
      <c r="CG170" s="49"/>
      <c r="CH170" s="52"/>
      <c r="CI170" s="49"/>
      <c r="CK170" s="49"/>
      <c r="CL170" s="52"/>
      <c r="CM170" s="49"/>
      <c r="CN170" s="53"/>
      <c r="CO170" s="49"/>
      <c r="CP170" s="52"/>
      <c r="CQ170" s="49"/>
      <c r="CS170" s="49"/>
      <c r="CT170" s="53"/>
      <c r="CU170" s="49"/>
      <c r="CV170" s="53"/>
      <c r="CW170" s="49"/>
      <c r="CX170" s="53"/>
      <c r="CY170" s="49"/>
      <c r="DA170" s="49"/>
      <c r="DC170" s="49"/>
      <c r="DD170" s="53"/>
      <c r="DE170" s="49"/>
      <c r="DF170" s="53"/>
      <c r="DG170" s="49"/>
      <c r="DH170" s="53"/>
      <c r="DI170" s="49"/>
      <c r="DK170" s="49"/>
      <c r="DL170" s="53"/>
      <c r="DM170" s="49"/>
      <c r="DN170" s="53"/>
      <c r="DO170" s="49"/>
      <c r="DQ170" s="49"/>
      <c r="EQ170" s="48"/>
      <c r="ER170" s="48"/>
      <c r="ES170" s="49"/>
      <c r="ET170" s="48"/>
      <c r="EU170" s="49"/>
      <c r="EV170" s="48"/>
      <c r="EW170" s="49"/>
      <c r="EX170" s="48"/>
      <c r="EY170" s="49"/>
      <c r="EZ170" s="52"/>
      <c r="FA170" s="49"/>
      <c r="FB170" s="48"/>
      <c r="FC170" s="49"/>
      <c r="FD170" s="52"/>
      <c r="FE170" s="49"/>
      <c r="FF170" s="53"/>
      <c r="FG170" s="49"/>
      <c r="FH170" s="52"/>
      <c r="FI170" s="49"/>
      <c r="FJ170" s="48"/>
      <c r="FK170" s="49"/>
      <c r="FL170" s="53"/>
      <c r="FM170" s="49"/>
      <c r="FN170" s="53"/>
      <c r="FO170" s="49"/>
      <c r="FP170" s="53"/>
      <c r="FQ170" s="49"/>
      <c r="FR170" s="48"/>
      <c r="FS170" s="49"/>
      <c r="FT170" s="48"/>
      <c r="FU170" s="49"/>
      <c r="FV170" s="53"/>
      <c r="FW170" s="49"/>
      <c r="FX170" s="53"/>
      <c r="FY170" s="49"/>
      <c r="FZ170" s="53"/>
      <c r="GA170" s="49"/>
      <c r="GB170" s="48"/>
      <c r="GC170" s="49"/>
      <c r="GD170" s="53"/>
      <c r="GE170" s="49"/>
      <c r="GF170" s="53"/>
      <c r="GG170" s="49"/>
      <c r="GH170" s="48"/>
      <c r="GI170" s="49"/>
      <c r="GJ170" s="48"/>
      <c r="GK170" s="48"/>
      <c r="GL170" s="48"/>
      <c r="GM170" s="48"/>
      <c r="GN170" s="48"/>
      <c r="GO170" s="48"/>
      <c r="GP170" s="48"/>
      <c r="GQ170" s="48"/>
      <c r="GR170" s="48"/>
      <c r="GS170" s="48"/>
      <c r="GT170" s="48"/>
      <c r="GU170" s="48"/>
      <c r="GV170" s="48"/>
      <c r="GW170" s="48"/>
      <c r="GX170" s="48"/>
      <c r="GY170" s="48"/>
      <c r="GZ170" s="48"/>
      <c r="HA170" s="48"/>
      <c r="HB170" s="48"/>
      <c r="HC170" s="48"/>
      <c r="HD170" s="48"/>
      <c r="HE170" s="48"/>
      <c r="HF170" s="48"/>
      <c r="HG170" s="48"/>
    </row>
    <row r="171" spans="11:215" x14ac:dyDescent="0.3">
      <c r="K171" s="49"/>
      <c r="M171" s="49"/>
      <c r="O171" s="49"/>
      <c r="Q171" s="49"/>
      <c r="S171" s="49"/>
      <c r="U171" s="49"/>
      <c r="V171" s="53"/>
      <c r="W171" s="49"/>
      <c r="Y171" s="49"/>
      <c r="AA171" s="49"/>
      <c r="AB171" s="53"/>
      <c r="AC171" s="49"/>
      <c r="AD171" s="53"/>
      <c r="AE171" s="49"/>
      <c r="AF171" s="53"/>
      <c r="AG171" s="49"/>
      <c r="AI171" s="49"/>
      <c r="AK171" s="49"/>
      <c r="AL171" s="53"/>
      <c r="AM171" s="49"/>
      <c r="AN171" s="53"/>
      <c r="AO171" s="49"/>
      <c r="AP171" s="53"/>
      <c r="AQ171" s="49"/>
      <c r="AS171" s="49"/>
      <c r="AT171" s="53"/>
      <c r="AU171" s="49"/>
      <c r="AV171" s="53"/>
      <c r="AW171" s="49"/>
      <c r="AY171" s="49"/>
      <c r="CA171" s="49"/>
      <c r="CC171" s="49"/>
      <c r="CE171" s="49"/>
      <c r="CG171" s="49"/>
      <c r="CH171" s="52"/>
      <c r="CI171" s="49"/>
      <c r="CK171" s="49"/>
      <c r="CL171" s="52"/>
      <c r="CM171" s="49"/>
      <c r="CN171" s="53"/>
      <c r="CO171" s="49"/>
      <c r="CP171" s="52"/>
      <c r="CQ171" s="49"/>
      <c r="CS171" s="49"/>
      <c r="CT171" s="53"/>
      <c r="CU171" s="49"/>
      <c r="CV171" s="53"/>
      <c r="CW171" s="49"/>
      <c r="CX171" s="53"/>
      <c r="CY171" s="49"/>
      <c r="DA171" s="49"/>
      <c r="DC171" s="49"/>
      <c r="DD171" s="53"/>
      <c r="DE171" s="49"/>
      <c r="DF171" s="53"/>
      <c r="DG171" s="49"/>
      <c r="DH171" s="53"/>
      <c r="DI171" s="49"/>
      <c r="DK171" s="49"/>
      <c r="DL171" s="53"/>
      <c r="DM171" s="49"/>
      <c r="DN171" s="53"/>
      <c r="DO171" s="49"/>
      <c r="DQ171" s="49"/>
      <c r="EQ171" s="48"/>
      <c r="ER171" s="48"/>
      <c r="ES171" s="49"/>
      <c r="ET171" s="48"/>
      <c r="EU171" s="49"/>
      <c r="EV171" s="48"/>
      <c r="EW171" s="49"/>
      <c r="EX171" s="48"/>
      <c r="EY171" s="49"/>
      <c r="EZ171" s="52"/>
      <c r="FA171" s="49"/>
      <c r="FB171" s="48"/>
      <c r="FC171" s="49"/>
      <c r="FD171" s="52"/>
      <c r="FE171" s="49"/>
      <c r="FF171" s="53"/>
      <c r="FG171" s="49"/>
      <c r="FH171" s="52"/>
      <c r="FI171" s="49"/>
      <c r="FJ171" s="48"/>
      <c r="FK171" s="49"/>
      <c r="FL171" s="53"/>
      <c r="FM171" s="49"/>
      <c r="FN171" s="53"/>
      <c r="FO171" s="49"/>
      <c r="FP171" s="53"/>
      <c r="FQ171" s="49"/>
      <c r="FR171" s="48"/>
      <c r="FS171" s="49"/>
      <c r="FT171" s="48"/>
      <c r="FU171" s="49"/>
      <c r="FV171" s="53"/>
      <c r="FW171" s="49"/>
      <c r="FX171" s="53"/>
      <c r="FY171" s="49"/>
      <c r="FZ171" s="53"/>
      <c r="GA171" s="49"/>
      <c r="GB171" s="48"/>
      <c r="GC171" s="49"/>
      <c r="GD171" s="53"/>
      <c r="GE171" s="49"/>
      <c r="GF171" s="53"/>
      <c r="GG171" s="49"/>
      <c r="GH171" s="48"/>
      <c r="GI171" s="49"/>
      <c r="GJ171" s="48"/>
      <c r="GK171" s="48"/>
      <c r="GL171" s="48"/>
      <c r="GM171" s="48"/>
      <c r="GN171" s="48"/>
      <c r="GO171" s="48"/>
      <c r="GP171" s="48"/>
      <c r="GQ171" s="48"/>
      <c r="GR171" s="48"/>
      <c r="GS171" s="48"/>
      <c r="GT171" s="48"/>
      <c r="GU171" s="48"/>
      <c r="GV171" s="48"/>
      <c r="GW171" s="48"/>
      <c r="GX171" s="48"/>
      <c r="GY171" s="48"/>
      <c r="GZ171" s="48"/>
      <c r="HA171" s="48"/>
      <c r="HB171" s="48"/>
      <c r="HC171" s="48"/>
      <c r="HD171" s="48"/>
      <c r="HE171" s="48"/>
      <c r="HF171" s="48"/>
      <c r="HG171" s="48"/>
    </row>
    <row r="172" spans="11:215" x14ac:dyDescent="0.3">
      <c r="K172" s="49"/>
      <c r="M172" s="49"/>
      <c r="O172" s="49"/>
      <c r="Q172" s="49"/>
      <c r="S172" s="49"/>
      <c r="U172" s="49"/>
      <c r="V172" s="53"/>
      <c r="W172" s="49"/>
      <c r="Y172" s="49"/>
      <c r="AA172" s="49"/>
      <c r="AB172" s="53"/>
      <c r="AC172" s="49"/>
      <c r="AD172" s="53"/>
      <c r="AE172" s="49"/>
      <c r="AF172" s="53"/>
      <c r="AG172" s="49"/>
      <c r="AI172" s="49"/>
      <c r="AK172" s="49"/>
      <c r="AL172" s="53"/>
      <c r="AM172" s="49"/>
      <c r="AN172" s="53"/>
      <c r="AO172" s="49"/>
      <c r="AP172" s="53"/>
      <c r="AQ172" s="49"/>
      <c r="AS172" s="49"/>
      <c r="AT172" s="53"/>
      <c r="AU172" s="49"/>
      <c r="AV172" s="53"/>
      <c r="AW172" s="49"/>
      <c r="AY172" s="49"/>
      <c r="CA172" s="49"/>
      <c r="CC172" s="49"/>
      <c r="CE172" s="49"/>
      <c r="CG172" s="49"/>
      <c r="CH172" s="52"/>
      <c r="CI172" s="49"/>
      <c r="CK172" s="49"/>
      <c r="CL172" s="52"/>
      <c r="CM172" s="49"/>
      <c r="CN172" s="53"/>
      <c r="CO172" s="49"/>
      <c r="CP172" s="52"/>
      <c r="CQ172" s="49"/>
      <c r="CS172" s="49"/>
      <c r="CT172" s="53"/>
      <c r="CU172" s="49"/>
      <c r="CV172" s="53"/>
      <c r="CW172" s="49"/>
      <c r="CX172" s="53"/>
      <c r="CY172" s="49"/>
      <c r="DA172" s="49"/>
      <c r="DC172" s="49"/>
      <c r="DD172" s="53"/>
      <c r="DE172" s="49"/>
      <c r="DF172" s="53"/>
      <c r="DG172" s="49"/>
      <c r="DH172" s="53"/>
      <c r="DI172" s="49"/>
      <c r="DK172" s="49"/>
      <c r="DL172" s="53"/>
      <c r="DM172" s="49"/>
      <c r="DN172" s="53"/>
      <c r="DO172" s="49"/>
      <c r="DQ172" s="49"/>
      <c r="EQ172" s="48"/>
      <c r="ER172" s="48"/>
      <c r="ES172" s="49"/>
      <c r="ET172" s="48"/>
      <c r="EU172" s="49"/>
      <c r="EV172" s="48"/>
      <c r="EW172" s="49"/>
      <c r="EX172" s="48"/>
      <c r="EY172" s="49"/>
      <c r="EZ172" s="52"/>
      <c r="FA172" s="49"/>
      <c r="FB172" s="48"/>
      <c r="FC172" s="49"/>
      <c r="FD172" s="52"/>
      <c r="FE172" s="49"/>
      <c r="FF172" s="53"/>
      <c r="FG172" s="49"/>
      <c r="FH172" s="52"/>
      <c r="FI172" s="49"/>
      <c r="FJ172" s="48"/>
      <c r="FK172" s="49"/>
      <c r="FL172" s="53"/>
      <c r="FM172" s="49"/>
      <c r="FN172" s="53"/>
      <c r="FO172" s="49"/>
      <c r="FP172" s="53"/>
      <c r="FQ172" s="49"/>
      <c r="FR172" s="48"/>
      <c r="FS172" s="49"/>
      <c r="FT172" s="48"/>
      <c r="FU172" s="49"/>
      <c r="FV172" s="53"/>
      <c r="FW172" s="49"/>
      <c r="FX172" s="53"/>
      <c r="FY172" s="49"/>
      <c r="FZ172" s="53"/>
      <c r="GA172" s="49"/>
      <c r="GB172" s="48"/>
      <c r="GC172" s="49"/>
      <c r="GD172" s="53"/>
      <c r="GE172" s="49"/>
      <c r="GF172" s="53"/>
      <c r="GG172" s="49"/>
      <c r="GH172" s="48"/>
      <c r="GI172" s="49"/>
      <c r="GJ172" s="48"/>
      <c r="GK172" s="48"/>
      <c r="GL172" s="48"/>
      <c r="GM172" s="48"/>
      <c r="GN172" s="48"/>
      <c r="GO172" s="48"/>
      <c r="GP172" s="48"/>
      <c r="GQ172" s="48"/>
      <c r="GR172" s="48"/>
      <c r="GS172" s="48"/>
      <c r="GT172" s="48"/>
      <c r="GU172" s="48"/>
      <c r="GV172" s="48"/>
      <c r="GW172" s="48"/>
      <c r="GX172" s="48"/>
      <c r="GY172" s="48"/>
      <c r="GZ172" s="48"/>
      <c r="HA172" s="48"/>
      <c r="HB172" s="48"/>
      <c r="HC172" s="48"/>
      <c r="HD172" s="48"/>
      <c r="HE172" s="48"/>
      <c r="HF172" s="48"/>
      <c r="HG172" s="48"/>
    </row>
    <row r="173" spans="11:215" x14ac:dyDescent="0.3">
      <c r="K173" s="49"/>
      <c r="M173" s="49"/>
      <c r="O173" s="49"/>
      <c r="Q173" s="49"/>
      <c r="S173" s="49"/>
      <c r="U173" s="49"/>
      <c r="V173" s="53"/>
      <c r="W173" s="49"/>
      <c r="Y173" s="49"/>
      <c r="AA173" s="49"/>
      <c r="AB173" s="53"/>
      <c r="AC173" s="49"/>
      <c r="AD173" s="53"/>
      <c r="AE173" s="49"/>
      <c r="AF173" s="53"/>
      <c r="AG173" s="49"/>
      <c r="AI173" s="49"/>
      <c r="AK173" s="49"/>
      <c r="AL173" s="53"/>
      <c r="AM173" s="49"/>
      <c r="AN173" s="53"/>
      <c r="AO173" s="49"/>
      <c r="AP173" s="53"/>
      <c r="AQ173" s="49"/>
      <c r="AS173" s="49"/>
      <c r="AT173" s="53"/>
      <c r="AU173" s="49"/>
      <c r="AV173" s="53"/>
      <c r="AW173" s="49"/>
      <c r="AY173" s="49"/>
      <c r="CA173" s="49"/>
      <c r="CC173" s="49"/>
      <c r="CE173" s="49"/>
      <c r="CG173" s="49"/>
      <c r="CH173" s="52"/>
      <c r="CI173" s="49"/>
      <c r="CK173" s="49"/>
      <c r="CL173" s="52"/>
      <c r="CM173" s="49"/>
      <c r="CN173" s="53"/>
      <c r="CO173" s="49"/>
      <c r="CP173" s="52"/>
      <c r="CQ173" s="49"/>
      <c r="CS173" s="49"/>
      <c r="CT173" s="53"/>
      <c r="CU173" s="49"/>
      <c r="CV173" s="53"/>
      <c r="CW173" s="49"/>
      <c r="CX173" s="53"/>
      <c r="CY173" s="49"/>
      <c r="DA173" s="49"/>
      <c r="DC173" s="49"/>
      <c r="DD173" s="53"/>
      <c r="DE173" s="49"/>
      <c r="DF173" s="53"/>
      <c r="DG173" s="49"/>
      <c r="DH173" s="53"/>
      <c r="DI173" s="49"/>
      <c r="DK173" s="49"/>
      <c r="DL173" s="53"/>
      <c r="DM173" s="49"/>
      <c r="DN173" s="53"/>
      <c r="DO173" s="49"/>
      <c r="DQ173" s="49"/>
      <c r="EQ173" s="48"/>
      <c r="ER173" s="48"/>
      <c r="ES173" s="49"/>
      <c r="ET173" s="48"/>
      <c r="EU173" s="49"/>
      <c r="EV173" s="48"/>
      <c r="EW173" s="49"/>
      <c r="EX173" s="48"/>
      <c r="EY173" s="49"/>
      <c r="EZ173" s="52"/>
      <c r="FA173" s="49"/>
      <c r="FB173" s="48"/>
      <c r="FC173" s="49"/>
      <c r="FD173" s="52"/>
      <c r="FE173" s="49"/>
      <c r="FF173" s="53"/>
      <c r="FG173" s="49"/>
      <c r="FH173" s="52"/>
      <c r="FI173" s="49"/>
      <c r="FJ173" s="48"/>
      <c r="FK173" s="49"/>
      <c r="FL173" s="53"/>
      <c r="FM173" s="49"/>
      <c r="FN173" s="53"/>
      <c r="FO173" s="49"/>
      <c r="FP173" s="53"/>
      <c r="FQ173" s="49"/>
      <c r="FR173" s="48"/>
      <c r="FS173" s="49"/>
      <c r="FT173" s="48"/>
      <c r="FU173" s="49"/>
      <c r="FV173" s="53"/>
      <c r="FW173" s="49"/>
      <c r="FX173" s="53"/>
      <c r="FY173" s="49"/>
      <c r="FZ173" s="53"/>
      <c r="GA173" s="49"/>
      <c r="GB173" s="48"/>
      <c r="GC173" s="49"/>
      <c r="GD173" s="53"/>
      <c r="GE173" s="49"/>
      <c r="GF173" s="53"/>
      <c r="GG173" s="49"/>
      <c r="GH173" s="48"/>
      <c r="GI173" s="49"/>
      <c r="GJ173" s="48"/>
      <c r="GK173" s="48"/>
      <c r="GL173" s="48"/>
      <c r="GM173" s="48"/>
      <c r="GN173" s="48"/>
      <c r="GO173" s="48"/>
      <c r="GP173" s="48"/>
      <c r="GQ173" s="48"/>
      <c r="GR173" s="48"/>
      <c r="GS173" s="48"/>
      <c r="GT173" s="48"/>
      <c r="GU173" s="48"/>
      <c r="GV173" s="48"/>
      <c r="GW173" s="48"/>
      <c r="GX173" s="48"/>
      <c r="GY173" s="48"/>
      <c r="GZ173" s="48"/>
      <c r="HA173" s="48"/>
      <c r="HB173" s="48"/>
      <c r="HC173" s="48"/>
      <c r="HD173" s="48"/>
      <c r="HE173" s="48"/>
      <c r="HF173" s="48"/>
      <c r="HG173" s="48"/>
    </row>
    <row r="174" spans="11:215" x14ac:dyDescent="0.3">
      <c r="K174" s="49"/>
      <c r="M174" s="49"/>
      <c r="O174" s="49"/>
      <c r="Q174" s="49"/>
      <c r="S174" s="49"/>
      <c r="U174" s="49"/>
      <c r="V174" s="53"/>
      <c r="W174" s="49"/>
      <c r="Y174" s="49"/>
      <c r="AA174" s="49"/>
      <c r="AB174" s="53"/>
      <c r="AC174" s="49"/>
      <c r="AD174" s="53"/>
      <c r="AE174" s="49"/>
      <c r="AF174" s="53"/>
      <c r="AG174" s="49"/>
      <c r="AI174" s="49"/>
      <c r="AK174" s="49"/>
      <c r="AL174" s="53"/>
      <c r="AM174" s="49"/>
      <c r="AN174" s="53"/>
      <c r="AO174" s="49"/>
      <c r="AP174" s="53"/>
      <c r="AQ174" s="49"/>
      <c r="AS174" s="49"/>
      <c r="AT174" s="53"/>
      <c r="AU174" s="49"/>
      <c r="AV174" s="53"/>
      <c r="AW174" s="49"/>
      <c r="AY174" s="49"/>
      <c r="CA174" s="49"/>
      <c r="CC174" s="49"/>
      <c r="CE174" s="49"/>
      <c r="CG174" s="49"/>
      <c r="CH174" s="52"/>
      <c r="CI174" s="49"/>
      <c r="CK174" s="49"/>
      <c r="CL174" s="52"/>
      <c r="CM174" s="49"/>
      <c r="CN174" s="53"/>
      <c r="CO174" s="49"/>
      <c r="CP174" s="52"/>
      <c r="CQ174" s="49"/>
      <c r="CS174" s="49"/>
      <c r="CT174" s="53"/>
      <c r="CU174" s="49"/>
      <c r="CV174" s="53"/>
      <c r="CW174" s="49"/>
      <c r="CX174" s="53"/>
      <c r="CY174" s="49"/>
      <c r="DA174" s="49"/>
      <c r="DC174" s="49"/>
      <c r="DD174" s="53"/>
      <c r="DE174" s="49"/>
      <c r="DF174" s="53"/>
      <c r="DG174" s="49"/>
      <c r="DH174" s="53"/>
      <c r="DI174" s="49"/>
      <c r="DK174" s="49"/>
      <c r="DL174" s="53"/>
      <c r="DM174" s="49"/>
      <c r="DN174" s="53"/>
      <c r="DO174" s="49"/>
      <c r="DQ174" s="49"/>
      <c r="EQ174" s="48"/>
      <c r="ER174" s="48"/>
      <c r="ES174" s="49"/>
      <c r="ET174" s="48"/>
      <c r="EU174" s="49"/>
      <c r="EV174" s="48"/>
      <c r="EW174" s="49"/>
      <c r="EX174" s="48"/>
      <c r="EY174" s="49"/>
      <c r="EZ174" s="52"/>
      <c r="FA174" s="49"/>
      <c r="FB174" s="48"/>
      <c r="FC174" s="49"/>
      <c r="FD174" s="52"/>
      <c r="FE174" s="49"/>
      <c r="FF174" s="53"/>
      <c r="FG174" s="49"/>
      <c r="FH174" s="52"/>
      <c r="FI174" s="49"/>
      <c r="FJ174" s="48"/>
      <c r="FK174" s="49"/>
      <c r="FL174" s="53"/>
      <c r="FM174" s="49"/>
      <c r="FN174" s="53"/>
      <c r="FO174" s="49"/>
      <c r="FP174" s="53"/>
      <c r="FQ174" s="49"/>
      <c r="FR174" s="48"/>
      <c r="FS174" s="49"/>
      <c r="FT174" s="48"/>
      <c r="FU174" s="49"/>
      <c r="FV174" s="53"/>
      <c r="FW174" s="49"/>
      <c r="FX174" s="53"/>
      <c r="FY174" s="49"/>
      <c r="FZ174" s="53"/>
      <c r="GA174" s="49"/>
      <c r="GB174" s="48"/>
      <c r="GC174" s="49"/>
      <c r="GD174" s="53"/>
      <c r="GE174" s="49"/>
      <c r="GF174" s="53"/>
      <c r="GG174" s="49"/>
      <c r="GH174" s="48"/>
      <c r="GI174" s="49"/>
      <c r="GJ174" s="48"/>
      <c r="GK174" s="48"/>
      <c r="GL174" s="48"/>
      <c r="GM174" s="48"/>
      <c r="GN174" s="48"/>
      <c r="GO174" s="48"/>
      <c r="GP174" s="48"/>
      <c r="GQ174" s="48"/>
      <c r="GR174" s="48"/>
      <c r="GS174" s="48"/>
      <c r="GT174" s="48"/>
      <c r="GU174" s="48"/>
      <c r="GV174" s="48"/>
      <c r="GW174" s="48"/>
      <c r="GX174" s="48"/>
      <c r="GY174" s="48"/>
      <c r="GZ174" s="48"/>
      <c r="HA174" s="48"/>
      <c r="HB174" s="48"/>
      <c r="HC174" s="48"/>
      <c r="HD174" s="48"/>
      <c r="HE174" s="48"/>
      <c r="HF174" s="48"/>
      <c r="HG174" s="48"/>
    </row>
    <row r="175" spans="11:215" x14ac:dyDescent="0.3">
      <c r="K175" s="49"/>
      <c r="M175" s="49"/>
      <c r="O175" s="49"/>
      <c r="Q175" s="49"/>
      <c r="S175" s="49"/>
      <c r="U175" s="49"/>
      <c r="V175" s="53"/>
      <c r="W175" s="49"/>
      <c r="Y175" s="49"/>
      <c r="AA175" s="49"/>
      <c r="AB175" s="53"/>
      <c r="AC175" s="49"/>
      <c r="AD175" s="53"/>
      <c r="AE175" s="49"/>
      <c r="AF175" s="53"/>
      <c r="AG175" s="49"/>
      <c r="AI175" s="49"/>
      <c r="AK175" s="49"/>
      <c r="AL175" s="53"/>
      <c r="AM175" s="49"/>
      <c r="AN175" s="53"/>
      <c r="AO175" s="49"/>
      <c r="AP175" s="53"/>
      <c r="AQ175" s="49"/>
      <c r="AS175" s="49"/>
      <c r="AT175" s="53"/>
      <c r="AU175" s="49"/>
      <c r="AV175" s="53"/>
      <c r="AW175" s="49"/>
      <c r="AY175" s="49"/>
      <c r="CA175" s="49"/>
      <c r="CC175" s="49"/>
      <c r="CE175" s="49"/>
      <c r="CG175" s="49"/>
      <c r="CH175" s="52"/>
      <c r="CI175" s="49"/>
      <c r="CK175" s="49"/>
      <c r="CL175" s="52"/>
      <c r="CM175" s="49"/>
      <c r="CN175" s="53"/>
      <c r="CO175" s="49"/>
      <c r="CP175" s="52"/>
      <c r="CQ175" s="49"/>
      <c r="CS175" s="49"/>
      <c r="CT175" s="53"/>
      <c r="CU175" s="49"/>
      <c r="CV175" s="53"/>
      <c r="CW175" s="49"/>
      <c r="CX175" s="53"/>
      <c r="CY175" s="49"/>
      <c r="DA175" s="49"/>
      <c r="DC175" s="49"/>
      <c r="DD175" s="53"/>
      <c r="DE175" s="49"/>
      <c r="DF175" s="53"/>
      <c r="DG175" s="49"/>
      <c r="DH175" s="53"/>
      <c r="DI175" s="49"/>
      <c r="DK175" s="49"/>
      <c r="DL175" s="53"/>
      <c r="DM175" s="49"/>
      <c r="DN175" s="53"/>
      <c r="DO175" s="49"/>
      <c r="DQ175" s="49"/>
      <c r="EQ175" s="48"/>
      <c r="ER175" s="48"/>
      <c r="ES175" s="49"/>
      <c r="ET175" s="48"/>
      <c r="EU175" s="49"/>
      <c r="EV175" s="48"/>
      <c r="EW175" s="49"/>
      <c r="EX175" s="48"/>
      <c r="EY175" s="49"/>
      <c r="EZ175" s="52"/>
      <c r="FA175" s="49"/>
      <c r="FB175" s="48"/>
      <c r="FC175" s="49"/>
      <c r="FD175" s="52"/>
      <c r="FE175" s="49"/>
      <c r="FF175" s="53"/>
      <c r="FG175" s="49"/>
      <c r="FH175" s="52"/>
      <c r="FI175" s="49"/>
      <c r="FJ175" s="48"/>
      <c r="FK175" s="49"/>
      <c r="FL175" s="53"/>
      <c r="FM175" s="49"/>
      <c r="FN175" s="53"/>
      <c r="FO175" s="49"/>
      <c r="FP175" s="53"/>
      <c r="FQ175" s="49"/>
      <c r="FR175" s="48"/>
      <c r="FS175" s="49"/>
      <c r="FT175" s="48"/>
      <c r="FU175" s="49"/>
      <c r="FV175" s="53"/>
      <c r="FW175" s="49"/>
      <c r="FX175" s="53"/>
      <c r="FY175" s="49"/>
      <c r="FZ175" s="53"/>
      <c r="GA175" s="49"/>
      <c r="GB175" s="48"/>
      <c r="GC175" s="49"/>
      <c r="GD175" s="53"/>
      <c r="GE175" s="49"/>
      <c r="GF175" s="53"/>
      <c r="GG175" s="49"/>
      <c r="GH175" s="48"/>
      <c r="GI175" s="49"/>
      <c r="GJ175" s="48"/>
      <c r="GK175" s="48"/>
      <c r="GL175" s="48"/>
      <c r="GM175" s="48"/>
      <c r="GN175" s="48"/>
      <c r="GO175" s="48"/>
      <c r="GP175" s="48"/>
      <c r="GQ175" s="48"/>
      <c r="GR175" s="48"/>
      <c r="GS175" s="48"/>
      <c r="GT175" s="48"/>
      <c r="GU175" s="48"/>
      <c r="GV175" s="48"/>
      <c r="GW175" s="48"/>
      <c r="GX175" s="48"/>
      <c r="GY175" s="48"/>
      <c r="GZ175" s="48"/>
      <c r="HA175" s="48"/>
      <c r="HB175" s="48"/>
      <c r="HC175" s="48"/>
      <c r="HD175" s="48"/>
      <c r="HE175" s="48"/>
      <c r="HF175" s="48"/>
      <c r="HG175" s="48"/>
    </row>
    <row r="176" spans="11:215" x14ac:dyDescent="0.3">
      <c r="K176" s="49"/>
      <c r="M176" s="49"/>
      <c r="O176" s="49"/>
      <c r="Q176" s="49"/>
      <c r="S176" s="49"/>
      <c r="U176" s="49"/>
      <c r="V176" s="53"/>
      <c r="W176" s="49"/>
      <c r="Y176" s="49"/>
      <c r="AA176" s="49"/>
      <c r="AB176" s="53"/>
      <c r="AC176" s="49"/>
      <c r="AD176" s="53"/>
      <c r="AE176" s="49"/>
      <c r="AF176" s="53"/>
      <c r="AG176" s="49"/>
      <c r="AI176" s="49"/>
      <c r="AK176" s="49"/>
      <c r="AL176" s="53"/>
      <c r="AM176" s="49"/>
      <c r="AN176" s="53"/>
      <c r="AO176" s="49"/>
      <c r="AP176" s="53"/>
      <c r="AQ176" s="49"/>
      <c r="AS176" s="49"/>
      <c r="AT176" s="53"/>
      <c r="AU176" s="49"/>
      <c r="AV176" s="53"/>
      <c r="AW176" s="49"/>
      <c r="AY176" s="49"/>
      <c r="CA176" s="49"/>
      <c r="CC176" s="49"/>
      <c r="CE176" s="49"/>
      <c r="CG176" s="49"/>
      <c r="CH176" s="52"/>
      <c r="CI176" s="49"/>
      <c r="CK176" s="49"/>
      <c r="CL176" s="52"/>
      <c r="CM176" s="49"/>
      <c r="CN176" s="53"/>
      <c r="CO176" s="49"/>
      <c r="CP176" s="52"/>
      <c r="CQ176" s="49"/>
      <c r="CS176" s="49"/>
      <c r="CT176" s="53"/>
      <c r="CU176" s="49"/>
      <c r="CV176" s="53"/>
      <c r="CW176" s="49"/>
      <c r="CX176" s="53"/>
      <c r="CY176" s="49"/>
      <c r="DA176" s="49"/>
      <c r="DC176" s="49"/>
      <c r="DD176" s="53"/>
      <c r="DE176" s="49"/>
      <c r="DF176" s="53"/>
      <c r="DG176" s="49"/>
      <c r="DH176" s="53"/>
      <c r="DI176" s="49"/>
      <c r="DK176" s="49"/>
      <c r="DL176" s="53"/>
      <c r="DM176" s="49"/>
      <c r="DN176" s="53"/>
      <c r="DO176" s="49"/>
      <c r="DQ176" s="49"/>
      <c r="EQ176" s="48"/>
      <c r="ER176" s="48"/>
      <c r="ES176" s="49"/>
      <c r="ET176" s="48"/>
      <c r="EU176" s="49"/>
      <c r="EV176" s="48"/>
      <c r="EW176" s="49"/>
      <c r="EX176" s="48"/>
      <c r="EY176" s="49"/>
      <c r="EZ176" s="52"/>
      <c r="FA176" s="49"/>
      <c r="FB176" s="48"/>
      <c r="FC176" s="49"/>
      <c r="FD176" s="52"/>
      <c r="FE176" s="49"/>
      <c r="FF176" s="53"/>
      <c r="FG176" s="49"/>
      <c r="FH176" s="52"/>
      <c r="FI176" s="49"/>
      <c r="FJ176" s="48"/>
      <c r="FK176" s="49"/>
      <c r="FL176" s="53"/>
      <c r="FM176" s="49"/>
      <c r="FN176" s="53"/>
      <c r="FO176" s="49"/>
      <c r="FP176" s="53"/>
      <c r="FQ176" s="49"/>
      <c r="FR176" s="48"/>
      <c r="FS176" s="49"/>
      <c r="FT176" s="48"/>
      <c r="FU176" s="49"/>
      <c r="FV176" s="53"/>
      <c r="FW176" s="49"/>
      <c r="FX176" s="53"/>
      <c r="FY176" s="49"/>
      <c r="FZ176" s="53"/>
      <c r="GA176" s="49"/>
      <c r="GB176" s="48"/>
      <c r="GC176" s="49"/>
      <c r="GD176" s="53"/>
      <c r="GE176" s="49"/>
      <c r="GF176" s="53"/>
      <c r="GG176" s="49"/>
      <c r="GH176" s="48"/>
      <c r="GI176" s="49"/>
      <c r="GJ176" s="48"/>
      <c r="GK176" s="48"/>
      <c r="GL176" s="48"/>
      <c r="GM176" s="48"/>
      <c r="GN176" s="48"/>
      <c r="GO176" s="48"/>
      <c r="GP176" s="48"/>
      <c r="GQ176" s="48"/>
      <c r="GR176" s="48"/>
      <c r="GS176" s="48"/>
      <c r="GT176" s="48"/>
      <c r="GU176" s="48"/>
      <c r="GV176" s="48"/>
      <c r="GW176" s="48"/>
      <c r="GX176" s="48"/>
      <c r="GY176" s="48"/>
      <c r="GZ176" s="48"/>
      <c r="HA176" s="48"/>
      <c r="HB176" s="48"/>
      <c r="HC176" s="48"/>
      <c r="HD176" s="48"/>
      <c r="HE176" s="48"/>
      <c r="HF176" s="48"/>
      <c r="HG176" s="48"/>
    </row>
    <row r="177" spans="11:215" x14ac:dyDescent="0.3">
      <c r="K177" s="49"/>
      <c r="M177" s="49"/>
      <c r="O177" s="49"/>
      <c r="Q177" s="49"/>
      <c r="S177" s="49"/>
      <c r="U177" s="49"/>
      <c r="V177" s="53"/>
      <c r="W177" s="49"/>
      <c r="Y177" s="49"/>
      <c r="AA177" s="49"/>
      <c r="AB177" s="53"/>
      <c r="AC177" s="49"/>
      <c r="AD177" s="53"/>
      <c r="AE177" s="49"/>
      <c r="AF177" s="53"/>
      <c r="AG177" s="49"/>
      <c r="AI177" s="49"/>
      <c r="AK177" s="49"/>
      <c r="AL177" s="53"/>
      <c r="AM177" s="49"/>
      <c r="AN177" s="53"/>
      <c r="AO177" s="49"/>
      <c r="AP177" s="53"/>
      <c r="AQ177" s="49"/>
      <c r="AS177" s="49"/>
      <c r="AT177" s="53"/>
      <c r="AU177" s="49"/>
      <c r="AV177" s="53"/>
      <c r="AW177" s="49"/>
      <c r="AY177" s="49"/>
      <c r="CA177" s="49"/>
      <c r="CC177" s="49"/>
      <c r="CE177" s="49"/>
      <c r="CG177" s="49"/>
      <c r="CH177" s="52"/>
      <c r="CI177" s="49"/>
      <c r="CK177" s="49"/>
      <c r="CL177" s="52"/>
      <c r="CM177" s="49"/>
      <c r="CN177" s="53"/>
      <c r="CO177" s="49"/>
      <c r="CP177" s="52"/>
      <c r="CQ177" s="49"/>
      <c r="CS177" s="49"/>
      <c r="CT177" s="53"/>
      <c r="CU177" s="49"/>
      <c r="CV177" s="53"/>
      <c r="CW177" s="49"/>
      <c r="CX177" s="53"/>
      <c r="CY177" s="49"/>
      <c r="DA177" s="49"/>
      <c r="DC177" s="49"/>
      <c r="DD177" s="53"/>
      <c r="DE177" s="49"/>
      <c r="DF177" s="53"/>
      <c r="DG177" s="49"/>
      <c r="DH177" s="53"/>
      <c r="DI177" s="49"/>
      <c r="DK177" s="49"/>
      <c r="DL177" s="53"/>
      <c r="DM177" s="49"/>
      <c r="DN177" s="53"/>
      <c r="DO177" s="49"/>
      <c r="DQ177" s="49"/>
      <c r="EQ177" s="48"/>
      <c r="ER177" s="48"/>
      <c r="ES177" s="49"/>
      <c r="ET177" s="48"/>
      <c r="EU177" s="49"/>
      <c r="EV177" s="48"/>
      <c r="EW177" s="49"/>
      <c r="EX177" s="48"/>
      <c r="EY177" s="49"/>
      <c r="EZ177" s="52"/>
      <c r="FA177" s="49"/>
      <c r="FB177" s="48"/>
      <c r="FC177" s="49"/>
      <c r="FD177" s="52"/>
      <c r="FE177" s="49"/>
      <c r="FF177" s="53"/>
      <c r="FG177" s="49"/>
      <c r="FH177" s="52"/>
      <c r="FI177" s="49"/>
      <c r="FJ177" s="48"/>
      <c r="FK177" s="49"/>
      <c r="FL177" s="53"/>
      <c r="FM177" s="49"/>
      <c r="FN177" s="53"/>
      <c r="FO177" s="49"/>
      <c r="FP177" s="53"/>
      <c r="FQ177" s="49"/>
      <c r="FR177" s="48"/>
      <c r="FS177" s="49"/>
      <c r="FT177" s="48"/>
      <c r="FU177" s="49"/>
      <c r="FV177" s="53"/>
      <c r="FW177" s="49"/>
      <c r="FX177" s="53"/>
      <c r="FY177" s="49"/>
      <c r="FZ177" s="53"/>
      <c r="GA177" s="49"/>
      <c r="GB177" s="48"/>
      <c r="GC177" s="49"/>
      <c r="GD177" s="53"/>
      <c r="GE177" s="49"/>
      <c r="GF177" s="53"/>
      <c r="GG177" s="49"/>
      <c r="GH177" s="48"/>
      <c r="GI177" s="49"/>
      <c r="GJ177" s="48"/>
      <c r="GK177" s="48"/>
      <c r="GL177" s="48"/>
      <c r="GM177" s="48"/>
      <c r="GN177" s="48"/>
      <c r="GO177" s="48"/>
      <c r="GP177" s="48"/>
      <c r="GQ177" s="48"/>
      <c r="GR177" s="48"/>
      <c r="GS177" s="48"/>
      <c r="GT177" s="48"/>
      <c r="GU177" s="48"/>
      <c r="GV177" s="48"/>
      <c r="GW177" s="48"/>
      <c r="GX177" s="48"/>
      <c r="GY177" s="48"/>
      <c r="GZ177" s="48"/>
      <c r="HA177" s="48"/>
      <c r="HB177" s="48"/>
      <c r="HC177" s="48"/>
      <c r="HD177" s="48"/>
      <c r="HE177" s="48"/>
      <c r="HF177" s="48"/>
      <c r="HG177" s="48"/>
    </row>
    <row r="178" spans="11:215" x14ac:dyDescent="0.3">
      <c r="K178" s="49"/>
      <c r="M178" s="49"/>
      <c r="O178" s="49"/>
      <c r="Q178" s="49"/>
      <c r="S178" s="49"/>
      <c r="U178" s="49"/>
      <c r="V178" s="53"/>
      <c r="W178" s="49"/>
      <c r="Y178" s="49"/>
      <c r="AA178" s="49"/>
      <c r="AB178" s="53"/>
      <c r="AC178" s="49"/>
      <c r="AD178" s="53"/>
      <c r="AE178" s="49"/>
      <c r="AF178" s="53"/>
      <c r="AG178" s="49"/>
      <c r="AI178" s="49"/>
      <c r="AK178" s="49"/>
      <c r="AL178" s="53"/>
      <c r="AM178" s="49"/>
      <c r="AN178" s="53"/>
      <c r="AO178" s="49"/>
      <c r="AP178" s="53"/>
      <c r="AQ178" s="49"/>
      <c r="AS178" s="49"/>
      <c r="AT178" s="53"/>
      <c r="AU178" s="49"/>
      <c r="AV178" s="53"/>
      <c r="AW178" s="49"/>
      <c r="AY178" s="49"/>
      <c r="CA178" s="49"/>
      <c r="CC178" s="49"/>
      <c r="CE178" s="49"/>
      <c r="CG178" s="49"/>
      <c r="CH178" s="52"/>
      <c r="CI178" s="49"/>
      <c r="CK178" s="49"/>
      <c r="CL178" s="52"/>
      <c r="CM178" s="49"/>
      <c r="CN178" s="53"/>
      <c r="CO178" s="49"/>
      <c r="CP178" s="52"/>
      <c r="CQ178" s="49"/>
      <c r="CS178" s="49"/>
      <c r="CT178" s="53"/>
      <c r="CU178" s="49"/>
      <c r="CV178" s="53"/>
      <c r="CW178" s="49"/>
      <c r="CX178" s="53"/>
      <c r="CY178" s="49"/>
      <c r="DA178" s="49"/>
      <c r="DC178" s="49"/>
      <c r="DD178" s="53"/>
      <c r="DE178" s="49"/>
      <c r="DF178" s="53"/>
      <c r="DG178" s="49"/>
      <c r="DH178" s="53"/>
      <c r="DI178" s="49"/>
      <c r="DK178" s="49"/>
      <c r="DL178" s="53"/>
      <c r="DM178" s="49"/>
      <c r="DN178" s="53"/>
      <c r="DO178" s="49"/>
      <c r="DQ178" s="49"/>
      <c r="EQ178" s="48"/>
      <c r="ER178" s="48"/>
      <c r="ES178" s="49"/>
      <c r="ET178" s="48"/>
      <c r="EU178" s="49"/>
      <c r="EV178" s="48"/>
      <c r="EW178" s="49"/>
      <c r="EX178" s="48"/>
      <c r="EY178" s="49"/>
      <c r="EZ178" s="52"/>
      <c r="FA178" s="49"/>
      <c r="FB178" s="48"/>
      <c r="FC178" s="49"/>
      <c r="FD178" s="52"/>
      <c r="FE178" s="49"/>
      <c r="FF178" s="53"/>
      <c r="FG178" s="49"/>
      <c r="FH178" s="52"/>
      <c r="FI178" s="49"/>
      <c r="FJ178" s="48"/>
      <c r="FK178" s="49"/>
      <c r="FL178" s="53"/>
      <c r="FM178" s="49"/>
      <c r="FN178" s="53"/>
      <c r="FO178" s="49"/>
      <c r="FP178" s="53"/>
      <c r="FQ178" s="49"/>
      <c r="FR178" s="48"/>
      <c r="FS178" s="49"/>
      <c r="FT178" s="48"/>
      <c r="FU178" s="49"/>
      <c r="FV178" s="53"/>
      <c r="FW178" s="49"/>
      <c r="FX178" s="53"/>
      <c r="FY178" s="49"/>
      <c r="FZ178" s="53"/>
      <c r="GA178" s="49"/>
      <c r="GB178" s="48"/>
      <c r="GC178" s="49"/>
      <c r="GD178" s="53"/>
      <c r="GE178" s="49"/>
      <c r="GF178" s="53"/>
      <c r="GG178" s="49"/>
      <c r="GH178" s="48"/>
      <c r="GI178" s="49"/>
      <c r="GJ178" s="48"/>
      <c r="GK178" s="48"/>
      <c r="GL178" s="48"/>
      <c r="GM178" s="48"/>
      <c r="GN178" s="48"/>
      <c r="GO178" s="48"/>
      <c r="GP178" s="48"/>
      <c r="GQ178" s="48"/>
      <c r="GR178" s="48"/>
      <c r="GS178" s="48"/>
      <c r="GT178" s="48"/>
      <c r="GU178" s="48"/>
      <c r="GV178" s="48"/>
      <c r="GW178" s="48"/>
      <c r="GX178" s="48"/>
      <c r="GY178" s="48"/>
      <c r="GZ178" s="48"/>
      <c r="HA178" s="48"/>
      <c r="HB178" s="48"/>
      <c r="HC178" s="48"/>
      <c r="HD178" s="48"/>
      <c r="HE178" s="48"/>
      <c r="HF178" s="48"/>
      <c r="HG178" s="48"/>
    </row>
    <row r="179" spans="11:215" x14ac:dyDescent="0.3">
      <c r="K179" s="49"/>
      <c r="M179" s="49"/>
      <c r="O179" s="49"/>
      <c r="Q179" s="49"/>
      <c r="S179" s="49"/>
      <c r="U179" s="49"/>
      <c r="V179" s="53"/>
      <c r="W179" s="49"/>
      <c r="Y179" s="49"/>
      <c r="AA179" s="49"/>
      <c r="AB179" s="53"/>
      <c r="AC179" s="49"/>
      <c r="AD179" s="53"/>
      <c r="AE179" s="49"/>
      <c r="AF179" s="53"/>
      <c r="AG179" s="49"/>
      <c r="AI179" s="49"/>
      <c r="AK179" s="49"/>
      <c r="AL179" s="53"/>
      <c r="AM179" s="49"/>
      <c r="AN179" s="53"/>
      <c r="AO179" s="49"/>
      <c r="AP179" s="53"/>
      <c r="AQ179" s="49"/>
      <c r="AS179" s="49"/>
      <c r="AT179" s="53"/>
      <c r="AU179" s="49"/>
      <c r="AV179" s="53"/>
      <c r="AW179" s="49"/>
      <c r="AY179" s="49"/>
      <c r="CA179" s="49"/>
      <c r="CC179" s="49"/>
      <c r="CE179" s="49"/>
      <c r="CG179" s="49"/>
      <c r="CH179" s="52"/>
      <c r="CI179" s="49"/>
      <c r="CK179" s="49"/>
      <c r="CL179" s="52"/>
      <c r="CM179" s="49"/>
      <c r="CN179" s="53"/>
      <c r="CO179" s="49"/>
      <c r="CP179" s="52"/>
      <c r="CQ179" s="49"/>
      <c r="CS179" s="49"/>
      <c r="CT179" s="53"/>
      <c r="CU179" s="49"/>
      <c r="CV179" s="53"/>
      <c r="CW179" s="49"/>
      <c r="CX179" s="53"/>
      <c r="CY179" s="49"/>
      <c r="DA179" s="49"/>
      <c r="DC179" s="49"/>
      <c r="DD179" s="53"/>
      <c r="DE179" s="49"/>
      <c r="DF179" s="53"/>
      <c r="DG179" s="49"/>
      <c r="DH179" s="53"/>
      <c r="DI179" s="49"/>
      <c r="DK179" s="49"/>
      <c r="DL179" s="53"/>
      <c r="DM179" s="49"/>
      <c r="DN179" s="53"/>
      <c r="DO179" s="49"/>
      <c r="DQ179" s="49"/>
      <c r="EQ179" s="48"/>
      <c r="ER179" s="48"/>
      <c r="ES179" s="49"/>
      <c r="ET179" s="48"/>
      <c r="EU179" s="49"/>
      <c r="EV179" s="48"/>
      <c r="EW179" s="49"/>
      <c r="EX179" s="48"/>
      <c r="EY179" s="49"/>
      <c r="EZ179" s="52"/>
      <c r="FA179" s="49"/>
      <c r="FB179" s="48"/>
      <c r="FC179" s="49"/>
      <c r="FD179" s="52"/>
      <c r="FE179" s="49"/>
      <c r="FF179" s="53"/>
      <c r="FG179" s="49"/>
      <c r="FH179" s="52"/>
      <c r="FI179" s="49"/>
      <c r="FJ179" s="48"/>
      <c r="FK179" s="49"/>
      <c r="FL179" s="53"/>
      <c r="FM179" s="49"/>
      <c r="FN179" s="53"/>
      <c r="FO179" s="49"/>
      <c r="FP179" s="53"/>
      <c r="FQ179" s="49"/>
      <c r="FR179" s="48"/>
      <c r="FS179" s="49"/>
      <c r="FT179" s="48"/>
      <c r="FU179" s="49"/>
      <c r="FV179" s="53"/>
      <c r="FW179" s="49"/>
      <c r="FX179" s="53"/>
      <c r="FY179" s="49"/>
      <c r="FZ179" s="53"/>
      <c r="GA179" s="49"/>
      <c r="GB179" s="48"/>
      <c r="GC179" s="49"/>
      <c r="GD179" s="53"/>
      <c r="GE179" s="49"/>
      <c r="GF179" s="53"/>
      <c r="GG179" s="49"/>
      <c r="GH179" s="48"/>
      <c r="GI179" s="49"/>
      <c r="GJ179" s="48"/>
      <c r="GK179" s="48"/>
      <c r="GL179" s="48"/>
      <c r="GM179" s="48"/>
      <c r="GN179" s="48"/>
      <c r="GO179" s="48"/>
      <c r="GP179" s="48"/>
      <c r="GQ179" s="48"/>
      <c r="GR179" s="48"/>
      <c r="GS179" s="48"/>
      <c r="GT179" s="48"/>
      <c r="GU179" s="48"/>
      <c r="GV179" s="48"/>
      <c r="GW179" s="48"/>
      <c r="GX179" s="48"/>
      <c r="GY179" s="48"/>
      <c r="GZ179" s="48"/>
      <c r="HA179" s="48"/>
      <c r="HB179" s="48"/>
      <c r="HC179" s="48"/>
      <c r="HD179" s="48"/>
      <c r="HE179" s="48"/>
      <c r="HF179" s="48"/>
      <c r="HG179" s="48"/>
    </row>
    <row r="180" spans="11:215" x14ac:dyDescent="0.3">
      <c r="K180" s="49"/>
      <c r="M180" s="49"/>
      <c r="O180" s="49"/>
      <c r="Q180" s="49"/>
      <c r="S180" s="49"/>
      <c r="U180" s="49"/>
      <c r="V180" s="53"/>
      <c r="W180" s="49"/>
      <c r="Y180" s="49"/>
      <c r="AA180" s="49"/>
      <c r="AB180" s="53"/>
      <c r="AC180" s="49"/>
      <c r="AD180" s="53"/>
      <c r="AE180" s="49"/>
      <c r="AF180" s="53"/>
      <c r="AG180" s="49"/>
      <c r="AI180" s="49"/>
      <c r="AK180" s="49"/>
      <c r="AL180" s="53"/>
      <c r="AM180" s="49"/>
      <c r="AN180" s="53"/>
      <c r="AO180" s="49"/>
      <c r="AP180" s="53"/>
      <c r="AQ180" s="49"/>
      <c r="AS180" s="49"/>
      <c r="AT180" s="53"/>
      <c r="AU180" s="49"/>
      <c r="AV180" s="53"/>
      <c r="AW180" s="49"/>
      <c r="AY180" s="49"/>
      <c r="CA180" s="49"/>
      <c r="CC180" s="49"/>
      <c r="CE180" s="49"/>
      <c r="CG180" s="49"/>
      <c r="CH180" s="52"/>
      <c r="CI180" s="49"/>
      <c r="CK180" s="49"/>
      <c r="CL180" s="52"/>
      <c r="CM180" s="49"/>
      <c r="CN180" s="53"/>
      <c r="CO180" s="49"/>
      <c r="CP180" s="52"/>
      <c r="CQ180" s="49"/>
      <c r="CS180" s="49"/>
      <c r="CT180" s="53"/>
      <c r="CU180" s="49"/>
      <c r="CV180" s="53"/>
      <c r="CW180" s="49"/>
      <c r="CX180" s="53"/>
      <c r="CY180" s="49"/>
      <c r="DA180" s="49"/>
      <c r="DC180" s="49"/>
      <c r="DD180" s="53"/>
      <c r="DE180" s="49"/>
      <c r="DF180" s="53"/>
      <c r="DG180" s="49"/>
      <c r="DH180" s="53"/>
      <c r="DI180" s="49"/>
      <c r="DK180" s="49"/>
      <c r="DL180" s="53"/>
      <c r="DM180" s="49"/>
      <c r="DN180" s="53"/>
      <c r="DO180" s="49"/>
      <c r="DQ180" s="49"/>
      <c r="EQ180" s="48"/>
      <c r="ER180" s="48"/>
      <c r="ES180" s="49"/>
      <c r="ET180" s="48"/>
      <c r="EU180" s="49"/>
      <c r="EV180" s="48"/>
      <c r="EW180" s="49"/>
      <c r="EX180" s="48"/>
      <c r="EY180" s="49"/>
      <c r="EZ180" s="52"/>
      <c r="FA180" s="49"/>
      <c r="FB180" s="48"/>
      <c r="FC180" s="49"/>
      <c r="FD180" s="52"/>
      <c r="FE180" s="49"/>
      <c r="FF180" s="53"/>
      <c r="FG180" s="49"/>
      <c r="FH180" s="52"/>
      <c r="FI180" s="49"/>
      <c r="FJ180" s="48"/>
      <c r="FK180" s="49"/>
      <c r="FL180" s="53"/>
      <c r="FM180" s="49"/>
      <c r="FN180" s="53"/>
      <c r="FO180" s="49"/>
      <c r="FP180" s="53"/>
      <c r="FQ180" s="49"/>
      <c r="FR180" s="48"/>
      <c r="FS180" s="49"/>
      <c r="FT180" s="48"/>
      <c r="FU180" s="49"/>
      <c r="FV180" s="53"/>
      <c r="FW180" s="49"/>
      <c r="FX180" s="53"/>
      <c r="FY180" s="49"/>
      <c r="FZ180" s="53"/>
      <c r="GA180" s="49"/>
      <c r="GB180" s="48"/>
      <c r="GC180" s="49"/>
      <c r="GD180" s="53"/>
      <c r="GE180" s="49"/>
      <c r="GF180" s="53"/>
      <c r="GG180" s="49"/>
      <c r="GH180" s="48"/>
      <c r="GI180" s="49"/>
      <c r="GJ180" s="48"/>
      <c r="GK180" s="48"/>
      <c r="GL180" s="48"/>
      <c r="GM180" s="48"/>
      <c r="GN180" s="48"/>
      <c r="GO180" s="48"/>
      <c r="GP180" s="48"/>
      <c r="GQ180" s="48"/>
      <c r="GR180" s="48"/>
      <c r="GS180" s="48"/>
      <c r="GT180" s="48"/>
      <c r="GU180" s="48"/>
      <c r="GV180" s="48"/>
      <c r="GW180" s="48"/>
      <c r="GX180" s="48"/>
      <c r="GY180" s="48"/>
      <c r="GZ180" s="48"/>
      <c r="HA180" s="48"/>
      <c r="HB180" s="48"/>
      <c r="HC180" s="48"/>
      <c r="HD180" s="48"/>
      <c r="HE180" s="48"/>
      <c r="HF180" s="48"/>
      <c r="HG180" s="48"/>
    </row>
    <row r="181" spans="11:215" x14ac:dyDescent="0.3">
      <c r="K181" s="49"/>
      <c r="M181" s="49"/>
      <c r="O181" s="49"/>
      <c r="Q181" s="49"/>
      <c r="S181" s="49"/>
      <c r="U181" s="49"/>
      <c r="V181" s="53"/>
      <c r="W181" s="49"/>
      <c r="Y181" s="49"/>
      <c r="AA181" s="49"/>
      <c r="AB181" s="53"/>
      <c r="AC181" s="49"/>
      <c r="AD181" s="53"/>
      <c r="AE181" s="49"/>
      <c r="AF181" s="53"/>
      <c r="AG181" s="49"/>
      <c r="AI181" s="49"/>
      <c r="AK181" s="49"/>
      <c r="AL181" s="53"/>
      <c r="AM181" s="49"/>
      <c r="AN181" s="53"/>
      <c r="AO181" s="49"/>
      <c r="AP181" s="53"/>
      <c r="AQ181" s="49"/>
      <c r="AS181" s="49"/>
      <c r="AT181" s="53"/>
      <c r="AU181" s="49"/>
      <c r="AV181" s="53"/>
      <c r="AW181" s="49"/>
      <c r="AY181" s="49"/>
      <c r="CA181" s="49"/>
      <c r="CC181" s="49"/>
      <c r="CE181" s="49"/>
      <c r="CG181" s="49"/>
      <c r="CH181" s="52"/>
      <c r="CI181" s="49"/>
      <c r="CK181" s="49"/>
      <c r="CL181" s="52"/>
      <c r="CM181" s="49"/>
      <c r="CN181" s="53"/>
      <c r="CO181" s="49"/>
      <c r="CP181" s="52"/>
      <c r="CQ181" s="49"/>
      <c r="CS181" s="49"/>
      <c r="CT181" s="53"/>
      <c r="CU181" s="49"/>
      <c r="CV181" s="53"/>
      <c r="CW181" s="49"/>
      <c r="CX181" s="53"/>
      <c r="CY181" s="49"/>
      <c r="DA181" s="49"/>
      <c r="DC181" s="49"/>
      <c r="DD181" s="53"/>
      <c r="DE181" s="49"/>
      <c r="DF181" s="53"/>
      <c r="DG181" s="49"/>
      <c r="DH181" s="53"/>
      <c r="DI181" s="49"/>
      <c r="DK181" s="49"/>
      <c r="DL181" s="53"/>
      <c r="DM181" s="49"/>
      <c r="DN181" s="53"/>
      <c r="DO181" s="49"/>
      <c r="DQ181" s="49"/>
      <c r="EQ181" s="48"/>
      <c r="ER181" s="48"/>
      <c r="ES181" s="49"/>
      <c r="ET181" s="48"/>
      <c r="EU181" s="49"/>
      <c r="EV181" s="48"/>
      <c r="EW181" s="49"/>
      <c r="EX181" s="48"/>
      <c r="EY181" s="49"/>
      <c r="EZ181" s="52"/>
      <c r="FA181" s="49"/>
      <c r="FB181" s="48"/>
      <c r="FC181" s="49"/>
      <c r="FD181" s="52"/>
      <c r="FE181" s="49"/>
      <c r="FF181" s="53"/>
      <c r="FG181" s="49"/>
      <c r="FH181" s="52"/>
      <c r="FI181" s="49"/>
      <c r="FJ181" s="48"/>
      <c r="FK181" s="49"/>
      <c r="FL181" s="53"/>
      <c r="FM181" s="49"/>
      <c r="FN181" s="53"/>
      <c r="FO181" s="49"/>
      <c r="FP181" s="53"/>
      <c r="FQ181" s="49"/>
      <c r="FR181" s="48"/>
      <c r="FS181" s="49"/>
      <c r="FT181" s="48"/>
      <c r="FU181" s="49"/>
      <c r="FV181" s="53"/>
      <c r="FW181" s="49"/>
      <c r="FX181" s="53"/>
      <c r="FY181" s="49"/>
      <c r="FZ181" s="53"/>
      <c r="GA181" s="49"/>
      <c r="GB181" s="48"/>
      <c r="GC181" s="49"/>
      <c r="GD181" s="53"/>
      <c r="GE181" s="49"/>
      <c r="GF181" s="53"/>
      <c r="GG181" s="49"/>
      <c r="GH181" s="48"/>
      <c r="GI181" s="49"/>
      <c r="GJ181" s="48"/>
      <c r="GK181" s="48"/>
      <c r="GL181" s="48"/>
      <c r="GM181" s="48"/>
      <c r="GN181" s="48"/>
      <c r="GO181" s="48"/>
      <c r="GP181" s="48"/>
      <c r="GQ181" s="48"/>
      <c r="GR181" s="48"/>
      <c r="GS181" s="48"/>
      <c r="GT181" s="48"/>
      <c r="GU181" s="48"/>
      <c r="GV181" s="48"/>
      <c r="GW181" s="48"/>
      <c r="GX181" s="48"/>
      <c r="GY181" s="48"/>
      <c r="GZ181" s="48"/>
      <c r="HA181" s="48"/>
      <c r="HB181" s="48"/>
      <c r="HC181" s="48"/>
      <c r="HD181" s="48"/>
      <c r="HE181" s="48"/>
      <c r="HF181" s="48"/>
      <c r="HG181" s="48"/>
    </row>
    <row r="182" spans="11:215" x14ac:dyDescent="0.3">
      <c r="K182" s="49"/>
      <c r="M182" s="49"/>
      <c r="O182" s="49"/>
      <c r="Q182" s="49"/>
      <c r="S182" s="49"/>
      <c r="U182" s="49"/>
      <c r="V182" s="53"/>
      <c r="W182" s="49"/>
      <c r="Y182" s="49"/>
      <c r="AA182" s="49"/>
      <c r="AB182" s="53"/>
      <c r="AC182" s="49"/>
      <c r="AD182" s="53"/>
      <c r="AE182" s="49"/>
      <c r="AF182" s="53"/>
      <c r="AG182" s="49"/>
      <c r="AI182" s="49"/>
      <c r="AK182" s="49"/>
      <c r="AL182" s="53"/>
      <c r="AM182" s="49"/>
      <c r="AN182" s="53"/>
      <c r="AO182" s="49"/>
      <c r="AP182" s="53"/>
      <c r="AQ182" s="49"/>
      <c r="AS182" s="49"/>
      <c r="AT182" s="53"/>
      <c r="AU182" s="49"/>
      <c r="AV182" s="53"/>
      <c r="AW182" s="49"/>
      <c r="AY182" s="49"/>
      <c r="CA182" s="49"/>
      <c r="CC182" s="49"/>
      <c r="CE182" s="49"/>
      <c r="CG182" s="49"/>
      <c r="CH182" s="52"/>
      <c r="CI182" s="49"/>
      <c r="CK182" s="49"/>
      <c r="CL182" s="52"/>
      <c r="CM182" s="49"/>
      <c r="CN182" s="53"/>
      <c r="CO182" s="49"/>
      <c r="CP182" s="52"/>
      <c r="CQ182" s="49"/>
      <c r="CS182" s="49"/>
      <c r="CT182" s="53"/>
      <c r="CU182" s="49"/>
      <c r="CV182" s="53"/>
      <c r="CW182" s="49"/>
      <c r="CX182" s="53"/>
      <c r="CY182" s="49"/>
      <c r="DA182" s="49"/>
      <c r="DC182" s="49"/>
      <c r="DD182" s="53"/>
      <c r="DE182" s="49"/>
      <c r="DF182" s="53"/>
      <c r="DG182" s="49"/>
      <c r="DH182" s="53"/>
      <c r="DI182" s="49"/>
      <c r="DK182" s="49"/>
      <c r="DL182" s="53"/>
      <c r="DM182" s="49"/>
      <c r="DN182" s="53"/>
      <c r="DO182" s="49"/>
      <c r="DQ182" s="49"/>
      <c r="EQ182" s="48"/>
      <c r="ER182" s="48"/>
      <c r="ES182" s="49"/>
      <c r="ET182" s="48"/>
      <c r="EU182" s="49"/>
      <c r="EV182" s="48"/>
      <c r="EW182" s="49"/>
      <c r="EX182" s="48"/>
      <c r="EY182" s="49"/>
      <c r="EZ182" s="52"/>
      <c r="FA182" s="49"/>
      <c r="FB182" s="48"/>
      <c r="FC182" s="49"/>
      <c r="FD182" s="52"/>
      <c r="FE182" s="49"/>
      <c r="FF182" s="53"/>
      <c r="FG182" s="49"/>
      <c r="FH182" s="52"/>
      <c r="FI182" s="49"/>
      <c r="FJ182" s="48"/>
      <c r="FK182" s="49"/>
      <c r="FL182" s="53"/>
      <c r="FM182" s="49"/>
      <c r="FN182" s="53"/>
      <c r="FO182" s="49"/>
      <c r="FP182" s="53"/>
      <c r="FQ182" s="49"/>
      <c r="FR182" s="48"/>
      <c r="FS182" s="49"/>
      <c r="FT182" s="48"/>
      <c r="FU182" s="49"/>
      <c r="FV182" s="53"/>
      <c r="FW182" s="49"/>
      <c r="FX182" s="53"/>
      <c r="FY182" s="49"/>
      <c r="FZ182" s="53"/>
      <c r="GA182" s="49"/>
      <c r="GB182" s="48"/>
      <c r="GC182" s="49"/>
      <c r="GD182" s="53"/>
      <c r="GE182" s="49"/>
      <c r="GF182" s="53"/>
      <c r="GG182" s="49"/>
      <c r="GH182" s="48"/>
      <c r="GI182" s="49"/>
      <c r="GJ182" s="48"/>
      <c r="GK182" s="48"/>
      <c r="GL182" s="48"/>
      <c r="GM182" s="48"/>
      <c r="GN182" s="48"/>
      <c r="GO182" s="48"/>
      <c r="GP182" s="48"/>
      <c r="GQ182" s="48"/>
      <c r="GR182" s="48"/>
      <c r="GS182" s="48"/>
      <c r="GT182" s="48"/>
      <c r="GU182" s="48"/>
      <c r="GV182" s="48"/>
      <c r="GW182" s="48"/>
      <c r="GX182" s="48"/>
      <c r="GY182" s="48"/>
      <c r="GZ182" s="48"/>
      <c r="HA182" s="48"/>
      <c r="HB182" s="48"/>
      <c r="HC182" s="48"/>
      <c r="HD182" s="48"/>
      <c r="HE182" s="48"/>
      <c r="HF182" s="48"/>
      <c r="HG182" s="48"/>
    </row>
    <row r="183" spans="11:215" x14ac:dyDescent="0.3">
      <c r="K183" s="49"/>
      <c r="M183" s="49"/>
      <c r="O183" s="49"/>
      <c r="Q183" s="49"/>
      <c r="S183" s="49"/>
      <c r="U183" s="49"/>
      <c r="V183" s="53"/>
      <c r="W183" s="49"/>
      <c r="Y183" s="49"/>
      <c r="AA183" s="49"/>
      <c r="AB183" s="53"/>
      <c r="AC183" s="49"/>
      <c r="AD183" s="53"/>
      <c r="AE183" s="49"/>
      <c r="AF183" s="53"/>
      <c r="AG183" s="49"/>
      <c r="AI183" s="49"/>
      <c r="AK183" s="49"/>
      <c r="AL183" s="53"/>
      <c r="AM183" s="49"/>
      <c r="AN183" s="53"/>
      <c r="AO183" s="49"/>
      <c r="AP183" s="53"/>
      <c r="AQ183" s="49"/>
      <c r="AS183" s="49"/>
      <c r="AT183" s="53"/>
      <c r="AU183" s="49"/>
      <c r="AV183" s="53"/>
      <c r="AW183" s="49"/>
      <c r="AY183" s="49"/>
      <c r="CA183" s="49"/>
      <c r="CC183" s="49"/>
      <c r="CE183" s="49"/>
      <c r="CG183" s="49"/>
      <c r="CH183" s="52"/>
      <c r="CI183" s="49"/>
      <c r="CK183" s="49"/>
      <c r="CL183" s="52"/>
      <c r="CM183" s="49"/>
      <c r="CN183" s="53"/>
      <c r="CO183" s="49"/>
      <c r="CP183" s="52"/>
      <c r="CQ183" s="49"/>
      <c r="CS183" s="49"/>
      <c r="CT183" s="53"/>
      <c r="CU183" s="49"/>
      <c r="CV183" s="53"/>
      <c r="CW183" s="49"/>
      <c r="CX183" s="53"/>
      <c r="CY183" s="49"/>
      <c r="DA183" s="49"/>
      <c r="DC183" s="49"/>
      <c r="DD183" s="53"/>
      <c r="DE183" s="49"/>
      <c r="DF183" s="53"/>
      <c r="DG183" s="49"/>
      <c r="DH183" s="53"/>
      <c r="DI183" s="49"/>
      <c r="DK183" s="49"/>
      <c r="DL183" s="53"/>
      <c r="DM183" s="49"/>
      <c r="DN183" s="53"/>
      <c r="DO183" s="49"/>
      <c r="DQ183" s="49"/>
      <c r="EQ183" s="48"/>
      <c r="ER183" s="48"/>
      <c r="ES183" s="49"/>
      <c r="ET183" s="48"/>
      <c r="EU183" s="49"/>
      <c r="EV183" s="48"/>
      <c r="EW183" s="49"/>
      <c r="EX183" s="48"/>
      <c r="EY183" s="49"/>
      <c r="EZ183" s="52"/>
      <c r="FA183" s="49"/>
      <c r="FB183" s="48"/>
      <c r="FC183" s="49"/>
      <c r="FD183" s="52"/>
      <c r="FE183" s="49"/>
      <c r="FF183" s="53"/>
      <c r="FG183" s="49"/>
      <c r="FH183" s="52"/>
      <c r="FI183" s="49"/>
      <c r="FJ183" s="48"/>
      <c r="FK183" s="49"/>
      <c r="FL183" s="53"/>
      <c r="FM183" s="49"/>
      <c r="FN183" s="53"/>
      <c r="FO183" s="49"/>
      <c r="FP183" s="53"/>
      <c r="FQ183" s="49"/>
      <c r="FR183" s="48"/>
      <c r="FS183" s="49"/>
      <c r="FT183" s="48"/>
      <c r="FU183" s="49"/>
      <c r="FV183" s="53"/>
      <c r="FW183" s="49"/>
      <c r="FX183" s="53"/>
      <c r="FY183" s="49"/>
      <c r="FZ183" s="53"/>
      <c r="GA183" s="49"/>
      <c r="GB183" s="48"/>
      <c r="GC183" s="49"/>
      <c r="GD183" s="53"/>
      <c r="GE183" s="49"/>
      <c r="GF183" s="53"/>
      <c r="GG183" s="49"/>
      <c r="GH183" s="48"/>
      <c r="GI183" s="49"/>
      <c r="GJ183" s="48"/>
      <c r="GK183" s="48"/>
      <c r="GL183" s="48"/>
      <c r="GM183" s="48"/>
      <c r="GN183" s="48"/>
      <c r="GO183" s="48"/>
      <c r="GP183" s="48"/>
      <c r="GQ183" s="48"/>
      <c r="GR183" s="48"/>
      <c r="GS183" s="48"/>
      <c r="GT183" s="48"/>
      <c r="GU183" s="48"/>
      <c r="GV183" s="48"/>
      <c r="GW183" s="48"/>
      <c r="GX183" s="48"/>
      <c r="GY183" s="48"/>
      <c r="GZ183" s="48"/>
      <c r="HA183" s="48"/>
      <c r="HB183" s="48"/>
      <c r="HC183" s="48"/>
      <c r="HD183" s="48"/>
      <c r="HE183" s="48"/>
      <c r="HF183" s="48"/>
      <c r="HG183" s="48"/>
    </row>
    <row r="184" spans="11:215" x14ac:dyDescent="0.3">
      <c r="K184" s="49"/>
      <c r="M184" s="49"/>
      <c r="O184" s="49"/>
      <c r="Q184" s="49"/>
      <c r="S184" s="49"/>
      <c r="U184" s="49"/>
      <c r="V184" s="53"/>
      <c r="W184" s="49"/>
      <c r="Y184" s="49"/>
      <c r="AA184" s="49"/>
      <c r="AB184" s="53"/>
      <c r="AC184" s="49"/>
      <c r="AD184" s="53"/>
      <c r="AE184" s="49"/>
      <c r="AF184" s="53"/>
      <c r="AG184" s="49"/>
      <c r="AI184" s="49"/>
      <c r="AK184" s="49"/>
      <c r="AL184" s="53"/>
      <c r="AM184" s="49"/>
      <c r="AN184" s="53"/>
      <c r="AO184" s="49"/>
      <c r="AP184" s="53"/>
      <c r="AQ184" s="49"/>
      <c r="AS184" s="49"/>
      <c r="AT184" s="53"/>
      <c r="AU184" s="49"/>
      <c r="AV184" s="53"/>
      <c r="AW184" s="49"/>
      <c r="AY184" s="49"/>
      <c r="CA184" s="49"/>
      <c r="CC184" s="49"/>
      <c r="CE184" s="49"/>
      <c r="CG184" s="49"/>
      <c r="CH184" s="52"/>
      <c r="CI184" s="49"/>
      <c r="CK184" s="49"/>
      <c r="CL184" s="52"/>
      <c r="CM184" s="49"/>
      <c r="CN184" s="53"/>
      <c r="CO184" s="49"/>
      <c r="CP184" s="52"/>
      <c r="CQ184" s="49"/>
      <c r="CS184" s="49"/>
      <c r="CT184" s="53"/>
      <c r="CU184" s="49"/>
      <c r="CV184" s="53"/>
      <c r="CW184" s="49"/>
      <c r="CX184" s="53"/>
      <c r="CY184" s="49"/>
      <c r="DA184" s="49"/>
      <c r="DC184" s="49"/>
      <c r="DD184" s="53"/>
      <c r="DE184" s="49"/>
      <c r="DF184" s="53"/>
      <c r="DG184" s="49"/>
      <c r="DH184" s="53"/>
      <c r="DI184" s="49"/>
      <c r="DK184" s="49"/>
      <c r="DL184" s="53"/>
      <c r="DM184" s="49"/>
      <c r="DN184" s="53"/>
      <c r="DO184" s="49"/>
      <c r="DQ184" s="49"/>
      <c r="EQ184" s="48"/>
      <c r="ER184" s="48"/>
      <c r="ES184" s="49"/>
      <c r="ET184" s="48"/>
      <c r="EU184" s="49"/>
      <c r="EV184" s="48"/>
      <c r="EW184" s="49"/>
      <c r="EX184" s="48"/>
      <c r="EY184" s="49"/>
      <c r="EZ184" s="52"/>
      <c r="FA184" s="49"/>
      <c r="FB184" s="48"/>
      <c r="FC184" s="49"/>
      <c r="FD184" s="52"/>
      <c r="FE184" s="49"/>
      <c r="FF184" s="53"/>
      <c r="FG184" s="49"/>
      <c r="FH184" s="52"/>
      <c r="FI184" s="49"/>
      <c r="FJ184" s="48"/>
      <c r="FK184" s="49"/>
      <c r="FL184" s="53"/>
      <c r="FM184" s="49"/>
      <c r="FN184" s="53"/>
      <c r="FO184" s="49"/>
      <c r="FP184" s="53"/>
      <c r="FQ184" s="49"/>
      <c r="FR184" s="48"/>
      <c r="FS184" s="49"/>
      <c r="FT184" s="48"/>
      <c r="FU184" s="49"/>
      <c r="FV184" s="53"/>
      <c r="FW184" s="49"/>
      <c r="FX184" s="53"/>
      <c r="FY184" s="49"/>
      <c r="FZ184" s="53"/>
      <c r="GA184" s="49"/>
      <c r="GB184" s="48"/>
      <c r="GC184" s="49"/>
      <c r="GD184" s="53"/>
      <c r="GE184" s="49"/>
      <c r="GF184" s="53"/>
      <c r="GG184" s="49"/>
      <c r="GH184" s="48"/>
      <c r="GI184" s="49"/>
      <c r="GJ184" s="48"/>
      <c r="GK184" s="48"/>
      <c r="GL184" s="48"/>
      <c r="GM184" s="48"/>
      <c r="GN184" s="48"/>
      <c r="GO184" s="48"/>
      <c r="GP184" s="48"/>
      <c r="GQ184" s="48"/>
      <c r="GR184" s="48"/>
      <c r="GS184" s="48"/>
      <c r="GT184" s="48"/>
      <c r="GU184" s="48"/>
      <c r="GV184" s="48"/>
      <c r="GW184" s="48"/>
      <c r="GX184" s="48"/>
      <c r="GY184" s="48"/>
      <c r="GZ184" s="48"/>
      <c r="HA184" s="48"/>
      <c r="HB184" s="48"/>
      <c r="HC184" s="48"/>
      <c r="HD184" s="48"/>
      <c r="HE184" s="48"/>
      <c r="HF184" s="48"/>
      <c r="HG184" s="48"/>
    </row>
    <row r="185" spans="11:215" x14ac:dyDescent="0.3">
      <c r="K185" s="49"/>
      <c r="M185" s="49"/>
      <c r="O185" s="49"/>
      <c r="Q185" s="49"/>
      <c r="S185" s="49"/>
      <c r="U185" s="49"/>
      <c r="V185" s="53"/>
      <c r="W185" s="49"/>
      <c r="Y185" s="49"/>
      <c r="AA185" s="49"/>
      <c r="AB185" s="53"/>
      <c r="AC185" s="49"/>
      <c r="AD185" s="53"/>
      <c r="AE185" s="49"/>
      <c r="AF185" s="53"/>
      <c r="AG185" s="49"/>
      <c r="AI185" s="49"/>
      <c r="AK185" s="49"/>
      <c r="AL185" s="53"/>
      <c r="AM185" s="49"/>
      <c r="AN185" s="53"/>
      <c r="AO185" s="49"/>
      <c r="AP185" s="53"/>
      <c r="AQ185" s="49"/>
      <c r="AS185" s="49"/>
      <c r="AT185" s="53"/>
      <c r="AU185" s="49"/>
      <c r="AV185" s="53"/>
      <c r="AW185" s="49"/>
      <c r="AY185" s="49"/>
      <c r="CA185" s="49"/>
      <c r="CC185" s="49"/>
      <c r="CE185" s="49"/>
      <c r="CG185" s="49"/>
      <c r="CH185" s="52"/>
      <c r="CI185" s="49"/>
      <c r="CK185" s="49"/>
      <c r="CL185" s="52"/>
      <c r="CM185" s="49"/>
      <c r="CN185" s="53"/>
      <c r="CO185" s="49"/>
      <c r="CP185" s="52"/>
      <c r="CQ185" s="49"/>
      <c r="CS185" s="49"/>
      <c r="CT185" s="53"/>
      <c r="CU185" s="49"/>
      <c r="CV185" s="53"/>
      <c r="CW185" s="49"/>
      <c r="CX185" s="53"/>
      <c r="CY185" s="49"/>
      <c r="DA185" s="49"/>
      <c r="DC185" s="49"/>
      <c r="DD185" s="53"/>
      <c r="DE185" s="49"/>
      <c r="DF185" s="53"/>
      <c r="DG185" s="49"/>
      <c r="DH185" s="53"/>
      <c r="DI185" s="49"/>
      <c r="DK185" s="49"/>
      <c r="DL185" s="53"/>
      <c r="DM185" s="49"/>
      <c r="DN185" s="53"/>
      <c r="DO185" s="49"/>
      <c r="DQ185" s="49"/>
    </row>
    <row r="186" spans="11:215" x14ac:dyDescent="0.3">
      <c r="K186" s="49"/>
      <c r="M186" s="49"/>
      <c r="O186" s="49"/>
      <c r="Q186" s="49"/>
      <c r="S186" s="49"/>
      <c r="U186" s="49"/>
      <c r="V186" s="53"/>
      <c r="W186" s="49"/>
      <c r="Y186" s="49"/>
      <c r="AA186" s="49"/>
      <c r="AB186" s="53"/>
      <c r="AC186" s="49"/>
      <c r="AD186" s="53"/>
      <c r="AE186" s="49"/>
      <c r="AF186" s="53"/>
      <c r="AG186" s="49"/>
      <c r="AI186" s="49"/>
      <c r="AK186" s="49"/>
      <c r="AL186" s="53"/>
      <c r="AM186" s="49"/>
      <c r="AO186" s="49"/>
      <c r="AP186" s="53"/>
      <c r="AQ186" s="49"/>
      <c r="AS186" s="49"/>
      <c r="AT186" s="53"/>
      <c r="AU186" s="49"/>
      <c r="AV186" s="53"/>
      <c r="AW186" s="49"/>
      <c r="AY186" s="49"/>
      <c r="CA186" s="49"/>
      <c r="CC186" s="49"/>
      <c r="CE186" s="49"/>
      <c r="CG186" s="49"/>
      <c r="CH186" s="52"/>
      <c r="CI186" s="49"/>
      <c r="CK186" s="49"/>
      <c r="CL186" s="52"/>
      <c r="CM186" s="49"/>
      <c r="CN186" s="53"/>
      <c r="CO186" s="49"/>
      <c r="CP186" s="52"/>
      <c r="CQ186" s="49"/>
      <c r="CS186" s="49"/>
      <c r="CT186" s="53"/>
      <c r="CU186" s="49"/>
      <c r="CV186" s="53"/>
      <c r="CW186" s="49"/>
      <c r="CX186" s="53"/>
      <c r="CY186" s="49"/>
      <c r="DA186" s="49"/>
      <c r="DC186" s="49"/>
      <c r="DD186" s="53"/>
      <c r="DE186" s="49"/>
      <c r="DG186" s="49"/>
      <c r="DH186" s="53"/>
      <c r="DI186" s="49"/>
      <c r="DK186" s="49"/>
      <c r="DL186" s="53"/>
      <c r="DM186" s="49"/>
      <c r="DN186" s="53"/>
      <c r="DO186" s="49"/>
      <c r="DQ186" s="49"/>
    </row>
    <row r="187" spans="11:215" x14ac:dyDescent="0.3">
      <c r="K187" s="49"/>
      <c r="M187" s="49"/>
      <c r="O187" s="49"/>
      <c r="Q187" s="49"/>
      <c r="S187" s="49"/>
      <c r="U187" s="49"/>
      <c r="V187" s="53"/>
      <c r="W187" s="49"/>
      <c r="Y187" s="49"/>
      <c r="AA187" s="49"/>
      <c r="AB187" s="53"/>
      <c r="AC187" s="49"/>
      <c r="AD187" s="53"/>
      <c r="AE187" s="49"/>
      <c r="AF187" s="53"/>
      <c r="AG187" s="49"/>
      <c r="AI187" s="49"/>
      <c r="AK187" s="49"/>
      <c r="AL187" s="53"/>
      <c r="AM187" s="49"/>
      <c r="AO187" s="49"/>
      <c r="AP187" s="53"/>
      <c r="AQ187" s="49"/>
      <c r="AS187" s="49"/>
      <c r="AT187" s="53"/>
      <c r="AU187" s="49"/>
      <c r="AV187" s="53"/>
      <c r="AW187" s="49"/>
      <c r="AY187" s="49"/>
      <c r="CA187" s="49"/>
      <c r="CC187" s="49"/>
      <c r="CE187" s="49"/>
      <c r="CG187" s="49"/>
      <c r="CH187" s="52"/>
      <c r="CI187" s="49"/>
      <c r="CK187" s="49"/>
      <c r="CL187" s="52"/>
      <c r="CM187" s="49"/>
      <c r="CN187" s="53"/>
      <c r="CO187" s="49"/>
      <c r="CP187" s="52"/>
      <c r="CQ187" s="49"/>
      <c r="CS187" s="49"/>
      <c r="CT187" s="53"/>
      <c r="CU187" s="49"/>
      <c r="CV187" s="53"/>
      <c r="CW187" s="49"/>
      <c r="CX187" s="53"/>
      <c r="CY187" s="49"/>
      <c r="DA187" s="49"/>
      <c r="DC187" s="49"/>
      <c r="DD187" s="53"/>
      <c r="DE187" s="49"/>
      <c r="DG187" s="49"/>
      <c r="DH187" s="53"/>
      <c r="DI187" s="49"/>
      <c r="DK187" s="49"/>
      <c r="DL187" s="53"/>
      <c r="DM187" s="49"/>
      <c r="DN187" s="53"/>
      <c r="DO187" s="49"/>
      <c r="DQ187" s="49"/>
    </row>
    <row r="188" spans="11:215" x14ac:dyDescent="0.3">
      <c r="K188" s="49"/>
      <c r="M188" s="49"/>
      <c r="O188" s="49"/>
      <c r="Q188" s="49"/>
      <c r="S188" s="49"/>
      <c r="U188" s="49"/>
      <c r="V188" s="53"/>
      <c r="W188" s="49"/>
      <c r="Y188" s="49"/>
      <c r="AA188" s="49"/>
      <c r="AB188" s="53"/>
      <c r="AC188" s="49"/>
      <c r="AD188" s="53"/>
      <c r="AE188" s="49"/>
      <c r="AF188" s="53"/>
      <c r="AG188" s="49"/>
      <c r="AI188" s="49"/>
      <c r="AK188" s="49"/>
      <c r="AL188" s="53"/>
      <c r="AM188" s="49"/>
      <c r="AO188" s="49"/>
      <c r="AP188" s="53"/>
      <c r="AQ188" s="49"/>
      <c r="AS188" s="49"/>
      <c r="AT188" s="53"/>
      <c r="AU188" s="49"/>
      <c r="AV188" s="53"/>
      <c r="AW188" s="49"/>
      <c r="AY188" s="49"/>
      <c r="CA188" s="49"/>
      <c r="CC188" s="49"/>
      <c r="CE188" s="49"/>
      <c r="CG188" s="49"/>
      <c r="CH188" s="52"/>
      <c r="CI188" s="49"/>
      <c r="CK188" s="49"/>
      <c r="CL188" s="52"/>
      <c r="CM188" s="49"/>
      <c r="CN188" s="53"/>
      <c r="CO188" s="49"/>
      <c r="CP188" s="52"/>
      <c r="CQ188" s="49"/>
      <c r="CS188" s="49"/>
      <c r="CT188" s="53"/>
      <c r="CU188" s="49"/>
      <c r="CV188" s="53"/>
      <c r="CW188" s="49"/>
      <c r="CX188" s="53"/>
      <c r="CY188" s="49"/>
      <c r="DA188" s="49"/>
      <c r="DC188" s="49"/>
      <c r="DD188" s="53"/>
      <c r="DE188" s="49"/>
      <c r="DG188" s="49"/>
      <c r="DH188" s="53"/>
      <c r="DI188" s="49"/>
      <c r="DK188" s="49"/>
      <c r="DL188" s="53"/>
      <c r="DM188" s="49"/>
      <c r="DN188" s="53"/>
      <c r="DO188" s="49"/>
      <c r="DQ188" s="49"/>
    </row>
    <row r="189" spans="11:215" x14ac:dyDescent="0.3">
      <c r="K189" s="49"/>
      <c r="M189" s="49"/>
      <c r="O189" s="49"/>
      <c r="Q189" s="49"/>
      <c r="S189" s="49"/>
      <c r="U189" s="49"/>
      <c r="V189" s="53"/>
      <c r="W189" s="49"/>
      <c r="Y189" s="49"/>
      <c r="AA189" s="49"/>
      <c r="AB189" s="53"/>
      <c r="AC189" s="49"/>
      <c r="AD189" s="53"/>
      <c r="AE189" s="49"/>
      <c r="AF189" s="53"/>
      <c r="AG189" s="49"/>
      <c r="AI189" s="49"/>
      <c r="AK189" s="49"/>
      <c r="AL189" s="53"/>
      <c r="AM189" s="49"/>
      <c r="AO189" s="49"/>
      <c r="AP189" s="53"/>
      <c r="AQ189" s="49"/>
      <c r="AS189" s="49"/>
      <c r="AT189" s="53"/>
      <c r="AU189" s="49"/>
      <c r="AV189" s="53"/>
      <c r="AW189" s="49"/>
      <c r="AY189" s="49"/>
      <c r="CA189" s="49"/>
      <c r="CC189" s="49"/>
      <c r="CE189" s="49"/>
      <c r="CG189" s="49"/>
      <c r="CI189" s="49"/>
      <c r="CK189" s="49"/>
      <c r="CM189" s="49"/>
      <c r="CO189" s="49"/>
      <c r="CQ189" s="49"/>
      <c r="CS189" s="49"/>
      <c r="CU189" s="49"/>
      <c r="CW189" s="49"/>
      <c r="CY189" s="49"/>
      <c r="DA189" s="49"/>
      <c r="DC189" s="49"/>
      <c r="DE189" s="49"/>
      <c r="DG189" s="49"/>
      <c r="DI189" s="49"/>
      <c r="DK189" s="49"/>
      <c r="DM189" s="49"/>
      <c r="DO189" s="49"/>
      <c r="DQ189" s="49"/>
    </row>
    <row r="190" spans="11:215" x14ac:dyDescent="0.3">
      <c r="K190" s="49"/>
      <c r="M190" s="49"/>
      <c r="O190" s="49"/>
      <c r="Q190" s="49"/>
      <c r="S190" s="49"/>
      <c r="U190" s="49"/>
      <c r="V190" s="53"/>
      <c r="W190" s="49"/>
      <c r="Y190" s="49"/>
      <c r="AA190" s="49"/>
      <c r="AB190" s="53"/>
      <c r="AC190" s="49"/>
      <c r="AD190" s="53"/>
      <c r="AE190" s="49"/>
      <c r="AG190" s="49"/>
      <c r="AI190" s="49"/>
      <c r="AK190" s="49"/>
      <c r="AL190" s="53"/>
      <c r="AM190" s="49"/>
      <c r="AO190" s="49"/>
      <c r="AP190" s="53"/>
      <c r="AQ190" s="49"/>
      <c r="AS190" s="49"/>
      <c r="AT190" s="53"/>
      <c r="AU190" s="49"/>
      <c r="AV190" s="53"/>
      <c r="AW190" s="49"/>
      <c r="AY190" s="49"/>
      <c r="CA190" s="49"/>
      <c r="CC190" s="49"/>
      <c r="CE190" s="49"/>
      <c r="CG190" s="49"/>
      <c r="CI190" s="49"/>
      <c r="CK190" s="49"/>
      <c r="CM190" s="49"/>
      <c r="CO190" s="49"/>
      <c r="CQ190" s="49"/>
      <c r="CS190" s="49"/>
      <c r="CU190" s="49"/>
      <c r="CW190" s="49"/>
      <c r="CY190" s="49"/>
      <c r="DA190" s="49"/>
      <c r="DC190" s="49"/>
      <c r="DE190" s="49"/>
      <c r="DG190" s="49"/>
      <c r="DI190" s="49"/>
      <c r="DK190" s="49"/>
      <c r="DM190" s="49"/>
      <c r="DO190" s="49"/>
      <c r="DQ190" s="49"/>
    </row>
    <row r="191" spans="11:215" x14ac:dyDescent="0.3">
      <c r="K191" s="49"/>
      <c r="M191" s="49"/>
      <c r="O191" s="49"/>
      <c r="Q191" s="49"/>
      <c r="S191" s="49"/>
      <c r="U191" s="49"/>
      <c r="V191" s="53"/>
      <c r="W191" s="49"/>
      <c r="Y191" s="49"/>
      <c r="AA191" s="49"/>
      <c r="AB191" s="53"/>
      <c r="AC191" s="49"/>
      <c r="AD191" s="53"/>
      <c r="AE191" s="49"/>
      <c r="AG191" s="49"/>
      <c r="AI191" s="49"/>
      <c r="AK191" s="49"/>
      <c r="AL191" s="53"/>
      <c r="AM191" s="49"/>
      <c r="AO191" s="49"/>
      <c r="AP191" s="53"/>
      <c r="AQ191" s="49"/>
      <c r="AS191" s="49"/>
      <c r="AT191" s="53"/>
      <c r="AU191" s="49"/>
      <c r="AV191" s="53"/>
      <c r="AW191" s="49"/>
      <c r="AY191" s="49"/>
      <c r="CA191" s="49"/>
      <c r="CC191" s="49"/>
      <c r="CE191" s="49"/>
      <c r="CG191" s="49"/>
      <c r="CI191" s="49"/>
      <c r="CK191" s="49"/>
      <c r="CM191" s="49"/>
      <c r="CO191" s="49"/>
      <c r="CQ191" s="49"/>
      <c r="CS191" s="49"/>
      <c r="CU191" s="49"/>
      <c r="CW191" s="49"/>
      <c r="CY191" s="49"/>
      <c r="DA191" s="49"/>
      <c r="DC191" s="49"/>
      <c r="DE191" s="49"/>
      <c r="DG191" s="49"/>
      <c r="DI191" s="49"/>
      <c r="DK191" s="49"/>
      <c r="DM191" s="49"/>
      <c r="DO191" s="49"/>
      <c r="DQ191" s="49"/>
    </row>
    <row r="192" spans="11:215" x14ac:dyDescent="0.3">
      <c r="K192" s="49"/>
      <c r="M192" s="49"/>
      <c r="O192" s="49"/>
      <c r="Q192" s="49"/>
      <c r="S192" s="49"/>
      <c r="U192" s="49"/>
      <c r="V192" s="53"/>
      <c r="W192" s="49"/>
      <c r="Y192" s="49"/>
      <c r="AA192" s="49"/>
      <c r="AB192" s="53"/>
      <c r="AC192" s="49"/>
      <c r="AD192" s="53"/>
      <c r="AE192" s="49"/>
      <c r="AG192" s="49"/>
      <c r="AI192" s="49"/>
      <c r="AK192" s="49"/>
      <c r="AL192" s="53"/>
      <c r="AM192" s="49"/>
      <c r="AO192" s="49"/>
      <c r="AP192" s="53"/>
      <c r="AQ192" s="49"/>
      <c r="AS192" s="49"/>
      <c r="AT192" s="53"/>
      <c r="AU192" s="49"/>
      <c r="AV192" s="53"/>
      <c r="AW192" s="49"/>
      <c r="AY192" s="49"/>
      <c r="CA192" s="49"/>
      <c r="CC192" s="49"/>
      <c r="CE192" s="49"/>
      <c r="CG192" s="49"/>
      <c r="CI192" s="49"/>
      <c r="CK192" s="49"/>
      <c r="CM192" s="49"/>
      <c r="CO192" s="49"/>
      <c r="CQ192" s="49"/>
      <c r="CS192" s="49"/>
      <c r="CU192" s="49"/>
      <c r="CW192" s="49"/>
      <c r="CY192" s="49"/>
      <c r="DA192" s="49"/>
      <c r="DC192" s="49"/>
      <c r="DE192" s="49"/>
      <c r="DG192" s="49"/>
      <c r="DI192" s="49"/>
      <c r="DK192" s="49"/>
      <c r="DM192" s="49"/>
      <c r="DO192" s="49"/>
      <c r="DQ192" s="49"/>
    </row>
    <row r="193" spans="11:121" x14ac:dyDescent="0.3">
      <c r="K193" s="49"/>
      <c r="M193" s="49"/>
      <c r="O193" s="49"/>
      <c r="Q193" s="49"/>
      <c r="S193" s="49"/>
      <c r="U193" s="49"/>
      <c r="V193" s="53"/>
      <c r="W193" s="49"/>
      <c r="Y193" s="49"/>
      <c r="AA193" s="49"/>
      <c r="AB193" s="53"/>
      <c r="AC193" s="49"/>
      <c r="AD193" s="53"/>
      <c r="AE193" s="49"/>
      <c r="AG193" s="49"/>
      <c r="AI193" s="49"/>
      <c r="AK193" s="49"/>
      <c r="AL193" s="53"/>
      <c r="AM193" s="49"/>
      <c r="AO193" s="49"/>
      <c r="AP193" s="53"/>
      <c r="AQ193" s="49"/>
      <c r="AS193" s="49"/>
      <c r="AT193" s="53"/>
      <c r="AU193" s="49"/>
      <c r="AV193" s="53"/>
      <c r="AW193" s="49"/>
      <c r="AY193" s="49"/>
      <c r="CA193" s="49"/>
      <c r="CC193" s="49"/>
      <c r="CE193" s="49"/>
      <c r="CG193" s="49"/>
      <c r="CI193" s="49"/>
      <c r="CK193" s="49"/>
      <c r="CM193" s="49"/>
      <c r="CO193" s="49"/>
      <c r="CQ193" s="49"/>
      <c r="CS193" s="49"/>
      <c r="CU193" s="49"/>
      <c r="CW193" s="49"/>
      <c r="CY193" s="49"/>
      <c r="DA193" s="49"/>
      <c r="DC193" s="49"/>
      <c r="DE193" s="49"/>
      <c r="DG193" s="49"/>
      <c r="DI193" s="49"/>
      <c r="DK193" s="49"/>
      <c r="DM193" s="49"/>
      <c r="DO193" s="49"/>
      <c r="DQ193" s="49"/>
    </row>
    <row r="194" spans="11:121" x14ac:dyDescent="0.3">
      <c r="K194" s="49"/>
      <c r="M194" s="49"/>
      <c r="O194" s="49"/>
      <c r="Q194" s="49"/>
      <c r="S194" s="49"/>
      <c r="U194" s="49"/>
      <c r="V194" s="53"/>
      <c r="W194" s="49"/>
      <c r="Y194" s="49"/>
      <c r="AA194" s="49"/>
      <c r="AB194" s="53"/>
      <c r="AC194" s="49"/>
      <c r="AD194" s="53"/>
      <c r="AE194" s="49"/>
      <c r="AG194" s="49"/>
      <c r="AI194" s="49"/>
      <c r="AK194" s="49"/>
      <c r="AL194" s="53"/>
      <c r="AM194" s="49"/>
      <c r="AO194" s="49"/>
      <c r="AP194" s="53"/>
      <c r="AQ194" s="49"/>
      <c r="AS194" s="49"/>
      <c r="AT194" s="53"/>
      <c r="AU194" s="49"/>
      <c r="AV194" s="53"/>
      <c r="AW194" s="49"/>
      <c r="AY194" s="49"/>
      <c r="CA194" s="49"/>
      <c r="CC194" s="49"/>
      <c r="CE194" s="49"/>
      <c r="CG194" s="49"/>
      <c r="CI194" s="49"/>
      <c r="CK194" s="49"/>
      <c r="CM194" s="49"/>
      <c r="CO194" s="49"/>
      <c r="CQ194" s="49"/>
      <c r="CS194" s="49"/>
      <c r="CU194" s="49"/>
      <c r="CW194" s="49"/>
      <c r="CY194" s="49"/>
      <c r="DA194" s="49"/>
      <c r="DC194" s="49"/>
      <c r="DE194" s="49"/>
      <c r="DG194" s="49"/>
      <c r="DI194" s="49"/>
      <c r="DK194" s="49"/>
      <c r="DM194" s="49"/>
      <c r="DO194" s="49"/>
      <c r="DQ194" s="49"/>
    </row>
    <row r="195" spans="11:121" x14ac:dyDescent="0.3">
      <c r="K195" s="49"/>
      <c r="M195" s="49"/>
      <c r="O195" s="49"/>
      <c r="Q195" s="49"/>
      <c r="S195" s="49"/>
      <c r="U195" s="49"/>
      <c r="V195" s="53"/>
      <c r="W195" s="49"/>
      <c r="Y195" s="49"/>
      <c r="AA195" s="49"/>
      <c r="AB195" s="53"/>
      <c r="AC195" s="49"/>
      <c r="AD195" s="53"/>
      <c r="AE195" s="49"/>
      <c r="AG195" s="49"/>
      <c r="AI195" s="49"/>
      <c r="AK195" s="49"/>
      <c r="AL195" s="53"/>
      <c r="AM195" s="49"/>
      <c r="AO195" s="49"/>
      <c r="AP195" s="53"/>
      <c r="AQ195" s="49"/>
      <c r="AS195" s="49"/>
      <c r="AT195" s="53"/>
      <c r="AU195" s="49"/>
      <c r="AV195" s="53"/>
      <c r="AW195" s="49"/>
      <c r="AY195" s="49"/>
      <c r="CA195" s="49"/>
      <c r="CC195" s="49"/>
      <c r="CE195" s="49"/>
      <c r="CG195" s="49"/>
      <c r="CI195" s="49"/>
      <c r="CK195" s="49"/>
      <c r="CM195" s="49"/>
      <c r="CO195" s="49"/>
      <c r="CQ195" s="49"/>
      <c r="CS195" s="49"/>
      <c r="CU195" s="49"/>
      <c r="CW195" s="49"/>
      <c r="CY195" s="49"/>
      <c r="DA195" s="49"/>
      <c r="DC195" s="49"/>
      <c r="DE195" s="49"/>
      <c r="DG195" s="49"/>
      <c r="DI195" s="49"/>
      <c r="DK195" s="49"/>
      <c r="DM195" s="49"/>
      <c r="DO195" s="49"/>
      <c r="DQ195" s="49"/>
    </row>
    <row r="196" spans="11:121" x14ac:dyDescent="0.3">
      <c r="K196" s="49"/>
      <c r="M196" s="49"/>
      <c r="O196" s="49"/>
      <c r="Q196" s="49"/>
      <c r="S196" s="49"/>
      <c r="U196" s="49"/>
      <c r="V196" s="53"/>
      <c r="W196" s="49"/>
      <c r="Y196" s="49"/>
      <c r="AA196" s="49"/>
      <c r="AB196" s="53"/>
      <c r="AC196" s="49"/>
      <c r="AD196" s="53"/>
      <c r="AE196" s="49"/>
      <c r="AG196" s="49"/>
      <c r="AI196" s="49"/>
      <c r="AK196" s="49"/>
      <c r="AM196" s="49"/>
      <c r="AO196" s="49"/>
      <c r="AP196" s="53"/>
      <c r="AQ196" s="49"/>
      <c r="AS196" s="49"/>
      <c r="AT196" s="53"/>
      <c r="AU196" s="49"/>
      <c r="AV196" s="53"/>
      <c r="AW196" s="49"/>
      <c r="AY196" s="49"/>
      <c r="CA196" s="49"/>
      <c r="CC196" s="49"/>
      <c r="CE196" s="49"/>
      <c r="CG196" s="49"/>
      <c r="CI196" s="49"/>
      <c r="CK196" s="49"/>
      <c r="CM196" s="49"/>
      <c r="CO196" s="49"/>
      <c r="CQ196" s="49"/>
      <c r="CS196" s="49"/>
      <c r="CU196" s="49"/>
      <c r="CW196" s="49"/>
      <c r="CY196" s="49"/>
      <c r="DA196" s="49"/>
      <c r="DC196" s="49"/>
      <c r="DE196" s="49"/>
      <c r="DG196" s="49"/>
      <c r="DI196" s="49"/>
      <c r="DK196" s="49"/>
      <c r="DM196" s="49"/>
      <c r="DO196" s="49"/>
      <c r="DQ196" s="49"/>
    </row>
    <row r="197" spans="11:121" x14ac:dyDescent="0.3">
      <c r="K197" s="49"/>
      <c r="M197" s="49"/>
      <c r="O197" s="49"/>
      <c r="Q197" s="49"/>
      <c r="S197" s="49"/>
      <c r="U197" s="49"/>
      <c r="V197" s="53"/>
      <c r="W197" s="49"/>
      <c r="Y197" s="49"/>
      <c r="AA197" s="49"/>
      <c r="AB197" s="53"/>
      <c r="AC197" s="49"/>
      <c r="AD197" s="53"/>
      <c r="AE197" s="49"/>
      <c r="AG197" s="49"/>
      <c r="AI197" s="49"/>
      <c r="AK197" s="49"/>
      <c r="AM197" s="49"/>
      <c r="AO197" s="49"/>
      <c r="AP197" s="53"/>
      <c r="AQ197" s="49"/>
      <c r="AS197" s="49"/>
      <c r="AT197" s="53"/>
      <c r="AU197" s="49"/>
      <c r="AV197" s="53"/>
      <c r="AW197" s="49"/>
      <c r="AY197" s="49"/>
      <c r="CA197" s="49"/>
      <c r="CC197" s="49"/>
      <c r="CE197" s="49"/>
      <c r="CG197" s="49"/>
      <c r="CI197" s="49"/>
      <c r="CK197" s="49"/>
      <c r="CM197" s="49"/>
      <c r="CO197" s="49"/>
      <c r="CQ197" s="49"/>
      <c r="CS197" s="49"/>
      <c r="CU197" s="49"/>
      <c r="CW197" s="49"/>
      <c r="CY197" s="49"/>
      <c r="DA197" s="49"/>
      <c r="DC197" s="49"/>
      <c r="DE197" s="49"/>
      <c r="DG197" s="49"/>
      <c r="DI197" s="49"/>
      <c r="DK197" s="49"/>
      <c r="DM197" s="49"/>
      <c r="DO197" s="49"/>
      <c r="DQ197" s="49"/>
    </row>
    <row r="198" spans="11:121" x14ac:dyDescent="0.3">
      <c r="K198" s="49"/>
      <c r="M198" s="49"/>
      <c r="O198" s="49"/>
      <c r="Q198" s="49"/>
      <c r="S198" s="49"/>
      <c r="U198" s="49"/>
      <c r="V198" s="53"/>
      <c r="W198" s="49"/>
      <c r="Y198" s="49"/>
      <c r="AA198" s="49"/>
      <c r="AB198" s="53"/>
      <c r="AC198" s="49"/>
      <c r="AD198" s="53"/>
      <c r="AE198" s="49"/>
      <c r="AG198" s="49"/>
      <c r="AI198" s="49"/>
      <c r="AK198" s="49"/>
      <c r="AM198" s="49"/>
      <c r="AO198" s="49"/>
      <c r="AP198" s="53"/>
      <c r="AQ198" s="49"/>
      <c r="AS198" s="49"/>
      <c r="AT198" s="53"/>
      <c r="AU198" s="49"/>
      <c r="AV198" s="53"/>
      <c r="AW198" s="49"/>
      <c r="AY198" s="49"/>
      <c r="CA198" s="49"/>
      <c r="CC198" s="49"/>
      <c r="CE198" s="49"/>
      <c r="CG198" s="49"/>
      <c r="CI198" s="49"/>
      <c r="CK198" s="49"/>
      <c r="CM198" s="49"/>
      <c r="CO198" s="49"/>
      <c r="CQ198" s="49"/>
      <c r="CS198" s="49"/>
      <c r="CU198" s="49"/>
      <c r="CW198" s="49"/>
      <c r="CY198" s="49"/>
      <c r="DA198" s="49"/>
      <c r="DC198" s="49"/>
      <c r="DE198" s="49"/>
      <c r="DG198" s="49"/>
      <c r="DI198" s="49"/>
      <c r="DK198" s="49"/>
      <c r="DM198" s="49"/>
      <c r="DO198" s="49"/>
      <c r="DQ198" s="49"/>
    </row>
    <row r="199" spans="11:121" x14ac:dyDescent="0.3">
      <c r="K199" s="49"/>
      <c r="M199" s="49"/>
      <c r="O199" s="49"/>
      <c r="Q199" s="49"/>
      <c r="S199" s="49"/>
      <c r="U199" s="49"/>
      <c r="V199" s="53"/>
      <c r="W199" s="49"/>
      <c r="Y199" s="49"/>
      <c r="AA199" s="49"/>
      <c r="AB199" s="53"/>
      <c r="AC199" s="49"/>
      <c r="AD199" s="53"/>
      <c r="AE199" s="49"/>
      <c r="AG199" s="49"/>
      <c r="AI199" s="49"/>
      <c r="AK199" s="49"/>
      <c r="AM199" s="49"/>
      <c r="AO199" s="49"/>
      <c r="AP199" s="53"/>
      <c r="AQ199" s="49"/>
      <c r="AS199" s="49"/>
      <c r="AT199" s="53"/>
      <c r="AU199" s="49"/>
      <c r="AV199" s="53"/>
      <c r="AW199" s="49"/>
      <c r="AY199" s="49"/>
    </row>
    <row r="200" spans="11:121" x14ac:dyDescent="0.3">
      <c r="K200" s="49"/>
      <c r="M200" s="49"/>
      <c r="O200" s="49"/>
      <c r="Q200" s="49"/>
      <c r="S200" s="49"/>
      <c r="U200" s="49"/>
      <c r="V200" s="53"/>
      <c r="W200" s="49"/>
      <c r="Y200" s="49"/>
      <c r="AA200" s="49"/>
      <c r="AB200" s="53"/>
      <c r="AC200" s="49"/>
      <c r="AD200" s="53"/>
      <c r="AE200" s="49"/>
      <c r="AG200" s="49"/>
      <c r="AI200" s="49"/>
      <c r="AK200" s="49"/>
      <c r="AM200" s="49"/>
      <c r="AO200" s="49"/>
      <c r="AP200" s="53"/>
      <c r="AQ200" s="49"/>
      <c r="AS200" s="49"/>
      <c r="AT200" s="53"/>
      <c r="AU200" s="49"/>
      <c r="AV200" s="53"/>
      <c r="AW200" s="49"/>
      <c r="AY200" s="49"/>
    </row>
    <row r="201" spans="11:121" x14ac:dyDescent="0.3">
      <c r="K201" s="49"/>
      <c r="M201" s="49"/>
      <c r="O201" s="49"/>
      <c r="Q201" s="49"/>
      <c r="S201" s="49"/>
      <c r="U201" s="49"/>
      <c r="V201" s="53"/>
      <c r="W201" s="49"/>
      <c r="Y201" s="49"/>
      <c r="AA201" s="49"/>
      <c r="AB201" s="53"/>
      <c r="AC201" s="49"/>
      <c r="AD201" s="53"/>
      <c r="AE201" s="49"/>
      <c r="AG201" s="49"/>
      <c r="AI201" s="49"/>
      <c r="AK201" s="49"/>
      <c r="AM201" s="49"/>
      <c r="AO201" s="49"/>
      <c r="AP201" s="53"/>
      <c r="AQ201" s="49"/>
      <c r="AS201" s="49"/>
      <c r="AT201" s="53"/>
      <c r="AU201" s="49"/>
      <c r="AV201" s="53"/>
      <c r="AW201" s="49"/>
      <c r="AY201" s="49"/>
    </row>
    <row r="202" spans="11:121" x14ac:dyDescent="0.3">
      <c r="K202" s="49"/>
      <c r="M202" s="49"/>
      <c r="O202" s="49"/>
      <c r="Q202" s="49"/>
      <c r="S202" s="49"/>
      <c r="U202" s="49"/>
      <c r="V202" s="53"/>
      <c r="W202" s="49"/>
      <c r="Y202" s="49"/>
      <c r="AA202" s="49"/>
      <c r="AB202" s="53"/>
      <c r="AC202" s="49"/>
      <c r="AD202" s="53"/>
      <c r="AE202" s="49"/>
      <c r="AG202" s="49"/>
      <c r="AI202" s="49"/>
      <c r="AK202" s="49"/>
      <c r="AM202" s="49"/>
      <c r="AO202" s="49"/>
      <c r="AP202" s="53"/>
      <c r="AQ202" s="49"/>
      <c r="AS202" s="49"/>
      <c r="AT202" s="53"/>
      <c r="AU202" s="49"/>
      <c r="AV202" s="53"/>
      <c r="AW202" s="49"/>
      <c r="AY202" s="49"/>
    </row>
    <row r="203" spans="11:121" x14ac:dyDescent="0.3">
      <c r="K203" s="49"/>
      <c r="M203" s="49"/>
      <c r="O203" s="49"/>
      <c r="Q203" s="49"/>
      <c r="S203" s="49"/>
      <c r="U203" s="49"/>
      <c r="V203" s="53"/>
      <c r="W203" s="49"/>
      <c r="Y203" s="49"/>
      <c r="AA203" s="49"/>
      <c r="AB203" s="53"/>
      <c r="AC203" s="49"/>
      <c r="AD203" s="53"/>
      <c r="AE203" s="49"/>
      <c r="AG203" s="49"/>
      <c r="AI203" s="49"/>
      <c r="AK203" s="49"/>
      <c r="AM203" s="49"/>
      <c r="AO203" s="49"/>
      <c r="AP203" s="53"/>
      <c r="AQ203" s="49"/>
      <c r="AS203" s="49"/>
      <c r="AT203" s="53"/>
      <c r="AU203" s="49"/>
      <c r="AV203" s="53"/>
      <c r="AW203" s="49"/>
      <c r="AY203" s="49"/>
    </row>
    <row r="204" spans="11:121" x14ac:dyDescent="0.3">
      <c r="K204" s="49"/>
      <c r="M204" s="49"/>
      <c r="O204" s="49"/>
      <c r="Q204" s="49"/>
      <c r="S204" s="49"/>
      <c r="U204" s="49"/>
      <c r="V204" s="53"/>
      <c r="W204" s="49"/>
      <c r="Y204" s="49"/>
      <c r="AA204" s="49"/>
      <c r="AB204" s="53"/>
      <c r="AC204" s="49"/>
      <c r="AD204" s="53"/>
      <c r="AE204" s="49"/>
      <c r="AG204" s="49"/>
      <c r="AI204" s="49"/>
      <c r="AK204" s="49"/>
      <c r="AM204" s="49"/>
      <c r="AO204" s="49"/>
      <c r="AP204" s="53"/>
      <c r="AQ204" s="49"/>
      <c r="AS204" s="49"/>
      <c r="AT204" s="53"/>
      <c r="AU204" s="49"/>
      <c r="AV204" s="53"/>
      <c r="AW204" s="49"/>
      <c r="AY204" s="49"/>
    </row>
    <row r="205" spans="11:121" x14ac:dyDescent="0.3">
      <c r="K205" s="49"/>
      <c r="M205" s="49"/>
      <c r="O205" s="49"/>
      <c r="Q205" s="49"/>
      <c r="S205" s="49"/>
      <c r="U205" s="49"/>
      <c r="V205" s="53"/>
      <c r="W205" s="49"/>
      <c r="Y205" s="49"/>
      <c r="AA205" s="49"/>
      <c r="AB205" s="53"/>
      <c r="AC205" s="49"/>
      <c r="AD205" s="53"/>
      <c r="AE205" s="49"/>
      <c r="AG205" s="49"/>
      <c r="AI205" s="49"/>
      <c r="AK205" s="49"/>
      <c r="AM205" s="49"/>
      <c r="AO205" s="49"/>
      <c r="AP205" s="53"/>
      <c r="AQ205" s="49"/>
      <c r="AS205" s="49"/>
      <c r="AT205" s="53"/>
      <c r="AU205" s="49"/>
      <c r="AV205" s="53"/>
      <c r="AW205" s="49"/>
      <c r="AY205" s="49"/>
    </row>
    <row r="206" spans="11:121" x14ac:dyDescent="0.3">
      <c r="K206" s="49"/>
      <c r="M206" s="49"/>
      <c r="O206" s="49"/>
      <c r="Q206" s="49"/>
      <c r="S206" s="49"/>
      <c r="U206" s="49"/>
      <c r="V206" s="53"/>
      <c r="W206" s="49"/>
      <c r="Y206" s="49"/>
      <c r="AA206" s="49"/>
      <c r="AB206" s="53"/>
      <c r="AC206" s="49"/>
      <c r="AD206" s="53"/>
      <c r="AE206" s="49"/>
      <c r="AG206" s="49"/>
      <c r="AI206" s="49"/>
      <c r="AK206" s="49"/>
      <c r="AM206" s="49"/>
      <c r="AO206" s="49"/>
      <c r="AP206" s="53"/>
      <c r="AQ206" s="49"/>
      <c r="AS206" s="49"/>
      <c r="AT206" s="53"/>
      <c r="AU206" s="49"/>
      <c r="AV206" s="53"/>
      <c r="AW206" s="49"/>
      <c r="AY206" s="49"/>
    </row>
    <row r="207" spans="11:121" x14ac:dyDescent="0.3">
      <c r="K207" s="49"/>
      <c r="M207" s="49"/>
      <c r="O207" s="49"/>
      <c r="Q207" s="49"/>
      <c r="S207" s="49"/>
      <c r="U207" s="49"/>
      <c r="V207" s="53"/>
      <c r="W207" s="49"/>
      <c r="Y207" s="49"/>
      <c r="AA207" s="49"/>
      <c r="AB207" s="53"/>
      <c r="AC207" s="49"/>
      <c r="AD207" s="53"/>
      <c r="AE207" s="49"/>
      <c r="AG207" s="49"/>
      <c r="AI207" s="49"/>
      <c r="AK207" s="49"/>
      <c r="AM207" s="49"/>
      <c r="AO207" s="49"/>
      <c r="AP207" s="53"/>
      <c r="AQ207" s="49"/>
      <c r="AS207" s="49"/>
      <c r="AT207" s="53"/>
      <c r="AU207" s="49"/>
      <c r="AV207" s="53"/>
      <c r="AW207" s="49"/>
      <c r="AY207" s="49"/>
    </row>
    <row r="208" spans="11:121" x14ac:dyDescent="0.3">
      <c r="K208" s="49"/>
      <c r="M208" s="49"/>
      <c r="O208" s="49"/>
      <c r="Q208" s="49"/>
      <c r="S208" s="49"/>
      <c r="U208" s="49"/>
      <c r="V208" s="53"/>
      <c r="W208" s="49"/>
      <c r="Y208" s="49"/>
      <c r="AA208" s="49"/>
      <c r="AB208" s="53"/>
      <c r="AC208" s="49"/>
      <c r="AD208" s="53"/>
      <c r="AE208" s="49"/>
      <c r="AG208" s="49"/>
      <c r="AI208" s="49"/>
      <c r="AK208" s="49"/>
      <c r="AM208" s="49"/>
      <c r="AO208" s="49"/>
      <c r="AP208" s="53"/>
      <c r="AQ208" s="49"/>
      <c r="AS208" s="49"/>
      <c r="AT208" s="53"/>
      <c r="AU208" s="49"/>
      <c r="AV208" s="53"/>
      <c r="AW208" s="49"/>
      <c r="AY208" s="49"/>
    </row>
    <row r="209" spans="11:51" x14ac:dyDescent="0.3">
      <c r="K209" s="49"/>
      <c r="M209" s="49"/>
      <c r="O209" s="49"/>
      <c r="Q209" s="49"/>
      <c r="S209" s="49"/>
      <c r="U209" s="49"/>
      <c r="V209" s="53"/>
      <c r="W209" s="49"/>
      <c r="Y209" s="49"/>
      <c r="AA209" s="49"/>
      <c r="AB209" s="53"/>
      <c r="AC209" s="49"/>
      <c r="AD209" s="53"/>
      <c r="AE209" s="49"/>
      <c r="AG209" s="49"/>
      <c r="AI209" s="49"/>
      <c r="AK209" s="49"/>
      <c r="AM209" s="49"/>
      <c r="AO209" s="49"/>
      <c r="AP209" s="53"/>
      <c r="AQ209" s="49"/>
      <c r="AS209" s="49"/>
      <c r="AT209" s="53"/>
      <c r="AU209" s="49"/>
      <c r="AV209" s="53"/>
      <c r="AW209" s="49"/>
      <c r="AY209" s="49"/>
    </row>
    <row r="210" spans="11:51" x14ac:dyDescent="0.3">
      <c r="K210" s="49"/>
      <c r="M210" s="49"/>
      <c r="O210" s="49"/>
      <c r="Q210" s="49"/>
      <c r="S210" s="49"/>
      <c r="U210" s="49"/>
      <c r="V210" s="53"/>
      <c r="W210" s="49"/>
      <c r="Y210" s="49"/>
      <c r="AA210" s="49"/>
      <c r="AB210" s="53"/>
      <c r="AC210" s="49"/>
      <c r="AD210" s="53"/>
      <c r="AE210" s="49"/>
      <c r="AG210" s="49"/>
      <c r="AI210" s="49"/>
      <c r="AK210" s="49"/>
      <c r="AM210" s="49"/>
      <c r="AO210" s="49"/>
      <c r="AP210" s="53"/>
      <c r="AQ210" s="49"/>
      <c r="AS210" s="49"/>
      <c r="AT210" s="53"/>
      <c r="AU210" s="49"/>
      <c r="AV210" s="53"/>
      <c r="AW210" s="49"/>
      <c r="AY210" s="49"/>
    </row>
    <row r="211" spans="11:51" x14ac:dyDescent="0.3">
      <c r="K211" s="49"/>
      <c r="M211" s="49"/>
      <c r="O211" s="49"/>
      <c r="Q211" s="49"/>
      <c r="S211" s="49"/>
      <c r="U211" s="49"/>
      <c r="V211" s="53"/>
      <c r="W211" s="49"/>
      <c r="Y211" s="49"/>
      <c r="AA211" s="49"/>
      <c r="AB211" s="53"/>
      <c r="AC211" s="49"/>
      <c r="AD211" s="53"/>
      <c r="AE211" s="49"/>
      <c r="AG211" s="49"/>
      <c r="AI211" s="49"/>
      <c r="AK211" s="49"/>
      <c r="AM211" s="49"/>
      <c r="AO211" s="49"/>
      <c r="AP211" s="53"/>
      <c r="AQ211" s="49"/>
      <c r="AS211" s="49"/>
      <c r="AT211" s="53"/>
      <c r="AU211" s="49"/>
      <c r="AV211" s="53"/>
      <c r="AW211" s="49"/>
      <c r="AY211" s="49"/>
    </row>
    <row r="212" spans="11:51" x14ac:dyDescent="0.3">
      <c r="K212" s="49"/>
      <c r="M212" s="49"/>
      <c r="O212" s="49"/>
      <c r="Q212" s="49"/>
      <c r="S212" s="49"/>
      <c r="U212" s="49"/>
      <c r="V212" s="53"/>
      <c r="W212" s="49"/>
      <c r="Y212" s="49"/>
      <c r="AA212" s="49"/>
      <c r="AB212" s="53"/>
      <c r="AC212" s="49"/>
      <c r="AD212" s="53"/>
      <c r="AE212" s="49"/>
      <c r="AG212" s="49"/>
      <c r="AI212" s="49"/>
      <c r="AK212" s="49"/>
      <c r="AM212" s="49"/>
      <c r="AO212" s="49"/>
      <c r="AP212" s="53"/>
      <c r="AQ212" s="49"/>
      <c r="AS212" s="49"/>
      <c r="AT212" s="53"/>
      <c r="AU212" s="49"/>
      <c r="AV212" s="53"/>
      <c r="AW212" s="49"/>
      <c r="AY212" s="49"/>
    </row>
    <row r="213" spans="11:51" x14ac:dyDescent="0.3">
      <c r="K213" s="49"/>
      <c r="M213" s="49"/>
      <c r="O213" s="49"/>
      <c r="Q213" s="49"/>
      <c r="S213" s="49"/>
      <c r="U213" s="49"/>
      <c r="V213" s="53"/>
      <c r="W213" s="49"/>
      <c r="Y213" s="49"/>
      <c r="AA213" s="49"/>
      <c r="AB213" s="53"/>
      <c r="AC213" s="49"/>
      <c r="AD213" s="53"/>
      <c r="AE213" s="49"/>
      <c r="AG213" s="49"/>
      <c r="AI213" s="49"/>
      <c r="AK213" s="49"/>
      <c r="AM213" s="49"/>
      <c r="AO213" s="49"/>
      <c r="AP213" s="53"/>
      <c r="AQ213" s="49"/>
      <c r="AS213" s="49"/>
      <c r="AT213" s="53"/>
      <c r="AU213" s="49"/>
      <c r="AV213" s="53"/>
      <c r="AW213" s="49"/>
      <c r="AY213" s="49"/>
    </row>
    <row r="214" spans="11:51" x14ac:dyDescent="0.3">
      <c r="K214" s="49"/>
      <c r="M214" s="49"/>
      <c r="O214" s="49"/>
      <c r="Q214" s="49"/>
      <c r="S214" s="49"/>
      <c r="U214" s="49"/>
      <c r="V214" s="53"/>
      <c r="W214" s="49"/>
      <c r="Y214" s="49"/>
      <c r="AA214" s="49"/>
      <c r="AB214" s="53"/>
      <c r="AC214" s="49"/>
      <c r="AD214" s="53"/>
      <c r="AE214" s="49"/>
      <c r="AG214" s="49"/>
      <c r="AI214" s="49"/>
      <c r="AK214" s="49"/>
      <c r="AM214" s="49"/>
      <c r="AO214" s="49"/>
      <c r="AP214" s="53"/>
      <c r="AQ214" s="49"/>
      <c r="AS214" s="49"/>
      <c r="AT214" s="53"/>
      <c r="AU214" s="49"/>
      <c r="AV214" s="53"/>
      <c r="AW214" s="49"/>
      <c r="AY214" s="49"/>
    </row>
    <row r="215" spans="11:51" x14ac:dyDescent="0.3">
      <c r="K215" s="49"/>
      <c r="M215" s="49"/>
      <c r="O215" s="49"/>
      <c r="Q215" s="49"/>
      <c r="S215" s="49"/>
      <c r="U215" s="49"/>
      <c r="V215" s="53"/>
      <c r="W215" s="49"/>
      <c r="Y215" s="49"/>
      <c r="AA215" s="49"/>
      <c r="AB215" s="53"/>
      <c r="AC215" s="49"/>
      <c r="AD215" s="53"/>
      <c r="AE215" s="49"/>
      <c r="AG215" s="49"/>
      <c r="AI215" s="49"/>
      <c r="AK215" s="49"/>
      <c r="AM215" s="49"/>
      <c r="AO215" s="49"/>
      <c r="AP215" s="53"/>
      <c r="AQ215" s="49"/>
      <c r="AS215" s="49"/>
      <c r="AT215" s="53"/>
      <c r="AU215" s="49"/>
      <c r="AV215" s="53"/>
      <c r="AW215" s="49"/>
      <c r="AY215" s="49"/>
    </row>
    <row r="216" spans="11:51" x14ac:dyDescent="0.3">
      <c r="K216" s="49"/>
      <c r="M216" s="49"/>
      <c r="O216" s="49"/>
      <c r="Q216" s="49"/>
      <c r="S216" s="49"/>
      <c r="U216" s="49"/>
      <c r="V216" s="53"/>
      <c r="W216" s="49"/>
      <c r="Y216" s="49"/>
      <c r="AA216" s="49"/>
      <c r="AB216" s="53"/>
      <c r="AC216" s="49"/>
      <c r="AD216" s="53"/>
      <c r="AE216" s="49"/>
      <c r="AG216" s="49"/>
      <c r="AI216" s="49"/>
      <c r="AK216" s="49"/>
      <c r="AM216" s="49"/>
      <c r="AO216" s="49"/>
      <c r="AP216" s="53"/>
      <c r="AQ216" s="49"/>
      <c r="AS216" s="49"/>
      <c r="AT216" s="53"/>
      <c r="AU216" s="49"/>
      <c r="AV216" s="53"/>
      <c r="AW216" s="49"/>
      <c r="AY216" s="49"/>
    </row>
    <row r="217" spans="11:51" x14ac:dyDescent="0.3">
      <c r="K217" s="49"/>
      <c r="M217" s="49"/>
      <c r="O217" s="49"/>
      <c r="Q217" s="49"/>
      <c r="S217" s="49"/>
      <c r="U217" s="49"/>
      <c r="V217" s="53"/>
      <c r="W217" s="49"/>
      <c r="Y217" s="49"/>
      <c r="AA217" s="49"/>
      <c r="AB217" s="53"/>
      <c r="AC217" s="49"/>
      <c r="AD217" s="53"/>
      <c r="AE217" s="49"/>
      <c r="AG217" s="49"/>
      <c r="AI217" s="49"/>
      <c r="AK217" s="49"/>
      <c r="AM217" s="49"/>
      <c r="AO217" s="49"/>
      <c r="AP217" s="53"/>
      <c r="AQ217" s="49"/>
      <c r="AS217" s="49"/>
      <c r="AT217" s="53"/>
      <c r="AU217" s="49"/>
      <c r="AV217" s="53"/>
      <c r="AW217" s="49"/>
      <c r="AY217" s="49"/>
    </row>
    <row r="218" spans="11:51" x14ac:dyDescent="0.3">
      <c r="K218" s="49"/>
      <c r="M218" s="49"/>
      <c r="O218" s="49"/>
      <c r="Q218" s="49"/>
      <c r="S218" s="49"/>
      <c r="U218" s="49"/>
      <c r="V218" s="53"/>
      <c r="W218" s="49"/>
      <c r="Y218" s="49"/>
      <c r="AA218" s="49"/>
      <c r="AB218" s="53"/>
      <c r="AC218" s="49"/>
      <c r="AD218" s="53"/>
      <c r="AE218" s="49"/>
      <c r="AG218" s="49"/>
      <c r="AI218" s="49"/>
      <c r="AK218" s="49"/>
      <c r="AM218" s="49"/>
      <c r="AO218" s="49"/>
      <c r="AP218" s="53"/>
      <c r="AQ218" s="49"/>
      <c r="AS218" s="49"/>
      <c r="AT218" s="53"/>
      <c r="AU218" s="49"/>
      <c r="AV218" s="53"/>
      <c r="AW218" s="49"/>
      <c r="AY218" s="49"/>
    </row>
    <row r="219" spans="11:51" x14ac:dyDescent="0.3">
      <c r="K219" s="49"/>
      <c r="M219" s="49"/>
      <c r="O219" s="49"/>
      <c r="Q219" s="49"/>
      <c r="S219" s="49"/>
      <c r="U219" s="49"/>
      <c r="V219" s="53"/>
      <c r="W219" s="49"/>
      <c r="Y219" s="49"/>
      <c r="AA219" s="49"/>
      <c r="AB219" s="53"/>
      <c r="AC219" s="49"/>
      <c r="AD219" s="53"/>
      <c r="AE219" s="49"/>
      <c r="AG219" s="49"/>
      <c r="AI219" s="49"/>
      <c r="AK219" s="49"/>
      <c r="AM219" s="49"/>
      <c r="AO219" s="49"/>
      <c r="AP219" s="53"/>
      <c r="AQ219" s="49"/>
      <c r="AS219" s="49"/>
      <c r="AT219" s="53"/>
      <c r="AU219" s="49"/>
      <c r="AV219" s="53"/>
      <c r="AW219" s="49"/>
      <c r="AY219" s="49"/>
    </row>
    <row r="220" spans="11:51" x14ac:dyDescent="0.3">
      <c r="K220" s="49"/>
      <c r="M220" s="49"/>
      <c r="O220" s="49"/>
      <c r="Q220" s="49"/>
      <c r="S220" s="49"/>
      <c r="U220" s="49"/>
      <c r="V220" s="53"/>
      <c r="W220" s="49"/>
      <c r="Y220" s="49"/>
      <c r="AA220" s="49"/>
      <c r="AB220" s="53"/>
      <c r="AC220" s="49"/>
      <c r="AD220" s="53"/>
      <c r="AE220" s="49"/>
      <c r="AG220" s="49"/>
      <c r="AI220" s="49"/>
      <c r="AK220" s="49"/>
      <c r="AM220" s="49"/>
      <c r="AO220" s="49"/>
      <c r="AP220" s="53"/>
      <c r="AQ220" s="49"/>
      <c r="AS220" s="49"/>
      <c r="AT220" s="53"/>
      <c r="AU220" s="49"/>
      <c r="AV220" s="53"/>
      <c r="AW220" s="49"/>
      <c r="AY220" s="49"/>
    </row>
    <row r="221" spans="11:51" x14ac:dyDescent="0.3">
      <c r="K221" s="49"/>
      <c r="M221" s="49"/>
      <c r="O221" s="49"/>
      <c r="Q221" s="49"/>
      <c r="S221" s="49"/>
      <c r="U221" s="49"/>
      <c r="V221" s="53"/>
      <c r="W221" s="49"/>
      <c r="Y221" s="49"/>
      <c r="AA221" s="49"/>
      <c r="AB221" s="53"/>
      <c r="AC221" s="49"/>
      <c r="AD221" s="53"/>
      <c r="AE221" s="49"/>
      <c r="AG221" s="49"/>
      <c r="AI221" s="49"/>
      <c r="AK221" s="49"/>
      <c r="AM221" s="49"/>
      <c r="AO221" s="49"/>
      <c r="AP221" s="53"/>
      <c r="AQ221" s="49"/>
      <c r="AS221" s="49"/>
      <c r="AT221" s="53"/>
      <c r="AU221" s="49"/>
      <c r="AV221" s="53"/>
      <c r="AW221" s="49"/>
      <c r="AY221" s="49"/>
    </row>
    <row r="222" spans="11:51" x14ac:dyDescent="0.3">
      <c r="K222" s="49"/>
      <c r="M222" s="49"/>
      <c r="O222" s="49"/>
      <c r="Q222" s="49"/>
      <c r="S222" s="49"/>
      <c r="U222" s="49"/>
      <c r="V222" s="53"/>
      <c r="W222" s="49"/>
      <c r="Y222" s="49"/>
      <c r="AA222" s="49"/>
      <c r="AB222" s="53"/>
      <c r="AC222" s="49"/>
      <c r="AD222" s="53"/>
      <c r="AE222" s="49"/>
      <c r="AG222" s="49"/>
      <c r="AI222" s="49"/>
      <c r="AK222" s="49"/>
      <c r="AM222" s="49"/>
      <c r="AO222" s="49"/>
      <c r="AP222" s="53"/>
      <c r="AQ222" s="49"/>
      <c r="AS222" s="49"/>
      <c r="AT222" s="53"/>
      <c r="AU222" s="49"/>
      <c r="AV222" s="53"/>
      <c r="AW222" s="49"/>
      <c r="AY222" s="49"/>
    </row>
    <row r="223" spans="11:51" x14ac:dyDescent="0.3">
      <c r="K223" s="49"/>
      <c r="M223" s="49"/>
      <c r="O223" s="49"/>
      <c r="Q223" s="49"/>
      <c r="S223" s="49"/>
      <c r="U223" s="49"/>
      <c r="V223" s="53"/>
      <c r="W223" s="49"/>
      <c r="Y223" s="49"/>
      <c r="AA223" s="49"/>
      <c r="AB223" s="53"/>
      <c r="AC223" s="49"/>
      <c r="AD223" s="53"/>
      <c r="AE223" s="49"/>
      <c r="AG223" s="49"/>
      <c r="AI223" s="49"/>
      <c r="AK223" s="49"/>
      <c r="AM223" s="49"/>
      <c r="AO223" s="49"/>
      <c r="AP223" s="53"/>
      <c r="AQ223" s="49"/>
      <c r="AS223" s="49"/>
      <c r="AT223" s="53"/>
      <c r="AU223" s="49"/>
      <c r="AV223" s="53"/>
      <c r="AW223" s="49"/>
      <c r="AY223" s="49"/>
    </row>
    <row r="224" spans="11:51" x14ac:dyDescent="0.3">
      <c r="K224" s="49"/>
      <c r="M224" s="49"/>
      <c r="O224" s="49"/>
      <c r="Q224" s="49"/>
      <c r="S224" s="49"/>
      <c r="U224" s="49"/>
      <c r="V224" s="53"/>
      <c r="W224" s="49"/>
      <c r="Y224" s="49"/>
      <c r="AA224" s="49"/>
      <c r="AB224" s="53"/>
      <c r="AC224" s="49"/>
      <c r="AD224" s="53"/>
      <c r="AE224" s="49"/>
      <c r="AG224" s="49"/>
      <c r="AI224" s="49"/>
      <c r="AK224" s="49"/>
      <c r="AM224" s="49"/>
      <c r="AO224" s="49"/>
      <c r="AP224" s="53"/>
      <c r="AQ224" s="49"/>
      <c r="AS224" s="49"/>
      <c r="AT224" s="53"/>
      <c r="AU224" s="49"/>
      <c r="AV224" s="53"/>
      <c r="AW224" s="49"/>
      <c r="AY224" s="49"/>
    </row>
    <row r="225" spans="11:51" x14ac:dyDescent="0.3">
      <c r="K225" s="49"/>
      <c r="M225" s="49"/>
      <c r="O225" s="49"/>
      <c r="Q225" s="49"/>
      <c r="S225" s="49"/>
      <c r="U225" s="49"/>
      <c r="V225" s="53"/>
      <c r="W225" s="49"/>
      <c r="Y225" s="49"/>
      <c r="AA225" s="49"/>
      <c r="AB225" s="53"/>
      <c r="AC225" s="49"/>
      <c r="AD225" s="53"/>
      <c r="AE225" s="49"/>
      <c r="AG225" s="49"/>
      <c r="AI225" s="49"/>
      <c r="AK225" s="49"/>
      <c r="AM225" s="49"/>
      <c r="AO225" s="49"/>
      <c r="AP225" s="53"/>
      <c r="AQ225" s="49"/>
      <c r="AS225" s="49"/>
      <c r="AT225" s="53"/>
      <c r="AU225" s="49"/>
      <c r="AV225" s="53"/>
      <c r="AW225" s="49"/>
      <c r="AY225" s="49"/>
    </row>
    <row r="226" spans="11:51" x14ac:dyDescent="0.3">
      <c r="K226" s="49"/>
      <c r="M226" s="49"/>
      <c r="O226" s="49"/>
      <c r="Q226" s="49"/>
      <c r="S226" s="49"/>
      <c r="U226" s="49"/>
      <c r="V226" s="53"/>
      <c r="W226" s="49"/>
      <c r="Y226" s="49"/>
      <c r="AA226" s="49"/>
      <c r="AB226" s="53"/>
      <c r="AC226" s="49"/>
      <c r="AD226" s="53"/>
      <c r="AE226" s="49"/>
      <c r="AG226" s="49"/>
      <c r="AI226" s="49"/>
      <c r="AK226" s="49"/>
      <c r="AM226" s="49"/>
      <c r="AO226" s="49"/>
      <c r="AP226" s="53"/>
      <c r="AQ226" s="49"/>
      <c r="AS226" s="49"/>
      <c r="AT226" s="53"/>
      <c r="AU226" s="49"/>
      <c r="AV226" s="53"/>
      <c r="AW226" s="49"/>
      <c r="AY226" s="49"/>
    </row>
    <row r="227" spans="11:51" x14ac:dyDescent="0.3">
      <c r="K227" s="49"/>
      <c r="M227" s="49"/>
      <c r="O227" s="49"/>
      <c r="Q227" s="49"/>
      <c r="S227" s="49"/>
      <c r="U227" s="49"/>
      <c r="V227" s="53"/>
      <c r="W227" s="49"/>
      <c r="Y227" s="49"/>
      <c r="AA227" s="49"/>
      <c r="AB227" s="53"/>
      <c r="AC227" s="49"/>
      <c r="AD227" s="53"/>
      <c r="AE227" s="49"/>
      <c r="AG227" s="49"/>
      <c r="AI227" s="49"/>
      <c r="AK227" s="49"/>
      <c r="AM227" s="49"/>
      <c r="AO227" s="49"/>
      <c r="AP227" s="53"/>
      <c r="AQ227" s="49"/>
      <c r="AS227" s="49"/>
      <c r="AT227" s="53"/>
      <c r="AU227" s="49"/>
      <c r="AV227" s="53"/>
      <c r="AW227" s="49"/>
      <c r="AY227" s="49"/>
    </row>
    <row r="228" spans="11:51" x14ac:dyDescent="0.3">
      <c r="K228" s="49"/>
      <c r="M228" s="49"/>
      <c r="O228" s="49"/>
      <c r="Q228" s="49"/>
      <c r="S228" s="49"/>
      <c r="U228" s="49"/>
      <c r="V228" s="53"/>
      <c r="W228" s="49"/>
      <c r="Y228" s="49"/>
      <c r="AA228" s="49"/>
      <c r="AB228" s="53"/>
      <c r="AC228" s="49"/>
      <c r="AD228" s="53"/>
      <c r="AE228" s="49"/>
      <c r="AG228" s="49"/>
      <c r="AI228" s="49"/>
      <c r="AK228" s="49"/>
      <c r="AM228" s="49"/>
      <c r="AO228" s="49"/>
      <c r="AP228" s="53"/>
      <c r="AQ228" s="49"/>
      <c r="AS228" s="49"/>
      <c r="AT228" s="53"/>
      <c r="AU228" s="49"/>
      <c r="AV228" s="53"/>
      <c r="AW228" s="49"/>
      <c r="AY228" s="49"/>
    </row>
    <row r="229" spans="11:51" x14ac:dyDescent="0.3">
      <c r="K229" s="49"/>
      <c r="M229" s="49"/>
      <c r="O229" s="49"/>
      <c r="Q229" s="49"/>
      <c r="S229" s="49"/>
      <c r="U229" s="49"/>
      <c r="V229" s="53"/>
      <c r="W229" s="49"/>
      <c r="Y229" s="49"/>
      <c r="AA229" s="49"/>
      <c r="AB229" s="53"/>
      <c r="AC229" s="49"/>
      <c r="AD229" s="53"/>
      <c r="AE229" s="49"/>
      <c r="AG229" s="49"/>
      <c r="AI229" s="49"/>
      <c r="AK229" s="49"/>
      <c r="AM229" s="49"/>
      <c r="AO229" s="49"/>
      <c r="AP229" s="53"/>
      <c r="AQ229" s="49"/>
      <c r="AS229" s="49"/>
      <c r="AT229" s="53"/>
      <c r="AU229" s="49"/>
      <c r="AV229" s="53"/>
      <c r="AW229" s="49"/>
      <c r="AY229" s="49"/>
    </row>
    <row r="230" spans="11:51" x14ac:dyDescent="0.3">
      <c r="K230" s="49"/>
      <c r="M230" s="49"/>
      <c r="O230" s="49"/>
      <c r="Q230" s="49"/>
      <c r="S230" s="49"/>
      <c r="U230" s="49"/>
      <c r="V230" s="53"/>
      <c r="W230" s="49"/>
      <c r="Y230" s="49"/>
      <c r="AA230" s="49"/>
      <c r="AB230" s="53"/>
      <c r="AC230" s="49"/>
      <c r="AD230" s="53"/>
      <c r="AE230" s="49"/>
      <c r="AG230" s="49"/>
      <c r="AI230" s="49"/>
      <c r="AK230" s="49"/>
      <c r="AM230" s="49"/>
      <c r="AO230" s="49"/>
      <c r="AP230" s="53"/>
      <c r="AQ230" s="49"/>
      <c r="AS230" s="49"/>
      <c r="AT230" s="53"/>
      <c r="AU230" s="49"/>
      <c r="AV230" s="53"/>
      <c r="AW230" s="49"/>
      <c r="AY230" s="49"/>
    </row>
    <row r="231" spans="11:51" x14ac:dyDescent="0.3">
      <c r="K231" s="49"/>
      <c r="M231" s="49"/>
      <c r="O231" s="49"/>
      <c r="Q231" s="49"/>
      <c r="S231" s="49"/>
      <c r="U231" s="49"/>
      <c r="V231" s="53"/>
      <c r="W231" s="49"/>
      <c r="Y231" s="49"/>
      <c r="AA231" s="49"/>
      <c r="AB231" s="53"/>
      <c r="AC231" s="49"/>
      <c r="AD231" s="53"/>
      <c r="AE231" s="49"/>
      <c r="AG231" s="49"/>
      <c r="AI231" s="49"/>
      <c r="AK231" s="49"/>
      <c r="AM231" s="49"/>
      <c r="AO231" s="49"/>
      <c r="AP231" s="53"/>
      <c r="AQ231" s="49"/>
      <c r="AS231" s="49"/>
      <c r="AT231" s="53"/>
      <c r="AU231" s="49"/>
      <c r="AV231" s="53"/>
      <c r="AW231" s="49"/>
      <c r="AY231" s="49"/>
    </row>
    <row r="232" spans="11:51" x14ac:dyDescent="0.3">
      <c r="K232" s="49"/>
      <c r="M232" s="49"/>
      <c r="O232" s="49"/>
      <c r="Q232" s="49"/>
      <c r="S232" s="49"/>
      <c r="U232" s="49"/>
      <c r="V232" s="53"/>
      <c r="W232" s="49"/>
      <c r="Y232" s="49"/>
      <c r="AA232" s="49"/>
      <c r="AB232" s="53"/>
      <c r="AC232" s="49"/>
      <c r="AD232" s="53"/>
      <c r="AE232" s="49"/>
      <c r="AG232" s="49"/>
      <c r="AI232" s="49"/>
      <c r="AK232" s="49"/>
      <c r="AM232" s="49"/>
      <c r="AO232" s="49"/>
      <c r="AP232" s="53"/>
      <c r="AQ232" s="49"/>
      <c r="AS232" s="49"/>
      <c r="AT232" s="53"/>
      <c r="AU232" s="49"/>
      <c r="AV232" s="53"/>
      <c r="AW232" s="49"/>
      <c r="AY232" s="49"/>
    </row>
    <row r="233" spans="11:51" x14ac:dyDescent="0.3">
      <c r="K233" s="49"/>
      <c r="M233" s="49"/>
      <c r="O233" s="49"/>
      <c r="Q233" s="49"/>
      <c r="S233" s="49"/>
      <c r="U233" s="49"/>
      <c r="V233" s="53"/>
      <c r="W233" s="49"/>
      <c r="Y233" s="49"/>
      <c r="AA233" s="49"/>
      <c r="AB233" s="53"/>
      <c r="AC233" s="49"/>
      <c r="AD233" s="53"/>
      <c r="AE233" s="49"/>
      <c r="AG233" s="49"/>
      <c r="AI233" s="49"/>
      <c r="AK233" s="49"/>
      <c r="AM233" s="49"/>
      <c r="AO233" s="49"/>
      <c r="AP233" s="53"/>
      <c r="AQ233" s="49"/>
      <c r="AS233" s="49"/>
      <c r="AT233" s="53"/>
      <c r="AU233" s="49"/>
      <c r="AV233" s="53"/>
      <c r="AW233" s="49"/>
      <c r="AY233" s="49"/>
    </row>
    <row r="234" spans="11:51" x14ac:dyDescent="0.3">
      <c r="K234" s="49"/>
      <c r="M234" s="49"/>
      <c r="O234" s="49"/>
      <c r="Q234" s="49"/>
      <c r="S234" s="49"/>
      <c r="U234" s="49"/>
      <c r="V234" s="53"/>
      <c r="W234" s="49"/>
      <c r="Y234" s="49"/>
      <c r="AA234" s="49"/>
      <c r="AB234" s="53"/>
      <c r="AC234" s="49"/>
      <c r="AD234" s="53"/>
      <c r="AE234" s="49"/>
      <c r="AG234" s="49"/>
      <c r="AI234" s="49"/>
      <c r="AK234" s="49"/>
      <c r="AM234" s="49"/>
      <c r="AO234" s="49"/>
      <c r="AP234" s="53"/>
      <c r="AQ234" s="49"/>
      <c r="AS234" s="49"/>
      <c r="AT234" s="53"/>
      <c r="AU234" s="49"/>
      <c r="AV234" s="53"/>
      <c r="AW234" s="49"/>
      <c r="AY234" s="49"/>
    </row>
    <row r="235" spans="11:51" x14ac:dyDescent="0.3">
      <c r="K235" s="49"/>
      <c r="M235" s="49"/>
      <c r="O235" s="49"/>
      <c r="Q235" s="49"/>
      <c r="S235" s="49"/>
      <c r="U235" s="49"/>
      <c r="V235" s="53"/>
      <c r="W235" s="49"/>
      <c r="Y235" s="49"/>
      <c r="AA235" s="49"/>
      <c r="AB235" s="53"/>
      <c r="AC235" s="49"/>
      <c r="AD235" s="53"/>
      <c r="AE235" s="49"/>
      <c r="AG235" s="49"/>
      <c r="AI235" s="49"/>
      <c r="AK235" s="49"/>
      <c r="AM235" s="49"/>
      <c r="AO235" s="49"/>
      <c r="AP235" s="53"/>
      <c r="AQ235" s="49"/>
      <c r="AS235" s="49"/>
      <c r="AT235" s="53"/>
      <c r="AU235" s="49"/>
      <c r="AV235" s="53"/>
      <c r="AW235" s="49"/>
      <c r="AY235" s="49"/>
    </row>
    <row r="236" spans="11:51" x14ac:dyDescent="0.3">
      <c r="K236" s="49"/>
      <c r="M236" s="49"/>
      <c r="O236" s="49"/>
      <c r="Q236" s="49"/>
      <c r="S236" s="49"/>
      <c r="U236" s="49"/>
      <c r="V236" s="53"/>
      <c r="W236" s="49"/>
      <c r="Y236" s="49"/>
      <c r="AA236" s="49"/>
      <c r="AB236" s="53"/>
      <c r="AC236" s="49"/>
      <c r="AD236" s="53"/>
      <c r="AE236" s="49"/>
      <c r="AG236" s="49"/>
      <c r="AI236" s="49"/>
      <c r="AK236" s="49"/>
      <c r="AM236" s="49"/>
      <c r="AO236" s="49"/>
      <c r="AP236" s="53"/>
      <c r="AQ236" s="49"/>
      <c r="AS236" s="49"/>
      <c r="AT236" s="53"/>
      <c r="AU236" s="49"/>
      <c r="AV236" s="53"/>
      <c r="AW236" s="49"/>
      <c r="AY236" s="49"/>
    </row>
    <row r="237" spans="11:51" x14ac:dyDescent="0.3">
      <c r="K237" s="49"/>
      <c r="M237" s="49"/>
      <c r="O237" s="49"/>
      <c r="Q237" s="49"/>
      <c r="S237" s="49"/>
      <c r="U237" s="49"/>
      <c r="V237" s="53"/>
      <c r="W237" s="49"/>
      <c r="Y237" s="49"/>
      <c r="AA237" s="49"/>
      <c r="AB237" s="53"/>
      <c r="AC237" s="49"/>
      <c r="AD237" s="53"/>
      <c r="AE237" s="49"/>
      <c r="AG237" s="49"/>
      <c r="AI237" s="49"/>
      <c r="AK237" s="49"/>
      <c r="AM237" s="49"/>
      <c r="AO237" s="49"/>
      <c r="AP237" s="53"/>
      <c r="AQ237" s="49"/>
      <c r="AS237" s="49"/>
      <c r="AT237" s="53"/>
      <c r="AU237" s="49"/>
      <c r="AV237" s="53"/>
      <c r="AW237" s="49"/>
      <c r="AY237" s="49"/>
    </row>
    <row r="238" spans="11:51" x14ac:dyDescent="0.3">
      <c r="K238" s="49"/>
      <c r="M238" s="49"/>
      <c r="O238" s="49"/>
      <c r="Q238" s="49"/>
      <c r="S238" s="49"/>
      <c r="U238" s="49"/>
      <c r="V238" s="53"/>
      <c r="W238" s="49"/>
      <c r="Y238" s="49"/>
      <c r="AA238" s="49"/>
      <c r="AB238" s="53"/>
      <c r="AC238" s="49"/>
      <c r="AD238" s="53"/>
      <c r="AE238" s="49"/>
      <c r="AG238" s="49"/>
      <c r="AI238" s="49"/>
      <c r="AK238" s="49"/>
      <c r="AM238" s="49"/>
      <c r="AO238" s="49"/>
      <c r="AP238" s="53"/>
      <c r="AQ238" s="49"/>
      <c r="AS238" s="49"/>
      <c r="AT238" s="53"/>
      <c r="AU238" s="49"/>
      <c r="AV238" s="53"/>
      <c r="AW238" s="49"/>
      <c r="AY238" s="49"/>
    </row>
    <row r="239" spans="11:51" x14ac:dyDescent="0.3">
      <c r="K239" s="49"/>
      <c r="M239" s="49"/>
      <c r="O239" s="49"/>
      <c r="Q239" s="49"/>
      <c r="S239" s="49"/>
      <c r="U239" s="49"/>
      <c r="V239" s="53"/>
      <c r="W239" s="49"/>
      <c r="Y239" s="49"/>
      <c r="AA239" s="49"/>
      <c r="AB239" s="53"/>
      <c r="AC239" s="49"/>
      <c r="AD239" s="53"/>
      <c r="AE239" s="49"/>
      <c r="AG239" s="49"/>
      <c r="AI239" s="49"/>
      <c r="AK239" s="49"/>
      <c r="AM239" s="49"/>
      <c r="AO239" s="49"/>
      <c r="AP239" s="53"/>
      <c r="AQ239" s="49"/>
      <c r="AS239" s="49"/>
      <c r="AT239" s="53"/>
      <c r="AU239" s="49"/>
      <c r="AV239" s="53"/>
      <c r="AW239" s="49"/>
      <c r="AY239" s="49"/>
    </row>
    <row r="240" spans="11:51" x14ac:dyDescent="0.3">
      <c r="K240" s="49"/>
      <c r="M240" s="49"/>
      <c r="O240" s="49"/>
      <c r="Q240" s="49"/>
      <c r="S240" s="49"/>
      <c r="U240" s="49"/>
      <c r="V240" s="53"/>
      <c r="W240" s="49"/>
      <c r="Y240" s="49"/>
      <c r="AA240" s="49"/>
      <c r="AB240" s="53"/>
      <c r="AC240" s="49"/>
      <c r="AD240" s="53"/>
      <c r="AE240" s="49"/>
      <c r="AG240" s="49"/>
      <c r="AI240" s="49"/>
      <c r="AK240" s="49"/>
      <c r="AM240" s="49"/>
      <c r="AO240" s="49"/>
      <c r="AP240" s="53"/>
      <c r="AQ240" s="49"/>
      <c r="AS240" s="49"/>
      <c r="AT240" s="53"/>
      <c r="AU240" s="49"/>
      <c r="AV240" s="53"/>
      <c r="AW240" s="49"/>
      <c r="AY240" s="49"/>
    </row>
    <row r="241" spans="11:51" x14ac:dyDescent="0.3">
      <c r="K241" s="49"/>
      <c r="M241" s="49"/>
      <c r="O241" s="49"/>
      <c r="Q241" s="49"/>
      <c r="S241" s="49"/>
      <c r="U241" s="49"/>
      <c r="V241" s="53"/>
      <c r="W241" s="49"/>
      <c r="Y241" s="49"/>
      <c r="AA241" s="49"/>
      <c r="AB241" s="53"/>
      <c r="AC241" s="49"/>
      <c r="AD241" s="53"/>
      <c r="AE241" s="49"/>
      <c r="AG241" s="49"/>
      <c r="AI241" s="49"/>
      <c r="AK241" s="49"/>
      <c r="AM241" s="49"/>
      <c r="AO241" s="49"/>
      <c r="AP241" s="53"/>
      <c r="AQ241" s="49"/>
      <c r="AS241" s="49"/>
      <c r="AT241" s="53"/>
      <c r="AU241" s="49"/>
      <c r="AV241" s="53"/>
      <c r="AW241" s="49"/>
      <c r="AY241" s="49"/>
    </row>
    <row r="242" spans="11:51" x14ac:dyDescent="0.3">
      <c r="K242" s="49"/>
      <c r="M242" s="49"/>
      <c r="O242" s="49"/>
      <c r="Q242" s="49"/>
      <c r="S242" s="49"/>
      <c r="U242" s="49"/>
      <c r="V242" s="53"/>
      <c r="W242" s="49"/>
      <c r="Y242" s="49"/>
      <c r="AA242" s="49"/>
      <c r="AB242" s="53"/>
      <c r="AC242" s="49"/>
      <c r="AD242" s="53"/>
      <c r="AE242" s="49"/>
      <c r="AG242" s="49"/>
      <c r="AI242" s="49"/>
      <c r="AK242" s="49"/>
      <c r="AM242" s="49"/>
      <c r="AO242" s="49"/>
      <c r="AP242" s="53"/>
      <c r="AQ242" s="49"/>
      <c r="AS242" s="49"/>
      <c r="AT242" s="53"/>
      <c r="AU242" s="49"/>
      <c r="AV242" s="53"/>
      <c r="AW242" s="49"/>
      <c r="AY242" s="49"/>
    </row>
    <row r="243" spans="11:51" x14ac:dyDescent="0.3">
      <c r="K243" s="49"/>
      <c r="M243" s="49"/>
      <c r="O243" s="49"/>
      <c r="Q243" s="49"/>
      <c r="S243" s="49"/>
      <c r="U243" s="49"/>
      <c r="V243" s="53"/>
      <c r="W243" s="49"/>
      <c r="Y243" s="49"/>
      <c r="AA243" s="49"/>
      <c r="AB243" s="53"/>
      <c r="AC243" s="49"/>
      <c r="AD243" s="53"/>
      <c r="AE243" s="49"/>
      <c r="AG243" s="49"/>
      <c r="AI243" s="49"/>
      <c r="AK243" s="49"/>
      <c r="AM243" s="49"/>
      <c r="AO243" s="49"/>
      <c r="AP243" s="53"/>
      <c r="AQ243" s="49"/>
      <c r="AS243" s="49"/>
      <c r="AT243" s="53"/>
      <c r="AU243" s="49"/>
      <c r="AV243" s="53"/>
      <c r="AW243" s="49"/>
      <c r="AY243" s="49"/>
    </row>
    <row r="244" spans="11:51" x14ac:dyDescent="0.3">
      <c r="K244" s="49"/>
      <c r="M244" s="49"/>
      <c r="O244" s="49"/>
      <c r="Q244" s="49"/>
      <c r="S244" s="49"/>
      <c r="U244" s="49"/>
      <c r="V244" s="53"/>
      <c r="W244" s="49"/>
      <c r="Y244" s="49"/>
      <c r="AA244" s="49"/>
      <c r="AB244" s="53"/>
      <c r="AC244" s="49"/>
      <c r="AD244" s="53"/>
      <c r="AE244" s="49"/>
      <c r="AG244" s="49"/>
      <c r="AI244" s="49"/>
      <c r="AK244" s="49"/>
      <c r="AM244" s="49"/>
      <c r="AO244" s="49"/>
      <c r="AP244" s="53"/>
      <c r="AQ244" s="49"/>
      <c r="AS244" s="49"/>
      <c r="AT244" s="53"/>
      <c r="AU244" s="49"/>
      <c r="AV244" s="53"/>
      <c r="AW244" s="49"/>
      <c r="AY244" s="49"/>
    </row>
    <row r="245" spans="11:51" x14ac:dyDescent="0.3">
      <c r="K245" s="49"/>
      <c r="M245" s="49"/>
      <c r="O245" s="49"/>
      <c r="Q245" s="49"/>
      <c r="S245" s="49"/>
      <c r="U245" s="49"/>
      <c r="V245" s="53"/>
      <c r="W245" s="49"/>
      <c r="Y245" s="49"/>
      <c r="AA245" s="49"/>
      <c r="AB245" s="53"/>
      <c r="AC245" s="49"/>
      <c r="AD245" s="53"/>
      <c r="AE245" s="49"/>
      <c r="AG245" s="49"/>
      <c r="AI245" s="49"/>
      <c r="AK245" s="49"/>
      <c r="AM245" s="49"/>
      <c r="AO245" s="49"/>
      <c r="AP245" s="53"/>
      <c r="AQ245" s="49"/>
      <c r="AS245" s="49"/>
      <c r="AT245" s="53"/>
      <c r="AU245" s="49"/>
      <c r="AV245" s="53"/>
      <c r="AW245" s="49"/>
      <c r="AY245" s="49"/>
    </row>
    <row r="246" spans="11:51" x14ac:dyDescent="0.3">
      <c r="K246" s="49"/>
      <c r="M246" s="49"/>
      <c r="O246" s="49"/>
      <c r="Q246" s="49"/>
      <c r="S246" s="49"/>
      <c r="U246" s="49"/>
      <c r="V246" s="53"/>
      <c r="W246" s="49"/>
      <c r="Y246" s="49"/>
      <c r="AA246" s="49"/>
      <c r="AB246" s="53"/>
      <c r="AC246" s="49"/>
      <c r="AD246" s="53"/>
      <c r="AE246" s="49"/>
      <c r="AG246" s="49"/>
      <c r="AI246" s="49"/>
      <c r="AK246" s="49"/>
      <c r="AM246" s="49"/>
      <c r="AO246" s="49"/>
      <c r="AP246" s="53"/>
      <c r="AQ246" s="49"/>
      <c r="AS246" s="49"/>
      <c r="AT246" s="53"/>
      <c r="AU246" s="49"/>
      <c r="AV246" s="53"/>
      <c r="AW246" s="49"/>
      <c r="AY246" s="49"/>
    </row>
    <row r="247" spans="11:51" x14ac:dyDescent="0.3">
      <c r="K247" s="49"/>
      <c r="M247" s="49"/>
      <c r="O247" s="49"/>
      <c r="Q247" s="49"/>
      <c r="S247" s="49"/>
      <c r="U247" s="49"/>
      <c r="V247" s="53"/>
      <c r="W247" s="49"/>
      <c r="Y247" s="49"/>
      <c r="AA247" s="49"/>
      <c r="AB247" s="53"/>
      <c r="AC247" s="49"/>
      <c r="AD247" s="53"/>
      <c r="AE247" s="49"/>
      <c r="AG247" s="49"/>
      <c r="AI247" s="49"/>
      <c r="AK247" s="49"/>
      <c r="AM247" s="49"/>
      <c r="AO247" s="49"/>
      <c r="AP247" s="53"/>
      <c r="AQ247" s="49"/>
      <c r="AS247" s="49"/>
      <c r="AT247" s="53"/>
      <c r="AU247" s="49"/>
      <c r="AV247" s="53"/>
      <c r="AW247" s="49"/>
      <c r="AY247" s="49"/>
    </row>
    <row r="248" spans="11:51" x14ac:dyDescent="0.3">
      <c r="K248" s="49"/>
      <c r="M248" s="49"/>
      <c r="O248" s="49"/>
      <c r="Q248" s="49"/>
      <c r="S248" s="49"/>
      <c r="U248" s="49"/>
      <c r="V248" s="53"/>
      <c r="W248" s="49"/>
      <c r="Y248" s="49"/>
      <c r="AA248" s="49"/>
      <c r="AB248" s="53"/>
      <c r="AC248" s="49"/>
      <c r="AD248" s="53"/>
      <c r="AE248" s="49"/>
      <c r="AG248" s="49"/>
      <c r="AI248" s="49"/>
      <c r="AK248" s="49"/>
      <c r="AM248" s="49"/>
      <c r="AO248" s="49"/>
      <c r="AP248" s="53"/>
      <c r="AQ248" s="49"/>
      <c r="AS248" s="49"/>
      <c r="AT248" s="53"/>
      <c r="AU248" s="49"/>
      <c r="AV248" s="53"/>
      <c r="AW248" s="49"/>
      <c r="AY248" s="49"/>
    </row>
    <row r="249" spans="11:51" x14ac:dyDescent="0.3">
      <c r="K249" s="49"/>
      <c r="M249" s="49"/>
      <c r="O249" s="49"/>
      <c r="Q249" s="49"/>
      <c r="S249" s="49"/>
      <c r="U249" s="49"/>
      <c r="V249" s="53"/>
      <c r="W249" s="49"/>
      <c r="Y249" s="49"/>
      <c r="AA249" s="49"/>
      <c r="AB249" s="53"/>
      <c r="AC249" s="49"/>
      <c r="AD249" s="53"/>
      <c r="AE249" s="49"/>
      <c r="AG249" s="49"/>
      <c r="AI249" s="49"/>
      <c r="AK249" s="49"/>
      <c r="AM249" s="49"/>
      <c r="AO249" s="49"/>
      <c r="AP249" s="53"/>
      <c r="AQ249" s="49"/>
      <c r="AS249" s="49"/>
      <c r="AT249" s="53"/>
      <c r="AU249" s="49"/>
      <c r="AV249" s="53"/>
      <c r="AW249" s="49"/>
      <c r="AY249" s="49"/>
    </row>
    <row r="250" spans="11:51" x14ac:dyDescent="0.3">
      <c r="K250" s="49"/>
      <c r="M250" s="49"/>
      <c r="O250" s="49"/>
      <c r="Q250" s="49"/>
      <c r="S250" s="49"/>
      <c r="U250" s="49"/>
      <c r="V250" s="53"/>
      <c r="W250" s="49"/>
      <c r="Y250" s="49"/>
      <c r="AA250" s="49"/>
      <c r="AB250" s="53"/>
      <c r="AC250" s="49"/>
      <c r="AD250" s="53"/>
      <c r="AE250" s="49"/>
      <c r="AG250" s="49"/>
      <c r="AI250" s="49"/>
      <c r="AK250" s="49"/>
      <c r="AM250" s="49"/>
      <c r="AO250" s="49"/>
      <c r="AP250" s="53"/>
      <c r="AQ250" s="49"/>
      <c r="AS250" s="49"/>
      <c r="AT250" s="53"/>
      <c r="AU250" s="49"/>
      <c r="AV250" s="53"/>
      <c r="AW250" s="49"/>
      <c r="AY250" s="49"/>
    </row>
    <row r="251" spans="11:51" x14ac:dyDescent="0.3">
      <c r="K251" s="49"/>
      <c r="M251" s="49"/>
      <c r="O251" s="49"/>
      <c r="Q251" s="49"/>
      <c r="S251" s="49"/>
      <c r="U251" s="49"/>
      <c r="V251" s="53"/>
      <c r="W251" s="49"/>
      <c r="Y251" s="49"/>
      <c r="AA251" s="49"/>
      <c r="AB251" s="53"/>
      <c r="AC251" s="49"/>
      <c r="AD251" s="53"/>
      <c r="AE251" s="49"/>
      <c r="AG251" s="49"/>
      <c r="AI251" s="49"/>
      <c r="AK251" s="49"/>
      <c r="AM251" s="49"/>
      <c r="AO251" s="49"/>
      <c r="AP251" s="53"/>
      <c r="AQ251" s="49"/>
      <c r="AS251" s="49"/>
      <c r="AT251" s="53"/>
      <c r="AU251" s="49"/>
      <c r="AV251" s="53"/>
      <c r="AW251" s="49"/>
      <c r="AY251" s="49"/>
    </row>
    <row r="252" spans="11:51" x14ac:dyDescent="0.3">
      <c r="K252" s="49"/>
      <c r="M252" s="49"/>
      <c r="O252" s="49"/>
      <c r="Q252" s="49"/>
      <c r="S252" s="49"/>
      <c r="U252" s="49"/>
      <c r="V252" s="53"/>
      <c r="W252" s="49"/>
      <c r="Y252" s="49"/>
      <c r="AA252" s="49"/>
      <c r="AB252" s="53"/>
      <c r="AC252" s="49"/>
      <c r="AD252" s="53"/>
      <c r="AE252" s="49"/>
      <c r="AG252" s="49"/>
      <c r="AI252" s="49"/>
      <c r="AK252" s="49"/>
      <c r="AM252" s="49"/>
      <c r="AO252" s="49"/>
      <c r="AP252" s="53"/>
      <c r="AQ252" s="49"/>
      <c r="AS252" s="49"/>
      <c r="AT252" s="53"/>
      <c r="AU252" s="49"/>
      <c r="AV252" s="53"/>
      <c r="AW252" s="49"/>
      <c r="AY252" s="49"/>
    </row>
    <row r="253" spans="11:51" x14ac:dyDescent="0.3">
      <c r="K253" s="49"/>
      <c r="M253" s="49"/>
      <c r="O253" s="49"/>
      <c r="Q253" s="49"/>
      <c r="S253" s="49"/>
      <c r="U253" s="49"/>
      <c r="V253" s="53"/>
      <c r="W253" s="49"/>
      <c r="Y253" s="49"/>
      <c r="AA253" s="49"/>
      <c r="AB253" s="53"/>
      <c r="AC253" s="49"/>
      <c r="AD253" s="53"/>
      <c r="AE253" s="49"/>
      <c r="AG253" s="49"/>
      <c r="AI253" s="49"/>
      <c r="AK253" s="49"/>
      <c r="AM253" s="49"/>
      <c r="AO253" s="49"/>
      <c r="AP253" s="53"/>
      <c r="AQ253" s="49"/>
      <c r="AS253" s="49"/>
      <c r="AT253" s="53"/>
      <c r="AU253" s="49"/>
      <c r="AV253" s="53"/>
      <c r="AW253" s="49"/>
      <c r="AY253" s="49"/>
    </row>
    <row r="254" spans="11:51" x14ac:dyDescent="0.3">
      <c r="K254" s="49"/>
      <c r="M254" s="49"/>
      <c r="O254" s="49"/>
      <c r="Q254" s="49"/>
      <c r="S254" s="49"/>
      <c r="U254" s="49"/>
      <c r="V254" s="53"/>
      <c r="W254" s="49"/>
      <c r="Y254" s="49"/>
      <c r="AA254" s="49"/>
      <c r="AB254" s="53"/>
      <c r="AC254" s="49"/>
      <c r="AD254" s="53"/>
      <c r="AE254" s="49"/>
      <c r="AG254" s="49"/>
      <c r="AI254" s="49"/>
      <c r="AK254" s="49"/>
      <c r="AM254" s="49"/>
      <c r="AO254" s="49"/>
      <c r="AP254" s="53"/>
      <c r="AQ254" s="49"/>
      <c r="AS254" s="49"/>
      <c r="AT254" s="53"/>
      <c r="AU254" s="49"/>
      <c r="AV254" s="53"/>
      <c r="AW254" s="49"/>
      <c r="AY254" s="49"/>
    </row>
    <row r="255" spans="11:51" x14ac:dyDescent="0.3">
      <c r="K255" s="49"/>
      <c r="M255" s="49"/>
      <c r="O255" s="49"/>
      <c r="Q255" s="49"/>
      <c r="S255" s="49"/>
      <c r="U255" s="49"/>
      <c r="V255" s="53"/>
      <c r="W255" s="49"/>
      <c r="Y255" s="49"/>
      <c r="AA255" s="49"/>
      <c r="AB255" s="53"/>
      <c r="AC255" s="49"/>
      <c r="AD255" s="53"/>
      <c r="AE255" s="49"/>
      <c r="AG255" s="49"/>
      <c r="AI255" s="49"/>
      <c r="AK255" s="49"/>
      <c r="AM255" s="49"/>
      <c r="AO255" s="49"/>
      <c r="AP255" s="53"/>
      <c r="AQ255" s="49"/>
      <c r="AS255" s="49"/>
      <c r="AT255" s="53"/>
      <c r="AU255" s="49"/>
      <c r="AV255" s="53"/>
      <c r="AW255" s="49"/>
      <c r="AY255" s="49"/>
    </row>
    <row r="256" spans="11:51" x14ac:dyDescent="0.3">
      <c r="K256" s="49"/>
      <c r="M256" s="49"/>
      <c r="O256" s="49"/>
      <c r="Q256" s="49"/>
      <c r="S256" s="49"/>
      <c r="U256" s="49"/>
      <c r="V256" s="53"/>
      <c r="W256" s="49"/>
      <c r="Y256" s="49"/>
      <c r="AA256" s="49"/>
      <c r="AB256" s="53"/>
      <c r="AC256" s="49"/>
      <c r="AD256" s="53"/>
      <c r="AE256" s="49"/>
      <c r="AG256" s="49"/>
      <c r="AI256" s="49"/>
      <c r="AK256" s="49"/>
      <c r="AM256" s="49"/>
      <c r="AO256" s="49"/>
      <c r="AP256" s="53"/>
      <c r="AQ256" s="49"/>
      <c r="AS256" s="49"/>
      <c r="AT256" s="53"/>
      <c r="AU256" s="49"/>
      <c r="AV256" s="53"/>
      <c r="AW256" s="49"/>
      <c r="AY256" s="49"/>
    </row>
    <row r="257" spans="11:51" x14ac:dyDescent="0.3">
      <c r="K257" s="49"/>
      <c r="M257" s="49"/>
      <c r="O257" s="49"/>
      <c r="Q257" s="49"/>
      <c r="S257" s="49"/>
      <c r="U257" s="49"/>
      <c r="V257" s="53"/>
      <c r="W257" s="49"/>
      <c r="Y257" s="49"/>
      <c r="AA257" s="49"/>
      <c r="AB257" s="53"/>
      <c r="AC257" s="49"/>
      <c r="AD257" s="53"/>
      <c r="AE257" s="49"/>
      <c r="AG257" s="49"/>
      <c r="AI257" s="49"/>
      <c r="AK257" s="49"/>
      <c r="AM257" s="49"/>
      <c r="AO257" s="49"/>
      <c r="AP257" s="53"/>
      <c r="AQ257" s="49"/>
      <c r="AS257" s="49"/>
      <c r="AT257" s="53"/>
      <c r="AU257" s="49"/>
      <c r="AV257" s="53"/>
      <c r="AW257" s="49"/>
      <c r="AY257" s="49"/>
    </row>
    <row r="258" spans="11:51" x14ac:dyDescent="0.3">
      <c r="K258" s="49"/>
      <c r="M258" s="49"/>
      <c r="O258" s="49"/>
      <c r="Q258" s="49"/>
      <c r="S258" s="49"/>
      <c r="U258" s="49"/>
      <c r="V258" s="53"/>
      <c r="W258" s="49"/>
      <c r="Y258" s="49"/>
      <c r="AA258" s="49"/>
      <c r="AB258" s="53"/>
      <c r="AC258" s="49"/>
      <c r="AD258" s="53"/>
      <c r="AE258" s="49"/>
      <c r="AG258" s="49"/>
      <c r="AI258" s="49"/>
      <c r="AK258" s="49"/>
      <c r="AM258" s="49"/>
      <c r="AO258" s="49"/>
      <c r="AP258" s="53"/>
      <c r="AQ258" s="49"/>
      <c r="AS258" s="49"/>
      <c r="AT258" s="53"/>
      <c r="AU258" s="49"/>
      <c r="AV258" s="53"/>
      <c r="AW258" s="49"/>
      <c r="AY258" s="49"/>
    </row>
    <row r="259" spans="11:51" x14ac:dyDescent="0.3">
      <c r="K259" s="49"/>
      <c r="M259" s="49"/>
      <c r="O259" s="49"/>
      <c r="Q259" s="49"/>
      <c r="S259" s="49"/>
      <c r="U259" s="49"/>
      <c r="V259" s="53"/>
      <c r="W259" s="49"/>
      <c r="Y259" s="49"/>
      <c r="AA259" s="49"/>
      <c r="AB259" s="53"/>
      <c r="AC259" s="49"/>
      <c r="AD259" s="53"/>
      <c r="AE259" s="49"/>
      <c r="AG259" s="49"/>
      <c r="AI259" s="49"/>
      <c r="AK259" s="49"/>
      <c r="AM259" s="49"/>
      <c r="AO259" s="49"/>
      <c r="AP259" s="53"/>
      <c r="AQ259" s="49"/>
      <c r="AS259" s="49"/>
      <c r="AT259" s="53"/>
      <c r="AU259" s="49"/>
      <c r="AV259" s="53"/>
      <c r="AW259" s="49"/>
      <c r="AY259" s="49"/>
    </row>
    <row r="260" spans="11:51" x14ac:dyDescent="0.3">
      <c r="K260" s="49"/>
      <c r="M260" s="49"/>
      <c r="O260" s="49"/>
      <c r="Q260" s="49"/>
      <c r="S260" s="49"/>
      <c r="U260" s="49"/>
      <c r="V260" s="53"/>
      <c r="W260" s="49"/>
      <c r="Y260" s="49"/>
      <c r="AA260" s="49"/>
      <c r="AB260" s="53"/>
      <c r="AC260" s="49"/>
      <c r="AD260" s="53"/>
      <c r="AE260" s="49"/>
      <c r="AG260" s="49"/>
      <c r="AI260" s="49"/>
      <c r="AK260" s="49"/>
      <c r="AM260" s="49"/>
      <c r="AO260" s="49"/>
      <c r="AP260" s="53"/>
      <c r="AQ260" s="49"/>
      <c r="AS260" s="49"/>
      <c r="AT260" s="53"/>
      <c r="AU260" s="49"/>
      <c r="AV260" s="53"/>
      <c r="AW260" s="49"/>
      <c r="AY260" s="49"/>
    </row>
    <row r="261" spans="11:51" x14ac:dyDescent="0.3">
      <c r="K261" s="49"/>
      <c r="M261" s="49"/>
      <c r="O261" s="49"/>
      <c r="Q261" s="49"/>
      <c r="S261" s="49"/>
      <c r="U261" s="49"/>
      <c r="V261" s="53"/>
      <c r="W261" s="49"/>
      <c r="Y261" s="49"/>
      <c r="AA261" s="49"/>
      <c r="AB261" s="53"/>
      <c r="AC261" s="49"/>
      <c r="AD261" s="53"/>
      <c r="AE261" s="49"/>
      <c r="AG261" s="49"/>
      <c r="AI261" s="49"/>
      <c r="AK261" s="49"/>
      <c r="AM261" s="49"/>
      <c r="AO261" s="49"/>
      <c r="AP261" s="53"/>
      <c r="AQ261" s="49"/>
      <c r="AS261" s="49"/>
      <c r="AT261" s="53"/>
      <c r="AU261" s="49"/>
      <c r="AV261" s="53"/>
      <c r="AW261" s="49"/>
      <c r="AY261" s="49"/>
    </row>
    <row r="262" spans="11:51" x14ac:dyDescent="0.3">
      <c r="K262" s="49"/>
      <c r="M262" s="49"/>
      <c r="O262" s="49"/>
      <c r="Q262" s="49"/>
      <c r="S262" s="49"/>
      <c r="U262" s="49"/>
      <c r="V262" s="53"/>
      <c r="W262" s="49"/>
      <c r="Y262" s="49"/>
      <c r="AA262" s="49"/>
      <c r="AB262" s="53"/>
      <c r="AC262" s="49"/>
      <c r="AD262" s="53"/>
      <c r="AE262" s="49"/>
      <c r="AG262" s="49"/>
      <c r="AI262" s="49"/>
      <c r="AK262" s="49"/>
      <c r="AM262" s="49"/>
      <c r="AO262" s="49"/>
      <c r="AP262" s="53"/>
      <c r="AQ262" s="49"/>
      <c r="AS262" s="49"/>
      <c r="AT262" s="53"/>
      <c r="AU262" s="49"/>
      <c r="AV262" s="53"/>
      <c r="AW262" s="49"/>
      <c r="AY262" s="49"/>
    </row>
    <row r="263" spans="11:51" x14ac:dyDescent="0.3">
      <c r="K263" s="49"/>
      <c r="M263" s="49"/>
      <c r="O263" s="49"/>
      <c r="Q263" s="49"/>
      <c r="S263" s="49"/>
      <c r="U263" s="49"/>
      <c r="V263" s="53"/>
      <c r="W263" s="49"/>
      <c r="Y263" s="49"/>
      <c r="AA263" s="49"/>
      <c r="AB263" s="53"/>
      <c r="AC263" s="49"/>
      <c r="AD263" s="53"/>
      <c r="AE263" s="49"/>
      <c r="AG263" s="49"/>
      <c r="AI263" s="49"/>
      <c r="AK263" s="49"/>
      <c r="AM263" s="49"/>
      <c r="AO263" s="49"/>
      <c r="AP263" s="53"/>
      <c r="AQ263" s="49"/>
      <c r="AS263" s="49"/>
      <c r="AT263" s="53"/>
      <c r="AU263" s="49"/>
      <c r="AV263" s="53"/>
      <c r="AW263" s="49"/>
      <c r="AY263" s="49"/>
    </row>
    <row r="264" spans="11:51" x14ac:dyDescent="0.3">
      <c r="K264" s="49"/>
      <c r="M264" s="49"/>
      <c r="O264" s="49"/>
      <c r="Q264" s="49"/>
      <c r="S264" s="49"/>
      <c r="U264" s="49"/>
      <c r="V264" s="53"/>
      <c r="W264" s="49"/>
      <c r="Y264" s="49"/>
      <c r="AA264" s="49"/>
      <c r="AB264" s="53"/>
      <c r="AC264" s="49"/>
      <c r="AD264" s="53"/>
      <c r="AE264" s="49"/>
      <c r="AG264" s="49"/>
      <c r="AI264" s="49"/>
      <c r="AK264" s="49"/>
      <c r="AM264" s="49"/>
      <c r="AO264" s="49"/>
      <c r="AP264" s="53"/>
      <c r="AQ264" s="49"/>
      <c r="AS264" s="49"/>
      <c r="AT264" s="53"/>
      <c r="AU264" s="49"/>
      <c r="AV264" s="53"/>
      <c r="AW264" s="49"/>
      <c r="AY264" s="49"/>
    </row>
    <row r="265" spans="11:51" x14ac:dyDescent="0.3">
      <c r="K265" s="49"/>
      <c r="M265" s="49"/>
      <c r="O265" s="49"/>
      <c r="Q265" s="49"/>
      <c r="S265" s="49"/>
      <c r="U265" s="49"/>
      <c r="V265" s="53"/>
      <c r="W265" s="49"/>
      <c r="Y265" s="49"/>
      <c r="AA265" s="49"/>
      <c r="AB265" s="53"/>
      <c r="AC265" s="49"/>
      <c r="AD265" s="53"/>
      <c r="AE265" s="49"/>
      <c r="AG265" s="49"/>
      <c r="AI265" s="49"/>
      <c r="AK265" s="49"/>
      <c r="AM265" s="49"/>
      <c r="AO265" s="49"/>
      <c r="AP265" s="53"/>
      <c r="AQ265" s="49"/>
      <c r="AS265" s="49"/>
      <c r="AT265" s="53"/>
      <c r="AU265" s="49"/>
      <c r="AV265" s="53"/>
      <c r="AW265" s="49"/>
      <c r="AY265" s="49"/>
    </row>
    <row r="266" spans="11:51" x14ac:dyDescent="0.3">
      <c r="K266" s="49"/>
      <c r="M266" s="49"/>
      <c r="O266" s="49"/>
      <c r="Q266" s="49"/>
      <c r="S266" s="49"/>
      <c r="U266" s="49"/>
      <c r="V266" s="53"/>
      <c r="W266" s="49"/>
      <c r="Y266" s="49"/>
      <c r="AA266" s="49"/>
      <c r="AB266" s="53"/>
      <c r="AC266" s="49"/>
      <c r="AD266" s="53"/>
      <c r="AE266" s="49"/>
      <c r="AG266" s="49"/>
      <c r="AI266" s="49"/>
      <c r="AK266" s="49"/>
      <c r="AM266" s="49"/>
      <c r="AO266" s="49"/>
      <c r="AP266" s="53"/>
      <c r="AQ266" s="49"/>
      <c r="AS266" s="49"/>
      <c r="AT266" s="53"/>
      <c r="AU266" s="49"/>
      <c r="AV266" s="53"/>
      <c r="AW266" s="49"/>
      <c r="AY266" s="49"/>
    </row>
    <row r="267" spans="11:51" x14ac:dyDescent="0.3">
      <c r="K267" s="49"/>
      <c r="M267" s="49"/>
      <c r="O267" s="49"/>
      <c r="Q267" s="49"/>
      <c r="S267" s="49"/>
      <c r="U267" s="49"/>
      <c r="V267" s="53"/>
      <c r="W267" s="49"/>
      <c r="Y267" s="49"/>
      <c r="AA267" s="49"/>
      <c r="AB267" s="53"/>
      <c r="AC267" s="49"/>
      <c r="AD267" s="53"/>
      <c r="AE267" s="49"/>
      <c r="AG267" s="49"/>
      <c r="AI267" s="49"/>
      <c r="AK267" s="49"/>
      <c r="AM267" s="49"/>
      <c r="AO267" s="49"/>
      <c r="AP267" s="53"/>
      <c r="AQ267" s="49"/>
      <c r="AS267" s="49"/>
      <c r="AT267" s="53"/>
      <c r="AU267" s="49"/>
      <c r="AV267" s="53"/>
      <c r="AW267" s="49"/>
      <c r="AY267" s="49"/>
    </row>
    <row r="268" spans="11:51" x14ac:dyDescent="0.3">
      <c r="K268" s="49"/>
      <c r="M268" s="49"/>
      <c r="O268" s="49"/>
      <c r="Q268" s="49"/>
      <c r="S268" s="49"/>
      <c r="U268" s="49"/>
      <c r="V268" s="53"/>
      <c r="W268" s="49"/>
      <c r="Y268" s="49"/>
      <c r="AA268" s="49"/>
      <c r="AB268" s="53"/>
      <c r="AC268" s="49"/>
      <c r="AD268" s="53"/>
      <c r="AE268" s="49"/>
      <c r="AG268" s="49"/>
      <c r="AI268" s="49"/>
      <c r="AK268" s="49"/>
      <c r="AM268" s="49"/>
      <c r="AO268" s="49"/>
      <c r="AP268" s="53"/>
      <c r="AQ268" s="49"/>
      <c r="AS268" s="49"/>
      <c r="AT268" s="53"/>
      <c r="AU268" s="49"/>
      <c r="AV268" s="53"/>
      <c r="AW268" s="49"/>
      <c r="AY268" s="49"/>
    </row>
    <row r="269" spans="11:51" x14ac:dyDescent="0.3">
      <c r="K269" s="49"/>
      <c r="M269" s="49"/>
      <c r="O269" s="49"/>
      <c r="Q269" s="49"/>
      <c r="S269" s="49"/>
      <c r="U269" s="49"/>
      <c r="V269" s="53"/>
      <c r="W269" s="49"/>
      <c r="Y269" s="49"/>
      <c r="AA269" s="49"/>
      <c r="AB269" s="53"/>
      <c r="AC269" s="49"/>
      <c r="AD269" s="53"/>
      <c r="AE269" s="49"/>
      <c r="AG269" s="49"/>
      <c r="AI269" s="49"/>
      <c r="AK269" s="49"/>
      <c r="AM269" s="49"/>
      <c r="AO269" s="49"/>
      <c r="AP269" s="53"/>
      <c r="AQ269" s="49"/>
      <c r="AS269" s="49"/>
      <c r="AT269" s="53"/>
      <c r="AU269" s="49"/>
      <c r="AV269" s="53"/>
      <c r="AW269" s="49"/>
      <c r="AY269" s="49"/>
    </row>
    <row r="270" spans="11:51" x14ac:dyDescent="0.3">
      <c r="K270" s="49"/>
      <c r="M270" s="49"/>
      <c r="O270" s="49"/>
      <c r="Q270" s="49"/>
      <c r="S270" s="49"/>
      <c r="U270" s="49"/>
      <c r="V270" s="53"/>
      <c r="W270" s="49"/>
      <c r="Y270" s="49"/>
      <c r="AA270" s="49"/>
      <c r="AB270" s="53"/>
      <c r="AC270" s="49"/>
      <c r="AD270" s="53"/>
      <c r="AE270" s="49"/>
      <c r="AG270" s="49"/>
      <c r="AI270" s="49"/>
      <c r="AK270" s="49"/>
      <c r="AM270" s="49"/>
      <c r="AO270" s="49"/>
      <c r="AP270" s="53"/>
      <c r="AQ270" s="49"/>
      <c r="AS270" s="49"/>
      <c r="AT270" s="53"/>
      <c r="AU270" s="49"/>
      <c r="AV270" s="53"/>
      <c r="AW270" s="49"/>
      <c r="AY270" s="49"/>
    </row>
    <row r="271" spans="11:51" x14ac:dyDescent="0.3">
      <c r="K271" s="49"/>
      <c r="M271" s="49"/>
      <c r="O271" s="49"/>
      <c r="Q271" s="49"/>
      <c r="S271" s="49"/>
      <c r="U271" s="49"/>
      <c r="V271" s="53"/>
      <c r="W271" s="49"/>
      <c r="Y271" s="49"/>
      <c r="AA271" s="49"/>
      <c r="AB271" s="53"/>
      <c r="AC271" s="49"/>
      <c r="AD271" s="53"/>
      <c r="AE271" s="49"/>
      <c r="AG271" s="49"/>
      <c r="AI271" s="49"/>
      <c r="AK271" s="49"/>
      <c r="AM271" s="49"/>
      <c r="AO271" s="49"/>
      <c r="AP271" s="53"/>
      <c r="AQ271" s="49"/>
      <c r="AS271" s="49"/>
      <c r="AT271" s="53"/>
      <c r="AU271" s="49"/>
      <c r="AV271" s="53"/>
      <c r="AW271" s="49"/>
      <c r="AY271" s="49"/>
    </row>
    <row r="272" spans="11:51" x14ac:dyDescent="0.3">
      <c r="K272" s="49"/>
      <c r="M272" s="49"/>
      <c r="O272" s="49"/>
      <c r="Q272" s="49"/>
      <c r="S272" s="49"/>
      <c r="U272" s="49"/>
      <c r="V272" s="53"/>
      <c r="W272" s="49"/>
      <c r="Y272" s="49"/>
      <c r="AA272" s="49"/>
      <c r="AB272" s="53"/>
      <c r="AC272" s="49"/>
      <c r="AD272" s="53"/>
      <c r="AE272" s="49"/>
      <c r="AG272" s="49"/>
      <c r="AI272" s="49"/>
      <c r="AK272" s="49"/>
      <c r="AM272" s="49"/>
      <c r="AO272" s="49"/>
      <c r="AP272" s="53"/>
      <c r="AQ272" s="49"/>
      <c r="AS272" s="49"/>
      <c r="AT272" s="53"/>
      <c r="AU272" s="49"/>
      <c r="AV272" s="53"/>
      <c r="AW272" s="49"/>
      <c r="AY272" s="49"/>
    </row>
    <row r="273" spans="11:51" x14ac:dyDescent="0.3">
      <c r="K273" s="49"/>
      <c r="M273" s="49"/>
      <c r="O273" s="49"/>
      <c r="Q273" s="49"/>
      <c r="S273" s="49"/>
      <c r="U273" s="49"/>
      <c r="V273" s="53"/>
      <c r="W273" s="49"/>
      <c r="Y273" s="49"/>
      <c r="AA273" s="49"/>
      <c r="AB273" s="53"/>
      <c r="AC273" s="49"/>
      <c r="AD273" s="53"/>
      <c r="AE273" s="49"/>
      <c r="AG273" s="49"/>
      <c r="AI273" s="49"/>
      <c r="AK273" s="49"/>
      <c r="AM273" s="49"/>
      <c r="AO273" s="49"/>
      <c r="AP273" s="53"/>
      <c r="AQ273" s="49"/>
      <c r="AS273" s="49"/>
      <c r="AT273" s="53"/>
      <c r="AU273" s="49"/>
      <c r="AV273" s="53"/>
      <c r="AW273" s="49"/>
      <c r="AY273" s="49"/>
    </row>
    <row r="274" spans="11:51" x14ac:dyDescent="0.3">
      <c r="K274" s="49"/>
      <c r="M274" s="49"/>
      <c r="O274" s="49"/>
      <c r="Q274" s="49"/>
      <c r="S274" s="49"/>
      <c r="U274" s="49"/>
      <c r="V274" s="53"/>
      <c r="W274" s="49"/>
      <c r="Y274" s="49"/>
      <c r="AA274" s="49"/>
      <c r="AB274" s="53"/>
      <c r="AC274" s="49"/>
      <c r="AD274" s="53"/>
      <c r="AE274" s="49"/>
      <c r="AG274" s="49"/>
      <c r="AI274" s="49"/>
      <c r="AK274" s="49"/>
      <c r="AM274" s="49"/>
      <c r="AO274" s="49"/>
      <c r="AP274" s="53"/>
      <c r="AQ274" s="49"/>
      <c r="AS274" s="49"/>
      <c r="AT274" s="53"/>
      <c r="AU274" s="49"/>
      <c r="AV274" s="53"/>
      <c r="AW274" s="49"/>
      <c r="AY274" s="49"/>
    </row>
    <row r="275" spans="11:51" x14ac:dyDescent="0.3">
      <c r="K275" s="49"/>
      <c r="M275" s="49"/>
      <c r="O275" s="49"/>
      <c r="Q275" s="49"/>
      <c r="S275" s="49"/>
      <c r="U275" s="49"/>
      <c r="V275" s="53"/>
      <c r="W275" s="49"/>
      <c r="Y275" s="49"/>
      <c r="AA275" s="49"/>
      <c r="AB275" s="53"/>
      <c r="AC275" s="49"/>
      <c r="AD275" s="53"/>
      <c r="AE275" s="49"/>
      <c r="AG275" s="49"/>
      <c r="AI275" s="49"/>
      <c r="AK275" s="49"/>
      <c r="AM275" s="49"/>
      <c r="AO275" s="49"/>
      <c r="AP275" s="53"/>
      <c r="AQ275" s="49"/>
      <c r="AS275" s="49"/>
      <c r="AT275" s="53"/>
      <c r="AU275" s="49"/>
      <c r="AV275" s="53"/>
      <c r="AW275" s="49"/>
      <c r="AY275" s="49"/>
    </row>
    <row r="276" spans="11:51" x14ac:dyDescent="0.3">
      <c r="K276" s="49"/>
      <c r="M276" s="49"/>
      <c r="O276" s="49"/>
      <c r="Q276" s="49"/>
      <c r="S276" s="49"/>
      <c r="U276" s="49"/>
      <c r="V276" s="53"/>
      <c r="W276" s="49"/>
      <c r="Y276" s="49"/>
      <c r="AA276" s="49"/>
      <c r="AB276" s="53"/>
      <c r="AC276" s="49"/>
      <c r="AD276" s="53"/>
      <c r="AE276" s="49"/>
      <c r="AG276" s="49"/>
      <c r="AI276" s="49"/>
      <c r="AK276" s="49"/>
      <c r="AM276" s="49"/>
      <c r="AO276" s="49"/>
      <c r="AP276" s="53"/>
      <c r="AQ276" s="49"/>
      <c r="AS276" s="49"/>
      <c r="AT276" s="53"/>
      <c r="AU276" s="49"/>
      <c r="AV276" s="53"/>
      <c r="AW276" s="49"/>
      <c r="AY276" s="49"/>
    </row>
    <row r="277" spans="11:51" x14ac:dyDescent="0.3">
      <c r="K277" s="49"/>
      <c r="M277" s="49"/>
      <c r="O277" s="49"/>
      <c r="Q277" s="49"/>
      <c r="S277" s="49"/>
      <c r="U277" s="49"/>
      <c r="V277" s="53"/>
      <c r="W277" s="49"/>
      <c r="Y277" s="49"/>
      <c r="AA277" s="49"/>
      <c r="AB277" s="53"/>
      <c r="AC277" s="49"/>
      <c r="AD277" s="53"/>
      <c r="AE277" s="49"/>
      <c r="AG277" s="49"/>
      <c r="AI277" s="49"/>
      <c r="AK277" s="49"/>
      <c r="AM277" s="49"/>
      <c r="AO277" s="49"/>
      <c r="AP277" s="53"/>
      <c r="AQ277" s="49"/>
      <c r="AS277" s="49"/>
      <c r="AT277" s="53"/>
      <c r="AU277" s="49"/>
      <c r="AV277" s="53"/>
      <c r="AW277" s="49"/>
      <c r="AY277" s="49"/>
    </row>
    <row r="278" spans="11:51" x14ac:dyDescent="0.3">
      <c r="K278" s="49"/>
      <c r="M278" s="49"/>
      <c r="O278" s="49"/>
      <c r="Q278" s="49"/>
      <c r="S278" s="49"/>
      <c r="U278" s="49"/>
      <c r="V278" s="53"/>
      <c r="W278" s="49"/>
      <c r="Y278" s="49"/>
      <c r="AA278" s="49"/>
      <c r="AB278" s="53"/>
      <c r="AC278" s="49"/>
      <c r="AD278" s="53"/>
      <c r="AE278" s="49"/>
      <c r="AG278" s="49"/>
      <c r="AI278" s="49"/>
      <c r="AK278" s="49"/>
      <c r="AM278" s="49"/>
      <c r="AO278" s="49"/>
      <c r="AP278" s="53"/>
      <c r="AQ278" s="49"/>
      <c r="AS278" s="49"/>
      <c r="AT278" s="53"/>
      <c r="AU278" s="49"/>
      <c r="AV278" s="53"/>
      <c r="AW278" s="49"/>
      <c r="AY278" s="49"/>
    </row>
    <row r="279" spans="11:51" x14ac:dyDescent="0.3">
      <c r="K279" s="49"/>
      <c r="M279" s="49"/>
      <c r="O279" s="49"/>
      <c r="Q279" s="49"/>
      <c r="S279" s="49"/>
      <c r="U279" s="49"/>
      <c r="V279" s="53"/>
      <c r="W279" s="49"/>
      <c r="Y279" s="49"/>
      <c r="AA279" s="49"/>
      <c r="AB279" s="53"/>
      <c r="AC279" s="49"/>
      <c r="AD279" s="53"/>
      <c r="AE279" s="49"/>
      <c r="AG279" s="49"/>
      <c r="AI279" s="49"/>
      <c r="AK279" s="49"/>
      <c r="AM279" s="49"/>
      <c r="AO279" s="49"/>
      <c r="AP279" s="53"/>
      <c r="AQ279" s="49"/>
      <c r="AS279" s="49"/>
      <c r="AT279" s="53"/>
      <c r="AU279" s="49"/>
      <c r="AV279" s="53"/>
      <c r="AW279" s="49"/>
      <c r="AY279" s="49"/>
    </row>
    <row r="280" spans="11:51" x14ac:dyDescent="0.3">
      <c r="K280" s="49"/>
      <c r="M280" s="49"/>
      <c r="O280" s="49"/>
      <c r="Q280" s="49"/>
      <c r="S280" s="49"/>
      <c r="U280" s="49"/>
      <c r="V280" s="53"/>
      <c r="W280" s="49"/>
      <c r="Y280" s="49"/>
      <c r="AA280" s="49"/>
      <c r="AB280" s="53"/>
      <c r="AC280" s="49"/>
      <c r="AD280" s="53"/>
      <c r="AE280" s="49"/>
      <c r="AG280" s="49"/>
      <c r="AI280" s="49"/>
      <c r="AK280" s="49"/>
      <c r="AM280" s="49"/>
      <c r="AO280" s="49"/>
      <c r="AP280" s="53"/>
      <c r="AQ280" s="49"/>
      <c r="AS280" s="49"/>
      <c r="AT280" s="53"/>
      <c r="AU280" s="49"/>
      <c r="AV280" s="53"/>
      <c r="AW280" s="49"/>
      <c r="AY280" s="49"/>
    </row>
    <row r="281" spans="11:51" x14ac:dyDescent="0.3">
      <c r="K281" s="49"/>
      <c r="M281" s="49"/>
      <c r="O281" s="49"/>
      <c r="Q281" s="49"/>
      <c r="S281" s="49"/>
      <c r="U281" s="49"/>
      <c r="V281" s="53"/>
      <c r="W281" s="49"/>
      <c r="Y281" s="49"/>
      <c r="AA281" s="49"/>
      <c r="AB281" s="53"/>
      <c r="AC281" s="49"/>
      <c r="AD281" s="53"/>
      <c r="AE281" s="49"/>
      <c r="AG281" s="49"/>
      <c r="AI281" s="49"/>
      <c r="AK281" s="49"/>
      <c r="AM281" s="49"/>
      <c r="AO281" s="49"/>
      <c r="AP281" s="53"/>
      <c r="AQ281" s="49"/>
      <c r="AS281" s="49"/>
      <c r="AT281" s="53"/>
      <c r="AU281" s="49"/>
      <c r="AV281" s="53"/>
      <c r="AW281" s="49"/>
      <c r="AY281" s="49"/>
    </row>
    <row r="282" spans="11:51" x14ac:dyDescent="0.3">
      <c r="K282" s="49"/>
      <c r="M282" s="49"/>
      <c r="O282" s="49"/>
      <c r="Q282" s="49"/>
      <c r="S282" s="49"/>
      <c r="U282" s="49"/>
      <c r="V282" s="53"/>
      <c r="W282" s="49"/>
      <c r="Y282" s="49"/>
      <c r="AA282" s="49"/>
      <c r="AB282" s="53"/>
      <c r="AC282" s="49"/>
      <c r="AD282" s="53"/>
      <c r="AE282" s="49"/>
      <c r="AG282" s="49"/>
      <c r="AI282" s="49"/>
      <c r="AK282" s="49"/>
      <c r="AM282" s="49"/>
      <c r="AO282" s="49"/>
      <c r="AP282" s="53"/>
      <c r="AQ282" s="49"/>
      <c r="AS282" s="49"/>
      <c r="AT282" s="53"/>
      <c r="AU282" s="49"/>
      <c r="AV282" s="53"/>
      <c r="AW282" s="49"/>
      <c r="AY282" s="49"/>
    </row>
    <row r="283" spans="11:51" x14ac:dyDescent="0.3">
      <c r="K283" s="49"/>
      <c r="M283" s="49"/>
      <c r="O283" s="49"/>
      <c r="Q283" s="49"/>
      <c r="S283" s="49"/>
      <c r="U283" s="49"/>
      <c r="V283" s="53"/>
      <c r="W283" s="49"/>
      <c r="Y283" s="49"/>
      <c r="AA283" s="49"/>
      <c r="AB283" s="53"/>
      <c r="AD283" s="53"/>
      <c r="AP283" s="53"/>
      <c r="AT283" s="53"/>
      <c r="AV283" s="53"/>
    </row>
    <row r="284" spans="11:51" x14ac:dyDescent="0.3">
      <c r="K284" s="49"/>
      <c r="M284" s="49"/>
      <c r="O284" s="49"/>
      <c r="Q284" s="49"/>
      <c r="S284" s="49"/>
      <c r="U284" s="49"/>
      <c r="V284" s="53"/>
      <c r="W284" s="49"/>
      <c r="Y284" s="49"/>
      <c r="AA284" s="49"/>
      <c r="AB284" s="53"/>
      <c r="AD284" s="53"/>
      <c r="AP284" s="53"/>
      <c r="AT284" s="53"/>
      <c r="AV284" s="53"/>
    </row>
    <row r="285" spans="11:51" x14ac:dyDescent="0.3">
      <c r="K285" s="49"/>
      <c r="M285" s="49"/>
      <c r="O285" s="49"/>
      <c r="Q285" s="49"/>
      <c r="S285" s="49"/>
      <c r="U285" s="49"/>
      <c r="V285" s="53"/>
      <c r="W285" s="49"/>
      <c r="Y285" s="49"/>
      <c r="AA285" s="49"/>
      <c r="AB285" s="53"/>
      <c r="AD285" s="53"/>
      <c r="AP285" s="53"/>
      <c r="AT285" s="53"/>
      <c r="AV285" s="53"/>
    </row>
    <row r="286" spans="11:51" x14ac:dyDescent="0.3">
      <c r="K286" s="49"/>
      <c r="M286" s="49"/>
      <c r="O286" s="49"/>
      <c r="Q286" s="49"/>
      <c r="S286" s="49"/>
      <c r="U286" s="49"/>
      <c r="V286" s="53"/>
      <c r="W286" s="49"/>
      <c r="Y286" s="49"/>
      <c r="AA286" s="49"/>
      <c r="AB286" s="53"/>
      <c r="AD286" s="53"/>
      <c r="AP286" s="53"/>
      <c r="AT286" s="53"/>
      <c r="AV286" s="53"/>
    </row>
    <row r="287" spans="11:51" x14ac:dyDescent="0.3">
      <c r="K287" s="49"/>
      <c r="M287" s="49"/>
      <c r="O287" s="49"/>
      <c r="Q287" s="49"/>
      <c r="S287" s="49"/>
      <c r="U287" s="49"/>
      <c r="V287" s="53"/>
      <c r="W287" s="49"/>
      <c r="Y287" s="49"/>
      <c r="AA287" s="49"/>
      <c r="AB287" s="53"/>
      <c r="AD287" s="53"/>
      <c r="AP287" s="53"/>
      <c r="AT287" s="53"/>
      <c r="AV287" s="53"/>
    </row>
    <row r="288" spans="11:51" x14ac:dyDescent="0.3">
      <c r="K288" s="49"/>
      <c r="M288" s="49"/>
      <c r="O288" s="49"/>
      <c r="Q288" s="49"/>
      <c r="S288" s="49"/>
      <c r="U288" s="49"/>
      <c r="V288" s="53"/>
      <c r="W288" s="49"/>
      <c r="Y288" s="49"/>
      <c r="AA288" s="49"/>
      <c r="AB288" s="53"/>
      <c r="AD288" s="53"/>
      <c r="AT288" s="53"/>
      <c r="AV288" s="53"/>
    </row>
    <row r="289" spans="11:48" x14ac:dyDescent="0.3">
      <c r="K289" s="49"/>
      <c r="M289" s="49"/>
      <c r="O289" s="49"/>
      <c r="Q289" s="49"/>
      <c r="S289" s="49"/>
      <c r="U289" s="49"/>
      <c r="V289" s="53"/>
      <c r="W289" s="49"/>
      <c r="Y289" s="49"/>
      <c r="AA289" s="49"/>
      <c r="AB289" s="53"/>
      <c r="AD289" s="53"/>
      <c r="AV289" s="53"/>
    </row>
    <row r="290" spans="11:48" x14ac:dyDescent="0.3">
      <c r="K290" s="49"/>
      <c r="M290" s="49"/>
      <c r="O290" s="49"/>
      <c r="Q290" s="49"/>
      <c r="S290" s="49"/>
      <c r="U290" s="49"/>
      <c r="V290" s="53"/>
      <c r="W290" s="49"/>
      <c r="Y290" s="49"/>
      <c r="AA290" s="49"/>
      <c r="AB290" s="53"/>
      <c r="AD290" s="53"/>
      <c r="AV290" s="53"/>
    </row>
    <row r="291" spans="11:48" x14ac:dyDescent="0.3">
      <c r="K291" s="49"/>
      <c r="M291" s="49"/>
      <c r="O291" s="49"/>
      <c r="Q291" s="49"/>
      <c r="S291" s="49"/>
      <c r="U291" s="49"/>
      <c r="V291" s="53"/>
      <c r="W291" s="49"/>
      <c r="Y291" s="49"/>
      <c r="AA291" s="49"/>
      <c r="AB291" s="53"/>
      <c r="AD291" s="53"/>
      <c r="AV291" s="53"/>
    </row>
    <row r="292" spans="11:48" x14ac:dyDescent="0.3">
      <c r="K292" s="49"/>
      <c r="M292" s="49"/>
      <c r="O292" s="49"/>
      <c r="Q292" s="49"/>
      <c r="S292" s="49"/>
      <c r="U292" s="49"/>
      <c r="W292" s="49"/>
      <c r="Y292" s="49"/>
      <c r="AA292" s="49"/>
      <c r="AB292" s="53"/>
      <c r="AD292" s="53"/>
      <c r="AV292" s="53"/>
    </row>
    <row r="293" spans="11:48" x14ac:dyDescent="0.3">
      <c r="K293" s="49"/>
      <c r="M293" s="49"/>
      <c r="O293" s="49"/>
      <c r="Q293" s="49"/>
      <c r="S293" s="49"/>
      <c r="U293" s="49"/>
      <c r="W293" s="49"/>
      <c r="Y293" s="49"/>
      <c r="AA293" s="49"/>
      <c r="AB293" s="53"/>
      <c r="AD293" s="53"/>
      <c r="AV293" s="53"/>
    </row>
    <row r="294" spans="11:48" x14ac:dyDescent="0.3">
      <c r="K294" s="49"/>
      <c r="M294" s="49"/>
      <c r="O294" s="49"/>
      <c r="Q294" s="49"/>
      <c r="S294" s="49"/>
      <c r="U294" s="49"/>
      <c r="W294" s="49"/>
      <c r="Y294" s="49"/>
      <c r="AA294" s="49"/>
      <c r="AB294" s="53"/>
      <c r="AD294" s="53"/>
    </row>
    <row r="295" spans="11:48" x14ac:dyDescent="0.3">
      <c r="K295" s="49"/>
      <c r="M295" s="49"/>
      <c r="O295" s="49"/>
      <c r="Q295" s="49"/>
      <c r="S295" s="49"/>
      <c r="U295" s="49"/>
      <c r="W295" s="49"/>
      <c r="Y295" s="49"/>
      <c r="AA295" s="49"/>
      <c r="AB295" s="53"/>
      <c r="AD295" s="53"/>
    </row>
    <row r="296" spans="11:48" x14ac:dyDescent="0.3">
      <c r="K296" s="49"/>
      <c r="M296" s="49"/>
      <c r="O296" s="49"/>
      <c r="Q296" s="49"/>
      <c r="S296" s="49"/>
      <c r="U296" s="49"/>
      <c r="W296" s="49"/>
      <c r="Y296" s="49"/>
      <c r="AA296" s="49"/>
      <c r="AD296" s="53"/>
    </row>
    <row r="297" spans="11:48" x14ac:dyDescent="0.3">
      <c r="K297" s="49"/>
      <c r="M297" s="49"/>
      <c r="O297" s="49"/>
      <c r="Q297" s="49"/>
      <c r="S297" s="49"/>
      <c r="U297" s="49"/>
      <c r="W297" s="49"/>
      <c r="Y297" s="49"/>
      <c r="AA297" s="49"/>
      <c r="AD297" s="53"/>
    </row>
    <row r="298" spans="11:48" x14ac:dyDescent="0.3">
      <c r="K298" s="49"/>
      <c r="M298" s="49"/>
      <c r="O298" s="49"/>
      <c r="Q298" s="49"/>
      <c r="S298" s="49"/>
      <c r="U298" s="49"/>
      <c r="W298" s="49"/>
      <c r="Y298" s="49"/>
      <c r="AA298" s="49"/>
    </row>
    <row r="299" spans="11:48" x14ac:dyDescent="0.3">
      <c r="K299" s="49"/>
      <c r="M299" s="49"/>
      <c r="O299" s="49"/>
      <c r="Q299" s="49"/>
      <c r="S299" s="49"/>
      <c r="U299" s="49"/>
      <c r="W299" s="49"/>
      <c r="Y299" s="49"/>
      <c r="AA299" s="49"/>
    </row>
    <row r="300" spans="11:48" x14ac:dyDescent="0.3">
      <c r="K300" s="49"/>
      <c r="M300" s="49"/>
      <c r="O300" s="49"/>
      <c r="Q300" s="49"/>
      <c r="S300" s="49"/>
      <c r="U300" s="49"/>
      <c r="W300" s="49"/>
      <c r="Y300" s="49"/>
      <c r="AA300" s="49"/>
    </row>
    <row r="301" spans="11:48" x14ac:dyDescent="0.3">
      <c r="K301" s="49"/>
      <c r="M301" s="49"/>
      <c r="O301" s="49"/>
      <c r="Q301" s="49"/>
      <c r="S301" s="49"/>
      <c r="U301" s="49"/>
      <c r="W301" s="49"/>
      <c r="Y301" s="49"/>
      <c r="AA301" s="49"/>
    </row>
    <row r="302" spans="11:48" x14ac:dyDescent="0.3">
      <c r="K302" s="49"/>
      <c r="M302" s="49"/>
      <c r="O302" s="49"/>
      <c r="Q302" s="49"/>
      <c r="S302" s="49"/>
      <c r="U302" s="49"/>
      <c r="W302" s="49"/>
      <c r="Y302" s="49"/>
      <c r="AA302" s="49"/>
    </row>
  </sheetData>
  <sortState ref="A129:AN171">
    <sortCondition ref="C129:C171"/>
  </sortState>
  <mergeCells count="6">
    <mergeCell ref="GL15:HG15"/>
    <mergeCell ref="H15:AY15"/>
    <mergeCell ref="BB15:BW15"/>
    <mergeCell ref="BZ15:DQ15"/>
    <mergeCell ref="DT15:EO15"/>
    <mergeCell ref="ER15:GI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2020-05-19T00:59:45Z</dcterms:modified>
</cp:coreProperties>
</file>