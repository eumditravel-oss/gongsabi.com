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6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바탕화면\"/>
    </mc:Choice>
  </mc:AlternateContent>
  <xr:revisionPtr revIDLastSave="0" documentId="8_{0C53198C-F33C-485F-93A0-E817B0C6B5DE}" xr6:coauthVersionLast="45" xr6:coauthVersionMax="45" xr10:uidLastSave="{00000000-0000-0000-0000-000000000000}"/>
  <bookViews>
    <workbookView xWindow="-120" yWindow="-120" windowWidth="26595" windowHeight="18240" activeTab="1" xr2:uid="{00000000-000D-0000-FFFF-FFFF00000000}"/>
  </bookViews>
  <sheets>
    <sheet name="검색조건" sheetId="1" r:id="rId1"/>
    <sheet name="Pro #1" sheetId="4" r:id="rId2"/>
    <sheet name="Sheet2" sheetId="2" r:id="rId3"/>
    <sheet name="Sheet3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24" i="4" l="1"/>
  <c r="E86" i="4"/>
  <c r="E85" i="4"/>
  <c r="E51" i="4"/>
  <c r="E47" i="4"/>
  <c r="E50" i="4"/>
  <c r="E49" i="4"/>
  <c r="E48" i="4"/>
  <c r="E30" i="4"/>
  <c r="D7" i="4" l="1"/>
  <c r="D153" i="4"/>
  <c r="D26" i="4" s="1"/>
  <c r="E26" i="4" s="1"/>
  <c r="D146" i="4"/>
  <c r="D25" i="4" s="1"/>
  <c r="E25" i="4" s="1"/>
  <c r="D138" i="4"/>
  <c r="D24" i="4" s="1"/>
  <c r="E24" i="4" s="1"/>
  <c r="D125" i="4"/>
  <c r="D23" i="4" s="1"/>
  <c r="E23" i="4" s="1"/>
  <c r="D111" i="4"/>
  <c r="D22" i="4" s="1"/>
  <c r="E22" i="4" s="1"/>
  <c r="D87" i="4"/>
  <c r="D21" i="4" s="1"/>
  <c r="E21" i="4" s="1"/>
  <c r="D52" i="4"/>
  <c r="D19" i="4" s="1"/>
  <c r="E149" i="4"/>
  <c r="E150" i="4"/>
  <c r="E151" i="4"/>
  <c r="E141" i="4"/>
  <c r="E142" i="4"/>
  <c r="E143" i="4"/>
  <c r="E144" i="4"/>
  <c r="E132" i="4"/>
  <c r="E134" i="4"/>
  <c r="E133" i="4"/>
  <c r="E130" i="4"/>
  <c r="E131" i="4"/>
  <c r="E135" i="4"/>
  <c r="E136" i="4"/>
  <c r="E129" i="4"/>
  <c r="E118" i="4"/>
  <c r="E122" i="4"/>
  <c r="E114" i="4"/>
  <c r="E117" i="4"/>
  <c r="E119" i="4"/>
  <c r="E120" i="4"/>
  <c r="E116" i="4"/>
  <c r="E90" i="4"/>
  <c r="E91" i="4"/>
  <c r="E92" i="4"/>
  <c r="E93" i="4"/>
  <c r="E94" i="4"/>
  <c r="E95" i="4"/>
  <c r="E96" i="4"/>
  <c r="E97" i="4"/>
  <c r="E110" i="4"/>
  <c r="E61" i="4"/>
  <c r="E62" i="4"/>
  <c r="E63" i="4"/>
  <c r="E64" i="4"/>
  <c r="E65" i="4"/>
  <c r="E81" i="4"/>
  <c r="E82" i="4"/>
  <c r="E83" i="4"/>
  <c r="E84" i="4"/>
  <c r="V33" i="4"/>
  <c r="V61" i="4" s="1"/>
  <c r="T33" i="4"/>
  <c r="T61" i="4" s="1"/>
  <c r="E57" i="4"/>
  <c r="E56" i="4"/>
  <c r="E55" i="4"/>
  <c r="E39" i="4"/>
  <c r="E40" i="4"/>
  <c r="E41" i="4"/>
  <c r="E42" i="4"/>
  <c r="E43" i="4"/>
  <c r="E44" i="4"/>
  <c r="E45" i="4"/>
  <c r="E46" i="4"/>
  <c r="E33" i="4"/>
  <c r="E34" i="4"/>
  <c r="E35" i="4"/>
  <c r="E36" i="4"/>
  <c r="E37" i="4"/>
  <c r="E38" i="4"/>
  <c r="E18" i="4"/>
  <c r="I5" i="4"/>
  <c r="I6" i="4" s="1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H5" i="4"/>
  <c r="H6" i="4" s="1"/>
  <c r="H7" i="4" s="1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O31" i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M31" i="1"/>
  <c r="A6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E125" i="4" l="1"/>
  <c r="E87" i="4"/>
  <c r="E111" i="4"/>
  <c r="E52" i="4"/>
  <c r="E58" i="4" s="1"/>
  <c r="E138" i="4"/>
  <c r="E146" i="4"/>
  <c r="E153" i="4"/>
  <c r="E19" i="4"/>
  <c r="D58" i="4"/>
  <c r="D20" i="4" s="1"/>
  <c r="E20" i="4" s="1"/>
  <c r="D27" i="4" l="1"/>
  <c r="E27" i="4"/>
</calcChain>
</file>

<file path=xl/sharedStrings.xml><?xml version="1.0" encoding="utf-8"?>
<sst xmlns="http://schemas.openxmlformats.org/spreadsheetml/2006/main" count="483" uniqueCount="216">
  <si>
    <t>NO</t>
    <phoneticPr fontId="2" type="noConversion"/>
  </si>
  <si>
    <t>건물종류</t>
  </si>
  <si>
    <t>면적(평)</t>
  </si>
  <si>
    <t>지역</t>
  </si>
  <si>
    <t>착공년도</t>
  </si>
  <si>
    <t>구분</t>
    <phoneticPr fontId="2" type="noConversion"/>
  </si>
  <si>
    <t>설계가</t>
    <phoneticPr fontId="2" type="noConversion"/>
  </si>
  <si>
    <t>도급</t>
    <phoneticPr fontId="2" type="noConversion"/>
  </si>
  <si>
    <t>실행</t>
    <phoneticPr fontId="2" type="noConversion"/>
  </si>
  <si>
    <t>11년</t>
  </si>
  <si>
    <t>12년</t>
  </si>
  <si>
    <t>13년</t>
  </si>
  <si>
    <t>14년</t>
  </si>
  <si>
    <t>15년</t>
  </si>
  <si>
    <t>16년</t>
  </si>
  <si>
    <t>17년</t>
  </si>
  <si>
    <t>공정</t>
    <phoneticPr fontId="2" type="noConversion"/>
  </si>
  <si>
    <t>건축</t>
    <phoneticPr fontId="2" type="noConversion"/>
  </si>
  <si>
    <t>토목</t>
    <phoneticPr fontId="2" type="noConversion"/>
  </si>
  <si>
    <t>기계</t>
    <phoneticPr fontId="2" type="noConversion"/>
  </si>
  <si>
    <t>전기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</si>
  <si>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</si>
  <si>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</si>
  <si>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</si>
  <si>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</si>
  <si>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</si>
  <si>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</si>
  <si>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</si>
  <si>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</si>
  <si>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</si>
  <si>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</si>
  <si>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</si>
  <si>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</si>
  <si>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</si>
  <si>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</si>
  <si>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</si>
  <si>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창호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</si>
  <si>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</si>
  <si>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</si>
  <si>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</si>
  <si>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</si>
  <si>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지붕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</si>
  <si>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</si>
  <si>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</si>
  <si>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</si>
  <si>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</si>
  <si>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</si>
  <si>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</si>
  <si>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</si>
  <si>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</si>
  <si>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</si>
  <si>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난방배관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</si>
  <si>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</si>
  <si>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</si>
  <si>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</si>
  <si>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</si>
  <si>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</si>
  <si>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</si>
  <si>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</si>
  <si>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</si>
  <si>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</si>
  <si>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</si>
  <si>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</si>
  <si>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</si>
  <si>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</si>
  <si>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</si>
  <si>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</si>
  <si>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</si>
  <si>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</si>
  <si>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</si>
  <si>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</si>
  <si>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 xml:space="preserve"> 방송</t>
    <phoneticPr fontId="2" type="noConversion"/>
  </si>
  <si>
    <t>A/V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</si>
  <si>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</si>
  <si>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</si>
  <si>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</si>
  <si>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</si>
  <si>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</si>
  <si>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</si>
  <si>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</si>
  <si>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</si>
  <si>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</si>
  <si>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등급</t>
    <phoneticPr fontId="2" type="noConversion"/>
  </si>
  <si>
    <t>고급</t>
    <phoneticPr fontId="2" type="noConversion"/>
  </si>
  <si>
    <t>중급</t>
    <phoneticPr fontId="2" type="noConversion"/>
  </si>
  <si>
    <t>일반</t>
    <phoneticPr fontId="2" type="noConversion"/>
  </si>
  <si>
    <t>아파트</t>
    <phoneticPr fontId="2" type="noConversion"/>
  </si>
  <si>
    <t>주상복합</t>
    <phoneticPr fontId="2" type="noConversion"/>
  </si>
  <si>
    <t>오피스텔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</si>
  <si>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</si>
  <si>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</si>
  <si>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</si>
  <si>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판매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</si>
  <si>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</si>
  <si>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</si>
  <si>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</si>
  <si>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업무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</si>
  <si>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</si>
  <si>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</si>
  <si>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</si>
  <si>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</si>
  <si>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18년</t>
    <phoneticPr fontId="2" type="noConversion"/>
  </si>
  <si>
    <t>19년</t>
    <phoneticPr fontId="2" type="noConversion"/>
  </si>
  <si>
    <t>20년</t>
    <phoneticPr fontId="2" type="noConversion"/>
  </si>
  <si>
    <t>2000년 이전</t>
    <phoneticPr fontId="2" type="noConversion"/>
  </si>
  <si>
    <t>1999년 이전</t>
    <phoneticPr fontId="2" type="noConversion"/>
  </si>
  <si>
    <t>11</t>
    <phoneticPr fontId="2" type="noConversion"/>
  </si>
  <si>
    <t>12</t>
    <phoneticPr fontId="2" type="noConversion"/>
  </si>
  <si>
    <t>빌라</t>
    <phoneticPr fontId="2" type="noConversion"/>
  </si>
  <si>
    <t>경기도</t>
    <phoneticPr fontId="2" type="noConversion"/>
  </si>
  <si>
    <t>인천시</t>
    <phoneticPr fontId="2" type="noConversion"/>
  </si>
  <si>
    <t>부산시</t>
    <phoneticPr fontId="2" type="noConversion"/>
  </si>
  <si>
    <t>대전시</t>
    <phoneticPr fontId="2" type="noConversion"/>
  </si>
  <si>
    <t>대구시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</si>
  <si>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</si>
  <si>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</si>
  <si>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</si>
  <si>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</si>
  <si>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충청도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</si>
  <si>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</si>
  <si>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</si>
  <si>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</si>
  <si>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서울</t>
    <phoneticPr fontId="2" type="noConversion"/>
  </si>
  <si>
    <t>1000~3000</t>
    <phoneticPr fontId="2" type="noConversion"/>
  </si>
  <si>
    <t>3000~5000</t>
    <phoneticPr fontId="2" type="noConversion"/>
  </si>
  <si>
    <t>5000~10000</t>
    <phoneticPr fontId="2" type="noConversion"/>
  </si>
  <si>
    <t>10000~20000</t>
    <phoneticPr fontId="2" type="noConversion"/>
  </si>
  <si>
    <t>20000~30000</t>
    <phoneticPr fontId="2" type="noConversion"/>
  </si>
  <si>
    <t>30000~40000</t>
    <phoneticPr fontId="2" type="noConversion"/>
  </si>
  <si>
    <t>40000~50000</t>
    <phoneticPr fontId="2" type="noConversion"/>
  </si>
  <si>
    <t>50000 평 초과</t>
    <phoneticPr fontId="2" type="noConversion"/>
  </si>
  <si>
    <t>1000 M2 만</t>
    <phoneticPr fontId="2" type="noConversion"/>
  </si>
  <si>
    <t>~ 5,000 미만</t>
    <phoneticPr fontId="2" type="noConversion"/>
  </si>
  <si>
    <t>~ 10,000 미만</t>
    <phoneticPr fontId="2" type="noConversion"/>
  </si>
  <si>
    <t>~ 20,000 미만</t>
    <phoneticPr fontId="2" type="noConversion"/>
  </si>
  <si>
    <t>~ 40,000 미만</t>
    <phoneticPr fontId="2" type="noConversion"/>
  </si>
  <si>
    <t>~ 60,000 미만</t>
    <phoneticPr fontId="2" type="noConversion"/>
  </si>
  <si>
    <t>~ 100,000 미만</t>
    <phoneticPr fontId="2" type="noConversion"/>
  </si>
  <si>
    <t>~ 150,000 초과</t>
    <phoneticPr fontId="2" type="noConversion"/>
  </si>
  <si>
    <t>~300 미만</t>
    <phoneticPr fontId="2" type="noConversion"/>
  </si>
  <si>
    <t>300~1000</t>
    <phoneticPr fontId="2" type="noConversion"/>
  </si>
  <si>
    <t>면적(M2)</t>
    <phoneticPr fontId="2" type="noConversion"/>
  </si>
  <si>
    <t>공 종</t>
    <phoneticPr fontId="2" type="noConversion"/>
  </si>
  <si>
    <t>건축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</si>
  <si>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</si>
  <si>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</si>
  <si>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</si>
  <si>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</si>
  <si>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</si>
  <si>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</si>
  <si>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</si>
  <si>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</si>
  <si>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</si>
  <si>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면적</t>
    <phoneticPr fontId="2" type="noConversion"/>
  </si>
  <si>
    <t>m2</t>
    <phoneticPr fontId="2" type="noConversion"/>
  </si>
  <si>
    <t>평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</si>
  <si>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</si>
  <si>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</si>
  <si>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</si>
  <si>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</si>
  <si>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</si>
  <si>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</si>
  <si>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</si>
  <si>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</si>
  <si>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</si>
  <si>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</si>
  <si>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</si>
  <si>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>토목공종</t>
    <phoneticPr fontId="2" type="noConversion"/>
  </si>
  <si>
    <t>기계공종</t>
    <phoneticPr fontId="2" type="noConversion"/>
  </si>
  <si>
    <t>전기공종</t>
    <phoneticPr fontId="2" type="noConversion"/>
  </si>
  <si>
    <t>통신공종</t>
    <phoneticPr fontId="2" type="noConversion"/>
  </si>
  <si>
    <t>소방공종</t>
    <phoneticPr fontId="2" type="noConversion"/>
  </si>
  <si>
    <t>부대공종</t>
    <phoneticPr fontId="2" type="noConversion"/>
  </si>
  <si>
    <t>조경공종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</si>
  <si>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</si>
  <si>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</si>
  <si>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</si>
  <si>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</si>
  <si>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</si>
  <si>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</si>
  <si>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</si>
  <si>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</si>
  <si>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</si>
  <si>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</si>
  <si>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기타공사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</si>
  <si>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</si>
  <si>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</si>
  <si>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</si>
  <si>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</si>
  <si>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</si>
  <si>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</si>
  <si>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</si>
  <si>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</si>
  <si>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</si>
  <si>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</si>
  <si>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</si>
  <si>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</si>
  <si>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</si>
  <si>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</si>
  <si>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</si>
  <si>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</si>
  <si>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가스배관,연도공사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</si>
  <si>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</si>
  <si>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</si>
  <si>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</si>
  <si>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</si>
  <si>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</si>
  <si>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</si>
  <si>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</si>
  <si>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</si>
  <si>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</si>
  <si>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</si>
  <si>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삼정동 아파트 신축공사 3</t>
    <phoneticPr fontId="2" type="noConversion"/>
  </si>
  <si>
    <t>근생</t>
  </si>
  <si>
    <t>경기도</t>
  </si>
  <si>
    <t>중급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</si>
</sst>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_);[Red]\(0\)"/>
    <numFmt numFmtId="177" formatCode="0_ 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95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176" fontId="3" fillId="0" borderId="15" xfId="0" applyNumberFormat="1" applyFont="1" applyFill="1" applyBorder="1" applyAlignment="1">
      <alignment horizontal="center" vertical="center"/>
    </xf>
    <xf numFmtId="176" fontId="3" fillId="0" borderId="17" xfId="0" applyNumberFormat="1" applyFont="1" applyFill="1" applyBorder="1" applyAlignment="1">
      <alignment horizontal="center" vertical="center"/>
    </xf>
    <xf numFmtId="176" fontId="3" fillId="0" borderId="16" xfId="0" applyNumberFormat="1" applyFont="1" applyFill="1" applyBorder="1" applyAlignment="1">
      <alignment horizontal="center" vertical="center"/>
    </xf>
    <xf numFmtId="176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20" xfId="0" applyNumberFormat="1" applyFont="1" applyFill="1" applyBorder="1" applyAlignment="1">
      <alignment horizontal="center" vertical="center"/>
    </xf>
    <xf numFmtId="49" fontId="3" fillId="0" borderId="22" xfId="0" applyNumberFormat="1" applyFont="1" applyFill="1" applyBorder="1" applyAlignment="1">
      <alignment horizontal="center" vertical="center"/>
    </xf>
    <xf numFmtId="49" fontId="3" fillId="0" borderId="23" xfId="0" applyNumberFormat="1" applyFont="1" applyFill="1" applyBorder="1" applyAlignment="1">
      <alignment horizontal="center" vertical="center"/>
    </xf>
    <xf numFmtId="176" fontId="3" fillId="0" borderId="22" xfId="0" applyNumberFormat="1" applyFont="1" applyFill="1" applyBorder="1" applyAlignment="1">
      <alignment horizontal="center" vertical="center"/>
    </xf>
    <xf numFmtId="176" fontId="3" fillId="0" borderId="24" xfId="0" applyNumberFormat="1" applyFont="1" applyFill="1" applyBorder="1" applyAlignment="1">
      <alignment horizontal="center" vertical="center"/>
    </xf>
    <xf numFmtId="49" fontId="3" fillId="0" borderId="25" xfId="0" applyNumberFormat="1" applyFont="1" applyFill="1" applyBorder="1" applyAlignment="1">
      <alignment horizontal="center" vertical="center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49" fontId="3" fillId="2" borderId="23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9" xfId="1" applyFont="1" applyFill="1" applyBorder="1">
      <alignment vertical="center"/>
    </xf>
    <xf numFmtId="0" fontId="0" fillId="0" borderId="29" xfId="0" applyFill="1" applyBorder="1">
      <alignment vertical="center"/>
    </xf>
    <xf numFmtId="0" fontId="0" fillId="0" borderId="19" xfId="0" applyFill="1" applyBorder="1">
      <alignment vertical="center"/>
    </xf>
    <xf numFmtId="41" fontId="0" fillId="0" borderId="17" xfId="1" applyFont="1" applyFill="1" applyBorder="1">
      <alignment vertical="center"/>
    </xf>
    <xf numFmtId="0" fontId="0" fillId="0" borderId="25" xfId="0" applyFill="1" applyBorder="1">
      <alignment vertical="center"/>
    </xf>
    <xf numFmtId="41" fontId="0" fillId="0" borderId="24" xfId="1" applyFont="1" applyFill="1" applyBorder="1">
      <alignment vertical="center"/>
    </xf>
    <xf numFmtId="0" fontId="0" fillId="0" borderId="30" xfId="0" applyFill="1" applyBorder="1">
      <alignment vertical="center"/>
    </xf>
    <xf numFmtId="41" fontId="0" fillId="0" borderId="31" xfId="1" applyFont="1" applyFill="1" applyBorder="1">
      <alignment vertical="center"/>
    </xf>
    <xf numFmtId="0" fontId="0" fillId="0" borderId="0" xfId="0" applyFill="1" applyBorder="1">
      <alignment vertical="center"/>
    </xf>
    <xf numFmtId="176" fontId="0" fillId="0" borderId="0" xfId="0" applyNumberFormat="1" applyFill="1" applyBorder="1">
      <alignment vertical="center"/>
    </xf>
    <xf numFmtId="49" fontId="0" fillId="0" borderId="0" xfId="0" applyNumberFormat="1" applyFill="1" applyBorder="1" applyAlignment="1">
      <alignment horizontal="right" vertical="center"/>
    </xf>
    <xf numFmtId="0" fontId="0" fillId="2" borderId="0" xfId="0" applyFill="1" applyBorder="1">
      <alignment vertical="center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49" fontId="3" fillId="2" borderId="23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76" fontId="3" fillId="0" borderId="15" xfId="0" applyNumberFormat="1" applyFont="1" applyFill="1" applyBorder="1" applyAlignment="1">
      <alignment horizontal="center" vertical="center"/>
    </xf>
    <xf numFmtId="176" fontId="3" fillId="0" borderId="17" xfId="0" applyNumberFormat="1" applyFont="1" applyFill="1" applyBorder="1" applyAlignment="1">
      <alignment horizontal="center" vertical="center"/>
    </xf>
    <xf numFmtId="176" fontId="3" fillId="0" borderId="22" xfId="0" applyNumberFormat="1" applyFont="1" applyFill="1" applyBorder="1" applyAlignment="1">
      <alignment horizontal="center" vertical="center"/>
    </xf>
    <xf numFmtId="176" fontId="3" fillId="0" borderId="24" xfId="0" applyNumberFormat="1" applyFont="1" applyFill="1" applyBorder="1" applyAlignment="1">
      <alignment horizontal="center" vertical="center"/>
    </xf>
    <xf numFmtId="176" fontId="3" fillId="0" borderId="16" xfId="0" applyNumberFormat="1" applyFont="1" applyFill="1" applyBorder="1" applyAlignment="1">
      <alignment horizontal="center" vertical="center"/>
    </xf>
    <xf numFmtId="176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25" xfId="0" applyNumberFormat="1" applyFont="1" applyFill="1" applyBorder="1" applyAlignment="1">
      <alignment horizontal="center" vertical="center"/>
    </xf>
    <xf numFmtId="49" fontId="3" fillId="0" borderId="23" xfId="0" applyNumberFormat="1" applyFont="1" applyFill="1" applyBorder="1" applyAlignment="1">
      <alignment horizontal="center" vertical="center"/>
    </xf>
    <xf numFmtId="49" fontId="3" fillId="0" borderId="20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22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72"/>
  <sheetViews>
    <sheetView workbookViewId="0">
      <selection activeCell="J23" sqref="J23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7" t="s">
        <v>0</v>
      </c>
      <c r="B2" s="92" t="s">
        <v>1</v>
      </c>
      <c r="C2" s="87"/>
      <c r="D2" s="92" t="s">
        <v>2</v>
      </c>
      <c r="E2" s="87"/>
      <c r="F2" s="92" t="s">
        <v>141</v>
      </c>
      <c r="G2" s="87"/>
      <c r="H2" s="92" t="s">
        <v>3</v>
      </c>
      <c r="I2" s="87"/>
      <c r="J2" s="92" t="s">
        <v>4</v>
      </c>
      <c r="K2" s="87"/>
      <c r="L2" s="80" t="s">
        <v>5</v>
      </c>
      <c r="M2" s="81"/>
      <c r="N2" s="80" t="s">
        <v>82</v>
      </c>
      <c r="O2" s="81"/>
      <c r="P2" s="86" t="s">
        <v>16</v>
      </c>
      <c r="Q2" s="87"/>
      <c r="R2" s="70" t="s">
        <v>142</v>
      </c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2"/>
    </row>
    <row r="3" spans="1:33" x14ac:dyDescent="0.3">
      <c r="A3" s="78"/>
      <c r="B3" s="93"/>
      <c r="C3" s="89"/>
      <c r="D3" s="93"/>
      <c r="E3" s="89"/>
      <c r="F3" s="93"/>
      <c r="G3" s="89"/>
      <c r="H3" s="93"/>
      <c r="I3" s="89"/>
      <c r="J3" s="93"/>
      <c r="K3" s="89"/>
      <c r="L3" s="82"/>
      <c r="M3" s="83"/>
      <c r="N3" s="82"/>
      <c r="O3" s="83"/>
      <c r="P3" s="88"/>
      <c r="Q3" s="89"/>
      <c r="R3" s="73" t="s">
        <v>143</v>
      </c>
      <c r="S3" s="74"/>
      <c r="T3" s="73" t="s">
        <v>144</v>
      </c>
      <c r="U3" s="74"/>
      <c r="V3" s="73" t="s">
        <v>145</v>
      </c>
      <c r="W3" s="74"/>
      <c r="X3" s="73" t="s">
        <v>146</v>
      </c>
      <c r="Y3" s="74"/>
      <c r="Z3" s="73" t="s">
        <v>147</v>
      </c>
      <c r="AA3" s="74"/>
      <c r="AB3" s="73" t="s">
        <v>148</v>
      </c>
      <c r="AC3" s="74"/>
      <c r="AD3" s="73" t="s">
        <v>149</v>
      </c>
      <c r="AE3" s="74"/>
      <c r="AF3" s="73" t="s">
        <v>150</v>
      </c>
      <c r="AG3" s="74"/>
    </row>
    <row r="4" spans="1:33" x14ac:dyDescent="0.3">
      <c r="A4" s="79"/>
      <c r="B4" s="94"/>
      <c r="C4" s="91"/>
      <c r="D4" s="94"/>
      <c r="E4" s="91"/>
      <c r="F4" s="94"/>
      <c r="G4" s="91"/>
      <c r="H4" s="94"/>
      <c r="I4" s="91"/>
      <c r="J4" s="94"/>
      <c r="K4" s="91"/>
      <c r="L4" s="84"/>
      <c r="M4" s="85"/>
      <c r="N4" s="84"/>
      <c r="O4" s="85"/>
      <c r="P4" s="90"/>
      <c r="Q4" s="91"/>
      <c r="R4" s="75"/>
      <c r="S4" s="76"/>
      <c r="T4" s="75"/>
      <c r="U4" s="76"/>
      <c r="V4" s="75"/>
      <c r="W4" s="76"/>
      <c r="X4" s="75"/>
      <c r="Y4" s="76"/>
      <c r="Z4" s="75"/>
      <c r="AA4" s="76"/>
      <c r="AB4" s="75"/>
      <c r="AC4" s="76"/>
      <c r="AD4" s="75"/>
      <c r="AE4" s="76"/>
      <c r="AF4" s="75"/>
      <c r="AG4" s="76"/>
    </row>
    <row r="5" spans="1:33" x14ac:dyDescent="0.3">
      <c r="A5" s="4">
        <v>1</v>
      </c>
      <c r="B5" s="5">
        <v>1</v>
      </c>
      <c r="C5" s="17" t="s">
        <v>86</v>
      </c>
      <c r="D5" s="5">
        <v>1</v>
      </c>
      <c r="E5" s="1" t="s">
        <v>139</v>
      </c>
      <c r="F5" s="17"/>
      <c r="G5" s="17" t="s">
        <v>131</v>
      </c>
      <c r="H5" s="5">
        <v>1</v>
      </c>
      <c r="I5" s="1" t="s">
        <v>122</v>
      </c>
      <c r="J5" s="19">
        <v>1</v>
      </c>
      <c r="K5" s="1" t="s">
        <v>105</v>
      </c>
      <c r="L5" s="5">
        <v>1</v>
      </c>
      <c r="M5" s="6" t="s">
        <v>6</v>
      </c>
      <c r="N5" s="5">
        <v>1</v>
      </c>
      <c r="O5" s="6" t="s">
        <v>83</v>
      </c>
      <c r="P5" s="5">
        <v>1</v>
      </c>
      <c r="Q5" s="1" t="s">
        <v>25</v>
      </c>
      <c r="R5" s="50">
        <v>1</v>
      </c>
      <c r="S5" s="51" t="s">
        <v>28</v>
      </c>
      <c r="T5" s="50">
        <v>1</v>
      </c>
      <c r="U5" s="51" t="s">
        <v>42</v>
      </c>
      <c r="V5" s="50">
        <v>1</v>
      </c>
      <c r="W5" s="51" t="s">
        <v>45</v>
      </c>
      <c r="X5" s="50">
        <v>1</v>
      </c>
      <c r="Y5" s="51" t="s">
        <v>55</v>
      </c>
      <c r="Z5" s="50">
        <v>1</v>
      </c>
      <c r="AA5" s="51" t="s">
        <v>69</v>
      </c>
      <c r="AB5" s="50">
        <v>1</v>
      </c>
      <c r="AC5" s="51" t="s">
        <v>75</v>
      </c>
      <c r="AD5" s="50">
        <v>1</v>
      </c>
      <c r="AE5" s="51" t="s">
        <v>64</v>
      </c>
      <c r="AF5" s="50">
        <v>1</v>
      </c>
      <c r="AG5" s="51" t="s">
        <v>67</v>
      </c>
    </row>
    <row r="6" spans="1:33" x14ac:dyDescent="0.3">
      <c r="A6" s="4">
        <f>+A5+1</f>
        <v>2</v>
      </c>
      <c r="B6" s="5">
        <f>+B5+1</f>
        <v>2</v>
      </c>
      <c r="C6" s="17" t="s">
        <v>87</v>
      </c>
      <c r="D6" s="5">
        <v>2</v>
      </c>
      <c r="E6" s="1" t="s">
        <v>140</v>
      </c>
      <c r="F6" s="17"/>
      <c r="G6" s="17" t="s">
        <v>132</v>
      </c>
      <c r="H6" s="5">
        <v>2</v>
      </c>
      <c r="I6" s="1" t="s">
        <v>109</v>
      </c>
      <c r="J6" s="19">
        <v>2</v>
      </c>
      <c r="K6" s="1" t="s">
        <v>104</v>
      </c>
      <c r="L6" s="5">
        <v>2</v>
      </c>
      <c r="M6" s="6" t="s">
        <v>7</v>
      </c>
      <c r="N6" s="5">
        <v>2</v>
      </c>
      <c r="O6" s="6" t="s">
        <v>84</v>
      </c>
      <c r="P6" s="5">
        <v>2</v>
      </c>
      <c r="Q6" s="1" t="s">
        <v>17</v>
      </c>
      <c r="R6" s="50">
        <v>2</v>
      </c>
      <c r="S6" s="51" t="s">
        <v>26</v>
      </c>
      <c r="T6" s="50">
        <v>2</v>
      </c>
      <c r="U6" s="51" t="s">
        <v>44</v>
      </c>
      <c r="V6" s="50">
        <v>2</v>
      </c>
      <c r="W6" s="51" t="s">
        <v>46</v>
      </c>
      <c r="X6" s="50">
        <v>2</v>
      </c>
      <c r="Y6" s="51" t="s">
        <v>56</v>
      </c>
      <c r="Z6" s="50">
        <v>2</v>
      </c>
      <c r="AA6" s="51" t="s">
        <v>70</v>
      </c>
      <c r="AB6" s="50">
        <v>2</v>
      </c>
      <c r="AC6" s="51" t="s">
        <v>76</v>
      </c>
      <c r="AD6" s="50">
        <v>2</v>
      </c>
      <c r="AE6" s="51" t="s">
        <v>65</v>
      </c>
      <c r="AF6" s="50">
        <v>2</v>
      </c>
      <c r="AG6" s="51" t="s">
        <v>68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88</v>
      </c>
      <c r="D7" s="5">
        <v>3</v>
      </c>
      <c r="E7" s="1" t="s">
        <v>123</v>
      </c>
      <c r="F7" s="17"/>
      <c r="G7" s="17" t="s">
        <v>133</v>
      </c>
      <c r="H7" s="5">
        <v>3</v>
      </c>
      <c r="I7" s="1" t="s">
        <v>110</v>
      </c>
      <c r="J7" s="19">
        <v>3</v>
      </c>
      <c r="K7" s="1" t="s">
        <v>9</v>
      </c>
      <c r="L7" s="5">
        <v>3</v>
      </c>
      <c r="M7" s="6" t="s">
        <v>8</v>
      </c>
      <c r="N7" s="5">
        <v>3</v>
      </c>
      <c r="O7" s="6" t="s">
        <v>85</v>
      </c>
      <c r="P7" s="5">
        <v>3</v>
      </c>
      <c r="Q7" s="1" t="s">
        <v>18</v>
      </c>
      <c r="R7" s="50">
        <v>3</v>
      </c>
      <c r="S7" s="51" t="s">
        <v>27</v>
      </c>
      <c r="T7" s="50">
        <v>3</v>
      </c>
      <c r="U7" s="51" t="s">
        <v>43</v>
      </c>
      <c r="V7" s="50">
        <v>3</v>
      </c>
      <c r="W7" s="51" t="s">
        <v>47</v>
      </c>
      <c r="X7" s="50">
        <v>3</v>
      </c>
      <c r="Y7" s="51" t="s">
        <v>57</v>
      </c>
      <c r="Z7" s="50">
        <v>3</v>
      </c>
      <c r="AA7" s="51" t="s">
        <v>73</v>
      </c>
      <c r="AB7" s="50">
        <v>3</v>
      </c>
      <c r="AC7" s="51" t="s">
        <v>77</v>
      </c>
      <c r="AD7" s="50">
        <v>3</v>
      </c>
      <c r="AE7" s="51" t="s">
        <v>66</v>
      </c>
      <c r="AF7" s="50"/>
      <c r="AG7" s="51"/>
    </row>
    <row r="8" spans="1:33" x14ac:dyDescent="0.3">
      <c r="A8" s="4">
        <f t="shared" si="0"/>
        <v>4</v>
      </c>
      <c r="B8" s="5">
        <f t="shared" si="0"/>
        <v>4</v>
      </c>
      <c r="C8" s="17" t="s">
        <v>108</v>
      </c>
      <c r="D8" s="5">
        <v>4</v>
      </c>
      <c r="E8" s="1" t="s">
        <v>124</v>
      </c>
      <c r="F8" s="17"/>
      <c r="G8" s="17" t="s">
        <v>134</v>
      </c>
      <c r="H8" s="5">
        <v>4</v>
      </c>
      <c r="I8" s="1" t="s">
        <v>111</v>
      </c>
      <c r="J8" s="19">
        <v>4</v>
      </c>
      <c r="K8" s="1" t="s">
        <v>10</v>
      </c>
      <c r="L8" s="5"/>
      <c r="M8" s="6"/>
      <c r="N8" s="5"/>
      <c r="O8" s="6"/>
      <c r="P8" s="5">
        <v>4</v>
      </c>
      <c r="Q8" s="1" t="s">
        <v>19</v>
      </c>
      <c r="R8" s="50">
        <v>4</v>
      </c>
      <c r="S8" s="51" t="s">
        <v>29</v>
      </c>
      <c r="T8" s="50"/>
      <c r="U8" s="51"/>
      <c r="V8" s="50">
        <v>4</v>
      </c>
      <c r="W8" s="51" t="s">
        <v>48</v>
      </c>
      <c r="X8" s="50">
        <v>4</v>
      </c>
      <c r="Y8" s="51" t="s">
        <v>58</v>
      </c>
      <c r="Z8" s="50">
        <v>4</v>
      </c>
      <c r="AA8" s="51" t="s">
        <v>71</v>
      </c>
      <c r="AB8" s="50">
        <v>4</v>
      </c>
      <c r="AC8" s="51" t="s">
        <v>78</v>
      </c>
      <c r="AD8" s="50">
        <v>4</v>
      </c>
      <c r="AE8" s="51" t="s">
        <v>63</v>
      </c>
      <c r="AF8" s="50"/>
      <c r="AG8" s="51"/>
    </row>
    <row r="9" spans="1:33" x14ac:dyDescent="0.3">
      <c r="A9" s="4">
        <f t="shared" si="0"/>
        <v>5</v>
      </c>
      <c r="B9" s="5">
        <f t="shared" si="0"/>
        <v>5</v>
      </c>
      <c r="C9" s="17" t="s">
        <v>100</v>
      </c>
      <c r="D9" s="5">
        <v>5</v>
      </c>
      <c r="E9" s="1" t="s">
        <v>125</v>
      </c>
      <c r="F9" s="17"/>
      <c r="G9" s="17" t="s">
        <v>135</v>
      </c>
      <c r="H9" s="5">
        <v>5</v>
      </c>
      <c r="I9" s="1" t="s">
        <v>112</v>
      </c>
      <c r="J9" s="19">
        <v>5</v>
      </c>
      <c r="K9" s="1" t="s">
        <v>11</v>
      </c>
      <c r="L9" s="5"/>
      <c r="M9" s="6"/>
      <c r="N9" s="5"/>
      <c r="O9" s="6"/>
      <c r="P9" s="5">
        <v>5</v>
      </c>
      <c r="Q9" s="1" t="s">
        <v>20</v>
      </c>
      <c r="R9" s="50">
        <v>5</v>
      </c>
      <c r="S9" s="51" t="s">
        <v>30</v>
      </c>
      <c r="T9" s="50"/>
      <c r="U9" s="51"/>
      <c r="V9" s="50">
        <v>5</v>
      </c>
      <c r="W9" s="51" t="s">
        <v>49</v>
      </c>
      <c r="X9" s="50">
        <v>5</v>
      </c>
      <c r="Y9" s="51" t="s">
        <v>59</v>
      </c>
      <c r="Z9" s="50">
        <v>5</v>
      </c>
      <c r="AA9" s="51" t="s">
        <v>72</v>
      </c>
      <c r="AB9" s="50">
        <v>5</v>
      </c>
      <c r="AC9" s="51" t="s">
        <v>79</v>
      </c>
      <c r="AD9" s="50"/>
      <c r="AE9" s="51"/>
      <c r="AF9" s="50"/>
      <c r="AG9" s="51"/>
    </row>
    <row r="10" spans="1:33" x14ac:dyDescent="0.3">
      <c r="A10" s="4">
        <f t="shared" si="0"/>
        <v>6</v>
      </c>
      <c r="B10" s="5">
        <f t="shared" si="0"/>
        <v>6</v>
      </c>
      <c r="C10" s="17" t="s">
        <v>90</v>
      </c>
      <c r="D10" s="5">
        <v>6</v>
      </c>
      <c r="E10" s="1" t="s">
        <v>126</v>
      </c>
      <c r="F10" s="17"/>
      <c r="G10" s="17" t="s">
        <v>136</v>
      </c>
      <c r="H10" s="5">
        <v>6</v>
      </c>
      <c r="I10" s="1" t="s">
        <v>113</v>
      </c>
      <c r="J10" s="19">
        <v>6</v>
      </c>
      <c r="K10" s="1" t="s">
        <v>12</v>
      </c>
      <c r="L10" s="5"/>
      <c r="M10" s="6"/>
      <c r="N10" s="5"/>
      <c r="O10" s="6"/>
      <c r="P10" s="5">
        <v>6</v>
      </c>
      <c r="Q10" s="1" t="s">
        <v>21</v>
      </c>
      <c r="R10" s="50">
        <v>6</v>
      </c>
      <c r="S10" s="51" t="s">
        <v>31</v>
      </c>
      <c r="T10" s="50"/>
      <c r="U10" s="51"/>
      <c r="V10" s="50">
        <v>6</v>
      </c>
      <c r="W10" s="51" t="s">
        <v>50</v>
      </c>
      <c r="X10" s="50">
        <v>6</v>
      </c>
      <c r="Y10" s="51" t="s">
        <v>60</v>
      </c>
      <c r="Z10" s="50">
        <v>6</v>
      </c>
      <c r="AA10" s="51" t="s">
        <v>74</v>
      </c>
      <c r="AB10" s="50">
        <v>6</v>
      </c>
      <c r="AC10" s="51" t="s">
        <v>80</v>
      </c>
      <c r="AD10" s="50"/>
      <c r="AE10" s="51"/>
      <c r="AF10" s="50"/>
      <c r="AG10" s="51"/>
    </row>
    <row r="11" spans="1:33" x14ac:dyDescent="0.3">
      <c r="A11" s="4">
        <f t="shared" si="0"/>
        <v>7</v>
      </c>
      <c r="B11" s="5">
        <f t="shared" si="0"/>
        <v>7</v>
      </c>
      <c r="C11" s="17" t="s">
        <v>91</v>
      </c>
      <c r="D11" s="5">
        <v>7</v>
      </c>
      <c r="E11" s="1" t="s">
        <v>127</v>
      </c>
      <c r="F11" s="17"/>
      <c r="G11" s="17" t="s">
        <v>137</v>
      </c>
      <c r="H11" s="5">
        <v>7</v>
      </c>
      <c r="I11" s="1" t="s">
        <v>114</v>
      </c>
      <c r="J11" s="19">
        <v>7</v>
      </c>
      <c r="K11" s="1" t="s">
        <v>13</v>
      </c>
      <c r="L11" s="5"/>
      <c r="M11" s="6"/>
      <c r="N11" s="5"/>
      <c r="O11" s="6"/>
      <c r="P11" s="5">
        <v>7</v>
      </c>
      <c r="Q11" s="1" t="s">
        <v>22</v>
      </c>
      <c r="R11" s="50">
        <v>7</v>
      </c>
      <c r="S11" s="51" t="s">
        <v>32</v>
      </c>
      <c r="T11" s="50"/>
      <c r="U11" s="51"/>
      <c r="V11" s="50">
        <v>7</v>
      </c>
      <c r="W11" s="51" t="s">
        <v>51</v>
      </c>
      <c r="X11" s="50">
        <v>7</v>
      </c>
      <c r="Y11" s="51" t="s">
        <v>61</v>
      </c>
      <c r="Z11" s="50">
        <v>7</v>
      </c>
      <c r="AA11" s="51" t="s">
        <v>62</v>
      </c>
      <c r="AB11" s="50">
        <v>7</v>
      </c>
      <c r="AC11" s="51" t="s">
        <v>81</v>
      </c>
      <c r="AD11" s="50"/>
      <c r="AE11" s="51"/>
      <c r="AF11" s="50"/>
      <c r="AG11" s="51"/>
    </row>
    <row r="12" spans="1:33" x14ac:dyDescent="0.3">
      <c r="A12" s="4">
        <f t="shared" si="0"/>
        <v>8</v>
      </c>
      <c r="B12" s="5">
        <f t="shared" si="0"/>
        <v>8</v>
      </c>
      <c r="C12" s="17" t="s">
        <v>89</v>
      </c>
      <c r="D12" s="5">
        <v>8</v>
      </c>
      <c r="E12" s="1" t="s">
        <v>128</v>
      </c>
      <c r="F12" s="17"/>
      <c r="G12" s="17" t="s">
        <v>138</v>
      </c>
      <c r="H12" s="5">
        <v>8</v>
      </c>
      <c r="I12" s="1" t="s">
        <v>115</v>
      </c>
      <c r="J12" s="19">
        <v>8</v>
      </c>
      <c r="K12" s="1" t="s">
        <v>14</v>
      </c>
      <c r="L12" s="5"/>
      <c r="M12" s="6"/>
      <c r="N12" s="5"/>
      <c r="O12" s="6"/>
      <c r="P12" s="5">
        <v>8</v>
      </c>
      <c r="Q12" s="1" t="s">
        <v>23</v>
      </c>
      <c r="R12" s="50">
        <v>8</v>
      </c>
      <c r="S12" s="51" t="s">
        <v>33</v>
      </c>
      <c r="T12" s="50"/>
      <c r="U12" s="51"/>
      <c r="V12" s="50">
        <v>8</v>
      </c>
      <c r="W12" s="51" t="s">
        <v>52</v>
      </c>
      <c r="X12" s="50">
        <v>8</v>
      </c>
      <c r="Y12" s="51" t="s">
        <v>62</v>
      </c>
      <c r="Z12" s="50"/>
      <c r="AA12" s="51"/>
      <c r="AB12" s="50"/>
      <c r="AC12" s="51"/>
      <c r="AD12" s="50"/>
      <c r="AE12" s="51"/>
      <c r="AF12" s="50"/>
      <c r="AG12" s="51"/>
    </row>
    <row r="13" spans="1:33" x14ac:dyDescent="0.3">
      <c r="A13" s="4">
        <f t="shared" si="0"/>
        <v>9</v>
      </c>
      <c r="B13" s="5">
        <f t="shared" si="0"/>
        <v>9</v>
      </c>
      <c r="C13" s="17" t="s">
        <v>92</v>
      </c>
      <c r="D13" s="5">
        <v>9</v>
      </c>
      <c r="E13" s="1" t="s">
        <v>129</v>
      </c>
      <c r="F13" s="17"/>
      <c r="G13" s="17"/>
      <c r="H13" s="5">
        <v>9</v>
      </c>
      <c r="I13" s="1" t="s">
        <v>116</v>
      </c>
      <c r="J13" s="19">
        <v>9</v>
      </c>
      <c r="K13" s="1" t="s">
        <v>15</v>
      </c>
      <c r="L13" s="5"/>
      <c r="M13" s="6"/>
      <c r="N13" s="5"/>
      <c r="O13" s="6"/>
      <c r="P13" s="5">
        <v>9</v>
      </c>
      <c r="Q13" s="1" t="s">
        <v>24</v>
      </c>
      <c r="R13" s="50">
        <v>9</v>
      </c>
      <c r="S13" s="51" t="s">
        <v>34</v>
      </c>
      <c r="T13" s="50"/>
      <c r="U13" s="51"/>
      <c r="V13" s="50">
        <v>9</v>
      </c>
      <c r="W13" s="51" t="s">
        <v>53</v>
      </c>
      <c r="X13" s="50">
        <v>9</v>
      </c>
      <c r="Y13" s="51" t="s">
        <v>63</v>
      </c>
      <c r="Z13" s="50"/>
      <c r="AA13" s="51"/>
      <c r="AB13" s="50"/>
      <c r="AC13" s="51"/>
      <c r="AD13" s="50"/>
      <c r="AE13" s="51"/>
      <c r="AF13" s="50"/>
      <c r="AG13" s="51"/>
    </row>
    <row r="14" spans="1:33" x14ac:dyDescent="0.3">
      <c r="A14" s="4">
        <f t="shared" si="0"/>
        <v>10</v>
      </c>
      <c r="B14" s="5">
        <f t="shared" si="0"/>
        <v>10</v>
      </c>
      <c r="C14" s="17" t="s">
        <v>93</v>
      </c>
      <c r="D14" s="5">
        <v>10</v>
      </c>
      <c r="E14" s="1" t="s">
        <v>130</v>
      </c>
      <c r="F14" s="17"/>
      <c r="G14" s="17"/>
      <c r="H14" s="5">
        <v>10</v>
      </c>
      <c r="I14" s="1" t="s">
        <v>117</v>
      </c>
      <c r="J14" s="19">
        <v>10</v>
      </c>
      <c r="K14" s="1" t="s">
        <v>101</v>
      </c>
      <c r="L14" s="5"/>
      <c r="M14" s="6"/>
      <c r="N14" s="5"/>
      <c r="O14" s="6"/>
      <c r="P14" s="5"/>
      <c r="Q14" s="1"/>
      <c r="R14" s="50">
        <v>10</v>
      </c>
      <c r="S14" s="51" t="s">
        <v>35</v>
      </c>
      <c r="T14" s="50"/>
      <c r="U14" s="51"/>
      <c r="V14" s="50">
        <v>10</v>
      </c>
      <c r="W14" s="51" t="s">
        <v>54</v>
      </c>
      <c r="X14" s="50"/>
      <c r="Y14" s="51"/>
      <c r="Z14" s="50"/>
      <c r="AA14" s="51"/>
      <c r="AB14" s="50"/>
      <c r="AC14" s="51"/>
      <c r="AD14" s="50"/>
      <c r="AE14" s="51"/>
      <c r="AF14" s="50"/>
      <c r="AG14" s="51"/>
    </row>
    <row r="15" spans="1:33" x14ac:dyDescent="0.3">
      <c r="A15" s="4">
        <f t="shared" si="0"/>
        <v>11</v>
      </c>
      <c r="B15" s="5">
        <f t="shared" si="0"/>
        <v>11</v>
      </c>
      <c r="C15" s="17" t="s">
        <v>94</v>
      </c>
      <c r="D15" s="5"/>
      <c r="E15" s="1"/>
      <c r="F15" s="17"/>
      <c r="G15" s="17"/>
      <c r="H15" s="5">
        <v>11</v>
      </c>
      <c r="I15" s="1" t="s">
        <v>118</v>
      </c>
      <c r="J15" s="20" t="s">
        <v>106</v>
      </c>
      <c r="K15" s="1" t="s">
        <v>102</v>
      </c>
      <c r="L15" s="5"/>
      <c r="M15" s="6"/>
      <c r="N15" s="5"/>
      <c r="O15" s="6"/>
      <c r="P15" s="5"/>
      <c r="Q15" s="1"/>
      <c r="R15" s="50">
        <v>11</v>
      </c>
      <c r="S15" s="51" t="s">
        <v>36</v>
      </c>
      <c r="T15" s="50"/>
      <c r="U15" s="51"/>
      <c r="V15" s="50"/>
      <c r="W15" s="51"/>
      <c r="X15" s="50"/>
      <c r="Y15" s="51"/>
      <c r="Z15" s="50"/>
      <c r="AA15" s="51"/>
      <c r="AB15" s="50"/>
      <c r="AC15" s="51"/>
      <c r="AD15" s="50"/>
      <c r="AE15" s="51"/>
      <c r="AF15" s="50"/>
      <c r="AG15" s="51"/>
    </row>
    <row r="16" spans="1:33" x14ac:dyDescent="0.3">
      <c r="A16" s="4">
        <f t="shared" si="0"/>
        <v>12</v>
      </c>
      <c r="B16" s="5">
        <f t="shared" si="0"/>
        <v>12</v>
      </c>
      <c r="C16" s="17" t="s">
        <v>95</v>
      </c>
      <c r="D16" s="5"/>
      <c r="E16" s="1"/>
      <c r="F16" s="17"/>
      <c r="G16" s="22"/>
      <c r="H16" s="5">
        <v>12</v>
      </c>
      <c r="I16" s="1" t="s">
        <v>119</v>
      </c>
      <c r="J16" s="20" t="s">
        <v>107</v>
      </c>
      <c r="K16" s="1" t="s">
        <v>103</v>
      </c>
      <c r="L16" s="5"/>
      <c r="M16" s="6"/>
      <c r="N16" s="5"/>
      <c r="O16" s="6"/>
      <c r="P16" s="5"/>
      <c r="Q16" s="1"/>
      <c r="R16" s="50">
        <v>12</v>
      </c>
      <c r="S16" s="51" t="s">
        <v>37</v>
      </c>
      <c r="T16" s="50"/>
      <c r="U16" s="51"/>
      <c r="V16" s="50"/>
      <c r="W16" s="51"/>
      <c r="X16" s="50"/>
      <c r="Y16" s="51"/>
      <c r="Z16" s="50"/>
      <c r="AA16" s="51"/>
      <c r="AB16" s="50"/>
      <c r="AC16" s="51"/>
      <c r="AD16" s="50"/>
      <c r="AE16" s="51"/>
      <c r="AF16" s="50"/>
      <c r="AG16" s="51"/>
    </row>
    <row r="17" spans="1:33" x14ac:dyDescent="0.3">
      <c r="A17" s="4">
        <f t="shared" si="0"/>
        <v>13</v>
      </c>
      <c r="B17" s="5">
        <f t="shared" si="0"/>
        <v>13</v>
      </c>
      <c r="C17" s="17" t="s">
        <v>96</v>
      </c>
      <c r="D17" s="5"/>
      <c r="E17" s="1"/>
      <c r="F17" s="17"/>
      <c r="G17" s="17"/>
      <c r="H17" s="5">
        <v>13</v>
      </c>
      <c r="I17" s="1" t="s">
        <v>120</v>
      </c>
      <c r="J17" s="19"/>
      <c r="K17" s="1"/>
      <c r="L17" s="5"/>
      <c r="M17" s="6"/>
      <c r="N17" s="5"/>
      <c r="O17" s="6"/>
      <c r="P17" s="5"/>
      <c r="Q17" s="1"/>
      <c r="R17" s="50">
        <v>13</v>
      </c>
      <c r="S17" s="51" t="s">
        <v>38</v>
      </c>
      <c r="T17" s="50"/>
      <c r="U17" s="51"/>
      <c r="V17" s="50"/>
      <c r="W17" s="51"/>
      <c r="X17" s="50"/>
      <c r="Y17" s="51"/>
      <c r="Z17" s="50"/>
      <c r="AA17" s="51"/>
      <c r="AB17" s="50"/>
      <c r="AC17" s="51"/>
      <c r="AD17" s="50"/>
      <c r="AE17" s="51"/>
      <c r="AF17" s="50"/>
      <c r="AG17" s="51"/>
    </row>
    <row r="18" spans="1:33" x14ac:dyDescent="0.3">
      <c r="A18" s="4">
        <f t="shared" si="0"/>
        <v>14</v>
      </c>
      <c r="B18" s="5">
        <f t="shared" si="0"/>
        <v>14</v>
      </c>
      <c r="C18" s="17" t="s">
        <v>97</v>
      </c>
      <c r="D18" s="17"/>
      <c r="E18" s="1"/>
      <c r="F18" s="17"/>
      <c r="G18" s="23"/>
      <c r="H18" s="5">
        <v>14</v>
      </c>
      <c r="I18" s="1" t="s">
        <v>121</v>
      </c>
      <c r="J18" s="19"/>
      <c r="K18" s="1"/>
      <c r="L18" s="5"/>
      <c r="M18" s="6"/>
      <c r="N18" s="5"/>
      <c r="O18" s="6"/>
      <c r="P18" s="5"/>
      <c r="Q18" s="1"/>
      <c r="R18" s="50">
        <v>14</v>
      </c>
      <c r="S18" s="51" t="s">
        <v>39</v>
      </c>
      <c r="T18" s="50"/>
      <c r="U18" s="51"/>
      <c r="V18" s="50"/>
      <c r="W18" s="51"/>
      <c r="X18" s="50"/>
      <c r="Y18" s="51"/>
      <c r="Z18" s="50"/>
      <c r="AA18" s="51"/>
      <c r="AB18" s="50"/>
      <c r="AC18" s="51"/>
      <c r="AD18" s="50"/>
      <c r="AE18" s="51"/>
      <c r="AF18" s="50"/>
      <c r="AG18" s="51"/>
    </row>
    <row r="19" spans="1:33" x14ac:dyDescent="0.3">
      <c r="A19" s="4">
        <f t="shared" si="0"/>
        <v>15</v>
      </c>
      <c r="B19" s="5">
        <f t="shared" si="0"/>
        <v>15</v>
      </c>
      <c r="C19" s="17" t="s">
        <v>98</v>
      </c>
      <c r="D19" s="5"/>
      <c r="E19" s="1"/>
      <c r="F19" s="17"/>
      <c r="G19" s="17"/>
      <c r="H19" s="5"/>
      <c r="I19" s="1"/>
      <c r="J19" s="19"/>
      <c r="K19" s="1"/>
      <c r="L19" s="5"/>
      <c r="M19" s="6"/>
      <c r="N19" s="5"/>
      <c r="O19" s="6"/>
      <c r="P19" s="5"/>
      <c r="Q19" s="1"/>
      <c r="R19" s="50">
        <v>15</v>
      </c>
      <c r="S19" s="51" t="s">
        <v>41</v>
      </c>
      <c r="T19" s="50"/>
      <c r="U19" s="51"/>
      <c r="V19" s="50"/>
      <c r="W19" s="51"/>
      <c r="X19" s="50"/>
      <c r="Y19" s="51"/>
      <c r="Z19" s="50"/>
      <c r="AA19" s="51"/>
      <c r="AB19" s="50"/>
      <c r="AC19" s="51"/>
      <c r="AD19" s="50"/>
      <c r="AE19" s="51"/>
      <c r="AF19" s="50"/>
      <c r="AG19" s="51"/>
    </row>
    <row r="20" spans="1:33" x14ac:dyDescent="0.3">
      <c r="A20" s="4">
        <f t="shared" si="0"/>
        <v>16</v>
      </c>
      <c r="B20" s="5">
        <f t="shared" si="0"/>
        <v>16</v>
      </c>
      <c r="C20" s="17" t="s">
        <v>99</v>
      </c>
      <c r="D20" s="5"/>
      <c r="E20" s="1"/>
      <c r="F20" s="17"/>
      <c r="G20" s="17"/>
      <c r="H20" s="5"/>
      <c r="I20" s="1"/>
      <c r="J20" s="19"/>
      <c r="K20" s="1"/>
      <c r="L20" s="5"/>
      <c r="M20" s="6"/>
      <c r="N20" s="5"/>
      <c r="O20" s="6"/>
      <c r="P20" s="5"/>
      <c r="Q20" s="1"/>
      <c r="R20" s="50">
        <v>16</v>
      </c>
      <c r="S20" s="51" t="s">
        <v>40</v>
      </c>
      <c r="T20" s="50"/>
      <c r="U20" s="51"/>
      <c r="V20" s="50"/>
      <c r="W20" s="51"/>
      <c r="X20" s="50"/>
      <c r="Y20" s="51"/>
      <c r="Z20" s="50"/>
      <c r="AA20" s="51"/>
      <c r="AB20" s="50"/>
      <c r="AC20" s="51"/>
      <c r="AD20" s="50"/>
      <c r="AE20" s="51"/>
      <c r="AF20" s="50"/>
      <c r="AG20" s="51"/>
    </row>
    <row r="21" spans="1:33" x14ac:dyDescent="0.3">
      <c r="A21" s="4">
        <f t="shared" si="0"/>
        <v>17</v>
      </c>
      <c r="B21" s="5">
        <f t="shared" si="0"/>
        <v>17</v>
      </c>
      <c r="C21" s="17" t="s">
        <v>63</v>
      </c>
      <c r="D21" s="5"/>
      <c r="E21" s="1"/>
      <c r="F21" s="17"/>
      <c r="G21" s="17"/>
      <c r="H21" s="5"/>
      <c r="I21" s="1"/>
      <c r="J21" s="19"/>
      <c r="K21" s="1"/>
      <c r="L21" s="5"/>
      <c r="M21" s="6"/>
      <c r="N21" s="5"/>
      <c r="O21" s="6"/>
      <c r="P21" s="5"/>
      <c r="Q21" s="1"/>
      <c r="R21" s="50"/>
      <c r="S21" s="51"/>
      <c r="T21" s="50"/>
      <c r="U21" s="51"/>
      <c r="V21" s="50"/>
      <c r="W21" s="51"/>
      <c r="X21" s="50"/>
      <c r="Y21" s="51"/>
      <c r="Z21" s="50"/>
      <c r="AA21" s="51"/>
      <c r="AB21" s="50"/>
      <c r="AC21" s="51"/>
      <c r="AD21" s="50"/>
      <c r="AE21" s="51"/>
      <c r="AF21" s="50"/>
      <c r="AG21" s="51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/>
      <c r="K22" s="1"/>
      <c r="L22" s="5"/>
      <c r="M22" s="6"/>
      <c r="N22" s="5"/>
      <c r="O22" s="6"/>
      <c r="P22" s="5"/>
      <c r="Q22" s="1"/>
      <c r="R22" s="50"/>
      <c r="S22" s="51"/>
      <c r="T22" s="50"/>
      <c r="U22" s="51"/>
      <c r="V22" s="50"/>
      <c r="W22" s="51"/>
      <c r="X22" s="50"/>
      <c r="Y22" s="51"/>
      <c r="Z22" s="50"/>
      <c r="AA22" s="51"/>
      <c r="AB22" s="50"/>
      <c r="AC22" s="51"/>
      <c r="AD22" s="50"/>
      <c r="AE22" s="51"/>
      <c r="AF22" s="50"/>
      <c r="AG22" s="51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/>
      <c r="K23" s="1"/>
      <c r="L23" s="5"/>
      <c r="M23" s="6"/>
      <c r="N23" s="5"/>
      <c r="O23" s="6"/>
      <c r="P23" s="5"/>
      <c r="Q23" s="1"/>
      <c r="R23" s="50"/>
      <c r="S23" s="51"/>
      <c r="T23" s="50"/>
      <c r="U23" s="51"/>
      <c r="V23" s="50"/>
      <c r="W23" s="51"/>
      <c r="X23" s="50"/>
      <c r="Y23" s="51"/>
      <c r="Z23" s="50"/>
      <c r="AA23" s="51"/>
      <c r="AB23" s="50"/>
      <c r="AC23" s="51"/>
      <c r="AD23" s="50"/>
      <c r="AE23" s="51"/>
      <c r="AF23" s="50"/>
      <c r="AG23" s="51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/>
      <c r="K24" s="1"/>
      <c r="L24" s="5"/>
      <c r="M24" s="6"/>
      <c r="N24" s="5"/>
      <c r="O24" s="6"/>
      <c r="P24" s="5"/>
      <c r="Q24" s="1"/>
      <c r="R24" s="50"/>
      <c r="S24" s="51"/>
      <c r="T24" s="50"/>
      <c r="U24" s="51"/>
      <c r="V24" s="50"/>
      <c r="W24" s="51"/>
      <c r="X24" s="50"/>
      <c r="Y24" s="51"/>
      <c r="Z24" s="50"/>
      <c r="AA24" s="51"/>
      <c r="AB24" s="50"/>
      <c r="AC24" s="51"/>
      <c r="AD24" s="50"/>
      <c r="AE24" s="51"/>
      <c r="AF24" s="50"/>
      <c r="AG24" s="51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20"/>
      <c r="K25" s="1"/>
      <c r="L25" s="7"/>
      <c r="M25" s="6"/>
      <c r="N25" s="7"/>
      <c r="O25" s="6"/>
      <c r="P25" s="8"/>
      <c r="Q25" s="1"/>
      <c r="R25" s="52"/>
      <c r="S25" s="51"/>
      <c r="T25" s="52"/>
      <c r="U25" s="51"/>
      <c r="V25" s="52"/>
      <c r="W25" s="51"/>
      <c r="X25" s="52"/>
      <c r="Y25" s="51"/>
      <c r="Z25" s="52"/>
      <c r="AA25" s="51"/>
      <c r="AB25" s="52"/>
      <c r="AC25" s="51"/>
      <c r="AD25" s="52"/>
      <c r="AE25" s="51"/>
      <c r="AF25" s="52"/>
      <c r="AG25" s="51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20"/>
      <c r="K26" s="1"/>
      <c r="L26" s="7"/>
      <c r="M26" s="9"/>
      <c r="N26" s="7"/>
      <c r="O26" s="9"/>
      <c r="P26" s="10"/>
      <c r="Q26" s="1"/>
      <c r="R26" s="53"/>
      <c r="S26" s="51"/>
      <c r="T26" s="53"/>
      <c r="U26" s="51"/>
      <c r="V26" s="53"/>
      <c r="W26" s="51"/>
      <c r="X26" s="53"/>
      <c r="Y26" s="51"/>
      <c r="Z26" s="53"/>
      <c r="AA26" s="51"/>
      <c r="AB26" s="53"/>
      <c r="AC26" s="51"/>
      <c r="AD26" s="53"/>
      <c r="AE26" s="51"/>
      <c r="AF26" s="53"/>
      <c r="AG26" s="51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53"/>
      <c r="S27" s="51"/>
      <c r="T27" s="53"/>
      <c r="U27" s="51"/>
      <c r="V27" s="53"/>
      <c r="W27" s="51"/>
      <c r="X27" s="53"/>
      <c r="Y27" s="51"/>
      <c r="Z27" s="53"/>
      <c r="AA27" s="51"/>
      <c r="AB27" s="53"/>
      <c r="AC27" s="51"/>
      <c r="AD27" s="53"/>
      <c r="AE27" s="51"/>
      <c r="AF27" s="53"/>
      <c r="AG27" s="51"/>
    </row>
    <row r="28" spans="1:33" x14ac:dyDescent="0.3">
      <c r="A28" s="4"/>
      <c r="B28" s="5"/>
      <c r="C28" s="11"/>
      <c r="D28" s="11"/>
      <c r="E28" s="24"/>
      <c r="F28" s="25"/>
      <c r="G28" s="25"/>
      <c r="H28" s="24"/>
      <c r="I28" s="24"/>
      <c r="J28" s="20"/>
      <c r="K28" s="11"/>
      <c r="L28" s="10"/>
      <c r="M28" s="6"/>
      <c r="N28" s="10"/>
      <c r="O28" s="6"/>
      <c r="P28" s="8"/>
      <c r="Q28" s="11"/>
      <c r="R28" s="52"/>
      <c r="S28" s="54"/>
      <c r="T28" s="52"/>
      <c r="U28" s="54"/>
      <c r="V28" s="52"/>
      <c r="W28" s="54"/>
      <c r="X28" s="52"/>
      <c r="Y28" s="54"/>
      <c r="Z28" s="52"/>
      <c r="AA28" s="54"/>
      <c r="AB28" s="52"/>
      <c r="AC28" s="54"/>
      <c r="AD28" s="52"/>
      <c r="AE28" s="54"/>
      <c r="AF28" s="52"/>
      <c r="AG28" s="54"/>
    </row>
    <row r="29" spans="1:33" ht="17.25" thickBot="1" x14ac:dyDescent="0.35">
      <c r="A29" s="12"/>
      <c r="B29" s="13"/>
      <c r="C29" s="14"/>
      <c r="D29" s="14"/>
      <c r="E29" s="26"/>
      <c r="F29" s="26"/>
      <c r="G29" s="26"/>
      <c r="H29" s="26"/>
      <c r="I29" s="26"/>
      <c r="J29" s="21"/>
      <c r="K29" s="14"/>
      <c r="L29" s="15"/>
      <c r="M29" s="16"/>
      <c r="N29" s="15"/>
      <c r="O29" s="16"/>
      <c r="P29" s="15"/>
      <c r="Q29" s="14"/>
      <c r="R29" s="55"/>
      <c r="S29" s="56"/>
      <c r="T29" s="55"/>
      <c r="U29" s="56"/>
      <c r="V29" s="55"/>
      <c r="W29" s="56"/>
      <c r="X29" s="55"/>
      <c r="Y29" s="56"/>
      <c r="Z29" s="55"/>
      <c r="AA29" s="56"/>
      <c r="AB29" s="55"/>
      <c r="AC29" s="56"/>
      <c r="AD29" s="55"/>
      <c r="AE29" s="56"/>
      <c r="AF29" s="55"/>
      <c r="AG29" s="56"/>
    </row>
    <row r="30" spans="1:33" x14ac:dyDescent="0.3">
      <c r="M30" s="2"/>
      <c r="O30" s="2"/>
      <c r="P30" s="2"/>
      <c r="R30" s="2"/>
      <c r="T30" s="2"/>
      <c r="V30" s="2"/>
      <c r="X30" s="2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8">
    <mergeCell ref="A2:A4"/>
    <mergeCell ref="L2:M4"/>
    <mergeCell ref="P2:Q4"/>
    <mergeCell ref="B2:C4"/>
    <mergeCell ref="F2:G4"/>
    <mergeCell ref="D2:E4"/>
    <mergeCell ref="H2:I4"/>
    <mergeCell ref="J2:K4"/>
    <mergeCell ref="N2:O4"/>
    <mergeCell ref="R2:AG2"/>
    <mergeCell ref="R3:S4"/>
    <mergeCell ref="T3:U4"/>
    <mergeCell ref="V3:W4"/>
    <mergeCell ref="X3:Y4"/>
    <mergeCell ref="Z3:AA4"/>
    <mergeCell ref="AB3:AC4"/>
    <mergeCell ref="AD3:AE4"/>
    <mergeCell ref="AF3:AG4"/>
  </mergeCells>
  <phoneticPr fontId="2" type="noConversion"/>
  <pageMargins left="0.7" right="0.7" top="0.75" bottom="0.75" header="0.3" footer="0.3"/>
  <pageSetup paperSize="9" orientation="portrait" r:id="rId1"/>
  <ignoredErrors>
    <ignoredError sqref="H29:I29 H22:I22 H23:I2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153"/>
  <sheetViews>
    <sheetView tabSelected="1" zoomScale="90" zoomScaleNormal="90" workbookViewId="0">
      <pane xSplit="5" ySplit="5" topLeftCell="X6" activePane="bottomRight" state="frozenSplit"/>
      <selection pane="topRight" activeCell="F1" sqref="F1"/>
      <selection pane="bottomLeft" activeCell="A6" sqref="A6"/>
      <selection pane="bottomRight" activeCell="D14" sqref="D1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57" bestFit="1" customWidth="1"/>
    <col min="4" max="4" width="12.625" style="2" customWidth="1"/>
    <col min="5" max="5" width="10.375" style="57" customWidth="1"/>
    <col min="6" max="6" width="17.75" style="2" customWidth="1"/>
    <col min="7" max="8" width="8.75" style="2" customWidth="1"/>
    <col min="9" max="9" width="8.75" style="18" customWidth="1"/>
    <col min="10" max="11" width="8.75" style="2" customWidth="1"/>
    <col min="12" max="12" width="15.75" style="3" customWidth="1"/>
    <col min="13" max="13" width="8.75" style="2" customWidth="1"/>
    <col min="14" max="14" width="17.625" style="3" customWidth="1"/>
    <col min="15" max="15" width="8.75" style="3" customWidth="1"/>
    <col min="16" max="16" width="8.75" style="2" customWidth="1"/>
    <col min="17" max="17" width="8.75" style="3" customWidth="1"/>
    <col min="18" max="18" width="8.75" style="2" customWidth="1"/>
    <col min="19" max="19" width="8.75" style="3" customWidth="1"/>
    <col min="20" max="20" width="8.75" style="2" customWidth="1"/>
    <col min="21" max="21" width="8.75" style="3" customWidth="1"/>
    <col min="22" max="22" width="8.75" style="2" customWidth="1"/>
    <col min="23" max="23" width="8.75" style="3" customWidth="1"/>
    <col min="24" max="41" width="8.75" style="2" customWidth="1"/>
    <col min="42" max="52" width="24" style="2" customWidth="1"/>
    <col min="53" max="54" width="24" style="2" bestFit="1" customWidth="1"/>
    <col min="55" max="68" width="24" style="2" customWidth="1"/>
    <col min="69" max="70" width="24" style="2" bestFit="1" customWidth="1"/>
    <col min="71" max="71" width="15.875" style="2" bestFit="1" customWidth="1"/>
    <col min="72" max="72" width="20.125" style="2" bestFit="1" customWidth="1"/>
    <col min="73" max="16384" width="9" style="2"/>
  </cols>
  <sheetData>
    <row r="1" spans="1:40" ht="17.25" thickBot="1" x14ac:dyDescent="0.35">
      <c r="H1" s="77" t="s">
        <v>0</v>
      </c>
      <c r="I1" s="92" t="s">
        <v>1</v>
      </c>
      <c r="J1" s="87"/>
      <c r="K1" s="92" t="s">
        <v>2</v>
      </c>
      <c r="L1" s="87"/>
      <c r="M1" s="92" t="s">
        <v>141</v>
      </c>
      <c r="N1" s="87"/>
      <c r="O1" s="28" t="s">
        <v>3</v>
      </c>
      <c r="P1" s="29"/>
      <c r="Q1" s="28" t="s">
        <v>4</v>
      </c>
      <c r="R1" s="29"/>
      <c r="S1" s="32" t="s">
        <v>5</v>
      </c>
      <c r="T1" s="33"/>
      <c r="U1" s="32" t="s">
        <v>82</v>
      </c>
      <c r="V1" s="33"/>
      <c r="W1" s="36" t="s">
        <v>16</v>
      </c>
      <c r="X1" s="29"/>
      <c r="Y1" s="43" t="s">
        <v>142</v>
      </c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5"/>
    </row>
    <row r="2" spans="1:40" ht="17.25" thickBot="1" x14ac:dyDescent="0.35">
      <c r="A2" s="2">
        <v>1</v>
      </c>
      <c r="B2" s="2" t="s">
        <v>151</v>
      </c>
      <c r="C2" s="58" t="s">
        <v>212</v>
      </c>
      <c r="H2" s="78"/>
      <c r="I2" s="93"/>
      <c r="J2" s="89"/>
      <c r="K2" s="93"/>
      <c r="L2" s="89"/>
      <c r="M2" s="93"/>
      <c r="N2" s="89"/>
      <c r="O2" s="38"/>
      <c r="P2" s="39"/>
      <c r="Q2" s="38"/>
      <c r="R2" s="39"/>
      <c r="S2" s="40"/>
      <c r="T2" s="41"/>
      <c r="U2" s="40"/>
      <c r="V2" s="41"/>
      <c r="W2" s="42"/>
      <c r="X2" s="39"/>
      <c r="Y2" s="46" t="s">
        <v>17</v>
      </c>
      <c r="Z2" s="47"/>
      <c r="AA2" s="46" t="s">
        <v>144</v>
      </c>
      <c r="AB2" s="47"/>
      <c r="AC2" s="46" t="s">
        <v>145</v>
      </c>
      <c r="AD2" s="47"/>
      <c r="AE2" s="46" t="s">
        <v>146</v>
      </c>
      <c r="AF2" s="47"/>
      <c r="AG2" s="46" t="s">
        <v>147</v>
      </c>
      <c r="AH2" s="47"/>
      <c r="AI2" s="46" t="s">
        <v>148</v>
      </c>
      <c r="AJ2" s="47"/>
      <c r="AK2" s="46" t="s">
        <v>149</v>
      </c>
      <c r="AL2" s="47"/>
      <c r="AM2" s="46" t="s">
        <v>150</v>
      </c>
      <c r="AN2" s="47"/>
    </row>
    <row r="3" spans="1:40" ht="17.25" thickBot="1" x14ac:dyDescent="0.35">
      <c r="H3" s="79"/>
      <c r="I3" s="94"/>
      <c r="J3" s="91"/>
      <c r="K3" s="94"/>
      <c r="L3" s="91"/>
      <c r="M3" s="94"/>
      <c r="N3" s="91"/>
      <c r="O3" s="30"/>
      <c r="P3" s="31"/>
      <c r="Q3" s="30"/>
      <c r="R3" s="31"/>
      <c r="S3" s="34"/>
      <c r="T3" s="35"/>
      <c r="U3" s="34"/>
      <c r="V3" s="35"/>
      <c r="W3" s="37"/>
      <c r="X3" s="31"/>
      <c r="Y3" s="48"/>
      <c r="Z3" s="49"/>
      <c r="AA3" s="48"/>
      <c r="AB3" s="49"/>
      <c r="AC3" s="48"/>
      <c r="AD3" s="49"/>
      <c r="AE3" s="48"/>
      <c r="AF3" s="49"/>
      <c r="AG3" s="48"/>
      <c r="AH3" s="49"/>
      <c r="AI3" s="48"/>
      <c r="AJ3" s="49"/>
      <c r="AK3" s="48"/>
      <c r="AL3" s="49"/>
      <c r="AM3" s="48"/>
      <c r="AN3" s="49"/>
    </row>
    <row r="4" spans="1:40" ht="17.25" thickBot="1" x14ac:dyDescent="0.35">
      <c r="A4" s="2">
        <v>2</v>
      </c>
      <c r="B4" s="2" t="s">
        <v>152</v>
      </c>
      <c r="C4" s="58" t="s">
        <v>213</v>
      </c>
      <c r="H4" s="4">
        <v>1</v>
      </c>
      <c r="I4" s="5">
        <v>1</v>
      </c>
      <c r="J4" s="17" t="s">
        <v>86</v>
      </c>
      <c r="K4" s="5">
        <v>1</v>
      </c>
      <c r="L4" s="1" t="s">
        <v>139</v>
      </c>
      <c r="M4" s="17"/>
      <c r="N4" s="17" t="s">
        <v>131</v>
      </c>
      <c r="O4" s="5">
        <v>1</v>
      </c>
      <c r="P4" s="1" t="s">
        <v>122</v>
      </c>
      <c r="Q4" s="19">
        <v>1</v>
      </c>
      <c r="R4" s="1" t="s">
        <v>105</v>
      </c>
      <c r="S4" s="5">
        <v>1</v>
      </c>
      <c r="T4" s="6" t="s">
        <v>6</v>
      </c>
      <c r="U4" s="5">
        <v>1</v>
      </c>
      <c r="V4" s="6" t="s">
        <v>83</v>
      </c>
      <c r="W4" s="5">
        <v>1</v>
      </c>
      <c r="X4" s="1" t="s">
        <v>25</v>
      </c>
      <c r="Y4" s="50">
        <v>1</v>
      </c>
      <c r="Z4" s="51" t="s">
        <v>28</v>
      </c>
      <c r="AA4" s="50">
        <v>1</v>
      </c>
      <c r="AB4" s="51" t="s">
        <v>42</v>
      </c>
      <c r="AC4" s="50">
        <v>1</v>
      </c>
      <c r="AD4" s="51" t="s">
        <v>45</v>
      </c>
      <c r="AE4" s="50">
        <v>1</v>
      </c>
      <c r="AF4" s="51" t="s">
        <v>55</v>
      </c>
      <c r="AG4" s="50">
        <v>1</v>
      </c>
      <c r="AH4" s="51" t="s">
        <v>69</v>
      </c>
      <c r="AI4" s="50">
        <v>1</v>
      </c>
      <c r="AJ4" s="51" t="s">
        <v>75</v>
      </c>
      <c r="AK4" s="50">
        <v>1</v>
      </c>
      <c r="AL4" s="51" t="s">
        <v>64</v>
      </c>
      <c r="AM4" s="50">
        <v>1</v>
      </c>
      <c r="AN4" s="51" t="s">
        <v>67</v>
      </c>
    </row>
    <row r="5" spans="1:40" x14ac:dyDescent="0.3">
      <c r="H5" s="4">
        <f>+H4+1</f>
        <v>2</v>
      </c>
      <c r="I5" s="5">
        <f>+I4+1</f>
        <v>2</v>
      </c>
      <c r="J5" s="17" t="s">
        <v>87</v>
      </c>
      <c r="K5" s="5">
        <v>2</v>
      </c>
      <c r="L5" s="1" t="s">
        <v>140</v>
      </c>
      <c r="M5" s="17"/>
      <c r="N5" s="17" t="s">
        <v>132</v>
      </c>
      <c r="O5" s="5">
        <v>2</v>
      </c>
      <c r="P5" s="1" t="s">
        <v>109</v>
      </c>
      <c r="Q5" s="19">
        <v>2</v>
      </c>
      <c r="R5" s="1" t="s">
        <v>104</v>
      </c>
      <c r="S5" s="5">
        <v>2</v>
      </c>
      <c r="T5" s="6" t="s">
        <v>7</v>
      </c>
      <c r="U5" s="5">
        <v>2</v>
      </c>
      <c r="V5" s="6" t="s">
        <v>84</v>
      </c>
      <c r="W5" s="5">
        <v>2</v>
      </c>
      <c r="X5" s="1" t="s">
        <v>17</v>
      </c>
      <c r="Y5" s="50">
        <v>2</v>
      </c>
      <c r="Z5" s="51" t="s">
        <v>26</v>
      </c>
      <c r="AA5" s="50">
        <v>2</v>
      </c>
      <c r="AB5" s="51" t="s">
        <v>44</v>
      </c>
      <c r="AC5" s="50">
        <v>2</v>
      </c>
      <c r="AD5" s="51" t="s">
        <v>46</v>
      </c>
      <c r="AE5" s="50">
        <v>2</v>
      </c>
      <c r="AF5" s="51" t="s">
        <v>56</v>
      </c>
      <c r="AG5" s="50">
        <v>2</v>
      </c>
      <c r="AH5" s="51" t="s">
        <v>70</v>
      </c>
      <c r="AI5" s="50">
        <v>2</v>
      </c>
      <c r="AJ5" s="51" t="s">
        <v>76</v>
      </c>
      <c r="AK5" s="50">
        <v>2</v>
      </c>
      <c r="AL5" s="51" t="s">
        <v>65</v>
      </c>
      <c r="AM5" s="50">
        <v>2</v>
      </c>
      <c r="AN5" s="51" t="s">
        <v>68</v>
      </c>
    </row>
    <row r="6" spans="1:40" ht="17.25" thickBot="1" x14ac:dyDescent="0.35">
      <c r="A6" s="2">
        <v>3</v>
      </c>
      <c r="B6" s="2" t="s">
        <v>153</v>
      </c>
      <c r="C6" s="2" t="s">
        <v>154</v>
      </c>
      <c r="D6" s="57" t="s">
        <v>155</v>
      </c>
      <c r="H6" s="4">
        <f t="shared" ref="H6:I20" si="0">+H5+1</f>
        <v>3</v>
      </c>
      <c r="I6" s="5">
        <f t="shared" si="0"/>
        <v>3</v>
      </c>
      <c r="J6" s="17" t="s">
        <v>88</v>
      </c>
      <c r="K6" s="5">
        <v>3</v>
      </c>
      <c r="L6" s="1" t="s">
        <v>123</v>
      </c>
      <c r="M6" s="17"/>
      <c r="N6" s="17" t="s">
        <v>133</v>
      </c>
      <c r="O6" s="5">
        <v>3</v>
      </c>
      <c r="P6" s="1" t="s">
        <v>110</v>
      </c>
      <c r="Q6" s="19">
        <v>3</v>
      </c>
      <c r="R6" s="1" t="s">
        <v>9</v>
      </c>
      <c r="S6" s="5">
        <v>3</v>
      </c>
      <c r="T6" s="6" t="s">
        <v>8</v>
      </c>
      <c r="U6" s="5">
        <v>3</v>
      </c>
      <c r="V6" s="6" t="s">
        <v>85</v>
      </c>
      <c r="W6" s="5">
        <v>3</v>
      </c>
      <c r="X6" s="1" t="s">
        <v>18</v>
      </c>
      <c r="Y6" s="50">
        <v>3</v>
      </c>
      <c r="Z6" s="51" t="s">
        <v>27</v>
      </c>
      <c r="AA6" s="50">
        <v>3</v>
      </c>
      <c r="AB6" s="51" t="s">
        <v>43</v>
      </c>
      <c r="AC6" s="50">
        <v>3</v>
      </c>
      <c r="AD6" s="51" t="s">
        <v>47</v>
      </c>
      <c r="AE6" s="50">
        <v>3</v>
      </c>
      <c r="AF6" s="51" t="s">
        <v>57</v>
      </c>
      <c r="AG6" s="50">
        <v>3</v>
      </c>
      <c r="AH6" s="51" t="s">
        <v>73</v>
      </c>
      <c r="AI6" s="50">
        <v>3</v>
      </c>
      <c r="AJ6" s="51" t="s">
        <v>77</v>
      </c>
      <c r="AK6" s="50">
        <v>3</v>
      </c>
      <c r="AL6" s="51" t="s">
        <v>66</v>
      </c>
      <c r="AM6" s="50"/>
      <c r="AN6" s="51"/>
    </row>
    <row r="7" spans="1:40" ht="17.25" thickBot="1" x14ac:dyDescent="0.35">
      <c r="C7" s="59">
        <v>1000</v>
      </c>
      <c r="D7" s="58">
        <f>+C7/3.3058</f>
        <v>302.49863875612562</v>
      </c>
      <c r="H7" s="4">
        <f t="shared" si="0"/>
        <v>4</v>
      </c>
      <c r="I7" s="5">
        <f t="shared" si="0"/>
        <v>4</v>
      </c>
      <c r="J7" s="17" t="s">
        <v>108</v>
      </c>
      <c r="K7" s="5">
        <v>4</v>
      </c>
      <c r="L7" s="1" t="s">
        <v>124</v>
      </c>
      <c r="M7" s="17"/>
      <c r="N7" s="17" t="s">
        <v>134</v>
      </c>
      <c r="O7" s="5">
        <v>4</v>
      </c>
      <c r="P7" s="1" t="s">
        <v>111</v>
      </c>
      <c r="Q7" s="19">
        <v>4</v>
      </c>
      <c r="R7" s="1" t="s">
        <v>10</v>
      </c>
      <c r="S7" s="5"/>
      <c r="T7" s="6"/>
      <c r="U7" s="5"/>
      <c r="V7" s="6"/>
      <c r="W7" s="5">
        <v>4</v>
      </c>
      <c r="X7" s="1" t="s">
        <v>19</v>
      </c>
      <c r="Y7" s="50">
        <v>4</v>
      </c>
      <c r="Z7" s="51" t="s">
        <v>29</v>
      </c>
      <c r="AA7" s="50"/>
      <c r="AB7" s="51"/>
      <c r="AC7" s="50">
        <v>4</v>
      </c>
      <c r="AD7" s="51" t="s">
        <v>48</v>
      </c>
      <c r="AE7" s="50">
        <v>4</v>
      </c>
      <c r="AF7" s="51" t="s">
        <v>58</v>
      </c>
      <c r="AG7" s="50">
        <v>4</v>
      </c>
      <c r="AH7" s="51" t="s">
        <v>71</v>
      </c>
      <c r="AI7" s="50">
        <v>4</v>
      </c>
      <c r="AJ7" s="51" t="s">
        <v>78</v>
      </c>
      <c r="AK7" s="50">
        <v>4</v>
      </c>
      <c r="AL7" s="51" t="s">
        <v>63</v>
      </c>
      <c r="AM7" s="50"/>
      <c r="AN7" s="51"/>
    </row>
    <row r="8" spans="1:40" ht="17.25" thickBot="1" x14ac:dyDescent="0.35">
      <c r="H8" s="4">
        <f t="shared" si="0"/>
        <v>5</v>
      </c>
      <c r="I8" s="5">
        <f t="shared" si="0"/>
        <v>5</v>
      </c>
      <c r="J8" s="17" t="s">
        <v>100</v>
      </c>
      <c r="K8" s="5">
        <v>5</v>
      </c>
      <c r="L8" s="1" t="s">
        <v>125</v>
      </c>
      <c r="M8" s="17"/>
      <c r="N8" s="17" t="s">
        <v>135</v>
      </c>
      <c r="O8" s="5">
        <v>5</v>
      </c>
      <c r="P8" s="1" t="s">
        <v>112</v>
      </c>
      <c r="Q8" s="19">
        <v>5</v>
      </c>
      <c r="R8" s="1" t="s">
        <v>11</v>
      </c>
      <c r="S8" s="5"/>
      <c r="T8" s="6"/>
      <c r="U8" s="5"/>
      <c r="V8" s="6"/>
      <c r="W8" s="5">
        <v>5</v>
      </c>
      <c r="X8" s="1" t="s">
        <v>20</v>
      </c>
      <c r="Y8" s="50">
        <v>5</v>
      </c>
      <c r="Z8" s="51" t="s">
        <v>30</v>
      </c>
      <c r="AA8" s="50"/>
      <c r="AB8" s="51"/>
      <c r="AC8" s="50">
        <v>5</v>
      </c>
      <c r="AD8" s="51" t="s">
        <v>49</v>
      </c>
      <c r="AE8" s="50">
        <v>5</v>
      </c>
      <c r="AF8" s="51" t="s">
        <v>59</v>
      </c>
      <c r="AG8" s="50">
        <v>5</v>
      </c>
      <c r="AH8" s="51" t="s">
        <v>72</v>
      </c>
      <c r="AI8" s="50">
        <v>5</v>
      </c>
      <c r="AJ8" s="51" t="s">
        <v>79</v>
      </c>
      <c r="AK8" s="50"/>
      <c r="AL8" s="51"/>
      <c r="AM8" s="50"/>
      <c r="AN8" s="51"/>
    </row>
    <row r="9" spans="1:40" ht="17.25" thickBot="1" x14ac:dyDescent="0.35">
      <c r="A9" s="2">
        <v>4</v>
      </c>
      <c r="B9" s="2" t="s">
        <v>156</v>
      </c>
      <c r="C9" s="58" t="s">
        <v>214</v>
      </c>
      <c r="H9" s="4">
        <f t="shared" si="0"/>
        <v>6</v>
      </c>
      <c r="I9" s="5">
        <f t="shared" si="0"/>
        <v>6</v>
      </c>
      <c r="J9" s="17" t="s">
        <v>90</v>
      </c>
      <c r="K9" s="5">
        <v>6</v>
      </c>
      <c r="L9" s="1" t="s">
        <v>126</v>
      </c>
      <c r="M9" s="17"/>
      <c r="N9" s="17" t="s">
        <v>136</v>
      </c>
      <c r="O9" s="5">
        <v>6</v>
      </c>
      <c r="P9" s="1" t="s">
        <v>113</v>
      </c>
      <c r="Q9" s="19">
        <v>6</v>
      </c>
      <c r="R9" s="1" t="s">
        <v>12</v>
      </c>
      <c r="S9" s="5"/>
      <c r="T9" s="6"/>
      <c r="U9" s="5"/>
      <c r="V9" s="6"/>
      <c r="W9" s="5">
        <v>6</v>
      </c>
      <c r="X9" s="1" t="s">
        <v>21</v>
      </c>
      <c r="Y9" s="50">
        <v>6</v>
      </c>
      <c r="Z9" s="51" t="s">
        <v>31</v>
      </c>
      <c r="AA9" s="50"/>
      <c r="AB9" s="51"/>
      <c r="AC9" s="50">
        <v>6</v>
      </c>
      <c r="AD9" s="51" t="s">
        <v>50</v>
      </c>
      <c r="AE9" s="50">
        <v>6</v>
      </c>
      <c r="AF9" s="51" t="s">
        <v>60</v>
      </c>
      <c r="AG9" s="50">
        <v>6</v>
      </c>
      <c r="AH9" s="51" t="s">
        <v>74</v>
      </c>
      <c r="AI9" s="50">
        <v>6</v>
      </c>
      <c r="AJ9" s="51" t="s">
        <v>80</v>
      </c>
      <c r="AK9" s="50"/>
      <c r="AL9" s="51"/>
      <c r="AM9" s="50"/>
      <c r="AN9" s="51"/>
    </row>
    <row r="10" spans="1:40" ht="17.25" thickBot="1" x14ac:dyDescent="0.35">
      <c r="H10" s="4">
        <f t="shared" si="0"/>
        <v>7</v>
      </c>
      <c r="I10" s="5">
        <f t="shared" si="0"/>
        <v>7</v>
      </c>
      <c r="J10" s="17" t="s">
        <v>91</v>
      </c>
      <c r="K10" s="5">
        <v>7</v>
      </c>
      <c r="L10" s="1" t="s">
        <v>127</v>
      </c>
      <c r="M10" s="17"/>
      <c r="N10" s="17" t="s">
        <v>137</v>
      </c>
      <c r="O10" s="5">
        <v>7</v>
      </c>
      <c r="P10" s="1" t="s">
        <v>114</v>
      </c>
      <c r="Q10" s="19">
        <v>7</v>
      </c>
      <c r="R10" s="1" t="s">
        <v>13</v>
      </c>
      <c r="S10" s="5"/>
      <c r="T10" s="6"/>
      <c r="U10" s="5"/>
      <c r="V10" s="6"/>
      <c r="W10" s="5">
        <v>7</v>
      </c>
      <c r="X10" s="1" t="s">
        <v>22</v>
      </c>
      <c r="Y10" s="50">
        <v>7</v>
      </c>
      <c r="Z10" s="51" t="s">
        <v>32</v>
      </c>
      <c r="AA10" s="50"/>
      <c r="AB10" s="51"/>
      <c r="AC10" s="50">
        <v>7</v>
      </c>
      <c r="AD10" s="51" t="s">
        <v>51</v>
      </c>
      <c r="AE10" s="50">
        <v>7</v>
      </c>
      <c r="AF10" s="51" t="s">
        <v>61</v>
      </c>
      <c r="AG10" s="50">
        <v>7</v>
      </c>
      <c r="AH10" s="51" t="s">
        <v>62</v>
      </c>
      <c r="AI10" s="50">
        <v>7</v>
      </c>
      <c r="AJ10" s="51" t="s">
        <v>81</v>
      </c>
      <c r="AK10" s="50"/>
      <c r="AL10" s="51"/>
      <c r="AM10" s="50"/>
      <c r="AN10" s="51"/>
    </row>
    <row r="11" spans="1:40" ht="17.25" thickBot="1" x14ac:dyDescent="0.35">
      <c r="A11" s="2">
        <v>5</v>
      </c>
      <c r="B11" s="2" t="s">
        <v>157</v>
      </c>
      <c r="C11" s="58" t="s">
        <v>13</v>
      </c>
      <c r="H11" s="4">
        <f t="shared" si="0"/>
        <v>8</v>
      </c>
      <c r="I11" s="5">
        <f t="shared" si="0"/>
        <v>8</v>
      </c>
      <c r="J11" s="17" t="s">
        <v>89</v>
      </c>
      <c r="K11" s="5">
        <v>8</v>
      </c>
      <c r="L11" s="1" t="s">
        <v>128</v>
      </c>
      <c r="M11" s="17"/>
      <c r="N11" s="17" t="s">
        <v>138</v>
      </c>
      <c r="O11" s="5">
        <v>8</v>
      </c>
      <c r="P11" s="1" t="s">
        <v>115</v>
      </c>
      <c r="Q11" s="19">
        <v>8</v>
      </c>
      <c r="R11" s="1" t="s">
        <v>14</v>
      </c>
      <c r="S11" s="5"/>
      <c r="T11" s="6"/>
      <c r="U11" s="5"/>
      <c r="V11" s="6"/>
      <c r="W11" s="5">
        <v>8</v>
      </c>
      <c r="X11" s="1" t="s">
        <v>23</v>
      </c>
      <c r="Y11" s="50">
        <v>8</v>
      </c>
      <c r="Z11" s="51" t="s">
        <v>33</v>
      </c>
      <c r="AA11" s="50"/>
      <c r="AB11" s="51"/>
      <c r="AC11" s="50">
        <v>8</v>
      </c>
      <c r="AD11" s="51" t="s">
        <v>52</v>
      </c>
      <c r="AE11" s="50">
        <v>8</v>
      </c>
      <c r="AF11" s="51" t="s">
        <v>62</v>
      </c>
      <c r="AG11" s="50">
        <v>8</v>
      </c>
      <c r="AH11" s="51" t="s">
        <v>63</v>
      </c>
      <c r="AI11" s="50">
        <v>8</v>
      </c>
      <c r="AJ11" s="51" t="s">
        <v>63</v>
      </c>
      <c r="AK11" s="50"/>
      <c r="AL11" s="51"/>
      <c r="AM11" s="50"/>
      <c r="AN11" s="51"/>
    </row>
    <row r="12" spans="1:40" ht="17.25" thickBot="1" x14ac:dyDescent="0.35">
      <c r="H12" s="4">
        <f t="shared" si="0"/>
        <v>9</v>
      </c>
      <c r="I12" s="5">
        <f t="shared" si="0"/>
        <v>9</v>
      </c>
      <c r="J12" s="17" t="s">
        <v>92</v>
      </c>
      <c r="K12" s="5">
        <v>9</v>
      </c>
      <c r="L12" s="1" t="s">
        <v>129</v>
      </c>
      <c r="M12" s="17"/>
      <c r="N12" s="17"/>
      <c r="O12" s="5">
        <v>9</v>
      </c>
      <c r="P12" s="1" t="s">
        <v>116</v>
      </c>
      <c r="Q12" s="19">
        <v>9</v>
      </c>
      <c r="R12" s="1" t="s">
        <v>15</v>
      </c>
      <c r="S12" s="5"/>
      <c r="T12" s="6"/>
      <c r="U12" s="5"/>
      <c r="V12" s="6"/>
      <c r="W12" s="5">
        <v>9</v>
      </c>
      <c r="X12" s="1" t="s">
        <v>24</v>
      </c>
      <c r="Y12" s="50">
        <v>9</v>
      </c>
      <c r="Z12" s="51" t="s">
        <v>34</v>
      </c>
      <c r="AA12" s="50"/>
      <c r="AB12" s="51"/>
      <c r="AC12" s="50">
        <v>9</v>
      </c>
      <c r="AD12" s="51" t="s">
        <v>53</v>
      </c>
      <c r="AE12" s="50">
        <v>9</v>
      </c>
      <c r="AF12" s="51" t="s">
        <v>63</v>
      </c>
      <c r="AG12" s="50"/>
      <c r="AH12" s="51"/>
      <c r="AI12" s="50"/>
      <c r="AJ12" s="51"/>
      <c r="AK12" s="50"/>
      <c r="AL12" s="51"/>
      <c r="AM12" s="50"/>
      <c r="AN12" s="51"/>
    </row>
    <row r="13" spans="1:40" ht="17.25" thickBot="1" x14ac:dyDescent="0.35">
      <c r="A13" s="2">
        <v>6</v>
      </c>
      <c r="B13" s="2" t="s">
        <v>158</v>
      </c>
      <c r="C13" s="58" t="s">
        <v>174</v>
      </c>
      <c r="H13" s="4">
        <f t="shared" si="0"/>
        <v>10</v>
      </c>
      <c r="I13" s="5">
        <f t="shared" si="0"/>
        <v>10</v>
      </c>
      <c r="J13" s="17" t="s">
        <v>93</v>
      </c>
      <c r="K13" s="5">
        <v>10</v>
      </c>
      <c r="L13" s="1" t="s">
        <v>130</v>
      </c>
      <c r="M13" s="17"/>
      <c r="N13" s="17"/>
      <c r="O13" s="5">
        <v>10</v>
      </c>
      <c r="P13" s="1" t="s">
        <v>117</v>
      </c>
      <c r="Q13" s="19">
        <v>10</v>
      </c>
      <c r="R13" s="1" t="s">
        <v>101</v>
      </c>
      <c r="S13" s="5"/>
      <c r="T13" s="6"/>
      <c r="U13" s="5"/>
      <c r="V13" s="6"/>
      <c r="W13" s="5"/>
      <c r="X13" s="1"/>
      <c r="Y13" s="50">
        <v>10</v>
      </c>
      <c r="Z13" s="51" t="s">
        <v>35</v>
      </c>
      <c r="AA13" s="50"/>
      <c r="AB13" s="51"/>
      <c r="AC13" s="50">
        <v>10</v>
      </c>
      <c r="AD13" s="51" t="s">
        <v>54</v>
      </c>
      <c r="AE13" s="50"/>
      <c r="AF13" s="51"/>
      <c r="AG13" s="50"/>
      <c r="AH13" s="51"/>
      <c r="AI13" s="50"/>
      <c r="AJ13" s="51"/>
      <c r="AK13" s="50"/>
      <c r="AL13" s="51"/>
      <c r="AM13" s="50"/>
      <c r="AN13" s="51"/>
    </row>
    <row r="14" spans="1:40" ht="17.25" thickBot="1" x14ac:dyDescent="0.35">
      <c r="H14" s="4">
        <f t="shared" si="0"/>
        <v>11</v>
      </c>
      <c r="I14" s="5">
        <f t="shared" si="0"/>
        <v>11</v>
      </c>
      <c r="J14" s="17" t="s">
        <v>94</v>
      </c>
      <c r="K14" s="5"/>
      <c r="L14" s="1"/>
      <c r="M14" s="17"/>
      <c r="N14" s="17"/>
      <c r="O14" s="5">
        <v>11</v>
      </c>
      <c r="P14" s="1" t="s">
        <v>118</v>
      </c>
      <c r="Q14" s="20" t="s">
        <v>106</v>
      </c>
      <c r="R14" s="1" t="s">
        <v>102</v>
      </c>
      <c r="S14" s="5"/>
      <c r="T14" s="6"/>
      <c r="U14" s="5"/>
      <c r="V14" s="6"/>
      <c r="W14" s="5"/>
      <c r="X14" s="1"/>
      <c r="Y14" s="50">
        <v>11</v>
      </c>
      <c r="Z14" s="51" t="s">
        <v>36</v>
      </c>
      <c r="AA14" s="50"/>
      <c r="AB14" s="51"/>
      <c r="AC14" s="50"/>
      <c r="AD14" s="51"/>
      <c r="AE14" s="50"/>
      <c r="AF14" s="51"/>
      <c r="AG14" s="50"/>
      <c r="AH14" s="51"/>
      <c r="AI14" s="50"/>
      <c r="AJ14" s="51"/>
      <c r="AK14" s="50"/>
      <c r="AL14" s="51"/>
      <c r="AM14" s="50"/>
      <c r="AN14" s="51"/>
    </row>
    <row r="15" spans="1:40" ht="17.25" thickBot="1" x14ac:dyDescent="0.35">
      <c r="A15" s="2">
        <v>7</v>
      </c>
      <c r="B15" s="2" t="s">
        <v>159</v>
      </c>
      <c r="C15" s="58" t="s">
        <v>215</v>
      </c>
      <c r="H15" s="4">
        <f t="shared" si="0"/>
        <v>12</v>
      </c>
      <c r="I15" s="5">
        <f t="shared" si="0"/>
        <v>12</v>
      </c>
      <c r="J15" s="17" t="s">
        <v>95</v>
      </c>
      <c r="K15" s="5"/>
      <c r="L15" s="1"/>
      <c r="M15" s="17"/>
      <c r="N15" s="22"/>
      <c r="O15" s="5">
        <v>12</v>
      </c>
      <c r="P15" s="1" t="s">
        <v>119</v>
      </c>
      <c r="Q15" s="20" t="s">
        <v>107</v>
      </c>
      <c r="R15" s="1" t="s">
        <v>103</v>
      </c>
      <c r="S15" s="5"/>
      <c r="T15" s="6"/>
      <c r="U15" s="5"/>
      <c r="V15" s="6"/>
      <c r="W15" s="5"/>
      <c r="X15" s="1"/>
      <c r="Y15" s="50">
        <v>12</v>
      </c>
      <c r="Z15" s="51" t="s">
        <v>37</v>
      </c>
      <c r="AA15" s="50"/>
      <c r="AB15" s="51"/>
      <c r="AC15" s="50"/>
      <c r="AD15" s="51"/>
      <c r="AE15" s="50"/>
      <c r="AF15" s="51"/>
      <c r="AG15" s="50"/>
      <c r="AH15" s="51"/>
      <c r="AI15" s="50"/>
      <c r="AJ15" s="51"/>
      <c r="AK15" s="50"/>
      <c r="AL15" s="51"/>
      <c r="AM15" s="50"/>
      <c r="AN15" s="51"/>
    </row>
    <row r="16" spans="1:40" x14ac:dyDescent="0.3">
      <c r="H16" s="4">
        <f t="shared" si="0"/>
        <v>13</v>
      </c>
      <c r="I16" s="5">
        <f t="shared" si="0"/>
        <v>13</v>
      </c>
      <c r="J16" s="17" t="s">
        <v>96</v>
      </c>
      <c r="K16" s="5"/>
      <c r="L16" s="1"/>
      <c r="M16" s="17"/>
      <c r="N16" s="17"/>
      <c r="O16" s="5">
        <v>13</v>
      </c>
      <c r="P16" s="1" t="s">
        <v>120</v>
      </c>
      <c r="Q16" s="19"/>
      <c r="R16" s="1"/>
      <c r="S16" s="5"/>
      <c r="T16" s="6"/>
      <c r="U16" s="5"/>
      <c r="V16" s="6"/>
      <c r="W16" s="5"/>
      <c r="X16" s="1"/>
      <c r="Y16" s="50">
        <v>13</v>
      </c>
      <c r="Z16" s="51" t="s">
        <v>38</v>
      </c>
      <c r="AA16" s="50"/>
      <c r="AB16" s="51"/>
      <c r="AC16" s="50"/>
      <c r="AD16" s="51"/>
      <c r="AE16" s="50"/>
      <c r="AF16" s="51"/>
      <c r="AG16" s="50"/>
      <c r="AH16" s="51"/>
      <c r="AI16" s="50"/>
      <c r="AJ16" s="51"/>
      <c r="AK16" s="50"/>
      <c r="AL16" s="51"/>
      <c r="AM16" s="50"/>
      <c r="AN16" s="51"/>
    </row>
    <row r="17" spans="1:40" ht="17.25" thickBot="1" x14ac:dyDescent="0.35">
      <c r="A17" s="2">
        <v>8</v>
      </c>
      <c r="B17" s="2" t="s">
        <v>160</v>
      </c>
      <c r="C17" s="2" t="s">
        <v>164</v>
      </c>
      <c r="D17" s="2" t="s">
        <v>165</v>
      </c>
      <c r="E17" s="57" t="s">
        <v>166</v>
      </c>
      <c r="H17" s="4">
        <f t="shared" si="0"/>
        <v>14</v>
      </c>
      <c r="I17" s="5">
        <f t="shared" si="0"/>
        <v>14</v>
      </c>
      <c r="J17" s="17" t="s">
        <v>97</v>
      </c>
      <c r="K17" s="17"/>
      <c r="L17" s="1"/>
      <c r="M17" s="17"/>
      <c r="N17" s="23"/>
      <c r="O17" s="5">
        <v>14</v>
      </c>
      <c r="P17" s="1" t="s">
        <v>121</v>
      </c>
      <c r="Q17" s="19"/>
      <c r="R17" s="1"/>
      <c r="S17" s="5"/>
      <c r="T17" s="6"/>
      <c r="U17" s="5"/>
      <c r="V17" s="6"/>
      <c r="W17" s="5"/>
      <c r="X17" s="1"/>
      <c r="Y17" s="50">
        <v>14</v>
      </c>
      <c r="Z17" s="51" t="s">
        <v>39</v>
      </c>
      <c r="AA17" s="50"/>
      <c r="AB17" s="51"/>
      <c r="AC17" s="50"/>
      <c r="AD17" s="51"/>
      <c r="AE17" s="50"/>
      <c r="AF17" s="51"/>
      <c r="AG17" s="50"/>
      <c r="AH17" s="51"/>
      <c r="AI17" s="50"/>
      <c r="AJ17" s="51"/>
      <c r="AK17" s="50"/>
      <c r="AL17" s="51"/>
      <c r="AM17" s="50"/>
      <c r="AN17" s="51"/>
    </row>
    <row r="18" spans="1:40" x14ac:dyDescent="0.3">
      <c r="B18" s="2">
        <v>1</v>
      </c>
      <c r="C18" s="57" t="s">
        <v>161</v>
      </c>
      <c r="D18" s="60">
        <v>1001</v>
      </c>
      <c r="E18" s="61">
        <f>+D18*3.3058</f>
        <v>3309.1058000000003</v>
      </c>
      <c r="H18" s="4">
        <f t="shared" si="0"/>
        <v>15</v>
      </c>
      <c r="I18" s="5">
        <f t="shared" si="0"/>
        <v>15</v>
      </c>
      <c r="J18" s="17" t="s">
        <v>98</v>
      </c>
      <c r="K18" s="5"/>
      <c r="L18" s="1"/>
      <c r="M18" s="17"/>
      <c r="N18" s="17"/>
      <c r="O18" s="5"/>
      <c r="P18" s="1"/>
      <c r="Q18" s="19"/>
      <c r="R18" s="1"/>
      <c r="S18" s="5"/>
      <c r="T18" s="6"/>
      <c r="U18" s="5"/>
      <c r="V18" s="6"/>
      <c r="W18" s="5"/>
      <c r="X18" s="1"/>
      <c r="Y18" s="50">
        <v>15</v>
      </c>
      <c r="Z18" s="51" t="s">
        <v>41</v>
      </c>
      <c r="AA18" s="50"/>
      <c r="AB18" s="51"/>
      <c r="AC18" s="50"/>
      <c r="AD18" s="51"/>
      <c r="AE18" s="50"/>
      <c r="AF18" s="51"/>
      <c r="AG18" s="50"/>
      <c r="AH18" s="51"/>
      <c r="AI18" s="50"/>
      <c r="AJ18" s="51"/>
      <c r="AK18" s="50"/>
      <c r="AL18" s="51"/>
      <c r="AM18" s="50"/>
      <c r="AN18" s="51"/>
    </row>
    <row r="19" spans="1:40" x14ac:dyDescent="0.3">
      <c r="B19" s="2">
        <v>2</v>
      </c>
      <c r="C19" s="57" t="s">
        <v>162</v>
      </c>
      <c r="D19" s="62">
        <f>+D52</f>
        <v>1625</v>
      </c>
      <c r="E19" s="63">
        <f t="shared" ref="E19:E26" si="1">+D19*3.3058</f>
        <v>5371.9250000000002</v>
      </c>
      <c r="H19" s="4">
        <f t="shared" si="0"/>
        <v>16</v>
      </c>
      <c r="I19" s="5">
        <f t="shared" si="0"/>
        <v>16</v>
      </c>
      <c r="J19" s="17" t="s">
        <v>99</v>
      </c>
      <c r="K19" s="5"/>
      <c r="L19" s="1"/>
      <c r="M19" s="17"/>
      <c r="N19" s="17"/>
      <c r="O19" s="5"/>
      <c r="P19" s="1"/>
      <c r="Q19" s="19"/>
      <c r="R19" s="1"/>
      <c r="S19" s="5"/>
      <c r="T19" s="6"/>
      <c r="U19" s="5"/>
      <c r="V19" s="6"/>
      <c r="W19" s="5"/>
      <c r="X19" s="1"/>
      <c r="Y19" s="50">
        <v>16</v>
      </c>
      <c r="Z19" s="51" t="s">
        <v>40</v>
      </c>
      <c r="AA19" s="50"/>
      <c r="AB19" s="51"/>
      <c r="AC19" s="50"/>
      <c r="AD19" s="51"/>
      <c r="AE19" s="50"/>
      <c r="AF19" s="51"/>
      <c r="AG19" s="50"/>
      <c r="AH19" s="51"/>
      <c r="AI19" s="50"/>
      <c r="AJ19" s="51"/>
      <c r="AK19" s="50"/>
      <c r="AL19" s="51"/>
      <c r="AM19" s="50"/>
      <c r="AN19" s="51"/>
    </row>
    <row r="20" spans="1:40" x14ac:dyDescent="0.3">
      <c r="B20" s="2">
        <v>3</v>
      </c>
      <c r="C20" s="57" t="s">
        <v>144</v>
      </c>
      <c r="D20" s="62">
        <f>+D58</f>
        <v>3699</v>
      </c>
      <c r="E20" s="63">
        <f t="shared" si="1"/>
        <v>12228.154200000001</v>
      </c>
      <c r="H20" s="4">
        <f t="shared" si="0"/>
        <v>17</v>
      </c>
      <c r="I20" s="5">
        <f t="shared" si="0"/>
        <v>17</v>
      </c>
      <c r="J20" s="17" t="s">
        <v>63</v>
      </c>
      <c r="K20" s="5"/>
      <c r="L20" s="1"/>
      <c r="M20" s="17"/>
      <c r="N20" s="17"/>
      <c r="O20" s="5"/>
      <c r="P20" s="1"/>
      <c r="Q20" s="19"/>
      <c r="R20" s="1"/>
      <c r="S20" s="5"/>
      <c r="T20" s="6"/>
      <c r="U20" s="5"/>
      <c r="V20" s="6"/>
      <c r="W20" s="5"/>
      <c r="X20" s="1"/>
      <c r="Y20" s="50"/>
      <c r="Z20" s="51"/>
      <c r="AA20" s="50"/>
      <c r="AB20" s="51"/>
      <c r="AC20" s="50"/>
      <c r="AD20" s="51"/>
      <c r="AE20" s="50"/>
      <c r="AF20" s="51"/>
      <c r="AG20" s="50"/>
      <c r="AH20" s="51"/>
      <c r="AI20" s="50"/>
      <c r="AJ20" s="51"/>
      <c r="AK20" s="50"/>
      <c r="AL20" s="51"/>
      <c r="AM20" s="50"/>
      <c r="AN20" s="51"/>
    </row>
    <row r="21" spans="1:40" x14ac:dyDescent="0.3">
      <c r="B21" s="2">
        <v>4</v>
      </c>
      <c r="C21" s="57" t="s">
        <v>145</v>
      </c>
      <c r="D21" s="62">
        <f>+D87</f>
        <v>948</v>
      </c>
      <c r="E21" s="63">
        <f t="shared" si="1"/>
        <v>3133.8984</v>
      </c>
      <c r="H21" s="4"/>
      <c r="I21" s="5"/>
      <c r="J21" s="17"/>
      <c r="K21" s="5"/>
      <c r="L21" s="27"/>
      <c r="M21" s="22"/>
      <c r="N21" s="25"/>
      <c r="O21" s="25"/>
      <c r="P21" s="24"/>
      <c r="Q21" s="19"/>
      <c r="R21" s="1"/>
      <c r="S21" s="5"/>
      <c r="T21" s="6"/>
      <c r="U21" s="5"/>
      <c r="V21" s="6"/>
      <c r="W21" s="5"/>
      <c r="X21" s="1"/>
      <c r="Y21" s="50"/>
      <c r="Z21" s="51"/>
      <c r="AA21" s="50"/>
      <c r="AB21" s="51"/>
      <c r="AC21" s="50"/>
      <c r="AD21" s="51"/>
      <c r="AE21" s="50"/>
      <c r="AF21" s="51"/>
      <c r="AG21" s="50"/>
      <c r="AH21" s="51"/>
      <c r="AI21" s="50"/>
      <c r="AJ21" s="51"/>
      <c r="AK21" s="50"/>
      <c r="AL21" s="51"/>
      <c r="AM21" s="50"/>
      <c r="AN21" s="51"/>
    </row>
    <row r="22" spans="1:40" x14ac:dyDescent="0.3">
      <c r="B22" s="2">
        <v>5</v>
      </c>
      <c r="C22" s="57" t="s">
        <v>146</v>
      </c>
      <c r="D22" s="62">
        <f>+D111</f>
        <v>945</v>
      </c>
      <c r="E22" s="63">
        <f t="shared" si="1"/>
        <v>3123.9810000000002</v>
      </c>
      <c r="H22" s="4"/>
      <c r="I22" s="5"/>
      <c r="J22" s="17"/>
      <c r="K22" s="5"/>
      <c r="L22" s="27"/>
      <c r="M22" s="22"/>
      <c r="N22" s="25"/>
      <c r="O22" s="25"/>
      <c r="P22" s="24"/>
      <c r="Q22" s="19"/>
      <c r="R22" s="1"/>
      <c r="S22" s="5"/>
      <c r="T22" s="6"/>
      <c r="U22" s="5"/>
      <c r="V22" s="6"/>
      <c r="W22" s="5"/>
      <c r="X22" s="1"/>
      <c r="Y22" s="50"/>
      <c r="Z22" s="51"/>
      <c r="AA22" s="50"/>
      <c r="AB22" s="51"/>
      <c r="AC22" s="50"/>
      <c r="AD22" s="51"/>
      <c r="AE22" s="50"/>
      <c r="AF22" s="51"/>
      <c r="AG22" s="50"/>
      <c r="AH22" s="51"/>
      <c r="AI22" s="50"/>
      <c r="AJ22" s="51"/>
      <c r="AK22" s="50"/>
      <c r="AL22" s="51"/>
      <c r="AM22" s="50"/>
      <c r="AN22" s="51"/>
    </row>
    <row r="23" spans="1:40" x14ac:dyDescent="0.3">
      <c r="B23" s="2">
        <v>6</v>
      </c>
      <c r="C23" s="57" t="s">
        <v>147</v>
      </c>
      <c r="D23" s="62">
        <f>+D125</f>
        <v>732</v>
      </c>
      <c r="E23" s="63">
        <f t="shared" si="1"/>
        <v>2419.8456000000001</v>
      </c>
      <c r="H23" s="4"/>
      <c r="I23" s="5"/>
      <c r="J23" s="17"/>
      <c r="K23" s="5"/>
      <c r="L23" s="27"/>
      <c r="M23" s="22"/>
      <c r="N23" s="25"/>
      <c r="O23" s="25"/>
      <c r="P23" s="24"/>
      <c r="Q23" s="19"/>
      <c r="R23" s="1"/>
      <c r="S23" s="5"/>
      <c r="T23" s="6"/>
      <c r="U23" s="5"/>
      <c r="V23" s="6"/>
      <c r="W23" s="5"/>
      <c r="X23" s="1"/>
      <c r="Y23" s="50"/>
      <c r="Z23" s="51"/>
      <c r="AA23" s="50"/>
      <c r="AB23" s="51"/>
      <c r="AC23" s="50"/>
      <c r="AD23" s="51"/>
      <c r="AE23" s="50"/>
      <c r="AF23" s="51"/>
      <c r="AG23" s="50"/>
      <c r="AH23" s="51"/>
      <c r="AI23" s="50"/>
      <c r="AJ23" s="51"/>
      <c r="AK23" s="50"/>
      <c r="AL23" s="51"/>
      <c r="AM23" s="50"/>
      <c r="AN23" s="51"/>
    </row>
    <row r="24" spans="1:40" x14ac:dyDescent="0.3">
      <c r="B24" s="2">
        <v>7</v>
      </c>
      <c r="C24" s="57" t="s">
        <v>148</v>
      </c>
      <c r="D24" s="62">
        <f>+D138</f>
        <v>836</v>
      </c>
      <c r="E24" s="63">
        <f t="shared" si="1"/>
        <v>2763.6487999999999</v>
      </c>
      <c r="H24" s="4"/>
      <c r="I24" s="5"/>
      <c r="J24" s="1"/>
      <c r="K24" s="1"/>
      <c r="L24" s="27"/>
      <c r="M24" s="22"/>
      <c r="N24" s="25"/>
      <c r="O24" s="24"/>
      <c r="P24" s="24"/>
      <c r="Q24" s="20"/>
      <c r="R24" s="1"/>
      <c r="S24" s="7"/>
      <c r="T24" s="6"/>
      <c r="U24" s="7"/>
      <c r="V24" s="6"/>
      <c r="W24" s="8"/>
      <c r="X24" s="1"/>
      <c r="Y24" s="52"/>
      <c r="Z24" s="51"/>
      <c r="AA24" s="52"/>
      <c r="AB24" s="51"/>
      <c r="AC24" s="52"/>
      <c r="AD24" s="51"/>
      <c r="AE24" s="52"/>
      <c r="AF24" s="51"/>
      <c r="AG24" s="52"/>
      <c r="AH24" s="51"/>
      <c r="AI24" s="52"/>
      <c r="AJ24" s="51"/>
      <c r="AK24" s="52"/>
      <c r="AL24" s="51"/>
      <c r="AM24" s="52"/>
      <c r="AN24" s="51"/>
    </row>
    <row r="25" spans="1:40" x14ac:dyDescent="0.3">
      <c r="B25" s="2">
        <v>8</v>
      </c>
      <c r="C25" s="57" t="s">
        <v>149</v>
      </c>
      <c r="D25" s="62">
        <f>+D146</f>
        <v>410</v>
      </c>
      <c r="E25" s="63">
        <f t="shared" si="1"/>
        <v>1355.3779999999999</v>
      </c>
      <c r="H25" s="4"/>
      <c r="I25" s="5"/>
      <c r="J25" s="1"/>
      <c r="K25" s="1"/>
      <c r="L25" s="27"/>
      <c r="M25" s="22"/>
      <c r="N25" s="25"/>
      <c r="O25" s="24"/>
      <c r="P25" s="24"/>
      <c r="Q25" s="20"/>
      <c r="R25" s="1"/>
      <c r="S25" s="7"/>
      <c r="T25" s="9"/>
      <c r="U25" s="7"/>
      <c r="V25" s="9"/>
      <c r="W25" s="10"/>
      <c r="X25" s="1"/>
      <c r="Y25" s="53"/>
      <c r="Z25" s="51"/>
      <c r="AA25" s="53"/>
      <c r="AB25" s="51"/>
      <c r="AC25" s="53"/>
      <c r="AD25" s="51"/>
      <c r="AE25" s="53"/>
      <c r="AF25" s="51"/>
      <c r="AG25" s="53"/>
      <c r="AH25" s="51"/>
      <c r="AI25" s="53"/>
      <c r="AJ25" s="51"/>
      <c r="AK25" s="53"/>
      <c r="AL25" s="51"/>
      <c r="AM25" s="53"/>
      <c r="AN25" s="51"/>
    </row>
    <row r="26" spans="1:40" ht="17.25" thickBot="1" x14ac:dyDescent="0.35">
      <c r="B26" s="2">
        <v>9</v>
      </c>
      <c r="C26" s="57" t="s">
        <v>150</v>
      </c>
      <c r="D26" s="64">
        <f>+D153</f>
        <v>311</v>
      </c>
      <c r="E26" s="65">
        <f t="shared" si="1"/>
        <v>1028.1038000000001</v>
      </c>
      <c r="H26" s="4"/>
      <c r="I26" s="5"/>
      <c r="J26" s="11"/>
      <c r="K26" s="11"/>
      <c r="L26" s="27"/>
      <c r="M26" s="22"/>
      <c r="N26" s="25"/>
      <c r="O26" s="24"/>
      <c r="P26" s="24"/>
      <c r="Q26" s="20"/>
      <c r="R26" s="1"/>
      <c r="S26" s="7"/>
      <c r="T26" s="9"/>
      <c r="U26" s="7"/>
      <c r="V26" s="9"/>
      <c r="W26" s="10"/>
      <c r="X26" s="1"/>
      <c r="Y26" s="53"/>
      <c r="Z26" s="51"/>
      <c r="AA26" s="53"/>
      <c r="AB26" s="51"/>
      <c r="AC26" s="53"/>
      <c r="AD26" s="51"/>
      <c r="AE26" s="53"/>
      <c r="AF26" s="51"/>
      <c r="AG26" s="53"/>
      <c r="AH26" s="51"/>
      <c r="AI26" s="53"/>
      <c r="AJ26" s="51"/>
      <c r="AK26" s="53"/>
      <c r="AL26" s="51"/>
      <c r="AM26" s="53"/>
      <c r="AN26" s="51"/>
    </row>
    <row r="27" spans="1:40" x14ac:dyDescent="0.3">
      <c r="C27" s="57" t="s">
        <v>163</v>
      </c>
      <c r="D27" s="2">
        <f>SUM(D18:D26)</f>
        <v>10507</v>
      </c>
      <c r="E27" s="57">
        <f>SUM(E18:E26)</f>
        <v>34734.0406</v>
      </c>
      <c r="H27" s="4"/>
      <c r="I27" s="5"/>
      <c r="J27" s="11"/>
      <c r="K27" s="11"/>
      <c r="L27" s="24"/>
      <c r="M27" s="25"/>
      <c r="N27" s="25"/>
      <c r="O27" s="24"/>
      <c r="P27" s="24"/>
      <c r="Q27" s="20"/>
      <c r="R27" s="11"/>
      <c r="S27" s="10"/>
      <c r="T27" s="6"/>
      <c r="U27" s="10"/>
      <c r="V27" s="6"/>
      <c r="W27" s="8"/>
      <c r="X27" s="11"/>
      <c r="Y27" s="52"/>
      <c r="Z27" s="54"/>
      <c r="AA27" s="52"/>
      <c r="AB27" s="54"/>
      <c r="AC27" s="52"/>
      <c r="AD27" s="54"/>
      <c r="AE27" s="52"/>
      <c r="AF27" s="54"/>
      <c r="AG27" s="52"/>
      <c r="AH27" s="54"/>
      <c r="AI27" s="52"/>
      <c r="AJ27" s="54"/>
      <c r="AK27" s="52"/>
      <c r="AL27" s="54"/>
      <c r="AM27" s="52"/>
      <c r="AN27" s="54"/>
    </row>
    <row r="28" spans="1:40" ht="17.25" thickBot="1" x14ac:dyDescent="0.35">
      <c r="H28" s="12"/>
      <c r="I28" s="13"/>
      <c r="J28" s="14"/>
      <c r="K28" s="14"/>
      <c r="L28" s="26"/>
      <c r="M28" s="26"/>
      <c r="N28" s="26"/>
      <c r="O28" s="26"/>
      <c r="P28" s="26"/>
      <c r="Q28" s="21"/>
      <c r="R28" s="14"/>
      <c r="S28" s="15"/>
      <c r="T28" s="16"/>
      <c r="U28" s="15"/>
      <c r="V28" s="16"/>
      <c r="W28" s="15"/>
      <c r="X28" s="14"/>
      <c r="Y28" s="55"/>
      <c r="Z28" s="56"/>
      <c r="AA28" s="55"/>
      <c r="AB28" s="56"/>
      <c r="AC28" s="55"/>
      <c r="AD28" s="56"/>
      <c r="AE28" s="55"/>
      <c r="AF28" s="56"/>
      <c r="AG28" s="55"/>
      <c r="AH28" s="56"/>
      <c r="AI28" s="55"/>
      <c r="AJ28" s="56"/>
      <c r="AK28" s="55"/>
      <c r="AL28" s="56"/>
      <c r="AM28" s="55"/>
      <c r="AN28" s="56"/>
    </row>
    <row r="29" spans="1:40" x14ac:dyDescent="0.3">
      <c r="B29" s="2" t="s">
        <v>205</v>
      </c>
      <c r="C29" s="2" t="s">
        <v>164</v>
      </c>
      <c r="D29" s="2" t="s">
        <v>165</v>
      </c>
      <c r="E29" s="57" t="s">
        <v>166</v>
      </c>
      <c r="H29" s="66"/>
      <c r="I29" s="66"/>
      <c r="J29" s="66"/>
      <c r="K29" s="66"/>
      <c r="L29" s="67"/>
      <c r="M29" s="67"/>
      <c r="N29" s="67"/>
      <c r="O29" s="67"/>
      <c r="P29" s="67"/>
      <c r="Q29" s="68"/>
      <c r="R29" s="66"/>
      <c r="S29" s="66"/>
      <c r="T29" s="66"/>
      <c r="U29" s="66"/>
      <c r="V29" s="66"/>
      <c r="W29" s="66"/>
      <c r="X29" s="66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69"/>
      <c r="AN29" s="69"/>
    </row>
    <row r="30" spans="1:40" x14ac:dyDescent="0.3">
      <c r="C30" s="51" t="s">
        <v>205</v>
      </c>
      <c r="D30" s="11">
        <v>101</v>
      </c>
      <c r="E30" s="27">
        <f>+D30*3.3058</f>
        <v>333.88580000000002</v>
      </c>
      <c r="H30" s="66"/>
      <c r="I30" s="66"/>
      <c r="J30" s="66"/>
      <c r="K30" s="66"/>
      <c r="L30" s="67"/>
      <c r="M30" s="67"/>
      <c r="N30" s="67"/>
      <c r="O30" s="67"/>
      <c r="P30" s="67"/>
      <c r="Q30" s="68"/>
      <c r="R30" s="66"/>
      <c r="S30" s="66"/>
      <c r="T30" s="66"/>
      <c r="U30" s="66"/>
      <c r="V30" s="66"/>
      <c r="W30" s="66"/>
      <c r="X30" s="66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</row>
    <row r="31" spans="1:40" x14ac:dyDescent="0.3">
      <c r="H31" s="66"/>
      <c r="I31" s="66"/>
      <c r="J31" s="66"/>
      <c r="K31" s="66"/>
      <c r="L31" s="67"/>
      <c r="M31" s="67"/>
      <c r="N31" s="67"/>
      <c r="O31" s="67"/>
      <c r="P31" s="67"/>
      <c r="Q31" s="68"/>
      <c r="R31" s="66"/>
      <c r="S31" s="66"/>
      <c r="T31" s="66"/>
      <c r="U31" s="66"/>
      <c r="V31" s="66"/>
      <c r="W31" s="66"/>
      <c r="X31" s="66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</row>
    <row r="32" spans="1:40" x14ac:dyDescent="0.3">
      <c r="B32" s="2" t="s">
        <v>206</v>
      </c>
      <c r="C32" s="2" t="s">
        <v>164</v>
      </c>
      <c r="D32" s="2" t="s">
        <v>165</v>
      </c>
      <c r="E32" s="57" t="s">
        <v>166</v>
      </c>
      <c r="I32" s="2"/>
      <c r="L32" s="2"/>
      <c r="N32" s="2"/>
      <c r="O32" s="2"/>
      <c r="Q32" s="18"/>
      <c r="S32" s="2"/>
      <c r="U32" s="2"/>
      <c r="W32" s="2"/>
    </row>
    <row r="33" spans="1:31" x14ac:dyDescent="0.3">
      <c r="A33" s="2">
        <v>1</v>
      </c>
      <c r="C33" s="51" t="s">
        <v>28</v>
      </c>
      <c r="D33" s="11">
        <v>101</v>
      </c>
      <c r="E33" s="27">
        <f>+D33*3.3058</f>
        <v>333.88580000000002</v>
      </c>
      <c r="I33" s="2"/>
      <c r="L33" s="2"/>
      <c r="N33" s="2"/>
      <c r="O33" s="2"/>
      <c r="Q33" s="18"/>
      <c r="S33" s="2"/>
      <c r="T33" s="3">
        <f>SUM(T4:T32)</f>
        <v>0</v>
      </c>
      <c r="U33" s="2"/>
      <c r="V33" s="3">
        <f>SUM(V4:V32)</f>
        <v>0</v>
      </c>
      <c r="Y33" s="3"/>
      <c r="AA33" s="3"/>
      <c r="AC33" s="3"/>
      <c r="AE33" s="3"/>
    </row>
    <row r="34" spans="1:31" x14ac:dyDescent="0.3">
      <c r="A34" s="2">
        <v>2</v>
      </c>
      <c r="C34" s="51" t="s">
        <v>26</v>
      </c>
      <c r="D34" s="11">
        <v>102</v>
      </c>
      <c r="E34" s="27">
        <f t="shared" ref="E34:E47" si="2">+D34*3.3058</f>
        <v>337.19159999999999</v>
      </c>
      <c r="I34" s="2"/>
      <c r="L34" s="2"/>
      <c r="N34" s="2"/>
      <c r="O34" s="2"/>
      <c r="Q34" s="18"/>
      <c r="S34" s="2"/>
      <c r="U34" s="2"/>
      <c r="W34" s="2"/>
    </row>
    <row r="35" spans="1:31" x14ac:dyDescent="0.3">
      <c r="A35" s="2">
        <v>3</v>
      </c>
      <c r="C35" s="51" t="s">
        <v>27</v>
      </c>
      <c r="D35" s="11">
        <v>103</v>
      </c>
      <c r="E35" s="27">
        <f t="shared" si="2"/>
        <v>340.49740000000003</v>
      </c>
      <c r="I35" s="2"/>
      <c r="L35" s="2"/>
      <c r="N35" s="2"/>
      <c r="O35" s="2"/>
      <c r="Q35" s="18"/>
      <c r="S35" s="2"/>
      <c r="U35" s="2"/>
      <c r="W35" s="2"/>
    </row>
    <row r="36" spans="1:31" x14ac:dyDescent="0.3">
      <c r="A36" s="2">
        <v>4</v>
      </c>
      <c r="C36" s="51" t="s">
        <v>29</v>
      </c>
      <c r="D36" s="11">
        <v>104</v>
      </c>
      <c r="E36" s="27">
        <f t="shared" si="2"/>
        <v>343.8032</v>
      </c>
      <c r="I36" s="2"/>
      <c r="L36" s="2"/>
      <c r="N36" s="2"/>
      <c r="O36" s="2"/>
      <c r="Q36" s="18"/>
      <c r="S36" s="2"/>
      <c r="U36" s="2"/>
      <c r="W36" s="2"/>
    </row>
    <row r="37" spans="1:31" x14ac:dyDescent="0.3">
      <c r="A37" s="2">
        <v>5</v>
      </c>
      <c r="C37" s="51" t="s">
        <v>30</v>
      </c>
      <c r="D37" s="11">
        <v>105</v>
      </c>
      <c r="E37" s="27">
        <f t="shared" si="2"/>
        <v>347.10899999999998</v>
      </c>
      <c r="I37" s="2"/>
      <c r="L37" s="2"/>
      <c r="N37" s="2"/>
      <c r="O37" s="2"/>
      <c r="Q37" s="18"/>
      <c r="S37" s="2"/>
      <c r="U37" s="2"/>
      <c r="W37" s="2"/>
    </row>
    <row r="38" spans="1:31" x14ac:dyDescent="0.3">
      <c r="A38" s="2">
        <v>6</v>
      </c>
      <c r="C38" s="51" t="s">
        <v>31</v>
      </c>
      <c r="D38" s="11">
        <v>106</v>
      </c>
      <c r="E38" s="27">
        <f t="shared" si="2"/>
        <v>350.41480000000001</v>
      </c>
      <c r="I38" s="2"/>
      <c r="L38" s="2"/>
      <c r="N38" s="2"/>
      <c r="O38" s="2"/>
      <c r="Q38" s="18"/>
      <c r="S38" s="2"/>
      <c r="U38" s="2"/>
      <c r="W38" s="2"/>
    </row>
    <row r="39" spans="1:31" x14ac:dyDescent="0.3">
      <c r="A39" s="2">
        <v>7</v>
      </c>
      <c r="C39" s="51" t="s">
        <v>32</v>
      </c>
      <c r="D39" s="11">
        <v>107</v>
      </c>
      <c r="E39" s="27">
        <f t="shared" si="2"/>
        <v>353.72059999999999</v>
      </c>
      <c r="I39" s="2"/>
      <c r="L39" s="2"/>
      <c r="N39" s="2"/>
      <c r="O39" s="2"/>
      <c r="Q39" s="18"/>
      <c r="S39" s="2"/>
      <c r="U39" s="2"/>
      <c r="W39" s="2"/>
    </row>
    <row r="40" spans="1:31" x14ac:dyDescent="0.3">
      <c r="A40" s="2">
        <v>8</v>
      </c>
      <c r="C40" s="51" t="s">
        <v>33</v>
      </c>
      <c r="D40" s="11">
        <v>108</v>
      </c>
      <c r="E40" s="27">
        <f t="shared" si="2"/>
        <v>357.02640000000002</v>
      </c>
      <c r="I40" s="2"/>
      <c r="L40" s="2"/>
      <c r="N40" s="2"/>
      <c r="O40" s="2"/>
      <c r="Q40" s="18"/>
      <c r="S40" s="2"/>
      <c r="U40" s="2"/>
      <c r="W40" s="2"/>
    </row>
    <row r="41" spans="1:31" x14ac:dyDescent="0.3">
      <c r="A41" s="2">
        <v>9</v>
      </c>
      <c r="C41" s="51" t="s">
        <v>34</v>
      </c>
      <c r="D41" s="11">
        <v>109</v>
      </c>
      <c r="E41" s="27">
        <f t="shared" si="2"/>
        <v>360.3322</v>
      </c>
      <c r="I41" s="2"/>
      <c r="L41" s="2"/>
      <c r="N41" s="2"/>
      <c r="O41" s="2"/>
      <c r="Q41" s="18"/>
      <c r="S41" s="2"/>
      <c r="U41" s="2"/>
      <c r="W41" s="2"/>
    </row>
    <row r="42" spans="1:31" x14ac:dyDescent="0.3">
      <c r="A42" s="2">
        <v>10</v>
      </c>
      <c r="C42" s="51" t="s">
        <v>35</v>
      </c>
      <c r="D42" s="11">
        <v>110</v>
      </c>
      <c r="E42" s="27">
        <f t="shared" si="2"/>
        <v>363.63800000000003</v>
      </c>
      <c r="I42" s="2"/>
      <c r="L42" s="2"/>
      <c r="N42" s="2"/>
      <c r="O42" s="2"/>
      <c r="Q42" s="18"/>
      <c r="S42" s="2"/>
      <c r="U42" s="2"/>
      <c r="W42" s="2"/>
    </row>
    <row r="43" spans="1:31" x14ac:dyDescent="0.3">
      <c r="A43" s="2">
        <v>11</v>
      </c>
      <c r="C43" s="51" t="s">
        <v>37</v>
      </c>
      <c r="D43" s="11">
        <v>112</v>
      </c>
      <c r="E43" s="27">
        <f t="shared" si="2"/>
        <v>370.24959999999999</v>
      </c>
      <c r="I43" s="2"/>
      <c r="L43" s="2"/>
      <c r="N43" s="2"/>
      <c r="O43" s="2"/>
      <c r="Q43" s="18"/>
      <c r="S43" s="2"/>
      <c r="U43" s="2"/>
      <c r="W43" s="2"/>
    </row>
    <row r="44" spans="1:31" x14ac:dyDescent="0.3">
      <c r="A44" s="2">
        <v>12</v>
      </c>
      <c r="C44" s="51" t="s">
        <v>38</v>
      </c>
      <c r="D44" s="11">
        <v>113</v>
      </c>
      <c r="E44" s="27">
        <f t="shared" si="2"/>
        <v>373.55540000000002</v>
      </c>
      <c r="I44" s="2"/>
      <c r="L44" s="2"/>
      <c r="N44" s="2"/>
      <c r="O44" s="2"/>
      <c r="Q44" s="18"/>
      <c r="S44" s="2"/>
      <c r="U44" s="2"/>
      <c r="W44" s="2"/>
    </row>
    <row r="45" spans="1:31" x14ac:dyDescent="0.3">
      <c r="A45" s="2">
        <v>13</v>
      </c>
      <c r="C45" s="51" t="s">
        <v>39</v>
      </c>
      <c r="D45" s="11">
        <v>114</v>
      </c>
      <c r="E45" s="27">
        <f t="shared" si="2"/>
        <v>376.8612</v>
      </c>
      <c r="I45" s="2"/>
      <c r="L45" s="2"/>
      <c r="N45" s="2"/>
      <c r="O45" s="2"/>
      <c r="Q45" s="18"/>
      <c r="S45" s="2"/>
      <c r="U45" s="2"/>
      <c r="W45" s="2"/>
    </row>
    <row r="46" spans="1:31" x14ac:dyDescent="0.3">
      <c r="A46" s="2">
        <v>14</v>
      </c>
      <c r="C46" s="51" t="s">
        <v>210</v>
      </c>
      <c r="D46" s="11">
        <v>116</v>
      </c>
      <c r="E46" s="27">
        <f>+D46*3.3058</f>
        <v>383.47280000000001</v>
      </c>
      <c r="I46" s="2"/>
      <c r="L46" s="2"/>
      <c r="N46" s="2"/>
      <c r="O46" s="2"/>
      <c r="Q46" s="18"/>
      <c r="S46" s="2"/>
      <c r="U46" s="2"/>
      <c r="W46" s="2"/>
    </row>
    <row r="47" spans="1:31" x14ac:dyDescent="0.3">
      <c r="A47" s="2">
        <v>15</v>
      </c>
      <c r="C47" s="51" t="s">
        <v>207</v>
      </c>
      <c r="D47" s="11">
        <v>115</v>
      </c>
      <c r="E47" s="27">
        <f t="shared" si="2"/>
        <v>380.16700000000003</v>
      </c>
      <c r="I47" s="2"/>
      <c r="L47" s="2"/>
      <c r="N47" s="2"/>
      <c r="O47" s="2"/>
      <c r="Q47" s="18"/>
      <c r="S47" s="2"/>
      <c r="U47" s="2"/>
      <c r="W47" s="2"/>
    </row>
    <row r="48" spans="1:31" x14ac:dyDescent="0.3">
      <c r="A48" s="2">
        <v>16</v>
      </c>
      <c r="C48" s="51" t="s">
        <v>208</v>
      </c>
      <c r="D48" s="11">
        <v>116</v>
      </c>
      <c r="E48" s="27">
        <f t="shared" ref="E48:E50" si="3">+D48*3.3058</f>
        <v>383.47280000000001</v>
      </c>
      <c r="I48" s="2"/>
      <c r="L48" s="2"/>
      <c r="N48" s="2"/>
      <c r="O48" s="2"/>
      <c r="Q48" s="18"/>
      <c r="S48" s="2"/>
      <c r="U48" s="2"/>
      <c r="W48" s="2"/>
    </row>
    <row r="49" spans="1:31" x14ac:dyDescent="0.3">
      <c r="A49" s="2">
        <v>17</v>
      </c>
      <c r="C49" s="51" t="s">
        <v>209</v>
      </c>
      <c r="D49" s="11">
        <v>116</v>
      </c>
      <c r="E49" s="27">
        <f t="shared" si="3"/>
        <v>383.47280000000001</v>
      </c>
      <c r="I49" s="2"/>
      <c r="L49" s="2"/>
      <c r="N49" s="2"/>
      <c r="O49" s="2"/>
      <c r="Q49" s="18"/>
      <c r="S49" s="2"/>
      <c r="U49" s="2"/>
      <c r="W49" s="2"/>
    </row>
    <row r="50" spans="1:31" x14ac:dyDescent="0.3">
      <c r="A50" s="2">
        <v>18</v>
      </c>
      <c r="C50" s="51" t="s">
        <v>40</v>
      </c>
      <c r="D50" s="11">
        <v>116</v>
      </c>
      <c r="E50" s="27">
        <f t="shared" si="3"/>
        <v>383.47280000000001</v>
      </c>
      <c r="I50" s="2"/>
      <c r="L50" s="2"/>
      <c r="N50" s="2"/>
      <c r="O50" s="2"/>
      <c r="Q50" s="18"/>
      <c r="S50" s="2"/>
      <c r="U50" s="2"/>
      <c r="W50" s="2"/>
    </row>
    <row r="51" spans="1:31" x14ac:dyDescent="0.3">
      <c r="A51" s="2">
        <v>19</v>
      </c>
      <c r="C51" s="51" t="s">
        <v>211</v>
      </c>
      <c r="D51" s="11">
        <v>116</v>
      </c>
      <c r="E51" s="27">
        <f t="shared" ref="E51" si="4">+D51*3.3058</f>
        <v>383.47280000000001</v>
      </c>
      <c r="I51" s="2"/>
      <c r="L51" s="2"/>
      <c r="N51" s="2"/>
      <c r="O51" s="2"/>
      <c r="Q51" s="18"/>
      <c r="S51" s="2"/>
      <c r="U51" s="2"/>
      <c r="W51" s="2"/>
    </row>
    <row r="52" spans="1:31" x14ac:dyDescent="0.3">
      <c r="A52" s="2">
        <v>20</v>
      </c>
      <c r="C52" s="27" t="s">
        <v>163</v>
      </c>
      <c r="D52" s="11">
        <f>SUM(D33:D47)</f>
        <v>1625</v>
      </c>
      <c r="E52" s="27">
        <f>SUM(E33:E47)</f>
        <v>5371.9250000000002</v>
      </c>
      <c r="I52" s="2"/>
      <c r="L52" s="2"/>
      <c r="N52" s="2"/>
      <c r="O52" s="2"/>
      <c r="Q52" s="18"/>
      <c r="S52" s="2"/>
      <c r="U52" s="2"/>
      <c r="W52" s="2"/>
    </row>
    <row r="53" spans="1:31" x14ac:dyDescent="0.3">
      <c r="I53" s="2"/>
      <c r="L53" s="2"/>
      <c r="N53" s="2"/>
      <c r="O53" s="2"/>
      <c r="Q53" s="18"/>
      <c r="S53" s="2"/>
      <c r="U53" s="2"/>
      <c r="W53" s="2"/>
    </row>
    <row r="54" spans="1:31" x14ac:dyDescent="0.3">
      <c r="B54" s="2" t="s">
        <v>167</v>
      </c>
      <c r="C54" s="2" t="s">
        <v>164</v>
      </c>
      <c r="D54" s="2" t="s">
        <v>165</v>
      </c>
      <c r="E54" s="57" t="s">
        <v>166</v>
      </c>
      <c r="I54" s="2"/>
      <c r="L54" s="2"/>
      <c r="N54" s="2"/>
      <c r="O54" s="2"/>
      <c r="Q54" s="2"/>
      <c r="S54" s="2"/>
      <c r="U54" s="2"/>
      <c r="W54" s="2"/>
    </row>
    <row r="55" spans="1:31" x14ac:dyDescent="0.3">
      <c r="A55" s="2">
        <v>1</v>
      </c>
      <c r="C55" s="51" t="s">
        <v>42</v>
      </c>
      <c r="D55" s="11">
        <v>201</v>
      </c>
      <c r="E55" s="27">
        <f t="shared" ref="E55:E57" si="5">+D55*3.3058</f>
        <v>664.46580000000006</v>
      </c>
      <c r="I55" s="2"/>
      <c r="L55" s="2"/>
      <c r="N55" s="2"/>
      <c r="O55" s="2"/>
      <c r="Q55" s="2"/>
      <c r="S55" s="2"/>
      <c r="U55" s="2"/>
      <c r="W55" s="2"/>
    </row>
    <row r="56" spans="1:31" x14ac:dyDescent="0.3">
      <c r="A56" s="2">
        <v>2</v>
      </c>
      <c r="C56" s="51" t="s">
        <v>44</v>
      </c>
      <c r="D56" s="11">
        <v>202</v>
      </c>
      <c r="E56" s="27">
        <f t="shared" si="5"/>
        <v>667.77160000000003</v>
      </c>
      <c r="I56" s="2"/>
      <c r="L56" s="2"/>
      <c r="N56" s="2"/>
      <c r="O56" s="2"/>
      <c r="Q56" s="2"/>
      <c r="S56" s="2"/>
      <c r="U56" s="2"/>
      <c r="W56" s="2"/>
    </row>
    <row r="57" spans="1:31" x14ac:dyDescent="0.3">
      <c r="A57" s="2">
        <v>3</v>
      </c>
      <c r="C57" s="51" t="s">
        <v>43</v>
      </c>
      <c r="D57" s="11">
        <v>203</v>
      </c>
      <c r="E57" s="27">
        <f t="shared" si="5"/>
        <v>671.07740000000001</v>
      </c>
      <c r="I57" s="2"/>
      <c r="L57" s="2"/>
      <c r="N57" s="2"/>
      <c r="O57" s="2"/>
      <c r="Q57" s="2"/>
      <c r="S57" s="2"/>
      <c r="U57" s="2"/>
      <c r="W57" s="2"/>
    </row>
    <row r="58" spans="1:31" x14ac:dyDescent="0.3">
      <c r="A58" s="2">
        <v>4</v>
      </c>
      <c r="C58" s="27" t="s">
        <v>163</v>
      </c>
      <c r="D58" s="11">
        <f>SUM(D39:D57)</f>
        <v>3699</v>
      </c>
      <c r="E58" s="27">
        <f>SUM(E39:E57)</f>
        <v>12228.154200000001</v>
      </c>
      <c r="I58" s="2"/>
      <c r="L58" s="2"/>
      <c r="N58" s="2"/>
      <c r="O58" s="2"/>
      <c r="Q58" s="2"/>
      <c r="S58" s="2"/>
      <c r="U58" s="2"/>
      <c r="W58" s="2"/>
    </row>
    <row r="59" spans="1:31" x14ac:dyDescent="0.3">
      <c r="I59" s="2"/>
      <c r="L59" s="2"/>
      <c r="N59" s="2"/>
      <c r="O59" s="2"/>
      <c r="Q59" s="2"/>
      <c r="S59" s="2"/>
      <c r="U59" s="2"/>
      <c r="W59" s="2"/>
    </row>
    <row r="60" spans="1:31" x14ac:dyDescent="0.3">
      <c r="B60" s="2" t="s">
        <v>168</v>
      </c>
      <c r="C60" s="2" t="s">
        <v>164</v>
      </c>
      <c r="D60" s="2" t="s">
        <v>165</v>
      </c>
      <c r="E60" s="57" t="s">
        <v>166</v>
      </c>
      <c r="I60" s="2"/>
      <c r="L60" s="2"/>
      <c r="N60" s="2"/>
      <c r="O60" s="2"/>
      <c r="Q60" s="18"/>
      <c r="S60" s="2"/>
      <c r="U60" s="2"/>
      <c r="W60" s="2"/>
    </row>
    <row r="61" spans="1:31" x14ac:dyDescent="0.3">
      <c r="A61" s="2">
        <v>1</v>
      </c>
      <c r="C61" s="51" t="s">
        <v>45</v>
      </c>
      <c r="D61" s="11">
        <v>101</v>
      </c>
      <c r="E61" s="27">
        <f>+D61*3.3058</f>
        <v>333.88580000000002</v>
      </c>
      <c r="I61" s="2"/>
      <c r="L61" s="2"/>
      <c r="N61" s="2"/>
      <c r="O61" s="2"/>
      <c r="Q61" s="18"/>
      <c r="S61" s="2"/>
      <c r="T61" s="3">
        <f>SUM(T56:T60)</f>
        <v>0</v>
      </c>
      <c r="U61" s="2"/>
      <c r="V61" s="3">
        <f>SUM(V56:V60)</f>
        <v>0</v>
      </c>
      <c r="Y61" s="3"/>
      <c r="AA61" s="3"/>
      <c r="AC61" s="3"/>
      <c r="AE61" s="3"/>
    </row>
    <row r="62" spans="1:31" ht="16.5" customHeight="1" x14ac:dyDescent="0.3">
      <c r="A62" s="2">
        <v>2</v>
      </c>
      <c r="C62" s="51" t="s">
        <v>46</v>
      </c>
      <c r="D62" s="11">
        <v>102</v>
      </c>
      <c r="E62" s="27">
        <f>+D62*3.3058</f>
        <v>337.19159999999999</v>
      </c>
      <c r="I62" s="2"/>
      <c r="L62" s="2"/>
      <c r="N62" s="2"/>
      <c r="O62" s="2"/>
      <c r="Q62" s="18"/>
      <c r="S62" s="2"/>
      <c r="U62" s="2"/>
      <c r="W62" s="2"/>
    </row>
    <row r="63" spans="1:31" x14ac:dyDescent="0.3">
      <c r="A63" s="2">
        <v>3</v>
      </c>
      <c r="C63" s="51" t="s">
        <v>47</v>
      </c>
      <c r="D63" s="11">
        <v>103</v>
      </c>
      <c r="E63" s="27">
        <f>+D63*3.3058</f>
        <v>340.49740000000003</v>
      </c>
      <c r="I63" s="2"/>
      <c r="L63" s="2"/>
      <c r="N63" s="2"/>
      <c r="O63" s="2"/>
      <c r="Q63" s="18"/>
      <c r="S63" s="2"/>
      <c r="U63" s="2"/>
      <c r="W63" s="2"/>
    </row>
    <row r="64" spans="1:31" x14ac:dyDescent="0.3">
      <c r="A64" s="2">
        <v>4</v>
      </c>
      <c r="C64" s="51" t="s">
        <v>48</v>
      </c>
      <c r="D64" s="11">
        <v>104</v>
      </c>
      <c r="E64" s="27">
        <f>+D64*3.3058</f>
        <v>343.8032</v>
      </c>
      <c r="I64" s="2"/>
      <c r="L64" s="2"/>
      <c r="N64" s="2"/>
      <c r="O64" s="2"/>
      <c r="Q64" s="18"/>
      <c r="S64" s="2"/>
      <c r="U64" s="2"/>
      <c r="W64" s="2"/>
    </row>
    <row r="65" spans="1:23" x14ac:dyDescent="0.3">
      <c r="A65" s="2">
        <v>5</v>
      </c>
      <c r="C65" s="51" t="s">
        <v>49</v>
      </c>
      <c r="D65" s="11">
        <v>105</v>
      </c>
      <c r="E65" s="27">
        <f>+D65*3.3058</f>
        <v>347.10899999999998</v>
      </c>
      <c r="I65" s="2"/>
      <c r="L65" s="2"/>
      <c r="N65" s="2"/>
      <c r="O65" s="2"/>
      <c r="Q65" s="18"/>
      <c r="S65" s="2"/>
      <c r="U65" s="2"/>
      <c r="W65" s="2"/>
    </row>
    <row r="66" spans="1:23" x14ac:dyDescent="0.3">
      <c r="A66" s="2">
        <v>6</v>
      </c>
      <c r="C66" s="51" t="s">
        <v>201</v>
      </c>
      <c r="D66" s="11"/>
      <c r="E66" s="27"/>
      <c r="I66" s="2"/>
      <c r="L66" s="2"/>
      <c r="N66" s="2"/>
      <c r="O66" s="2"/>
      <c r="Q66" s="18"/>
      <c r="S66" s="2"/>
      <c r="U66" s="2"/>
      <c r="W66" s="2"/>
    </row>
    <row r="67" spans="1:23" x14ac:dyDescent="0.3">
      <c r="A67" s="2">
        <v>7</v>
      </c>
      <c r="C67" s="51" t="s">
        <v>202</v>
      </c>
      <c r="D67" s="11"/>
      <c r="E67" s="27"/>
      <c r="I67" s="2"/>
      <c r="L67" s="2"/>
      <c r="N67" s="2"/>
      <c r="O67" s="2"/>
      <c r="Q67" s="18"/>
      <c r="S67" s="2"/>
      <c r="U67" s="2"/>
      <c r="W67" s="2"/>
    </row>
    <row r="68" spans="1:23" x14ac:dyDescent="0.3">
      <c r="A68" s="2">
        <v>8</v>
      </c>
      <c r="C68" s="51" t="s">
        <v>179</v>
      </c>
      <c r="D68" s="11"/>
      <c r="E68" s="27"/>
      <c r="I68" s="2"/>
      <c r="L68" s="2"/>
      <c r="N68" s="2"/>
      <c r="O68" s="2"/>
      <c r="Q68" s="18"/>
      <c r="S68" s="2"/>
      <c r="U68" s="2"/>
      <c r="W68" s="2"/>
    </row>
    <row r="69" spans="1:23" x14ac:dyDescent="0.3">
      <c r="A69" s="2">
        <v>9</v>
      </c>
      <c r="C69" s="51" t="s">
        <v>184</v>
      </c>
      <c r="D69" s="11"/>
      <c r="E69" s="27"/>
      <c r="I69" s="2"/>
      <c r="L69" s="2"/>
      <c r="N69" s="2"/>
      <c r="O69" s="2"/>
      <c r="Q69" s="18"/>
      <c r="S69" s="2"/>
      <c r="U69" s="2"/>
      <c r="W69" s="2"/>
    </row>
    <row r="70" spans="1:23" x14ac:dyDescent="0.3">
      <c r="A70" s="2">
        <v>10</v>
      </c>
      <c r="C70" s="51" t="s">
        <v>198</v>
      </c>
      <c r="D70" s="11"/>
      <c r="E70" s="27"/>
      <c r="I70" s="2"/>
      <c r="L70" s="2"/>
      <c r="N70" s="2"/>
      <c r="O70" s="2"/>
      <c r="Q70" s="18"/>
      <c r="S70" s="2"/>
      <c r="U70" s="2"/>
      <c r="W70" s="2"/>
    </row>
    <row r="71" spans="1:23" x14ac:dyDescent="0.3">
      <c r="A71" s="2">
        <v>11</v>
      </c>
      <c r="C71" s="51" t="s">
        <v>194</v>
      </c>
      <c r="D71" s="11"/>
      <c r="E71" s="27"/>
      <c r="I71" s="2"/>
      <c r="L71" s="2"/>
      <c r="N71" s="2"/>
      <c r="O71" s="2"/>
      <c r="Q71" s="18"/>
      <c r="S71" s="2"/>
      <c r="U71" s="2"/>
      <c r="W71" s="2"/>
    </row>
    <row r="72" spans="1:23" x14ac:dyDescent="0.3">
      <c r="A72" s="2">
        <v>12</v>
      </c>
      <c r="C72" s="51" t="s">
        <v>189</v>
      </c>
      <c r="D72" s="11"/>
      <c r="E72" s="27"/>
      <c r="I72" s="2"/>
      <c r="L72" s="2"/>
      <c r="N72" s="2"/>
      <c r="O72" s="2"/>
      <c r="Q72" s="18"/>
      <c r="S72" s="2"/>
      <c r="U72" s="2"/>
      <c r="W72" s="2"/>
    </row>
    <row r="73" spans="1:23" x14ac:dyDescent="0.3">
      <c r="A73" s="2">
        <v>13</v>
      </c>
      <c r="C73" s="51" t="s">
        <v>181</v>
      </c>
      <c r="D73" s="11"/>
      <c r="E73" s="27"/>
      <c r="I73" s="2"/>
      <c r="L73" s="2"/>
      <c r="N73" s="2"/>
      <c r="O73" s="2"/>
      <c r="Q73" s="18"/>
      <c r="S73" s="2"/>
      <c r="U73" s="2"/>
      <c r="W73" s="2"/>
    </row>
    <row r="74" spans="1:23" x14ac:dyDescent="0.3">
      <c r="A74" s="2">
        <v>14</v>
      </c>
      <c r="C74" s="51" t="s">
        <v>195</v>
      </c>
      <c r="D74" s="11"/>
      <c r="E74" s="27"/>
      <c r="I74" s="2"/>
      <c r="L74" s="2"/>
      <c r="N74" s="2"/>
      <c r="O74" s="2"/>
      <c r="Q74" s="18"/>
      <c r="S74" s="2"/>
      <c r="U74" s="2"/>
      <c r="W74" s="2"/>
    </row>
    <row r="75" spans="1:23" x14ac:dyDescent="0.3">
      <c r="A75" s="2">
        <v>15</v>
      </c>
      <c r="C75" s="51" t="s">
        <v>197</v>
      </c>
      <c r="D75" s="11"/>
      <c r="E75" s="27"/>
      <c r="I75" s="2"/>
      <c r="L75" s="2"/>
      <c r="N75" s="2"/>
      <c r="O75" s="2"/>
      <c r="Q75" s="18"/>
      <c r="S75" s="2"/>
      <c r="U75" s="2"/>
      <c r="W75" s="2"/>
    </row>
    <row r="76" spans="1:23" x14ac:dyDescent="0.3">
      <c r="A76" s="2">
        <v>16</v>
      </c>
      <c r="C76" s="51" t="s">
        <v>182</v>
      </c>
      <c r="D76" s="11"/>
      <c r="E76" s="27"/>
      <c r="I76" s="2"/>
      <c r="L76" s="2"/>
      <c r="N76" s="2"/>
      <c r="O76" s="2"/>
      <c r="Q76" s="18"/>
      <c r="S76" s="2"/>
      <c r="U76" s="2"/>
      <c r="W76" s="2"/>
    </row>
    <row r="77" spans="1:23" x14ac:dyDescent="0.3">
      <c r="A77" s="2">
        <v>17</v>
      </c>
      <c r="C77" s="51" t="s">
        <v>183</v>
      </c>
      <c r="D77" s="11"/>
      <c r="E77" s="27"/>
      <c r="I77" s="2"/>
      <c r="L77" s="2"/>
      <c r="N77" s="2"/>
      <c r="O77" s="2"/>
      <c r="Q77" s="18"/>
      <c r="S77" s="2"/>
      <c r="U77" s="2"/>
      <c r="W77" s="2"/>
    </row>
    <row r="78" spans="1:23" x14ac:dyDescent="0.3">
      <c r="A78" s="2">
        <v>18</v>
      </c>
      <c r="C78" s="51" t="s">
        <v>203</v>
      </c>
      <c r="D78" s="11"/>
      <c r="E78" s="27"/>
      <c r="I78" s="2"/>
      <c r="L78" s="2"/>
      <c r="N78" s="2"/>
      <c r="O78" s="2"/>
      <c r="Q78" s="18"/>
      <c r="S78" s="2"/>
      <c r="U78" s="2"/>
      <c r="W78" s="2"/>
    </row>
    <row r="79" spans="1:23" x14ac:dyDescent="0.3">
      <c r="A79" s="2">
        <v>19</v>
      </c>
      <c r="C79" s="51" t="s">
        <v>200</v>
      </c>
      <c r="D79" s="11"/>
      <c r="E79" s="27"/>
      <c r="I79" s="2"/>
      <c r="L79" s="2"/>
      <c r="N79" s="2"/>
      <c r="O79" s="2"/>
      <c r="Q79" s="18"/>
      <c r="S79" s="2"/>
      <c r="U79" s="2"/>
      <c r="W79" s="2"/>
    </row>
    <row r="80" spans="1:23" x14ac:dyDescent="0.3">
      <c r="A80" s="2">
        <v>20</v>
      </c>
      <c r="C80" s="51" t="s">
        <v>204</v>
      </c>
      <c r="D80" s="11"/>
      <c r="E80" s="27"/>
      <c r="I80" s="2"/>
      <c r="L80" s="2"/>
      <c r="N80" s="2"/>
      <c r="O80" s="2"/>
      <c r="Q80" s="18"/>
      <c r="S80" s="2"/>
      <c r="U80" s="2"/>
      <c r="W80" s="2"/>
    </row>
    <row r="81" spans="1:23" x14ac:dyDescent="0.3">
      <c r="A81" s="2">
        <v>21</v>
      </c>
      <c r="C81" s="51" t="s">
        <v>50</v>
      </c>
      <c r="D81" s="11">
        <v>106</v>
      </c>
      <c r="E81" s="27">
        <f>+D81*3.3058</f>
        <v>350.41480000000001</v>
      </c>
      <c r="I81" s="2"/>
      <c r="L81" s="2"/>
      <c r="N81" s="2"/>
      <c r="O81" s="2"/>
      <c r="Q81" s="18"/>
      <c r="S81" s="2"/>
      <c r="U81" s="2"/>
      <c r="W81" s="2"/>
    </row>
    <row r="82" spans="1:23" x14ac:dyDescent="0.3">
      <c r="A82" s="2">
        <v>22</v>
      </c>
      <c r="C82" s="51" t="s">
        <v>52</v>
      </c>
      <c r="D82" s="11">
        <v>108</v>
      </c>
      <c r="E82" s="27">
        <f>+D82*3.3058</f>
        <v>357.02640000000002</v>
      </c>
      <c r="I82" s="2"/>
      <c r="L82" s="2"/>
      <c r="N82" s="2"/>
      <c r="O82" s="2"/>
      <c r="Q82" s="18"/>
      <c r="S82" s="2"/>
      <c r="U82" s="2"/>
      <c r="W82" s="2"/>
    </row>
    <row r="83" spans="1:23" x14ac:dyDescent="0.3">
      <c r="A83" s="2">
        <v>23</v>
      </c>
      <c r="C83" s="51" t="s">
        <v>53</v>
      </c>
      <c r="D83" s="11">
        <v>109</v>
      </c>
      <c r="E83" s="27">
        <f>+D83*3.3058</f>
        <v>360.3322</v>
      </c>
      <c r="I83" s="2"/>
      <c r="L83" s="2"/>
      <c r="N83" s="2"/>
      <c r="O83" s="2"/>
      <c r="Q83" s="18"/>
      <c r="S83" s="2"/>
      <c r="U83" s="2"/>
      <c r="W83" s="2"/>
    </row>
    <row r="84" spans="1:23" x14ac:dyDescent="0.3">
      <c r="A84" s="2">
        <v>24</v>
      </c>
      <c r="C84" s="51" t="s">
        <v>54</v>
      </c>
      <c r="D84" s="11">
        <v>110</v>
      </c>
      <c r="E84" s="27">
        <f>+D84*3.3058</f>
        <v>363.63800000000003</v>
      </c>
      <c r="I84" s="2"/>
      <c r="L84" s="2"/>
      <c r="N84" s="2"/>
      <c r="O84" s="2"/>
      <c r="Q84" s="18"/>
      <c r="S84" s="2"/>
      <c r="U84" s="2"/>
      <c r="W84" s="2"/>
    </row>
    <row r="85" spans="1:23" x14ac:dyDescent="0.3">
      <c r="A85" s="2">
        <v>25</v>
      </c>
      <c r="C85" s="51" t="s">
        <v>211</v>
      </c>
      <c r="D85" s="11">
        <v>116</v>
      </c>
      <c r="E85" s="27">
        <f t="shared" ref="E85" si="6">+D85*3.3058</f>
        <v>383.47280000000001</v>
      </c>
      <c r="I85" s="2"/>
      <c r="L85" s="2"/>
      <c r="N85" s="2"/>
      <c r="O85" s="2"/>
      <c r="Q85" s="18"/>
      <c r="S85" s="2"/>
      <c r="U85" s="2"/>
      <c r="W85" s="2"/>
    </row>
    <row r="86" spans="1:23" x14ac:dyDescent="0.3">
      <c r="A86" s="2">
        <v>26</v>
      </c>
      <c r="C86" s="51" t="s">
        <v>63</v>
      </c>
      <c r="D86" s="11">
        <v>109</v>
      </c>
      <c r="E86" s="27">
        <f>+D86*3.3058</f>
        <v>360.3322</v>
      </c>
      <c r="L86" s="2"/>
      <c r="N86" s="2"/>
      <c r="O86" s="2"/>
      <c r="Q86" s="2"/>
      <c r="S86" s="2"/>
      <c r="U86" s="2"/>
      <c r="W86" s="2"/>
    </row>
    <row r="87" spans="1:23" x14ac:dyDescent="0.3">
      <c r="A87" s="2">
        <v>27</v>
      </c>
      <c r="C87" s="27" t="s">
        <v>163</v>
      </c>
      <c r="D87" s="11">
        <f>SUM(D61:D84)</f>
        <v>948</v>
      </c>
      <c r="E87" s="27">
        <f>SUM(E61:E84)</f>
        <v>3133.8984</v>
      </c>
      <c r="I87" s="2"/>
      <c r="L87" s="2"/>
      <c r="N87" s="2"/>
      <c r="O87" s="2"/>
      <c r="Q87" s="18"/>
      <c r="S87" s="2"/>
      <c r="U87" s="2"/>
      <c r="W87" s="2"/>
    </row>
    <row r="88" spans="1:23" x14ac:dyDescent="0.3">
      <c r="I88" s="2"/>
      <c r="L88" s="2"/>
      <c r="N88" s="2"/>
      <c r="O88" s="2"/>
      <c r="Q88" s="2"/>
      <c r="S88" s="2"/>
      <c r="U88" s="2"/>
      <c r="W88" s="2"/>
    </row>
    <row r="89" spans="1:23" x14ac:dyDescent="0.3">
      <c r="B89" s="2" t="s">
        <v>169</v>
      </c>
      <c r="C89" s="2" t="s">
        <v>164</v>
      </c>
      <c r="D89" s="2" t="s">
        <v>165</v>
      </c>
      <c r="E89" s="57" t="s">
        <v>166</v>
      </c>
      <c r="I89" s="2"/>
      <c r="L89" s="2"/>
      <c r="N89" s="2"/>
      <c r="O89" s="2"/>
      <c r="Q89" s="2"/>
      <c r="S89" s="2"/>
      <c r="U89" s="2"/>
      <c r="W89" s="2"/>
    </row>
    <row r="90" spans="1:23" x14ac:dyDescent="0.3">
      <c r="A90" s="2">
        <v>1</v>
      </c>
      <c r="C90" s="51" t="s">
        <v>55</v>
      </c>
      <c r="D90" s="11">
        <v>101</v>
      </c>
      <c r="E90" s="27">
        <f t="shared" ref="E90:E97" si="7">+D90*3.3058</f>
        <v>333.88580000000002</v>
      </c>
      <c r="I90" s="2"/>
      <c r="L90" s="2"/>
      <c r="N90" s="2"/>
      <c r="O90" s="2"/>
      <c r="Q90" s="2"/>
      <c r="S90" s="2"/>
      <c r="U90" s="2"/>
      <c r="W90" s="2"/>
    </row>
    <row r="91" spans="1:23" x14ac:dyDescent="0.3">
      <c r="A91" s="2">
        <v>2</v>
      </c>
      <c r="C91" s="51" t="s">
        <v>56</v>
      </c>
      <c r="D91" s="11">
        <v>102</v>
      </c>
      <c r="E91" s="27">
        <f t="shared" si="7"/>
        <v>337.19159999999999</v>
      </c>
      <c r="I91" s="2"/>
      <c r="L91" s="2"/>
      <c r="N91" s="2"/>
      <c r="O91" s="2"/>
      <c r="Q91" s="2"/>
      <c r="S91" s="2"/>
      <c r="U91" s="2"/>
      <c r="W91" s="2"/>
    </row>
    <row r="92" spans="1:23" x14ac:dyDescent="0.3">
      <c r="A92" s="2">
        <v>3</v>
      </c>
      <c r="C92" s="51" t="s">
        <v>57</v>
      </c>
      <c r="D92" s="11">
        <v>103</v>
      </c>
      <c r="E92" s="27">
        <f t="shared" si="7"/>
        <v>340.49740000000003</v>
      </c>
      <c r="I92" s="2"/>
      <c r="L92" s="2"/>
      <c r="N92" s="2"/>
      <c r="O92" s="2"/>
      <c r="Q92" s="2"/>
      <c r="S92" s="2"/>
      <c r="U92" s="2"/>
      <c r="W92" s="2"/>
    </row>
    <row r="93" spans="1:23" x14ac:dyDescent="0.3">
      <c r="A93" s="2">
        <v>4</v>
      </c>
      <c r="C93" s="51" t="s">
        <v>58</v>
      </c>
      <c r="D93" s="11">
        <v>104</v>
      </c>
      <c r="E93" s="27">
        <f t="shared" si="7"/>
        <v>343.8032</v>
      </c>
      <c r="I93" s="2"/>
      <c r="L93" s="2"/>
      <c r="N93" s="2"/>
      <c r="O93" s="2"/>
      <c r="Q93" s="2"/>
      <c r="S93" s="2"/>
      <c r="U93" s="2"/>
      <c r="W93" s="2"/>
    </row>
    <row r="94" spans="1:23" x14ac:dyDescent="0.3">
      <c r="A94" s="2">
        <v>5</v>
      </c>
      <c r="C94" s="51" t="s">
        <v>59</v>
      </c>
      <c r="D94" s="11">
        <v>105</v>
      </c>
      <c r="E94" s="27">
        <f t="shared" si="7"/>
        <v>347.10899999999998</v>
      </c>
      <c r="I94" s="2"/>
      <c r="L94" s="2"/>
      <c r="N94" s="2"/>
      <c r="O94" s="2"/>
      <c r="Q94" s="2"/>
      <c r="S94" s="2"/>
      <c r="U94" s="2"/>
      <c r="W94" s="2"/>
    </row>
    <row r="95" spans="1:23" x14ac:dyDescent="0.3">
      <c r="A95" s="2">
        <v>6</v>
      </c>
      <c r="C95" s="51" t="s">
        <v>60</v>
      </c>
      <c r="D95" s="11">
        <v>106</v>
      </c>
      <c r="E95" s="27">
        <f t="shared" si="7"/>
        <v>350.41480000000001</v>
      </c>
      <c r="I95" s="2"/>
      <c r="L95" s="2"/>
      <c r="N95" s="2"/>
      <c r="O95" s="2"/>
      <c r="Q95" s="2"/>
      <c r="S95" s="2"/>
      <c r="U95" s="2"/>
      <c r="W95" s="2"/>
    </row>
    <row r="96" spans="1:23" x14ac:dyDescent="0.3">
      <c r="A96" s="2">
        <v>7</v>
      </c>
      <c r="C96" s="51" t="s">
        <v>61</v>
      </c>
      <c r="D96" s="11">
        <v>107</v>
      </c>
      <c r="E96" s="27">
        <f t="shared" si="7"/>
        <v>353.72059999999999</v>
      </c>
      <c r="I96" s="2"/>
      <c r="L96" s="2"/>
      <c r="N96" s="2"/>
      <c r="O96" s="2"/>
      <c r="Q96" s="2"/>
      <c r="S96" s="2"/>
      <c r="U96" s="2"/>
      <c r="W96" s="2"/>
    </row>
    <row r="97" spans="1:23" x14ac:dyDescent="0.3">
      <c r="A97" s="2">
        <v>8</v>
      </c>
      <c r="C97" s="51" t="s">
        <v>62</v>
      </c>
      <c r="D97" s="11">
        <v>108</v>
      </c>
      <c r="E97" s="27">
        <f t="shared" si="7"/>
        <v>357.02640000000002</v>
      </c>
      <c r="L97" s="2"/>
      <c r="N97" s="2"/>
      <c r="O97" s="2"/>
      <c r="Q97" s="2"/>
      <c r="S97" s="2"/>
      <c r="U97" s="2"/>
      <c r="W97" s="2"/>
    </row>
    <row r="98" spans="1:23" x14ac:dyDescent="0.3">
      <c r="A98" s="2">
        <v>9</v>
      </c>
      <c r="C98" s="51" t="s">
        <v>196</v>
      </c>
      <c r="D98" s="11"/>
      <c r="E98" s="27"/>
      <c r="I98" s="2"/>
      <c r="L98" s="2"/>
      <c r="N98" s="2"/>
      <c r="O98" s="2"/>
      <c r="Q98" s="2"/>
      <c r="S98" s="2"/>
      <c r="U98" s="2"/>
      <c r="W98" s="2"/>
    </row>
    <row r="99" spans="1:23" x14ac:dyDescent="0.3">
      <c r="A99" s="2">
        <v>10</v>
      </c>
      <c r="C99" s="51" t="s">
        <v>177</v>
      </c>
      <c r="D99" s="11"/>
      <c r="E99" s="27"/>
      <c r="I99" s="2"/>
      <c r="L99" s="2"/>
      <c r="N99" s="2"/>
      <c r="O99" s="2"/>
      <c r="Q99" s="2"/>
      <c r="S99" s="2"/>
      <c r="U99" s="2"/>
      <c r="W99" s="2"/>
    </row>
    <row r="100" spans="1:23" x14ac:dyDescent="0.3">
      <c r="A100" s="2">
        <v>11</v>
      </c>
      <c r="C100" s="51" t="s">
        <v>180</v>
      </c>
      <c r="D100" s="11"/>
      <c r="E100" s="27"/>
      <c r="I100" s="2"/>
      <c r="L100" s="2"/>
      <c r="N100" s="2"/>
      <c r="O100" s="2"/>
      <c r="Q100" s="2"/>
      <c r="S100" s="2"/>
      <c r="U100" s="2"/>
      <c r="W100" s="2"/>
    </row>
    <row r="101" spans="1:23" x14ac:dyDescent="0.3">
      <c r="A101" s="2">
        <v>12</v>
      </c>
      <c r="C101" s="51" t="s">
        <v>186</v>
      </c>
      <c r="D101" s="11"/>
      <c r="E101" s="27"/>
      <c r="I101" s="2"/>
      <c r="L101" s="2"/>
      <c r="N101" s="2"/>
      <c r="O101" s="2"/>
      <c r="Q101" s="2"/>
      <c r="S101" s="2"/>
      <c r="U101" s="2"/>
      <c r="W101" s="2"/>
    </row>
    <row r="102" spans="1:23" x14ac:dyDescent="0.3">
      <c r="A102" s="2">
        <v>13</v>
      </c>
      <c r="C102" s="51" t="s">
        <v>188</v>
      </c>
      <c r="D102" s="11"/>
      <c r="E102" s="27"/>
      <c r="I102" s="2"/>
      <c r="L102" s="2"/>
      <c r="N102" s="2"/>
      <c r="O102" s="2"/>
      <c r="Q102" s="2"/>
      <c r="S102" s="2"/>
      <c r="U102" s="2"/>
      <c r="W102" s="2"/>
    </row>
    <row r="103" spans="1:23" x14ac:dyDescent="0.3">
      <c r="A103" s="2">
        <v>14</v>
      </c>
      <c r="C103" s="51" t="s">
        <v>190</v>
      </c>
      <c r="D103" s="11"/>
      <c r="E103" s="27"/>
      <c r="I103" s="2"/>
      <c r="L103" s="2"/>
      <c r="N103" s="2"/>
      <c r="O103" s="2"/>
      <c r="Q103" s="2"/>
      <c r="S103" s="2"/>
      <c r="U103" s="2"/>
      <c r="W103" s="2"/>
    </row>
    <row r="104" spans="1:23" x14ac:dyDescent="0.3">
      <c r="A104" s="2">
        <v>15</v>
      </c>
      <c r="C104" s="51" t="s">
        <v>193</v>
      </c>
      <c r="D104" s="11"/>
      <c r="E104" s="27"/>
      <c r="I104" s="2"/>
      <c r="L104" s="2"/>
      <c r="N104" s="2"/>
      <c r="O104" s="2"/>
      <c r="Q104" s="2"/>
      <c r="S104" s="2"/>
      <c r="U104" s="2"/>
      <c r="W104" s="2"/>
    </row>
    <row r="105" spans="1:23" x14ac:dyDescent="0.3">
      <c r="A105" s="2">
        <v>16</v>
      </c>
      <c r="C105" s="51" t="s">
        <v>178</v>
      </c>
      <c r="D105" s="11"/>
      <c r="E105" s="27"/>
      <c r="I105" s="2"/>
      <c r="L105" s="2"/>
      <c r="N105" s="2"/>
      <c r="O105" s="2"/>
      <c r="Q105" s="2"/>
      <c r="S105" s="2"/>
      <c r="U105" s="2"/>
      <c r="W105" s="2"/>
    </row>
    <row r="106" spans="1:23" x14ac:dyDescent="0.3">
      <c r="A106" s="2">
        <v>17</v>
      </c>
      <c r="C106" s="51" t="s">
        <v>191</v>
      </c>
      <c r="D106" s="11"/>
      <c r="E106" s="27"/>
      <c r="I106" s="2"/>
      <c r="L106" s="2"/>
      <c r="N106" s="2"/>
      <c r="O106" s="2"/>
      <c r="Q106" s="2"/>
      <c r="S106" s="2"/>
      <c r="U106" s="2"/>
      <c r="W106" s="2"/>
    </row>
    <row r="107" spans="1:23" x14ac:dyDescent="0.3">
      <c r="A107" s="2">
        <v>18</v>
      </c>
      <c r="C107" s="51" t="s">
        <v>176</v>
      </c>
      <c r="D107" s="11"/>
      <c r="E107" s="27"/>
      <c r="I107" s="2"/>
      <c r="L107" s="2"/>
      <c r="N107" s="2"/>
      <c r="O107" s="2"/>
      <c r="Q107" s="2"/>
      <c r="S107" s="2"/>
      <c r="U107" s="2"/>
      <c r="W107" s="2"/>
    </row>
    <row r="108" spans="1:23" x14ac:dyDescent="0.3">
      <c r="A108" s="2">
        <v>19</v>
      </c>
      <c r="C108" s="51" t="s">
        <v>175</v>
      </c>
      <c r="D108" s="11"/>
      <c r="E108" s="27"/>
      <c r="I108" s="2"/>
      <c r="L108" s="2"/>
      <c r="N108" s="2"/>
      <c r="O108" s="2"/>
      <c r="Q108" s="2"/>
      <c r="S108" s="2"/>
      <c r="U108" s="2"/>
      <c r="W108" s="2"/>
    </row>
    <row r="109" spans="1:23" x14ac:dyDescent="0.3">
      <c r="A109" s="2">
        <v>20</v>
      </c>
      <c r="C109" s="51" t="s">
        <v>211</v>
      </c>
      <c r="D109" s="11"/>
      <c r="E109" s="27"/>
      <c r="I109" s="2"/>
      <c r="L109" s="2"/>
      <c r="N109" s="2"/>
      <c r="O109" s="2"/>
      <c r="Q109" s="2"/>
      <c r="S109" s="2"/>
      <c r="U109" s="2"/>
      <c r="W109" s="2"/>
    </row>
    <row r="110" spans="1:23" x14ac:dyDescent="0.3">
      <c r="A110" s="2">
        <v>21</v>
      </c>
      <c r="C110" s="51" t="s">
        <v>63</v>
      </c>
      <c r="D110" s="11">
        <v>109</v>
      </c>
      <c r="E110" s="27">
        <f>+D110*3.3058</f>
        <v>360.3322</v>
      </c>
      <c r="L110" s="2"/>
      <c r="N110" s="2"/>
      <c r="O110" s="2"/>
      <c r="Q110" s="2"/>
      <c r="S110" s="2"/>
      <c r="U110" s="2"/>
      <c r="W110" s="2"/>
    </row>
    <row r="111" spans="1:23" x14ac:dyDescent="0.3">
      <c r="A111" s="2">
        <v>22</v>
      </c>
      <c r="C111" s="27" t="s">
        <v>163</v>
      </c>
      <c r="D111" s="11">
        <f>SUM(D90:D110)</f>
        <v>945</v>
      </c>
      <c r="E111" s="27">
        <f>SUM(E90:E110)</f>
        <v>3123.9810000000002</v>
      </c>
      <c r="L111" s="2"/>
      <c r="N111" s="2"/>
      <c r="O111" s="2"/>
      <c r="Q111" s="2"/>
      <c r="S111" s="2"/>
      <c r="U111" s="2"/>
      <c r="W111" s="2"/>
    </row>
    <row r="112" spans="1:23" x14ac:dyDescent="0.3">
      <c r="L112" s="2"/>
      <c r="N112" s="2"/>
      <c r="O112" s="2"/>
      <c r="Q112" s="2"/>
      <c r="S112" s="2"/>
      <c r="U112" s="2"/>
      <c r="W112" s="2"/>
    </row>
    <row r="113" spans="1:23" x14ac:dyDescent="0.3">
      <c r="B113" s="2" t="s">
        <v>170</v>
      </c>
      <c r="C113" s="2" t="s">
        <v>164</v>
      </c>
      <c r="D113" s="2" t="s">
        <v>165</v>
      </c>
      <c r="E113" s="57" t="s">
        <v>166</v>
      </c>
      <c r="L113" s="2"/>
      <c r="N113" s="2"/>
      <c r="O113" s="2"/>
      <c r="Q113" s="2"/>
      <c r="S113" s="2"/>
      <c r="U113" s="2"/>
      <c r="W113" s="2"/>
    </row>
    <row r="114" spans="1:23" x14ac:dyDescent="0.3">
      <c r="A114" s="2">
        <v>1</v>
      </c>
      <c r="C114" s="51" t="s">
        <v>73</v>
      </c>
      <c r="D114" s="11">
        <v>103</v>
      </c>
      <c r="E114" s="27">
        <f>+D114*3.3058</f>
        <v>340.49740000000003</v>
      </c>
      <c r="L114" s="2"/>
      <c r="N114" s="2"/>
      <c r="O114" s="2"/>
      <c r="Q114" s="2"/>
      <c r="S114" s="2"/>
      <c r="U114" s="2"/>
      <c r="W114" s="2"/>
    </row>
    <row r="115" spans="1:23" x14ac:dyDescent="0.3">
      <c r="A115" s="2">
        <v>2</v>
      </c>
      <c r="C115" s="51" t="s">
        <v>185</v>
      </c>
      <c r="D115" s="11"/>
      <c r="E115" s="27"/>
      <c r="L115" s="2"/>
      <c r="N115" s="2"/>
      <c r="O115" s="2"/>
      <c r="Q115" s="2"/>
      <c r="S115" s="2"/>
      <c r="U115" s="2"/>
      <c r="W115" s="2"/>
    </row>
    <row r="116" spans="1:23" x14ac:dyDescent="0.3">
      <c r="A116" s="2">
        <v>3</v>
      </c>
      <c r="C116" s="51" t="s">
        <v>63</v>
      </c>
      <c r="D116" s="11">
        <v>109</v>
      </c>
      <c r="E116" s="27">
        <f>+D116*3.3058</f>
        <v>360.3322</v>
      </c>
      <c r="L116" s="2"/>
      <c r="N116" s="2"/>
      <c r="O116" s="2"/>
      <c r="Q116" s="2"/>
      <c r="S116" s="2"/>
      <c r="U116" s="2"/>
      <c r="W116" s="2"/>
    </row>
    <row r="117" spans="1:23" x14ac:dyDescent="0.3">
      <c r="A117" s="2">
        <v>4</v>
      </c>
      <c r="C117" s="51" t="s">
        <v>199</v>
      </c>
      <c r="D117" s="11">
        <v>104</v>
      </c>
      <c r="E117" s="27">
        <f>+D117*3.3058</f>
        <v>343.8032</v>
      </c>
      <c r="L117" s="2"/>
      <c r="N117" s="2"/>
      <c r="O117" s="2"/>
      <c r="Q117" s="2"/>
      <c r="S117" s="2"/>
      <c r="U117" s="2"/>
      <c r="W117" s="2"/>
    </row>
    <row r="118" spans="1:23" x14ac:dyDescent="0.3">
      <c r="A118" s="2">
        <v>5</v>
      </c>
      <c r="C118" s="51" t="s">
        <v>69</v>
      </c>
      <c r="D118" s="11">
        <v>101</v>
      </c>
      <c r="E118" s="27">
        <f>+D118*3.3058</f>
        <v>333.88580000000002</v>
      </c>
      <c r="L118" s="2"/>
      <c r="N118" s="2"/>
      <c r="O118" s="2"/>
      <c r="Q118" s="2"/>
      <c r="S118" s="2"/>
      <c r="U118" s="2"/>
      <c r="W118" s="2"/>
    </row>
    <row r="119" spans="1:23" x14ac:dyDescent="0.3">
      <c r="A119" s="2">
        <v>6</v>
      </c>
      <c r="C119" s="51" t="s">
        <v>74</v>
      </c>
      <c r="D119" s="11">
        <v>106</v>
      </c>
      <c r="E119" s="27">
        <f>+D119*3.3058</f>
        <v>350.41480000000001</v>
      </c>
      <c r="L119" s="2"/>
      <c r="N119" s="2"/>
      <c r="O119" s="2"/>
      <c r="Q119" s="2"/>
      <c r="S119" s="2"/>
      <c r="U119" s="2"/>
      <c r="W119" s="2"/>
    </row>
    <row r="120" spans="1:23" x14ac:dyDescent="0.3">
      <c r="A120" s="2">
        <v>7</v>
      </c>
      <c r="C120" s="51" t="s">
        <v>62</v>
      </c>
      <c r="D120" s="11">
        <v>107</v>
      </c>
      <c r="E120" s="27">
        <f>+D120*3.3058</f>
        <v>353.72059999999999</v>
      </c>
      <c r="L120" s="2"/>
      <c r="N120" s="2"/>
      <c r="O120" s="2"/>
      <c r="Q120" s="2"/>
      <c r="S120" s="2"/>
      <c r="U120" s="2"/>
      <c r="W120" s="2"/>
    </row>
    <row r="121" spans="1:23" x14ac:dyDescent="0.3">
      <c r="A121" s="2">
        <v>8</v>
      </c>
      <c r="C121" s="51" t="s">
        <v>187</v>
      </c>
      <c r="D121" s="11"/>
      <c r="E121" s="27"/>
      <c r="L121" s="2"/>
      <c r="N121" s="2"/>
      <c r="O121" s="2"/>
      <c r="Q121" s="2"/>
      <c r="S121" s="2"/>
      <c r="U121" s="2"/>
      <c r="W121" s="2"/>
    </row>
    <row r="122" spans="1:23" ht="17.25" customHeight="1" x14ac:dyDescent="0.3">
      <c r="A122" s="2">
        <v>9</v>
      </c>
      <c r="C122" s="51" t="s">
        <v>70</v>
      </c>
      <c r="D122" s="11">
        <v>102</v>
      </c>
      <c r="E122" s="27">
        <f>+D122*3.3058</f>
        <v>337.19159999999999</v>
      </c>
      <c r="L122" s="2"/>
      <c r="N122" s="2"/>
      <c r="O122" s="2"/>
      <c r="Q122" s="2"/>
      <c r="S122" s="2"/>
      <c r="U122" s="2"/>
      <c r="W122" s="2"/>
    </row>
    <row r="123" spans="1:23" x14ac:dyDescent="0.3">
      <c r="A123" s="2">
        <v>10</v>
      </c>
      <c r="C123" s="51" t="s">
        <v>211</v>
      </c>
      <c r="D123" s="11"/>
      <c r="E123" s="27"/>
      <c r="I123" s="2"/>
      <c r="L123" s="2"/>
      <c r="N123" s="2"/>
      <c r="O123" s="2"/>
      <c r="Q123" s="2"/>
      <c r="S123" s="2"/>
      <c r="U123" s="2"/>
      <c r="W123" s="2"/>
    </row>
    <row r="124" spans="1:23" x14ac:dyDescent="0.3">
      <c r="A124" s="2">
        <v>11</v>
      </c>
      <c r="C124" s="51" t="s">
        <v>63</v>
      </c>
      <c r="D124" s="11">
        <v>109</v>
      </c>
      <c r="E124" s="27">
        <f>+D124*3.3058</f>
        <v>360.3322</v>
      </c>
      <c r="L124" s="2"/>
      <c r="N124" s="2"/>
      <c r="O124" s="2"/>
      <c r="Q124" s="2"/>
      <c r="S124" s="2"/>
      <c r="U124" s="2"/>
      <c r="W124" s="2"/>
    </row>
    <row r="125" spans="1:23" x14ac:dyDescent="0.3">
      <c r="A125" s="2">
        <v>12</v>
      </c>
      <c r="C125" s="27" t="s">
        <v>163</v>
      </c>
      <c r="D125" s="11">
        <f>SUM(D114:D122)</f>
        <v>732</v>
      </c>
      <c r="E125" s="27">
        <f>SUM(E114:E122)</f>
        <v>2419.8456000000001</v>
      </c>
      <c r="L125" s="2"/>
      <c r="N125" s="2"/>
      <c r="O125" s="2"/>
      <c r="Q125" s="2"/>
      <c r="S125" s="2"/>
      <c r="U125" s="2"/>
      <c r="W125" s="2"/>
    </row>
    <row r="126" spans="1:23" x14ac:dyDescent="0.3">
      <c r="L126" s="2"/>
      <c r="N126" s="2"/>
      <c r="O126" s="2"/>
      <c r="Q126" s="2"/>
      <c r="S126" s="2"/>
      <c r="U126" s="2"/>
      <c r="W126" s="2"/>
    </row>
    <row r="127" spans="1:23" x14ac:dyDescent="0.3">
      <c r="B127" s="2" t="s">
        <v>171</v>
      </c>
      <c r="C127" s="2" t="s">
        <v>164</v>
      </c>
      <c r="D127" s="2" t="s">
        <v>165</v>
      </c>
      <c r="E127" s="57" t="s">
        <v>166</v>
      </c>
    </row>
    <row r="128" spans="1:23" x14ac:dyDescent="0.3">
      <c r="A128" s="2">
        <v>1</v>
      </c>
      <c r="C128" s="51" t="s">
        <v>192</v>
      </c>
      <c r="D128" s="11"/>
      <c r="E128" s="27"/>
    </row>
    <row r="129" spans="1:23" x14ac:dyDescent="0.3">
      <c r="A129" s="2">
        <v>2</v>
      </c>
      <c r="C129" s="51" t="s">
        <v>63</v>
      </c>
      <c r="D129" s="11">
        <v>108</v>
      </c>
      <c r="E129" s="27">
        <f t="shared" ref="E129:E136" si="8">+D129*3.3058</f>
        <v>357.02640000000002</v>
      </c>
    </row>
    <row r="130" spans="1:23" x14ac:dyDescent="0.3">
      <c r="A130" s="2">
        <v>3</v>
      </c>
      <c r="C130" s="51" t="s">
        <v>78</v>
      </c>
      <c r="D130" s="11">
        <v>104</v>
      </c>
      <c r="E130" s="27">
        <f t="shared" si="8"/>
        <v>343.8032</v>
      </c>
    </row>
    <row r="131" spans="1:23" x14ac:dyDescent="0.3">
      <c r="A131" s="2">
        <v>4</v>
      </c>
      <c r="C131" s="51" t="s">
        <v>79</v>
      </c>
      <c r="D131" s="11">
        <v>105</v>
      </c>
      <c r="E131" s="27">
        <f t="shared" si="8"/>
        <v>347.10899999999998</v>
      </c>
    </row>
    <row r="132" spans="1:23" x14ac:dyDescent="0.3">
      <c r="A132" s="2">
        <v>5</v>
      </c>
      <c r="C132" s="51" t="s">
        <v>75</v>
      </c>
      <c r="D132" s="11">
        <v>101</v>
      </c>
      <c r="E132" s="27">
        <f t="shared" si="8"/>
        <v>333.88580000000002</v>
      </c>
    </row>
    <row r="133" spans="1:23" x14ac:dyDescent="0.3">
      <c r="A133" s="2">
        <v>6</v>
      </c>
      <c r="C133" s="51" t="s">
        <v>77</v>
      </c>
      <c r="D133" s="11">
        <v>103</v>
      </c>
      <c r="E133" s="27">
        <f t="shared" si="8"/>
        <v>340.49740000000003</v>
      </c>
    </row>
    <row r="134" spans="1:23" x14ac:dyDescent="0.3">
      <c r="A134" s="2">
        <v>7</v>
      </c>
      <c r="C134" s="51" t="s">
        <v>76</v>
      </c>
      <c r="D134" s="11">
        <v>102</v>
      </c>
      <c r="E134" s="27">
        <f t="shared" si="8"/>
        <v>337.19159999999999</v>
      </c>
    </row>
    <row r="135" spans="1:23" x14ac:dyDescent="0.3">
      <c r="A135" s="2">
        <v>8</v>
      </c>
      <c r="C135" s="51" t="s">
        <v>80</v>
      </c>
      <c r="D135" s="11">
        <v>106</v>
      </c>
      <c r="E135" s="27">
        <f t="shared" si="8"/>
        <v>350.41480000000001</v>
      </c>
    </row>
    <row r="136" spans="1:23" x14ac:dyDescent="0.3">
      <c r="A136" s="2">
        <v>9</v>
      </c>
      <c r="C136" s="51" t="s">
        <v>81</v>
      </c>
      <c r="D136" s="11">
        <v>107</v>
      </c>
      <c r="E136" s="27">
        <f t="shared" si="8"/>
        <v>353.72059999999999</v>
      </c>
    </row>
    <row r="137" spans="1:23" x14ac:dyDescent="0.3">
      <c r="A137" s="2">
        <v>10</v>
      </c>
      <c r="C137" s="51" t="s">
        <v>211</v>
      </c>
      <c r="D137" s="11"/>
      <c r="E137" s="27"/>
      <c r="I137" s="2"/>
      <c r="L137" s="2"/>
      <c r="N137" s="2"/>
      <c r="O137" s="2"/>
      <c r="Q137" s="2"/>
      <c r="S137" s="2"/>
      <c r="U137" s="2"/>
      <c r="W137" s="2"/>
    </row>
    <row r="138" spans="1:23" x14ac:dyDescent="0.3">
      <c r="A138" s="2">
        <v>11</v>
      </c>
      <c r="C138" s="27" t="s">
        <v>163</v>
      </c>
      <c r="D138" s="11">
        <f>SUM(D128:D136)</f>
        <v>836</v>
      </c>
      <c r="E138" s="27">
        <f>SUM(E128:E136)</f>
        <v>2763.6487999999999</v>
      </c>
    </row>
    <row r="140" spans="1:23" x14ac:dyDescent="0.3">
      <c r="B140" s="2" t="s">
        <v>172</v>
      </c>
      <c r="C140" s="2" t="s">
        <v>164</v>
      </c>
      <c r="D140" s="2" t="s">
        <v>165</v>
      </c>
      <c r="E140" s="57" t="s">
        <v>166</v>
      </c>
    </row>
    <row r="141" spans="1:23" x14ac:dyDescent="0.3">
      <c r="A141" s="2">
        <v>1</v>
      </c>
      <c r="C141" s="51" t="s">
        <v>64</v>
      </c>
      <c r="D141" s="11">
        <v>101</v>
      </c>
      <c r="E141" s="27">
        <f>+D141*3.3058</f>
        <v>333.88580000000002</v>
      </c>
    </row>
    <row r="142" spans="1:23" x14ac:dyDescent="0.3">
      <c r="A142" s="2">
        <v>2</v>
      </c>
      <c r="C142" s="51" t="s">
        <v>65</v>
      </c>
      <c r="D142" s="11">
        <v>102</v>
      </c>
      <c r="E142" s="27">
        <f t="shared" ref="E142:E144" si="9">+D142*3.3058</f>
        <v>337.19159999999999</v>
      </c>
    </row>
    <row r="143" spans="1:23" x14ac:dyDescent="0.3">
      <c r="A143" s="2">
        <v>3</v>
      </c>
      <c r="C143" s="51" t="s">
        <v>66</v>
      </c>
      <c r="D143" s="11">
        <v>103</v>
      </c>
      <c r="E143" s="27">
        <f t="shared" si="9"/>
        <v>340.49740000000003</v>
      </c>
    </row>
    <row r="144" spans="1:23" x14ac:dyDescent="0.3">
      <c r="A144" s="2">
        <v>4</v>
      </c>
      <c r="C144" s="51" t="s">
        <v>63</v>
      </c>
      <c r="D144" s="11">
        <v>104</v>
      </c>
      <c r="E144" s="27">
        <f t="shared" si="9"/>
        <v>343.8032</v>
      </c>
    </row>
    <row r="145" spans="1:23" x14ac:dyDescent="0.3">
      <c r="A145" s="2">
        <v>5</v>
      </c>
      <c r="C145" s="51" t="s">
        <v>211</v>
      </c>
      <c r="D145" s="11"/>
      <c r="E145" s="27"/>
      <c r="I145" s="2"/>
      <c r="L145" s="2"/>
      <c r="N145" s="2"/>
      <c r="O145" s="2"/>
      <c r="Q145" s="2"/>
      <c r="S145" s="2"/>
      <c r="U145" s="2"/>
      <c r="W145" s="2"/>
    </row>
    <row r="146" spans="1:23" x14ac:dyDescent="0.3">
      <c r="A146" s="2">
        <v>6</v>
      </c>
      <c r="C146" s="27" t="s">
        <v>163</v>
      </c>
      <c r="D146" s="11">
        <f>SUM(D141:D144)</f>
        <v>410</v>
      </c>
      <c r="E146" s="27">
        <f>SUM(E141:E144)</f>
        <v>1355.3780000000002</v>
      </c>
    </row>
    <row r="148" spans="1:23" x14ac:dyDescent="0.3">
      <c r="B148" s="2" t="s">
        <v>173</v>
      </c>
      <c r="C148" s="2" t="s">
        <v>164</v>
      </c>
      <c r="D148" s="2" t="s">
        <v>165</v>
      </c>
      <c r="E148" s="57" t="s">
        <v>166</v>
      </c>
    </row>
    <row r="149" spans="1:23" x14ac:dyDescent="0.3">
      <c r="A149" s="2">
        <v>1</v>
      </c>
      <c r="C149" s="51" t="s">
        <v>67</v>
      </c>
      <c r="D149" s="11">
        <v>101</v>
      </c>
      <c r="E149" s="27">
        <f>+D149*3.3058</f>
        <v>333.88580000000002</v>
      </c>
    </row>
    <row r="150" spans="1:23" x14ac:dyDescent="0.3">
      <c r="A150" s="2">
        <v>2</v>
      </c>
      <c r="C150" s="51" t="s">
        <v>68</v>
      </c>
      <c r="D150" s="11">
        <v>102</v>
      </c>
      <c r="E150" s="27">
        <f t="shared" ref="E150:E151" si="10">+D150*3.3058</f>
        <v>337.19159999999999</v>
      </c>
    </row>
    <row r="151" spans="1:23" x14ac:dyDescent="0.3">
      <c r="A151" s="2">
        <v>3</v>
      </c>
      <c r="C151" s="51" t="s">
        <v>63</v>
      </c>
      <c r="D151" s="11">
        <v>108</v>
      </c>
      <c r="E151" s="27">
        <f t="shared" si="10"/>
        <v>357.02640000000002</v>
      </c>
    </row>
    <row r="152" spans="1:23" x14ac:dyDescent="0.3">
      <c r="A152" s="2">
        <v>4</v>
      </c>
      <c r="C152" s="51" t="s">
        <v>211</v>
      </c>
      <c r="D152" s="11"/>
      <c r="E152" s="27"/>
      <c r="I152" s="2"/>
      <c r="L152" s="2"/>
      <c r="N152" s="2"/>
      <c r="O152" s="2"/>
      <c r="Q152" s="2"/>
      <c r="S152" s="2"/>
      <c r="U152" s="2"/>
      <c r="W152" s="2"/>
    </row>
    <row r="153" spans="1:23" x14ac:dyDescent="0.3">
      <c r="A153" s="2">
        <v>5</v>
      </c>
      <c r="C153" s="27" t="s">
        <v>163</v>
      </c>
      <c r="D153" s="11">
        <f>SUM(D149:D151)</f>
        <v>311</v>
      </c>
      <c r="E153" s="27">
        <f>SUM(E149:E151)</f>
        <v>1028.1038000000001</v>
      </c>
    </row>
  </sheetData>
  <sortState xmlns:xlrd2="http://schemas.microsoft.com/office/spreadsheetml/2017/richdata2" ref="A129:AN171">
    <sortCondition ref="C129:C171"/>
  </sortState>
  <mergeCells count="4">
    <mergeCell ref="H1:H3"/>
    <mergeCell ref="I1:J3"/>
    <mergeCell ref="K1:L3"/>
    <mergeCell ref="M1:N3"/>
  </mergeCells>
  <phoneticPr fontId="2" type="noConversion"/>
  <dataValidations count="5">
    <dataValidation type="list" allowBlank="1" showInputMessage="1" showErrorMessage="1" sqref="C13" xr:uid="{00000000-0002-0000-0100-000000000000}">
      <formula1>$T$4:$T$6</formula1>
    </dataValidation>
    <dataValidation type="list" allowBlank="1" showInputMessage="1" showErrorMessage="1" sqref="C15" xr:uid="{00000000-0002-0000-0100-000001000000}">
      <formula1>$V$4:$V$6</formula1>
    </dataValidation>
    <dataValidation type="list" allowBlank="1" showInputMessage="1" showErrorMessage="1" sqref="C4" xr:uid="{00000000-0002-0000-0100-000002000000}">
      <formula1>$J$4:$J$20</formula1>
    </dataValidation>
    <dataValidation type="list" allowBlank="1" showInputMessage="1" showErrorMessage="1" sqref="C9" xr:uid="{00000000-0002-0000-0100-000003000000}">
      <formula1>$P$4:$P$17</formula1>
    </dataValidation>
    <dataValidation type="list" allowBlank="1" showInputMessage="1" showErrorMessage="1" sqref="C11" xr:uid="{00000000-0002-0000-0100-000004000000}">
      <formula1>$R$4:$R$15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souljamworks</cp:lastModifiedBy>
  <dcterms:created xsi:type="dcterms:W3CDTF">2020-03-26T22:13:09Z</dcterms:created>
  <dcterms:modified xsi:type="dcterms:W3CDTF">2020-04-19T12:22:56Z</dcterms:modified>
</cp:coreProperties>
</file>