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D126" i="4" l="1"/>
  <c r="E59" i="4" l="1"/>
  <c r="D54" i="4" l="1"/>
  <c r="D19" i="4" s="1"/>
  <c r="D18" i="4"/>
  <c r="E18" i="4" s="1"/>
  <c r="D89" i="4"/>
  <c r="D21" i="4" s="1"/>
  <c r="D60" i="4"/>
  <c r="D20" i="4" s="1"/>
  <c r="E20" i="4" s="1"/>
  <c r="D113" i="4"/>
  <c r="D22" i="4" s="1"/>
  <c r="E22" i="4" s="1"/>
  <c r="D127" i="4"/>
  <c r="D23" i="4"/>
  <c r="E23" i="4" s="1"/>
  <c r="E151" i="4"/>
  <c r="E152" i="4"/>
  <c r="E155" i="4" s="1"/>
  <c r="E153" i="4"/>
  <c r="E154" i="4"/>
  <c r="E143" i="4"/>
  <c r="E148" i="4" s="1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40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55" i="4"/>
  <c r="D26" i="4" s="1"/>
  <c r="E26" i="4" s="1"/>
  <c r="D148" i="4"/>
  <c r="D25" i="4" s="1"/>
  <c r="E25" i="4" s="1"/>
  <c r="D140" i="4"/>
  <c r="D7" i="4"/>
  <c r="D24" i="4"/>
  <c r="E24" i="4" s="1"/>
  <c r="V34" i="4"/>
  <c r="V63" i="4"/>
  <c r="T34" i="4"/>
  <c r="T63" i="4"/>
  <c r="O31" i="1"/>
  <c r="M31" i="1"/>
  <c r="E113" i="4" l="1"/>
  <c r="D27" i="4"/>
  <c r="E27" i="4" s="1"/>
  <c r="E60" i="4"/>
  <c r="E89" i="4"/>
  <c r="E21" i="4"/>
  <c r="E127" i="4"/>
  <c r="E54" i="4"/>
  <c r="E19" i="4"/>
  <c r="D28" i="4" l="1"/>
  <c r="E28" i="4"/>
</calcChain>
</file>

<file path=xl/sharedStrings.xml><?xml version="1.0" encoding="utf-8"?>
<sst xmlns="http://schemas.openxmlformats.org/spreadsheetml/2006/main" count="587" uniqueCount="236">
  <si>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</si>
  <si>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</si>
  <si>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</si>
  <si>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</si>
  <si>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</si>
  <si>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</si>
  <si>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</si>
  <si>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</si>
  <si>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</si>
  <si>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</si>
  <si>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</si>
  <si>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</si>
  <si>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</si>
  <si>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</si>
  <si>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</si>
  <si>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</si>
  <si>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</si>
  <si>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</si>
  <si>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</si>
  <si>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</si>
  <si>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</si>
  <si>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</si>
  <si>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</si>
  <si>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</si>
  <si>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</si>
  <si>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</si>
  <si>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</si>
  <si>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</si>
  <si>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</si>
  <si>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</si>
  <si>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</si>
  <si>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</si>
  <si>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</si>
  <si>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</si>
  <si>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</si>
  <si>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</si>
  <si>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</si>
  <si>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</si>
  <si>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</si>
  <si>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</si>
  <si>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</si>
  <si>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</si>
  <si>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</si>
  <si>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</si>
  <si>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</si>
  <si>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</si>
  <si>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</si>
  <si>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</si>
  <si>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</si>
  <si>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</si>
  <si>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</si>
  <si>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</si>
  <si>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</si>
  <si>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</si>
  <si>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</si>
  <si>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</si>
  <si>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</si>
  <si>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</si>
  <si>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</si>
  <si>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</si>
  <si>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</si>
  <si>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</si>
  <si>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</si>
  <si>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</si>
  <si>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</si>
  <si>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</si>
  <si>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</si>
  <si>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</si>
  <si>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</si>
  <si>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</si>
  <si>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</si>
  <si>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</si>
  <si>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</si>
  <si>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</si>
  <si>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</si>
  <si>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</si>
  <si>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</si>
  <si>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</si>
  <si>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</si>
  <si>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</si>
  <si>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</si>
  <si>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</si>
  <si>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</si>
  <si>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</si>
  <si>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</si>
  <si>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</si>
  <si>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</si>
  <si>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</si>
  <si>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</si>
  <si>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</si>
  <si>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</si>
  <si>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</si>
  <si>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</si>
  <si>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</si>
  <si>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</si>
  <si>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</si>
  <si>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</si>
  <si>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</si>
  <si>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</si>
  <si>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</si>
  <si>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</si>
  <si>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</si>
  <si>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</si>
  <si>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</si>
  <si>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</si>
  <si>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</si>
  <si>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</si>
  <si>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</si>
  <si>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</si>
  <si>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</si>
  <si>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</si>
  <si>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</si>
  <si>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</si>
  <si>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</si>
  <si>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</si>
  <si>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</si>
  <si>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</si>
  <si>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</si>
  <si>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</si>
  <si>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</si>
  <si>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</si>
  <si>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</si>
  <si>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</si>
  <si>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</si>
  <si>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</si>
  <si>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</si>
  <si>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</si>
  <si>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</si>
  <si>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</si>
  <si>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</si>
  <si>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</si>
  <si>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</si>
  <si>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</si>
  <si>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</si>
  <si>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</si>
  <si>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</si>
  <si>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</si>
  <si>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</si>
  <si>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</si>
  <si>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</si>
  <si>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</si>
  <si>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</si>
  <si>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</si>
  <si>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</si>
  <si>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</si>
  <si>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</si>
  <si>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</si>
  <si>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</si>
  <si>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</si>
  <si>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</si>
  <si>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</si>
  <si>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</si>
  <si>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</si>
  <si>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</si>
  <si>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</si>
  <si>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</si>
  <si>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</si>
  <si>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</si>
  <si>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</si>
  <si>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</si>
  <si>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</si>
  <si>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</si>
  <si>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</si>
  <si>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</si>
  <si>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</si>
  <si>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</si>
  <si>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</si>
  <si>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</si>
  <si>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</si>
  <si>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</si>
  <si>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</si>
  <si>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</si>
  <si>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</si>
  <si>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</si>
  <si>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</si>
  <si>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</si>
  <si>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</si>
  <si>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</si>
  <si>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</si>
  <si>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</si>
  <si>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</si>
  <si>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</si>
  <si>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</si>
  <si>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</si>
  <si>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</si>
  <si>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업무</t>
  </si>
  <si>
    <t>마감공사</t>
    <phoneticPr fontId="2" type="noConversion"/>
  </si>
  <si>
    <t>경찰서3</t>
    <phoneticPr fontId="2" type="noConversion"/>
  </si>
  <si>
    <t>강원도</t>
  </si>
  <si>
    <t>가스설비</t>
    <phoneticPr fontId="2" type="noConversion"/>
  </si>
  <si>
    <t>기타설비</t>
    <phoneticPr fontId="2" type="noConversion"/>
  </si>
  <si>
    <t>옥외인입공사,기타설비</t>
    <phoneticPr fontId="2" type="noConversion"/>
  </si>
  <si>
    <t>제경비(VAT 별도)</t>
    <phoneticPr fontId="2" type="noConversion"/>
  </si>
  <si>
    <t>가설</t>
    <phoneticPr fontId="2" type="noConversion"/>
  </si>
  <si>
    <t>식재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</si>
  <si>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</si>
  <si>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</si>
  <si>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</si>
  <si>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</si>
  <si>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2001년</t>
    <phoneticPr fontId="2" type="noConversion"/>
  </si>
  <si>
    <t>2002년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</si>
  <si>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</si>
  <si>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</si>
  <si>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</si>
  <si>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</si>
  <si>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</si>
  <si>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</si>
  <si>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</si>
  <si>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</si>
  <si>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</si>
  <si>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유도등</t>
    <phoneticPr fontId="2" type="noConversion"/>
  </si>
  <si>
    <t>판매</t>
    <phoneticPr fontId="2" type="noConversion"/>
  </si>
  <si>
    <t>광주시</t>
    <phoneticPr fontId="2" type="noConversion"/>
  </si>
  <si>
    <t>2007년</t>
  </si>
  <si>
    <t>변전실무근및기타건축공사</t>
    <phoneticPr fontId="2" type="noConversion"/>
  </si>
  <si>
    <t>2008년</t>
  </si>
  <si>
    <t>2009년</t>
  </si>
  <si>
    <t>창호</t>
    <phoneticPr fontId="2" type="noConversion"/>
  </si>
  <si>
    <t>2010년</t>
  </si>
  <si>
    <t>업무</t>
    <phoneticPr fontId="2" type="noConversion"/>
  </si>
  <si>
    <t>2011년</t>
  </si>
  <si>
    <t>2012년</t>
  </si>
  <si>
    <t>배기닥트공사</t>
    <phoneticPr fontId="2" type="noConversion"/>
  </si>
  <si>
    <t>2013년</t>
  </si>
  <si>
    <t>인테리어</t>
    <phoneticPr fontId="2" type="noConversion"/>
  </si>
  <si>
    <t>2014년</t>
  </si>
  <si>
    <t>난방설비공사</t>
    <phoneticPr fontId="2" type="noConversion"/>
  </si>
  <si>
    <t>2015년</t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</si>
  <si>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</si>
  <si>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</si>
  <si>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</si>
  <si>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</si>
  <si>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</si>
  <si>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</si>
  <si>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2004년</t>
  </si>
  <si>
    <t>창호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</si>
</sst>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6" t="s">
        <v>0</v>
      </c>
      <c r="B2" s="69" t="s">
        <v>1</v>
      </c>
      <c r="C2" s="70"/>
      <c r="D2" s="69" t="s">
        <v>2</v>
      </c>
      <c r="E2" s="70"/>
      <c r="F2" s="69" t="s">
        <v>113</v>
      </c>
      <c r="G2" s="70"/>
      <c r="H2" s="69" t="s">
        <v>3</v>
      </c>
      <c r="I2" s="70"/>
      <c r="J2" s="69" t="s">
        <v>4</v>
      </c>
      <c r="K2" s="70"/>
      <c r="L2" s="69" t="s">
        <v>5</v>
      </c>
      <c r="M2" s="70"/>
      <c r="N2" s="69" t="s">
        <v>69</v>
      </c>
      <c r="O2" s="70"/>
      <c r="P2" s="69" t="s">
        <v>9</v>
      </c>
      <c r="Q2" s="70"/>
      <c r="R2" s="63" t="s">
        <v>114</v>
      </c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5"/>
    </row>
    <row r="3" spans="1:33" x14ac:dyDescent="0.3">
      <c r="A3" s="67"/>
      <c r="B3" s="71"/>
      <c r="C3" s="72"/>
      <c r="D3" s="71"/>
      <c r="E3" s="72"/>
      <c r="F3" s="71"/>
      <c r="G3" s="72"/>
      <c r="H3" s="71"/>
      <c r="I3" s="72"/>
      <c r="J3" s="71"/>
      <c r="K3" s="72"/>
      <c r="L3" s="71"/>
      <c r="M3" s="72"/>
      <c r="N3" s="71"/>
      <c r="O3" s="72"/>
      <c r="P3" s="71"/>
      <c r="Q3" s="72"/>
      <c r="R3" s="57" t="s">
        <v>10</v>
      </c>
      <c r="S3" s="58"/>
      <c r="T3" s="57" t="s">
        <v>115</v>
      </c>
      <c r="U3" s="58"/>
      <c r="V3" s="57" t="s">
        <v>116</v>
      </c>
      <c r="W3" s="58"/>
      <c r="X3" s="57" t="s">
        <v>117</v>
      </c>
      <c r="Y3" s="58"/>
      <c r="Z3" s="57" t="s">
        <v>118</v>
      </c>
      <c r="AA3" s="58"/>
      <c r="AB3" s="57" t="s">
        <v>119</v>
      </c>
      <c r="AC3" s="58"/>
      <c r="AD3" s="57" t="s">
        <v>120</v>
      </c>
      <c r="AE3" s="58"/>
      <c r="AF3" s="57" t="s">
        <v>121</v>
      </c>
      <c r="AG3" s="58"/>
    </row>
    <row r="4" spans="1:33" x14ac:dyDescent="0.3">
      <c r="A4" s="68"/>
      <c r="B4" s="73"/>
      <c r="C4" s="74"/>
      <c r="D4" s="73"/>
      <c r="E4" s="74"/>
      <c r="F4" s="73"/>
      <c r="G4" s="74"/>
      <c r="H4" s="73"/>
      <c r="I4" s="74"/>
      <c r="J4" s="73"/>
      <c r="K4" s="74"/>
      <c r="L4" s="73"/>
      <c r="M4" s="74"/>
      <c r="N4" s="73"/>
      <c r="O4" s="74"/>
      <c r="P4" s="73"/>
      <c r="Q4" s="74"/>
      <c r="R4" s="59"/>
      <c r="S4" s="60"/>
      <c r="T4" s="59"/>
      <c r="U4" s="60"/>
      <c r="V4" s="59"/>
      <c r="W4" s="60"/>
      <c r="X4" s="59"/>
      <c r="Y4" s="60"/>
      <c r="Z4" s="59"/>
      <c r="AA4" s="60"/>
      <c r="AB4" s="59"/>
      <c r="AC4" s="60"/>
      <c r="AD4" s="59"/>
      <c r="AE4" s="60"/>
      <c r="AF4" s="59"/>
      <c r="AG4" s="60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111</v>
      </c>
      <c r="F5" s="5">
        <v>1</v>
      </c>
      <c r="G5" s="17" t="s">
        <v>104</v>
      </c>
      <c r="H5" s="5">
        <v>1</v>
      </c>
      <c r="I5" s="1" t="s">
        <v>97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193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161</v>
      </c>
      <c r="AD5" s="28">
        <v>1</v>
      </c>
      <c r="AE5" s="29" t="s">
        <v>53</v>
      </c>
      <c r="AF5" s="28">
        <v>1</v>
      </c>
      <c r="AG5" s="42" t="s">
        <v>194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112</v>
      </c>
      <c r="F6" s="5">
        <v>2</v>
      </c>
      <c r="G6" s="17" t="s">
        <v>105</v>
      </c>
      <c r="H6" s="5">
        <v>2</v>
      </c>
      <c r="I6" s="1" t="s">
        <v>195</v>
      </c>
      <c r="J6" s="19">
        <v>2</v>
      </c>
      <c r="K6" s="1" t="s">
        <v>196</v>
      </c>
      <c r="L6" s="5">
        <v>2</v>
      </c>
      <c r="M6" s="6" t="s">
        <v>7</v>
      </c>
      <c r="N6" s="5">
        <v>2</v>
      </c>
      <c r="O6" s="6" t="s">
        <v>197</v>
      </c>
      <c r="P6" s="5">
        <v>2</v>
      </c>
      <c r="Q6" s="1" t="s">
        <v>10</v>
      </c>
      <c r="R6" s="28">
        <v>2</v>
      </c>
      <c r="S6" s="29" t="s">
        <v>198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154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98</v>
      </c>
      <c r="F7" s="5">
        <v>3</v>
      </c>
      <c r="G7" s="17" t="s">
        <v>106</v>
      </c>
      <c r="H7" s="5">
        <v>3</v>
      </c>
      <c r="I7" s="1" t="s">
        <v>87</v>
      </c>
      <c r="J7" s="19">
        <v>3</v>
      </c>
      <c r="K7" s="1" t="s">
        <v>199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182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99</v>
      </c>
      <c r="F8" s="5">
        <v>4</v>
      </c>
      <c r="G8" s="17" t="s">
        <v>107</v>
      </c>
      <c r="H8" s="5">
        <v>4</v>
      </c>
      <c r="I8" s="1" t="s">
        <v>88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168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179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100</v>
      </c>
      <c r="F9" s="5">
        <v>5</v>
      </c>
      <c r="G9" s="17" t="s">
        <v>108</v>
      </c>
      <c r="H9" s="5">
        <v>5</v>
      </c>
      <c r="I9" s="1" t="s">
        <v>89</v>
      </c>
      <c r="J9" s="19">
        <v>5</v>
      </c>
      <c r="K9" s="1" t="s">
        <v>201</v>
      </c>
      <c r="L9" s="5"/>
      <c r="M9" s="6"/>
      <c r="N9" s="5"/>
      <c r="O9" s="6"/>
      <c r="P9" s="5">
        <v>5</v>
      </c>
      <c r="Q9" s="1" t="s">
        <v>202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179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101</v>
      </c>
      <c r="F10" s="5">
        <v>6</v>
      </c>
      <c r="G10" s="17" t="s">
        <v>109</v>
      </c>
      <c r="H10" s="5">
        <v>6</v>
      </c>
      <c r="I10" s="1" t="s">
        <v>203</v>
      </c>
      <c r="J10" s="19">
        <v>6</v>
      </c>
      <c r="K10" s="1" t="s">
        <v>204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189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205</v>
      </c>
      <c r="F11" s="5">
        <v>7</v>
      </c>
      <c r="G11" s="17" t="s">
        <v>110</v>
      </c>
      <c r="H11" s="5">
        <v>7</v>
      </c>
      <c r="I11" s="1" t="s">
        <v>90</v>
      </c>
      <c r="J11" s="19">
        <v>7</v>
      </c>
      <c r="K11" s="1" t="s">
        <v>206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170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207</v>
      </c>
      <c r="F12" s="5">
        <v>8</v>
      </c>
      <c r="G12" s="17" t="s">
        <v>208</v>
      </c>
      <c r="H12" s="5">
        <v>8</v>
      </c>
      <c r="I12" s="1" t="s">
        <v>91</v>
      </c>
      <c r="J12" s="19">
        <v>8</v>
      </c>
      <c r="K12" s="1" t="s">
        <v>209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149</v>
      </c>
      <c r="X12" s="28">
        <v>8</v>
      </c>
      <c r="Y12" s="29" t="s">
        <v>51</v>
      </c>
      <c r="Z12" s="28">
        <v>8</v>
      </c>
      <c r="AA12" s="29" t="s">
        <v>156</v>
      </c>
      <c r="AB12" s="28">
        <v>8</v>
      </c>
      <c r="AC12" s="29" t="s">
        <v>210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211</v>
      </c>
      <c r="D13" s="5">
        <v>9</v>
      </c>
      <c r="E13" s="1" t="s">
        <v>102</v>
      </c>
      <c r="F13" s="5"/>
      <c r="G13" s="17"/>
      <c r="H13" s="5">
        <v>9</v>
      </c>
      <c r="I13" s="1" t="s">
        <v>212</v>
      </c>
      <c r="J13" s="19">
        <v>9</v>
      </c>
      <c r="K13" s="1" t="s">
        <v>213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183</v>
      </c>
      <c r="X13" s="28">
        <v>9</v>
      </c>
      <c r="Y13" s="29" t="s">
        <v>214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103</v>
      </c>
      <c r="F14" s="5"/>
      <c r="G14" s="17"/>
      <c r="H14" s="5">
        <v>10</v>
      </c>
      <c r="I14" s="1" t="s">
        <v>92</v>
      </c>
      <c r="J14" s="19">
        <v>10</v>
      </c>
      <c r="K14" s="1" t="s">
        <v>215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167</v>
      </c>
      <c r="X14" s="28">
        <v>10</v>
      </c>
      <c r="Y14" s="29" t="s">
        <v>147</v>
      </c>
      <c r="Z14" s="28">
        <v>10</v>
      </c>
      <c r="AA14" s="29" t="s">
        <v>179</v>
      </c>
      <c r="AB14" s="28">
        <v>10</v>
      </c>
      <c r="AC14" s="29" t="s">
        <v>179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93</v>
      </c>
      <c r="J15" s="19">
        <v>11</v>
      </c>
      <c r="K15" s="1" t="s">
        <v>216</v>
      </c>
      <c r="L15" s="5"/>
      <c r="M15" s="6"/>
      <c r="N15" s="5"/>
      <c r="O15" s="6"/>
      <c r="P15" s="5"/>
      <c r="Q15" s="1"/>
      <c r="R15" s="28">
        <v>11</v>
      </c>
      <c r="S15" s="29" t="s">
        <v>217</v>
      </c>
      <c r="T15" s="28"/>
      <c r="U15" s="29"/>
      <c r="V15" s="28">
        <v>11</v>
      </c>
      <c r="W15" s="29" t="s">
        <v>163</v>
      </c>
      <c r="X15" s="28">
        <v>11</v>
      </c>
      <c r="Y15" s="29" t="s">
        <v>150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94</v>
      </c>
      <c r="J16" s="19">
        <v>12</v>
      </c>
      <c r="K16" s="1" t="s">
        <v>218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158</v>
      </c>
      <c r="X16" s="28">
        <v>12</v>
      </c>
      <c r="Y16" s="29" t="s">
        <v>155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219</v>
      </c>
      <c r="D17" s="5"/>
      <c r="E17" s="1"/>
      <c r="F17" s="17"/>
      <c r="G17" s="17"/>
      <c r="H17" s="5">
        <v>13</v>
      </c>
      <c r="I17" s="1" t="s">
        <v>95</v>
      </c>
      <c r="J17" s="19">
        <v>13</v>
      </c>
      <c r="K17" s="1" t="s">
        <v>220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151</v>
      </c>
      <c r="X17" s="28">
        <v>13</v>
      </c>
      <c r="Y17" s="29" t="s">
        <v>157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96</v>
      </c>
      <c r="J18" s="19">
        <v>14</v>
      </c>
      <c r="K18" s="1" t="s">
        <v>221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222</v>
      </c>
      <c r="X18" s="28">
        <v>14</v>
      </c>
      <c r="Y18" s="29" t="s">
        <v>159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223</v>
      </c>
      <c r="L19" s="5"/>
      <c r="M19" s="6"/>
      <c r="N19" s="5"/>
      <c r="O19" s="6"/>
      <c r="P19" s="5"/>
      <c r="Q19" s="1"/>
      <c r="R19" s="28">
        <v>15</v>
      </c>
      <c r="S19" s="29" t="s">
        <v>224</v>
      </c>
      <c r="T19" s="28"/>
      <c r="U19" s="29"/>
      <c r="V19" s="28">
        <v>15</v>
      </c>
      <c r="W19" s="29" t="s">
        <v>166</v>
      </c>
      <c r="X19" s="28">
        <v>15</v>
      </c>
      <c r="Y19" s="29" t="s">
        <v>162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225</v>
      </c>
      <c r="L20" s="5"/>
      <c r="M20" s="6"/>
      <c r="N20" s="5"/>
      <c r="O20" s="6"/>
      <c r="P20" s="5"/>
      <c r="Q20" s="1"/>
      <c r="R20" s="28">
        <v>16</v>
      </c>
      <c r="S20" s="29" t="s">
        <v>175</v>
      </c>
      <c r="T20" s="28"/>
      <c r="U20" s="29"/>
      <c r="V20" s="28">
        <v>16</v>
      </c>
      <c r="W20" s="29" t="s">
        <v>152</v>
      </c>
      <c r="X20" s="28">
        <v>16</v>
      </c>
      <c r="Y20" s="29" t="s">
        <v>226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227</v>
      </c>
      <c r="L21" s="5"/>
      <c r="M21" s="6"/>
      <c r="N21" s="5"/>
      <c r="O21" s="6"/>
      <c r="P21" s="5"/>
      <c r="Q21" s="1"/>
      <c r="R21" s="28">
        <v>17</v>
      </c>
      <c r="S21" s="29" t="s">
        <v>176</v>
      </c>
      <c r="T21" s="28"/>
      <c r="U21" s="29"/>
      <c r="V21" s="28">
        <v>17</v>
      </c>
      <c r="W21" s="29" t="s">
        <v>153</v>
      </c>
      <c r="X21" s="28">
        <v>17</v>
      </c>
      <c r="Y21" s="29" t="s">
        <v>160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228</v>
      </c>
      <c r="L22" s="5"/>
      <c r="M22" s="6"/>
      <c r="N22" s="5"/>
      <c r="O22" s="6"/>
      <c r="P22" s="5"/>
      <c r="Q22" s="1"/>
      <c r="R22" s="28">
        <v>18</v>
      </c>
      <c r="S22" s="29" t="s">
        <v>177</v>
      </c>
      <c r="T22" s="28"/>
      <c r="U22" s="29"/>
      <c r="V22" s="28">
        <v>18</v>
      </c>
      <c r="W22" s="29" t="s">
        <v>171</v>
      </c>
      <c r="X22" s="28">
        <v>18</v>
      </c>
      <c r="Y22" s="29" t="s">
        <v>146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229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169</v>
      </c>
      <c r="X23" s="28">
        <v>19</v>
      </c>
      <c r="Y23" s="29" t="s">
        <v>145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230</v>
      </c>
      <c r="L24" s="5"/>
      <c r="M24" s="6"/>
      <c r="N24" s="5"/>
      <c r="O24" s="6"/>
      <c r="P24" s="5"/>
      <c r="Q24" s="1"/>
      <c r="R24" s="28">
        <v>20</v>
      </c>
      <c r="S24" s="29" t="s">
        <v>179</v>
      </c>
      <c r="T24" s="28"/>
      <c r="U24" s="29"/>
      <c r="V24" s="28">
        <v>20</v>
      </c>
      <c r="W24" s="29" t="s">
        <v>172</v>
      </c>
      <c r="X24" s="28">
        <v>20</v>
      </c>
      <c r="Y24" s="29" t="s">
        <v>179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231</v>
      </c>
      <c r="L25" s="7"/>
      <c r="M25" s="6"/>
      <c r="N25" s="7"/>
      <c r="O25" s="6"/>
      <c r="P25" s="8"/>
      <c r="Q25" s="1"/>
      <c r="R25" s="30"/>
      <c r="S25" s="29"/>
      <c r="T25" s="61"/>
      <c r="U25" s="29"/>
      <c r="V25" s="28">
        <v>21</v>
      </c>
      <c r="W25" s="29" t="s">
        <v>40</v>
      </c>
      <c r="X25" s="28">
        <v>21</v>
      </c>
      <c r="Y25" s="29" t="s">
        <v>52</v>
      </c>
      <c r="Z25" s="61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232</v>
      </c>
      <c r="L26" s="7"/>
      <c r="M26" s="9"/>
      <c r="N26" s="7"/>
      <c r="O26" s="9"/>
      <c r="P26" s="10"/>
      <c r="Q26" s="1"/>
      <c r="R26" s="31"/>
      <c r="S26" s="29"/>
      <c r="T26" s="62"/>
      <c r="U26" s="29"/>
      <c r="V26" s="28">
        <v>22</v>
      </c>
      <c r="W26" s="29" t="s">
        <v>233</v>
      </c>
      <c r="X26" s="62"/>
      <c r="Y26" s="29"/>
      <c r="Z26" s="62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2"/>
      <c r="U27" s="29"/>
      <c r="V27" s="28">
        <v>23</v>
      </c>
      <c r="W27" s="29" t="s">
        <v>42</v>
      </c>
      <c r="X27" s="62"/>
      <c r="Y27" s="29"/>
      <c r="Z27" s="62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2"/>
      <c r="Y28" s="29"/>
      <c r="Z28" s="62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179</v>
      </c>
      <c r="X29" s="61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15" sqref="E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6" t="s">
        <v>0</v>
      </c>
      <c r="I1" s="69" t="s">
        <v>1</v>
      </c>
      <c r="J1" s="70"/>
      <c r="K1" s="69" t="s">
        <v>2</v>
      </c>
      <c r="L1" s="70"/>
      <c r="M1" s="69" t="s">
        <v>113</v>
      </c>
      <c r="N1" s="70"/>
      <c r="O1" s="69" t="s">
        <v>3</v>
      </c>
      <c r="P1" s="70"/>
      <c r="Q1" s="69" t="s">
        <v>4</v>
      </c>
      <c r="R1" s="70"/>
      <c r="S1" s="69" t="s">
        <v>5</v>
      </c>
      <c r="T1" s="70"/>
      <c r="U1" s="69" t="s">
        <v>69</v>
      </c>
      <c r="V1" s="70"/>
      <c r="W1" s="69" t="s">
        <v>9</v>
      </c>
      <c r="X1" s="70"/>
      <c r="Y1" s="63" t="s">
        <v>114</v>
      </c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5"/>
    </row>
    <row r="2" spans="1:40" ht="17.25" thickBot="1" x14ac:dyDescent="0.35">
      <c r="A2" s="2">
        <v>1</v>
      </c>
      <c r="B2" s="2" t="s">
        <v>122</v>
      </c>
      <c r="C2" s="36" t="s">
        <v>187</v>
      </c>
      <c r="H2" s="67"/>
      <c r="I2" s="71"/>
      <c r="J2" s="72"/>
      <c r="K2" s="71"/>
      <c r="L2" s="72"/>
      <c r="M2" s="71"/>
      <c r="N2" s="72"/>
      <c r="O2" s="71"/>
      <c r="P2" s="72"/>
      <c r="Q2" s="71"/>
      <c r="R2" s="72"/>
      <c r="S2" s="71"/>
      <c r="T2" s="72"/>
      <c r="U2" s="71"/>
      <c r="V2" s="72"/>
      <c r="W2" s="71"/>
      <c r="X2" s="72"/>
      <c r="Y2" s="57" t="s">
        <v>10</v>
      </c>
      <c r="Z2" s="58"/>
      <c r="AA2" s="57" t="s">
        <v>115</v>
      </c>
      <c r="AB2" s="58"/>
      <c r="AC2" s="57" t="s">
        <v>116</v>
      </c>
      <c r="AD2" s="58"/>
      <c r="AE2" s="57" t="s">
        <v>117</v>
      </c>
      <c r="AF2" s="58"/>
      <c r="AG2" s="57" t="s">
        <v>118</v>
      </c>
      <c r="AH2" s="58"/>
      <c r="AI2" s="57" t="s">
        <v>119</v>
      </c>
      <c r="AJ2" s="58"/>
      <c r="AK2" s="57" t="s">
        <v>120</v>
      </c>
      <c r="AL2" s="58"/>
      <c r="AM2" s="57" t="s">
        <v>121</v>
      </c>
      <c r="AN2" s="58"/>
    </row>
    <row r="3" spans="1:40" ht="17.25" thickBot="1" x14ac:dyDescent="0.35">
      <c r="H3" s="68"/>
      <c r="I3" s="73"/>
      <c r="J3" s="74"/>
      <c r="K3" s="73"/>
      <c r="L3" s="74"/>
      <c r="M3" s="73"/>
      <c r="N3" s="74"/>
      <c r="O3" s="73"/>
      <c r="P3" s="74"/>
      <c r="Q3" s="73"/>
      <c r="R3" s="74"/>
      <c r="S3" s="73"/>
      <c r="T3" s="74"/>
      <c r="U3" s="73"/>
      <c r="V3" s="74"/>
      <c r="W3" s="73"/>
      <c r="X3" s="74"/>
      <c r="Y3" s="59"/>
      <c r="Z3" s="60"/>
      <c r="AA3" s="59"/>
      <c r="AB3" s="60"/>
      <c r="AC3" s="59"/>
      <c r="AD3" s="60"/>
      <c r="AE3" s="59"/>
      <c r="AF3" s="60"/>
      <c r="AG3" s="59"/>
      <c r="AH3" s="60"/>
      <c r="AI3" s="59"/>
      <c r="AJ3" s="60"/>
      <c r="AK3" s="59"/>
      <c r="AL3" s="60"/>
      <c r="AM3" s="59"/>
      <c r="AN3" s="60"/>
    </row>
    <row r="4" spans="1:40" ht="17.25" thickBot="1" x14ac:dyDescent="0.35">
      <c r="A4" s="2">
        <v>2</v>
      </c>
      <c r="B4" s="2" t="s">
        <v>123</v>
      </c>
      <c r="C4" s="36" t="s">
        <v>185</v>
      </c>
      <c r="H4" s="4">
        <v>1</v>
      </c>
      <c r="I4" s="5">
        <v>1</v>
      </c>
      <c r="J4" s="17" t="s">
        <v>72</v>
      </c>
      <c r="K4" s="5">
        <v>1</v>
      </c>
      <c r="L4" s="1" t="s">
        <v>111</v>
      </c>
      <c r="M4" s="5">
        <v>1</v>
      </c>
      <c r="N4" s="17" t="s">
        <v>104</v>
      </c>
      <c r="O4" s="5">
        <v>1</v>
      </c>
      <c r="P4" s="1" t="s">
        <v>97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193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161</v>
      </c>
      <c r="AK4" s="28">
        <v>1</v>
      </c>
      <c r="AL4" s="29" t="s">
        <v>53</v>
      </c>
      <c r="AM4" s="28">
        <v>1</v>
      </c>
      <c r="AN4" s="42" t="s">
        <v>194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112</v>
      </c>
      <c r="M5" s="5">
        <v>2</v>
      </c>
      <c r="N5" s="17" t="s">
        <v>105</v>
      </c>
      <c r="O5" s="5">
        <v>2</v>
      </c>
      <c r="P5" s="1" t="s">
        <v>195</v>
      </c>
      <c r="Q5" s="19">
        <v>2</v>
      </c>
      <c r="R5" s="1" t="s">
        <v>196</v>
      </c>
      <c r="S5" s="5">
        <v>2</v>
      </c>
      <c r="T5" s="6" t="s">
        <v>7</v>
      </c>
      <c r="U5" s="5">
        <v>2</v>
      </c>
      <c r="V5" s="6" t="s">
        <v>197</v>
      </c>
      <c r="W5" s="5">
        <v>2</v>
      </c>
      <c r="X5" s="1" t="s">
        <v>10</v>
      </c>
      <c r="Y5" s="28">
        <v>2</v>
      </c>
      <c r="Z5" s="29" t="s">
        <v>198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154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181</v>
      </c>
      <c r="C6" s="2" t="s">
        <v>124</v>
      </c>
      <c r="D6" s="35" t="s">
        <v>125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98</v>
      </c>
      <c r="M6" s="5">
        <v>3</v>
      </c>
      <c r="N6" s="17" t="s">
        <v>106</v>
      </c>
      <c r="O6" s="5">
        <v>3</v>
      </c>
      <c r="P6" s="1" t="s">
        <v>87</v>
      </c>
      <c r="Q6" s="19">
        <v>3</v>
      </c>
      <c r="R6" s="1" t="s">
        <v>199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182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18745</v>
      </c>
      <c r="D7" s="36">
        <f>+C7/3.3058</f>
        <v>5670.3369834835739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99</v>
      </c>
      <c r="M7" s="5">
        <v>4</v>
      </c>
      <c r="N7" s="17" t="s">
        <v>107</v>
      </c>
      <c r="O7" s="5">
        <v>4</v>
      </c>
      <c r="P7" s="1" t="s">
        <v>88</v>
      </c>
      <c r="Q7" s="19">
        <v>4</v>
      </c>
      <c r="R7" s="1" t="s">
        <v>200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168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179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100</v>
      </c>
      <c r="M8" s="5">
        <v>5</v>
      </c>
      <c r="N8" s="17" t="s">
        <v>108</v>
      </c>
      <c r="O8" s="5">
        <v>5</v>
      </c>
      <c r="P8" s="1" t="s">
        <v>89</v>
      </c>
      <c r="Q8" s="19">
        <v>5</v>
      </c>
      <c r="R8" s="1" t="s">
        <v>201</v>
      </c>
      <c r="S8" s="5"/>
      <c r="T8" s="6"/>
      <c r="U8" s="5"/>
      <c r="V8" s="6"/>
      <c r="W8" s="5">
        <v>5</v>
      </c>
      <c r="X8" s="1" t="s">
        <v>202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179</v>
      </c>
      <c r="AM8" s="28"/>
      <c r="AN8" s="29"/>
    </row>
    <row r="9" spans="1:40" ht="17.25" thickBot="1" x14ac:dyDescent="0.35">
      <c r="A9" s="2">
        <v>4</v>
      </c>
      <c r="B9" s="2" t="s">
        <v>126</v>
      </c>
      <c r="C9" s="36" t="s">
        <v>188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101</v>
      </c>
      <c r="M9" s="5">
        <v>6</v>
      </c>
      <c r="N9" s="17" t="s">
        <v>109</v>
      </c>
      <c r="O9" s="5">
        <v>6</v>
      </c>
      <c r="P9" s="1" t="s">
        <v>203</v>
      </c>
      <c r="Q9" s="19">
        <v>6</v>
      </c>
      <c r="R9" s="1" t="s">
        <v>204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189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205</v>
      </c>
      <c r="M10" s="5">
        <v>7</v>
      </c>
      <c r="N10" s="17" t="s">
        <v>110</v>
      </c>
      <c r="O10" s="5">
        <v>7</v>
      </c>
      <c r="P10" s="1" t="s">
        <v>90</v>
      </c>
      <c r="Q10" s="19">
        <v>7</v>
      </c>
      <c r="R10" s="1" t="s">
        <v>206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170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127</v>
      </c>
      <c r="C11" s="36" t="s">
        <v>234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207</v>
      </c>
      <c r="M11" s="5">
        <v>8</v>
      </c>
      <c r="N11" s="17" t="s">
        <v>208</v>
      </c>
      <c r="O11" s="5">
        <v>8</v>
      </c>
      <c r="P11" s="1" t="s">
        <v>91</v>
      </c>
      <c r="Q11" s="19">
        <v>8</v>
      </c>
      <c r="R11" s="1" t="s">
        <v>209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149</v>
      </c>
      <c r="AE11" s="28">
        <v>8</v>
      </c>
      <c r="AF11" s="29" t="s">
        <v>51</v>
      </c>
      <c r="AG11" s="28">
        <v>8</v>
      </c>
      <c r="AH11" s="29" t="s">
        <v>156</v>
      </c>
      <c r="AI11" s="28">
        <v>8</v>
      </c>
      <c r="AJ11" s="29" t="s">
        <v>210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211</v>
      </c>
      <c r="K12" s="5">
        <v>9</v>
      </c>
      <c r="L12" s="1" t="s">
        <v>102</v>
      </c>
      <c r="M12" s="5"/>
      <c r="N12" s="17"/>
      <c r="O12" s="5">
        <v>9</v>
      </c>
      <c r="P12" s="1" t="s">
        <v>212</v>
      </c>
      <c r="Q12" s="19">
        <v>9</v>
      </c>
      <c r="R12" s="1" t="s">
        <v>213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183</v>
      </c>
      <c r="AE12" s="28">
        <v>9</v>
      </c>
      <c r="AF12" s="29" t="s">
        <v>214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128</v>
      </c>
      <c r="C13" s="36" t="s">
        <v>144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103</v>
      </c>
      <c r="M13" s="5"/>
      <c r="N13" s="17"/>
      <c r="O13" s="5">
        <v>10</v>
      </c>
      <c r="P13" s="1" t="s">
        <v>92</v>
      </c>
      <c r="Q13" s="19">
        <v>10</v>
      </c>
      <c r="R13" s="1" t="s">
        <v>215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167</v>
      </c>
      <c r="AE13" s="28">
        <v>10</v>
      </c>
      <c r="AF13" s="29" t="s">
        <v>147</v>
      </c>
      <c r="AG13" s="28">
        <v>10</v>
      </c>
      <c r="AH13" s="29" t="s">
        <v>179</v>
      </c>
      <c r="AI13" s="28">
        <v>10</v>
      </c>
      <c r="AJ13" s="29" t="s">
        <v>179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93</v>
      </c>
      <c r="Q14" s="19">
        <v>11</v>
      </c>
      <c r="R14" s="1" t="s">
        <v>216</v>
      </c>
      <c r="S14" s="5"/>
      <c r="T14" s="6"/>
      <c r="U14" s="5"/>
      <c r="V14" s="6"/>
      <c r="W14" s="5"/>
      <c r="X14" s="1"/>
      <c r="Y14" s="28">
        <v>11</v>
      </c>
      <c r="Z14" s="29" t="s">
        <v>217</v>
      </c>
      <c r="AA14" s="28"/>
      <c r="AB14" s="29"/>
      <c r="AC14" s="28">
        <v>11</v>
      </c>
      <c r="AD14" s="29" t="s">
        <v>163</v>
      </c>
      <c r="AE14" s="28">
        <v>11</v>
      </c>
      <c r="AF14" s="29" t="s">
        <v>150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129</v>
      </c>
      <c r="C15" s="36" t="s">
        <v>180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94</v>
      </c>
      <c r="Q15" s="19">
        <v>12</v>
      </c>
      <c r="R15" s="1" t="s">
        <v>218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158</v>
      </c>
      <c r="AE15" s="28">
        <v>12</v>
      </c>
      <c r="AF15" s="29" t="s">
        <v>155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219</v>
      </c>
      <c r="K16" s="5"/>
      <c r="L16" s="1"/>
      <c r="M16" s="17"/>
      <c r="N16" s="17"/>
      <c r="O16" s="5">
        <v>13</v>
      </c>
      <c r="P16" s="1" t="s">
        <v>95</v>
      </c>
      <c r="Q16" s="19">
        <v>13</v>
      </c>
      <c r="R16" s="1" t="s">
        <v>220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151</v>
      </c>
      <c r="AE16" s="28">
        <v>13</v>
      </c>
      <c r="AF16" s="29" t="s">
        <v>157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130</v>
      </c>
      <c r="C17" s="2" t="s">
        <v>134</v>
      </c>
      <c r="D17" s="2" t="s">
        <v>135</v>
      </c>
      <c r="E17" s="35" t="s">
        <v>136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96</v>
      </c>
      <c r="Q17" s="19">
        <v>14</v>
      </c>
      <c r="R17" s="1" t="s">
        <v>221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222</v>
      </c>
      <c r="AE17" s="28">
        <v>14</v>
      </c>
      <c r="AF17" s="29" t="s">
        <v>159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131</v>
      </c>
      <c r="D18" s="54">
        <f>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223</v>
      </c>
      <c r="S18" s="5"/>
      <c r="T18" s="6"/>
      <c r="U18" s="5"/>
      <c r="V18" s="6"/>
      <c r="W18" s="5"/>
      <c r="X18" s="1"/>
      <c r="Y18" s="28">
        <v>15</v>
      </c>
      <c r="Z18" s="29" t="s">
        <v>224</v>
      </c>
      <c r="AA18" s="28"/>
      <c r="AB18" s="29"/>
      <c r="AC18" s="28">
        <v>15</v>
      </c>
      <c r="AD18" s="29" t="s">
        <v>166</v>
      </c>
      <c r="AE18" s="28">
        <v>15</v>
      </c>
      <c r="AF18" s="29" t="s">
        <v>162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132</v>
      </c>
      <c r="D19" s="55">
        <f>+D54</f>
        <v>587030.19370498799</v>
      </c>
      <c r="E19" s="52">
        <f>+D19*3.3058</f>
        <v>1940604.4143499495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225</v>
      </c>
      <c r="S19" s="5"/>
      <c r="T19" s="6"/>
      <c r="U19" s="5"/>
      <c r="V19" s="6"/>
      <c r="W19" s="5"/>
      <c r="X19" s="1"/>
      <c r="Y19" s="28">
        <v>16</v>
      </c>
      <c r="Z19" s="29" t="s">
        <v>175</v>
      </c>
      <c r="AA19" s="28"/>
      <c r="AB19" s="29"/>
      <c r="AC19" s="28">
        <v>16</v>
      </c>
      <c r="AD19" s="29" t="s">
        <v>152</v>
      </c>
      <c r="AE19" s="28">
        <v>16</v>
      </c>
      <c r="AF19" s="29" t="s">
        <v>226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115</v>
      </c>
      <c r="D20" s="55">
        <f>+D60</f>
        <v>210</v>
      </c>
      <c r="E20" s="52">
        <f t="shared" ref="E20:E24" si="1">+D20*3.3058</f>
        <v>694.21799999999996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227</v>
      </c>
      <c r="S20" s="5"/>
      <c r="T20" s="6"/>
      <c r="U20" s="5"/>
      <c r="V20" s="6"/>
      <c r="W20" s="5"/>
      <c r="X20" s="1"/>
      <c r="Y20" s="28">
        <v>17</v>
      </c>
      <c r="Z20" s="29" t="s">
        <v>176</v>
      </c>
      <c r="AA20" s="28"/>
      <c r="AB20" s="29"/>
      <c r="AC20" s="28">
        <v>17</v>
      </c>
      <c r="AD20" s="29" t="s">
        <v>153</v>
      </c>
      <c r="AE20" s="28">
        <v>17</v>
      </c>
      <c r="AF20" s="29" t="s">
        <v>160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116</v>
      </c>
      <c r="D21" s="55">
        <f>+D89</f>
        <v>234860</v>
      </c>
      <c r="E21" s="52">
        <f t="shared" si="1"/>
        <v>776400.18799999997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228</v>
      </c>
      <c r="S21" s="5"/>
      <c r="T21" s="6"/>
      <c r="U21" s="5"/>
      <c r="V21" s="6"/>
      <c r="W21" s="5"/>
      <c r="X21" s="1"/>
      <c r="Y21" s="28">
        <v>18</v>
      </c>
      <c r="Z21" s="29" t="s">
        <v>177</v>
      </c>
      <c r="AA21" s="28"/>
      <c r="AB21" s="29"/>
      <c r="AC21" s="28">
        <v>18</v>
      </c>
      <c r="AD21" s="29" t="s">
        <v>171</v>
      </c>
      <c r="AE21" s="28">
        <v>18</v>
      </c>
      <c r="AF21" s="29" t="s">
        <v>146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117</v>
      </c>
      <c r="D22" s="55">
        <f>+D113</f>
        <v>70800</v>
      </c>
      <c r="E22" s="52">
        <f t="shared" si="1"/>
        <v>234050.64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229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169</v>
      </c>
      <c r="AE22" s="28">
        <v>19</v>
      </c>
      <c r="AF22" s="29" t="s">
        <v>145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118</v>
      </c>
      <c r="D23" s="55">
        <f>+D127</f>
        <v>41420</v>
      </c>
      <c r="E23" s="52">
        <f t="shared" si="1"/>
        <v>136926.236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230</v>
      </c>
      <c r="S23" s="5"/>
      <c r="T23" s="6"/>
      <c r="U23" s="5"/>
      <c r="V23" s="6"/>
      <c r="W23" s="5"/>
      <c r="X23" s="1"/>
      <c r="Y23" s="28">
        <v>20</v>
      </c>
      <c r="Z23" s="29" t="s">
        <v>179</v>
      </c>
      <c r="AA23" s="28"/>
      <c r="AB23" s="29"/>
      <c r="AC23" s="28">
        <v>20</v>
      </c>
      <c r="AD23" s="29" t="s">
        <v>172</v>
      </c>
      <c r="AE23" s="28">
        <v>20</v>
      </c>
      <c r="AF23" s="29" t="s">
        <v>179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119</v>
      </c>
      <c r="D24" s="55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231</v>
      </c>
      <c r="S24" s="7"/>
      <c r="T24" s="6"/>
      <c r="U24" s="7"/>
      <c r="V24" s="6"/>
      <c r="W24" s="8"/>
      <c r="X24" s="1"/>
      <c r="Y24" s="30"/>
      <c r="Z24" s="29"/>
      <c r="AA24" s="61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1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120</v>
      </c>
      <c r="D25" s="55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232</v>
      </c>
      <c r="S25" s="7"/>
      <c r="T25" s="9"/>
      <c r="U25" s="7"/>
      <c r="V25" s="9"/>
      <c r="W25" s="10"/>
      <c r="X25" s="1"/>
      <c r="Y25" s="31"/>
      <c r="Z25" s="29"/>
      <c r="AA25" s="62"/>
      <c r="AB25" s="29"/>
      <c r="AC25" s="28">
        <v>22</v>
      </c>
      <c r="AD25" s="29" t="s">
        <v>233</v>
      </c>
      <c r="AE25" s="62"/>
      <c r="AF25" s="29"/>
      <c r="AG25" s="62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121</v>
      </c>
      <c r="D26" s="55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2"/>
      <c r="AB26" s="29"/>
      <c r="AC26" s="28">
        <v>23</v>
      </c>
      <c r="AD26" s="29" t="s">
        <v>42</v>
      </c>
      <c r="AE26" s="62"/>
      <c r="AF26" s="29"/>
      <c r="AG26" s="62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192</v>
      </c>
      <c r="D27" s="75">
        <f>TRUNC(SUM(D18:D26)*0.275,-1)</f>
        <v>256930</v>
      </c>
      <c r="E27" s="53">
        <f>+D27*3.3058</f>
        <v>849359.19400000002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2"/>
      <c r="AF27" s="29"/>
      <c r="AG27" s="62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133</v>
      </c>
      <c r="D28" s="56">
        <f>SUM(D18:D27)</f>
        <v>1191250.1937049879</v>
      </c>
      <c r="E28" s="35">
        <f>SUM(E18:E27)</f>
        <v>3938034.8903499497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179</v>
      </c>
      <c r="AE28" s="61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173</v>
      </c>
      <c r="C30" s="2" t="s">
        <v>134</v>
      </c>
      <c r="D30" s="2" t="s">
        <v>135</v>
      </c>
      <c r="E30" s="35" t="s">
        <v>136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173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174</v>
      </c>
      <c r="C33" s="2" t="s">
        <v>134</v>
      </c>
      <c r="D33" s="2" t="s">
        <v>135</v>
      </c>
      <c r="E33" s="35" t="s">
        <v>136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30040.193704987996</v>
      </c>
      <c r="E34" s="47">
        <f>+D34*3.3058</f>
        <v>99306.872349949321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261570</v>
      </c>
      <c r="E35" s="48">
        <f>+D35*3.3058</f>
        <v>864698.10600000003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235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178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175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176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177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295420</v>
      </c>
      <c r="E52" s="48">
        <f t="shared" si="2"/>
        <v>976599.43599999999</v>
      </c>
      <c r="F52" s="2" t="s">
        <v>186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179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133</v>
      </c>
      <c r="D54" s="44">
        <f>SUM(D34:D53)</f>
        <v>587030.19370498799</v>
      </c>
      <c r="E54" s="44">
        <f>SUM(E34:E53)</f>
        <v>1940604.4143499495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137</v>
      </c>
      <c r="C56" s="2" t="s">
        <v>134</v>
      </c>
      <c r="D56" s="2" t="s">
        <v>135</v>
      </c>
      <c r="E56" s="35" t="s">
        <v>136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210</v>
      </c>
      <c r="E57" s="47">
        <f>+D57*3.3058</f>
        <v>694.21799999999996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133</v>
      </c>
      <c r="D60" s="50">
        <f>SUM(D57:D59)</f>
        <v>210</v>
      </c>
      <c r="E60" s="45">
        <f>SUM(E57:E59)</f>
        <v>694.21799999999996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138</v>
      </c>
      <c r="C62" s="2" t="s">
        <v>134</v>
      </c>
      <c r="D62" s="2" t="s">
        <v>135</v>
      </c>
      <c r="E62" s="35" t="s">
        <v>136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189</v>
      </c>
      <c r="D68" s="77">
        <v>2583</v>
      </c>
      <c r="E68" s="48">
        <f t="shared" si="3"/>
        <v>8538.8814000000002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170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149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183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167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163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158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151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164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166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152</v>
      </c>
      <c r="D78" s="77">
        <v>55479</v>
      </c>
      <c r="E78" s="48">
        <f t="shared" si="3"/>
        <v>183402.47820000001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153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171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169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172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1924</v>
      </c>
      <c r="E84" s="48">
        <f t="shared" si="3"/>
        <v>6360.3591999999999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53391</v>
      </c>
      <c r="E85" s="48">
        <f t="shared" si="3"/>
        <v>176499.96780000001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22398</v>
      </c>
      <c r="E86" s="48">
        <f t="shared" si="3"/>
        <v>74043.308399999994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179</v>
      </c>
      <c r="D87" s="77">
        <v>99085</v>
      </c>
      <c r="E87" s="48">
        <f>+D87*3.3058</f>
        <v>327555.19300000003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133</v>
      </c>
      <c r="D89" s="44">
        <f>SUM(D63:D88)</f>
        <v>234860</v>
      </c>
      <c r="E89" s="45">
        <f>SUM(E63:E88)</f>
        <v>776400.18800000008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139</v>
      </c>
      <c r="C91" s="2" t="s">
        <v>134</v>
      </c>
      <c r="D91" s="2" t="s">
        <v>135</v>
      </c>
      <c r="E91" s="35" t="s">
        <v>136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24350</v>
      </c>
      <c r="E94" s="48">
        <f t="shared" ref="E94:E111" si="4">+D94*3.3058</f>
        <v>80496.23</v>
      </c>
      <c r="F94" s="2" t="s">
        <v>184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165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147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150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155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157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159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162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148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160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146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145</v>
      </c>
      <c r="D110" s="77">
        <v>17120</v>
      </c>
      <c r="E110" s="48">
        <f t="shared" si="4"/>
        <v>56595.296000000002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179</v>
      </c>
      <c r="D111" s="77">
        <v>25800</v>
      </c>
      <c r="E111" s="48">
        <f t="shared" si="4"/>
        <v>85289.64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3530</v>
      </c>
      <c r="E112" s="49">
        <f>+D112*3.3058</f>
        <v>11669.474</v>
      </c>
      <c r="F112" s="2" t="s">
        <v>190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133</v>
      </c>
      <c r="D113" s="44">
        <f>SUM(D92:D112)</f>
        <v>70800</v>
      </c>
      <c r="E113" s="45">
        <f>SUM(E92:E112)</f>
        <v>234050.64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140</v>
      </c>
      <c r="C115" s="2" t="s">
        <v>134</v>
      </c>
      <c r="D115" s="2" t="s">
        <v>135</v>
      </c>
      <c r="E115" s="35" t="s">
        <v>136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154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182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168</v>
      </c>
      <c r="D119" s="77">
        <v>6010</v>
      </c>
      <c r="E119" s="48">
        <f t="shared" si="5"/>
        <v>19867.858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156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20060</v>
      </c>
      <c r="E124" s="48">
        <f t="shared" si="5"/>
        <v>66314.347999999998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179</v>
      </c>
      <c r="D125" s="77">
        <v>11740</v>
      </c>
      <c r="E125" s="48">
        <f t="shared" si="5"/>
        <v>38810.092000000004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f>3610</f>
        <v>3610</v>
      </c>
      <c r="E126" s="49">
        <f>+D126*3.3058</f>
        <v>11933.938</v>
      </c>
      <c r="F126" s="2" t="s">
        <v>191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133</v>
      </c>
      <c r="D127" s="44">
        <f>SUM(D116:D126)</f>
        <v>41420</v>
      </c>
      <c r="E127" s="45">
        <f>SUM(E116:E126)</f>
        <v>136926.236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141</v>
      </c>
      <c r="C129" s="2" t="s">
        <v>134</v>
      </c>
      <c r="D129" s="2" t="s">
        <v>135</v>
      </c>
      <c r="E129" s="35" t="s">
        <v>136</v>
      </c>
    </row>
    <row r="130" spans="1:23" x14ac:dyDescent="0.3">
      <c r="A130" s="2">
        <v>1</v>
      </c>
      <c r="C130" s="42" t="s">
        <v>161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179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133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142</v>
      </c>
      <c r="C142" s="2" t="s">
        <v>134</v>
      </c>
      <c r="D142" s="2" t="s">
        <v>135</v>
      </c>
      <c r="E142" s="35" t="s">
        <v>136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179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133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143</v>
      </c>
      <c r="C150" s="2" t="s">
        <v>134</v>
      </c>
      <c r="D150" s="2" t="s">
        <v>135</v>
      </c>
      <c r="E150" s="35" t="s">
        <v>136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179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133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2020-04-28T02:31:22Z</dcterms:modified>
</cp:coreProperties>
</file>