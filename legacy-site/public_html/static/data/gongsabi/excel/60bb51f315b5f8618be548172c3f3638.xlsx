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닷컴\공사비 닷컴 최종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2" i="4" l="1"/>
  <c r="H153" i="4"/>
  <c r="H154" i="4"/>
  <c r="H155" i="4"/>
  <c r="H151" i="4"/>
  <c r="H144" i="4"/>
  <c r="H145" i="4"/>
  <c r="H146" i="4"/>
  <c r="H147" i="4"/>
  <c r="H148" i="4"/>
  <c r="H143" i="4"/>
  <c r="H131" i="4"/>
  <c r="H132" i="4"/>
  <c r="H133" i="4"/>
  <c r="H134" i="4"/>
  <c r="H135" i="4"/>
  <c r="H136" i="4"/>
  <c r="H137" i="4"/>
  <c r="H138" i="4"/>
  <c r="H139" i="4"/>
  <c r="H140" i="4"/>
  <c r="H130" i="4"/>
  <c r="H117" i="4"/>
  <c r="H118" i="4"/>
  <c r="H119" i="4"/>
  <c r="H120" i="4"/>
  <c r="H121" i="4"/>
  <c r="H122" i="4"/>
  <c r="H123" i="4"/>
  <c r="H124" i="4"/>
  <c r="H125" i="4"/>
  <c r="H126" i="4"/>
  <c r="H127" i="4"/>
  <c r="H116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92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63" i="4"/>
  <c r="H58" i="4"/>
  <c r="H59" i="4"/>
  <c r="H60" i="4"/>
  <c r="H57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34" i="4"/>
  <c r="H31" i="4"/>
  <c r="H19" i="4"/>
  <c r="H20" i="4"/>
  <c r="H21" i="4"/>
  <c r="H22" i="4"/>
  <c r="H23" i="4"/>
  <c r="H24" i="4"/>
  <c r="H25" i="4"/>
  <c r="H26" i="4"/>
  <c r="H27" i="4"/>
  <c r="H28" i="4"/>
  <c r="H18" i="4"/>
  <c r="E155" i="4" l="1"/>
  <c r="GQ33" i="4"/>
  <c r="GR33" i="4" s="1"/>
  <c r="GS33" i="4" s="1"/>
  <c r="GT33" i="4" s="1"/>
  <c r="GU33" i="4" s="1"/>
  <c r="GV33" i="4" s="1"/>
  <c r="GW33" i="4" s="1"/>
  <c r="GX33" i="4" s="1"/>
  <c r="GY33" i="4" s="1"/>
  <c r="GZ33" i="4" s="1"/>
  <c r="HA33" i="4" s="1"/>
  <c r="HB33" i="4" s="1"/>
  <c r="HC33" i="4" s="1"/>
  <c r="HD33" i="4" s="1"/>
  <c r="HE33" i="4" s="1"/>
  <c r="HF33" i="4" s="1"/>
  <c r="HG33" i="4" s="1"/>
  <c r="HH33" i="4" s="1"/>
  <c r="ER33" i="4"/>
  <c r="DY33" i="4"/>
  <c r="DZ33" i="4" s="1"/>
  <c r="EA33" i="4" s="1"/>
  <c r="EB33" i="4" s="1"/>
  <c r="EC33" i="4" s="1"/>
  <c r="ED33" i="4" s="1"/>
  <c r="EE33" i="4" s="1"/>
  <c r="EF33" i="4" s="1"/>
  <c r="EG33" i="4" s="1"/>
  <c r="EH33" i="4" s="1"/>
  <c r="EI33" i="4" s="1"/>
  <c r="EJ33" i="4" s="1"/>
  <c r="EK33" i="4" s="1"/>
  <c r="EL33" i="4" s="1"/>
  <c r="EM33" i="4" s="1"/>
  <c r="EN33" i="4" s="1"/>
  <c r="EO33" i="4" s="1"/>
  <c r="EP33" i="4" s="1"/>
  <c r="BZ33" i="4"/>
  <c r="BH33" i="4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BG33" i="4"/>
  <c r="GQ32" i="4"/>
  <c r="GR32" i="4" s="1"/>
  <c r="GS32" i="4" s="1"/>
  <c r="GT32" i="4" s="1"/>
  <c r="GU32" i="4" s="1"/>
  <c r="GV32" i="4" s="1"/>
  <c r="GW32" i="4" s="1"/>
  <c r="GX32" i="4" s="1"/>
  <c r="GY32" i="4" s="1"/>
  <c r="GZ32" i="4" s="1"/>
  <c r="HA32" i="4" s="1"/>
  <c r="HB32" i="4" s="1"/>
  <c r="HC32" i="4" s="1"/>
  <c r="HD32" i="4" s="1"/>
  <c r="HE32" i="4" s="1"/>
  <c r="HF32" i="4" s="1"/>
  <c r="HG32" i="4" s="1"/>
  <c r="HH32" i="4" s="1"/>
  <c r="ER32" i="4"/>
  <c r="DY32" i="4"/>
  <c r="DZ32" i="4" s="1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BZ32" i="4"/>
  <c r="BH32" i="4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G32" i="4"/>
  <c r="E154" i="4" l="1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27" i="4" s="1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113" i="4" s="1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7" i="4"/>
  <c r="E26" i="4"/>
  <c r="E25" i="4"/>
  <c r="E24" i="4"/>
  <c r="E23" i="4"/>
  <c r="E22" i="4"/>
  <c r="E21" i="4"/>
  <c r="E20" i="4"/>
  <c r="E19" i="4"/>
  <c r="E18" i="4"/>
  <c r="E28" i="4" s="1"/>
  <c r="D69" i="4" l="1"/>
  <c r="D59" i="4"/>
  <c r="D154" i="4"/>
  <c r="D153" i="4"/>
  <c r="D151" i="4"/>
  <c r="D147" i="4"/>
  <c r="D146" i="4"/>
  <c r="D145" i="4"/>
  <c r="D144" i="4"/>
  <c r="D143" i="4"/>
  <c r="D138" i="4"/>
  <c r="D137" i="4"/>
  <c r="D136" i="4"/>
  <c r="D135" i="4"/>
  <c r="D134" i="4"/>
  <c r="D133" i="4"/>
  <c r="D131" i="4"/>
  <c r="D126" i="4"/>
  <c r="D125" i="4"/>
  <c r="D124" i="4"/>
  <c r="D122" i="4"/>
  <c r="D120" i="4"/>
  <c r="D119" i="4"/>
  <c r="D118" i="4"/>
  <c r="D116" i="4"/>
  <c r="D112" i="4"/>
  <c r="D111" i="4"/>
  <c r="D110" i="4"/>
  <c r="D108" i="4"/>
  <c r="D99" i="4"/>
  <c r="D98" i="4"/>
  <c r="D97" i="4"/>
  <c r="D96" i="4"/>
  <c r="D94" i="4"/>
  <c r="D93" i="4"/>
  <c r="D88" i="4"/>
  <c r="D87" i="4"/>
  <c r="D86" i="4"/>
  <c r="D85" i="4"/>
  <c r="D84" i="4"/>
  <c r="D83" i="4"/>
  <c r="D67" i="4"/>
  <c r="D66" i="4"/>
  <c r="D63" i="4"/>
  <c r="D57" i="4"/>
  <c r="D53" i="4"/>
  <c r="D52" i="4"/>
  <c r="D46" i="4"/>
  <c r="D44" i="4"/>
  <c r="D43" i="4"/>
  <c r="D42" i="4"/>
  <c r="D47" i="4"/>
  <c r="D40" i="4"/>
  <c r="D38" i="4"/>
  <c r="D37" i="4"/>
  <c r="D36" i="4"/>
  <c r="D35" i="4"/>
  <c r="D34" i="4"/>
  <c r="GP150" i="4" l="1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D148" i="4"/>
  <c r="D25" i="4" s="1"/>
  <c r="D140" i="4"/>
  <c r="D24" i="4" s="1"/>
  <c r="BZ24" i="4" s="1"/>
  <c r="CA24" i="4" s="1"/>
  <c r="DI24" i="4" s="1"/>
  <c r="DJ24" i="4" s="1"/>
  <c r="D127" i="4"/>
  <c r="D23" i="4" s="1"/>
  <c r="BZ23" i="4" s="1"/>
  <c r="CA23" i="4" s="1"/>
  <c r="D113" i="4"/>
  <c r="D22" i="4" s="1"/>
  <c r="D89" i="4"/>
  <c r="D21" i="4" s="1"/>
  <c r="D60" i="4"/>
  <c r="D20" i="4" s="1"/>
  <c r="D54" i="4"/>
  <c r="D19" i="4" s="1"/>
  <c r="D18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BZ151" i="4"/>
  <c r="CA151" i="4" s="1"/>
  <c r="CO151" i="4" s="1"/>
  <c r="CP151" i="4" s="1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BZ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Y152" i="4" s="1"/>
  <c r="AZ152" i="4"/>
  <c r="AM152" i="4"/>
  <c r="AN152" i="4" s="1"/>
  <c r="AK152" i="4"/>
  <c r="AL152" i="4"/>
  <c r="AI152" i="4"/>
  <c r="AJ152" i="4" s="1"/>
  <c r="AG152" i="4"/>
  <c r="AH152" i="4"/>
  <c r="AE152" i="4"/>
  <c r="AF152" i="4" s="1"/>
  <c r="AC152" i="4"/>
  <c r="AD152" i="4"/>
  <c r="AA152" i="4"/>
  <c r="AB152" i="4" s="1"/>
  <c r="Y152" i="4"/>
  <c r="Z152" i="4"/>
  <c r="W152" i="4"/>
  <c r="X152" i="4" s="1"/>
  <c r="U152" i="4"/>
  <c r="V152" i="4"/>
  <c r="S152" i="4"/>
  <c r="T152" i="4" s="1"/>
  <c r="Q152" i="4"/>
  <c r="R152" i="4"/>
  <c r="O152" i="4"/>
  <c r="P152" i="4" s="1"/>
  <c r="M152" i="4"/>
  <c r="N152" i="4"/>
  <c r="K152" i="4"/>
  <c r="L152" i="4" s="1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DE151" i="4"/>
  <c r="DF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I146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BZ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BZ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BZ139" i="4"/>
  <c r="ER139" i="4" s="1"/>
  <c r="ES139" i="4" s="1"/>
  <c r="FU139" i="4" s="1"/>
  <c r="FV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CA139" i="4"/>
  <c r="DO139" i="4" s="1"/>
  <c r="DP139" i="4" s="1"/>
  <c r="DM139" i="4"/>
  <c r="DN139" i="4" s="1"/>
  <c r="DI139" i="4"/>
  <c r="DJ139" i="4" s="1"/>
  <c r="DC139" i="4"/>
  <c r="DD139" i="4" s="1"/>
  <c r="DA139" i="4"/>
  <c r="DB139" i="4" s="1"/>
  <c r="CY139" i="4"/>
  <c r="CZ139" i="4"/>
  <c r="CW139" i="4"/>
  <c r="CX139" i="4" s="1"/>
  <c r="CU139" i="4"/>
  <c r="CV139" i="4" s="1"/>
  <c r="CS139" i="4"/>
  <c r="CT139" i="4" s="1"/>
  <c r="CQ139" i="4"/>
  <c r="CR139" i="4"/>
  <c r="CO139" i="4"/>
  <c r="CP139" i="4" s="1"/>
  <c r="CM139" i="4"/>
  <c r="CN139" i="4" s="1"/>
  <c r="CK139" i="4"/>
  <c r="CL139" i="4" s="1"/>
  <c r="CI139" i="4"/>
  <c r="CJ139" i="4" s="1"/>
  <c r="CG139" i="4"/>
  <c r="CH139" i="4" s="1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W139" i="4" s="1"/>
  <c r="AX139" i="4" s="1"/>
  <c r="AY139" i="4"/>
  <c r="AZ139" i="4" s="1"/>
  <c r="AU139" i="4"/>
  <c r="AV139" i="4" s="1"/>
  <c r="AS139" i="4"/>
  <c r="AT139" i="4" s="1"/>
  <c r="AQ139" i="4"/>
  <c r="AR139" i="4" s="1"/>
  <c r="AM139" i="4"/>
  <c r="AN139" i="4" s="1"/>
  <c r="AK139" i="4"/>
  <c r="AL139" i="4" s="1"/>
  <c r="AI139" i="4"/>
  <c r="AJ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BZ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BZ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I137" i="4"/>
  <c r="AW137" i="4" s="1"/>
  <c r="AX137" i="4" s="1"/>
  <c r="AC137" i="4"/>
  <c r="AD137" i="4" s="1"/>
  <c r="U137" i="4"/>
  <c r="V137" i="4" s="1"/>
  <c r="M137" i="4"/>
  <c r="N137" i="4" s="1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I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BZ134" i="4"/>
  <c r="CA134" i="4" s="1"/>
  <c r="DQ134" i="4" s="1"/>
  <c r="DR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BZ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I132" i="4"/>
  <c r="AS132" i="4" s="1"/>
  <c r="AT132" i="4" s="1"/>
  <c r="AO132" i="4"/>
  <c r="AP132" i="4" s="1"/>
  <c r="AM132" i="4"/>
  <c r="AN132" i="4" s="1"/>
  <c r="AK132" i="4"/>
  <c r="AL132" i="4" s="1"/>
  <c r="AI132" i="4"/>
  <c r="AJ132" i="4" s="1"/>
  <c r="AG132" i="4"/>
  <c r="AH132" i="4" s="1"/>
  <c r="AE132" i="4"/>
  <c r="AF132" i="4" s="1"/>
  <c r="AC132" i="4"/>
  <c r="AD132" i="4" s="1"/>
  <c r="AA132" i="4"/>
  <c r="AB132" i="4" s="1"/>
  <c r="Y132" i="4"/>
  <c r="Z132" i="4" s="1"/>
  <c r="W132" i="4"/>
  <c r="X132" i="4" s="1"/>
  <c r="U132" i="4"/>
  <c r="V132" i="4" s="1"/>
  <c r="S132" i="4"/>
  <c r="T132" i="4" s="1"/>
  <c r="Q132" i="4"/>
  <c r="R132" i="4" s="1"/>
  <c r="O132" i="4"/>
  <c r="P132" i="4" s="1"/>
  <c r="M132" i="4"/>
  <c r="N132" i="4" s="1"/>
  <c r="K132" i="4"/>
  <c r="L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I131" i="4"/>
  <c r="AW131" i="4" s="1"/>
  <c r="AX131" i="4" s="1"/>
  <c r="BZ131" i="4"/>
  <c r="ER131" i="4" s="1"/>
  <c r="ES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BZ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I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BZ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I123" i="4"/>
  <c r="AW123" i="4" s="1"/>
  <c r="AX123" i="4" s="1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BZ121" i="4"/>
  <c r="CA121" i="4" s="1"/>
  <c r="ER121" i="4"/>
  <c r="ES121" i="4" s="1"/>
  <c r="GG121" i="4" s="1"/>
  <c r="GH121" i="4" s="1"/>
  <c r="GC121" i="4"/>
  <c r="GD121" i="4" s="1"/>
  <c r="FE121" i="4"/>
  <c r="FF121" i="4" s="1"/>
  <c r="EW121" i="4"/>
  <c r="EX121" i="4" s="1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DQ121" i="4"/>
  <c r="DR121" i="4" s="1"/>
  <c r="DM121" i="4"/>
  <c r="DN121" i="4" s="1"/>
  <c r="DI121" i="4"/>
  <c r="DJ121" i="4" s="1"/>
  <c r="DE121" i="4"/>
  <c r="DF121" i="4" s="1"/>
  <c r="DA121" i="4"/>
  <c r="DB121" i="4" s="1"/>
  <c r="CW121" i="4"/>
  <c r="CX121" i="4" s="1"/>
  <c r="CS121" i="4"/>
  <c r="CT121" i="4" s="1"/>
  <c r="CO121" i="4"/>
  <c r="CP121" i="4" s="1"/>
  <c r="CK121" i="4"/>
  <c r="CL121" i="4" s="1"/>
  <c r="CG121" i="4"/>
  <c r="CH121" i="4" s="1"/>
  <c r="CC121" i="4"/>
  <c r="CD121" i="4" s="1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BZ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I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CA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I99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BZ110" i="4"/>
  <c r="CA110" i="4" s="1"/>
  <c r="DE110" i="4" s="1"/>
  <c r="DF110" i="4" s="1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I110" i="4"/>
  <c r="AY110" i="4" s="1"/>
  <c r="AZ110" i="4" s="1"/>
  <c r="AQ110" i="4"/>
  <c r="AR110" i="4" s="1"/>
  <c r="AM110" i="4"/>
  <c r="AN110" i="4" s="1"/>
  <c r="AK110" i="4"/>
  <c r="AL110" i="4" s="1"/>
  <c r="AI110" i="4"/>
  <c r="AJ110" i="4" s="1"/>
  <c r="AG110" i="4"/>
  <c r="AH110" i="4" s="1"/>
  <c r="AE110" i="4"/>
  <c r="AF110" i="4" s="1"/>
  <c r="AC110" i="4"/>
  <c r="AD110" i="4" s="1"/>
  <c r="AA110" i="4"/>
  <c r="AB110" i="4" s="1"/>
  <c r="Y110" i="4"/>
  <c r="Z110" i="4" s="1"/>
  <c r="W110" i="4"/>
  <c r="X110" i="4" s="1"/>
  <c r="U110" i="4"/>
  <c r="V110" i="4" s="1"/>
  <c r="S110" i="4"/>
  <c r="T110" i="4" s="1"/>
  <c r="Q110" i="4"/>
  <c r="R110" i="4" s="1"/>
  <c r="O110" i="4"/>
  <c r="P110" i="4" s="1"/>
  <c r="M110" i="4"/>
  <c r="N110" i="4" s="1"/>
  <c r="K110" i="4"/>
  <c r="L110" i="4" s="1"/>
  <c r="J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BZ109" i="4"/>
  <c r="ER109" i="4" s="1"/>
  <c r="ES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DQ109" i="4" s="1"/>
  <c r="DR109" i="4" s="1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BZ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CA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E104" i="4" s="1"/>
  <c r="AF104" i="4" s="1"/>
  <c r="AI104" i="4"/>
  <c r="AJ104" i="4" s="1"/>
  <c r="AA104" i="4"/>
  <c r="AB104" i="4" s="1"/>
  <c r="Y104" i="4"/>
  <c r="Z104" i="4" s="1"/>
  <c r="W104" i="4"/>
  <c r="X104" i="4" s="1"/>
  <c r="U104" i="4"/>
  <c r="V104" i="4" s="1"/>
  <c r="S104" i="4"/>
  <c r="T104" i="4" s="1"/>
  <c r="Q104" i="4"/>
  <c r="R104" i="4" s="1"/>
  <c r="O104" i="4"/>
  <c r="P104" i="4" s="1"/>
  <c r="M104" i="4"/>
  <c r="N104" i="4" s="1"/>
  <c r="K104" i="4"/>
  <c r="L104" i="4" s="1"/>
  <c r="J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BZ103" i="4"/>
  <c r="ER103" i="4" s="1"/>
  <c r="ES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CA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I103" i="4"/>
  <c r="AY103" i="4" s="1"/>
  <c r="AZ103" i="4" s="1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BZ101" i="4"/>
  <c r="ER101" i="4" s="1"/>
  <c r="ES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Q101" i="4" s="1"/>
  <c r="DR101" i="4"/>
  <c r="DE101" i="4"/>
  <c r="DF101" i="4"/>
  <c r="DA101" i="4"/>
  <c r="DB101" i="4"/>
  <c r="CW101" i="4"/>
  <c r="CX101" i="4"/>
  <c r="CS101" i="4"/>
  <c r="CT101" i="4"/>
  <c r="CO101" i="4"/>
  <c r="CP101" i="4"/>
  <c r="CK101" i="4"/>
  <c r="CL101" i="4"/>
  <c r="CG101" i="4"/>
  <c r="CH101" i="4" s="1"/>
  <c r="CC101" i="4"/>
  <c r="CD101" i="4" s="1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I101" i="4"/>
  <c r="AW101" i="4" s="1"/>
  <c r="AX101" i="4" s="1"/>
  <c r="AO101" i="4"/>
  <c r="AP101" i="4" s="1"/>
  <c r="AG101" i="4"/>
  <c r="AH101" i="4" s="1"/>
  <c r="Y101" i="4"/>
  <c r="Z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BZ100" i="4"/>
  <c r="ER100" i="4"/>
  <c r="ES100" i="4" s="1"/>
  <c r="GE100" i="4" s="1"/>
  <c r="GF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DM100" i="4"/>
  <c r="DN100" i="4" s="1"/>
  <c r="DG100" i="4"/>
  <c r="DH100" i="4" s="1"/>
  <c r="CW100" i="4"/>
  <c r="CX100" i="4" s="1"/>
  <c r="CQ100" i="4"/>
  <c r="CR100" i="4" s="1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Y100" i="4" s="1"/>
  <c r="AZ100" i="4" s="1"/>
  <c r="AK100" i="4"/>
  <c r="AL100" i="4" s="1"/>
  <c r="AE100" i="4"/>
  <c r="AF100" i="4" s="1"/>
  <c r="U100" i="4"/>
  <c r="V100" i="4" s="1"/>
  <c r="O100" i="4"/>
  <c r="P100" i="4" s="1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BZ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I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I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BZ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BZ83" i="4"/>
  <c r="ER83" i="4" s="1"/>
  <c r="ES83" i="4" s="1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 s="1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BZ82" i="4"/>
  <c r="ER82" i="4" s="1"/>
  <c r="ES82" i="4" s="1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CA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I82" i="4"/>
  <c r="AY82" i="4" s="1"/>
  <c r="AZ82" i="4" s="1"/>
  <c r="AO82" i="4"/>
  <c r="AP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BZ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BZ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AY79" i="4" s="1"/>
  <c r="AZ79" i="4" s="1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BZ77" i="4"/>
  <c r="ER77" i="4" s="1"/>
  <c r="ES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CA77" i="4"/>
  <c r="DQ77" i="4" s="1"/>
  <c r="DR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I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BZ76" i="4"/>
  <c r="CA76" i="4" s="1"/>
  <c r="DI76" i="4" s="1"/>
  <c r="DJ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DQ76" i="4"/>
  <c r="DR76" i="4" s="1"/>
  <c r="DM76" i="4"/>
  <c r="DN76" i="4" s="1"/>
  <c r="DE76" i="4"/>
  <c r="DF76" i="4" s="1"/>
  <c r="DA76" i="4"/>
  <c r="DB76" i="4" s="1"/>
  <c r="CW76" i="4"/>
  <c r="CX76" i="4" s="1"/>
  <c r="CO76" i="4"/>
  <c r="CP76" i="4" s="1"/>
  <c r="CK76" i="4"/>
  <c r="CL76" i="4" s="1"/>
  <c r="CG76" i="4"/>
  <c r="CH76" i="4" s="1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BZ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Y75" i="4" s="1"/>
  <c r="AZ75" i="4" s="1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BZ73" i="4"/>
  <c r="ER73" i="4" s="1"/>
  <c r="ES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I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BZ72" i="4"/>
  <c r="CA72" i="4" s="1"/>
  <c r="ER72" i="4"/>
  <c r="ES72" i="4" s="1"/>
  <c r="FU72" i="4" s="1"/>
  <c r="FV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U72" i="4" s="1"/>
  <c r="AV72" i="4" s="1"/>
  <c r="AY72" i="4"/>
  <c r="AZ72" i="4" s="1"/>
  <c r="AS72" i="4"/>
  <c r="AT72" i="4" s="1"/>
  <c r="AQ72" i="4"/>
  <c r="AR72" i="4" s="1"/>
  <c r="AK72" i="4"/>
  <c r="AL72" i="4" s="1"/>
  <c r="AI72" i="4"/>
  <c r="AJ72" i="4" s="1"/>
  <c r="AC72" i="4"/>
  <c r="AD72" i="4" s="1"/>
  <c r="AA72" i="4"/>
  <c r="AB72" i="4" s="1"/>
  <c r="U72" i="4"/>
  <c r="V72" i="4" s="1"/>
  <c r="S72" i="4"/>
  <c r="T72" i="4" s="1"/>
  <c r="Q72" i="4"/>
  <c r="R72" i="4" s="1"/>
  <c r="O72" i="4"/>
  <c r="P72" i="4" s="1"/>
  <c r="M72" i="4"/>
  <c r="N72" i="4" s="1"/>
  <c r="K72" i="4"/>
  <c r="L72" i="4" s="1"/>
  <c r="J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BZ71" i="4"/>
  <c r="ER71" i="4" s="1"/>
  <c r="ES71" i="4" s="1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Y71" i="4" s="1"/>
  <c r="AZ71" i="4" s="1"/>
  <c r="K71" i="4"/>
  <c r="L71" i="4" s="1"/>
  <c r="J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BZ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AY70" i="4" s="1"/>
  <c r="AZ70" i="4" s="1"/>
  <c r="AW70" i="4"/>
  <c r="AX70" i="4" s="1"/>
  <c r="AU70" i="4"/>
  <c r="AV70" i="4" s="1"/>
  <c r="AS70" i="4"/>
  <c r="AT70" i="4" s="1"/>
  <c r="AQ70" i="4"/>
  <c r="AR70" i="4" s="1"/>
  <c r="AO70" i="4"/>
  <c r="AP70" i="4" s="1"/>
  <c r="AM70" i="4"/>
  <c r="AN70" i="4" s="1"/>
  <c r="AK70" i="4"/>
  <c r="AL70" i="4" s="1"/>
  <c r="AI70" i="4"/>
  <c r="AJ70" i="4" s="1"/>
  <c r="AG70" i="4"/>
  <c r="AH70" i="4" s="1"/>
  <c r="AE70" i="4"/>
  <c r="AF70" i="4" s="1"/>
  <c r="AC70" i="4"/>
  <c r="AD70" i="4" s="1"/>
  <c r="AA70" i="4"/>
  <c r="AB70" i="4" s="1"/>
  <c r="Y70" i="4"/>
  <c r="Z70" i="4" s="1"/>
  <c r="W70" i="4"/>
  <c r="X70" i="4" s="1"/>
  <c r="U70" i="4"/>
  <c r="V70" i="4" s="1"/>
  <c r="S70" i="4"/>
  <c r="T70" i="4" s="1"/>
  <c r="Q70" i="4"/>
  <c r="R70" i="4" s="1"/>
  <c r="O70" i="4"/>
  <c r="P70" i="4" s="1"/>
  <c r="M70" i="4"/>
  <c r="N70" i="4" s="1"/>
  <c r="K70" i="4"/>
  <c r="L70" i="4" s="1"/>
  <c r="J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BZ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BZ68" i="4"/>
  <c r="CA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K68" i="4"/>
  <c r="AL68" i="4" s="1"/>
  <c r="AC68" i="4"/>
  <c r="AD68" i="4" s="1"/>
  <c r="U68" i="4"/>
  <c r="V68" i="4" s="1"/>
  <c r="M68" i="4"/>
  <c r="N68" i="4" s="1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I67" i="4"/>
  <c r="BZ67" i="4"/>
  <c r="ER67" i="4" s="1"/>
  <c r="ES67" i="4" s="1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I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BZ65" i="4"/>
  <c r="CA65" i="4" s="1"/>
  <c r="DM65" i="4" s="1"/>
  <c r="DN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DE65" i="4"/>
  <c r="DF65" i="4" s="1"/>
  <c r="CO65" i="4"/>
  <c r="CP65" i="4" s="1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I65" i="4"/>
  <c r="AY65" i="4" s="1"/>
  <c r="AZ65" i="4" s="1"/>
  <c r="AW65" i="4"/>
  <c r="AX65" i="4" s="1"/>
  <c r="AS65" i="4"/>
  <c r="AT65" i="4" s="1"/>
  <c r="AQ65" i="4"/>
  <c r="AR65" i="4" s="1"/>
  <c r="AO65" i="4"/>
  <c r="AP65" i="4" s="1"/>
  <c r="AM65" i="4"/>
  <c r="AN65" i="4" s="1"/>
  <c r="AK65" i="4"/>
  <c r="AL65" i="4" s="1"/>
  <c r="AI65" i="4"/>
  <c r="AJ65" i="4" s="1"/>
  <c r="AG65" i="4"/>
  <c r="AH65" i="4" s="1"/>
  <c r="AE65" i="4"/>
  <c r="AF65" i="4" s="1"/>
  <c r="AC65" i="4"/>
  <c r="AD65" i="4" s="1"/>
  <c r="AA65" i="4"/>
  <c r="AB65" i="4" s="1"/>
  <c r="Y65" i="4"/>
  <c r="Z65" i="4" s="1"/>
  <c r="W65" i="4"/>
  <c r="X65" i="4" s="1"/>
  <c r="U65" i="4"/>
  <c r="V65" i="4" s="1"/>
  <c r="S65" i="4"/>
  <c r="T65" i="4" s="1"/>
  <c r="Q65" i="4"/>
  <c r="R65" i="4" s="1"/>
  <c r="O65" i="4"/>
  <c r="P65" i="4" s="1"/>
  <c r="M65" i="4"/>
  <c r="N65" i="4" s="1"/>
  <c r="K65" i="4"/>
  <c r="L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Y64" i="4" s="1"/>
  <c r="AZ64" i="4" s="1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BZ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BZ58" i="4"/>
  <c r="ER58" i="4" s="1"/>
  <c r="ES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 s="1"/>
  <c r="AZ58" i="4" s="1"/>
  <c r="AK58" i="4"/>
  <c r="AL58" i="4" s="1"/>
  <c r="AI58" i="4"/>
  <c r="AJ58" i="4"/>
  <c r="AG58" i="4"/>
  <c r="AH58" i="4" s="1"/>
  <c r="AE58" i="4"/>
  <c r="AF58" i="4"/>
  <c r="AC58" i="4"/>
  <c r="AD58" i="4" s="1"/>
  <c r="AA58" i="4"/>
  <c r="AB58" i="4"/>
  <c r="Y58" i="4"/>
  <c r="Z58" i="4" s="1"/>
  <c r="W58" i="4"/>
  <c r="X58" i="4"/>
  <c r="U58" i="4"/>
  <c r="V58" i="4" s="1"/>
  <c r="S58" i="4"/>
  <c r="T58" i="4"/>
  <c r="Q58" i="4"/>
  <c r="R58" i="4" s="1"/>
  <c r="O58" i="4"/>
  <c r="P58" i="4" s="1"/>
  <c r="M58" i="4"/>
  <c r="N58" i="4" s="1"/>
  <c r="K58" i="4"/>
  <c r="L58" i="4" s="1"/>
  <c r="J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BZ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I40" i="4"/>
  <c r="I44" i="4"/>
  <c r="I52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BZ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BZ50" i="4"/>
  <c r="CA50" i="4" s="1"/>
  <c r="DQ50" i="4" s="1"/>
  <c r="DR50" i="4" s="1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CO50" i="4"/>
  <c r="CP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I50" i="4"/>
  <c r="AY50" i="4" s="1"/>
  <c r="AZ50" i="4" s="1"/>
  <c r="AU50" i="4"/>
  <c r="AV50" i="4" s="1"/>
  <c r="AS50" i="4"/>
  <c r="AT50" i="4" s="1"/>
  <c r="AQ50" i="4"/>
  <c r="AR50" i="4" s="1"/>
  <c r="AO50" i="4"/>
  <c r="AP50" i="4" s="1"/>
  <c r="AM50" i="4"/>
  <c r="AN50" i="4" s="1"/>
  <c r="AK50" i="4"/>
  <c r="AL50" i="4" s="1"/>
  <c r="AI50" i="4"/>
  <c r="AJ50" i="4" s="1"/>
  <c r="AG50" i="4"/>
  <c r="AH50" i="4" s="1"/>
  <c r="AE50" i="4"/>
  <c r="AF50" i="4" s="1"/>
  <c r="AC50" i="4"/>
  <c r="AD50" i="4" s="1"/>
  <c r="AA50" i="4"/>
  <c r="AB50" i="4" s="1"/>
  <c r="Y50" i="4"/>
  <c r="Z50" i="4" s="1"/>
  <c r="W50" i="4"/>
  <c r="X50" i="4" s="1"/>
  <c r="U50" i="4"/>
  <c r="V50" i="4" s="1"/>
  <c r="S50" i="4"/>
  <c r="T50" i="4" s="1"/>
  <c r="Q50" i="4"/>
  <c r="R50" i="4" s="1"/>
  <c r="O50" i="4"/>
  <c r="P50" i="4" s="1"/>
  <c r="M50" i="4"/>
  <c r="N50" i="4" s="1"/>
  <c r="K50" i="4"/>
  <c r="L50" i="4" s="1"/>
  <c r="J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/>
  <c r="AQ49" i="4"/>
  <c r="AR49" i="4" s="1"/>
  <c r="AM49" i="4"/>
  <c r="AN49" i="4"/>
  <c r="AI49" i="4"/>
  <c r="AJ49" i="4"/>
  <c r="AG49" i="4"/>
  <c r="AH49" i="4"/>
  <c r="AE49" i="4"/>
  <c r="AF49" i="4"/>
  <c r="AC49" i="4"/>
  <c r="AD49" i="4"/>
  <c r="AA49" i="4"/>
  <c r="AB49" i="4" s="1"/>
  <c r="Y49" i="4"/>
  <c r="Z49" i="4"/>
  <c r="W49" i="4"/>
  <c r="X49" i="4" s="1"/>
  <c r="U49" i="4"/>
  <c r="V49" i="4"/>
  <c r="S49" i="4"/>
  <c r="T49" i="4" s="1"/>
  <c r="Q49" i="4"/>
  <c r="R49" i="4"/>
  <c r="O49" i="4"/>
  <c r="P49" i="4" s="1"/>
  <c r="M49" i="4"/>
  <c r="N49" i="4"/>
  <c r="K49" i="4"/>
  <c r="L49" i="4" s="1"/>
  <c r="J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BZ46" i="4"/>
  <c r="ER46" i="4" s="1"/>
  <c r="ES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I46" i="4"/>
  <c r="AY46" i="4" s="1"/>
  <c r="AZ46" i="4" s="1"/>
  <c r="AI46" i="4"/>
  <c r="AJ46" i="4" s="1"/>
  <c r="AE46" i="4"/>
  <c r="AF46" i="4" s="1"/>
  <c r="AA46" i="4"/>
  <c r="AB46" i="4"/>
  <c r="U46" i="4"/>
  <c r="V46" i="4" s="1"/>
  <c r="S46" i="4"/>
  <c r="T46" i="4" s="1"/>
  <c r="O46" i="4"/>
  <c r="P46" i="4" s="1"/>
  <c r="M46" i="4"/>
  <c r="N46" i="4" s="1"/>
  <c r="K46" i="4"/>
  <c r="L46" i="4" s="1"/>
  <c r="J46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BZ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Y45" i="4" s="1"/>
  <c r="AZ45" i="4" s="1"/>
  <c r="AW45" i="4"/>
  <c r="AX45" i="4" s="1"/>
  <c r="AU45" i="4"/>
  <c r="AV45" i="4" s="1"/>
  <c r="AS45" i="4"/>
  <c r="AT45" i="4" s="1"/>
  <c r="AQ45" i="4"/>
  <c r="AR45" i="4" s="1"/>
  <c r="AO45" i="4"/>
  <c r="AP45" i="4" s="1"/>
  <c r="AM45" i="4"/>
  <c r="AN45" i="4" s="1"/>
  <c r="AK45" i="4"/>
  <c r="AL45" i="4" s="1"/>
  <c r="AI45" i="4"/>
  <c r="AJ45" i="4" s="1"/>
  <c r="AG45" i="4"/>
  <c r="AH45" i="4" s="1"/>
  <c r="AE45" i="4"/>
  <c r="AF45" i="4" s="1"/>
  <c r="AC45" i="4"/>
  <c r="AD45" i="4" s="1"/>
  <c r="AA45" i="4"/>
  <c r="AB45" i="4" s="1"/>
  <c r="Y45" i="4"/>
  <c r="Z45" i="4" s="1"/>
  <c r="W45" i="4"/>
  <c r="X45" i="4" s="1"/>
  <c r="U45" i="4"/>
  <c r="V45" i="4" s="1"/>
  <c r="S45" i="4"/>
  <c r="T45" i="4" s="1"/>
  <c r="Q45" i="4"/>
  <c r="R45" i="4" s="1"/>
  <c r="O45" i="4"/>
  <c r="P45" i="4" s="1"/>
  <c r="M45" i="4"/>
  <c r="N45" i="4" s="1"/>
  <c r="K45" i="4"/>
  <c r="L45" i="4" s="1"/>
  <c r="J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BZ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BZ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Y41" i="4" s="1"/>
  <c r="AZ41" i="4" s="1"/>
  <c r="AW41" i="4"/>
  <c r="AX41" i="4" s="1"/>
  <c r="AU41" i="4"/>
  <c r="AV41" i="4" s="1"/>
  <c r="AS41" i="4"/>
  <c r="AT41" i="4" s="1"/>
  <c r="AQ41" i="4"/>
  <c r="AR41" i="4" s="1"/>
  <c r="AO41" i="4"/>
  <c r="AP41" i="4" s="1"/>
  <c r="AM41" i="4"/>
  <c r="AN41" i="4" s="1"/>
  <c r="AK41" i="4"/>
  <c r="AL41" i="4" s="1"/>
  <c r="AI41" i="4"/>
  <c r="AJ41" i="4" s="1"/>
  <c r="AG41" i="4"/>
  <c r="AH41" i="4" s="1"/>
  <c r="AE41" i="4"/>
  <c r="AF41" i="4" s="1"/>
  <c r="AC41" i="4"/>
  <c r="AD41" i="4" s="1"/>
  <c r="AA41" i="4"/>
  <c r="AB41" i="4" s="1"/>
  <c r="Y41" i="4"/>
  <c r="Z41" i="4" s="1"/>
  <c r="W41" i="4"/>
  <c r="X41" i="4" s="1"/>
  <c r="U41" i="4"/>
  <c r="V41" i="4" s="1"/>
  <c r="S41" i="4"/>
  <c r="T41" i="4" s="1"/>
  <c r="Q41" i="4"/>
  <c r="R41" i="4" s="1"/>
  <c r="O41" i="4"/>
  <c r="P41" i="4" s="1"/>
  <c r="M41" i="4"/>
  <c r="N41" i="4" s="1"/>
  <c r="K41" i="4"/>
  <c r="L41" i="4" s="1"/>
  <c r="J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BZ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BZ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W37" i="4" s="1"/>
  <c r="AX37" i="4" s="1"/>
  <c r="AC37" i="4"/>
  <c r="AD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I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BZ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Y34" i="4" s="1"/>
  <c r="AZ34" i="4" s="1"/>
  <c r="J34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BZ31" i="4"/>
  <c r="ER31" i="4" s="1"/>
  <c r="ES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I31" i="4"/>
  <c r="AY31" i="4" s="1"/>
  <c r="AZ31" i="4" s="1"/>
  <c r="AM31" i="4"/>
  <c r="AN31" i="4"/>
  <c r="AI31" i="4"/>
  <c r="AJ31" i="4" s="1"/>
  <c r="AG31" i="4"/>
  <c r="AH31" i="4"/>
  <c r="AE31" i="4"/>
  <c r="AF31" i="4" s="1"/>
  <c r="AC31" i="4"/>
  <c r="AD31" i="4"/>
  <c r="AA31" i="4"/>
  <c r="AB31" i="4" s="1"/>
  <c r="Y31" i="4"/>
  <c r="Z31" i="4"/>
  <c r="W31" i="4"/>
  <c r="X31" i="4" s="1"/>
  <c r="U31" i="4"/>
  <c r="V31" i="4"/>
  <c r="S31" i="4"/>
  <c r="T31" i="4" s="1"/>
  <c r="Q31" i="4"/>
  <c r="R31" i="4"/>
  <c r="O31" i="4"/>
  <c r="P31" i="4" s="1"/>
  <c r="M31" i="4"/>
  <c r="N31" i="4" s="1"/>
  <c r="K31" i="4"/>
  <c r="L31" i="4" s="1"/>
  <c r="J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I1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K137" i="4" l="1"/>
  <c r="L137" i="4" s="1"/>
  <c r="S137" i="4"/>
  <c r="T137" i="4" s="1"/>
  <c r="AA137" i="4"/>
  <c r="AB137" i="4" s="1"/>
  <c r="AI137" i="4"/>
  <c r="AJ137" i="4" s="1"/>
  <c r="AQ137" i="4"/>
  <c r="AR137" i="4" s="1"/>
  <c r="AY137" i="4"/>
  <c r="AZ137" i="4" s="1"/>
  <c r="AG139" i="4"/>
  <c r="AH139" i="4" s="1"/>
  <c r="AO139" i="4"/>
  <c r="AP139" i="4" s="1"/>
  <c r="DE139" i="4"/>
  <c r="DF139" i="4" s="1"/>
  <c r="DK139" i="4"/>
  <c r="DL139" i="4" s="1"/>
  <c r="AK137" i="4"/>
  <c r="AL137" i="4" s="1"/>
  <c r="O137" i="4"/>
  <c r="P137" i="4" s="1"/>
  <c r="W137" i="4"/>
  <c r="X137" i="4" s="1"/>
  <c r="AE137" i="4"/>
  <c r="AF137" i="4" s="1"/>
  <c r="AM137" i="4"/>
  <c r="AN137" i="4" s="1"/>
  <c r="AU137" i="4"/>
  <c r="AV137" i="4" s="1"/>
  <c r="DG139" i="4"/>
  <c r="DH139" i="4" s="1"/>
  <c r="DQ139" i="4"/>
  <c r="DR139" i="4" s="1"/>
  <c r="AS137" i="4"/>
  <c r="AT137" i="4" s="1"/>
  <c r="J137" i="4"/>
  <c r="Q137" i="4"/>
  <c r="R137" i="4" s="1"/>
  <c r="Y137" i="4"/>
  <c r="Z137" i="4" s="1"/>
  <c r="AG137" i="4"/>
  <c r="AH137" i="4" s="1"/>
  <c r="AO137" i="4"/>
  <c r="AP137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Q117" i="4"/>
  <c r="AR117" i="4" s="1"/>
  <c r="FU121" i="4"/>
  <c r="FV121" i="4" s="1"/>
  <c r="J123" i="4"/>
  <c r="M123" i="4"/>
  <c r="N123" i="4" s="1"/>
  <c r="Q123" i="4"/>
  <c r="R123" i="4" s="1"/>
  <c r="U123" i="4"/>
  <c r="V123" i="4" s="1"/>
  <c r="Y123" i="4"/>
  <c r="Z123" i="4" s="1"/>
  <c r="AC123" i="4"/>
  <c r="AD123" i="4" s="1"/>
  <c r="AI123" i="4"/>
  <c r="AJ123" i="4" s="1"/>
  <c r="AQ123" i="4"/>
  <c r="AR123" i="4" s="1"/>
  <c r="AY123" i="4"/>
  <c r="AZ123" i="4" s="1"/>
  <c r="AK123" i="4"/>
  <c r="AL123" i="4" s="1"/>
  <c r="K117" i="4"/>
  <c r="L117" i="4" s="1"/>
  <c r="O117" i="4"/>
  <c r="P117" i="4" s="1"/>
  <c r="S117" i="4"/>
  <c r="T117" i="4" s="1"/>
  <c r="W117" i="4"/>
  <c r="X117" i="4" s="1"/>
  <c r="AA117" i="4"/>
  <c r="AB117" i="4" s="1"/>
  <c r="AE117" i="4"/>
  <c r="AF117" i="4" s="1"/>
  <c r="AI117" i="4"/>
  <c r="AJ117" i="4" s="1"/>
  <c r="AM117" i="4"/>
  <c r="AN117" i="4" s="1"/>
  <c r="K123" i="4"/>
  <c r="L123" i="4" s="1"/>
  <c r="O123" i="4"/>
  <c r="P123" i="4" s="1"/>
  <c r="S123" i="4"/>
  <c r="T123" i="4" s="1"/>
  <c r="W123" i="4"/>
  <c r="X123" i="4" s="1"/>
  <c r="AA123" i="4"/>
  <c r="AB123" i="4" s="1"/>
  <c r="AE123" i="4"/>
  <c r="AF123" i="4" s="1"/>
  <c r="AM123" i="4"/>
  <c r="AN123" i="4" s="1"/>
  <c r="AU123" i="4"/>
  <c r="AV123" i="4" s="1"/>
  <c r="AS123" i="4"/>
  <c r="AT123" i="4" s="1"/>
  <c r="FM121" i="4"/>
  <c r="FN121" i="4" s="1"/>
  <c r="AG123" i="4"/>
  <c r="AH123" i="4" s="1"/>
  <c r="AO123" i="4"/>
  <c r="AP123" i="4" s="1"/>
  <c r="AU100" i="4"/>
  <c r="AV100" i="4" s="1"/>
  <c r="K100" i="4"/>
  <c r="L100" i="4" s="1"/>
  <c r="Q100" i="4"/>
  <c r="R100" i="4" s="1"/>
  <c r="AA100" i="4"/>
  <c r="AB100" i="4" s="1"/>
  <c r="AG100" i="4"/>
  <c r="AH100" i="4" s="1"/>
  <c r="AQ100" i="4"/>
  <c r="AR100" i="4" s="1"/>
  <c r="AW100" i="4"/>
  <c r="AX100" i="4" s="1"/>
  <c r="AC101" i="4"/>
  <c r="AD101" i="4" s="1"/>
  <c r="AS101" i="4"/>
  <c r="AT101" i="4" s="1"/>
  <c r="DI101" i="4"/>
  <c r="DJ101" i="4" s="1"/>
  <c r="AS110" i="4"/>
  <c r="AT110" i="4" s="1"/>
  <c r="CK110" i="4"/>
  <c r="CL110" i="4" s="1"/>
  <c r="DM110" i="4"/>
  <c r="DN110" i="4" s="1"/>
  <c r="M100" i="4"/>
  <c r="N100" i="4" s="1"/>
  <c r="W100" i="4"/>
  <c r="X100" i="4" s="1"/>
  <c r="AC100" i="4"/>
  <c r="AD100" i="4" s="1"/>
  <c r="AM100" i="4"/>
  <c r="AN100" i="4" s="1"/>
  <c r="AS100" i="4"/>
  <c r="AT100" i="4" s="1"/>
  <c r="FE100" i="4"/>
  <c r="FF100" i="4" s="1"/>
  <c r="CS110" i="4"/>
  <c r="CT110" i="4" s="1"/>
  <c r="J100" i="4"/>
  <c r="S100" i="4"/>
  <c r="T100" i="4" s="1"/>
  <c r="Y100" i="4"/>
  <c r="Z100" i="4" s="1"/>
  <c r="AI100" i="4"/>
  <c r="AJ100" i="4" s="1"/>
  <c r="AO100" i="4"/>
  <c r="AP100" i="4" s="1"/>
  <c r="FO100" i="4"/>
  <c r="FP100" i="4" s="1"/>
  <c r="AO110" i="4"/>
  <c r="AP110" i="4" s="1"/>
  <c r="DI110" i="4"/>
  <c r="DJ110" i="4" s="1"/>
  <c r="ER110" i="4"/>
  <c r="ES110" i="4" s="1"/>
  <c r="FY110" i="4" s="1"/>
  <c r="FZ110" i="4" s="1"/>
  <c r="AS68" i="4"/>
  <c r="AT68" i="4" s="1"/>
  <c r="O83" i="4"/>
  <c r="P83" i="4" s="1"/>
  <c r="K64" i="4"/>
  <c r="L64" i="4" s="1"/>
  <c r="O64" i="4"/>
  <c r="P64" i="4" s="1"/>
  <c r="S64" i="4"/>
  <c r="T64" i="4" s="1"/>
  <c r="W64" i="4"/>
  <c r="X64" i="4" s="1"/>
  <c r="AA64" i="4"/>
  <c r="AB64" i="4" s="1"/>
  <c r="AE64" i="4"/>
  <c r="AF64" i="4" s="1"/>
  <c r="AM64" i="4"/>
  <c r="AN64" i="4" s="1"/>
  <c r="AU64" i="4"/>
  <c r="AV64" i="4" s="1"/>
  <c r="AU65" i="4"/>
  <c r="AV65" i="4" s="1"/>
  <c r="CK65" i="4"/>
  <c r="CL65" i="4" s="1"/>
  <c r="DA65" i="4"/>
  <c r="DB65" i="4" s="1"/>
  <c r="DQ65" i="4"/>
  <c r="DR65" i="4" s="1"/>
  <c r="ER65" i="4"/>
  <c r="ES65" i="4" s="1"/>
  <c r="FQ65" i="4" s="1"/>
  <c r="FR65" i="4" s="1"/>
  <c r="K68" i="4"/>
  <c r="L68" i="4" s="1"/>
  <c r="S68" i="4"/>
  <c r="T68" i="4" s="1"/>
  <c r="AA68" i="4"/>
  <c r="AB68" i="4" s="1"/>
  <c r="AI68" i="4"/>
  <c r="AJ68" i="4" s="1"/>
  <c r="AQ68" i="4"/>
  <c r="AR68" i="4" s="1"/>
  <c r="AY68" i="4"/>
  <c r="AZ68" i="4" s="1"/>
  <c r="Y72" i="4"/>
  <c r="Z72" i="4" s="1"/>
  <c r="AG72" i="4"/>
  <c r="AH72" i="4" s="1"/>
  <c r="AO72" i="4"/>
  <c r="AP72" i="4" s="1"/>
  <c r="AW72" i="4"/>
  <c r="AX72" i="4" s="1"/>
  <c r="M83" i="4"/>
  <c r="N83" i="4" s="1"/>
  <c r="U83" i="4"/>
  <c r="V83" i="4" s="1"/>
  <c r="AE83" i="4"/>
  <c r="AF83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I64" i="4"/>
  <c r="AJ64" i="4" s="1"/>
  <c r="AQ64" i="4"/>
  <c r="AR64" i="4" s="1"/>
  <c r="CC65" i="4"/>
  <c r="CD65" i="4" s="1"/>
  <c r="CS65" i="4"/>
  <c r="CT65" i="4" s="1"/>
  <c r="DI65" i="4"/>
  <c r="DJ65" i="4" s="1"/>
  <c r="O68" i="4"/>
  <c r="P68" i="4" s="1"/>
  <c r="W68" i="4"/>
  <c r="X68" i="4" s="1"/>
  <c r="AE68" i="4"/>
  <c r="AF68" i="4" s="1"/>
  <c r="AM68" i="4"/>
  <c r="AN68" i="4" s="1"/>
  <c r="AU68" i="4"/>
  <c r="AV68" i="4" s="1"/>
  <c r="ER68" i="4"/>
  <c r="ES68" i="4" s="1"/>
  <c r="FE72" i="4"/>
  <c r="FF72" i="4" s="1"/>
  <c r="CA73" i="4"/>
  <c r="DQ73" i="4" s="1"/>
  <c r="DR73" i="4" s="1"/>
  <c r="J83" i="4"/>
  <c r="Q83" i="4"/>
  <c r="R83" i="4" s="1"/>
  <c r="Y83" i="4"/>
  <c r="Z83" i="4" s="1"/>
  <c r="AK82" i="4"/>
  <c r="AL82" i="4" s="1"/>
  <c r="AS82" i="4"/>
  <c r="AT82" i="4" s="1"/>
  <c r="W83" i="4"/>
  <c r="X83" i="4" s="1"/>
  <c r="CG65" i="4"/>
  <c r="CH65" i="4" s="1"/>
  <c r="CW65" i="4"/>
  <c r="CX65" i="4" s="1"/>
  <c r="J68" i="4"/>
  <c r="Q68" i="4"/>
  <c r="R68" i="4" s="1"/>
  <c r="Y68" i="4"/>
  <c r="Z68" i="4" s="1"/>
  <c r="AG68" i="4"/>
  <c r="AH68" i="4" s="1"/>
  <c r="AO68" i="4"/>
  <c r="AP68" i="4" s="1"/>
  <c r="O71" i="4"/>
  <c r="P71" i="4" s="1"/>
  <c r="W72" i="4"/>
  <c r="X72" i="4" s="1"/>
  <c r="AE72" i="4"/>
  <c r="AF72" i="4" s="1"/>
  <c r="AM72" i="4"/>
  <c r="AN72" i="4" s="1"/>
  <c r="K82" i="4"/>
  <c r="L82" i="4" s="1"/>
  <c r="O82" i="4"/>
  <c r="P82" i="4" s="1"/>
  <c r="S82" i="4"/>
  <c r="T82" i="4" s="1"/>
  <c r="W82" i="4"/>
  <c r="X82" i="4" s="1"/>
  <c r="AA82" i="4"/>
  <c r="AB82" i="4" s="1"/>
  <c r="AE82" i="4"/>
  <c r="AF82" i="4" s="1"/>
  <c r="AI82" i="4"/>
  <c r="AJ82" i="4" s="1"/>
  <c r="AM82" i="4"/>
  <c r="AN82" i="4" s="1"/>
  <c r="AQ82" i="4"/>
  <c r="AR82" i="4" s="1"/>
  <c r="AU82" i="4"/>
  <c r="AV82" i="4" s="1"/>
  <c r="K83" i="4"/>
  <c r="L83" i="4" s="1"/>
  <c r="S83" i="4"/>
  <c r="T83" i="4" s="1"/>
  <c r="AA83" i="4"/>
  <c r="AB83" i="4" s="1"/>
  <c r="AM58" i="4"/>
  <c r="AN58" i="4" s="1"/>
  <c r="CA58" i="4"/>
  <c r="DC58" i="4" s="1"/>
  <c r="DD58" i="4" s="1"/>
  <c r="CG50" i="4"/>
  <c r="CH50" i="4" s="1"/>
  <c r="DE50" i="4"/>
  <c r="DF50" i="4" s="1"/>
  <c r="AW50" i="4"/>
  <c r="AX50" i="4" s="1"/>
  <c r="CS50" i="4"/>
  <c r="CT50" i="4" s="1"/>
  <c r="DM50" i="4"/>
  <c r="DN50" i="4" s="1"/>
  <c r="DI50" i="4"/>
  <c r="DJ50" i="4" s="1"/>
  <c r="CC50" i="4"/>
  <c r="CD50" i="4" s="1"/>
  <c r="CW50" i="4"/>
  <c r="CX50" i="4" s="1"/>
  <c r="CA31" i="4"/>
  <c r="DO31" i="4" s="1"/>
  <c r="DP31" i="4" s="1"/>
  <c r="ER34" i="4"/>
  <c r="ES34" i="4" s="1"/>
  <c r="GA34" i="4" s="1"/>
  <c r="GB34" i="4" s="1"/>
  <c r="CA34" i="4"/>
  <c r="CA45" i="4"/>
  <c r="ER45" i="4"/>
  <c r="ES45" i="4" s="1"/>
  <c r="ER41" i="4"/>
  <c r="ES41" i="4" s="1"/>
  <c r="CA41" i="4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 s="1"/>
  <c r="Q18" i="4"/>
  <c r="R18" i="4" s="1"/>
  <c r="M18" i="4"/>
  <c r="N18" i="4" s="1"/>
  <c r="J18" i="4"/>
  <c r="AU18" i="4"/>
  <c r="AV18" i="4" s="1"/>
  <c r="AQ18" i="4"/>
  <c r="AR18" i="4" s="1"/>
  <c r="AI18" i="4"/>
  <c r="AJ18" i="4" s="1"/>
  <c r="AA18" i="4"/>
  <c r="AB18" i="4" s="1"/>
  <c r="S18" i="4"/>
  <c r="T18" i="4" s="1"/>
  <c r="K18" i="4"/>
  <c r="L18" i="4" s="1"/>
  <c r="AY18" i="4"/>
  <c r="AZ18" i="4" s="1"/>
  <c r="AM18" i="4"/>
  <c r="AN18" i="4" s="1"/>
  <c r="AE18" i="4"/>
  <c r="AF18" i="4" s="1"/>
  <c r="W18" i="4"/>
  <c r="X18" i="4" s="1"/>
  <c r="O18" i="4"/>
  <c r="P18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G31" i="4"/>
  <c r="GH31" i="4" s="1"/>
  <c r="GC31" i="4"/>
  <c r="GD31" i="4" s="1"/>
  <c r="FY31" i="4"/>
  <c r="FZ31" i="4" s="1"/>
  <c r="FU31" i="4"/>
  <c r="FV31" i="4" s="1"/>
  <c r="FQ31" i="4"/>
  <c r="FR31" i="4" s="1"/>
  <c r="FM31" i="4"/>
  <c r="FN31" i="4" s="1"/>
  <c r="FI31" i="4"/>
  <c r="FJ31" i="4" s="1"/>
  <c r="FE31" i="4"/>
  <c r="FF31" i="4" s="1"/>
  <c r="FA31" i="4"/>
  <c r="FB31" i="4" s="1"/>
  <c r="EW31" i="4"/>
  <c r="EX31" i="4" s="1"/>
  <c r="ET31" i="4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BZ18" i="4"/>
  <c r="AK31" i="4"/>
  <c r="AL31" i="4" s="1"/>
  <c r="AO31" i="4"/>
  <c r="AP31" i="4" s="1"/>
  <c r="AS31" i="4"/>
  <c r="AT31" i="4" s="1"/>
  <c r="AW31" i="4"/>
  <c r="AX31" i="4" s="1"/>
  <c r="CC31" i="4"/>
  <c r="CD31" i="4" s="1"/>
  <c r="CG31" i="4"/>
  <c r="CH31" i="4" s="1"/>
  <c r="CK31" i="4"/>
  <c r="CL31" i="4" s="1"/>
  <c r="CO31" i="4"/>
  <c r="CP31" i="4" s="1"/>
  <c r="CS31" i="4"/>
  <c r="CT31" i="4" s="1"/>
  <c r="CW31" i="4"/>
  <c r="CX31" i="4" s="1"/>
  <c r="DA31" i="4"/>
  <c r="DB31" i="4" s="1"/>
  <c r="DE31" i="4"/>
  <c r="DF31" i="4" s="1"/>
  <c r="DI31" i="4"/>
  <c r="DJ31" i="4" s="1"/>
  <c r="DM31" i="4"/>
  <c r="DN31" i="4" s="1"/>
  <c r="DQ31" i="4"/>
  <c r="DR31" i="4" s="1"/>
  <c r="U37" i="4"/>
  <c r="V37" i="4" s="1"/>
  <c r="Q46" i="4"/>
  <c r="R46" i="4" s="1"/>
  <c r="W46" i="4"/>
  <c r="X46" i="4" s="1"/>
  <c r="CK50" i="4"/>
  <c r="CL50" i="4" s="1"/>
  <c r="DA50" i="4"/>
  <c r="DB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8" i="4"/>
  <c r="GJ58" i="4" s="1"/>
  <c r="GE58" i="4"/>
  <c r="GF58" i="4" s="1"/>
  <c r="GA58" i="4"/>
  <c r="GB58" i="4" s="1"/>
  <c r="FW58" i="4"/>
  <c r="FX58" i="4" s="1"/>
  <c r="FS58" i="4"/>
  <c r="FT58" i="4" s="1"/>
  <c r="FO58" i="4"/>
  <c r="FP58" i="4" s="1"/>
  <c r="FK58" i="4"/>
  <c r="FL58" i="4" s="1"/>
  <c r="FG58" i="4"/>
  <c r="FH58" i="4" s="1"/>
  <c r="FC58" i="4"/>
  <c r="FD58" i="4" s="1"/>
  <c r="EY58" i="4"/>
  <c r="EZ58" i="4" s="1"/>
  <c r="EU58" i="4"/>
  <c r="EV5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CA64" i="4"/>
  <c r="ET65" i="4"/>
  <c r="DO65" i="4"/>
  <c r="DP65" i="4" s="1"/>
  <c r="DK65" i="4"/>
  <c r="DL65" i="4" s="1"/>
  <c r="DG65" i="4"/>
  <c r="DH65" i="4" s="1"/>
  <c r="DC65" i="4"/>
  <c r="DD65" i="4" s="1"/>
  <c r="CY65" i="4"/>
  <c r="CZ65" i="4" s="1"/>
  <c r="CU65" i="4"/>
  <c r="CV65" i="4" s="1"/>
  <c r="CQ65" i="4"/>
  <c r="CR65" i="4" s="1"/>
  <c r="CM65" i="4"/>
  <c r="CN65" i="4" s="1"/>
  <c r="CI65" i="4"/>
  <c r="CJ65" i="4" s="1"/>
  <c r="CE65" i="4"/>
  <c r="CF65" i="4" s="1"/>
  <c r="CB65" i="4"/>
  <c r="ET68" i="4"/>
  <c r="FI68" i="4"/>
  <c r="FJ68" i="4" s="1"/>
  <c r="FY68" i="4"/>
  <c r="FZ68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CA80" i="4"/>
  <c r="ER80" i="4"/>
  <c r="ES80" i="4" s="1"/>
  <c r="ER152" i="4"/>
  <c r="ES152" i="4" s="1"/>
  <c r="CA152" i="4"/>
  <c r="AQ31" i="4"/>
  <c r="AR31" i="4" s="1"/>
  <c r="AU31" i="4"/>
  <c r="AV31" i="4" s="1"/>
  <c r="CB31" i="4"/>
  <c r="CE31" i="4"/>
  <c r="CF31" i="4" s="1"/>
  <c r="CI31" i="4"/>
  <c r="CJ31" i="4" s="1"/>
  <c r="CM31" i="4"/>
  <c r="CN31" i="4" s="1"/>
  <c r="CQ31" i="4"/>
  <c r="CR31" i="4" s="1"/>
  <c r="CU31" i="4"/>
  <c r="CV31" i="4" s="1"/>
  <c r="CY31" i="4"/>
  <c r="CZ31" i="4" s="1"/>
  <c r="DC31" i="4"/>
  <c r="DD31" i="4" s="1"/>
  <c r="DG31" i="4"/>
  <c r="DH31" i="4" s="1"/>
  <c r="DK31" i="4"/>
  <c r="DL31" i="4" s="1"/>
  <c r="M34" i="4"/>
  <c r="N34" i="4" s="1"/>
  <c r="I48" i="4"/>
  <c r="BZ48" i="4"/>
  <c r="ER50" i="4"/>
  <c r="ES50" i="4" s="1"/>
  <c r="DO58" i="4"/>
  <c r="DP58" i="4" s="1"/>
  <c r="DK58" i="4"/>
  <c r="DL58" i="4" s="1"/>
  <c r="CY58" i="4"/>
  <c r="CZ58" i="4" s="1"/>
  <c r="CU58" i="4"/>
  <c r="CV58" i="4" s="1"/>
  <c r="CI58" i="4"/>
  <c r="CJ58" i="4" s="1"/>
  <c r="CE58" i="4"/>
  <c r="CF58" i="4" s="1"/>
  <c r="DM58" i="4"/>
  <c r="DN58" i="4" s="1"/>
  <c r="DI58" i="4"/>
  <c r="DJ58" i="4" s="1"/>
  <c r="CW58" i="4"/>
  <c r="CX58" i="4" s="1"/>
  <c r="CS58" i="4"/>
  <c r="CT58" i="4" s="1"/>
  <c r="CG58" i="4"/>
  <c r="CH58" i="4" s="1"/>
  <c r="CC58" i="4"/>
  <c r="CD58" i="4" s="1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FA68" i="4"/>
  <c r="FB68" i="4" s="1"/>
  <c r="FQ68" i="4"/>
  <c r="FR68" i="4" s="1"/>
  <c r="ER75" i="4"/>
  <c r="ES75" i="4" s="1"/>
  <c r="CA75" i="4"/>
  <c r="I78" i="4"/>
  <c r="BZ78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CA123" i="4"/>
  <c r="ER123" i="4"/>
  <c r="ES123" i="4" s="1"/>
  <c r="Q34" i="4"/>
  <c r="R34" i="4" s="1"/>
  <c r="M37" i="4"/>
  <c r="N37" i="4" s="1"/>
  <c r="CA49" i="4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CA51" i="4"/>
  <c r="ER51" i="4"/>
  <c r="ES51" i="4" s="1"/>
  <c r="GA65" i="4"/>
  <c r="GB65" i="4" s="1"/>
  <c r="FK65" i="4"/>
  <c r="FL65" i="4" s="1"/>
  <c r="EU65" i="4"/>
  <c r="EV65" i="4" s="1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C72" i="4"/>
  <c r="GD72" i="4" s="1"/>
  <c r="FM72" i="4"/>
  <c r="FN72" i="4" s="1"/>
  <c r="EW72" i="4"/>
  <c r="EX72" i="4" s="1"/>
  <c r="FY72" i="4"/>
  <c r="FZ72" i="4" s="1"/>
  <c r="FI72" i="4"/>
  <c r="FJ72" i="4" s="1"/>
  <c r="ET72" i="4"/>
  <c r="GG72" i="4"/>
  <c r="GH72" i="4" s="1"/>
  <c r="FQ72" i="4"/>
  <c r="FR72" i="4" s="1"/>
  <c r="FA72" i="4"/>
  <c r="FB72" i="4" s="1"/>
  <c r="CA79" i="4"/>
  <c r="ER79" i="4"/>
  <c r="ES79" i="4" s="1"/>
  <c r="AK49" i="4"/>
  <c r="AL49" i="4" s="1"/>
  <c r="AO49" i="4"/>
  <c r="AP49" i="4" s="1"/>
  <c r="AS49" i="4"/>
  <c r="AT49" i="4" s="1"/>
  <c r="AW49" i="4"/>
  <c r="AX49" i="4" s="1"/>
  <c r="AO58" i="4"/>
  <c r="AP58" i="4" s="1"/>
  <c r="AS58" i="4"/>
  <c r="AT58" i="4" s="1"/>
  <c r="AW58" i="4"/>
  <c r="AX58" i="4" s="1"/>
  <c r="AG64" i="4"/>
  <c r="AH64" i="4" s="1"/>
  <c r="AK64" i="4"/>
  <c r="AL64" i="4" s="1"/>
  <c r="AO64" i="4"/>
  <c r="AP64" i="4" s="1"/>
  <c r="AS64" i="4"/>
  <c r="AT64" i="4" s="1"/>
  <c r="AW64" i="4"/>
  <c r="AX64" i="4" s="1"/>
  <c r="ER70" i="4"/>
  <c r="ES70" i="4" s="1"/>
  <c r="CA70" i="4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I74" i="4"/>
  <c r="BZ74" i="4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I81" i="4"/>
  <c r="BZ81" i="4"/>
  <c r="DO82" i="4"/>
  <c r="DP82" i="4" s="1"/>
  <c r="DK82" i="4"/>
  <c r="DL82" i="4" s="1"/>
  <c r="DG82" i="4"/>
  <c r="DH82" i="4" s="1"/>
  <c r="DC82" i="4"/>
  <c r="DD82" i="4" s="1"/>
  <c r="CY82" i="4"/>
  <c r="CZ82" i="4" s="1"/>
  <c r="CU82" i="4"/>
  <c r="CV82" i="4" s="1"/>
  <c r="CQ82" i="4"/>
  <c r="CR82" i="4" s="1"/>
  <c r="CM82" i="4"/>
  <c r="CN82" i="4" s="1"/>
  <c r="CI82" i="4"/>
  <c r="CJ82" i="4" s="1"/>
  <c r="CE82" i="4"/>
  <c r="CF82" i="4" s="1"/>
  <c r="CB82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BZ94" i="4"/>
  <c r="CA94" i="4" s="1"/>
  <c r="I94" i="4"/>
  <c r="AW94" i="4" s="1"/>
  <c r="AX94" i="4" s="1"/>
  <c r="AU49" i="4"/>
  <c r="AV49" i="4" s="1"/>
  <c r="AQ58" i="4"/>
  <c r="AR58" i="4" s="1"/>
  <c r="AU58" i="4"/>
  <c r="AV58" i="4" s="1"/>
  <c r="CA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CC76" i="4"/>
  <c r="CD76" i="4" s="1"/>
  <c r="CS76" i="4"/>
  <c r="CT76" i="4" s="1"/>
  <c r="ER76" i="4"/>
  <c r="ES76" i="4" s="1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M71" i="4"/>
  <c r="N71" i="4" s="1"/>
  <c r="Q71" i="4"/>
  <c r="R71" i="4" s="1"/>
  <c r="U71" i="4"/>
  <c r="V71" i="4" s="1"/>
  <c r="Y71" i="4"/>
  <c r="Z71" i="4" s="1"/>
  <c r="AC71" i="4"/>
  <c r="AD71" i="4" s="1"/>
  <c r="AG71" i="4"/>
  <c r="AH71" i="4" s="1"/>
  <c r="AK71" i="4"/>
  <c r="AL71" i="4" s="1"/>
  <c r="AO71" i="4"/>
  <c r="AP71" i="4" s="1"/>
  <c r="AS71" i="4"/>
  <c r="AT71" i="4" s="1"/>
  <c r="AW71" i="4"/>
  <c r="AX71" i="4" s="1"/>
  <c r="CE73" i="4"/>
  <c r="CF73" i="4" s="1"/>
  <c r="CU73" i="4"/>
  <c r="CV73" i="4" s="1"/>
  <c r="DK73" i="4"/>
  <c r="DL73" i="4" s="1"/>
  <c r="J75" i="4"/>
  <c r="M75" i="4"/>
  <c r="N75" i="4" s="1"/>
  <c r="Q75" i="4"/>
  <c r="R75" i="4" s="1"/>
  <c r="U75" i="4"/>
  <c r="V75" i="4" s="1"/>
  <c r="Y75" i="4"/>
  <c r="Z75" i="4" s="1"/>
  <c r="AC75" i="4"/>
  <c r="AD75" i="4" s="1"/>
  <c r="AG75" i="4"/>
  <c r="AH75" i="4" s="1"/>
  <c r="AK75" i="4"/>
  <c r="AL75" i="4" s="1"/>
  <c r="AO75" i="4"/>
  <c r="AP75" i="4" s="1"/>
  <c r="AS75" i="4"/>
  <c r="AT75" i="4" s="1"/>
  <c r="AW75" i="4"/>
  <c r="AX75" i="4" s="1"/>
  <c r="I76" i="4"/>
  <c r="CB77" i="4"/>
  <c r="CE77" i="4"/>
  <c r="CF77" i="4" s="1"/>
  <c r="CI77" i="4"/>
  <c r="CJ77" i="4" s="1"/>
  <c r="CM77" i="4"/>
  <c r="CN77" i="4" s="1"/>
  <c r="CQ77" i="4"/>
  <c r="CR77" i="4" s="1"/>
  <c r="CU77" i="4"/>
  <c r="CV77" i="4" s="1"/>
  <c r="CY77" i="4"/>
  <c r="CZ77" i="4" s="1"/>
  <c r="DC77" i="4"/>
  <c r="DD77" i="4" s="1"/>
  <c r="DG77" i="4"/>
  <c r="DH77" i="4" s="1"/>
  <c r="DK77" i="4"/>
  <c r="DL77" i="4" s="1"/>
  <c r="DO77" i="4"/>
  <c r="DP77" i="4" s="1"/>
  <c r="J79" i="4"/>
  <c r="M79" i="4"/>
  <c r="N79" i="4" s="1"/>
  <c r="Q79" i="4"/>
  <c r="R79" i="4" s="1"/>
  <c r="U79" i="4"/>
  <c r="V79" i="4" s="1"/>
  <c r="Y79" i="4"/>
  <c r="Z79" i="4" s="1"/>
  <c r="AC79" i="4"/>
  <c r="AD79" i="4" s="1"/>
  <c r="AG79" i="4"/>
  <c r="AH79" i="4" s="1"/>
  <c r="AK79" i="4"/>
  <c r="AL79" i="4" s="1"/>
  <c r="AO79" i="4"/>
  <c r="AP79" i="4" s="1"/>
  <c r="AS79" i="4"/>
  <c r="AT79" i="4" s="1"/>
  <c r="AW79" i="4"/>
  <c r="AX79" i="4" s="1"/>
  <c r="DO100" i="4"/>
  <c r="DP100" i="4" s="1"/>
  <c r="DE100" i="4"/>
  <c r="DF100" i="4" s="1"/>
  <c r="CY100" i="4"/>
  <c r="CZ100" i="4" s="1"/>
  <c r="CO100" i="4"/>
  <c r="CP100" i="4" s="1"/>
  <c r="DI100" i="4"/>
  <c r="DJ100" i="4" s="1"/>
  <c r="DC100" i="4"/>
  <c r="DD100" i="4" s="1"/>
  <c r="CS100" i="4"/>
  <c r="CT100" i="4" s="1"/>
  <c r="CM100" i="4"/>
  <c r="CN100" i="4" s="1"/>
  <c r="CI100" i="4"/>
  <c r="CJ100" i="4" s="1"/>
  <c r="CE100" i="4"/>
  <c r="CF100" i="4" s="1"/>
  <c r="CB100" i="4"/>
  <c r="DQ100" i="4"/>
  <c r="DR100" i="4" s="1"/>
  <c r="DK100" i="4"/>
  <c r="DL100" i="4" s="1"/>
  <c r="DA100" i="4"/>
  <c r="DB100" i="4" s="1"/>
  <c r="CU100" i="4"/>
  <c r="CV100" i="4" s="1"/>
  <c r="CK100" i="4"/>
  <c r="CL100" i="4" s="1"/>
  <c r="CG100" i="4"/>
  <c r="CH100" i="4" s="1"/>
  <c r="CC100" i="4"/>
  <c r="CD100" i="4" s="1"/>
  <c r="EY100" i="4"/>
  <c r="EZ100" i="4" s="1"/>
  <c r="FU100" i="4"/>
  <c r="FV100" i="4" s="1"/>
  <c r="GG101" i="4"/>
  <c r="GH101" i="4" s="1"/>
  <c r="GC101" i="4"/>
  <c r="GD101" i="4" s="1"/>
  <c r="FY101" i="4"/>
  <c r="FZ101" i="4" s="1"/>
  <c r="FU101" i="4"/>
  <c r="FV101" i="4" s="1"/>
  <c r="FQ101" i="4"/>
  <c r="FR101" i="4" s="1"/>
  <c r="FM101" i="4"/>
  <c r="FN101" i="4" s="1"/>
  <c r="FI101" i="4"/>
  <c r="FJ101" i="4" s="1"/>
  <c r="FE101" i="4"/>
  <c r="FF101" i="4" s="1"/>
  <c r="FA101" i="4"/>
  <c r="FB101" i="4" s="1"/>
  <c r="EW101" i="4"/>
  <c r="EX101" i="4" s="1"/>
  <c r="ET101" i="4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2" i="4"/>
  <c r="BZ102" i="4"/>
  <c r="S71" i="4"/>
  <c r="T71" i="4" s="1"/>
  <c r="W71" i="4"/>
  <c r="X71" i="4" s="1"/>
  <c r="AA71" i="4"/>
  <c r="AB71" i="4" s="1"/>
  <c r="AE71" i="4"/>
  <c r="AF71" i="4" s="1"/>
  <c r="AI71" i="4"/>
  <c r="AJ71" i="4" s="1"/>
  <c r="AM71" i="4"/>
  <c r="AN71" i="4" s="1"/>
  <c r="AQ71" i="4"/>
  <c r="AR71" i="4" s="1"/>
  <c r="AU71" i="4"/>
  <c r="AV71" i="4" s="1"/>
  <c r="CC73" i="4"/>
  <c r="CD73" i="4" s="1"/>
  <c r="CS73" i="4"/>
  <c r="CT73" i="4" s="1"/>
  <c r="DI73" i="4"/>
  <c r="DJ73" i="4" s="1"/>
  <c r="K75" i="4"/>
  <c r="L75" i="4" s="1"/>
  <c r="O75" i="4"/>
  <c r="P75" i="4" s="1"/>
  <c r="S75" i="4"/>
  <c r="T75" i="4" s="1"/>
  <c r="W75" i="4"/>
  <c r="X75" i="4" s="1"/>
  <c r="AA75" i="4"/>
  <c r="AB75" i="4" s="1"/>
  <c r="AE75" i="4"/>
  <c r="AF75" i="4" s="1"/>
  <c r="AI75" i="4"/>
  <c r="AJ75" i="4" s="1"/>
  <c r="AM75" i="4"/>
  <c r="AN75" i="4" s="1"/>
  <c r="AQ75" i="4"/>
  <c r="AR75" i="4" s="1"/>
  <c r="AU75" i="4"/>
  <c r="AV75" i="4" s="1"/>
  <c r="CC77" i="4"/>
  <c r="CD77" i="4" s="1"/>
  <c r="CG77" i="4"/>
  <c r="CH77" i="4" s="1"/>
  <c r="CK77" i="4"/>
  <c r="CL77" i="4" s="1"/>
  <c r="CO77" i="4"/>
  <c r="CP77" i="4" s="1"/>
  <c r="CS77" i="4"/>
  <c r="CT77" i="4" s="1"/>
  <c r="CW77" i="4"/>
  <c r="CX77" i="4" s="1"/>
  <c r="DA77" i="4"/>
  <c r="DB77" i="4" s="1"/>
  <c r="DE77" i="4"/>
  <c r="DF77" i="4" s="1"/>
  <c r="DI77" i="4"/>
  <c r="DJ77" i="4" s="1"/>
  <c r="DM77" i="4"/>
  <c r="DN77" i="4" s="1"/>
  <c r="K79" i="4"/>
  <c r="L79" i="4" s="1"/>
  <c r="O79" i="4"/>
  <c r="P79" i="4" s="1"/>
  <c r="S79" i="4"/>
  <c r="T79" i="4" s="1"/>
  <c r="W79" i="4"/>
  <c r="X79" i="4" s="1"/>
  <c r="AA79" i="4"/>
  <c r="AB79" i="4" s="1"/>
  <c r="AE79" i="4"/>
  <c r="AF79" i="4" s="1"/>
  <c r="AI79" i="4"/>
  <c r="AJ79" i="4" s="1"/>
  <c r="AM79" i="4"/>
  <c r="AN79" i="4" s="1"/>
  <c r="AQ79" i="4"/>
  <c r="AR79" i="4" s="1"/>
  <c r="AU79" i="4"/>
  <c r="AV79" i="4" s="1"/>
  <c r="AW80" i="4"/>
  <c r="AX80" i="4" s="1"/>
  <c r="AS80" i="4"/>
  <c r="AT80" i="4" s="1"/>
  <c r="AO80" i="4"/>
  <c r="AP80" i="4" s="1"/>
  <c r="AK80" i="4"/>
  <c r="AL80" i="4" s="1"/>
  <c r="AG80" i="4"/>
  <c r="AH80" i="4" s="1"/>
  <c r="AC80" i="4"/>
  <c r="AD80" i="4" s="1"/>
  <c r="Y80" i="4"/>
  <c r="Z80" i="4" s="1"/>
  <c r="U80" i="4"/>
  <c r="V80" i="4" s="1"/>
  <c r="Q80" i="4"/>
  <c r="R80" i="4" s="1"/>
  <c r="M80" i="4"/>
  <c r="N80" i="4" s="1"/>
  <c r="J80" i="4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BZ93" i="4"/>
  <c r="I93" i="4"/>
  <c r="AW93" i="4" s="1"/>
  <c r="AX93" i="4" s="1"/>
  <c r="GI82" i="4"/>
  <c r="GJ82" i="4" s="1"/>
  <c r="GE82" i="4"/>
  <c r="GF82" i="4" s="1"/>
  <c r="GA82" i="4"/>
  <c r="GB82" i="4" s="1"/>
  <c r="FW82" i="4"/>
  <c r="FX82" i="4" s="1"/>
  <c r="FS82" i="4"/>
  <c r="FT82" i="4" s="1"/>
  <c r="FO82" i="4"/>
  <c r="FP82" i="4" s="1"/>
  <c r="FK82" i="4"/>
  <c r="FL82" i="4" s="1"/>
  <c r="FG82" i="4"/>
  <c r="FH82" i="4" s="1"/>
  <c r="FC82" i="4"/>
  <c r="FD82" i="4" s="1"/>
  <c r="EY82" i="4"/>
  <c r="EZ82" i="4" s="1"/>
  <c r="EU82" i="4"/>
  <c r="EV82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C100" i="4"/>
  <c r="GD100" i="4" s="1"/>
  <c r="FW100" i="4"/>
  <c r="FX100" i="4" s="1"/>
  <c r="FM100" i="4"/>
  <c r="FN100" i="4" s="1"/>
  <c r="FG100" i="4"/>
  <c r="FH100" i="4" s="1"/>
  <c r="EW100" i="4"/>
  <c r="EX100" i="4" s="1"/>
  <c r="GG100" i="4"/>
  <c r="GH100" i="4" s="1"/>
  <c r="GA100" i="4"/>
  <c r="GB100" i="4" s="1"/>
  <c r="FQ100" i="4"/>
  <c r="FR100" i="4" s="1"/>
  <c r="FK100" i="4"/>
  <c r="FL100" i="4" s="1"/>
  <c r="FA100" i="4"/>
  <c r="FB100" i="4" s="1"/>
  <c r="EU100" i="4"/>
  <c r="EV100" i="4" s="1"/>
  <c r="GI100" i="4"/>
  <c r="GJ100" i="4" s="1"/>
  <c r="FY100" i="4"/>
  <c r="FZ100" i="4" s="1"/>
  <c r="FS100" i="4"/>
  <c r="FT100" i="4" s="1"/>
  <c r="FI100" i="4"/>
  <c r="FJ100" i="4" s="1"/>
  <c r="FC100" i="4"/>
  <c r="FD100" i="4" s="1"/>
  <c r="ET100" i="4"/>
  <c r="AW82" i="4"/>
  <c r="AX82" i="4" s="1"/>
  <c r="DO103" i="4"/>
  <c r="DP103" i="4" s="1"/>
  <c r="DK103" i="4"/>
  <c r="DL103" i="4" s="1"/>
  <c r="DG103" i="4"/>
  <c r="DH103" i="4" s="1"/>
  <c r="DC103" i="4"/>
  <c r="DD103" i="4" s="1"/>
  <c r="CY103" i="4"/>
  <c r="CZ103" i="4" s="1"/>
  <c r="CU103" i="4"/>
  <c r="CV103" i="4" s="1"/>
  <c r="CQ103" i="4"/>
  <c r="CR103" i="4" s="1"/>
  <c r="CM103" i="4"/>
  <c r="CN103" i="4" s="1"/>
  <c r="CI103" i="4"/>
  <c r="CJ103" i="4" s="1"/>
  <c r="CE103" i="4"/>
  <c r="CF103" i="4" s="1"/>
  <c r="CB103" i="4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CA105" i="4"/>
  <c r="ER105" i="4"/>
  <c r="ES105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GI103" i="4"/>
  <c r="GJ103" i="4" s="1"/>
  <c r="GE103" i="4"/>
  <c r="GF103" i="4" s="1"/>
  <c r="GA103" i="4"/>
  <c r="GB103" i="4" s="1"/>
  <c r="FW103" i="4"/>
  <c r="FX103" i="4" s="1"/>
  <c r="FS103" i="4"/>
  <c r="FT103" i="4" s="1"/>
  <c r="FO103" i="4"/>
  <c r="FP103" i="4" s="1"/>
  <c r="FK103" i="4"/>
  <c r="FL103" i="4" s="1"/>
  <c r="FG103" i="4"/>
  <c r="FH103" i="4" s="1"/>
  <c r="FC103" i="4"/>
  <c r="FD103" i="4" s="1"/>
  <c r="EY103" i="4"/>
  <c r="EZ103" i="4" s="1"/>
  <c r="EU103" i="4"/>
  <c r="EV103" i="4" s="1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AI83" i="4"/>
  <c r="AJ83" i="4" s="1"/>
  <c r="U101" i="4"/>
  <c r="V101" i="4" s="1"/>
  <c r="AK101" i="4"/>
  <c r="AL101" i="4" s="1"/>
  <c r="CB101" i="4"/>
  <c r="CE101" i="4"/>
  <c r="CF101" i="4" s="1"/>
  <c r="CI101" i="4"/>
  <c r="CJ101" i="4" s="1"/>
  <c r="CM101" i="4"/>
  <c r="CN101" i="4" s="1"/>
  <c r="CQ101" i="4"/>
  <c r="CR101" i="4" s="1"/>
  <c r="CU101" i="4"/>
  <c r="CV101" i="4" s="1"/>
  <c r="CY101" i="4"/>
  <c r="CZ101" i="4" s="1"/>
  <c r="DC101" i="4"/>
  <c r="DD101" i="4" s="1"/>
  <c r="DG101" i="4"/>
  <c r="DH101" i="4" s="1"/>
  <c r="DK101" i="4"/>
  <c r="DL101" i="4" s="1"/>
  <c r="DO101" i="4"/>
  <c r="DP101" i="4" s="1"/>
  <c r="J103" i="4"/>
  <c r="M103" i="4"/>
  <c r="N103" i="4" s="1"/>
  <c r="Q103" i="4"/>
  <c r="R103" i="4" s="1"/>
  <c r="U103" i="4"/>
  <c r="V103" i="4" s="1"/>
  <c r="Y103" i="4"/>
  <c r="Z103" i="4" s="1"/>
  <c r="AC103" i="4"/>
  <c r="AD103" i="4" s="1"/>
  <c r="AG103" i="4"/>
  <c r="AH103" i="4" s="1"/>
  <c r="AK103" i="4"/>
  <c r="AL103" i="4" s="1"/>
  <c r="AO103" i="4"/>
  <c r="AP103" i="4" s="1"/>
  <c r="AS103" i="4"/>
  <c r="AT103" i="4" s="1"/>
  <c r="AW103" i="4"/>
  <c r="AX103" i="4" s="1"/>
  <c r="AM104" i="4"/>
  <c r="AN104" i="4" s="1"/>
  <c r="DM101" i="4"/>
  <c r="DN101" i="4" s="1"/>
  <c r="K103" i="4"/>
  <c r="L103" i="4" s="1"/>
  <c r="O103" i="4"/>
  <c r="P103" i="4" s="1"/>
  <c r="S103" i="4"/>
  <c r="T103" i="4" s="1"/>
  <c r="W103" i="4"/>
  <c r="X103" i="4" s="1"/>
  <c r="AA103" i="4"/>
  <c r="AB103" i="4" s="1"/>
  <c r="AE103" i="4"/>
  <c r="AF103" i="4" s="1"/>
  <c r="AI103" i="4"/>
  <c r="AJ103" i="4" s="1"/>
  <c r="AM103" i="4"/>
  <c r="AN103" i="4" s="1"/>
  <c r="AQ103" i="4"/>
  <c r="AR103" i="4" s="1"/>
  <c r="AU103" i="4"/>
  <c r="AV103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AW109" i="4"/>
  <c r="AX109" i="4" s="1"/>
  <c r="AS109" i="4"/>
  <c r="AT109" i="4" s="1"/>
  <c r="AO109" i="4"/>
  <c r="AP109" i="4" s="1"/>
  <c r="AK109" i="4"/>
  <c r="AL109" i="4" s="1"/>
  <c r="AG109" i="4"/>
  <c r="AH109" i="4" s="1"/>
  <c r="AC109" i="4"/>
  <c r="AD109" i="4" s="1"/>
  <c r="Y109" i="4"/>
  <c r="Z109" i="4" s="1"/>
  <c r="U109" i="4"/>
  <c r="V109" i="4" s="1"/>
  <c r="Q109" i="4"/>
  <c r="R109" i="4" s="1"/>
  <c r="M109" i="4"/>
  <c r="N109" i="4" s="1"/>
  <c r="J109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T109" i="4"/>
  <c r="EU109" i="4"/>
  <c r="EV109" i="4" s="1"/>
  <c r="AY104" i="4"/>
  <c r="AZ104" i="4" s="1"/>
  <c r="AU104" i="4"/>
  <c r="AV104" i="4" s="1"/>
  <c r="AQ104" i="4"/>
  <c r="AR104" i="4" s="1"/>
  <c r="AW104" i="4"/>
  <c r="AX104" i="4" s="1"/>
  <c r="AS104" i="4"/>
  <c r="AT104" i="4" s="1"/>
  <c r="AO104" i="4"/>
  <c r="AP104" i="4" s="1"/>
  <c r="AK104" i="4"/>
  <c r="AL104" i="4" s="1"/>
  <c r="AG104" i="4"/>
  <c r="AH104" i="4" s="1"/>
  <c r="AC104" i="4"/>
  <c r="AD104" i="4" s="1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I107" i="4"/>
  <c r="BZ107" i="4"/>
  <c r="I105" i="4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CB109" i="4"/>
  <c r="CE109" i="4"/>
  <c r="CF109" i="4" s="1"/>
  <c r="CI109" i="4"/>
  <c r="CJ109" i="4" s="1"/>
  <c r="CM109" i="4"/>
  <c r="CN109" i="4" s="1"/>
  <c r="CQ109" i="4"/>
  <c r="CR109" i="4" s="1"/>
  <c r="CU109" i="4"/>
  <c r="CV109" i="4" s="1"/>
  <c r="CY109" i="4"/>
  <c r="CZ109" i="4" s="1"/>
  <c r="DC109" i="4"/>
  <c r="DD109" i="4" s="1"/>
  <c r="DG109" i="4"/>
  <c r="DH109" i="4" s="1"/>
  <c r="DK109" i="4"/>
  <c r="DL109" i="4" s="1"/>
  <c r="DO109" i="4"/>
  <c r="DP109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ET121" i="4"/>
  <c r="FI121" i="4"/>
  <c r="FJ121" i="4" s="1"/>
  <c r="FY121" i="4"/>
  <c r="FZ121" i="4" s="1"/>
  <c r="DO121" i="4"/>
  <c r="DP121" i="4" s="1"/>
  <c r="DK121" i="4"/>
  <c r="DL121" i="4" s="1"/>
  <c r="DG121" i="4"/>
  <c r="DH121" i="4" s="1"/>
  <c r="DC121" i="4"/>
  <c r="DD121" i="4" s="1"/>
  <c r="CY121" i="4"/>
  <c r="CZ121" i="4" s="1"/>
  <c r="CU121" i="4"/>
  <c r="CV121" i="4" s="1"/>
  <c r="CQ121" i="4"/>
  <c r="CR121" i="4" s="1"/>
  <c r="CM121" i="4"/>
  <c r="CN121" i="4" s="1"/>
  <c r="CI121" i="4"/>
  <c r="CJ121" i="4" s="1"/>
  <c r="CE121" i="4"/>
  <c r="CF121" i="4" s="1"/>
  <c r="CB121" i="4"/>
  <c r="CC106" i="4"/>
  <c r="CD106" i="4" s="1"/>
  <c r="CG106" i="4"/>
  <c r="CH106" i="4" s="1"/>
  <c r="CK106" i="4"/>
  <c r="CL106" i="4" s="1"/>
  <c r="CO106" i="4"/>
  <c r="CP106" i="4" s="1"/>
  <c r="CS106" i="4"/>
  <c r="CT106" i="4" s="1"/>
  <c r="CW106" i="4"/>
  <c r="CX106" i="4" s="1"/>
  <c r="DA106" i="4"/>
  <c r="DB106" i="4" s="1"/>
  <c r="DE106" i="4"/>
  <c r="DF106" i="4" s="1"/>
  <c r="DI106" i="4"/>
  <c r="DJ106" i="4" s="1"/>
  <c r="DM106" i="4"/>
  <c r="DN106" i="4" s="1"/>
  <c r="CC109" i="4"/>
  <c r="CD109" i="4" s="1"/>
  <c r="CG109" i="4"/>
  <c r="CH109" i="4" s="1"/>
  <c r="CK109" i="4"/>
  <c r="CL109" i="4" s="1"/>
  <c r="CO109" i="4"/>
  <c r="CP109" i="4" s="1"/>
  <c r="CS109" i="4"/>
  <c r="CT109" i="4" s="1"/>
  <c r="CW109" i="4"/>
  <c r="CX109" i="4" s="1"/>
  <c r="DA109" i="4"/>
  <c r="DB109" i="4" s="1"/>
  <c r="DE109" i="4"/>
  <c r="DF109" i="4" s="1"/>
  <c r="DI109" i="4"/>
  <c r="DJ109" i="4" s="1"/>
  <c r="DM109" i="4"/>
  <c r="DN109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A121" i="4"/>
  <c r="FB121" i="4" s="1"/>
  <c r="FQ121" i="4"/>
  <c r="FR121" i="4" s="1"/>
  <c r="GI121" i="4"/>
  <c r="GJ121" i="4" s="1"/>
  <c r="GE121" i="4"/>
  <c r="GF121" i="4" s="1"/>
  <c r="GA121" i="4"/>
  <c r="GB121" i="4" s="1"/>
  <c r="FW121" i="4"/>
  <c r="FX121" i="4" s="1"/>
  <c r="FS121" i="4"/>
  <c r="FT121" i="4" s="1"/>
  <c r="FO121" i="4"/>
  <c r="FP121" i="4" s="1"/>
  <c r="FK121" i="4"/>
  <c r="FL121" i="4" s="1"/>
  <c r="FG121" i="4"/>
  <c r="FH121" i="4" s="1"/>
  <c r="FC121" i="4"/>
  <c r="FD121" i="4" s="1"/>
  <c r="EY121" i="4"/>
  <c r="EZ121" i="4" s="1"/>
  <c r="EU121" i="4"/>
  <c r="EV121" i="4" s="1"/>
  <c r="AW134" i="4"/>
  <c r="AX134" i="4" s="1"/>
  <c r="AC134" i="4"/>
  <c r="AD134" i="4" s="1"/>
  <c r="U134" i="4"/>
  <c r="V134" i="4" s="1"/>
  <c r="AK134" i="4"/>
  <c r="AL134" i="4" s="1"/>
  <c r="M134" i="4"/>
  <c r="N134" i="4" s="1"/>
  <c r="AO117" i="4"/>
  <c r="AP117" i="4" s="1"/>
  <c r="AS117" i="4"/>
  <c r="AT117" i="4" s="1"/>
  <c r="AW117" i="4"/>
  <c r="AX117" i="4" s="1"/>
  <c r="I121" i="4"/>
  <c r="GI139" i="4"/>
  <c r="GJ139" i="4" s="1"/>
  <c r="GE139" i="4"/>
  <c r="GF139" i="4" s="1"/>
  <c r="GA139" i="4"/>
  <c r="GB139" i="4" s="1"/>
  <c r="FW139" i="4"/>
  <c r="FX139" i="4" s="1"/>
  <c r="FS139" i="4"/>
  <c r="FT139" i="4" s="1"/>
  <c r="FO139" i="4"/>
  <c r="FP139" i="4" s="1"/>
  <c r="FK139" i="4"/>
  <c r="FL139" i="4" s="1"/>
  <c r="FG139" i="4"/>
  <c r="FH139" i="4" s="1"/>
  <c r="FC139" i="4"/>
  <c r="FD139" i="4" s="1"/>
  <c r="EY139" i="4"/>
  <c r="EZ139" i="4" s="1"/>
  <c r="EU139" i="4"/>
  <c r="EV139" i="4" s="1"/>
  <c r="GC139" i="4"/>
  <c r="GD139" i="4" s="1"/>
  <c r="FM139" i="4"/>
  <c r="FN139" i="4" s="1"/>
  <c r="EW139" i="4"/>
  <c r="EX139" i="4" s="1"/>
  <c r="FY139" i="4"/>
  <c r="FZ139" i="4" s="1"/>
  <c r="FI139" i="4"/>
  <c r="FJ139" i="4" s="1"/>
  <c r="ET139" i="4"/>
  <c r="GG139" i="4"/>
  <c r="GH139" i="4" s="1"/>
  <c r="FQ139" i="4"/>
  <c r="FR139" i="4" s="1"/>
  <c r="FA139" i="4"/>
  <c r="FB139" i="4" s="1"/>
  <c r="AU110" i="4"/>
  <c r="AV110" i="4" s="1"/>
  <c r="AU117" i="4"/>
  <c r="AV117" i="4" s="1"/>
  <c r="I130" i="4"/>
  <c r="BZ130" i="4"/>
  <c r="FE139" i="4"/>
  <c r="FF139" i="4" s="1"/>
  <c r="AW110" i="4"/>
  <c r="AX110" i="4" s="1"/>
  <c r="AW132" i="4"/>
  <c r="AX132" i="4" s="1"/>
  <c r="AY132" i="4"/>
  <c r="AZ132" i="4" s="1"/>
  <c r="AU132" i="4"/>
  <c r="AV132" i="4" s="1"/>
  <c r="AQ132" i="4"/>
  <c r="AR132" i="4" s="1"/>
  <c r="BZ136" i="4"/>
  <c r="CA136" i="4" s="1"/>
  <c r="I136" i="4"/>
  <c r="AW136" i="4" s="1"/>
  <c r="AX136" i="4" s="1"/>
  <c r="CA132" i="4"/>
  <c r="ER132" i="4"/>
  <c r="ES132" i="4" s="1"/>
  <c r="AO152" i="4"/>
  <c r="AP152" i="4" s="1"/>
  <c r="AS152" i="4"/>
  <c r="AT152" i="4" s="1"/>
  <c r="AW152" i="4"/>
  <c r="AX152" i="4" s="1"/>
  <c r="AQ152" i="4"/>
  <c r="AR152" i="4" s="1"/>
  <c r="AU152" i="4"/>
  <c r="AV152" i="4" s="1"/>
  <c r="ER59" i="4"/>
  <c r="ES59" i="4" s="1"/>
  <c r="FU59" i="4" s="1"/>
  <c r="FV59" i="4" s="1"/>
  <c r="CA59" i="4"/>
  <c r="DQ59" i="4" s="1"/>
  <c r="DR59" i="4" s="1"/>
  <c r="I59" i="4"/>
  <c r="AO59" i="4" s="1"/>
  <c r="AP59" i="4" s="1"/>
  <c r="I145" i="4"/>
  <c r="AW145" i="4" s="1"/>
  <c r="AX145" i="4" s="1"/>
  <c r="I144" i="4"/>
  <c r="I138" i="4"/>
  <c r="K134" i="4"/>
  <c r="L134" i="4" s="1"/>
  <c r="S134" i="4"/>
  <c r="T134" i="4" s="1"/>
  <c r="AA134" i="4"/>
  <c r="AB134" i="4" s="1"/>
  <c r="AI134" i="4"/>
  <c r="AJ134" i="4" s="1"/>
  <c r="AQ134" i="4"/>
  <c r="AR134" i="4" s="1"/>
  <c r="AY134" i="4"/>
  <c r="AZ134" i="4" s="1"/>
  <c r="CG134" i="4"/>
  <c r="CH134" i="4" s="1"/>
  <c r="AS134" i="4"/>
  <c r="AT134" i="4" s="1"/>
  <c r="CW134" i="4"/>
  <c r="CX134" i="4" s="1"/>
  <c r="O134" i="4"/>
  <c r="P134" i="4" s="1"/>
  <c r="W134" i="4"/>
  <c r="X134" i="4" s="1"/>
  <c r="AE134" i="4"/>
  <c r="AF134" i="4" s="1"/>
  <c r="AM134" i="4"/>
  <c r="AN134" i="4" s="1"/>
  <c r="AU134" i="4"/>
  <c r="AV134" i="4" s="1"/>
  <c r="DM134" i="4"/>
  <c r="DN134" i="4" s="1"/>
  <c r="J134" i="4"/>
  <c r="Q134" i="4"/>
  <c r="R134" i="4" s="1"/>
  <c r="Y134" i="4"/>
  <c r="Z134" i="4" s="1"/>
  <c r="AG134" i="4"/>
  <c r="AH134" i="4" s="1"/>
  <c r="AO134" i="4"/>
  <c r="AP134" i="4" s="1"/>
  <c r="BZ133" i="4"/>
  <c r="I133" i="4"/>
  <c r="Q133" i="4" s="1"/>
  <c r="R133" i="4" s="1"/>
  <c r="CA131" i="4"/>
  <c r="DG131" i="4" s="1"/>
  <c r="DH131" i="4" s="1"/>
  <c r="I119" i="4"/>
  <c r="BZ111" i="4"/>
  <c r="I111" i="4"/>
  <c r="AY111" i="4" s="1"/>
  <c r="AZ111" i="4" s="1"/>
  <c r="CG110" i="4"/>
  <c r="CH110" i="4" s="1"/>
  <c r="DA110" i="4"/>
  <c r="DB110" i="4" s="1"/>
  <c r="CC110" i="4"/>
  <c r="CD110" i="4" s="1"/>
  <c r="CW110" i="4"/>
  <c r="CX110" i="4" s="1"/>
  <c r="BZ96" i="4"/>
  <c r="I96" i="4"/>
  <c r="I85" i="4"/>
  <c r="AW85" i="4" s="1"/>
  <c r="AX85" i="4" s="1"/>
  <c r="BZ84" i="4"/>
  <c r="CA84" i="4" s="1"/>
  <c r="I84" i="4"/>
  <c r="AM83" i="4"/>
  <c r="AN83" i="4" s="1"/>
  <c r="AQ83" i="4"/>
  <c r="AR83" i="4" s="1"/>
  <c r="CA83" i="4"/>
  <c r="DO83" i="4" s="1"/>
  <c r="DP83" i="4" s="1"/>
  <c r="AY67" i="4"/>
  <c r="AZ67" i="4" s="1"/>
  <c r="W67" i="4"/>
  <c r="X67" i="4" s="1"/>
  <c r="O67" i="4"/>
  <c r="P67" i="4" s="1"/>
  <c r="AA67" i="4"/>
  <c r="AB67" i="4" s="1"/>
  <c r="S67" i="4"/>
  <c r="T67" i="4" s="1"/>
  <c r="K67" i="4"/>
  <c r="L67" i="4" s="1"/>
  <c r="CA67" i="4"/>
  <c r="DO67" i="4" s="1"/>
  <c r="DP67" i="4" s="1"/>
  <c r="CA46" i="4"/>
  <c r="DO46" i="4" s="1"/>
  <c r="DP46" i="4" s="1"/>
  <c r="K37" i="4"/>
  <c r="L37" i="4" s="1"/>
  <c r="S37" i="4"/>
  <c r="T37" i="4" s="1"/>
  <c r="AA37" i="4"/>
  <c r="AB37" i="4" s="1"/>
  <c r="AI37" i="4"/>
  <c r="AJ37" i="4" s="1"/>
  <c r="AQ37" i="4"/>
  <c r="AR37" i="4" s="1"/>
  <c r="AY37" i="4"/>
  <c r="AZ37" i="4" s="1"/>
  <c r="AS37" i="4"/>
  <c r="AT37" i="4" s="1"/>
  <c r="O37" i="4"/>
  <c r="P37" i="4" s="1"/>
  <c r="W37" i="4"/>
  <c r="X37" i="4" s="1"/>
  <c r="AE37" i="4"/>
  <c r="AF37" i="4" s="1"/>
  <c r="AM37" i="4"/>
  <c r="AN37" i="4" s="1"/>
  <c r="AU37" i="4"/>
  <c r="AV37" i="4" s="1"/>
  <c r="AK37" i="4"/>
  <c r="AL37" i="4" s="1"/>
  <c r="J37" i="4"/>
  <c r="Q37" i="4"/>
  <c r="R37" i="4" s="1"/>
  <c r="Y37" i="4"/>
  <c r="Z37" i="4" s="1"/>
  <c r="AG37" i="4"/>
  <c r="AH37" i="4" s="1"/>
  <c r="AO37" i="4"/>
  <c r="AP37" i="4" s="1"/>
  <c r="AA34" i="4"/>
  <c r="AB34" i="4" s="1"/>
  <c r="AQ34" i="4"/>
  <c r="AR34" i="4" s="1"/>
  <c r="K34" i="4"/>
  <c r="L34" i="4" s="1"/>
  <c r="O34" i="4"/>
  <c r="P34" i="4" s="1"/>
  <c r="S34" i="4"/>
  <c r="T34" i="4" s="1"/>
  <c r="W34" i="4"/>
  <c r="X34" i="4" s="1"/>
  <c r="AE34" i="4"/>
  <c r="AF34" i="4" s="1"/>
  <c r="AM34" i="4"/>
  <c r="AN34" i="4" s="1"/>
  <c r="AU34" i="4"/>
  <c r="AV34" i="4" s="1"/>
  <c r="U34" i="4"/>
  <c r="V34" i="4" s="1"/>
  <c r="AI34" i="4"/>
  <c r="AJ34" i="4" s="1"/>
  <c r="BZ154" i="4"/>
  <c r="I154" i="4"/>
  <c r="I147" i="4"/>
  <c r="BZ147" i="4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Q125" i="4"/>
  <c r="AR125" i="4" s="1"/>
  <c r="AE125" i="4"/>
  <c r="AF125" i="4" s="1"/>
  <c r="W125" i="4"/>
  <c r="X125" i="4" s="1"/>
  <c r="AU125" i="4"/>
  <c r="AV125" i="4" s="1"/>
  <c r="AM125" i="4"/>
  <c r="AN125" i="4" s="1"/>
  <c r="AA125" i="4"/>
  <c r="AB125" i="4" s="1"/>
  <c r="O125" i="4"/>
  <c r="P125" i="4" s="1"/>
  <c r="K125" i="4"/>
  <c r="L125" i="4" s="1"/>
  <c r="BZ125" i="4"/>
  <c r="M111" i="4"/>
  <c r="N111" i="4" s="1"/>
  <c r="AM111" i="4"/>
  <c r="AN111" i="4" s="1"/>
  <c r="BZ87" i="4"/>
  <c r="I87" i="4"/>
  <c r="BZ53" i="4"/>
  <c r="I53" i="4"/>
  <c r="BZ153" i="4"/>
  <c r="I153" i="4"/>
  <c r="AW146" i="4"/>
  <c r="AX146" i="4" s="1"/>
  <c r="AS146" i="4"/>
  <c r="AT146" i="4" s="1"/>
  <c r="AO146" i="4"/>
  <c r="AP146" i="4" s="1"/>
  <c r="AK146" i="4"/>
  <c r="AL146" i="4" s="1"/>
  <c r="AG146" i="4"/>
  <c r="AH146" i="4" s="1"/>
  <c r="AC146" i="4"/>
  <c r="AD146" i="4" s="1"/>
  <c r="Y146" i="4"/>
  <c r="Z146" i="4" s="1"/>
  <c r="U146" i="4"/>
  <c r="V146" i="4" s="1"/>
  <c r="Q146" i="4"/>
  <c r="R146" i="4" s="1"/>
  <c r="M146" i="4"/>
  <c r="N146" i="4" s="1"/>
  <c r="J146" i="4"/>
  <c r="AY146" i="4"/>
  <c r="AZ146" i="4" s="1"/>
  <c r="AU146" i="4"/>
  <c r="AV146" i="4" s="1"/>
  <c r="AQ146" i="4"/>
  <c r="AR146" i="4" s="1"/>
  <c r="AM146" i="4"/>
  <c r="AN146" i="4" s="1"/>
  <c r="AI146" i="4"/>
  <c r="AJ146" i="4" s="1"/>
  <c r="AE146" i="4"/>
  <c r="AF146" i="4" s="1"/>
  <c r="AA146" i="4"/>
  <c r="AB146" i="4" s="1"/>
  <c r="W146" i="4"/>
  <c r="X146" i="4" s="1"/>
  <c r="S146" i="4"/>
  <c r="T146" i="4" s="1"/>
  <c r="O146" i="4"/>
  <c r="P146" i="4" s="1"/>
  <c r="K146" i="4"/>
  <c r="L146" i="4" s="1"/>
  <c r="BZ146" i="4"/>
  <c r="CA145" i="4"/>
  <c r="ER145" i="4"/>
  <c r="ES145" i="4" s="1"/>
  <c r="AU145" i="4"/>
  <c r="AV145" i="4" s="1"/>
  <c r="ER144" i="4"/>
  <c r="ES144" i="4" s="1"/>
  <c r="CA144" i="4"/>
  <c r="CW151" i="4"/>
  <c r="CX151" i="4" s="1"/>
  <c r="CG151" i="4"/>
  <c r="CH151" i="4" s="1"/>
  <c r="DM151" i="4"/>
  <c r="DN151" i="4" s="1"/>
  <c r="BZ155" i="4"/>
  <c r="CA155" i="4" s="1"/>
  <c r="DC155" i="4" s="1"/>
  <c r="DD155" i="4" s="1"/>
  <c r="BZ25" i="4"/>
  <c r="I25" i="4"/>
  <c r="I26" i="4"/>
  <c r="BZ26" i="4"/>
  <c r="DO151" i="4"/>
  <c r="DP151" i="4" s="1"/>
  <c r="DK151" i="4"/>
  <c r="DL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I151" i="4"/>
  <c r="CC151" i="4"/>
  <c r="CD151" i="4" s="1"/>
  <c r="CK151" i="4"/>
  <c r="CL151" i="4" s="1"/>
  <c r="CS151" i="4"/>
  <c r="CT151" i="4" s="1"/>
  <c r="DA151" i="4"/>
  <c r="DB151" i="4" s="1"/>
  <c r="DI151" i="4"/>
  <c r="DJ151" i="4" s="1"/>
  <c r="DQ151" i="4"/>
  <c r="DR151" i="4" s="1"/>
  <c r="ER151" i="4"/>
  <c r="ES151" i="4" s="1"/>
  <c r="CA57" i="4"/>
  <c r="ER57" i="4"/>
  <c r="ES57" i="4" s="1"/>
  <c r="I57" i="4"/>
  <c r="I60" i="4"/>
  <c r="BZ20" i="4"/>
  <c r="I20" i="4"/>
  <c r="GC59" i="4"/>
  <c r="GD59" i="4" s="1"/>
  <c r="AW59" i="4"/>
  <c r="AX59" i="4" s="1"/>
  <c r="Q59" i="4"/>
  <c r="R59" i="4" s="1"/>
  <c r="AU59" i="4"/>
  <c r="AV59" i="4" s="1"/>
  <c r="AE59" i="4"/>
  <c r="AF59" i="4" s="1"/>
  <c r="CB59" i="4"/>
  <c r="CE59" i="4"/>
  <c r="CF59" i="4" s="1"/>
  <c r="CI59" i="4"/>
  <c r="CJ59" i="4" s="1"/>
  <c r="CQ59" i="4"/>
  <c r="CR59" i="4" s="1"/>
  <c r="CU59" i="4"/>
  <c r="CV59" i="4" s="1"/>
  <c r="CY59" i="4"/>
  <c r="CZ59" i="4" s="1"/>
  <c r="DG59" i="4"/>
  <c r="DH59" i="4" s="1"/>
  <c r="DK59" i="4"/>
  <c r="DL59" i="4" s="1"/>
  <c r="DO59" i="4"/>
  <c r="DP59" i="4" s="1"/>
  <c r="CC59" i="4"/>
  <c r="CD59" i="4" s="1"/>
  <c r="CG59" i="4"/>
  <c r="CH59" i="4" s="1"/>
  <c r="CK59" i="4"/>
  <c r="CL59" i="4" s="1"/>
  <c r="CO59" i="4"/>
  <c r="CP59" i="4" s="1"/>
  <c r="CS59" i="4"/>
  <c r="CT59" i="4" s="1"/>
  <c r="CW59" i="4"/>
  <c r="CX59" i="4" s="1"/>
  <c r="DA59" i="4"/>
  <c r="DB59" i="4" s="1"/>
  <c r="DE59" i="4"/>
  <c r="DF59" i="4" s="1"/>
  <c r="DI59" i="4"/>
  <c r="DJ59" i="4" s="1"/>
  <c r="DM59" i="4"/>
  <c r="DN59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GI131" i="4"/>
  <c r="GJ131" i="4" s="1"/>
  <c r="GE131" i="4"/>
  <c r="GF131" i="4" s="1"/>
  <c r="GA131" i="4"/>
  <c r="GB131" i="4" s="1"/>
  <c r="FW131" i="4"/>
  <c r="FX131" i="4" s="1"/>
  <c r="FS131" i="4"/>
  <c r="FT131" i="4" s="1"/>
  <c r="FO131" i="4"/>
  <c r="FP131" i="4" s="1"/>
  <c r="FK131" i="4"/>
  <c r="FL131" i="4" s="1"/>
  <c r="FG131" i="4"/>
  <c r="FH131" i="4" s="1"/>
  <c r="FC131" i="4"/>
  <c r="FD131" i="4" s="1"/>
  <c r="EY131" i="4"/>
  <c r="EZ131" i="4" s="1"/>
  <c r="EU131" i="4"/>
  <c r="EV131" i="4" s="1"/>
  <c r="K131" i="4"/>
  <c r="L131" i="4" s="1"/>
  <c r="O131" i="4"/>
  <c r="P131" i="4" s="1"/>
  <c r="S131" i="4"/>
  <c r="T131" i="4" s="1"/>
  <c r="W131" i="4"/>
  <c r="X131" i="4" s="1"/>
  <c r="AA131" i="4"/>
  <c r="AB131" i="4" s="1"/>
  <c r="AE131" i="4"/>
  <c r="AF131" i="4" s="1"/>
  <c r="AI131" i="4"/>
  <c r="AJ131" i="4" s="1"/>
  <c r="AM131" i="4"/>
  <c r="AN131" i="4" s="1"/>
  <c r="AQ131" i="4"/>
  <c r="AR131" i="4" s="1"/>
  <c r="AU131" i="4"/>
  <c r="AV131" i="4" s="1"/>
  <c r="AY131" i="4"/>
  <c r="AZ131" i="4" s="1"/>
  <c r="DC131" i="4"/>
  <c r="DD131" i="4" s="1"/>
  <c r="J131" i="4"/>
  <c r="M131" i="4"/>
  <c r="N131" i="4" s="1"/>
  <c r="Q131" i="4"/>
  <c r="R131" i="4" s="1"/>
  <c r="U131" i="4"/>
  <c r="V131" i="4" s="1"/>
  <c r="Y131" i="4"/>
  <c r="Z131" i="4" s="1"/>
  <c r="AC131" i="4"/>
  <c r="AD131" i="4" s="1"/>
  <c r="AG131" i="4"/>
  <c r="AH131" i="4" s="1"/>
  <c r="AK131" i="4"/>
  <c r="AL131" i="4" s="1"/>
  <c r="AO131" i="4"/>
  <c r="AP131" i="4" s="1"/>
  <c r="AS131" i="4"/>
  <c r="AT131" i="4" s="1"/>
  <c r="DI131" i="4"/>
  <c r="DJ131" i="4" s="1"/>
  <c r="CA138" i="4"/>
  <c r="ER138" i="4"/>
  <c r="ES138" i="4" s="1"/>
  <c r="ER137" i="4"/>
  <c r="ES137" i="4" s="1"/>
  <c r="CA137" i="4"/>
  <c r="BZ140" i="4"/>
  <c r="AE133" i="4"/>
  <c r="AF133" i="4" s="1"/>
  <c r="AW135" i="4"/>
  <c r="AX135" i="4" s="1"/>
  <c r="AS135" i="4"/>
  <c r="AT135" i="4" s="1"/>
  <c r="AO135" i="4"/>
  <c r="AP135" i="4" s="1"/>
  <c r="AK135" i="4"/>
  <c r="AL135" i="4" s="1"/>
  <c r="AG135" i="4"/>
  <c r="AH135" i="4" s="1"/>
  <c r="AC135" i="4"/>
  <c r="AD135" i="4" s="1"/>
  <c r="Y135" i="4"/>
  <c r="Z135" i="4" s="1"/>
  <c r="U135" i="4"/>
  <c r="V135" i="4" s="1"/>
  <c r="Q135" i="4"/>
  <c r="R135" i="4" s="1"/>
  <c r="M135" i="4"/>
  <c r="N135" i="4" s="1"/>
  <c r="J135" i="4"/>
  <c r="AU135" i="4"/>
  <c r="AV135" i="4" s="1"/>
  <c r="AM135" i="4"/>
  <c r="AN135" i="4" s="1"/>
  <c r="AA135" i="4"/>
  <c r="AB135" i="4" s="1"/>
  <c r="K135" i="4"/>
  <c r="L135" i="4" s="1"/>
  <c r="AY135" i="4"/>
  <c r="AZ135" i="4" s="1"/>
  <c r="AI135" i="4"/>
  <c r="AJ135" i="4" s="1"/>
  <c r="S135" i="4"/>
  <c r="T135" i="4" s="1"/>
  <c r="AQ135" i="4"/>
  <c r="AR135" i="4" s="1"/>
  <c r="AE135" i="4"/>
  <c r="AF135" i="4" s="1"/>
  <c r="W135" i="4"/>
  <c r="X135" i="4" s="1"/>
  <c r="O135" i="4"/>
  <c r="P135" i="4" s="1"/>
  <c r="BZ135" i="4"/>
  <c r="DE24" i="4"/>
  <c r="DF24" i="4" s="1"/>
  <c r="CY24" i="4"/>
  <c r="CZ24" i="4" s="1"/>
  <c r="W136" i="4"/>
  <c r="X136" i="4" s="1"/>
  <c r="AM136" i="4"/>
  <c r="AN136" i="4" s="1"/>
  <c r="J136" i="4"/>
  <c r="Y136" i="4"/>
  <c r="Z136" i="4" s="1"/>
  <c r="AO136" i="4"/>
  <c r="AP136" i="4" s="1"/>
  <c r="CC24" i="4"/>
  <c r="CD24" i="4" s="1"/>
  <c r="CG24" i="4"/>
  <c r="CH24" i="4" s="1"/>
  <c r="CK24" i="4"/>
  <c r="CL24" i="4" s="1"/>
  <c r="CO24" i="4"/>
  <c r="CP24" i="4" s="1"/>
  <c r="CS24" i="4"/>
  <c r="CT24" i="4" s="1"/>
  <c r="DC24" i="4"/>
  <c r="DD24" i="4" s="1"/>
  <c r="DQ24" i="4"/>
  <c r="DR24" i="4" s="1"/>
  <c r="CC134" i="4"/>
  <c r="CD134" i="4" s="1"/>
  <c r="CS134" i="4"/>
  <c r="CT134" i="4" s="1"/>
  <c r="DI134" i="4"/>
  <c r="DJ134" i="4" s="1"/>
  <c r="ER134" i="4"/>
  <c r="ES134" i="4" s="1"/>
  <c r="CB24" i="4"/>
  <c r="CE24" i="4"/>
  <c r="CF24" i="4" s="1"/>
  <c r="CI24" i="4"/>
  <c r="CJ24" i="4" s="1"/>
  <c r="CM24" i="4"/>
  <c r="CN24" i="4" s="1"/>
  <c r="CQ24" i="4"/>
  <c r="CR24" i="4" s="1"/>
  <c r="CU24" i="4"/>
  <c r="CV24" i="4" s="1"/>
  <c r="DA24" i="4"/>
  <c r="DB24" i="4" s="1"/>
  <c r="ER24" i="4"/>
  <c r="ES24" i="4" s="1"/>
  <c r="CK134" i="4"/>
  <c r="CL134" i="4" s="1"/>
  <c r="DA134" i="4"/>
  <c r="DB134" i="4" s="1"/>
  <c r="DO134" i="4"/>
  <c r="DP134" i="4" s="1"/>
  <c r="DK134" i="4"/>
  <c r="DL134" i="4" s="1"/>
  <c r="DG134" i="4"/>
  <c r="DH134" i="4" s="1"/>
  <c r="DC134" i="4"/>
  <c r="DD134" i="4" s="1"/>
  <c r="CY134" i="4"/>
  <c r="CZ134" i="4" s="1"/>
  <c r="CU134" i="4"/>
  <c r="CV134" i="4" s="1"/>
  <c r="CQ134" i="4"/>
  <c r="CR134" i="4" s="1"/>
  <c r="CM134" i="4"/>
  <c r="CN134" i="4" s="1"/>
  <c r="CI134" i="4"/>
  <c r="CJ134" i="4" s="1"/>
  <c r="CE134" i="4"/>
  <c r="CF134" i="4" s="1"/>
  <c r="CB134" i="4"/>
  <c r="DO24" i="4"/>
  <c r="DP24" i="4" s="1"/>
  <c r="DK24" i="4"/>
  <c r="DL24" i="4" s="1"/>
  <c r="DG24" i="4"/>
  <c r="DH24" i="4" s="1"/>
  <c r="I24" i="4"/>
  <c r="CW24" i="4"/>
  <c r="CX24" i="4" s="1"/>
  <c r="DM24" i="4"/>
  <c r="DN24" i="4" s="1"/>
  <c r="CO134" i="4"/>
  <c r="CP134" i="4" s="1"/>
  <c r="DE134" i="4"/>
  <c r="DF134" i="4" s="1"/>
  <c r="I122" i="4"/>
  <c r="BZ122" i="4"/>
  <c r="CA126" i="4"/>
  <c r="ER126" i="4"/>
  <c r="ES126" i="4" s="1"/>
  <c r="DI23" i="4"/>
  <c r="DJ23" i="4" s="1"/>
  <c r="CI23" i="4"/>
  <c r="CJ23" i="4" s="1"/>
  <c r="CU23" i="4"/>
  <c r="CV23" i="4" s="1"/>
  <c r="DE23" i="4"/>
  <c r="DF23" i="4" s="1"/>
  <c r="I126" i="4"/>
  <c r="AW118" i="4"/>
  <c r="AX118" i="4" s="1"/>
  <c r="AS118" i="4"/>
  <c r="AT118" i="4" s="1"/>
  <c r="AO118" i="4"/>
  <c r="AP118" i="4" s="1"/>
  <c r="AK118" i="4"/>
  <c r="AL118" i="4" s="1"/>
  <c r="AG118" i="4"/>
  <c r="AH118" i="4" s="1"/>
  <c r="AC118" i="4"/>
  <c r="AD118" i="4" s="1"/>
  <c r="Y118" i="4"/>
  <c r="Z118" i="4" s="1"/>
  <c r="U118" i="4"/>
  <c r="V118" i="4" s="1"/>
  <c r="Q118" i="4"/>
  <c r="R118" i="4" s="1"/>
  <c r="M118" i="4"/>
  <c r="N118" i="4" s="1"/>
  <c r="J118" i="4"/>
  <c r="AY118" i="4"/>
  <c r="AZ118" i="4" s="1"/>
  <c r="AM118" i="4"/>
  <c r="AN118" i="4" s="1"/>
  <c r="AA118" i="4"/>
  <c r="AB118" i="4" s="1"/>
  <c r="O118" i="4"/>
  <c r="P118" i="4" s="1"/>
  <c r="AQ118" i="4"/>
  <c r="AR118" i="4" s="1"/>
  <c r="AE118" i="4"/>
  <c r="AF118" i="4" s="1"/>
  <c r="S118" i="4"/>
  <c r="T118" i="4" s="1"/>
  <c r="AU118" i="4"/>
  <c r="AV118" i="4" s="1"/>
  <c r="AI118" i="4"/>
  <c r="AJ118" i="4" s="1"/>
  <c r="W118" i="4"/>
  <c r="X118" i="4" s="1"/>
  <c r="K118" i="4"/>
  <c r="L118" i="4" s="1"/>
  <c r="BZ118" i="4"/>
  <c r="CA119" i="4"/>
  <c r="ER119" i="4"/>
  <c r="ES119" i="4" s="1"/>
  <c r="I23" i="4"/>
  <c r="J23" i="4" s="1"/>
  <c r="CE23" i="4"/>
  <c r="CF23" i="4" s="1"/>
  <c r="DO23" i="4"/>
  <c r="DP23" i="4" s="1"/>
  <c r="CM23" i="4"/>
  <c r="CN23" i="4" s="1"/>
  <c r="CY23" i="4"/>
  <c r="CZ23" i="4" s="1"/>
  <c r="DG23" i="4"/>
  <c r="DH23" i="4" s="1"/>
  <c r="CB23" i="4"/>
  <c r="CQ23" i="4"/>
  <c r="CR23" i="4" s="1"/>
  <c r="DA23" i="4"/>
  <c r="DB23" i="4" s="1"/>
  <c r="DK23" i="4"/>
  <c r="DL23" i="4" s="1"/>
  <c r="BZ116" i="4"/>
  <c r="I116" i="4"/>
  <c r="AA23" i="4"/>
  <c r="AB23" i="4" s="1"/>
  <c r="I124" i="4"/>
  <c r="BZ124" i="4"/>
  <c r="CC23" i="4"/>
  <c r="CD23" i="4" s="1"/>
  <c r="CG23" i="4"/>
  <c r="CH23" i="4" s="1"/>
  <c r="CK23" i="4"/>
  <c r="CL23" i="4" s="1"/>
  <c r="CO23" i="4"/>
  <c r="CP23" i="4" s="1"/>
  <c r="CS23" i="4"/>
  <c r="CT23" i="4" s="1"/>
  <c r="CW23" i="4"/>
  <c r="CX23" i="4" s="1"/>
  <c r="DC23" i="4"/>
  <c r="DD23" i="4" s="1"/>
  <c r="ER23" i="4"/>
  <c r="ES23" i="4" s="1"/>
  <c r="DQ23" i="4"/>
  <c r="DR23" i="4" s="1"/>
  <c r="DM23" i="4"/>
  <c r="DN23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Y99" i="4"/>
  <c r="AZ99" i="4" s="1"/>
  <c r="AE99" i="4"/>
  <c r="AF99" i="4" s="1"/>
  <c r="S99" i="4"/>
  <c r="T99" i="4" s="1"/>
  <c r="AU99" i="4"/>
  <c r="AV99" i="4" s="1"/>
  <c r="AI99" i="4"/>
  <c r="AJ99" i="4" s="1"/>
  <c r="W99" i="4"/>
  <c r="X99" i="4" s="1"/>
  <c r="K99" i="4"/>
  <c r="L99" i="4" s="1"/>
  <c r="AQ99" i="4"/>
  <c r="AR99" i="4" s="1"/>
  <c r="AM99" i="4"/>
  <c r="AN99" i="4" s="1"/>
  <c r="AA99" i="4"/>
  <c r="AB99" i="4" s="1"/>
  <c r="O99" i="4"/>
  <c r="P99" i="4" s="1"/>
  <c r="BZ99" i="4"/>
  <c r="CA98" i="4"/>
  <c r="ER98" i="4"/>
  <c r="ES98" i="4" s="1"/>
  <c r="I98" i="4"/>
  <c r="BZ97" i="4"/>
  <c r="I97" i="4"/>
  <c r="BZ22" i="4"/>
  <c r="ER22" i="4" s="1"/>
  <c r="ES22" i="4" s="1"/>
  <c r="I22" i="4"/>
  <c r="AW22" i="4" s="1"/>
  <c r="AX22" i="4" s="1"/>
  <c r="K96" i="4"/>
  <c r="L96" i="4" s="1"/>
  <c r="O96" i="4"/>
  <c r="P96" i="4" s="1"/>
  <c r="S96" i="4"/>
  <c r="T96" i="4" s="1"/>
  <c r="W96" i="4"/>
  <c r="X96" i="4" s="1"/>
  <c r="AA96" i="4"/>
  <c r="AB96" i="4" s="1"/>
  <c r="AE96" i="4"/>
  <c r="AF96" i="4" s="1"/>
  <c r="AI96" i="4"/>
  <c r="AJ96" i="4" s="1"/>
  <c r="AM96" i="4"/>
  <c r="AN96" i="4" s="1"/>
  <c r="AQ96" i="4"/>
  <c r="AR96" i="4" s="1"/>
  <c r="AU96" i="4"/>
  <c r="AV96" i="4" s="1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M95" i="4"/>
  <c r="AN95" i="4" s="1"/>
  <c r="W95" i="4"/>
  <c r="X95" i="4" s="1"/>
  <c r="K95" i="4"/>
  <c r="L95" i="4" s="1"/>
  <c r="AU95" i="4"/>
  <c r="AV95" i="4" s="1"/>
  <c r="AE95" i="4"/>
  <c r="AF95" i="4" s="1"/>
  <c r="S95" i="4"/>
  <c r="T95" i="4" s="1"/>
  <c r="AQ95" i="4"/>
  <c r="AR95" i="4" s="1"/>
  <c r="AI95" i="4"/>
  <c r="AJ95" i="4" s="1"/>
  <c r="AA95" i="4"/>
  <c r="AB95" i="4" s="1"/>
  <c r="O95" i="4"/>
  <c r="P95" i="4" s="1"/>
  <c r="BZ95" i="4"/>
  <c r="K94" i="4"/>
  <c r="L94" i="4" s="1"/>
  <c r="AA94" i="4"/>
  <c r="AB94" i="4" s="1"/>
  <c r="AQ94" i="4"/>
  <c r="AR94" i="4" s="1"/>
  <c r="M94" i="4"/>
  <c r="N94" i="4" s="1"/>
  <c r="AC94" i="4"/>
  <c r="AD94" i="4" s="1"/>
  <c r="AS94" i="4"/>
  <c r="AT94" i="4" s="1"/>
  <c r="I112" i="4"/>
  <c r="BZ112" i="4"/>
  <c r="CA93" i="4"/>
  <c r="ER93" i="4"/>
  <c r="ES93" i="4" s="1"/>
  <c r="W93" i="4"/>
  <c r="X93" i="4" s="1"/>
  <c r="AM93" i="4"/>
  <c r="AN93" i="4" s="1"/>
  <c r="J93" i="4"/>
  <c r="Y93" i="4"/>
  <c r="Z93" i="4" s="1"/>
  <c r="AO93" i="4"/>
  <c r="AP93" i="4" s="1"/>
  <c r="BZ108" i="4"/>
  <c r="I108" i="4"/>
  <c r="BZ92" i="4"/>
  <c r="I92" i="4"/>
  <c r="I113" i="4"/>
  <c r="AM113" i="4" s="1"/>
  <c r="AN113" i="4" s="1"/>
  <c r="FU110" i="4"/>
  <c r="FV110" i="4" s="1"/>
  <c r="CO110" i="4"/>
  <c r="CP110" i="4" s="1"/>
  <c r="FA110" i="4"/>
  <c r="FB110" i="4" s="1"/>
  <c r="FQ110" i="4"/>
  <c r="FR110" i="4" s="1"/>
  <c r="GG110" i="4"/>
  <c r="GH110" i="4" s="1"/>
  <c r="FE110" i="4"/>
  <c r="FF110" i="4" s="1"/>
  <c r="ET110" i="4"/>
  <c r="FI110" i="4"/>
  <c r="FJ110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DQ110" i="4"/>
  <c r="DR110" i="4" s="1"/>
  <c r="EW110" i="4"/>
  <c r="EX110" i="4" s="1"/>
  <c r="FM110" i="4"/>
  <c r="FN110" i="4" s="1"/>
  <c r="GC110" i="4"/>
  <c r="GD110" i="4" s="1"/>
  <c r="ER69" i="4"/>
  <c r="ES69" i="4" s="1"/>
  <c r="CA69" i="4"/>
  <c r="I69" i="4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Y86" i="4"/>
  <c r="AZ86" i="4" s="1"/>
  <c r="AM86" i="4"/>
  <c r="AN86" i="4" s="1"/>
  <c r="AA86" i="4"/>
  <c r="AB86" i="4" s="1"/>
  <c r="O86" i="4"/>
  <c r="P86" i="4" s="1"/>
  <c r="AQ86" i="4"/>
  <c r="AR86" i="4" s="1"/>
  <c r="AE86" i="4"/>
  <c r="AF86" i="4" s="1"/>
  <c r="S86" i="4"/>
  <c r="T86" i="4" s="1"/>
  <c r="AU86" i="4"/>
  <c r="AV86" i="4" s="1"/>
  <c r="AI86" i="4"/>
  <c r="AJ86" i="4" s="1"/>
  <c r="W86" i="4"/>
  <c r="X86" i="4" s="1"/>
  <c r="K86" i="4"/>
  <c r="L86" i="4" s="1"/>
  <c r="BZ86" i="4"/>
  <c r="CA85" i="4"/>
  <c r="ER85" i="4"/>
  <c r="ES85" i="4" s="1"/>
  <c r="K85" i="4"/>
  <c r="L85" i="4" s="1"/>
  <c r="O85" i="4"/>
  <c r="P85" i="4" s="1"/>
  <c r="S85" i="4"/>
  <c r="T85" i="4" s="1"/>
  <c r="W85" i="4"/>
  <c r="X85" i="4" s="1"/>
  <c r="AA85" i="4"/>
  <c r="AB85" i="4" s="1"/>
  <c r="AE85" i="4"/>
  <c r="AF85" i="4" s="1"/>
  <c r="AI85" i="4"/>
  <c r="AJ85" i="4" s="1"/>
  <c r="AM85" i="4"/>
  <c r="AN85" i="4" s="1"/>
  <c r="AQ85" i="4"/>
  <c r="AR85" i="4" s="1"/>
  <c r="AU85" i="4"/>
  <c r="AV85" i="4" s="1"/>
  <c r="AY85" i="4"/>
  <c r="AZ85" i="4" s="1"/>
  <c r="J85" i="4"/>
  <c r="M85" i="4"/>
  <c r="N85" i="4" s="1"/>
  <c r="Q85" i="4"/>
  <c r="R85" i="4" s="1"/>
  <c r="U85" i="4"/>
  <c r="V85" i="4" s="1"/>
  <c r="Y85" i="4"/>
  <c r="Z85" i="4" s="1"/>
  <c r="AC85" i="4"/>
  <c r="AD85" i="4" s="1"/>
  <c r="AG85" i="4"/>
  <c r="AH85" i="4" s="1"/>
  <c r="AK85" i="4"/>
  <c r="AL85" i="4" s="1"/>
  <c r="AO85" i="4"/>
  <c r="AP85" i="4" s="1"/>
  <c r="AS85" i="4"/>
  <c r="AT85" i="4" s="1"/>
  <c r="ER84" i="4"/>
  <c r="ES84" i="4" s="1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CG83" i="4"/>
  <c r="CH83" i="4" s="1"/>
  <c r="AU83" i="4"/>
  <c r="AV83" i="4" s="1"/>
  <c r="CE83" i="4"/>
  <c r="CF83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J67" i="4"/>
  <c r="M67" i="4"/>
  <c r="N67" i="4" s="1"/>
  <c r="Q67" i="4"/>
  <c r="R67" i="4" s="1"/>
  <c r="U67" i="4"/>
  <c r="V67" i="4" s="1"/>
  <c r="Y67" i="4"/>
  <c r="Z67" i="4" s="1"/>
  <c r="AC67" i="4"/>
  <c r="AD67" i="4" s="1"/>
  <c r="AG67" i="4"/>
  <c r="AH67" i="4" s="1"/>
  <c r="AK67" i="4"/>
  <c r="AL67" i="4" s="1"/>
  <c r="AO67" i="4"/>
  <c r="AP67" i="4" s="1"/>
  <c r="AS67" i="4"/>
  <c r="AT67" i="4" s="1"/>
  <c r="AW67" i="4"/>
  <c r="AX67" i="4" s="1"/>
  <c r="CC67" i="4"/>
  <c r="CD67" i="4" s="1"/>
  <c r="CG67" i="4"/>
  <c r="CH67" i="4" s="1"/>
  <c r="CK67" i="4"/>
  <c r="CL67" i="4" s="1"/>
  <c r="CO67" i="4"/>
  <c r="CP67" i="4" s="1"/>
  <c r="CS67" i="4"/>
  <c r="CT67" i="4" s="1"/>
  <c r="CW67" i="4"/>
  <c r="CX67" i="4" s="1"/>
  <c r="DA67" i="4"/>
  <c r="DB67" i="4" s="1"/>
  <c r="DE67" i="4"/>
  <c r="DF67" i="4" s="1"/>
  <c r="DI67" i="4"/>
  <c r="DJ67" i="4" s="1"/>
  <c r="DM67" i="4"/>
  <c r="DN67" i="4" s="1"/>
  <c r="DQ67" i="4"/>
  <c r="DR67" i="4" s="1"/>
  <c r="AE67" i="4"/>
  <c r="AF67" i="4" s="1"/>
  <c r="AI67" i="4"/>
  <c r="AJ67" i="4" s="1"/>
  <c r="AM67" i="4"/>
  <c r="AN67" i="4" s="1"/>
  <c r="AQ67" i="4"/>
  <c r="AR67" i="4" s="1"/>
  <c r="AU67" i="4"/>
  <c r="AV67" i="4" s="1"/>
  <c r="CB67" i="4"/>
  <c r="CE67" i="4"/>
  <c r="CF67" i="4" s="1"/>
  <c r="CI67" i="4"/>
  <c r="CJ67" i="4" s="1"/>
  <c r="CM67" i="4"/>
  <c r="CN67" i="4" s="1"/>
  <c r="CQ67" i="4"/>
  <c r="CR67" i="4" s="1"/>
  <c r="CU67" i="4"/>
  <c r="CV67" i="4" s="1"/>
  <c r="CY67" i="4"/>
  <c r="CZ67" i="4" s="1"/>
  <c r="DC67" i="4"/>
  <c r="DD67" i="4" s="1"/>
  <c r="DG67" i="4"/>
  <c r="DH67" i="4" s="1"/>
  <c r="DK67" i="4"/>
  <c r="DL67" i="4" s="1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U66" i="4"/>
  <c r="AV66" i="4" s="1"/>
  <c r="AQ66" i="4"/>
  <c r="AR66" i="4" s="1"/>
  <c r="AI66" i="4"/>
  <c r="AJ66" i="4" s="1"/>
  <c r="AA66" i="4"/>
  <c r="AB66" i="4" s="1"/>
  <c r="S66" i="4"/>
  <c r="T66" i="4" s="1"/>
  <c r="K66" i="4"/>
  <c r="L66" i="4" s="1"/>
  <c r="AY66" i="4"/>
  <c r="AZ66" i="4" s="1"/>
  <c r="AM66" i="4"/>
  <c r="AN66" i="4" s="1"/>
  <c r="AE66" i="4"/>
  <c r="AF66" i="4" s="1"/>
  <c r="W66" i="4"/>
  <c r="X66" i="4" s="1"/>
  <c r="O66" i="4"/>
  <c r="P66" i="4" s="1"/>
  <c r="BZ66" i="4"/>
  <c r="BZ21" i="4"/>
  <c r="I21" i="4"/>
  <c r="AW21" i="4" s="1"/>
  <c r="AX21" i="4" s="1"/>
  <c r="BZ88" i="4"/>
  <c r="I88" i="4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G46" i="4"/>
  <c r="GH46" i="4" s="1"/>
  <c r="GC46" i="4"/>
  <c r="GD46" i="4" s="1"/>
  <c r="FY46" i="4"/>
  <c r="FZ46" i="4" s="1"/>
  <c r="FU46" i="4"/>
  <c r="FV46" i="4" s="1"/>
  <c r="FQ46" i="4"/>
  <c r="FR46" i="4" s="1"/>
  <c r="FM46" i="4"/>
  <c r="FN46" i="4" s="1"/>
  <c r="FI46" i="4"/>
  <c r="FJ46" i="4" s="1"/>
  <c r="FE46" i="4"/>
  <c r="FF46" i="4" s="1"/>
  <c r="FA46" i="4"/>
  <c r="FB46" i="4" s="1"/>
  <c r="EW46" i="4"/>
  <c r="EX46" i="4" s="1"/>
  <c r="ET46" i="4"/>
  <c r="Y46" i="4"/>
  <c r="Z46" i="4" s="1"/>
  <c r="AC46" i="4"/>
  <c r="AD46" i="4" s="1"/>
  <c r="AG46" i="4"/>
  <c r="AH46" i="4" s="1"/>
  <c r="AK46" i="4"/>
  <c r="AL46" i="4" s="1"/>
  <c r="AO46" i="4"/>
  <c r="AP46" i="4" s="1"/>
  <c r="AS46" i="4"/>
  <c r="AT46" i="4" s="1"/>
  <c r="AW46" i="4"/>
  <c r="AX46" i="4" s="1"/>
  <c r="CG46" i="4"/>
  <c r="CH46" i="4" s="1"/>
  <c r="CW46" i="4"/>
  <c r="CX46" i="4" s="1"/>
  <c r="DA46" i="4"/>
  <c r="DB46" i="4" s="1"/>
  <c r="DQ46" i="4"/>
  <c r="DR46" i="4" s="1"/>
  <c r="AM46" i="4"/>
  <c r="AN46" i="4" s="1"/>
  <c r="AQ46" i="4"/>
  <c r="AR46" i="4" s="1"/>
  <c r="AU46" i="4"/>
  <c r="AV46" i="4" s="1"/>
  <c r="CB46" i="4"/>
  <c r="CE46" i="4"/>
  <c r="CF46" i="4" s="1"/>
  <c r="CU46" i="4"/>
  <c r="CV46" i="4" s="1"/>
  <c r="DC46" i="4"/>
  <c r="DD46" i="4" s="1"/>
  <c r="BZ47" i="4"/>
  <c r="I47" i="4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E44" i="4"/>
  <c r="AF44" i="4" s="1"/>
  <c r="S44" i="4"/>
  <c r="T44" i="4" s="1"/>
  <c r="AY44" i="4"/>
  <c r="AZ44" i="4" s="1"/>
  <c r="AI44" i="4"/>
  <c r="AJ44" i="4" s="1"/>
  <c r="O44" i="4"/>
  <c r="P44" i="4" s="1"/>
  <c r="AU44" i="4"/>
  <c r="AV44" i="4" s="1"/>
  <c r="AM44" i="4"/>
  <c r="AN44" i="4" s="1"/>
  <c r="AA44" i="4"/>
  <c r="AB44" i="4" s="1"/>
  <c r="W44" i="4"/>
  <c r="X44" i="4" s="1"/>
  <c r="K44" i="4"/>
  <c r="L44" i="4" s="1"/>
  <c r="BZ44" i="4"/>
  <c r="BZ43" i="4"/>
  <c r="I43" i="4"/>
  <c r="CA42" i="4"/>
  <c r="ER42" i="4"/>
  <c r="ES42" i="4" s="1"/>
  <c r="I42" i="4"/>
  <c r="I39" i="4"/>
  <c r="BZ39" i="4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Q40" i="4"/>
  <c r="AR40" i="4" s="1"/>
  <c r="AE40" i="4"/>
  <c r="AF40" i="4" s="1"/>
  <c r="S40" i="4"/>
  <c r="T40" i="4" s="1"/>
  <c r="AY40" i="4"/>
  <c r="AZ40" i="4" s="1"/>
  <c r="AM40" i="4"/>
  <c r="AN40" i="4" s="1"/>
  <c r="AA40" i="4"/>
  <c r="AB40" i="4" s="1"/>
  <c r="K40" i="4"/>
  <c r="L40" i="4" s="1"/>
  <c r="AU40" i="4"/>
  <c r="AV40" i="4" s="1"/>
  <c r="AI40" i="4"/>
  <c r="AJ40" i="4" s="1"/>
  <c r="W40" i="4"/>
  <c r="X40" i="4" s="1"/>
  <c r="O40" i="4"/>
  <c r="P40" i="4" s="1"/>
  <c r="BZ40" i="4"/>
  <c r="D27" i="4"/>
  <c r="BZ27" i="4" s="1"/>
  <c r="CA38" i="4"/>
  <c r="ER38" i="4"/>
  <c r="ES38" i="4" s="1"/>
  <c r="I38" i="4"/>
  <c r="CA37" i="4"/>
  <c r="ER37" i="4"/>
  <c r="ES37" i="4" s="1"/>
  <c r="I36" i="4"/>
  <c r="BZ36" i="4"/>
  <c r="I54" i="4"/>
  <c r="AW35" i="4"/>
  <c r="AX35" i="4" s="1"/>
  <c r="AS35" i="4"/>
  <c r="AT35" i="4" s="1"/>
  <c r="AO35" i="4"/>
  <c r="AP35" i="4" s="1"/>
  <c r="AK35" i="4"/>
  <c r="AL35" i="4" s="1"/>
  <c r="AG35" i="4"/>
  <c r="AH35" i="4" s="1"/>
  <c r="AC35" i="4"/>
  <c r="AD35" i="4" s="1"/>
  <c r="Y35" i="4"/>
  <c r="Z35" i="4" s="1"/>
  <c r="U35" i="4"/>
  <c r="V35" i="4" s="1"/>
  <c r="Q35" i="4"/>
  <c r="R35" i="4" s="1"/>
  <c r="M35" i="4"/>
  <c r="N35" i="4" s="1"/>
  <c r="J35" i="4"/>
  <c r="AY35" i="4"/>
  <c r="AZ35" i="4" s="1"/>
  <c r="AI35" i="4"/>
  <c r="AJ35" i="4" s="1"/>
  <c r="W35" i="4"/>
  <c r="X35" i="4" s="1"/>
  <c r="AQ35" i="4"/>
  <c r="AR35" i="4" s="1"/>
  <c r="AE35" i="4"/>
  <c r="AF35" i="4" s="1"/>
  <c r="S35" i="4"/>
  <c r="T35" i="4" s="1"/>
  <c r="K35" i="4"/>
  <c r="L35" i="4" s="1"/>
  <c r="AU35" i="4"/>
  <c r="AV35" i="4" s="1"/>
  <c r="AM35" i="4"/>
  <c r="AN35" i="4" s="1"/>
  <c r="AA35" i="4"/>
  <c r="AB35" i="4" s="1"/>
  <c r="O35" i="4"/>
  <c r="P35" i="4" s="1"/>
  <c r="BZ35" i="4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Q52" i="4"/>
  <c r="AR52" i="4" s="1"/>
  <c r="AE52" i="4"/>
  <c r="AF52" i="4" s="1"/>
  <c r="S52" i="4"/>
  <c r="T52" i="4" s="1"/>
  <c r="AU52" i="4"/>
  <c r="AV52" i="4" s="1"/>
  <c r="AI52" i="4"/>
  <c r="AJ52" i="4" s="1"/>
  <c r="W52" i="4"/>
  <c r="X52" i="4" s="1"/>
  <c r="O52" i="4"/>
  <c r="P52" i="4" s="1"/>
  <c r="AY52" i="4"/>
  <c r="AZ52" i="4" s="1"/>
  <c r="AM52" i="4"/>
  <c r="AN52" i="4" s="1"/>
  <c r="AA52" i="4"/>
  <c r="AB52" i="4" s="1"/>
  <c r="K52" i="4"/>
  <c r="L52" i="4" s="1"/>
  <c r="BZ52" i="4"/>
  <c r="DO34" i="4"/>
  <c r="DP34" i="4" s="1"/>
  <c r="DK34" i="4"/>
  <c r="DL34" i="4" s="1"/>
  <c r="DG34" i="4"/>
  <c r="DH34" i="4" s="1"/>
  <c r="DC34" i="4"/>
  <c r="DD34" i="4" s="1"/>
  <c r="CY34" i="4"/>
  <c r="CZ34" i="4" s="1"/>
  <c r="CU34" i="4"/>
  <c r="CV34" i="4" s="1"/>
  <c r="CQ34" i="4"/>
  <c r="CR34" i="4" s="1"/>
  <c r="CM34" i="4"/>
  <c r="CN34" i="4" s="1"/>
  <c r="CI34" i="4"/>
  <c r="CJ34" i="4" s="1"/>
  <c r="CE34" i="4"/>
  <c r="CF34" i="4" s="1"/>
  <c r="CB34" i="4"/>
  <c r="DQ34" i="4"/>
  <c r="DR34" i="4" s="1"/>
  <c r="DM34" i="4"/>
  <c r="DN34" i="4" s="1"/>
  <c r="DI34" i="4"/>
  <c r="DJ34" i="4" s="1"/>
  <c r="DE34" i="4"/>
  <c r="DF34" i="4" s="1"/>
  <c r="DA34" i="4"/>
  <c r="DB34" i="4" s="1"/>
  <c r="CW34" i="4"/>
  <c r="CX34" i="4" s="1"/>
  <c r="CS34" i="4"/>
  <c r="CT34" i="4" s="1"/>
  <c r="CO34" i="4"/>
  <c r="CP34" i="4" s="1"/>
  <c r="CK34" i="4"/>
  <c r="CL34" i="4" s="1"/>
  <c r="CG34" i="4"/>
  <c r="CH34" i="4" s="1"/>
  <c r="CC34" i="4"/>
  <c r="CD34" i="4" s="1"/>
  <c r="GI34" i="4"/>
  <c r="GJ34" i="4" s="1"/>
  <c r="GE34" i="4"/>
  <c r="GF34" i="4" s="1"/>
  <c r="FW34" i="4"/>
  <c r="FX34" i="4" s="1"/>
  <c r="FS34" i="4"/>
  <c r="FT34" i="4" s="1"/>
  <c r="FO34" i="4"/>
  <c r="FP34" i="4" s="1"/>
  <c r="FG34" i="4"/>
  <c r="FH34" i="4" s="1"/>
  <c r="FC34" i="4"/>
  <c r="FD34" i="4" s="1"/>
  <c r="EY34" i="4"/>
  <c r="EZ34" i="4" s="1"/>
  <c r="GG34" i="4"/>
  <c r="GH34" i="4" s="1"/>
  <c r="GC34" i="4"/>
  <c r="GD34" i="4" s="1"/>
  <c r="FY34" i="4"/>
  <c r="FZ34" i="4" s="1"/>
  <c r="FQ34" i="4"/>
  <c r="FR34" i="4" s="1"/>
  <c r="FM34" i="4"/>
  <c r="FN34" i="4" s="1"/>
  <c r="FI34" i="4"/>
  <c r="FJ34" i="4" s="1"/>
  <c r="FA34" i="4"/>
  <c r="FB34" i="4" s="1"/>
  <c r="EW34" i="4"/>
  <c r="EX34" i="4" s="1"/>
  <c r="ET34" i="4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AW34" i="4"/>
  <c r="AX34" i="4" s="1"/>
  <c r="Y145" i="4" l="1"/>
  <c r="Z145" i="4" s="1"/>
  <c r="AM145" i="4"/>
  <c r="AN145" i="4" s="1"/>
  <c r="AG145" i="4"/>
  <c r="AH145" i="4" s="1"/>
  <c r="O145" i="4"/>
  <c r="P145" i="4" s="1"/>
  <c r="AM133" i="4"/>
  <c r="AN133" i="4" s="1"/>
  <c r="AC133" i="4"/>
  <c r="AD133" i="4" s="1"/>
  <c r="ER136" i="4"/>
  <c r="ES136" i="4" s="1"/>
  <c r="GC136" i="4" s="1"/>
  <c r="GD136" i="4" s="1"/>
  <c r="AK133" i="4"/>
  <c r="AL133" i="4" s="1"/>
  <c r="ER94" i="4"/>
  <c r="ES94" i="4" s="1"/>
  <c r="W111" i="4"/>
  <c r="X111" i="4" s="1"/>
  <c r="DM73" i="4"/>
  <c r="DN73" i="4" s="1"/>
  <c r="CW73" i="4"/>
  <c r="CX73" i="4" s="1"/>
  <c r="CG73" i="4"/>
  <c r="CH73" i="4" s="1"/>
  <c r="DO73" i="4"/>
  <c r="DP73" i="4" s="1"/>
  <c r="CY73" i="4"/>
  <c r="CZ73" i="4" s="1"/>
  <c r="CI73" i="4"/>
  <c r="CJ73" i="4" s="1"/>
  <c r="FG65" i="4"/>
  <c r="FH65" i="4" s="1"/>
  <c r="FW65" i="4"/>
  <c r="FX65" i="4" s="1"/>
  <c r="FI65" i="4"/>
  <c r="FJ65" i="4" s="1"/>
  <c r="DE73" i="4"/>
  <c r="DF73" i="4" s="1"/>
  <c r="CO73" i="4"/>
  <c r="CP73" i="4" s="1"/>
  <c r="DG73" i="4"/>
  <c r="DH73" i="4" s="1"/>
  <c r="CQ73" i="4"/>
  <c r="CR73" i="4" s="1"/>
  <c r="CB73" i="4"/>
  <c r="EY65" i="4"/>
  <c r="EZ65" i="4" s="1"/>
  <c r="FO65" i="4"/>
  <c r="FP65" i="4" s="1"/>
  <c r="GE65" i="4"/>
  <c r="GF65" i="4" s="1"/>
  <c r="GG65" i="4"/>
  <c r="GH65" i="4" s="1"/>
  <c r="GC65" i="4"/>
  <c r="GD65" i="4" s="1"/>
  <c r="EW65" i="4"/>
  <c r="EX65" i="4" s="1"/>
  <c r="FU65" i="4"/>
  <c r="FV65" i="4" s="1"/>
  <c r="FE65" i="4"/>
  <c r="FF65" i="4" s="1"/>
  <c r="FM65" i="4"/>
  <c r="FN65" i="4" s="1"/>
  <c r="DA73" i="4"/>
  <c r="DB73" i="4" s="1"/>
  <c r="CK73" i="4"/>
  <c r="CL73" i="4" s="1"/>
  <c r="DC73" i="4"/>
  <c r="DD73" i="4" s="1"/>
  <c r="CM73" i="4"/>
  <c r="CN73" i="4" s="1"/>
  <c r="FC65" i="4"/>
  <c r="FD65" i="4" s="1"/>
  <c r="FS65" i="4"/>
  <c r="FT65" i="4" s="1"/>
  <c r="GI65" i="4"/>
  <c r="GJ65" i="4" s="1"/>
  <c r="FA65" i="4"/>
  <c r="FB65" i="4" s="1"/>
  <c r="FY65" i="4"/>
  <c r="FZ65" i="4" s="1"/>
  <c r="GG68" i="4"/>
  <c r="GH68" i="4" s="1"/>
  <c r="FM68" i="4"/>
  <c r="FN68" i="4" s="1"/>
  <c r="GC68" i="4"/>
  <c r="GD68" i="4" s="1"/>
  <c r="FE68" i="4"/>
  <c r="FF68" i="4" s="1"/>
  <c r="FU68" i="4"/>
  <c r="FV68" i="4" s="1"/>
  <c r="EW68" i="4"/>
  <c r="EX68" i="4" s="1"/>
  <c r="GE59" i="4"/>
  <c r="GF59" i="4" s="1"/>
  <c r="O59" i="4"/>
  <c r="P59" i="4" s="1"/>
  <c r="AG59" i="4"/>
  <c r="AH59" i="4" s="1"/>
  <c r="FI59" i="4"/>
  <c r="FJ59" i="4" s="1"/>
  <c r="CO58" i="4"/>
  <c r="CP58" i="4" s="1"/>
  <c r="DE58" i="4"/>
  <c r="DF58" i="4" s="1"/>
  <c r="CB58" i="4"/>
  <c r="CQ58" i="4"/>
  <c r="CR58" i="4" s="1"/>
  <c r="DG58" i="4"/>
  <c r="DH58" i="4" s="1"/>
  <c r="FK59" i="4"/>
  <c r="FL59" i="4" s="1"/>
  <c r="CK58" i="4"/>
  <c r="CL58" i="4" s="1"/>
  <c r="DA58" i="4"/>
  <c r="DB58" i="4" s="1"/>
  <c r="DQ58" i="4"/>
  <c r="DR58" i="4" s="1"/>
  <c r="CM58" i="4"/>
  <c r="CN58" i="4" s="1"/>
  <c r="FE34" i="4"/>
  <c r="FF34" i="4" s="1"/>
  <c r="FU34" i="4"/>
  <c r="FV34" i="4" s="1"/>
  <c r="EU34" i="4"/>
  <c r="EV34" i="4" s="1"/>
  <c r="FK34" i="4"/>
  <c r="FL34" i="4" s="1"/>
  <c r="ER130" i="4"/>
  <c r="ES130" i="4" s="1"/>
  <c r="CA130" i="4"/>
  <c r="AW107" i="4"/>
  <c r="AX107" i="4" s="1"/>
  <c r="AS107" i="4"/>
  <c r="AT107" i="4" s="1"/>
  <c r="AO107" i="4"/>
  <c r="AP107" i="4" s="1"/>
  <c r="AK107" i="4"/>
  <c r="AL107" i="4" s="1"/>
  <c r="AG107" i="4"/>
  <c r="AH107" i="4" s="1"/>
  <c r="AC107" i="4"/>
  <c r="AD107" i="4" s="1"/>
  <c r="Y107" i="4"/>
  <c r="Z107" i="4" s="1"/>
  <c r="U107" i="4"/>
  <c r="V107" i="4" s="1"/>
  <c r="Q107" i="4"/>
  <c r="R107" i="4" s="1"/>
  <c r="M107" i="4"/>
  <c r="N107" i="4" s="1"/>
  <c r="J107" i="4"/>
  <c r="AU107" i="4"/>
  <c r="AV107" i="4" s="1"/>
  <c r="AE107" i="4"/>
  <c r="AF107" i="4" s="1"/>
  <c r="O107" i="4"/>
  <c r="P107" i="4" s="1"/>
  <c r="AQ107" i="4"/>
  <c r="AR107" i="4" s="1"/>
  <c r="AA107" i="4"/>
  <c r="AB107" i="4" s="1"/>
  <c r="K107" i="4"/>
  <c r="L107" i="4" s="1"/>
  <c r="AY107" i="4"/>
  <c r="AZ107" i="4" s="1"/>
  <c r="AI107" i="4"/>
  <c r="AJ107" i="4" s="1"/>
  <c r="S107" i="4"/>
  <c r="T107" i="4" s="1"/>
  <c r="W107" i="4"/>
  <c r="X107" i="4" s="1"/>
  <c r="AM107" i="4"/>
  <c r="AN107" i="4" s="1"/>
  <c r="ER74" i="4"/>
  <c r="ES74" i="4" s="1"/>
  <c r="CA74" i="4"/>
  <c r="DO70" i="4"/>
  <c r="DP70" i="4" s="1"/>
  <c r="DC70" i="4"/>
  <c r="DD70" i="4" s="1"/>
  <c r="CY70" i="4"/>
  <c r="CZ70" i="4" s="1"/>
  <c r="CU70" i="4"/>
  <c r="CV70" i="4" s="1"/>
  <c r="CQ70" i="4"/>
  <c r="CR70" i="4" s="1"/>
  <c r="CM70" i="4"/>
  <c r="CN70" i="4" s="1"/>
  <c r="CI70" i="4"/>
  <c r="CJ70" i="4" s="1"/>
  <c r="CE70" i="4"/>
  <c r="CF70" i="4" s="1"/>
  <c r="CB70" i="4"/>
  <c r="DM70" i="4"/>
  <c r="DN70" i="4" s="1"/>
  <c r="DG70" i="4"/>
  <c r="DH70" i="4" s="1"/>
  <c r="DQ70" i="4"/>
  <c r="DR70" i="4" s="1"/>
  <c r="DI70" i="4"/>
  <c r="DJ70" i="4" s="1"/>
  <c r="DK70" i="4"/>
  <c r="DL70" i="4" s="1"/>
  <c r="CS70" i="4"/>
  <c r="CT70" i="4" s="1"/>
  <c r="CC70" i="4"/>
  <c r="CD70" i="4" s="1"/>
  <c r="DE70" i="4"/>
  <c r="DF70" i="4" s="1"/>
  <c r="CO70" i="4"/>
  <c r="CP70" i="4" s="1"/>
  <c r="DA70" i="4"/>
  <c r="DB70" i="4" s="1"/>
  <c r="CW70" i="4"/>
  <c r="CX70" i="4" s="1"/>
  <c r="CG70" i="4"/>
  <c r="CH70" i="4" s="1"/>
  <c r="CK70" i="4"/>
  <c r="CL7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AY48" i="4"/>
  <c r="AZ48" i="4" s="1"/>
  <c r="AI48" i="4"/>
  <c r="AJ48" i="4" s="1"/>
  <c r="O48" i="4"/>
  <c r="P48" i="4" s="1"/>
  <c r="K48" i="4"/>
  <c r="L48" i="4" s="1"/>
  <c r="AQ48" i="4"/>
  <c r="AR48" i="4" s="1"/>
  <c r="Q48" i="4"/>
  <c r="R48" i="4" s="1"/>
  <c r="J48" i="4"/>
  <c r="AU48" i="4"/>
  <c r="AV48" i="4" s="1"/>
  <c r="AE48" i="4"/>
  <c r="AF48" i="4" s="1"/>
  <c r="S48" i="4"/>
  <c r="T48" i="4" s="1"/>
  <c r="AM48" i="4"/>
  <c r="AN48" i="4" s="1"/>
  <c r="W48" i="4"/>
  <c r="X48" i="4" s="1"/>
  <c r="AA48" i="4"/>
  <c r="AB48" i="4" s="1"/>
  <c r="M48" i="4"/>
  <c r="N48" i="4" s="1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FY45" i="4"/>
  <c r="FZ45" i="4" s="1"/>
  <c r="FQ45" i="4"/>
  <c r="FR45" i="4" s="1"/>
  <c r="FI45" i="4"/>
  <c r="FJ45" i="4" s="1"/>
  <c r="FA45" i="4"/>
  <c r="FB45" i="4" s="1"/>
  <c r="ET45" i="4"/>
  <c r="GC45" i="4"/>
  <c r="GD45" i="4" s="1"/>
  <c r="FU45" i="4"/>
  <c r="FV45" i="4" s="1"/>
  <c r="FM45" i="4"/>
  <c r="FN45" i="4" s="1"/>
  <c r="FE45" i="4"/>
  <c r="FF45" i="4" s="1"/>
  <c r="EW45" i="4"/>
  <c r="EX45" i="4" s="1"/>
  <c r="U93" i="4"/>
  <c r="V93" i="4" s="1"/>
  <c r="AI93" i="4"/>
  <c r="AJ93" i="4" s="1"/>
  <c r="Y94" i="4"/>
  <c r="Z94" i="4" s="1"/>
  <c r="U136" i="4"/>
  <c r="V136" i="4" s="1"/>
  <c r="AI136" i="4"/>
  <c r="AJ136" i="4" s="1"/>
  <c r="CY131" i="4"/>
  <c r="CZ131" i="4" s="1"/>
  <c r="EU59" i="4"/>
  <c r="EV59" i="4" s="1"/>
  <c r="ET59" i="4"/>
  <c r="GG59" i="4"/>
  <c r="GH59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Q74" i="4"/>
  <c r="AR74" i="4" s="1"/>
  <c r="AA74" i="4"/>
  <c r="AB74" i="4" s="1"/>
  <c r="K74" i="4"/>
  <c r="L74" i="4" s="1"/>
  <c r="AM74" i="4"/>
  <c r="AN74" i="4" s="1"/>
  <c r="W74" i="4"/>
  <c r="X74" i="4" s="1"/>
  <c r="AU74" i="4"/>
  <c r="AV74" i="4" s="1"/>
  <c r="AE74" i="4"/>
  <c r="AF74" i="4" s="1"/>
  <c r="O74" i="4"/>
  <c r="P74" i="4" s="1"/>
  <c r="AY74" i="4"/>
  <c r="AZ74" i="4" s="1"/>
  <c r="S74" i="4"/>
  <c r="T74" i="4" s="1"/>
  <c r="AI74" i="4"/>
  <c r="AJ74" i="4" s="1"/>
  <c r="GG70" i="4"/>
  <c r="GH70" i="4" s="1"/>
  <c r="GC70" i="4"/>
  <c r="GD70" i="4" s="1"/>
  <c r="FY70" i="4"/>
  <c r="FZ70" i="4" s="1"/>
  <c r="FU70" i="4"/>
  <c r="FV70" i="4" s="1"/>
  <c r="FQ70" i="4"/>
  <c r="FR70" i="4" s="1"/>
  <c r="GI70" i="4"/>
  <c r="GJ70" i="4" s="1"/>
  <c r="FS70" i="4"/>
  <c r="FT70" i="4" s="1"/>
  <c r="FI70" i="4"/>
  <c r="FJ70" i="4" s="1"/>
  <c r="FA70" i="4"/>
  <c r="FB70" i="4" s="1"/>
  <c r="ET70" i="4"/>
  <c r="GE70" i="4"/>
  <c r="GF70" i="4" s="1"/>
  <c r="FO70" i="4"/>
  <c r="FP70" i="4" s="1"/>
  <c r="FG70" i="4"/>
  <c r="FH70" i="4" s="1"/>
  <c r="EY70" i="4"/>
  <c r="EZ70" i="4" s="1"/>
  <c r="FW70" i="4"/>
  <c r="FX70" i="4" s="1"/>
  <c r="FK70" i="4"/>
  <c r="FL70" i="4" s="1"/>
  <c r="FC70" i="4"/>
  <c r="FD70" i="4" s="1"/>
  <c r="EU70" i="4"/>
  <c r="EV70" i="4" s="1"/>
  <c r="FE70" i="4"/>
  <c r="FF70" i="4" s="1"/>
  <c r="EW70" i="4"/>
  <c r="EX70" i="4" s="1"/>
  <c r="GA70" i="4"/>
  <c r="GB70" i="4" s="1"/>
  <c r="FM70" i="4"/>
  <c r="FN70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DQ80" i="4"/>
  <c r="DR80" i="4" s="1"/>
  <c r="DM80" i="4"/>
  <c r="DN80" i="4" s="1"/>
  <c r="DI80" i="4"/>
  <c r="DJ80" i="4" s="1"/>
  <c r="DE80" i="4"/>
  <c r="DF80" i="4" s="1"/>
  <c r="DA80" i="4"/>
  <c r="DB80" i="4" s="1"/>
  <c r="CW80" i="4"/>
  <c r="CX80" i="4" s="1"/>
  <c r="CS80" i="4"/>
  <c r="CT80" i="4" s="1"/>
  <c r="CO80" i="4"/>
  <c r="CP80" i="4" s="1"/>
  <c r="CK80" i="4"/>
  <c r="CL80" i="4" s="1"/>
  <c r="CG80" i="4"/>
  <c r="CH80" i="4" s="1"/>
  <c r="CC80" i="4"/>
  <c r="CD80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K46" i="4"/>
  <c r="DL46" i="4" s="1"/>
  <c r="CQ46" i="4"/>
  <c r="CR46" i="4" s="1"/>
  <c r="DM46" i="4"/>
  <c r="DN46" i="4" s="1"/>
  <c r="CO46" i="4"/>
  <c r="CP46" i="4" s="1"/>
  <c r="DK83" i="4"/>
  <c r="DL83" i="4" s="1"/>
  <c r="DM83" i="4"/>
  <c r="DN83" i="4" s="1"/>
  <c r="AG93" i="4"/>
  <c r="AH93" i="4" s="1"/>
  <c r="Q93" i="4"/>
  <c r="R93" i="4" s="1"/>
  <c r="AU93" i="4"/>
  <c r="AV93" i="4" s="1"/>
  <c r="AE93" i="4"/>
  <c r="AF93" i="4" s="1"/>
  <c r="O93" i="4"/>
  <c r="P93" i="4" s="1"/>
  <c r="AK94" i="4"/>
  <c r="AL94" i="4" s="1"/>
  <c r="U94" i="4"/>
  <c r="V94" i="4" s="1"/>
  <c r="AY94" i="4"/>
  <c r="AZ94" i="4" s="1"/>
  <c r="AI94" i="4"/>
  <c r="AJ94" i="4" s="1"/>
  <c r="S94" i="4"/>
  <c r="T94" i="4" s="1"/>
  <c r="AG136" i="4"/>
  <c r="AH136" i="4" s="1"/>
  <c r="Q136" i="4"/>
  <c r="R136" i="4" s="1"/>
  <c r="AU136" i="4"/>
  <c r="AV136" i="4" s="1"/>
  <c r="AE136" i="4"/>
  <c r="AF136" i="4" s="1"/>
  <c r="O136" i="4"/>
  <c r="P136" i="4" s="1"/>
  <c r="U133" i="4"/>
  <c r="V133" i="4" s="1"/>
  <c r="DA131" i="4"/>
  <c r="DB131" i="4" s="1"/>
  <c r="DK131" i="4"/>
  <c r="DL131" i="4" s="1"/>
  <c r="CU131" i="4"/>
  <c r="CV131" i="4" s="1"/>
  <c r="EY59" i="4"/>
  <c r="EZ59" i="4" s="1"/>
  <c r="FW59" i="4"/>
  <c r="FX59" i="4" s="1"/>
  <c r="EW59" i="4"/>
  <c r="EX59" i="4" s="1"/>
  <c r="FQ59" i="4"/>
  <c r="FR59" i="4" s="1"/>
  <c r="Q145" i="4"/>
  <c r="R145" i="4" s="1"/>
  <c r="AE145" i="4"/>
  <c r="AF145" i="4" s="1"/>
  <c r="AS111" i="4"/>
  <c r="AT111" i="4" s="1"/>
  <c r="GG132" i="4"/>
  <c r="GH132" i="4" s="1"/>
  <c r="GC132" i="4"/>
  <c r="GD132" i="4" s="1"/>
  <c r="FY132" i="4"/>
  <c r="FZ132" i="4" s="1"/>
  <c r="FU132" i="4"/>
  <c r="FV132" i="4" s="1"/>
  <c r="FQ132" i="4"/>
  <c r="FR132" i="4" s="1"/>
  <c r="FM132" i="4"/>
  <c r="FN132" i="4" s="1"/>
  <c r="FI132" i="4"/>
  <c r="FJ132" i="4" s="1"/>
  <c r="FE132" i="4"/>
  <c r="FF132" i="4" s="1"/>
  <c r="FA132" i="4"/>
  <c r="FB132" i="4" s="1"/>
  <c r="EW132" i="4"/>
  <c r="EX132" i="4" s="1"/>
  <c r="ET132" i="4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AO105" i="4"/>
  <c r="AP105" i="4" s="1"/>
  <c r="Y105" i="4"/>
  <c r="Z105" i="4" s="1"/>
  <c r="J105" i="4"/>
  <c r="AK105" i="4"/>
  <c r="AL105" i="4" s="1"/>
  <c r="U105" i="4"/>
  <c r="V105" i="4" s="1"/>
  <c r="AS105" i="4"/>
  <c r="AT105" i="4" s="1"/>
  <c r="AC105" i="4"/>
  <c r="AD105" i="4" s="1"/>
  <c r="M105" i="4"/>
  <c r="N105" i="4" s="1"/>
  <c r="Q105" i="4"/>
  <c r="R105" i="4" s="1"/>
  <c r="AG105" i="4"/>
  <c r="AH105" i="4" s="1"/>
  <c r="AW105" i="4"/>
  <c r="AX105" i="4" s="1"/>
  <c r="AY76" i="4"/>
  <c r="AZ76" i="4" s="1"/>
  <c r="AU76" i="4"/>
  <c r="AV76" i="4" s="1"/>
  <c r="AQ76" i="4"/>
  <c r="AR76" i="4" s="1"/>
  <c r="AM76" i="4"/>
  <c r="AN76" i="4" s="1"/>
  <c r="AI76" i="4"/>
  <c r="AJ76" i="4" s="1"/>
  <c r="AE76" i="4"/>
  <c r="AF76" i="4" s="1"/>
  <c r="AA76" i="4"/>
  <c r="AB76" i="4" s="1"/>
  <c r="W76" i="4"/>
  <c r="X76" i="4" s="1"/>
  <c r="S76" i="4"/>
  <c r="T76" i="4" s="1"/>
  <c r="O76" i="4"/>
  <c r="P76" i="4" s="1"/>
  <c r="K76" i="4"/>
  <c r="L76" i="4" s="1"/>
  <c r="AW76" i="4"/>
  <c r="AX76" i="4" s="1"/>
  <c r="AG76" i="4"/>
  <c r="AH76" i="4" s="1"/>
  <c r="Q76" i="4"/>
  <c r="R76" i="4" s="1"/>
  <c r="AS76" i="4"/>
  <c r="AT76" i="4" s="1"/>
  <c r="AC76" i="4"/>
  <c r="AD76" i="4" s="1"/>
  <c r="M76" i="4"/>
  <c r="N76" i="4" s="1"/>
  <c r="AK76" i="4"/>
  <c r="AL76" i="4" s="1"/>
  <c r="U76" i="4"/>
  <c r="V76" i="4" s="1"/>
  <c r="Y76" i="4"/>
  <c r="Z76" i="4" s="1"/>
  <c r="J76" i="4"/>
  <c r="AO76" i="4"/>
  <c r="AP76" i="4" s="1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FY76" i="4"/>
  <c r="FZ76" i="4" s="1"/>
  <c r="FI76" i="4"/>
  <c r="FJ76" i="4" s="1"/>
  <c r="ET76" i="4"/>
  <c r="FU76" i="4"/>
  <c r="FV76" i="4" s="1"/>
  <c r="FE76" i="4"/>
  <c r="FF76" i="4" s="1"/>
  <c r="GC76" i="4"/>
  <c r="GD76" i="4" s="1"/>
  <c r="FM76" i="4"/>
  <c r="FN76" i="4" s="1"/>
  <c r="EW76" i="4"/>
  <c r="EX76" i="4" s="1"/>
  <c r="GG76" i="4"/>
  <c r="GH76" i="4" s="1"/>
  <c r="FQ76" i="4"/>
  <c r="FR76" i="4" s="1"/>
  <c r="FA76" i="4"/>
  <c r="FB76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FQ79" i="4"/>
  <c r="FR79" i="4" s="1"/>
  <c r="FA79" i="4"/>
  <c r="FB79" i="4" s="1"/>
  <c r="GC79" i="4"/>
  <c r="GD79" i="4" s="1"/>
  <c r="FM79" i="4"/>
  <c r="FN79" i="4" s="1"/>
  <c r="EW79" i="4"/>
  <c r="EX79" i="4" s="1"/>
  <c r="FU79" i="4"/>
  <c r="FV79" i="4" s="1"/>
  <c r="FE79" i="4"/>
  <c r="FF79" i="4" s="1"/>
  <c r="FI79" i="4"/>
  <c r="FJ79" i="4" s="1"/>
  <c r="ET79" i="4"/>
  <c r="FY79" i="4"/>
  <c r="FZ79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GG123" i="4"/>
  <c r="GH123" i="4" s="1"/>
  <c r="FQ123" i="4"/>
  <c r="FR123" i="4" s="1"/>
  <c r="FA123" i="4"/>
  <c r="FB123" i="4" s="1"/>
  <c r="GC123" i="4"/>
  <c r="GD123" i="4" s="1"/>
  <c r="FM123" i="4"/>
  <c r="FN123" i="4" s="1"/>
  <c r="EW123" i="4"/>
  <c r="EX123" i="4" s="1"/>
  <c r="FU123" i="4"/>
  <c r="FV123" i="4" s="1"/>
  <c r="FE123" i="4"/>
  <c r="FF123" i="4" s="1"/>
  <c r="FI123" i="4"/>
  <c r="FJ123" i="4" s="1"/>
  <c r="ET123" i="4"/>
  <c r="FY123" i="4"/>
  <c r="FZ123" i="4" s="1"/>
  <c r="ER78" i="4"/>
  <c r="ES78" i="4" s="1"/>
  <c r="CA78" i="4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FY50" i="4"/>
  <c r="FZ50" i="4" s="1"/>
  <c r="FI50" i="4"/>
  <c r="FJ50" i="4" s="1"/>
  <c r="ET50" i="4"/>
  <c r="GG50" i="4"/>
  <c r="GH50" i="4" s="1"/>
  <c r="FA50" i="4"/>
  <c r="FB50" i="4" s="1"/>
  <c r="FU50" i="4"/>
  <c r="FV50" i="4" s="1"/>
  <c r="FE50" i="4"/>
  <c r="FF50" i="4" s="1"/>
  <c r="GC50" i="4"/>
  <c r="GD50" i="4" s="1"/>
  <c r="FM50" i="4"/>
  <c r="FN50" i="4" s="1"/>
  <c r="EW50" i="4"/>
  <c r="EX50" i="4" s="1"/>
  <c r="FQ50" i="4"/>
  <c r="FR50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DQ152" i="4"/>
  <c r="DR152" i="4" s="1"/>
  <c r="DM152" i="4"/>
  <c r="DN152" i="4" s="1"/>
  <c r="DI152" i="4"/>
  <c r="DJ152" i="4" s="1"/>
  <c r="DE152" i="4"/>
  <c r="DF152" i="4" s="1"/>
  <c r="DA152" i="4"/>
  <c r="DB152" i="4" s="1"/>
  <c r="CW152" i="4"/>
  <c r="CX152" i="4" s="1"/>
  <c r="CS152" i="4"/>
  <c r="CT152" i="4" s="1"/>
  <c r="CO152" i="4"/>
  <c r="CP152" i="4" s="1"/>
  <c r="CK152" i="4"/>
  <c r="CL152" i="4" s="1"/>
  <c r="CG152" i="4"/>
  <c r="CH152" i="4" s="1"/>
  <c r="CC152" i="4"/>
  <c r="CD152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I41" i="4"/>
  <c r="DJ41" i="4" s="1"/>
  <c r="DA41" i="4"/>
  <c r="DB41" i="4" s="1"/>
  <c r="CO41" i="4"/>
  <c r="CP41" i="4" s="1"/>
  <c r="CG41" i="4"/>
  <c r="CH41" i="4" s="1"/>
  <c r="DM41" i="4"/>
  <c r="DN41" i="4" s="1"/>
  <c r="DE41" i="4"/>
  <c r="DF41" i="4" s="1"/>
  <c r="CW41" i="4"/>
  <c r="CX41" i="4" s="1"/>
  <c r="CS41" i="4"/>
  <c r="CT41" i="4" s="1"/>
  <c r="CK41" i="4"/>
  <c r="CL41" i="4" s="1"/>
  <c r="CC41" i="4"/>
  <c r="CD41" i="4" s="1"/>
  <c r="AY121" i="4"/>
  <c r="AZ121" i="4" s="1"/>
  <c r="AU121" i="4"/>
  <c r="AV121" i="4" s="1"/>
  <c r="AQ121" i="4"/>
  <c r="AR121" i="4" s="1"/>
  <c r="AM121" i="4"/>
  <c r="AN121" i="4" s="1"/>
  <c r="AI121" i="4"/>
  <c r="AJ121" i="4" s="1"/>
  <c r="AE121" i="4"/>
  <c r="AF121" i="4" s="1"/>
  <c r="AA121" i="4"/>
  <c r="AB121" i="4" s="1"/>
  <c r="W121" i="4"/>
  <c r="X121" i="4" s="1"/>
  <c r="S121" i="4"/>
  <c r="T121" i="4" s="1"/>
  <c r="O121" i="4"/>
  <c r="P121" i="4" s="1"/>
  <c r="K121" i="4"/>
  <c r="L121" i="4" s="1"/>
  <c r="AS121" i="4"/>
  <c r="AT121" i="4" s="1"/>
  <c r="AC121" i="4"/>
  <c r="AD121" i="4" s="1"/>
  <c r="M121" i="4"/>
  <c r="N121" i="4" s="1"/>
  <c r="AO121" i="4"/>
  <c r="AP121" i="4" s="1"/>
  <c r="Y121" i="4"/>
  <c r="Z121" i="4" s="1"/>
  <c r="J121" i="4"/>
  <c r="AW121" i="4"/>
  <c r="AX121" i="4" s="1"/>
  <c r="AG121" i="4"/>
  <c r="AH121" i="4" s="1"/>
  <c r="Q121" i="4"/>
  <c r="R121" i="4" s="1"/>
  <c r="AK121" i="4"/>
  <c r="AL121" i="4" s="1"/>
  <c r="U121" i="4"/>
  <c r="V121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G105" i="4"/>
  <c r="GH105" i="4" s="1"/>
  <c r="FQ105" i="4"/>
  <c r="FR105" i="4" s="1"/>
  <c r="FA105" i="4"/>
  <c r="FB105" i="4" s="1"/>
  <c r="GC105" i="4"/>
  <c r="GD105" i="4" s="1"/>
  <c r="FM105" i="4"/>
  <c r="FN105" i="4" s="1"/>
  <c r="EW105" i="4"/>
  <c r="EX105" i="4" s="1"/>
  <c r="FU105" i="4"/>
  <c r="FV105" i="4" s="1"/>
  <c r="FE105" i="4"/>
  <c r="FF105" i="4" s="1"/>
  <c r="FY105" i="4"/>
  <c r="FZ105" i="4" s="1"/>
  <c r="FI105" i="4"/>
  <c r="FJ105" i="4" s="1"/>
  <c r="ET105" i="4"/>
  <c r="ER102" i="4"/>
  <c r="ES102" i="4" s="1"/>
  <c r="CA102" i="4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ER81" i="4"/>
  <c r="ES81" i="4" s="1"/>
  <c r="CA81" i="4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GG80" i="4"/>
  <c r="GH80" i="4" s="1"/>
  <c r="GC80" i="4"/>
  <c r="GD80" i="4" s="1"/>
  <c r="FY80" i="4"/>
  <c r="FZ80" i="4" s="1"/>
  <c r="FU80" i="4"/>
  <c r="FV80" i="4" s="1"/>
  <c r="FQ80" i="4"/>
  <c r="FR80" i="4" s="1"/>
  <c r="FM80" i="4"/>
  <c r="FN80" i="4" s="1"/>
  <c r="FI80" i="4"/>
  <c r="FJ80" i="4" s="1"/>
  <c r="FE80" i="4"/>
  <c r="FF80" i="4" s="1"/>
  <c r="FA80" i="4"/>
  <c r="FB80" i="4" s="1"/>
  <c r="EW80" i="4"/>
  <c r="EX80" i="4" s="1"/>
  <c r="ET80" i="4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AK93" i="4"/>
  <c r="AL93" i="4" s="1"/>
  <c r="AY93" i="4"/>
  <c r="AZ93" i="4" s="1"/>
  <c r="S93" i="4"/>
  <c r="T93" i="4" s="1"/>
  <c r="AO94" i="4"/>
  <c r="AP94" i="4" s="1"/>
  <c r="J94" i="4"/>
  <c r="AM94" i="4"/>
  <c r="AN94" i="4" s="1"/>
  <c r="W94" i="4"/>
  <c r="X94" i="4" s="1"/>
  <c r="AK136" i="4"/>
  <c r="AL136" i="4" s="1"/>
  <c r="AY136" i="4"/>
  <c r="AZ136" i="4" s="1"/>
  <c r="S136" i="4"/>
  <c r="T136" i="4" s="1"/>
  <c r="DE131" i="4"/>
  <c r="DF131" i="4" s="1"/>
  <c r="DO131" i="4"/>
  <c r="DP131" i="4" s="1"/>
  <c r="FO59" i="4"/>
  <c r="FP59" i="4" s="1"/>
  <c r="FM59" i="4"/>
  <c r="FN59" i="4" s="1"/>
  <c r="AW130" i="4"/>
  <c r="AX130" i="4" s="1"/>
  <c r="AS130" i="4"/>
  <c r="AT130" i="4" s="1"/>
  <c r="AO130" i="4"/>
  <c r="AP130" i="4" s="1"/>
  <c r="AK130" i="4"/>
  <c r="AL130" i="4" s="1"/>
  <c r="AG130" i="4"/>
  <c r="AH130" i="4" s="1"/>
  <c r="AC130" i="4"/>
  <c r="AD130" i="4" s="1"/>
  <c r="Y130" i="4"/>
  <c r="Z130" i="4" s="1"/>
  <c r="U130" i="4"/>
  <c r="V130" i="4" s="1"/>
  <c r="Q130" i="4"/>
  <c r="R130" i="4" s="1"/>
  <c r="M130" i="4"/>
  <c r="N130" i="4" s="1"/>
  <c r="J130" i="4"/>
  <c r="AY130" i="4"/>
  <c r="AZ130" i="4" s="1"/>
  <c r="AI130" i="4"/>
  <c r="AJ130" i="4" s="1"/>
  <c r="S130" i="4"/>
  <c r="T130" i="4" s="1"/>
  <c r="AU130" i="4"/>
  <c r="AV130" i="4" s="1"/>
  <c r="AE130" i="4"/>
  <c r="AF130" i="4" s="1"/>
  <c r="O130" i="4"/>
  <c r="P130" i="4" s="1"/>
  <c r="AM130" i="4"/>
  <c r="AN130" i="4" s="1"/>
  <c r="W130" i="4"/>
  <c r="X130" i="4" s="1"/>
  <c r="AQ130" i="4"/>
  <c r="AR130" i="4" s="1"/>
  <c r="AA130" i="4"/>
  <c r="AB130" i="4" s="1"/>
  <c r="K130" i="4"/>
  <c r="L130" i="4" s="1"/>
  <c r="DO105" i="4"/>
  <c r="DP105" i="4" s="1"/>
  <c r="DK105" i="4"/>
  <c r="DL105" i="4" s="1"/>
  <c r="DG105" i="4"/>
  <c r="DH105" i="4" s="1"/>
  <c r="DC105" i="4"/>
  <c r="DD105" i="4" s="1"/>
  <c r="CY105" i="4"/>
  <c r="CZ105" i="4" s="1"/>
  <c r="CU105" i="4"/>
  <c r="CV105" i="4" s="1"/>
  <c r="CQ105" i="4"/>
  <c r="CR105" i="4" s="1"/>
  <c r="CM105" i="4"/>
  <c r="CN105" i="4" s="1"/>
  <c r="CI105" i="4"/>
  <c r="CJ105" i="4" s="1"/>
  <c r="CE105" i="4"/>
  <c r="CF105" i="4" s="1"/>
  <c r="CB105" i="4"/>
  <c r="DE105" i="4"/>
  <c r="DF105" i="4" s="1"/>
  <c r="CO105" i="4"/>
  <c r="CP105" i="4" s="1"/>
  <c r="DQ105" i="4"/>
  <c r="DR105" i="4" s="1"/>
  <c r="DA105" i="4"/>
  <c r="DB105" i="4" s="1"/>
  <c r="CK105" i="4"/>
  <c r="CL105" i="4" s="1"/>
  <c r="DI105" i="4"/>
  <c r="DJ105" i="4" s="1"/>
  <c r="CS105" i="4"/>
  <c r="CT105" i="4" s="1"/>
  <c r="CC105" i="4"/>
  <c r="CD105" i="4" s="1"/>
  <c r="DM105" i="4"/>
  <c r="DN105" i="4" s="1"/>
  <c r="CG105" i="4"/>
  <c r="CH105" i="4" s="1"/>
  <c r="CW105" i="4"/>
  <c r="CX105" i="4" s="1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M102" i="4"/>
  <c r="AN102" i="4" s="1"/>
  <c r="W102" i="4"/>
  <c r="X102" i="4" s="1"/>
  <c r="AY102" i="4"/>
  <c r="AZ102" i="4" s="1"/>
  <c r="AI102" i="4"/>
  <c r="AJ102" i="4" s="1"/>
  <c r="S102" i="4"/>
  <c r="T102" i="4" s="1"/>
  <c r="AQ102" i="4"/>
  <c r="AR102" i="4" s="1"/>
  <c r="AA102" i="4"/>
  <c r="AB102" i="4" s="1"/>
  <c r="K102" i="4"/>
  <c r="L102" i="4" s="1"/>
  <c r="AU102" i="4"/>
  <c r="AV102" i="4" s="1"/>
  <c r="O102" i="4"/>
  <c r="P102" i="4" s="1"/>
  <c r="AE102" i="4"/>
  <c r="AF102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M81" i="4"/>
  <c r="AN81" i="4" s="1"/>
  <c r="W81" i="4"/>
  <c r="X81" i="4" s="1"/>
  <c r="AY81" i="4"/>
  <c r="AZ81" i="4" s="1"/>
  <c r="AI81" i="4"/>
  <c r="AJ81" i="4" s="1"/>
  <c r="S81" i="4"/>
  <c r="T81" i="4" s="1"/>
  <c r="AQ81" i="4"/>
  <c r="AR81" i="4" s="1"/>
  <c r="AA81" i="4"/>
  <c r="AB81" i="4" s="1"/>
  <c r="K81" i="4"/>
  <c r="L81" i="4" s="1"/>
  <c r="AU81" i="4"/>
  <c r="AV81" i="4" s="1"/>
  <c r="O81" i="4"/>
  <c r="P81" i="4" s="1"/>
  <c r="AE81" i="4"/>
  <c r="AF81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M45" i="4"/>
  <c r="DN45" i="4" s="1"/>
  <c r="DE45" i="4"/>
  <c r="DF45" i="4" s="1"/>
  <c r="CW45" i="4"/>
  <c r="CX45" i="4" s="1"/>
  <c r="CO45" i="4"/>
  <c r="CP45" i="4" s="1"/>
  <c r="CG45" i="4"/>
  <c r="CH45" i="4" s="1"/>
  <c r="DQ45" i="4"/>
  <c r="DR45" i="4" s="1"/>
  <c r="DI45" i="4"/>
  <c r="DJ45" i="4" s="1"/>
  <c r="DA45" i="4"/>
  <c r="DB45" i="4" s="1"/>
  <c r="CS45" i="4"/>
  <c r="CT45" i="4" s="1"/>
  <c r="CK45" i="4"/>
  <c r="CL45" i="4" s="1"/>
  <c r="CC45" i="4"/>
  <c r="CD45" i="4" s="1"/>
  <c r="DG46" i="4"/>
  <c r="DH46" i="4" s="1"/>
  <c r="CM46" i="4"/>
  <c r="CN46" i="4" s="1"/>
  <c r="DE46" i="4"/>
  <c r="DF46" i="4" s="1"/>
  <c r="CK46" i="4"/>
  <c r="CL46" i="4" s="1"/>
  <c r="CU83" i="4"/>
  <c r="CV83" i="4" s="1"/>
  <c r="CW83" i="4"/>
  <c r="CX83" i="4" s="1"/>
  <c r="AS93" i="4"/>
  <c r="AT93" i="4" s="1"/>
  <c r="AC93" i="4"/>
  <c r="AD93" i="4" s="1"/>
  <c r="M93" i="4"/>
  <c r="N93" i="4" s="1"/>
  <c r="AQ93" i="4"/>
  <c r="AR93" i="4" s="1"/>
  <c r="AA93" i="4"/>
  <c r="AB93" i="4" s="1"/>
  <c r="K93" i="4"/>
  <c r="L93" i="4" s="1"/>
  <c r="AG94" i="4"/>
  <c r="AH94" i="4" s="1"/>
  <c r="Q94" i="4"/>
  <c r="R94" i="4" s="1"/>
  <c r="AU94" i="4"/>
  <c r="AV94" i="4" s="1"/>
  <c r="AE94" i="4"/>
  <c r="AF94" i="4" s="1"/>
  <c r="O94" i="4"/>
  <c r="P94" i="4" s="1"/>
  <c r="AS136" i="4"/>
  <c r="AT136" i="4" s="1"/>
  <c r="AC136" i="4"/>
  <c r="AD136" i="4" s="1"/>
  <c r="M136" i="4"/>
  <c r="N136" i="4" s="1"/>
  <c r="AQ136" i="4"/>
  <c r="AR136" i="4" s="1"/>
  <c r="AA136" i="4"/>
  <c r="AB136" i="4" s="1"/>
  <c r="K136" i="4"/>
  <c r="L136" i="4" s="1"/>
  <c r="AU133" i="4"/>
  <c r="AV133" i="4" s="1"/>
  <c r="AS133" i="4"/>
  <c r="AT133" i="4" s="1"/>
  <c r="DM131" i="4"/>
  <c r="DN131" i="4" s="1"/>
  <c r="FG59" i="4"/>
  <c r="FH59" i="4" s="1"/>
  <c r="GA59" i="4"/>
  <c r="GB59" i="4" s="1"/>
  <c r="FA59" i="4"/>
  <c r="FB59" i="4" s="1"/>
  <c r="FY59" i="4"/>
  <c r="FZ59" i="4" s="1"/>
  <c r="AO145" i="4"/>
  <c r="AP145" i="4" s="1"/>
  <c r="J145" i="4"/>
  <c r="W145" i="4"/>
  <c r="X145" i="4" s="1"/>
  <c r="AC111" i="4"/>
  <c r="AD111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ER107" i="4"/>
  <c r="ES107" i="4" s="1"/>
  <c r="CA107" i="4"/>
  <c r="DO79" i="4"/>
  <c r="DP79" i="4" s="1"/>
  <c r="DQ79" i="4"/>
  <c r="DR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Q51" i="4"/>
  <c r="DR51" i="4" s="1"/>
  <c r="DM51" i="4"/>
  <c r="DN51" i="4" s="1"/>
  <c r="DI51" i="4"/>
  <c r="DJ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O51" i="4"/>
  <c r="DP51" i="4" s="1"/>
  <c r="DK51" i="4"/>
  <c r="DL51" i="4" s="1"/>
  <c r="DG51" i="4"/>
  <c r="DH51" i="4" s="1"/>
  <c r="DC51" i="4"/>
  <c r="DD51" i="4" s="1"/>
  <c r="CY51" i="4"/>
  <c r="CZ51" i="4" s="1"/>
  <c r="CU51" i="4"/>
  <c r="CV51" i="4" s="1"/>
  <c r="CQ51" i="4"/>
  <c r="CR51" i="4" s="1"/>
  <c r="CM51" i="4"/>
  <c r="CN51" i="4" s="1"/>
  <c r="CI51" i="4"/>
  <c r="CJ51" i="4" s="1"/>
  <c r="CE51" i="4"/>
  <c r="CF51" i="4" s="1"/>
  <c r="CB5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DO123" i="4"/>
  <c r="DP123" i="4" s="1"/>
  <c r="DK123" i="4"/>
  <c r="DL123" i="4" s="1"/>
  <c r="DG123" i="4"/>
  <c r="DH123" i="4" s="1"/>
  <c r="DC123" i="4"/>
  <c r="DD123" i="4" s="1"/>
  <c r="CY123" i="4"/>
  <c r="CZ123" i="4" s="1"/>
  <c r="CU123" i="4"/>
  <c r="CV123" i="4" s="1"/>
  <c r="CQ123" i="4"/>
  <c r="CR123" i="4" s="1"/>
  <c r="CM123" i="4"/>
  <c r="CN123" i="4" s="1"/>
  <c r="CI123" i="4"/>
  <c r="CJ123" i="4" s="1"/>
  <c r="CE123" i="4"/>
  <c r="CF123" i="4" s="1"/>
  <c r="CB123" i="4"/>
  <c r="DE123" i="4"/>
  <c r="DF123" i="4" s="1"/>
  <c r="CO123" i="4"/>
  <c r="CP123" i="4" s="1"/>
  <c r="DQ123" i="4"/>
  <c r="DR123" i="4" s="1"/>
  <c r="DA123" i="4"/>
  <c r="DB123" i="4" s="1"/>
  <c r="CK123" i="4"/>
  <c r="CL123" i="4" s="1"/>
  <c r="DI123" i="4"/>
  <c r="DJ123" i="4" s="1"/>
  <c r="CS123" i="4"/>
  <c r="CT123" i="4" s="1"/>
  <c r="CC123" i="4"/>
  <c r="CD123" i="4" s="1"/>
  <c r="DM123" i="4"/>
  <c r="DN123" i="4" s="1"/>
  <c r="CW123" i="4"/>
  <c r="CX123" i="4" s="1"/>
  <c r="CG123" i="4"/>
  <c r="CH123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M78" i="4"/>
  <c r="AN78" i="4" s="1"/>
  <c r="W78" i="4"/>
  <c r="X78" i="4" s="1"/>
  <c r="AY78" i="4"/>
  <c r="AZ78" i="4" s="1"/>
  <c r="AI78" i="4"/>
  <c r="AJ78" i="4" s="1"/>
  <c r="S78" i="4"/>
  <c r="T78" i="4" s="1"/>
  <c r="AQ78" i="4"/>
  <c r="AR78" i="4" s="1"/>
  <c r="AA78" i="4"/>
  <c r="AB78" i="4" s="1"/>
  <c r="K78" i="4"/>
  <c r="L78" i="4" s="1"/>
  <c r="AE78" i="4"/>
  <c r="AF78" i="4" s="1"/>
  <c r="O78" i="4"/>
  <c r="P78" i="4" s="1"/>
  <c r="AU78" i="4"/>
  <c r="AV78" i="4" s="1"/>
  <c r="ER48" i="4"/>
  <c r="ES48" i="4" s="1"/>
  <c r="CA48" i="4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ET152" i="4"/>
  <c r="ER18" i="4"/>
  <c r="ES18" i="4" s="1"/>
  <c r="CA18" i="4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C41" i="4"/>
  <c r="GD41" i="4" s="1"/>
  <c r="FU41" i="4"/>
  <c r="FV41" i="4" s="1"/>
  <c r="FQ41" i="4"/>
  <c r="FR41" i="4" s="1"/>
  <c r="FI41" i="4"/>
  <c r="FJ41" i="4" s="1"/>
  <c r="FA41" i="4"/>
  <c r="FB41" i="4" s="1"/>
  <c r="ET41" i="4"/>
  <c r="GG41" i="4"/>
  <c r="GH41" i="4" s="1"/>
  <c r="FY41" i="4"/>
  <c r="FZ41" i="4" s="1"/>
  <c r="FM41" i="4"/>
  <c r="FN41" i="4" s="1"/>
  <c r="FE41" i="4"/>
  <c r="FF41" i="4" s="1"/>
  <c r="EW41" i="4"/>
  <c r="EX41" i="4" s="1"/>
  <c r="DC59" i="4"/>
  <c r="DD59" i="4" s="1"/>
  <c r="CM59" i="4"/>
  <c r="CN59" i="4" s="1"/>
  <c r="K59" i="4"/>
  <c r="L59" i="4" s="1"/>
  <c r="AA59" i="4"/>
  <c r="AB59" i="4" s="1"/>
  <c r="AQ59" i="4"/>
  <c r="AR59" i="4" s="1"/>
  <c r="M59" i="4"/>
  <c r="N59" i="4" s="1"/>
  <c r="AC59" i="4"/>
  <c r="AD59" i="4" s="1"/>
  <c r="AS59" i="4"/>
  <c r="AT59" i="4" s="1"/>
  <c r="FC59" i="4"/>
  <c r="FD59" i="4" s="1"/>
  <c r="FS59" i="4"/>
  <c r="FT59" i="4" s="1"/>
  <c r="GI59" i="4"/>
  <c r="GJ59" i="4" s="1"/>
  <c r="FE59" i="4"/>
  <c r="FF59" i="4" s="1"/>
  <c r="BZ60" i="4"/>
  <c r="ER60" i="4" s="1"/>
  <c r="ES60" i="4" s="1"/>
  <c r="S59" i="4"/>
  <c r="T59" i="4" s="1"/>
  <c r="AI59" i="4"/>
  <c r="AJ59" i="4" s="1"/>
  <c r="AY59" i="4"/>
  <c r="AZ59" i="4" s="1"/>
  <c r="U59" i="4"/>
  <c r="V59" i="4" s="1"/>
  <c r="AK59" i="4"/>
  <c r="AL59" i="4" s="1"/>
  <c r="W59" i="4"/>
  <c r="X59" i="4" s="1"/>
  <c r="AM59" i="4"/>
  <c r="AN59" i="4" s="1"/>
  <c r="J59" i="4"/>
  <c r="Y59" i="4"/>
  <c r="Z59" i="4" s="1"/>
  <c r="CM155" i="4"/>
  <c r="CN155" i="4" s="1"/>
  <c r="AK145" i="4"/>
  <c r="AL145" i="4" s="1"/>
  <c r="U145" i="4"/>
  <c r="V145" i="4" s="1"/>
  <c r="AY145" i="4"/>
  <c r="AZ145" i="4" s="1"/>
  <c r="AI145" i="4"/>
  <c r="AJ145" i="4" s="1"/>
  <c r="S145" i="4"/>
  <c r="T145" i="4" s="1"/>
  <c r="AS145" i="4"/>
  <c r="AT145" i="4" s="1"/>
  <c r="AC145" i="4"/>
  <c r="AD145" i="4" s="1"/>
  <c r="M145" i="4"/>
  <c r="N145" i="4" s="1"/>
  <c r="AQ145" i="4"/>
  <c r="AR145" i="4" s="1"/>
  <c r="AA145" i="4"/>
  <c r="AB145" i="4" s="1"/>
  <c r="K145" i="4"/>
  <c r="L145" i="4" s="1"/>
  <c r="AY144" i="4"/>
  <c r="AZ144" i="4" s="1"/>
  <c r="AQ144" i="4"/>
  <c r="AR144" i="4" s="1"/>
  <c r="AI144" i="4"/>
  <c r="AJ144" i="4" s="1"/>
  <c r="AA144" i="4"/>
  <c r="AB144" i="4" s="1"/>
  <c r="S144" i="4"/>
  <c r="T144" i="4" s="1"/>
  <c r="K144" i="4"/>
  <c r="L144" i="4" s="1"/>
  <c r="AW144" i="4"/>
  <c r="AX144" i="4" s="1"/>
  <c r="AO144" i="4"/>
  <c r="AP144" i="4" s="1"/>
  <c r="AG144" i="4"/>
  <c r="AH144" i="4" s="1"/>
  <c r="Y144" i="4"/>
  <c r="Z144" i="4" s="1"/>
  <c r="Q144" i="4"/>
  <c r="R144" i="4" s="1"/>
  <c r="J144" i="4"/>
  <c r="AM144" i="4"/>
  <c r="AN144" i="4" s="1"/>
  <c r="W144" i="4"/>
  <c r="X144" i="4" s="1"/>
  <c r="AS144" i="4"/>
  <c r="AT144" i="4" s="1"/>
  <c r="AK144" i="4"/>
  <c r="AL144" i="4" s="1"/>
  <c r="AC144" i="4"/>
  <c r="AD144" i="4" s="1"/>
  <c r="U144" i="4"/>
  <c r="V144" i="4" s="1"/>
  <c r="M144" i="4"/>
  <c r="N144" i="4" s="1"/>
  <c r="AU144" i="4"/>
  <c r="AV144" i="4" s="1"/>
  <c r="AE144" i="4"/>
  <c r="AF144" i="4" s="1"/>
  <c r="O144" i="4"/>
  <c r="P144" i="4" s="1"/>
  <c r="AS138" i="4"/>
  <c r="AT138" i="4" s="1"/>
  <c r="AK138" i="4"/>
  <c r="AL138" i="4" s="1"/>
  <c r="AC138" i="4"/>
  <c r="AD138" i="4" s="1"/>
  <c r="U138" i="4"/>
  <c r="V138" i="4" s="1"/>
  <c r="M138" i="4"/>
  <c r="N138" i="4" s="1"/>
  <c r="AM138" i="4"/>
  <c r="AN138" i="4" s="1"/>
  <c r="AE138" i="4"/>
  <c r="AF138" i="4" s="1"/>
  <c r="O138" i="4"/>
  <c r="P138" i="4" s="1"/>
  <c r="AY138" i="4"/>
  <c r="AZ138" i="4" s="1"/>
  <c r="AQ138" i="4"/>
  <c r="AR138" i="4" s="1"/>
  <c r="AI138" i="4"/>
  <c r="AJ138" i="4" s="1"/>
  <c r="AA138" i="4"/>
  <c r="AB138" i="4" s="1"/>
  <c r="S138" i="4"/>
  <c r="T138" i="4" s="1"/>
  <c r="K138" i="4"/>
  <c r="L138" i="4" s="1"/>
  <c r="AW138" i="4"/>
  <c r="AX138" i="4" s="1"/>
  <c r="AO138" i="4"/>
  <c r="AP138" i="4" s="1"/>
  <c r="AG138" i="4"/>
  <c r="AH138" i="4" s="1"/>
  <c r="Y138" i="4"/>
  <c r="Z138" i="4" s="1"/>
  <c r="Q138" i="4"/>
  <c r="R138" i="4" s="1"/>
  <c r="J138" i="4"/>
  <c r="AU138" i="4"/>
  <c r="AV138" i="4" s="1"/>
  <c r="W138" i="4"/>
  <c r="X138" i="4" s="1"/>
  <c r="AQ133" i="4"/>
  <c r="AR133" i="4" s="1"/>
  <c r="AW133" i="4"/>
  <c r="AX133" i="4" s="1"/>
  <c r="AG133" i="4"/>
  <c r="AH133" i="4" s="1"/>
  <c r="AY133" i="4"/>
  <c r="AZ133" i="4" s="1"/>
  <c r="K133" i="4"/>
  <c r="L133" i="4" s="1"/>
  <c r="O133" i="4"/>
  <c r="P133" i="4" s="1"/>
  <c r="AA133" i="4"/>
  <c r="AB133" i="4" s="1"/>
  <c r="S133" i="4"/>
  <c r="T133" i="4" s="1"/>
  <c r="M133" i="4"/>
  <c r="N133" i="4" s="1"/>
  <c r="J133" i="4"/>
  <c r="W133" i="4"/>
  <c r="X133" i="4" s="1"/>
  <c r="AI133" i="4"/>
  <c r="AJ133" i="4" s="1"/>
  <c r="AO133" i="4"/>
  <c r="AP133" i="4" s="1"/>
  <c r="Y133" i="4"/>
  <c r="Z133" i="4" s="1"/>
  <c r="ER133" i="4"/>
  <c r="ES133" i="4" s="1"/>
  <c r="CA133" i="4"/>
  <c r="DQ131" i="4"/>
  <c r="DR131" i="4" s="1"/>
  <c r="CW131" i="4"/>
  <c r="CX131" i="4" s="1"/>
  <c r="CQ131" i="4"/>
  <c r="CR131" i="4" s="1"/>
  <c r="CM131" i="4"/>
  <c r="CN131" i="4" s="1"/>
  <c r="CI131" i="4"/>
  <c r="CJ131" i="4" s="1"/>
  <c r="CE131" i="4"/>
  <c r="CF131" i="4" s="1"/>
  <c r="CB131" i="4"/>
  <c r="CO131" i="4"/>
  <c r="CP131" i="4" s="1"/>
  <c r="CK131" i="4"/>
  <c r="CL131" i="4" s="1"/>
  <c r="CG131" i="4"/>
  <c r="CH131" i="4" s="1"/>
  <c r="CS131" i="4"/>
  <c r="CT131" i="4" s="1"/>
  <c r="CC131" i="4"/>
  <c r="CD131" i="4" s="1"/>
  <c r="AY119" i="4"/>
  <c r="AZ119" i="4" s="1"/>
  <c r="AQ119" i="4"/>
  <c r="AR119" i="4" s="1"/>
  <c r="AI119" i="4"/>
  <c r="AJ119" i="4" s="1"/>
  <c r="AA119" i="4"/>
  <c r="AB119" i="4" s="1"/>
  <c r="S119" i="4"/>
  <c r="T119" i="4" s="1"/>
  <c r="K119" i="4"/>
  <c r="L119" i="4" s="1"/>
  <c r="AM119" i="4"/>
  <c r="AN119" i="4" s="1"/>
  <c r="W119" i="4"/>
  <c r="X119" i="4" s="1"/>
  <c r="AW119" i="4"/>
  <c r="AX119" i="4" s="1"/>
  <c r="AO119" i="4"/>
  <c r="AP119" i="4" s="1"/>
  <c r="AG119" i="4"/>
  <c r="AH119" i="4" s="1"/>
  <c r="Y119" i="4"/>
  <c r="Z119" i="4" s="1"/>
  <c r="Q119" i="4"/>
  <c r="R119" i="4" s="1"/>
  <c r="J119" i="4"/>
  <c r="AS119" i="4"/>
  <c r="AT119" i="4" s="1"/>
  <c r="AK119" i="4"/>
  <c r="AL119" i="4" s="1"/>
  <c r="AC119" i="4"/>
  <c r="AD119" i="4" s="1"/>
  <c r="U119" i="4"/>
  <c r="V119" i="4" s="1"/>
  <c r="M119" i="4"/>
  <c r="N119" i="4" s="1"/>
  <c r="AU119" i="4"/>
  <c r="AV119" i="4" s="1"/>
  <c r="AE119" i="4"/>
  <c r="AF119" i="4" s="1"/>
  <c r="O119" i="4"/>
  <c r="P119" i="4" s="1"/>
  <c r="AS23" i="4"/>
  <c r="AT23" i="4" s="1"/>
  <c r="AU111" i="4"/>
  <c r="AV111" i="4" s="1"/>
  <c r="AE111" i="4"/>
  <c r="AF111" i="4" s="1"/>
  <c r="O111" i="4"/>
  <c r="P111" i="4" s="1"/>
  <c r="AK111" i="4"/>
  <c r="AL111" i="4" s="1"/>
  <c r="U111" i="4"/>
  <c r="V111" i="4" s="1"/>
  <c r="AO111" i="4"/>
  <c r="AP111" i="4" s="1"/>
  <c r="AQ111" i="4"/>
  <c r="AR111" i="4" s="1"/>
  <c r="AA111" i="4"/>
  <c r="AB111" i="4" s="1"/>
  <c r="K111" i="4"/>
  <c r="L111" i="4" s="1"/>
  <c r="AW111" i="4"/>
  <c r="AX111" i="4" s="1"/>
  <c r="AG111" i="4"/>
  <c r="AH111" i="4" s="1"/>
  <c r="Q111" i="4"/>
  <c r="R111" i="4" s="1"/>
  <c r="AI111" i="4"/>
  <c r="AJ111" i="4" s="1"/>
  <c r="S111" i="4"/>
  <c r="T111" i="4" s="1"/>
  <c r="Y111" i="4"/>
  <c r="Z111" i="4" s="1"/>
  <c r="J111" i="4"/>
  <c r="ER111" i="4"/>
  <c r="ES111" i="4" s="1"/>
  <c r="CA111" i="4"/>
  <c r="AY96" i="4"/>
  <c r="AZ96" i="4" s="1"/>
  <c r="AS96" i="4"/>
  <c r="AT96" i="4" s="1"/>
  <c r="AC96" i="4"/>
  <c r="AD96" i="4" s="1"/>
  <c r="M96" i="4"/>
  <c r="N96" i="4" s="1"/>
  <c r="U96" i="4"/>
  <c r="V96" i="4" s="1"/>
  <c r="AO96" i="4"/>
  <c r="AP96" i="4" s="1"/>
  <c r="Y96" i="4"/>
  <c r="Z96" i="4" s="1"/>
  <c r="J96" i="4"/>
  <c r="AK96" i="4"/>
  <c r="AL96" i="4" s="1"/>
  <c r="AW96" i="4"/>
  <c r="AX96" i="4" s="1"/>
  <c r="AG96" i="4"/>
  <c r="AH96" i="4" s="1"/>
  <c r="Q96" i="4"/>
  <c r="R96" i="4" s="1"/>
  <c r="CA96" i="4"/>
  <c r="ER96" i="4"/>
  <c r="ES96" i="4" s="1"/>
  <c r="AY22" i="4"/>
  <c r="AZ22" i="4" s="1"/>
  <c r="Y22" i="4"/>
  <c r="Z22" i="4" s="1"/>
  <c r="AO22" i="4"/>
  <c r="AP22" i="4" s="1"/>
  <c r="S22" i="4"/>
  <c r="T22" i="4" s="1"/>
  <c r="AY84" i="4"/>
  <c r="AZ84" i="4" s="1"/>
  <c r="AS84" i="4"/>
  <c r="AT84" i="4" s="1"/>
  <c r="AK84" i="4"/>
  <c r="AL84" i="4" s="1"/>
  <c r="AC84" i="4"/>
  <c r="AD84" i="4" s="1"/>
  <c r="U84" i="4"/>
  <c r="V84" i="4" s="1"/>
  <c r="M84" i="4"/>
  <c r="N84" i="4" s="1"/>
  <c r="AG84" i="4"/>
  <c r="AH84" i="4" s="1"/>
  <c r="J84" i="4"/>
  <c r="AQ84" i="4"/>
  <c r="AR84" i="4" s="1"/>
  <c r="AI84" i="4"/>
  <c r="AJ84" i="4" s="1"/>
  <c r="AA84" i="4"/>
  <c r="AB84" i="4" s="1"/>
  <c r="S84" i="4"/>
  <c r="T84" i="4" s="1"/>
  <c r="K84" i="4"/>
  <c r="L84" i="4" s="1"/>
  <c r="AW84" i="4"/>
  <c r="AX84" i="4" s="1"/>
  <c r="Q84" i="4"/>
  <c r="R84" i="4" s="1"/>
  <c r="AU84" i="4"/>
  <c r="AV84" i="4" s="1"/>
  <c r="AM84" i="4"/>
  <c r="AN84" i="4" s="1"/>
  <c r="AE84" i="4"/>
  <c r="AF84" i="4" s="1"/>
  <c r="W84" i="4"/>
  <c r="X84" i="4" s="1"/>
  <c r="O84" i="4"/>
  <c r="P84" i="4" s="1"/>
  <c r="AO84" i="4"/>
  <c r="AP84" i="4" s="1"/>
  <c r="Y84" i="4"/>
  <c r="Z84" i="4" s="1"/>
  <c r="CY83" i="4"/>
  <c r="CZ83" i="4" s="1"/>
  <c r="CI83" i="4"/>
  <c r="CJ83" i="4" s="1"/>
  <c r="DQ83" i="4"/>
  <c r="DR83" i="4" s="1"/>
  <c r="DA83" i="4"/>
  <c r="DB83" i="4" s="1"/>
  <c r="CK83" i="4"/>
  <c r="CL83" i="4" s="1"/>
  <c r="DG83" i="4"/>
  <c r="DH83" i="4" s="1"/>
  <c r="CQ83" i="4"/>
  <c r="CR83" i="4" s="1"/>
  <c r="CB83" i="4"/>
  <c r="DI83" i="4"/>
  <c r="DJ83" i="4" s="1"/>
  <c r="CS83" i="4"/>
  <c r="CT83" i="4" s="1"/>
  <c r="CC83" i="4"/>
  <c r="CD83" i="4" s="1"/>
  <c r="DC83" i="4"/>
  <c r="DD83" i="4" s="1"/>
  <c r="CM83" i="4"/>
  <c r="CN83" i="4" s="1"/>
  <c r="DE83" i="4"/>
  <c r="DF83" i="4" s="1"/>
  <c r="CO83" i="4"/>
  <c r="CP83" i="4" s="1"/>
  <c r="CY46" i="4"/>
  <c r="CZ46" i="4" s="1"/>
  <c r="CI46" i="4"/>
  <c r="CJ46" i="4" s="1"/>
  <c r="DI46" i="4"/>
  <c r="DJ46" i="4" s="1"/>
  <c r="CS46" i="4"/>
  <c r="CT46" i="4" s="1"/>
  <c r="CC46" i="4"/>
  <c r="CD46" i="4" s="1"/>
  <c r="CC155" i="4"/>
  <c r="CD155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CA154" i="4"/>
  <c r="ER154" i="4"/>
  <c r="ES154" i="4" s="1"/>
  <c r="CA147" i="4"/>
  <c r="ER147" i="4"/>
  <c r="ES147" i="4" s="1"/>
  <c r="AY147" i="4"/>
  <c r="AZ147" i="4" s="1"/>
  <c r="AU147" i="4"/>
  <c r="AV147" i="4" s="1"/>
  <c r="AQ147" i="4"/>
  <c r="AR147" i="4" s="1"/>
  <c r="AM147" i="4"/>
  <c r="AN147" i="4" s="1"/>
  <c r="AI147" i="4"/>
  <c r="AJ147" i="4" s="1"/>
  <c r="AE147" i="4"/>
  <c r="AF147" i="4" s="1"/>
  <c r="AA147" i="4"/>
  <c r="AB147" i="4" s="1"/>
  <c r="W147" i="4"/>
  <c r="X147" i="4" s="1"/>
  <c r="S147" i="4"/>
  <c r="T147" i="4" s="1"/>
  <c r="O147" i="4"/>
  <c r="P147" i="4" s="1"/>
  <c r="K147" i="4"/>
  <c r="L147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C23" i="4"/>
  <c r="AD23" i="4" s="1"/>
  <c r="ER125" i="4"/>
  <c r="ES125" i="4" s="1"/>
  <c r="CA125" i="4"/>
  <c r="AW87" i="4"/>
  <c r="AX87" i="4" s="1"/>
  <c r="AS87" i="4"/>
  <c r="AT87" i="4" s="1"/>
  <c r="AO87" i="4"/>
  <c r="AP87" i="4" s="1"/>
  <c r="AK87" i="4"/>
  <c r="AL87" i="4" s="1"/>
  <c r="AG87" i="4"/>
  <c r="AH87" i="4" s="1"/>
  <c r="AC87" i="4"/>
  <c r="AD87" i="4" s="1"/>
  <c r="Y87" i="4"/>
  <c r="Z87" i="4" s="1"/>
  <c r="U87" i="4"/>
  <c r="V87" i="4" s="1"/>
  <c r="Q87" i="4"/>
  <c r="R87" i="4" s="1"/>
  <c r="M87" i="4"/>
  <c r="N87" i="4" s="1"/>
  <c r="J87" i="4"/>
  <c r="AY87" i="4"/>
  <c r="AZ87" i="4" s="1"/>
  <c r="AU87" i="4"/>
  <c r="AV87" i="4" s="1"/>
  <c r="AQ87" i="4"/>
  <c r="AR87" i="4" s="1"/>
  <c r="AM87" i="4"/>
  <c r="AN87" i="4" s="1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 s="1"/>
  <c r="K87" i="4"/>
  <c r="L87" i="4" s="1"/>
  <c r="CA87" i="4"/>
  <c r="ER87" i="4"/>
  <c r="ES87" i="4" s="1"/>
  <c r="AY53" i="4"/>
  <c r="AZ53" i="4" s="1"/>
  <c r="AU53" i="4"/>
  <c r="AV53" i="4" s="1"/>
  <c r="AQ53" i="4"/>
  <c r="AR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AW53" i="4"/>
  <c r="AX53" i="4" s="1"/>
  <c r="AK53" i="4"/>
  <c r="AL53" i="4" s="1"/>
  <c r="Q53" i="4"/>
  <c r="R53" i="4" s="1"/>
  <c r="AO53" i="4"/>
  <c r="AP53" i="4" s="1"/>
  <c r="AG53" i="4"/>
  <c r="AH53" i="4" s="1"/>
  <c r="Y53" i="4"/>
  <c r="Z53" i="4" s="1"/>
  <c r="J53" i="4"/>
  <c r="AS53" i="4"/>
  <c r="AT53" i="4" s="1"/>
  <c r="AC53" i="4"/>
  <c r="AD53" i="4" s="1"/>
  <c r="U53" i="4"/>
  <c r="V53" i="4" s="1"/>
  <c r="M53" i="4"/>
  <c r="N53" i="4" s="1"/>
  <c r="CA53" i="4"/>
  <c r="ER53" i="4"/>
  <c r="ES53" i="4" s="1"/>
  <c r="DI155" i="4"/>
  <c r="DJ155" i="4" s="1"/>
  <c r="AY153" i="4"/>
  <c r="AZ153" i="4" s="1"/>
  <c r="AU153" i="4"/>
  <c r="AV153" i="4" s="1"/>
  <c r="AQ153" i="4"/>
  <c r="AR153" i="4" s="1"/>
  <c r="AM153" i="4"/>
  <c r="AN153" i="4" s="1"/>
  <c r="AI153" i="4"/>
  <c r="AJ153" i="4" s="1"/>
  <c r="AE153" i="4"/>
  <c r="AF153" i="4" s="1"/>
  <c r="AA153" i="4"/>
  <c r="AB153" i="4" s="1"/>
  <c r="W153" i="4"/>
  <c r="X153" i="4" s="1"/>
  <c r="S153" i="4"/>
  <c r="T153" i="4" s="1"/>
  <c r="O153" i="4"/>
  <c r="P153" i="4" s="1"/>
  <c r="K153" i="4"/>
  <c r="L153" i="4" s="1"/>
  <c r="AW153" i="4"/>
  <c r="AX153" i="4" s="1"/>
  <c r="AS153" i="4"/>
  <c r="AT153" i="4" s="1"/>
  <c r="AO153" i="4"/>
  <c r="AP153" i="4" s="1"/>
  <c r="AK153" i="4"/>
  <c r="AL153" i="4" s="1"/>
  <c r="AG153" i="4"/>
  <c r="AH153" i="4" s="1"/>
  <c r="AC153" i="4"/>
  <c r="AD153" i="4" s="1"/>
  <c r="Y153" i="4"/>
  <c r="Z153" i="4" s="1"/>
  <c r="U153" i="4"/>
  <c r="V153" i="4" s="1"/>
  <c r="Q153" i="4"/>
  <c r="R153" i="4" s="1"/>
  <c r="M153" i="4"/>
  <c r="N153" i="4" s="1"/>
  <c r="J153" i="4"/>
  <c r="CA153" i="4"/>
  <c r="ER153" i="4"/>
  <c r="ES153" i="4" s="1"/>
  <c r="ER146" i="4"/>
  <c r="ES146" i="4" s="1"/>
  <c r="CA146" i="4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 s="1"/>
  <c r="FC145" i="4"/>
  <c r="FD145" i="4" s="1"/>
  <c r="EY145" i="4"/>
  <c r="EZ145" i="4" s="1"/>
  <c r="EU145" i="4"/>
  <c r="E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CW145" i="4"/>
  <c r="CX145" i="4" s="1"/>
  <c r="CS145" i="4"/>
  <c r="CT145" i="4" s="1"/>
  <c r="CO145" i="4"/>
  <c r="CP145" i="4" s="1"/>
  <c r="CK145" i="4"/>
  <c r="CL145" i="4" s="1"/>
  <c r="CG145" i="4"/>
  <c r="CH145" i="4" s="1"/>
  <c r="CC145" i="4"/>
  <c r="CD145" i="4" s="1"/>
  <c r="DO145" i="4"/>
  <c r="DP145" i="4" s="1"/>
  <c r="DK145" i="4"/>
  <c r="DL145" i="4" s="1"/>
  <c r="DG145" i="4"/>
  <c r="DH145" i="4" s="1"/>
  <c r="DC145" i="4"/>
  <c r="DD145" i="4" s="1"/>
  <c r="CY145" i="4"/>
  <c r="CZ145" i="4" s="1"/>
  <c r="CU145" i="4"/>
  <c r="CV145" i="4" s="1"/>
  <c r="CQ145" i="4"/>
  <c r="CR145" i="4" s="1"/>
  <c r="CM145" i="4"/>
  <c r="CN145" i="4" s="1"/>
  <c r="CI145" i="4"/>
  <c r="CJ145" i="4" s="1"/>
  <c r="CE145" i="4"/>
  <c r="CF145" i="4" s="1"/>
  <c r="CB145" i="4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DQ144" i="4"/>
  <c r="DR144" i="4" s="1"/>
  <c r="DE144" i="4"/>
  <c r="DF144" i="4" s="1"/>
  <c r="CO144" i="4"/>
  <c r="CP144" i="4" s="1"/>
  <c r="DM144" i="4"/>
  <c r="DN144" i="4" s="1"/>
  <c r="CW144" i="4"/>
  <c r="CX144" i="4" s="1"/>
  <c r="CK144" i="4"/>
  <c r="CL144" i="4" s="1"/>
  <c r="CC144" i="4"/>
  <c r="CD144" i="4" s="1"/>
  <c r="DI144" i="4"/>
  <c r="DJ144" i="4" s="1"/>
  <c r="DA144" i="4"/>
  <c r="DB144" i="4" s="1"/>
  <c r="CS144" i="4"/>
  <c r="CT144" i="4" s="1"/>
  <c r="CG144" i="4"/>
  <c r="CH144" i="4" s="1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FQ144" i="4"/>
  <c r="FR144" i="4" s="1"/>
  <c r="FA144" i="4"/>
  <c r="FB144" i="4" s="1"/>
  <c r="GG144" i="4"/>
  <c r="GH144" i="4" s="1"/>
  <c r="FY144" i="4"/>
  <c r="FZ144" i="4" s="1"/>
  <c r="FM144" i="4"/>
  <c r="FN144" i="4" s="1"/>
  <c r="EW144" i="4"/>
  <c r="EX144" i="4" s="1"/>
  <c r="GC144" i="4"/>
  <c r="GD144" i="4" s="1"/>
  <c r="FU144" i="4"/>
  <c r="FV144" i="4" s="1"/>
  <c r="FI144" i="4"/>
  <c r="FJ144" i="4" s="1"/>
  <c r="FE144" i="4"/>
  <c r="FF144" i="4" s="1"/>
  <c r="ET144" i="4"/>
  <c r="DQ155" i="4"/>
  <c r="DR155" i="4" s="1"/>
  <c r="DM155" i="4"/>
  <c r="DN155" i="4" s="1"/>
  <c r="CG155" i="4"/>
  <c r="CH155" i="4" s="1"/>
  <c r="DE155" i="4"/>
  <c r="DF155" i="4" s="1"/>
  <c r="CB155" i="4"/>
  <c r="CQ155" i="4"/>
  <c r="CR155" i="4" s="1"/>
  <c r="DG155" i="4"/>
  <c r="DH155" i="4" s="1"/>
  <c r="DA155" i="4"/>
  <c r="DB155" i="4" s="1"/>
  <c r="I155" i="4"/>
  <c r="AM155" i="4" s="1"/>
  <c r="AN155" i="4" s="1"/>
  <c r="CE155" i="4"/>
  <c r="CF155" i="4" s="1"/>
  <c r="CU155" i="4"/>
  <c r="CV155" i="4" s="1"/>
  <c r="DK155" i="4"/>
  <c r="DL155" i="4" s="1"/>
  <c r="CS155" i="4"/>
  <c r="CT155" i="4" s="1"/>
  <c r="CW155" i="4"/>
  <c r="CX155" i="4" s="1"/>
  <c r="ER155" i="4"/>
  <c r="ES155" i="4" s="1"/>
  <c r="GA155" i="4" s="1"/>
  <c r="GB155" i="4" s="1"/>
  <c r="CI155" i="4"/>
  <c r="CJ155" i="4" s="1"/>
  <c r="CY155" i="4"/>
  <c r="CZ155" i="4" s="1"/>
  <c r="DO155" i="4"/>
  <c r="DP155" i="4" s="1"/>
  <c r="CK155" i="4"/>
  <c r="CL155" i="4" s="1"/>
  <c r="CO155" i="4"/>
  <c r="CP155" i="4" s="1"/>
  <c r="I143" i="4"/>
  <c r="BZ143" i="4"/>
  <c r="BZ148" i="4"/>
  <c r="I148" i="4"/>
  <c r="AY25" i="4"/>
  <c r="AZ25" i="4" s="1"/>
  <c r="AU25" i="4"/>
  <c r="AV25" i="4" s="1"/>
  <c r="AM25" i="4"/>
  <c r="AN25" i="4" s="1"/>
  <c r="AE25" i="4"/>
  <c r="AF25" i="4" s="1"/>
  <c r="S25" i="4"/>
  <c r="T25" i="4" s="1"/>
  <c r="K25" i="4"/>
  <c r="L25" i="4" s="1"/>
  <c r="AO25" i="4"/>
  <c r="AP25" i="4" s="1"/>
  <c r="AG25" i="4"/>
  <c r="AH25" i="4" s="1"/>
  <c r="U25" i="4"/>
  <c r="V25" i="4" s="1"/>
  <c r="J25" i="4"/>
  <c r="AS25" i="4"/>
  <c r="AT25" i="4" s="1"/>
  <c r="AC25" i="4"/>
  <c r="AD25" i="4" s="1"/>
  <c r="Q25" i="4"/>
  <c r="R25" i="4" s="1"/>
  <c r="AQ25" i="4"/>
  <c r="AR25" i="4" s="1"/>
  <c r="AI25" i="4"/>
  <c r="AJ25" i="4" s="1"/>
  <c r="AA25" i="4"/>
  <c r="AB25" i="4" s="1"/>
  <c r="W25" i="4"/>
  <c r="X25" i="4" s="1"/>
  <c r="O25" i="4"/>
  <c r="P25" i="4" s="1"/>
  <c r="AW25" i="4"/>
  <c r="AX25" i="4" s="1"/>
  <c r="AK25" i="4"/>
  <c r="AL25" i="4" s="1"/>
  <c r="Y25" i="4"/>
  <c r="Z25" i="4" s="1"/>
  <c r="M25" i="4"/>
  <c r="N25" i="4" s="1"/>
  <c r="ER25" i="4"/>
  <c r="ES25" i="4" s="1"/>
  <c r="CA25" i="4"/>
  <c r="GI151" i="4"/>
  <c r="GJ151" i="4" s="1"/>
  <c r="GE151" i="4"/>
  <c r="GF151" i="4" s="1"/>
  <c r="GA151" i="4"/>
  <c r="GB151" i="4" s="1"/>
  <c r="FW151" i="4"/>
  <c r="FX151" i="4" s="1"/>
  <c r="FS151" i="4"/>
  <c r="FT151" i="4" s="1"/>
  <c r="FO151" i="4"/>
  <c r="FP151" i="4" s="1"/>
  <c r="FK151" i="4"/>
  <c r="FL151" i="4" s="1"/>
  <c r="FG151" i="4"/>
  <c r="FH151" i="4" s="1"/>
  <c r="FC151" i="4"/>
  <c r="FD151" i="4" s="1"/>
  <c r="EY151" i="4"/>
  <c r="EZ151" i="4" s="1"/>
  <c r="EU151" i="4"/>
  <c r="EV151" i="4" s="1"/>
  <c r="GC151" i="4"/>
  <c r="GD151" i="4" s="1"/>
  <c r="FU151" i="4"/>
  <c r="FV151" i="4" s="1"/>
  <c r="FM151" i="4"/>
  <c r="FN151" i="4" s="1"/>
  <c r="FE151" i="4"/>
  <c r="FF151" i="4" s="1"/>
  <c r="EW151" i="4"/>
  <c r="EX151" i="4" s="1"/>
  <c r="GG151" i="4"/>
  <c r="GH151" i="4" s="1"/>
  <c r="FQ151" i="4"/>
  <c r="FR151" i="4" s="1"/>
  <c r="FA151" i="4"/>
  <c r="FB151" i="4" s="1"/>
  <c r="FY151" i="4"/>
  <c r="FZ151" i="4" s="1"/>
  <c r="FI151" i="4"/>
  <c r="FJ151" i="4" s="1"/>
  <c r="ET151" i="4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AS151" i="4"/>
  <c r="AT151" i="4" s="1"/>
  <c r="AK151" i="4"/>
  <c r="AL151" i="4" s="1"/>
  <c r="AC151" i="4"/>
  <c r="AD151" i="4" s="1"/>
  <c r="U151" i="4"/>
  <c r="V151" i="4" s="1"/>
  <c r="M151" i="4"/>
  <c r="N151" i="4" s="1"/>
  <c r="AW151" i="4"/>
  <c r="AX151" i="4" s="1"/>
  <c r="AG151" i="4"/>
  <c r="AH151" i="4" s="1"/>
  <c r="Q151" i="4"/>
  <c r="R151" i="4" s="1"/>
  <c r="AO151" i="4"/>
  <c r="AP151" i="4" s="1"/>
  <c r="Y151" i="4"/>
  <c r="Z151" i="4" s="1"/>
  <c r="J151" i="4"/>
  <c r="ER26" i="4"/>
  <c r="ES26" i="4" s="1"/>
  <c r="CA26" i="4"/>
  <c r="GI155" i="4"/>
  <c r="GJ155" i="4" s="1"/>
  <c r="AY26" i="4"/>
  <c r="AZ26" i="4" s="1"/>
  <c r="AU26" i="4"/>
  <c r="AV26" i="4" s="1"/>
  <c r="AQ26" i="4"/>
  <c r="AR26" i="4" s="1"/>
  <c r="AM26" i="4"/>
  <c r="AN26" i="4" s="1"/>
  <c r="AI26" i="4"/>
  <c r="AJ26" i="4" s="1"/>
  <c r="AE26" i="4"/>
  <c r="AF26" i="4" s="1"/>
  <c r="AA26" i="4"/>
  <c r="AB26" i="4" s="1"/>
  <c r="W26" i="4"/>
  <c r="X26" i="4" s="1"/>
  <c r="S26" i="4"/>
  <c r="T26" i="4" s="1"/>
  <c r="O26" i="4"/>
  <c r="P26" i="4" s="1"/>
  <c r="K26" i="4"/>
  <c r="L26" i="4" s="1"/>
  <c r="AS26" i="4"/>
  <c r="AT26" i="4" s="1"/>
  <c r="AC26" i="4"/>
  <c r="AD26" i="4" s="1"/>
  <c r="M26" i="4"/>
  <c r="N26" i="4" s="1"/>
  <c r="AO26" i="4"/>
  <c r="AP26" i="4" s="1"/>
  <c r="AK26" i="4"/>
  <c r="AL26" i="4" s="1"/>
  <c r="AW26" i="4"/>
  <c r="AX26" i="4" s="1"/>
  <c r="AG26" i="4"/>
  <c r="AH26" i="4" s="1"/>
  <c r="Q26" i="4"/>
  <c r="R26" i="4" s="1"/>
  <c r="Y26" i="4"/>
  <c r="Z26" i="4" s="1"/>
  <c r="J26" i="4"/>
  <c r="U26" i="4"/>
  <c r="V26" i="4" s="1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G57" i="4"/>
  <c r="GH57" i="4" s="1"/>
  <c r="GC57" i="4"/>
  <c r="GD57" i="4" s="1"/>
  <c r="FY57" i="4"/>
  <c r="FZ57" i="4" s="1"/>
  <c r="FU57" i="4"/>
  <c r="FV57" i="4" s="1"/>
  <c r="FQ57" i="4"/>
  <c r="FR57" i="4" s="1"/>
  <c r="FM57" i="4"/>
  <c r="FN57" i="4" s="1"/>
  <c r="FI57" i="4"/>
  <c r="FJ57" i="4" s="1"/>
  <c r="FE57" i="4"/>
  <c r="FF57" i="4" s="1"/>
  <c r="FA57" i="4"/>
  <c r="FB57" i="4" s="1"/>
  <c r="EW57" i="4"/>
  <c r="EX57" i="4" s="1"/>
  <c r="ET57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S57" i="4"/>
  <c r="AT57" i="4" s="1"/>
  <c r="AW57" i="4"/>
  <c r="AX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C57" i="4"/>
  <c r="CD57" i="4" s="1"/>
  <c r="CG57" i="4"/>
  <c r="CH57" i="4" s="1"/>
  <c r="AY20" i="4"/>
  <c r="AZ20" i="4" s="1"/>
  <c r="AU20" i="4"/>
  <c r="AV20" i="4" s="1"/>
  <c r="AQ20" i="4"/>
  <c r="AR20" i="4" s="1"/>
  <c r="AM20" i="4"/>
  <c r="AN20" i="4" s="1"/>
  <c r="AI20" i="4"/>
  <c r="AJ20" i="4" s="1"/>
  <c r="AE20" i="4"/>
  <c r="AF20" i="4" s="1"/>
  <c r="AA20" i="4"/>
  <c r="AB20" i="4" s="1"/>
  <c r="W20" i="4"/>
  <c r="X20" i="4" s="1"/>
  <c r="S20" i="4"/>
  <c r="T20" i="4" s="1"/>
  <c r="O20" i="4"/>
  <c r="P20" i="4" s="1"/>
  <c r="K20" i="4"/>
  <c r="L20" i="4" s="1"/>
  <c r="AW20" i="4"/>
  <c r="AX20" i="4" s="1"/>
  <c r="AS20" i="4"/>
  <c r="AT20" i="4" s="1"/>
  <c r="AO20" i="4"/>
  <c r="AP20" i="4" s="1"/>
  <c r="AK20" i="4"/>
  <c r="AL20" i="4" s="1"/>
  <c r="AG20" i="4"/>
  <c r="AH20" i="4" s="1"/>
  <c r="AC20" i="4"/>
  <c r="AD20" i="4" s="1"/>
  <c r="Y20" i="4"/>
  <c r="Z20" i="4" s="1"/>
  <c r="U20" i="4"/>
  <c r="V20" i="4" s="1"/>
  <c r="Q20" i="4"/>
  <c r="R20" i="4" s="1"/>
  <c r="M20" i="4"/>
  <c r="N20" i="4" s="1"/>
  <c r="J20" i="4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AQ60" i="4"/>
  <c r="AR60" i="4" s="1"/>
  <c r="AA60" i="4"/>
  <c r="AB60" i="4" s="1"/>
  <c r="K60" i="4"/>
  <c r="L60" i="4" s="1"/>
  <c r="AM60" i="4"/>
  <c r="AN60" i="4" s="1"/>
  <c r="W60" i="4"/>
  <c r="X60" i="4" s="1"/>
  <c r="AY60" i="4"/>
  <c r="AZ60" i="4" s="1"/>
  <c r="AI60" i="4"/>
  <c r="AJ60" i="4" s="1"/>
  <c r="S60" i="4"/>
  <c r="T60" i="4" s="1"/>
  <c r="AU60" i="4"/>
  <c r="AV60" i="4" s="1"/>
  <c r="AE60" i="4"/>
  <c r="AF60" i="4" s="1"/>
  <c r="O60" i="4"/>
  <c r="P60" i="4" s="1"/>
  <c r="ER20" i="4"/>
  <c r="ES20" i="4" s="1"/>
  <c r="CA20" i="4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O137" i="4"/>
  <c r="DP137" i="4" s="1"/>
  <c r="DK137" i="4"/>
  <c r="DL137" i="4" s="1"/>
  <c r="DG137" i="4"/>
  <c r="DH137" i="4" s="1"/>
  <c r="DC137" i="4"/>
  <c r="DD137" i="4" s="1"/>
  <c r="CY137" i="4"/>
  <c r="CZ137" i="4" s="1"/>
  <c r="CU137" i="4"/>
  <c r="CV137" i="4" s="1"/>
  <c r="CQ137" i="4"/>
  <c r="CR137" i="4" s="1"/>
  <c r="CM137" i="4"/>
  <c r="CN137" i="4" s="1"/>
  <c r="CI137" i="4"/>
  <c r="CJ137" i="4" s="1"/>
  <c r="CE137" i="4"/>
  <c r="CF137" i="4" s="1"/>
  <c r="CB137" i="4"/>
  <c r="DI137" i="4"/>
  <c r="DJ137" i="4" s="1"/>
  <c r="CW137" i="4"/>
  <c r="CX137" i="4" s="1"/>
  <c r="CG137" i="4"/>
  <c r="CH137" i="4" s="1"/>
  <c r="DQ137" i="4"/>
  <c r="DR137" i="4" s="1"/>
  <c r="DE137" i="4"/>
  <c r="DF137" i="4" s="1"/>
  <c r="CS137" i="4"/>
  <c r="CT137" i="4" s="1"/>
  <c r="CK137" i="4"/>
  <c r="CL137" i="4" s="1"/>
  <c r="DM137" i="4"/>
  <c r="DN137" i="4" s="1"/>
  <c r="DA137" i="4"/>
  <c r="DB137" i="4" s="1"/>
  <c r="CO137" i="4"/>
  <c r="CP137" i="4" s="1"/>
  <c r="CC137" i="4"/>
  <c r="CD137" i="4" s="1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FQ137" i="4"/>
  <c r="FR137" i="4" s="1"/>
  <c r="FA137" i="4"/>
  <c r="FB137" i="4" s="1"/>
  <c r="GG137" i="4"/>
  <c r="GH137" i="4" s="1"/>
  <c r="FU137" i="4"/>
  <c r="FV137" i="4" s="1"/>
  <c r="FI137" i="4"/>
  <c r="FJ137" i="4" s="1"/>
  <c r="EW137" i="4"/>
  <c r="EX137" i="4" s="1"/>
  <c r="GC137" i="4"/>
  <c r="GD137" i="4" s="1"/>
  <c r="FY137" i="4"/>
  <c r="FZ137" i="4" s="1"/>
  <c r="FM137" i="4"/>
  <c r="FN137" i="4" s="1"/>
  <c r="FE137" i="4"/>
  <c r="FF137" i="4" s="1"/>
  <c r="ET137" i="4"/>
  <c r="I140" i="4"/>
  <c r="AO140" i="4" s="1"/>
  <c r="AP140" i="4" s="1"/>
  <c r="ER135" i="4"/>
  <c r="ES135" i="4" s="1"/>
  <c r="CA135" i="4"/>
  <c r="FU136" i="4"/>
  <c r="FV136" i="4" s="1"/>
  <c r="FE136" i="4"/>
  <c r="FF136" i="4" s="1"/>
  <c r="GI136" i="4"/>
  <c r="GJ136" i="4" s="1"/>
  <c r="FS136" i="4"/>
  <c r="FT136" i="4" s="1"/>
  <c r="FC136" i="4"/>
  <c r="FD136" i="4" s="1"/>
  <c r="DQ136" i="4"/>
  <c r="DR136" i="4" s="1"/>
  <c r="DM136" i="4"/>
  <c r="DN136" i="4" s="1"/>
  <c r="DI136" i="4"/>
  <c r="DJ136" i="4" s="1"/>
  <c r="DE136" i="4"/>
  <c r="DF136" i="4" s="1"/>
  <c r="DA136" i="4"/>
  <c r="DB136" i="4" s="1"/>
  <c r="CW136" i="4"/>
  <c r="CX136" i="4" s="1"/>
  <c r="CS136" i="4"/>
  <c r="CT136" i="4" s="1"/>
  <c r="CO136" i="4"/>
  <c r="CP136" i="4" s="1"/>
  <c r="CK136" i="4"/>
  <c r="CL136" i="4" s="1"/>
  <c r="CG136" i="4"/>
  <c r="CH136" i="4" s="1"/>
  <c r="CC136" i="4"/>
  <c r="CD136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ER140" i="4"/>
  <c r="ES140" i="4" s="1"/>
  <c r="CA140" i="4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GG134" i="4"/>
  <c r="GH134" i="4" s="1"/>
  <c r="FQ134" i="4"/>
  <c r="FR134" i="4" s="1"/>
  <c r="FA134" i="4"/>
  <c r="FB134" i="4" s="1"/>
  <c r="GC134" i="4"/>
  <c r="GD134" i="4" s="1"/>
  <c r="FM134" i="4"/>
  <c r="FN134" i="4" s="1"/>
  <c r="EW134" i="4"/>
  <c r="EX134" i="4" s="1"/>
  <c r="FY134" i="4"/>
  <c r="FZ134" i="4" s="1"/>
  <c r="ET134" i="4"/>
  <c r="FU134" i="4"/>
  <c r="FV134" i="4" s="1"/>
  <c r="FE134" i="4"/>
  <c r="FF134" i="4" s="1"/>
  <c r="FI134" i="4"/>
  <c r="FJ134" i="4" s="1"/>
  <c r="AY24" i="4"/>
  <c r="AZ24" i="4" s="1"/>
  <c r="AU24" i="4"/>
  <c r="AV24" i="4" s="1"/>
  <c r="AQ24" i="4"/>
  <c r="AR24" i="4" s="1"/>
  <c r="AM24" i="4"/>
  <c r="AN24" i="4" s="1"/>
  <c r="AI24" i="4"/>
  <c r="AJ24" i="4" s="1"/>
  <c r="AE24" i="4"/>
  <c r="AF24" i="4" s="1"/>
  <c r="AA24" i="4"/>
  <c r="AB24" i="4" s="1"/>
  <c r="W24" i="4"/>
  <c r="X24" i="4" s="1"/>
  <c r="S24" i="4"/>
  <c r="T24" i="4" s="1"/>
  <c r="O24" i="4"/>
  <c r="P24" i="4" s="1"/>
  <c r="K24" i="4"/>
  <c r="L24" i="4" s="1"/>
  <c r="AW24" i="4"/>
  <c r="AX24" i="4" s="1"/>
  <c r="AS24" i="4"/>
  <c r="AT24" i="4" s="1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 s="1"/>
  <c r="J24" i="4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 s="1"/>
  <c r="FK24" i="4"/>
  <c r="FL24" i="4" s="1"/>
  <c r="FG24" i="4"/>
  <c r="FH24" i="4" s="1"/>
  <c r="FC24" i="4"/>
  <c r="FD24" i="4" s="1"/>
  <c r="EY24" i="4"/>
  <c r="EZ24" i="4" s="1"/>
  <c r="EU24" i="4"/>
  <c r="EV24" i="4" s="1"/>
  <c r="FY24" i="4"/>
  <c r="FZ24" i="4" s="1"/>
  <c r="FI24" i="4"/>
  <c r="FJ24" i="4" s="1"/>
  <c r="ET24" i="4"/>
  <c r="FA24" i="4"/>
  <c r="FB24" i="4" s="1"/>
  <c r="FU24" i="4"/>
  <c r="FV24" i="4" s="1"/>
  <c r="FE24" i="4"/>
  <c r="FF24" i="4" s="1"/>
  <c r="FQ24" i="4"/>
  <c r="FR24" i="4" s="1"/>
  <c r="GC24" i="4"/>
  <c r="GD24" i="4" s="1"/>
  <c r="FM24" i="4"/>
  <c r="FN24" i="4" s="1"/>
  <c r="EW24" i="4"/>
  <c r="EX24" i="4" s="1"/>
  <c r="GG24" i="4"/>
  <c r="GH24" i="4" s="1"/>
  <c r="CA122" i="4"/>
  <c r="ER122" i="4"/>
  <c r="ES122" i="4" s="1"/>
  <c r="AW122" i="4"/>
  <c r="AX122" i="4" s="1"/>
  <c r="AG122" i="4"/>
  <c r="AH122" i="4" s="1"/>
  <c r="Q122" i="4"/>
  <c r="R122" i="4" s="1"/>
  <c r="AY122" i="4"/>
  <c r="AZ122" i="4" s="1"/>
  <c r="AU122" i="4"/>
  <c r="AV122" i="4" s="1"/>
  <c r="AQ122" i="4"/>
  <c r="AR122" i="4" s="1"/>
  <c r="AM122" i="4"/>
  <c r="AN122" i="4" s="1"/>
  <c r="AI122" i="4"/>
  <c r="AJ122" i="4" s="1"/>
  <c r="AE122" i="4"/>
  <c r="AF122" i="4" s="1"/>
  <c r="AA122" i="4"/>
  <c r="AB122" i="4" s="1"/>
  <c r="W122" i="4"/>
  <c r="X122" i="4" s="1"/>
  <c r="S122" i="4"/>
  <c r="T122" i="4" s="1"/>
  <c r="O122" i="4"/>
  <c r="P122" i="4" s="1"/>
  <c r="K122" i="4"/>
  <c r="L122" i="4" s="1"/>
  <c r="AO122" i="4"/>
  <c r="AP122" i="4" s="1"/>
  <c r="AC122" i="4"/>
  <c r="AD122" i="4" s="1"/>
  <c r="U122" i="4"/>
  <c r="V122" i="4" s="1"/>
  <c r="J122" i="4"/>
  <c r="AS122" i="4"/>
  <c r="AT122" i="4" s="1"/>
  <c r="AK122" i="4"/>
  <c r="AL122" i="4" s="1"/>
  <c r="Y122" i="4"/>
  <c r="Z122" i="4" s="1"/>
  <c r="M122" i="4"/>
  <c r="N122" i="4" s="1"/>
  <c r="M23" i="4"/>
  <c r="N23" i="4" s="1"/>
  <c r="AY126" i="4"/>
  <c r="AZ126" i="4" s="1"/>
  <c r="AQ126" i="4"/>
  <c r="AR126" i="4" s="1"/>
  <c r="AI126" i="4"/>
  <c r="AJ126" i="4" s="1"/>
  <c r="AE126" i="4"/>
  <c r="AF126" i="4" s="1"/>
  <c r="W126" i="4"/>
  <c r="X126" i="4" s="1"/>
  <c r="O126" i="4"/>
  <c r="P126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U126" i="4"/>
  <c r="AV126" i="4" s="1"/>
  <c r="AM126" i="4"/>
  <c r="AN126" i="4" s="1"/>
  <c r="AA126" i="4"/>
  <c r="AB126" i="4" s="1"/>
  <c r="S126" i="4"/>
  <c r="T126" i="4" s="1"/>
  <c r="K126" i="4"/>
  <c r="L126" i="4" s="1"/>
  <c r="FW126" i="4"/>
  <c r="FX126" i="4" s="1"/>
  <c r="FK126" i="4"/>
  <c r="FL126" i="4" s="1"/>
  <c r="EY126" i="4"/>
  <c r="EZ126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GI126" i="4"/>
  <c r="GJ126" i="4" s="1"/>
  <c r="GE126" i="4"/>
  <c r="GF126" i="4" s="1"/>
  <c r="GA126" i="4"/>
  <c r="GB126" i="4" s="1"/>
  <c r="FS126" i="4"/>
  <c r="FT126" i="4" s="1"/>
  <c r="FO126" i="4"/>
  <c r="FP126" i="4" s="1"/>
  <c r="FG126" i="4"/>
  <c r="FH126" i="4" s="1"/>
  <c r="FC126" i="4"/>
  <c r="FD126" i="4" s="1"/>
  <c r="EU126" i="4"/>
  <c r="EV126" i="4" s="1"/>
  <c r="DK126" i="4"/>
  <c r="DL126" i="4" s="1"/>
  <c r="DG126" i="4"/>
  <c r="DH126" i="4" s="1"/>
  <c r="CY126" i="4"/>
  <c r="CZ126" i="4" s="1"/>
  <c r="CQ126" i="4"/>
  <c r="CR126" i="4" s="1"/>
  <c r="CM126" i="4"/>
  <c r="CN126" i="4" s="1"/>
  <c r="CE126" i="4"/>
  <c r="CF126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O126" i="4"/>
  <c r="DP126" i="4" s="1"/>
  <c r="DC126" i="4"/>
  <c r="DD126" i="4" s="1"/>
  <c r="CU126" i="4"/>
  <c r="CV126" i="4" s="1"/>
  <c r="CI126" i="4"/>
  <c r="CJ126" i="4" s="1"/>
  <c r="CB126" i="4"/>
  <c r="ER118" i="4"/>
  <c r="ES118" i="4" s="1"/>
  <c r="CA118" i="4"/>
  <c r="AU23" i="4"/>
  <c r="AV23" i="4" s="1"/>
  <c r="AW23" i="4"/>
  <c r="AX23" i="4" s="1"/>
  <c r="AG23" i="4"/>
  <c r="AH23" i="4" s="1"/>
  <c r="Q23" i="4"/>
  <c r="R23" i="4" s="1"/>
  <c r="AE23" i="4"/>
  <c r="AF23" i="4" s="1"/>
  <c r="K23" i="4"/>
  <c r="L23" i="4" s="1"/>
  <c r="AO23" i="4"/>
  <c r="AP23" i="4" s="1"/>
  <c r="Y23" i="4"/>
  <c r="Z23" i="4" s="1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GG119" i="4"/>
  <c r="GH119" i="4" s="1"/>
  <c r="FU119" i="4"/>
  <c r="FV119" i="4" s="1"/>
  <c r="FI119" i="4"/>
  <c r="FJ119" i="4" s="1"/>
  <c r="EW119" i="4"/>
  <c r="EX119" i="4" s="1"/>
  <c r="FY119" i="4"/>
  <c r="FZ119" i="4" s="1"/>
  <c r="FM119" i="4"/>
  <c r="FN119" i="4" s="1"/>
  <c r="FA119" i="4"/>
  <c r="FB119" i="4" s="1"/>
  <c r="GC119" i="4"/>
  <c r="GD119" i="4" s="1"/>
  <c r="FQ119" i="4"/>
  <c r="FR119" i="4" s="1"/>
  <c r="FE119" i="4"/>
  <c r="FF119" i="4" s="1"/>
  <c r="ET119" i="4"/>
  <c r="AY23" i="4"/>
  <c r="AZ23" i="4" s="1"/>
  <c r="AI23" i="4"/>
  <c r="AJ23" i="4" s="1"/>
  <c r="W23" i="4"/>
  <c r="X23" i="4" s="1"/>
  <c r="O23" i="4"/>
  <c r="P23" i="4" s="1"/>
  <c r="S23" i="4"/>
  <c r="T23" i="4" s="1"/>
  <c r="AK23" i="4"/>
  <c r="AL23" i="4" s="1"/>
  <c r="U23" i="4"/>
  <c r="V23" i="4" s="1"/>
  <c r="AM23" i="4"/>
  <c r="AN23" i="4" s="1"/>
  <c r="AQ23" i="4"/>
  <c r="AR23" i="4" s="1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A119" i="4"/>
  <c r="DB119" i="4" s="1"/>
  <c r="CS119" i="4"/>
  <c r="CT119" i="4" s="1"/>
  <c r="CG119" i="4"/>
  <c r="CH119" i="4" s="1"/>
  <c r="DQ119" i="4"/>
  <c r="DR119" i="4" s="1"/>
  <c r="DE119" i="4"/>
  <c r="DF119" i="4" s="1"/>
  <c r="CO119" i="4"/>
  <c r="CP119" i="4" s="1"/>
  <c r="DM119" i="4"/>
  <c r="DN119" i="4" s="1"/>
  <c r="CW119" i="4"/>
  <c r="CX119" i="4" s="1"/>
  <c r="CK119" i="4"/>
  <c r="CL119" i="4" s="1"/>
  <c r="CC119" i="4"/>
  <c r="CD119" i="4" s="1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CA116" i="4"/>
  <c r="ER116" i="4"/>
  <c r="ES116" i="4" s="1"/>
  <c r="ER124" i="4"/>
  <c r="ES124" i="4" s="1"/>
  <c r="CA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GG23" i="4"/>
  <c r="GH23" i="4" s="1"/>
  <c r="GC23" i="4"/>
  <c r="GD23" i="4" s="1"/>
  <c r="FY23" i="4"/>
  <c r="FZ23" i="4" s="1"/>
  <c r="FU23" i="4"/>
  <c r="FV23" i="4" s="1"/>
  <c r="FQ23" i="4"/>
  <c r="FR23" i="4" s="1"/>
  <c r="FM23" i="4"/>
  <c r="FN23" i="4" s="1"/>
  <c r="FI23" i="4"/>
  <c r="FJ23" i="4" s="1"/>
  <c r="FE23" i="4"/>
  <c r="FF23" i="4" s="1"/>
  <c r="FA23" i="4"/>
  <c r="FB23" i="4" s="1"/>
  <c r="EW23" i="4"/>
  <c r="EX23" i="4" s="1"/>
  <c r="ET23" i="4"/>
  <c r="GI23" i="4"/>
  <c r="GJ23" i="4" s="1"/>
  <c r="FC23" i="4"/>
  <c r="FD23" i="4" s="1"/>
  <c r="GA23" i="4"/>
  <c r="GB23" i="4" s="1"/>
  <c r="GE23" i="4"/>
  <c r="GF23" i="4" s="1"/>
  <c r="FO23" i="4"/>
  <c r="FP23" i="4" s="1"/>
  <c r="EY23" i="4"/>
  <c r="EZ23" i="4" s="1"/>
  <c r="FK23" i="4"/>
  <c r="FL23" i="4" s="1"/>
  <c r="FW23" i="4"/>
  <c r="FX23" i="4" s="1"/>
  <c r="FG23" i="4"/>
  <c r="FH23" i="4" s="1"/>
  <c r="FS23" i="4"/>
  <c r="FT23" i="4" s="1"/>
  <c r="EU23" i="4"/>
  <c r="EV23" i="4" s="1"/>
  <c r="I120" i="4"/>
  <c r="BZ120" i="4"/>
  <c r="I127" i="4"/>
  <c r="BZ127" i="4"/>
  <c r="CA22" i="4"/>
  <c r="DI22" i="4" s="1"/>
  <c r="DJ22" i="4" s="1"/>
  <c r="ER99" i="4"/>
  <c r="ES99" i="4" s="1"/>
  <c r="CA99" i="4"/>
  <c r="AW98" i="4"/>
  <c r="AX98" i="4" s="1"/>
  <c r="AS98" i="4"/>
  <c r="AT98" i="4" s="1"/>
  <c r="AO98" i="4"/>
  <c r="AP98" i="4" s="1"/>
  <c r="AK98" i="4"/>
  <c r="AL98" i="4" s="1"/>
  <c r="AG98" i="4"/>
  <c r="AH98" i="4" s="1"/>
  <c r="AC98" i="4"/>
  <c r="AD98" i="4" s="1"/>
  <c r="Y98" i="4"/>
  <c r="Z98" i="4" s="1"/>
  <c r="U98" i="4"/>
  <c r="V98" i="4" s="1"/>
  <c r="Q98" i="4"/>
  <c r="R98" i="4" s="1"/>
  <c r="M98" i="4"/>
  <c r="N98" i="4" s="1"/>
  <c r="J98" i="4"/>
  <c r="AY98" i="4"/>
  <c r="AZ98" i="4" s="1"/>
  <c r="AM98" i="4"/>
  <c r="AN98" i="4" s="1"/>
  <c r="AE98" i="4"/>
  <c r="AF98" i="4" s="1"/>
  <c r="W98" i="4"/>
  <c r="X98" i="4" s="1"/>
  <c r="O98" i="4"/>
  <c r="P98" i="4" s="1"/>
  <c r="AU98" i="4"/>
  <c r="AV98" i="4" s="1"/>
  <c r="AQ98" i="4"/>
  <c r="AR98" i="4" s="1"/>
  <c r="AI98" i="4"/>
  <c r="AJ98" i="4" s="1"/>
  <c r="AA98" i="4"/>
  <c r="AB98" i="4" s="1"/>
  <c r="S98" i="4"/>
  <c r="T98" i="4" s="1"/>
  <c r="K98" i="4"/>
  <c r="L98" i="4" s="1"/>
  <c r="J22" i="4"/>
  <c r="AI22" i="4"/>
  <c r="AJ22" i="4" s="1"/>
  <c r="GG98" i="4"/>
  <c r="GH98" i="4" s="1"/>
  <c r="GC98" i="4"/>
  <c r="GD98" i="4" s="1"/>
  <c r="FY98" i="4"/>
  <c r="FZ98" i="4" s="1"/>
  <c r="FU98" i="4"/>
  <c r="FV98" i="4" s="1"/>
  <c r="FQ98" i="4"/>
  <c r="FR98" i="4" s="1"/>
  <c r="FM98" i="4"/>
  <c r="FN98" i="4" s="1"/>
  <c r="FI98" i="4"/>
  <c r="FJ98" i="4" s="1"/>
  <c r="FE98" i="4"/>
  <c r="FF98" i="4" s="1"/>
  <c r="FA98" i="4"/>
  <c r="FB98" i="4" s="1"/>
  <c r="EW98" i="4"/>
  <c r="EX98" i="4" s="1"/>
  <c r="ET98" i="4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C98" i="4"/>
  <c r="FD98" i="4" s="1"/>
  <c r="EY98" i="4"/>
  <c r="EZ98" i="4" s="1"/>
  <c r="EU98" i="4"/>
  <c r="EV98" i="4" s="1"/>
  <c r="FG98" i="4"/>
  <c r="FH98" i="4" s="1"/>
  <c r="DQ98" i="4"/>
  <c r="DR98" i="4" s="1"/>
  <c r="DM98" i="4"/>
  <c r="DN98" i="4" s="1"/>
  <c r="DI98" i="4"/>
  <c r="DJ98" i="4" s="1"/>
  <c r="DE98" i="4"/>
  <c r="DF98" i="4" s="1"/>
  <c r="DA98" i="4"/>
  <c r="DB98" i="4" s="1"/>
  <c r="CW98" i="4"/>
  <c r="CX98" i="4" s="1"/>
  <c r="CS98" i="4"/>
  <c r="CT98" i="4" s="1"/>
  <c r="CO98" i="4"/>
  <c r="CP98" i="4" s="1"/>
  <c r="CK98" i="4"/>
  <c r="CL98" i="4" s="1"/>
  <c r="CG98" i="4"/>
  <c r="CH98" i="4" s="1"/>
  <c r="CC98" i="4"/>
  <c r="CD98" i="4" s="1"/>
  <c r="DO98" i="4"/>
  <c r="DP98" i="4" s="1"/>
  <c r="DG98" i="4"/>
  <c r="DH98" i="4" s="1"/>
  <c r="CY98" i="4"/>
  <c r="CZ98" i="4" s="1"/>
  <c r="CQ98" i="4"/>
  <c r="CR98" i="4" s="1"/>
  <c r="CI98" i="4"/>
  <c r="CJ98" i="4" s="1"/>
  <c r="CB98" i="4"/>
  <c r="DK98" i="4"/>
  <c r="DL98" i="4" s="1"/>
  <c r="DC98" i="4"/>
  <c r="DD98" i="4" s="1"/>
  <c r="CU98" i="4"/>
  <c r="CV98" i="4" s="1"/>
  <c r="CM98" i="4"/>
  <c r="CN98" i="4" s="1"/>
  <c r="CE98" i="4"/>
  <c r="CF98" i="4" s="1"/>
  <c r="AY97" i="4"/>
  <c r="AZ97" i="4" s="1"/>
  <c r="AU97" i="4"/>
  <c r="AV97" i="4" s="1"/>
  <c r="AQ97" i="4"/>
  <c r="AR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K97" i="4"/>
  <c r="L97" i="4" s="1"/>
  <c r="AW97" i="4"/>
  <c r="AX97" i="4" s="1"/>
  <c r="AS97" i="4"/>
  <c r="AT97" i="4" s="1"/>
  <c r="AO97" i="4"/>
  <c r="AP97" i="4" s="1"/>
  <c r="AK97" i="4"/>
  <c r="AL97" i="4" s="1"/>
  <c r="AG97" i="4"/>
  <c r="AH97" i="4" s="1"/>
  <c r="AC97" i="4"/>
  <c r="AD97" i="4" s="1"/>
  <c r="Y97" i="4"/>
  <c r="Z97" i="4" s="1"/>
  <c r="U97" i="4"/>
  <c r="V97" i="4" s="1"/>
  <c r="Q97" i="4"/>
  <c r="R97" i="4" s="1"/>
  <c r="M97" i="4"/>
  <c r="N97" i="4" s="1"/>
  <c r="J97" i="4"/>
  <c r="CA97" i="4"/>
  <c r="ER97" i="4"/>
  <c r="ES97" i="4" s="1"/>
  <c r="J113" i="4"/>
  <c r="AK22" i="4"/>
  <c r="AL22" i="4" s="1"/>
  <c r="U22" i="4"/>
  <c r="V22" i="4" s="1"/>
  <c r="AU22" i="4"/>
  <c r="AV22" i="4" s="1"/>
  <c r="AE22" i="4"/>
  <c r="AF22" i="4" s="1"/>
  <c r="O22" i="4"/>
  <c r="P22" i="4" s="1"/>
  <c r="AO113" i="4"/>
  <c r="AP113" i="4" s="1"/>
  <c r="AG22" i="4"/>
  <c r="AH22" i="4" s="1"/>
  <c r="Q22" i="4"/>
  <c r="R22" i="4" s="1"/>
  <c r="AQ22" i="4"/>
  <c r="AR22" i="4" s="1"/>
  <c r="AA22" i="4"/>
  <c r="AB22" i="4" s="1"/>
  <c r="K22" i="4"/>
  <c r="L22" i="4" s="1"/>
  <c r="AS22" i="4"/>
  <c r="AT22" i="4" s="1"/>
  <c r="AC22" i="4"/>
  <c r="AD22" i="4" s="1"/>
  <c r="M22" i="4"/>
  <c r="N22" i="4" s="1"/>
  <c r="AM22" i="4"/>
  <c r="AN22" i="4" s="1"/>
  <c r="W22" i="4"/>
  <c r="X22" i="4" s="1"/>
  <c r="ER95" i="4"/>
  <c r="ES95" i="4" s="1"/>
  <c r="CA95" i="4"/>
  <c r="Y113" i="4"/>
  <c r="Z113" i="4" s="1"/>
  <c r="GG94" i="4"/>
  <c r="GH94" i="4" s="1"/>
  <c r="GC94" i="4"/>
  <c r="GD94" i="4" s="1"/>
  <c r="FY94" i="4"/>
  <c r="FZ94" i="4" s="1"/>
  <c r="FU94" i="4"/>
  <c r="FV94" i="4" s="1"/>
  <c r="FQ94" i="4"/>
  <c r="FR94" i="4" s="1"/>
  <c r="FM94" i="4"/>
  <c r="FN94" i="4" s="1"/>
  <c r="FI94" i="4"/>
  <c r="FJ94" i="4" s="1"/>
  <c r="FE94" i="4"/>
  <c r="FF94" i="4" s="1"/>
  <c r="FA94" i="4"/>
  <c r="FB94" i="4" s="1"/>
  <c r="EW94" i="4"/>
  <c r="EX94" i="4" s="1"/>
  <c r="ET94" i="4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DQ94" i="4"/>
  <c r="DR94" i="4" s="1"/>
  <c r="DM94" i="4"/>
  <c r="DN94" i="4" s="1"/>
  <c r="DI94" i="4"/>
  <c r="DJ94" i="4" s="1"/>
  <c r="DE94" i="4"/>
  <c r="DF94" i="4" s="1"/>
  <c r="DA94" i="4"/>
  <c r="DB94" i="4" s="1"/>
  <c r="CW94" i="4"/>
  <c r="CX94" i="4" s="1"/>
  <c r="CS94" i="4"/>
  <c r="CT94" i="4" s="1"/>
  <c r="CO94" i="4"/>
  <c r="CP94" i="4" s="1"/>
  <c r="CK94" i="4"/>
  <c r="CL94" i="4" s="1"/>
  <c r="CG94" i="4"/>
  <c r="CH94" i="4" s="1"/>
  <c r="CC94" i="4"/>
  <c r="CD94" i="4" s="1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AE113" i="4"/>
  <c r="AF113" i="4" s="1"/>
  <c r="CA112" i="4"/>
  <c r="ER112" i="4"/>
  <c r="ES112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W112" i="4"/>
  <c r="AX112" i="4" s="1"/>
  <c r="AS112" i="4"/>
  <c r="AT112" i="4" s="1"/>
  <c r="AO112" i="4"/>
  <c r="AP112" i="4" s="1"/>
  <c r="AK112" i="4"/>
  <c r="AL112" i="4" s="1"/>
  <c r="AG112" i="4"/>
  <c r="AH112" i="4" s="1"/>
  <c r="AC112" i="4"/>
  <c r="AD112" i="4" s="1"/>
  <c r="Y112" i="4"/>
  <c r="Z112" i="4" s="1"/>
  <c r="U112" i="4"/>
  <c r="V112" i="4" s="1"/>
  <c r="Q112" i="4"/>
  <c r="R112" i="4" s="1"/>
  <c r="M112" i="4"/>
  <c r="N112" i="4" s="1"/>
  <c r="J112" i="4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O113" i="4"/>
  <c r="P113" i="4" s="1"/>
  <c r="AS108" i="4"/>
  <c r="AT108" i="4" s="1"/>
  <c r="AK108" i="4"/>
  <c r="AL108" i="4" s="1"/>
  <c r="AC108" i="4"/>
  <c r="AD108" i="4" s="1"/>
  <c r="U108" i="4"/>
  <c r="V108" i="4" s="1"/>
  <c r="M108" i="4"/>
  <c r="N108" i="4" s="1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AW108" i="4"/>
  <c r="AX108" i="4" s="1"/>
  <c r="AO108" i="4"/>
  <c r="AP108" i="4" s="1"/>
  <c r="AG108" i="4"/>
  <c r="AH108" i="4" s="1"/>
  <c r="Y108" i="4"/>
  <c r="Z108" i="4" s="1"/>
  <c r="Q108" i="4"/>
  <c r="R108" i="4" s="1"/>
  <c r="J108" i="4"/>
  <c r="CA108" i="4"/>
  <c r="ER108" i="4"/>
  <c r="ES108" i="4" s="1"/>
  <c r="AU113" i="4"/>
  <c r="AV113" i="4" s="1"/>
  <c r="Q113" i="4"/>
  <c r="R113" i="4" s="1"/>
  <c r="AW113" i="4"/>
  <c r="AX113" i="4" s="1"/>
  <c r="W113" i="4"/>
  <c r="X113" i="4" s="1"/>
  <c r="U113" i="4"/>
  <c r="V113" i="4" s="1"/>
  <c r="AK113" i="4"/>
  <c r="AL113" i="4" s="1"/>
  <c r="K113" i="4"/>
  <c r="L113" i="4" s="1"/>
  <c r="AA113" i="4"/>
  <c r="AB113" i="4" s="1"/>
  <c r="AQ113" i="4"/>
  <c r="AR113" i="4" s="1"/>
  <c r="M113" i="4"/>
  <c r="N113" i="4" s="1"/>
  <c r="AC113" i="4"/>
  <c r="AD113" i="4" s="1"/>
  <c r="AS113" i="4"/>
  <c r="AT113" i="4" s="1"/>
  <c r="S113" i="4"/>
  <c r="T113" i="4" s="1"/>
  <c r="AI113" i="4"/>
  <c r="AJ113" i="4" s="1"/>
  <c r="AY113" i="4"/>
  <c r="AZ113" i="4" s="1"/>
  <c r="BZ113" i="4"/>
  <c r="CA113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AG113" i="4"/>
  <c r="AH113" i="4" s="1"/>
  <c r="CA92" i="4"/>
  <c r="ER92" i="4"/>
  <c r="ES92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ER113" i="4"/>
  <c r="ES113" i="4" s="1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S69" i="4"/>
  <c r="AT69" i="4" s="1"/>
  <c r="AK69" i="4"/>
  <c r="AL69" i="4" s="1"/>
  <c r="U69" i="4"/>
  <c r="V69" i="4" s="1"/>
  <c r="AO69" i="4"/>
  <c r="AP69" i="4" s="1"/>
  <c r="AC69" i="4"/>
  <c r="AD69" i="4" s="1"/>
  <c r="Q69" i="4"/>
  <c r="R69" i="4" s="1"/>
  <c r="J69" i="4"/>
  <c r="AW69" i="4"/>
  <c r="AX69" i="4" s="1"/>
  <c r="AG69" i="4"/>
  <c r="AH69" i="4" s="1"/>
  <c r="Y69" i="4"/>
  <c r="Z69" i="4" s="1"/>
  <c r="M69" i="4"/>
  <c r="N69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DM69" i="4"/>
  <c r="DN69" i="4" s="1"/>
  <c r="CW69" i="4"/>
  <c r="CX69" i="4" s="1"/>
  <c r="CK69" i="4"/>
  <c r="CL69" i="4" s="1"/>
  <c r="DQ69" i="4"/>
  <c r="DR69" i="4" s="1"/>
  <c r="DE69" i="4"/>
  <c r="DF69" i="4" s="1"/>
  <c r="CS69" i="4"/>
  <c r="CT69" i="4" s="1"/>
  <c r="CG69" i="4"/>
  <c r="CH69" i="4" s="1"/>
  <c r="DI69" i="4"/>
  <c r="DJ69" i="4" s="1"/>
  <c r="DA69" i="4"/>
  <c r="DB69" i="4" s="1"/>
  <c r="CO69" i="4"/>
  <c r="CP69" i="4" s="1"/>
  <c r="CC69" i="4"/>
  <c r="CD69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FY69" i="4"/>
  <c r="FZ69" i="4" s="1"/>
  <c r="FM69" i="4"/>
  <c r="FN69" i="4" s="1"/>
  <c r="FA69" i="4"/>
  <c r="FB69" i="4" s="1"/>
  <c r="GC69" i="4"/>
  <c r="GD69" i="4" s="1"/>
  <c r="FQ69" i="4"/>
  <c r="FR69" i="4" s="1"/>
  <c r="FE69" i="4"/>
  <c r="FF69" i="4" s="1"/>
  <c r="ET69" i="4"/>
  <c r="GG69" i="4"/>
  <c r="GH69" i="4" s="1"/>
  <c r="FU69" i="4"/>
  <c r="FV69" i="4" s="1"/>
  <c r="FI69" i="4"/>
  <c r="FJ69" i="4" s="1"/>
  <c r="EW69" i="4"/>
  <c r="EX69" i="4" s="1"/>
  <c r="ER86" i="4"/>
  <c r="ES86" i="4" s="1"/>
  <c r="CA86" i="4"/>
  <c r="W21" i="4"/>
  <c r="X21" i="4" s="1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DK85" i="4"/>
  <c r="DL85" i="4" s="1"/>
  <c r="DG85" i="4"/>
  <c r="DH85" i="4" s="1"/>
  <c r="DC85" i="4"/>
  <c r="DD85" i="4" s="1"/>
  <c r="CY85" i="4"/>
  <c r="CZ85" i="4" s="1"/>
  <c r="CU85" i="4"/>
  <c r="CV85" i="4" s="1"/>
  <c r="CQ85" i="4"/>
  <c r="CR85" i="4" s="1"/>
  <c r="CM85" i="4"/>
  <c r="CN85" i="4" s="1"/>
  <c r="CI85" i="4"/>
  <c r="CJ85" i="4" s="1"/>
  <c r="CE85" i="4"/>
  <c r="CF85" i="4" s="1"/>
  <c r="CB85" i="4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DM84" i="4"/>
  <c r="DN84" i="4" s="1"/>
  <c r="DA84" i="4"/>
  <c r="DB84" i="4" s="1"/>
  <c r="CO84" i="4"/>
  <c r="CP84" i="4" s="1"/>
  <c r="CC84" i="4"/>
  <c r="CD84" i="4" s="1"/>
  <c r="DI84" i="4"/>
  <c r="DJ84" i="4" s="1"/>
  <c r="CW84" i="4"/>
  <c r="CX84" i="4" s="1"/>
  <c r="CG84" i="4"/>
  <c r="CH84" i="4" s="1"/>
  <c r="DQ84" i="4"/>
  <c r="DR84" i="4" s="1"/>
  <c r="DE84" i="4"/>
  <c r="DF84" i="4" s="1"/>
  <c r="CS84" i="4"/>
  <c r="CT84" i="4" s="1"/>
  <c r="CK84" i="4"/>
  <c r="CL84" i="4" s="1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GG84" i="4"/>
  <c r="GH84" i="4" s="1"/>
  <c r="FY84" i="4"/>
  <c r="FZ84" i="4" s="1"/>
  <c r="FM84" i="4"/>
  <c r="FN84" i="4" s="1"/>
  <c r="FE84" i="4"/>
  <c r="FF84" i="4" s="1"/>
  <c r="ET84" i="4"/>
  <c r="GC84" i="4"/>
  <c r="GD84" i="4" s="1"/>
  <c r="FU84" i="4"/>
  <c r="FV84" i="4" s="1"/>
  <c r="FI84" i="4"/>
  <c r="FJ84" i="4" s="1"/>
  <c r="EW84" i="4"/>
  <c r="EX84" i="4" s="1"/>
  <c r="FQ84" i="4"/>
  <c r="FR84" i="4" s="1"/>
  <c r="FA84" i="4"/>
  <c r="FB84" i="4" s="1"/>
  <c r="J21" i="4"/>
  <c r="U21" i="4"/>
  <c r="V21" i="4" s="1"/>
  <c r="AO21" i="4"/>
  <c r="AP21" i="4" s="1"/>
  <c r="AM21" i="4"/>
  <c r="AN21" i="4" s="1"/>
  <c r="Y21" i="4"/>
  <c r="Z21" i="4" s="1"/>
  <c r="AA21" i="4"/>
  <c r="AB21" i="4" s="1"/>
  <c r="ER66" i="4"/>
  <c r="ES66" i="4" s="1"/>
  <c r="CA66" i="4"/>
  <c r="AK21" i="4"/>
  <c r="AL21" i="4" s="1"/>
  <c r="AQ21" i="4"/>
  <c r="AR21" i="4" s="1"/>
  <c r="K21" i="4"/>
  <c r="L21" i="4" s="1"/>
  <c r="CA88" i="4"/>
  <c r="ER88" i="4"/>
  <c r="ES88" i="4" s="1"/>
  <c r="AG21" i="4"/>
  <c r="AH21" i="4" s="1"/>
  <c r="Q21" i="4"/>
  <c r="R21" i="4" s="1"/>
  <c r="AY21" i="4"/>
  <c r="AZ21" i="4" s="1"/>
  <c r="AI21" i="4"/>
  <c r="AJ21" i="4" s="1"/>
  <c r="S21" i="4"/>
  <c r="T21" i="4" s="1"/>
  <c r="CA21" i="4"/>
  <c r="ER21" i="4"/>
  <c r="ES21" i="4" s="1"/>
  <c r="AS21" i="4"/>
  <c r="AT21" i="4" s="1"/>
  <c r="AC21" i="4"/>
  <c r="AD21" i="4" s="1"/>
  <c r="M21" i="4"/>
  <c r="N21" i="4" s="1"/>
  <c r="AU21" i="4"/>
  <c r="AV21" i="4" s="1"/>
  <c r="AE21" i="4"/>
  <c r="AF21" i="4" s="1"/>
  <c r="O21" i="4"/>
  <c r="P21" i="4" s="1"/>
  <c r="AW88" i="4"/>
  <c r="AX88" i="4" s="1"/>
  <c r="AS88" i="4"/>
  <c r="AT88" i="4" s="1"/>
  <c r="AO88" i="4"/>
  <c r="AP88" i="4" s="1"/>
  <c r="AK88" i="4"/>
  <c r="AL88" i="4" s="1"/>
  <c r="AG88" i="4"/>
  <c r="AH88" i="4" s="1"/>
  <c r="AC88" i="4"/>
  <c r="AD88" i="4" s="1"/>
  <c r="Y88" i="4"/>
  <c r="Z88" i="4" s="1"/>
  <c r="U88" i="4"/>
  <c r="V88" i="4" s="1"/>
  <c r="Q88" i="4"/>
  <c r="R88" i="4" s="1"/>
  <c r="M88" i="4"/>
  <c r="N88" i="4" s="1"/>
  <c r="J88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I89" i="4"/>
  <c r="BZ89" i="4"/>
  <c r="BZ63" i="4"/>
  <c r="I63" i="4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CA47" i="4"/>
  <c r="ER47" i="4"/>
  <c r="ES47" i="4" s="1"/>
  <c r="ER44" i="4"/>
  <c r="ES44" i="4" s="1"/>
  <c r="CA44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CA43" i="4"/>
  <c r="ER43" i="4"/>
  <c r="ES43" i="4" s="1"/>
  <c r="DQ42" i="4"/>
  <c r="DR42" i="4" s="1"/>
  <c r="DM42" i="4"/>
  <c r="DN42" i="4" s="1"/>
  <c r="DI42" i="4"/>
  <c r="DJ42" i="4" s="1"/>
  <c r="DE42" i="4"/>
  <c r="DF42" i="4" s="1"/>
  <c r="DA42" i="4"/>
  <c r="DB42" i="4" s="1"/>
  <c r="CW42" i="4"/>
  <c r="CX42" i="4" s="1"/>
  <c r="CS42" i="4"/>
  <c r="CT42" i="4" s="1"/>
  <c r="CO42" i="4"/>
  <c r="CP42" i="4" s="1"/>
  <c r="CK42" i="4"/>
  <c r="CL42" i="4" s="1"/>
  <c r="CG42" i="4"/>
  <c r="CH42" i="4" s="1"/>
  <c r="CC42" i="4"/>
  <c r="CD42" i="4" s="1"/>
  <c r="DO42" i="4"/>
  <c r="DP42" i="4" s="1"/>
  <c r="DK42" i="4"/>
  <c r="DL42" i="4" s="1"/>
  <c r="DG42" i="4"/>
  <c r="DH42" i="4" s="1"/>
  <c r="DC42" i="4"/>
  <c r="DD42" i="4" s="1"/>
  <c r="CY42" i="4"/>
  <c r="CZ42" i="4" s="1"/>
  <c r="CU42" i="4"/>
  <c r="CV42" i="4" s="1"/>
  <c r="CQ42" i="4"/>
  <c r="CR42" i="4" s="1"/>
  <c r="CM42" i="4"/>
  <c r="CN42" i="4" s="1"/>
  <c r="CI42" i="4"/>
  <c r="CJ42" i="4" s="1"/>
  <c r="CE42" i="4"/>
  <c r="CF42" i="4" s="1"/>
  <c r="CB42" i="4"/>
  <c r="GG42" i="4"/>
  <c r="GH42" i="4" s="1"/>
  <c r="GC42" i="4"/>
  <c r="GD42" i="4" s="1"/>
  <c r="FY42" i="4"/>
  <c r="FZ42" i="4" s="1"/>
  <c r="FU42" i="4"/>
  <c r="FV42" i="4" s="1"/>
  <c r="FQ42" i="4"/>
  <c r="FR42" i="4" s="1"/>
  <c r="FM42" i="4"/>
  <c r="FN42" i="4" s="1"/>
  <c r="FI42" i="4"/>
  <c r="FJ42" i="4" s="1"/>
  <c r="FE42" i="4"/>
  <c r="FF42" i="4" s="1"/>
  <c r="FA42" i="4"/>
  <c r="FB42" i="4" s="1"/>
  <c r="EW42" i="4"/>
  <c r="EX42" i="4" s="1"/>
  <c r="ET42" i="4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CA39" i="4"/>
  <c r="ER39" i="4"/>
  <c r="ES39" i="4" s="1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I27" i="4"/>
  <c r="AY27" i="4" s="1"/>
  <c r="AZ27" i="4" s="1"/>
  <c r="ER40" i="4"/>
  <c r="ES40" i="4" s="1"/>
  <c r="CA40" i="4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FS38" i="4"/>
  <c r="FT38" i="4" s="1"/>
  <c r="FG38" i="4"/>
  <c r="FH38" i="4" s="1"/>
  <c r="EY38" i="4"/>
  <c r="EZ38" i="4" s="1"/>
  <c r="GI38" i="4"/>
  <c r="GJ38" i="4" s="1"/>
  <c r="GE38" i="4"/>
  <c r="GF38" i="4" s="1"/>
  <c r="GA38" i="4"/>
  <c r="GB38" i="4" s="1"/>
  <c r="FW38" i="4"/>
  <c r="FX38" i="4" s="1"/>
  <c r="FO38" i="4"/>
  <c r="FP38" i="4" s="1"/>
  <c r="FK38" i="4"/>
  <c r="FL38" i="4" s="1"/>
  <c r="FC38" i="4"/>
  <c r="FD38" i="4" s="1"/>
  <c r="EU38" i="4"/>
  <c r="EV38" i="4" s="1"/>
  <c r="I28" i="4"/>
  <c r="AQ28" i="4" s="1"/>
  <c r="AR28" i="4" s="1"/>
  <c r="DQ38" i="4"/>
  <c r="DR38" i="4" s="1"/>
  <c r="DM38" i="4"/>
  <c r="DN38" i="4" s="1"/>
  <c r="DI38" i="4"/>
  <c r="DJ38" i="4" s="1"/>
  <c r="DE38" i="4"/>
  <c r="DF38" i="4" s="1"/>
  <c r="DA38" i="4"/>
  <c r="DB38" i="4" s="1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DC38" i="4"/>
  <c r="DD38" i="4" s="1"/>
  <c r="CU38" i="4"/>
  <c r="CV38" i="4" s="1"/>
  <c r="CM38" i="4"/>
  <c r="CN38" i="4" s="1"/>
  <c r="CE38" i="4"/>
  <c r="CF38" i="4" s="1"/>
  <c r="DK38" i="4"/>
  <c r="DL38" i="4" s="1"/>
  <c r="DG38" i="4"/>
  <c r="DH38" i="4" s="1"/>
  <c r="CY38" i="4"/>
  <c r="CZ38" i="4" s="1"/>
  <c r="CQ38" i="4"/>
  <c r="CR38" i="4" s="1"/>
  <c r="CI38" i="4"/>
  <c r="CJ38" i="4" s="1"/>
  <c r="CB38" i="4"/>
  <c r="BZ19" i="4"/>
  <c r="BZ28" i="4" s="1"/>
  <c r="CA28" i="4" s="1"/>
  <c r="I19" i="4"/>
  <c r="AW38" i="4"/>
  <c r="AX38" i="4" s="1"/>
  <c r="AS38" i="4"/>
  <c r="AT38" i="4" s="1"/>
  <c r="AO38" i="4"/>
  <c r="AP38" i="4" s="1"/>
  <c r="AK38" i="4"/>
  <c r="AL38" i="4" s="1"/>
  <c r="AG38" i="4"/>
  <c r="AH38" i="4" s="1"/>
  <c r="AC38" i="4"/>
  <c r="AD38" i="4" s="1"/>
  <c r="Y38" i="4"/>
  <c r="Z38" i="4" s="1"/>
  <c r="U38" i="4"/>
  <c r="V38" i="4" s="1"/>
  <c r="Q38" i="4"/>
  <c r="R38" i="4" s="1"/>
  <c r="M38" i="4"/>
  <c r="N38" i="4" s="1"/>
  <c r="J38" i="4"/>
  <c r="AU38" i="4"/>
  <c r="AV38" i="4" s="1"/>
  <c r="AM38" i="4"/>
  <c r="AN38" i="4" s="1"/>
  <c r="AE38" i="4"/>
  <c r="AF38" i="4" s="1"/>
  <c r="W38" i="4"/>
  <c r="X38" i="4" s="1"/>
  <c r="O38" i="4"/>
  <c r="P38" i="4" s="1"/>
  <c r="K38" i="4"/>
  <c r="L38" i="4" s="1"/>
  <c r="AY38" i="4"/>
  <c r="AZ38" i="4" s="1"/>
  <c r="AQ38" i="4"/>
  <c r="AR38" i="4" s="1"/>
  <c r="AI38" i="4"/>
  <c r="AJ38" i="4" s="1"/>
  <c r="AA38" i="4"/>
  <c r="AB38" i="4" s="1"/>
  <c r="S38" i="4"/>
  <c r="T38" i="4" s="1"/>
  <c r="D28" i="4"/>
  <c r="AY54" i="4"/>
  <c r="AZ54" i="4" s="1"/>
  <c r="AO54" i="4"/>
  <c r="AP54" i="4" s="1"/>
  <c r="J54" i="4"/>
  <c r="AE54" i="4"/>
  <c r="AF54" i="4" s="1"/>
  <c r="BZ54" i="4"/>
  <c r="ER54" i="4" s="1"/>
  <c r="ES54" i="4" s="1"/>
  <c r="DO37" i="4"/>
  <c r="DP37" i="4" s="1"/>
  <c r="DK37" i="4"/>
  <c r="DL37" i="4" s="1"/>
  <c r="DG37" i="4"/>
  <c r="DH37" i="4" s="1"/>
  <c r="DC37" i="4"/>
  <c r="DD37" i="4" s="1"/>
  <c r="CY37" i="4"/>
  <c r="CZ37" i="4" s="1"/>
  <c r="CU37" i="4"/>
  <c r="CV37" i="4" s="1"/>
  <c r="CQ37" i="4"/>
  <c r="CR37" i="4" s="1"/>
  <c r="CM37" i="4"/>
  <c r="CN37" i="4" s="1"/>
  <c r="CI37" i="4"/>
  <c r="CJ37" i="4" s="1"/>
  <c r="CE37" i="4"/>
  <c r="CF37" i="4" s="1"/>
  <c r="CB37" i="4"/>
  <c r="DQ37" i="4"/>
  <c r="DR37" i="4" s="1"/>
  <c r="DA37" i="4"/>
  <c r="DB37" i="4" s="1"/>
  <c r="CO37" i="4"/>
  <c r="CP37" i="4" s="1"/>
  <c r="DI37" i="4"/>
  <c r="DJ37" i="4" s="1"/>
  <c r="CS37" i="4"/>
  <c r="CT37" i="4" s="1"/>
  <c r="CG37" i="4"/>
  <c r="CH37" i="4" s="1"/>
  <c r="DM37" i="4"/>
  <c r="DN37" i="4" s="1"/>
  <c r="DE37" i="4"/>
  <c r="DF37" i="4" s="1"/>
  <c r="CW37" i="4"/>
  <c r="CX37" i="4" s="1"/>
  <c r="CK37" i="4"/>
  <c r="CL37" i="4" s="1"/>
  <c r="CC37" i="4"/>
  <c r="CD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C37" i="4"/>
  <c r="GD37" i="4" s="1"/>
  <c r="FY37" i="4"/>
  <c r="FZ37" i="4" s="1"/>
  <c r="FM37" i="4"/>
  <c r="FN37" i="4" s="1"/>
  <c r="FA37" i="4"/>
  <c r="FB37" i="4" s="1"/>
  <c r="GG37" i="4"/>
  <c r="GH37" i="4" s="1"/>
  <c r="FQ37" i="4"/>
  <c r="FR37" i="4" s="1"/>
  <c r="FE37" i="4"/>
  <c r="FF37" i="4" s="1"/>
  <c r="ET37" i="4"/>
  <c r="FU37" i="4"/>
  <c r="FV37" i="4" s="1"/>
  <c r="FI37" i="4"/>
  <c r="FJ37" i="4" s="1"/>
  <c r="EW37" i="4"/>
  <c r="EX37" i="4" s="1"/>
  <c r="W54" i="4"/>
  <c r="X54" i="4" s="1"/>
  <c r="AG54" i="4"/>
  <c r="AH54" i="4" s="1"/>
  <c r="ER36" i="4"/>
  <c r="ES36" i="4" s="1"/>
  <c r="CA36" i="4"/>
  <c r="AY36" i="4"/>
  <c r="AZ36" i="4" s="1"/>
  <c r="AU36" i="4"/>
  <c r="AV36" i="4" s="1"/>
  <c r="AQ36" i="4"/>
  <c r="AR36" i="4" s="1"/>
  <c r="AM36" i="4"/>
  <c r="AN36" i="4" s="1"/>
  <c r="AI36" i="4"/>
  <c r="AJ36" i="4" s="1"/>
  <c r="AE36" i="4"/>
  <c r="AF36" i="4" s="1"/>
  <c r="AA36" i="4"/>
  <c r="AB36" i="4" s="1"/>
  <c r="W36" i="4"/>
  <c r="X36" i="4" s="1"/>
  <c r="S36" i="4"/>
  <c r="T36" i="4" s="1"/>
  <c r="O36" i="4"/>
  <c r="P36" i="4" s="1"/>
  <c r="K36" i="4"/>
  <c r="L36" i="4" s="1"/>
  <c r="AW36" i="4"/>
  <c r="AX36" i="4" s="1"/>
  <c r="AS36" i="4"/>
  <c r="AT36" i="4" s="1"/>
  <c r="AO36" i="4"/>
  <c r="AP36" i="4" s="1"/>
  <c r="AK36" i="4"/>
  <c r="AL36" i="4" s="1"/>
  <c r="AG36" i="4"/>
  <c r="AH36" i="4" s="1"/>
  <c r="AC36" i="4"/>
  <c r="AD36" i="4" s="1"/>
  <c r="Y36" i="4"/>
  <c r="Z36" i="4" s="1"/>
  <c r="U36" i="4"/>
  <c r="V36" i="4" s="1"/>
  <c r="Q36" i="4"/>
  <c r="R36" i="4" s="1"/>
  <c r="M36" i="4"/>
  <c r="N36" i="4" s="1"/>
  <c r="J36" i="4"/>
  <c r="Q54" i="4"/>
  <c r="R54" i="4" s="1"/>
  <c r="AW54" i="4"/>
  <c r="AX54" i="4" s="1"/>
  <c r="AM54" i="4"/>
  <c r="AN54" i="4" s="1"/>
  <c r="Y54" i="4"/>
  <c r="Z54" i="4" s="1"/>
  <c r="O54" i="4"/>
  <c r="P54" i="4" s="1"/>
  <c r="AU54" i="4"/>
  <c r="AV54" i="4" s="1"/>
  <c r="ER35" i="4"/>
  <c r="ES35" i="4" s="1"/>
  <c r="CA35" i="4"/>
  <c r="U54" i="4"/>
  <c r="V54" i="4" s="1"/>
  <c r="AK54" i="4"/>
  <c r="AL54" i="4" s="1"/>
  <c r="K54" i="4"/>
  <c r="L54" i="4" s="1"/>
  <c r="AA54" i="4"/>
  <c r="AB54" i="4" s="1"/>
  <c r="AQ54" i="4"/>
  <c r="AR54" i="4" s="1"/>
  <c r="ER52" i="4"/>
  <c r="ES52" i="4" s="1"/>
  <c r="CA52" i="4"/>
  <c r="M54" i="4"/>
  <c r="N54" i="4" s="1"/>
  <c r="AC54" i="4"/>
  <c r="AD54" i="4" s="1"/>
  <c r="AS54" i="4"/>
  <c r="AT54" i="4" s="1"/>
  <c r="S54" i="4"/>
  <c r="T54" i="4" s="1"/>
  <c r="AI54" i="4"/>
  <c r="AJ54" i="4" s="1"/>
  <c r="ER27" i="4"/>
  <c r="ES27" i="4" s="1"/>
  <c r="CA27" i="4"/>
  <c r="EY136" i="4" l="1"/>
  <c r="EZ136" i="4" s="1"/>
  <c r="FO136" i="4"/>
  <c r="FP136" i="4" s="1"/>
  <c r="GE136" i="4"/>
  <c r="GF136" i="4" s="1"/>
  <c r="FA136" i="4"/>
  <c r="FB136" i="4" s="1"/>
  <c r="FQ136" i="4"/>
  <c r="FR136" i="4" s="1"/>
  <c r="GG136" i="4"/>
  <c r="GH136" i="4" s="1"/>
  <c r="FG136" i="4"/>
  <c r="FH136" i="4" s="1"/>
  <c r="FW136" i="4"/>
  <c r="FX136" i="4" s="1"/>
  <c r="ET136" i="4"/>
  <c r="FI136" i="4"/>
  <c r="FJ136" i="4" s="1"/>
  <c r="FY136" i="4"/>
  <c r="FZ136" i="4" s="1"/>
  <c r="EU136" i="4"/>
  <c r="EV136" i="4" s="1"/>
  <c r="FK136" i="4"/>
  <c r="FL136" i="4" s="1"/>
  <c r="GA136" i="4"/>
  <c r="GB136" i="4" s="1"/>
  <c r="EW136" i="4"/>
  <c r="EX136" i="4" s="1"/>
  <c r="FM136" i="4"/>
  <c r="FN136" i="4" s="1"/>
  <c r="AA155" i="4"/>
  <c r="AB155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E18" i="4"/>
  <c r="GF18" i="4" s="1"/>
  <c r="FW18" i="4"/>
  <c r="FX18" i="4" s="1"/>
  <c r="FO18" i="4"/>
  <c r="FP18" i="4" s="1"/>
  <c r="FG18" i="4"/>
  <c r="FH18" i="4" s="1"/>
  <c r="EY18" i="4"/>
  <c r="EZ18" i="4" s="1"/>
  <c r="GI18" i="4"/>
  <c r="GJ18" i="4" s="1"/>
  <c r="GA18" i="4"/>
  <c r="GB18" i="4" s="1"/>
  <c r="FS18" i="4"/>
  <c r="FT18" i="4" s="1"/>
  <c r="FK18" i="4"/>
  <c r="FL18" i="4" s="1"/>
  <c r="FC18" i="4"/>
  <c r="FD18" i="4" s="1"/>
  <c r="EU18" i="4"/>
  <c r="EV18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GA48" i="4"/>
  <c r="GB48" i="4" s="1"/>
  <c r="FK48" i="4"/>
  <c r="FL48" i="4" s="1"/>
  <c r="EU48" i="4"/>
  <c r="EV48" i="4" s="1"/>
  <c r="GI48" i="4"/>
  <c r="GJ48" i="4" s="1"/>
  <c r="FC48" i="4"/>
  <c r="FD48" i="4" s="1"/>
  <c r="FW48" i="4"/>
  <c r="FX48" i="4" s="1"/>
  <c r="FG48" i="4"/>
  <c r="FH48" i="4" s="1"/>
  <c r="GE48" i="4"/>
  <c r="GF48" i="4" s="1"/>
  <c r="FO48" i="4"/>
  <c r="FP48" i="4" s="1"/>
  <c r="EY48" i="4"/>
  <c r="EZ48" i="4" s="1"/>
  <c r="FS48" i="4"/>
  <c r="FT48" i="4" s="1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GE78" i="4"/>
  <c r="GF78" i="4" s="1"/>
  <c r="FO78" i="4"/>
  <c r="FP78" i="4" s="1"/>
  <c r="EY78" i="4"/>
  <c r="EZ78" i="4" s="1"/>
  <c r="GA78" i="4"/>
  <c r="GB78" i="4" s="1"/>
  <c r="FK78" i="4"/>
  <c r="FL78" i="4" s="1"/>
  <c r="EU78" i="4"/>
  <c r="EV78" i="4" s="1"/>
  <c r="GI78" i="4"/>
  <c r="GJ78" i="4" s="1"/>
  <c r="FS78" i="4"/>
  <c r="FT78" i="4" s="1"/>
  <c r="FC78" i="4"/>
  <c r="FD78" i="4" s="1"/>
  <c r="FG78" i="4"/>
  <c r="FH78" i="4" s="1"/>
  <c r="FW78" i="4"/>
  <c r="FX78" i="4" s="1"/>
  <c r="CA60" i="4"/>
  <c r="DM60" i="4" s="1"/>
  <c r="DN60" i="4" s="1"/>
  <c r="AO155" i="4"/>
  <c r="AP155" i="4" s="1"/>
  <c r="DQ81" i="4"/>
  <c r="DR81" i="4" s="1"/>
  <c r="DM81" i="4"/>
  <c r="DN81" i="4" s="1"/>
  <c r="DI81" i="4"/>
  <c r="DJ81" i="4" s="1"/>
  <c r="DE81" i="4"/>
  <c r="DF81" i="4" s="1"/>
  <c r="DA81" i="4"/>
  <c r="DB81" i="4" s="1"/>
  <c r="CW81" i="4"/>
  <c r="CX81" i="4" s="1"/>
  <c r="CS81" i="4"/>
  <c r="CT81" i="4" s="1"/>
  <c r="CO81" i="4"/>
  <c r="CP81" i="4" s="1"/>
  <c r="CK81" i="4"/>
  <c r="CL81" i="4" s="1"/>
  <c r="CG81" i="4"/>
  <c r="CH81" i="4" s="1"/>
  <c r="CC81" i="4"/>
  <c r="CD81" i="4" s="1"/>
  <c r="DO81" i="4"/>
  <c r="DP81" i="4" s="1"/>
  <c r="CY81" i="4"/>
  <c r="CZ81" i="4" s="1"/>
  <c r="CI81" i="4"/>
  <c r="CJ81" i="4" s="1"/>
  <c r="DK81" i="4"/>
  <c r="DL81" i="4" s="1"/>
  <c r="CU81" i="4"/>
  <c r="CV81" i="4" s="1"/>
  <c r="CE81" i="4"/>
  <c r="CF81" i="4" s="1"/>
  <c r="DC81" i="4"/>
  <c r="DD81" i="4" s="1"/>
  <c r="CM81" i="4"/>
  <c r="CN81" i="4" s="1"/>
  <c r="DG81" i="4"/>
  <c r="DH81" i="4" s="1"/>
  <c r="CQ81" i="4"/>
  <c r="CR81" i="4" s="1"/>
  <c r="CB81" i="4"/>
  <c r="DQ102" i="4"/>
  <c r="DR102" i="4" s="1"/>
  <c r="DM102" i="4"/>
  <c r="DN102" i="4" s="1"/>
  <c r="DI102" i="4"/>
  <c r="DJ102" i="4" s="1"/>
  <c r="DE102" i="4"/>
  <c r="DF102" i="4" s="1"/>
  <c r="DA102" i="4"/>
  <c r="DB102" i="4" s="1"/>
  <c r="CW102" i="4"/>
  <c r="CX102" i="4" s="1"/>
  <c r="CS102" i="4"/>
  <c r="CT102" i="4" s="1"/>
  <c r="CO102" i="4"/>
  <c r="CP102" i="4" s="1"/>
  <c r="CK102" i="4"/>
  <c r="CL102" i="4" s="1"/>
  <c r="CG102" i="4"/>
  <c r="CH102" i="4" s="1"/>
  <c r="CC102" i="4"/>
  <c r="CD102" i="4" s="1"/>
  <c r="DO102" i="4"/>
  <c r="DP102" i="4" s="1"/>
  <c r="CY102" i="4"/>
  <c r="CZ102" i="4" s="1"/>
  <c r="CI102" i="4"/>
  <c r="CJ102" i="4" s="1"/>
  <c r="DK102" i="4"/>
  <c r="DL102" i="4" s="1"/>
  <c r="CU102" i="4"/>
  <c r="CV102" i="4" s="1"/>
  <c r="CE102" i="4"/>
  <c r="CF102" i="4" s="1"/>
  <c r="DC102" i="4"/>
  <c r="DD102" i="4" s="1"/>
  <c r="CM102" i="4"/>
  <c r="CN102" i="4" s="1"/>
  <c r="DG102" i="4"/>
  <c r="DH102" i="4" s="1"/>
  <c r="CQ102" i="4"/>
  <c r="CR102" i="4" s="1"/>
  <c r="CB102" i="4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I107" i="4"/>
  <c r="GJ107" i="4" s="1"/>
  <c r="FS107" i="4"/>
  <c r="FT107" i="4" s="1"/>
  <c r="FC107" i="4"/>
  <c r="FD107" i="4" s="1"/>
  <c r="GA107" i="4"/>
  <c r="GB107" i="4" s="1"/>
  <c r="FK107" i="4"/>
  <c r="FL107" i="4" s="1"/>
  <c r="EU107" i="4"/>
  <c r="EV107" i="4" s="1"/>
  <c r="GE107" i="4"/>
  <c r="GF107" i="4" s="1"/>
  <c r="EY107" i="4"/>
  <c r="EZ107" i="4" s="1"/>
  <c r="FO107" i="4"/>
  <c r="FP107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E81" i="4"/>
  <c r="GF81" i="4" s="1"/>
  <c r="FO81" i="4"/>
  <c r="FP81" i="4" s="1"/>
  <c r="EY81" i="4"/>
  <c r="EZ81" i="4" s="1"/>
  <c r="GA81" i="4"/>
  <c r="GB81" i="4" s="1"/>
  <c r="FK81" i="4"/>
  <c r="FL81" i="4" s="1"/>
  <c r="EU81" i="4"/>
  <c r="EV81" i="4" s="1"/>
  <c r="GI81" i="4"/>
  <c r="GJ81" i="4" s="1"/>
  <c r="FS81" i="4"/>
  <c r="FT81" i="4" s="1"/>
  <c r="FC81" i="4"/>
  <c r="FD81" i="4" s="1"/>
  <c r="FW81" i="4"/>
  <c r="FX81" i="4" s="1"/>
  <c r="FG81" i="4"/>
  <c r="FH81" i="4" s="1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E102" i="4"/>
  <c r="GF102" i="4" s="1"/>
  <c r="FO102" i="4"/>
  <c r="FP102" i="4" s="1"/>
  <c r="EY102" i="4"/>
  <c r="EZ102" i="4" s="1"/>
  <c r="GA102" i="4"/>
  <c r="GB102" i="4" s="1"/>
  <c r="FK102" i="4"/>
  <c r="FL102" i="4" s="1"/>
  <c r="EU102" i="4"/>
  <c r="EV102" i="4" s="1"/>
  <c r="GI102" i="4"/>
  <c r="GJ102" i="4" s="1"/>
  <c r="FS102" i="4"/>
  <c r="FT102" i="4" s="1"/>
  <c r="FC102" i="4"/>
  <c r="FD102" i="4" s="1"/>
  <c r="FW102" i="4"/>
  <c r="FX102" i="4" s="1"/>
  <c r="FG102" i="4"/>
  <c r="FH102" i="4" s="1"/>
  <c r="DQ74" i="4"/>
  <c r="DR74" i="4" s="1"/>
  <c r="DM74" i="4"/>
  <c r="DN74" i="4" s="1"/>
  <c r="DI74" i="4"/>
  <c r="DJ74" i="4" s="1"/>
  <c r="DE74" i="4"/>
  <c r="DF74" i="4" s="1"/>
  <c r="DA74" i="4"/>
  <c r="DB74" i="4" s="1"/>
  <c r="CW74" i="4"/>
  <c r="CX74" i="4" s="1"/>
  <c r="CS74" i="4"/>
  <c r="CT74" i="4" s="1"/>
  <c r="CO74" i="4"/>
  <c r="CP74" i="4" s="1"/>
  <c r="CK74" i="4"/>
  <c r="CL74" i="4" s="1"/>
  <c r="CG74" i="4"/>
  <c r="CH74" i="4" s="1"/>
  <c r="CC74" i="4"/>
  <c r="CD74" i="4" s="1"/>
  <c r="DC74" i="4"/>
  <c r="DD74" i="4" s="1"/>
  <c r="CM74" i="4"/>
  <c r="CN74" i="4" s="1"/>
  <c r="DO74" i="4"/>
  <c r="DP74" i="4" s="1"/>
  <c r="CY74" i="4"/>
  <c r="CZ74" i="4" s="1"/>
  <c r="CI74" i="4"/>
  <c r="CJ74" i="4" s="1"/>
  <c r="DG74" i="4"/>
  <c r="DH74" i="4" s="1"/>
  <c r="CQ74" i="4"/>
  <c r="CR74" i="4" s="1"/>
  <c r="CB74" i="4"/>
  <c r="CU74" i="4"/>
  <c r="CV74" i="4" s="1"/>
  <c r="CE74" i="4"/>
  <c r="CF74" i="4" s="1"/>
  <c r="DK74" i="4"/>
  <c r="DL74" i="4" s="1"/>
  <c r="DQ130" i="4"/>
  <c r="DR130" i="4" s="1"/>
  <c r="DM130" i="4"/>
  <c r="DN130" i="4" s="1"/>
  <c r="DI130" i="4"/>
  <c r="DJ130" i="4" s="1"/>
  <c r="DE130" i="4"/>
  <c r="DF130" i="4" s="1"/>
  <c r="DA130" i="4"/>
  <c r="DB130" i="4" s="1"/>
  <c r="CW130" i="4"/>
  <c r="CX130" i="4" s="1"/>
  <c r="CS130" i="4"/>
  <c r="CT130" i="4" s="1"/>
  <c r="CO130" i="4"/>
  <c r="CP130" i="4" s="1"/>
  <c r="CK130" i="4"/>
  <c r="CL130" i="4" s="1"/>
  <c r="CG130" i="4"/>
  <c r="CH130" i="4" s="1"/>
  <c r="CC130" i="4"/>
  <c r="CD130" i="4" s="1"/>
  <c r="DK130" i="4"/>
  <c r="DL130" i="4" s="1"/>
  <c r="CU130" i="4"/>
  <c r="CV130" i="4" s="1"/>
  <c r="CE130" i="4"/>
  <c r="CF130" i="4" s="1"/>
  <c r="DG130" i="4"/>
  <c r="DH130" i="4" s="1"/>
  <c r="CQ130" i="4"/>
  <c r="CR130" i="4" s="1"/>
  <c r="CB130" i="4"/>
  <c r="DO130" i="4"/>
  <c r="DP130" i="4" s="1"/>
  <c r="CY130" i="4"/>
  <c r="CZ130" i="4" s="1"/>
  <c r="CI130" i="4"/>
  <c r="CJ130" i="4" s="1"/>
  <c r="DC130" i="4"/>
  <c r="DD130" i="4" s="1"/>
  <c r="CM130" i="4"/>
  <c r="CN130" i="4" s="1"/>
  <c r="CB22" i="4"/>
  <c r="W140" i="4"/>
  <c r="X140" i="4" s="1"/>
  <c r="FA155" i="4"/>
  <c r="FB155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G18" i="4"/>
  <c r="DH18" i="4" s="1"/>
  <c r="CY18" i="4"/>
  <c r="CZ18" i="4" s="1"/>
  <c r="CU18" i="4"/>
  <c r="CV18" i="4" s="1"/>
  <c r="CM18" i="4"/>
  <c r="CN18" i="4" s="1"/>
  <c r="CI18" i="4"/>
  <c r="CJ18" i="4" s="1"/>
  <c r="CB18" i="4"/>
  <c r="DK18" i="4"/>
  <c r="DL18" i="4" s="1"/>
  <c r="DC18" i="4"/>
  <c r="DD18" i="4" s="1"/>
  <c r="CQ18" i="4"/>
  <c r="CR18" i="4" s="1"/>
  <c r="CE18" i="4"/>
  <c r="CF18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K48" i="4"/>
  <c r="DL48" i="4" s="1"/>
  <c r="CU48" i="4"/>
  <c r="CV48" i="4" s="1"/>
  <c r="CE48" i="4"/>
  <c r="CF48" i="4" s="1"/>
  <c r="CM48" i="4"/>
  <c r="CN48" i="4" s="1"/>
  <c r="DG48" i="4"/>
  <c r="DH48" i="4" s="1"/>
  <c r="CQ48" i="4"/>
  <c r="CR48" i="4" s="1"/>
  <c r="CB48" i="4"/>
  <c r="DO48" i="4"/>
  <c r="DP48" i="4" s="1"/>
  <c r="CY48" i="4"/>
  <c r="CZ48" i="4" s="1"/>
  <c r="CI48" i="4"/>
  <c r="CJ48" i="4" s="1"/>
  <c r="DC48" i="4"/>
  <c r="DD48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G107" i="4"/>
  <c r="DH107" i="4" s="1"/>
  <c r="CQ107" i="4"/>
  <c r="CR107" i="4" s="1"/>
  <c r="CB107" i="4"/>
  <c r="DC107" i="4"/>
  <c r="DD107" i="4" s="1"/>
  <c r="CM107" i="4"/>
  <c r="CN107" i="4" s="1"/>
  <c r="DK107" i="4"/>
  <c r="DL107" i="4" s="1"/>
  <c r="CU107" i="4"/>
  <c r="CV107" i="4" s="1"/>
  <c r="CE107" i="4"/>
  <c r="CF107" i="4" s="1"/>
  <c r="CI107" i="4"/>
  <c r="CJ107" i="4" s="1"/>
  <c r="CY107" i="4"/>
  <c r="CZ107" i="4" s="1"/>
  <c r="DO107" i="4"/>
  <c r="DP107" i="4" s="1"/>
  <c r="DQ78" i="4"/>
  <c r="DR78" i="4" s="1"/>
  <c r="DM78" i="4"/>
  <c r="DN78" i="4" s="1"/>
  <c r="DI78" i="4"/>
  <c r="DJ78" i="4" s="1"/>
  <c r="DE78" i="4"/>
  <c r="DF78" i="4" s="1"/>
  <c r="DA78" i="4"/>
  <c r="DB78" i="4" s="1"/>
  <c r="CW78" i="4"/>
  <c r="CX78" i="4" s="1"/>
  <c r="CS78" i="4"/>
  <c r="CT78" i="4" s="1"/>
  <c r="CO78" i="4"/>
  <c r="CP78" i="4" s="1"/>
  <c r="CK78" i="4"/>
  <c r="CL78" i="4" s="1"/>
  <c r="CG78" i="4"/>
  <c r="CH78" i="4" s="1"/>
  <c r="CC78" i="4"/>
  <c r="CD78" i="4" s="1"/>
  <c r="DO78" i="4"/>
  <c r="DP78" i="4" s="1"/>
  <c r="CY78" i="4"/>
  <c r="CZ78" i="4" s="1"/>
  <c r="CI78" i="4"/>
  <c r="CJ78" i="4" s="1"/>
  <c r="DK78" i="4"/>
  <c r="DL78" i="4" s="1"/>
  <c r="CU78" i="4"/>
  <c r="CV78" i="4" s="1"/>
  <c r="CE78" i="4"/>
  <c r="CF78" i="4" s="1"/>
  <c r="DC78" i="4"/>
  <c r="DD78" i="4" s="1"/>
  <c r="CM78" i="4"/>
  <c r="CN78" i="4" s="1"/>
  <c r="CB78" i="4"/>
  <c r="DG78" i="4"/>
  <c r="DH78" i="4" s="1"/>
  <c r="CQ78" i="4"/>
  <c r="CR78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FS74" i="4"/>
  <c r="FT74" i="4" s="1"/>
  <c r="FC74" i="4"/>
  <c r="FD74" i="4" s="1"/>
  <c r="GE74" i="4"/>
  <c r="GF74" i="4" s="1"/>
  <c r="FO74" i="4"/>
  <c r="FP74" i="4" s="1"/>
  <c r="EY74" i="4"/>
  <c r="EZ74" i="4" s="1"/>
  <c r="FW74" i="4"/>
  <c r="FX74" i="4" s="1"/>
  <c r="FG74" i="4"/>
  <c r="FH74" i="4" s="1"/>
  <c r="EU74" i="4"/>
  <c r="EV74" i="4" s="1"/>
  <c r="FK74" i="4"/>
  <c r="FL74" i="4" s="1"/>
  <c r="GA74" i="4"/>
  <c r="GB74" i="4" s="1"/>
  <c r="GG130" i="4"/>
  <c r="GH130" i="4" s="1"/>
  <c r="GC130" i="4"/>
  <c r="GD130" i="4" s="1"/>
  <c r="FY130" i="4"/>
  <c r="FZ130" i="4" s="1"/>
  <c r="FU130" i="4"/>
  <c r="FV130" i="4" s="1"/>
  <c r="FQ130" i="4"/>
  <c r="FR130" i="4" s="1"/>
  <c r="FM130" i="4"/>
  <c r="FN130" i="4" s="1"/>
  <c r="FI130" i="4"/>
  <c r="FJ130" i="4" s="1"/>
  <c r="FE130" i="4"/>
  <c r="FF130" i="4" s="1"/>
  <c r="FA130" i="4"/>
  <c r="FB130" i="4" s="1"/>
  <c r="EW130" i="4"/>
  <c r="EX130" i="4" s="1"/>
  <c r="ET130" i="4"/>
  <c r="GA130" i="4"/>
  <c r="GB130" i="4" s="1"/>
  <c r="FK130" i="4"/>
  <c r="FL130" i="4" s="1"/>
  <c r="EU130" i="4"/>
  <c r="EV130" i="4" s="1"/>
  <c r="FW130" i="4"/>
  <c r="FX130" i="4" s="1"/>
  <c r="FG130" i="4"/>
  <c r="FH130" i="4" s="1"/>
  <c r="GE130" i="4"/>
  <c r="GF130" i="4" s="1"/>
  <c r="FO130" i="4"/>
  <c r="FP130" i="4" s="1"/>
  <c r="EY130" i="4"/>
  <c r="EZ130" i="4" s="1"/>
  <c r="FS130" i="4"/>
  <c r="FT130" i="4" s="1"/>
  <c r="FC130" i="4"/>
  <c r="FD130" i="4" s="1"/>
  <c r="GI130" i="4"/>
  <c r="GJ130" i="4" s="1"/>
  <c r="AU155" i="4"/>
  <c r="AV155" i="4" s="1"/>
  <c r="FS155" i="4"/>
  <c r="FT155" i="4" s="1"/>
  <c r="AK155" i="4"/>
  <c r="AL155" i="4" s="1"/>
  <c r="GG155" i="4"/>
  <c r="GH155" i="4" s="1"/>
  <c r="FU155" i="4"/>
  <c r="FV155" i="4" s="1"/>
  <c r="M140" i="4"/>
  <c r="N140" i="4" s="1"/>
  <c r="O140" i="4"/>
  <c r="P140" i="4" s="1"/>
  <c r="U140" i="4"/>
  <c r="V140" i="4" s="1"/>
  <c r="AU140" i="4"/>
  <c r="AV140" i="4" s="1"/>
  <c r="AG140" i="4"/>
  <c r="AH140" i="4" s="1"/>
  <c r="AI140" i="4"/>
  <c r="AJ140" i="4" s="1"/>
  <c r="AS140" i="4"/>
  <c r="AT140" i="4" s="1"/>
  <c r="DO133" i="4"/>
  <c r="DP133" i="4" s="1"/>
  <c r="CG133" i="4"/>
  <c r="CH133" i="4" s="1"/>
  <c r="CW133" i="4"/>
  <c r="CX133" i="4" s="1"/>
  <c r="DM133" i="4"/>
  <c r="DN133" i="4" s="1"/>
  <c r="CB133" i="4"/>
  <c r="CQ133" i="4"/>
  <c r="CR133" i="4" s="1"/>
  <c r="DG133" i="4"/>
  <c r="DH133" i="4" s="1"/>
  <c r="CK133" i="4"/>
  <c r="CL133" i="4" s="1"/>
  <c r="DA133" i="4"/>
  <c r="DB133" i="4" s="1"/>
  <c r="DQ133" i="4"/>
  <c r="DR133" i="4" s="1"/>
  <c r="CU133" i="4"/>
  <c r="CV133" i="4" s="1"/>
  <c r="DK133" i="4"/>
  <c r="DL133" i="4" s="1"/>
  <c r="CE133" i="4"/>
  <c r="CF133" i="4" s="1"/>
  <c r="CO133" i="4"/>
  <c r="CP133" i="4" s="1"/>
  <c r="DE133" i="4"/>
  <c r="DF133" i="4" s="1"/>
  <c r="CI133" i="4"/>
  <c r="CJ133" i="4" s="1"/>
  <c r="CY133" i="4"/>
  <c r="CZ133" i="4" s="1"/>
  <c r="CC133" i="4"/>
  <c r="CD133" i="4" s="1"/>
  <c r="CS133" i="4"/>
  <c r="CT133" i="4" s="1"/>
  <c r="DI133" i="4"/>
  <c r="DJ133" i="4" s="1"/>
  <c r="CM133" i="4"/>
  <c r="CN133" i="4" s="1"/>
  <c r="DC133" i="4"/>
  <c r="DD133" i="4" s="1"/>
  <c r="GI133" i="4"/>
  <c r="GJ133" i="4" s="1"/>
  <c r="FS133" i="4"/>
  <c r="FT133" i="4" s="1"/>
  <c r="FC133" i="4"/>
  <c r="FD133" i="4" s="1"/>
  <c r="GC133" i="4"/>
  <c r="GD133" i="4" s="1"/>
  <c r="FM133" i="4"/>
  <c r="FN133" i="4" s="1"/>
  <c r="EW133" i="4"/>
  <c r="EX133" i="4" s="1"/>
  <c r="GE133" i="4"/>
  <c r="GF133" i="4" s="1"/>
  <c r="FO133" i="4"/>
  <c r="FP133" i="4" s="1"/>
  <c r="EY133" i="4"/>
  <c r="EZ133" i="4" s="1"/>
  <c r="FY133" i="4"/>
  <c r="FZ133" i="4" s="1"/>
  <c r="FI133" i="4"/>
  <c r="FJ133" i="4" s="1"/>
  <c r="ET133" i="4"/>
  <c r="GA133" i="4"/>
  <c r="GB133" i="4" s="1"/>
  <c r="FK133" i="4"/>
  <c r="FL133" i="4" s="1"/>
  <c r="EU133" i="4"/>
  <c r="EV133" i="4" s="1"/>
  <c r="FU133" i="4"/>
  <c r="FV133" i="4" s="1"/>
  <c r="FE133" i="4"/>
  <c r="FF133" i="4" s="1"/>
  <c r="FW133" i="4"/>
  <c r="FX133" i="4" s="1"/>
  <c r="FG133" i="4"/>
  <c r="FH133" i="4" s="1"/>
  <c r="GG133" i="4"/>
  <c r="GH133" i="4" s="1"/>
  <c r="FQ133" i="4"/>
  <c r="FR133" i="4" s="1"/>
  <c r="FA133" i="4"/>
  <c r="FB133" i="4" s="1"/>
  <c r="DO111" i="4"/>
  <c r="DP111" i="4" s="1"/>
  <c r="CG111" i="4"/>
  <c r="CH111" i="4" s="1"/>
  <c r="CW111" i="4"/>
  <c r="CX111" i="4" s="1"/>
  <c r="DM111" i="4"/>
  <c r="DN111" i="4" s="1"/>
  <c r="CB111" i="4"/>
  <c r="CQ111" i="4"/>
  <c r="CR111" i="4" s="1"/>
  <c r="DG111" i="4"/>
  <c r="DH111" i="4" s="1"/>
  <c r="CE111" i="4"/>
  <c r="CF111" i="4" s="1"/>
  <c r="CO111" i="4"/>
  <c r="CP111" i="4" s="1"/>
  <c r="DE111" i="4"/>
  <c r="DF111" i="4" s="1"/>
  <c r="CI111" i="4"/>
  <c r="CJ111" i="4" s="1"/>
  <c r="CY111" i="4"/>
  <c r="CZ111" i="4" s="1"/>
  <c r="CK111" i="4"/>
  <c r="CL111" i="4" s="1"/>
  <c r="DA111" i="4"/>
  <c r="DB111" i="4" s="1"/>
  <c r="DK111" i="4"/>
  <c r="DL111" i="4" s="1"/>
  <c r="CC111" i="4"/>
  <c r="CD111" i="4" s="1"/>
  <c r="CS111" i="4"/>
  <c r="CT111" i="4" s="1"/>
  <c r="DI111" i="4"/>
  <c r="DJ111" i="4" s="1"/>
  <c r="CM111" i="4"/>
  <c r="CN111" i="4" s="1"/>
  <c r="DC111" i="4"/>
  <c r="DD111" i="4" s="1"/>
  <c r="DQ111" i="4"/>
  <c r="DR111" i="4" s="1"/>
  <c r="CU111" i="4"/>
  <c r="CV111" i="4" s="1"/>
  <c r="GA111" i="4"/>
  <c r="GB111" i="4" s="1"/>
  <c r="FK111" i="4"/>
  <c r="FL111" i="4" s="1"/>
  <c r="EU111" i="4"/>
  <c r="EV111" i="4" s="1"/>
  <c r="FU111" i="4"/>
  <c r="FV111" i="4" s="1"/>
  <c r="FE111" i="4"/>
  <c r="FF111" i="4" s="1"/>
  <c r="GI111" i="4"/>
  <c r="GJ111" i="4" s="1"/>
  <c r="FS111" i="4"/>
  <c r="FT111" i="4" s="1"/>
  <c r="FC111" i="4"/>
  <c r="FD111" i="4" s="1"/>
  <c r="GC111" i="4"/>
  <c r="GD111" i="4" s="1"/>
  <c r="FM111" i="4"/>
  <c r="FN111" i="4" s="1"/>
  <c r="EW111" i="4"/>
  <c r="EX111" i="4" s="1"/>
  <c r="FW111" i="4"/>
  <c r="FX111" i="4" s="1"/>
  <c r="FG111" i="4"/>
  <c r="FH111" i="4" s="1"/>
  <c r="FQ111" i="4"/>
  <c r="FR111" i="4" s="1"/>
  <c r="FA111" i="4"/>
  <c r="FB111" i="4" s="1"/>
  <c r="GE111" i="4"/>
  <c r="GF111" i="4" s="1"/>
  <c r="FO111" i="4"/>
  <c r="FP111" i="4" s="1"/>
  <c r="EY111" i="4"/>
  <c r="EZ111" i="4" s="1"/>
  <c r="FY111" i="4"/>
  <c r="FZ111" i="4" s="1"/>
  <c r="FI111" i="4"/>
  <c r="FJ111" i="4" s="1"/>
  <c r="ET111" i="4"/>
  <c r="GG111" i="4"/>
  <c r="GH111" i="4" s="1"/>
  <c r="FW96" i="4"/>
  <c r="FX96" i="4" s="1"/>
  <c r="FG96" i="4"/>
  <c r="FH96" i="4" s="1"/>
  <c r="GG96" i="4"/>
  <c r="GH96" i="4" s="1"/>
  <c r="FM96" i="4"/>
  <c r="FN96" i="4" s="1"/>
  <c r="FU96" i="4"/>
  <c r="FV96" i="4" s="1"/>
  <c r="GI96" i="4"/>
  <c r="GJ96" i="4" s="1"/>
  <c r="FS96" i="4"/>
  <c r="FT96" i="4" s="1"/>
  <c r="FC96" i="4"/>
  <c r="FD96" i="4" s="1"/>
  <c r="GC96" i="4"/>
  <c r="GD96" i="4" s="1"/>
  <c r="FE96" i="4"/>
  <c r="FF96" i="4" s="1"/>
  <c r="FI96" i="4"/>
  <c r="FJ96" i="4" s="1"/>
  <c r="GE96" i="4"/>
  <c r="GF96" i="4" s="1"/>
  <c r="FO96" i="4"/>
  <c r="FP96" i="4" s="1"/>
  <c r="EY96" i="4"/>
  <c r="EZ96" i="4" s="1"/>
  <c r="FA96" i="4"/>
  <c r="FB96" i="4" s="1"/>
  <c r="EW96" i="4"/>
  <c r="EX96" i="4" s="1"/>
  <c r="GA96" i="4"/>
  <c r="GB96" i="4" s="1"/>
  <c r="FK96" i="4"/>
  <c r="FL96" i="4" s="1"/>
  <c r="EU96" i="4"/>
  <c r="EV96" i="4" s="1"/>
  <c r="FQ96" i="4"/>
  <c r="FR96" i="4" s="1"/>
  <c r="ET96" i="4"/>
  <c r="FY96" i="4"/>
  <c r="FZ96" i="4" s="1"/>
  <c r="DO96" i="4"/>
  <c r="DP96" i="4" s="1"/>
  <c r="DE96" i="4"/>
  <c r="DF96" i="4" s="1"/>
  <c r="CO96" i="4"/>
  <c r="CP96" i="4" s="1"/>
  <c r="DM96" i="4"/>
  <c r="DN96" i="4" s="1"/>
  <c r="DQ96" i="4"/>
  <c r="DR96" i="4" s="1"/>
  <c r="DA96" i="4"/>
  <c r="DB96" i="4" s="1"/>
  <c r="CK96" i="4"/>
  <c r="CL96" i="4" s="1"/>
  <c r="CW96" i="4"/>
  <c r="CX96" i="4" s="1"/>
  <c r="DI96" i="4"/>
  <c r="DJ96" i="4" s="1"/>
  <c r="CS96" i="4"/>
  <c r="CT96" i="4" s="1"/>
  <c r="CC96" i="4"/>
  <c r="CD96" i="4" s="1"/>
  <c r="CG96" i="4"/>
  <c r="CH96" i="4" s="1"/>
  <c r="CE96" i="4"/>
  <c r="CF96" i="4" s="1"/>
  <c r="CU96" i="4"/>
  <c r="CV96" i="4" s="1"/>
  <c r="DK96" i="4"/>
  <c r="DL96" i="4" s="1"/>
  <c r="CM96" i="4"/>
  <c r="CN96" i="4" s="1"/>
  <c r="CI96" i="4"/>
  <c r="CJ96" i="4" s="1"/>
  <c r="CY96" i="4"/>
  <c r="CZ96" i="4" s="1"/>
  <c r="DC96" i="4"/>
  <c r="DD96" i="4" s="1"/>
  <c r="CB96" i="4"/>
  <c r="CQ96" i="4"/>
  <c r="CR96" i="4" s="1"/>
  <c r="DG96" i="4"/>
  <c r="DH96" i="4" s="1"/>
  <c r="CW22" i="4"/>
  <c r="CX22" i="4" s="1"/>
  <c r="CU22" i="4"/>
  <c r="CV22" i="4" s="1"/>
  <c r="DO22" i="4"/>
  <c r="DP22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J155" i="4"/>
  <c r="AW155" i="4"/>
  <c r="AX155" i="4" s="1"/>
  <c r="AE155" i="4"/>
  <c r="AF155" i="4" s="1"/>
  <c r="AY155" i="4"/>
  <c r="AZ155" i="4" s="1"/>
  <c r="Q155" i="4"/>
  <c r="R155" i="4" s="1"/>
  <c r="U155" i="4"/>
  <c r="V155" i="4" s="1"/>
  <c r="O155" i="4"/>
  <c r="P155" i="4" s="1"/>
  <c r="AI155" i="4"/>
  <c r="AJ155" i="4" s="1"/>
  <c r="K155" i="4"/>
  <c r="L155" i="4" s="1"/>
  <c r="AG155" i="4"/>
  <c r="AH155" i="4" s="1"/>
  <c r="AC155" i="4"/>
  <c r="AD155" i="4" s="1"/>
  <c r="S155" i="4"/>
  <c r="T155" i="4" s="1"/>
  <c r="AQ155" i="4"/>
  <c r="AR155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GI147" i="4"/>
  <c r="GJ147" i="4" s="1"/>
  <c r="GE147" i="4"/>
  <c r="GF147" i="4" s="1"/>
  <c r="GA147" i="4"/>
  <c r="GB147" i="4" s="1"/>
  <c r="FW147" i="4"/>
  <c r="FX147" i="4" s="1"/>
  <c r="FS147" i="4"/>
  <c r="FT147" i="4" s="1"/>
  <c r="FO147" i="4"/>
  <c r="FP147" i="4" s="1"/>
  <c r="FK147" i="4"/>
  <c r="FL147" i="4" s="1"/>
  <c r="FG147" i="4"/>
  <c r="FH147" i="4" s="1"/>
  <c r="FC147" i="4"/>
  <c r="FD147" i="4" s="1"/>
  <c r="EY147" i="4"/>
  <c r="EZ147" i="4" s="1"/>
  <c r="EU147" i="4"/>
  <c r="EV147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DO147" i="4"/>
  <c r="DP147" i="4" s="1"/>
  <c r="DK147" i="4"/>
  <c r="DL147" i="4" s="1"/>
  <c r="DG147" i="4"/>
  <c r="DH147" i="4" s="1"/>
  <c r="DC147" i="4"/>
  <c r="DD147" i="4" s="1"/>
  <c r="CY147" i="4"/>
  <c r="CZ147" i="4" s="1"/>
  <c r="CU147" i="4"/>
  <c r="CV147" i="4" s="1"/>
  <c r="CQ147" i="4"/>
  <c r="CR147" i="4" s="1"/>
  <c r="CM147" i="4"/>
  <c r="CN147" i="4" s="1"/>
  <c r="CI147" i="4"/>
  <c r="CJ147" i="4" s="1"/>
  <c r="CE147" i="4"/>
  <c r="CF147" i="4" s="1"/>
  <c r="CB147" i="4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Q125" i="4"/>
  <c r="DR125" i="4" s="1"/>
  <c r="DM125" i="4"/>
  <c r="DN125" i="4" s="1"/>
  <c r="DI125" i="4"/>
  <c r="DJ125" i="4" s="1"/>
  <c r="DE125" i="4"/>
  <c r="DF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C125" i="4"/>
  <c r="DD125" i="4" s="1"/>
  <c r="CQ125" i="4"/>
  <c r="CR125" i="4" s="1"/>
  <c r="CE125" i="4"/>
  <c r="CF125" i="4" s="1"/>
  <c r="DK125" i="4"/>
  <c r="DL125" i="4" s="1"/>
  <c r="CU125" i="4"/>
  <c r="CV125" i="4" s="1"/>
  <c r="CI125" i="4"/>
  <c r="CJ125" i="4" s="1"/>
  <c r="DG125" i="4"/>
  <c r="DH125" i="4" s="1"/>
  <c r="CY125" i="4"/>
  <c r="CZ125" i="4" s="1"/>
  <c r="CM125" i="4"/>
  <c r="CN125" i="4" s="1"/>
  <c r="CB125" i="4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GA125" i="4"/>
  <c r="GB125" i="4" s="1"/>
  <c r="FS125" i="4"/>
  <c r="FT125" i="4" s="1"/>
  <c r="FK125" i="4"/>
  <c r="FL125" i="4" s="1"/>
  <c r="FC125" i="4"/>
  <c r="FD125" i="4" s="1"/>
  <c r="GI125" i="4"/>
  <c r="GJ125" i="4" s="1"/>
  <c r="FW125" i="4"/>
  <c r="FX125" i="4" s="1"/>
  <c r="FG125" i="4"/>
  <c r="FH125" i="4" s="1"/>
  <c r="EU125" i="4"/>
  <c r="EV125" i="4" s="1"/>
  <c r="FO125" i="4"/>
  <c r="FP125" i="4" s="1"/>
  <c r="EY125" i="4"/>
  <c r="EZ125" i="4" s="1"/>
  <c r="CQ22" i="4"/>
  <c r="CR22" i="4" s="1"/>
  <c r="CO22" i="4"/>
  <c r="CP22" i="4" s="1"/>
  <c r="DK22" i="4"/>
  <c r="DL22" i="4" s="1"/>
  <c r="DQ22" i="4"/>
  <c r="DR22" i="4" s="1"/>
  <c r="CE22" i="4"/>
  <c r="CF22" i="4" s="1"/>
  <c r="CG22" i="4"/>
  <c r="CH22" i="4" s="1"/>
  <c r="CY22" i="4"/>
  <c r="CZ22" i="4" s="1"/>
  <c r="DA22" i="4"/>
  <c r="DB22" i="4" s="1"/>
  <c r="CM22" i="4"/>
  <c r="CN22" i="4" s="1"/>
  <c r="CK22" i="4"/>
  <c r="CL22" i="4" s="1"/>
  <c r="DC22" i="4"/>
  <c r="DD22" i="4" s="1"/>
  <c r="DM22" i="4"/>
  <c r="DN22" i="4" s="1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C53" i="4"/>
  <c r="GD53" i="4" s="1"/>
  <c r="FU53" i="4"/>
  <c r="FV53" i="4" s="1"/>
  <c r="FI53" i="4"/>
  <c r="FJ53" i="4" s="1"/>
  <c r="EW53" i="4"/>
  <c r="EX53" i="4" s="1"/>
  <c r="GG53" i="4"/>
  <c r="GH53" i="4" s="1"/>
  <c r="FY53" i="4"/>
  <c r="FZ53" i="4" s="1"/>
  <c r="FM53" i="4"/>
  <c r="FN53" i="4" s="1"/>
  <c r="FA53" i="4"/>
  <c r="FB53" i="4" s="1"/>
  <c r="FQ53" i="4"/>
  <c r="FR53" i="4" s="1"/>
  <c r="FE53" i="4"/>
  <c r="FF53" i="4" s="1"/>
  <c r="ET53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M53" i="4"/>
  <c r="DN53" i="4" s="1"/>
  <c r="CW53" i="4"/>
  <c r="CX53" i="4" s="1"/>
  <c r="CK53" i="4"/>
  <c r="CL53" i="4" s="1"/>
  <c r="DQ53" i="4"/>
  <c r="DR53" i="4" s="1"/>
  <c r="DE53" i="4"/>
  <c r="DF53" i="4" s="1"/>
  <c r="CS53" i="4"/>
  <c r="CT53" i="4" s="1"/>
  <c r="CC53" i="4"/>
  <c r="CD53" i="4" s="1"/>
  <c r="DI53" i="4"/>
  <c r="DJ53" i="4" s="1"/>
  <c r="DA53" i="4"/>
  <c r="DB53" i="4" s="1"/>
  <c r="CO53" i="4"/>
  <c r="CP53" i="4" s="1"/>
  <c r="CG53" i="4"/>
  <c r="CH53" i="4" s="1"/>
  <c r="FC155" i="4"/>
  <c r="FD155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CQ153" i="4"/>
  <c r="CR153" i="4" s="1"/>
  <c r="CM153" i="4"/>
  <c r="CN153" i="4" s="1"/>
  <c r="CI153" i="4"/>
  <c r="CJ153" i="4" s="1"/>
  <c r="CE153" i="4"/>
  <c r="CF153" i="4" s="1"/>
  <c r="CB153" i="4"/>
  <c r="DQ153" i="4"/>
  <c r="DR153" i="4" s="1"/>
  <c r="DM153" i="4"/>
  <c r="DN153" i="4" s="1"/>
  <c r="DI153" i="4"/>
  <c r="DJ153" i="4" s="1"/>
  <c r="DE153" i="4"/>
  <c r="DF153" i="4" s="1"/>
  <c r="DA153" i="4"/>
  <c r="DB153" i="4" s="1"/>
  <c r="CW153" i="4"/>
  <c r="CX153" i="4" s="1"/>
  <c r="CS153" i="4"/>
  <c r="CT153" i="4" s="1"/>
  <c r="CO153" i="4"/>
  <c r="CP153" i="4" s="1"/>
  <c r="CK153" i="4"/>
  <c r="CL153" i="4" s="1"/>
  <c r="CG153" i="4"/>
  <c r="CH153" i="4" s="1"/>
  <c r="CC153" i="4"/>
  <c r="CD153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DQ146" i="4"/>
  <c r="DR146" i="4" s="1"/>
  <c r="DM146" i="4"/>
  <c r="DN146" i="4" s="1"/>
  <c r="DI146" i="4"/>
  <c r="DJ146" i="4" s="1"/>
  <c r="DE146" i="4"/>
  <c r="DF146" i="4" s="1"/>
  <c r="DA146" i="4"/>
  <c r="DB146" i="4" s="1"/>
  <c r="CW146" i="4"/>
  <c r="CX146" i="4" s="1"/>
  <c r="CS146" i="4"/>
  <c r="CT146" i="4" s="1"/>
  <c r="CO146" i="4"/>
  <c r="CP146" i="4" s="1"/>
  <c r="CK146" i="4"/>
  <c r="CL146" i="4" s="1"/>
  <c r="CG146" i="4"/>
  <c r="CH146" i="4" s="1"/>
  <c r="CC146" i="4"/>
  <c r="CD146" i="4" s="1"/>
  <c r="DO146" i="4"/>
  <c r="DP146" i="4" s="1"/>
  <c r="DK146" i="4"/>
  <c r="DL146" i="4" s="1"/>
  <c r="DG146" i="4"/>
  <c r="DH146" i="4" s="1"/>
  <c r="DC146" i="4"/>
  <c r="DD146" i="4" s="1"/>
  <c r="CY146" i="4"/>
  <c r="CZ146" i="4" s="1"/>
  <c r="CU146" i="4"/>
  <c r="CV146" i="4" s="1"/>
  <c r="CQ146" i="4"/>
  <c r="CR146" i="4" s="1"/>
  <c r="CM146" i="4"/>
  <c r="CN146" i="4" s="1"/>
  <c r="CI146" i="4"/>
  <c r="CJ146" i="4" s="1"/>
  <c r="CE146" i="4"/>
  <c r="CF146" i="4" s="1"/>
  <c r="CB146" i="4"/>
  <c r="GG146" i="4"/>
  <c r="GH146" i="4" s="1"/>
  <c r="GC146" i="4"/>
  <c r="GD146" i="4" s="1"/>
  <c r="FY146" i="4"/>
  <c r="FZ146" i="4" s="1"/>
  <c r="FU146" i="4"/>
  <c r="FV146" i="4" s="1"/>
  <c r="FQ146" i="4"/>
  <c r="FR146" i="4" s="1"/>
  <c r="FM146" i="4"/>
  <c r="FN146" i="4" s="1"/>
  <c r="FI146" i="4"/>
  <c r="FJ146" i="4" s="1"/>
  <c r="FE146" i="4"/>
  <c r="FF146" i="4" s="1"/>
  <c r="FA146" i="4"/>
  <c r="FB146" i="4" s="1"/>
  <c r="EW146" i="4"/>
  <c r="EX146" i="4" s="1"/>
  <c r="ET146" i="4"/>
  <c r="GI146" i="4"/>
  <c r="GJ146" i="4" s="1"/>
  <c r="GE146" i="4"/>
  <c r="GF146" i="4" s="1"/>
  <c r="GA146" i="4"/>
  <c r="GB146" i="4" s="1"/>
  <c r="FW146" i="4"/>
  <c r="FX146" i="4" s="1"/>
  <c r="FS146" i="4"/>
  <c r="FT146" i="4" s="1"/>
  <c r="FO146" i="4"/>
  <c r="FP146" i="4" s="1"/>
  <c r="FK146" i="4"/>
  <c r="FL146" i="4" s="1"/>
  <c r="FG146" i="4"/>
  <c r="FH146" i="4" s="1"/>
  <c r="FC146" i="4"/>
  <c r="FD146" i="4" s="1"/>
  <c r="EY146" i="4"/>
  <c r="EZ146" i="4" s="1"/>
  <c r="EU146" i="4"/>
  <c r="EV146" i="4" s="1"/>
  <c r="Y155" i="4"/>
  <c r="Z155" i="4" s="1"/>
  <c r="M155" i="4"/>
  <c r="N155" i="4" s="1"/>
  <c r="AS155" i="4"/>
  <c r="AT155" i="4" s="1"/>
  <c r="W155" i="4"/>
  <c r="X155" i="4" s="1"/>
  <c r="ET155" i="4"/>
  <c r="FY155" i="4"/>
  <c r="FZ155" i="4" s="1"/>
  <c r="FM155" i="4"/>
  <c r="FN155" i="4" s="1"/>
  <c r="EY155" i="4"/>
  <c r="EZ155" i="4" s="1"/>
  <c r="FO155" i="4"/>
  <c r="FP155" i="4" s="1"/>
  <c r="GE155" i="4"/>
  <c r="GF155" i="4" s="1"/>
  <c r="FI155" i="4"/>
  <c r="FJ155" i="4" s="1"/>
  <c r="EW155" i="4"/>
  <c r="EX155" i="4" s="1"/>
  <c r="GC155" i="4"/>
  <c r="GD155" i="4" s="1"/>
  <c r="FG155" i="4"/>
  <c r="FH155" i="4" s="1"/>
  <c r="FW155" i="4"/>
  <c r="FX155" i="4" s="1"/>
  <c r="FQ155" i="4"/>
  <c r="FR155" i="4" s="1"/>
  <c r="FE155" i="4"/>
  <c r="FF155" i="4" s="1"/>
  <c r="EU155" i="4"/>
  <c r="EV155" i="4" s="1"/>
  <c r="FK155" i="4"/>
  <c r="FL155" i="4" s="1"/>
  <c r="DO25" i="4"/>
  <c r="DP25" i="4" s="1"/>
  <c r="DK25" i="4"/>
  <c r="DL25" i="4" s="1"/>
  <c r="DG25" i="4"/>
  <c r="DH25" i="4" s="1"/>
  <c r="DC25" i="4"/>
  <c r="DD25" i="4" s="1"/>
  <c r="CY25" i="4"/>
  <c r="CZ25" i="4" s="1"/>
  <c r="DQ25" i="4"/>
  <c r="DR25" i="4" s="1"/>
  <c r="DM25" i="4"/>
  <c r="DN25" i="4" s="1"/>
  <c r="DI25" i="4"/>
  <c r="DJ25" i="4" s="1"/>
  <c r="DE25" i="4"/>
  <c r="DF25" i="4" s="1"/>
  <c r="DA25" i="4"/>
  <c r="DB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CO25" i="4"/>
  <c r="CP25" i="4" s="1"/>
  <c r="CW25" i="4"/>
  <c r="CX25" i="4" s="1"/>
  <c r="CG25" i="4"/>
  <c r="CH25" i="4" s="1"/>
  <c r="CS25" i="4"/>
  <c r="CT25" i="4" s="1"/>
  <c r="CK25" i="4"/>
  <c r="CL25" i="4" s="1"/>
  <c r="CC25" i="4"/>
  <c r="CD25" i="4" s="1"/>
  <c r="AY148" i="4"/>
  <c r="AZ148" i="4" s="1"/>
  <c r="AU148" i="4"/>
  <c r="AV148" i="4" s="1"/>
  <c r="AQ148" i="4"/>
  <c r="AR148" i="4" s="1"/>
  <c r="AM148" i="4"/>
  <c r="AN148" i="4" s="1"/>
  <c r="AI148" i="4"/>
  <c r="AJ148" i="4" s="1"/>
  <c r="AE148" i="4"/>
  <c r="AF148" i="4" s="1"/>
  <c r="AA148" i="4"/>
  <c r="AB148" i="4" s="1"/>
  <c r="W148" i="4"/>
  <c r="X148" i="4" s="1"/>
  <c r="S148" i="4"/>
  <c r="T148" i="4" s="1"/>
  <c r="O148" i="4"/>
  <c r="P148" i="4" s="1"/>
  <c r="K148" i="4"/>
  <c r="L148" i="4" s="1"/>
  <c r="AO148" i="4"/>
  <c r="AP148" i="4" s="1"/>
  <c r="Y148" i="4"/>
  <c r="Z148" i="4" s="1"/>
  <c r="J148" i="4"/>
  <c r="Q148" i="4"/>
  <c r="R148" i="4" s="1"/>
  <c r="AK148" i="4"/>
  <c r="AL148" i="4" s="1"/>
  <c r="U148" i="4"/>
  <c r="V148" i="4" s="1"/>
  <c r="AG148" i="4"/>
  <c r="AH148" i="4" s="1"/>
  <c r="AS148" i="4"/>
  <c r="AT148" i="4" s="1"/>
  <c r="AC148" i="4"/>
  <c r="AD148" i="4" s="1"/>
  <c r="M148" i="4"/>
  <c r="N148" i="4" s="1"/>
  <c r="AW148" i="4"/>
  <c r="AX148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ER143" i="4"/>
  <c r="ES143" i="4" s="1"/>
  <c r="CA143" i="4"/>
  <c r="CA148" i="4"/>
  <c r="ER148" i="4"/>
  <c r="ES148" i="4" s="1"/>
  <c r="AY143" i="4"/>
  <c r="AZ143" i="4" s="1"/>
  <c r="AU143" i="4"/>
  <c r="AV143" i="4" s="1"/>
  <c r="AQ143" i="4"/>
  <c r="AR143" i="4" s="1"/>
  <c r="AM143" i="4"/>
  <c r="AN143" i="4" s="1"/>
  <c r="AI143" i="4"/>
  <c r="AJ143" i="4" s="1"/>
  <c r="AE143" i="4"/>
  <c r="AF143" i="4" s="1"/>
  <c r="AA143" i="4"/>
  <c r="AB143" i="4" s="1"/>
  <c r="W143" i="4"/>
  <c r="X143" i="4" s="1"/>
  <c r="S143" i="4"/>
  <c r="T143" i="4" s="1"/>
  <c r="O143" i="4"/>
  <c r="P143" i="4" s="1"/>
  <c r="K143" i="4"/>
  <c r="L143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DQ26" i="4"/>
  <c r="DR26" i="4" s="1"/>
  <c r="DM26" i="4"/>
  <c r="DN26" i="4" s="1"/>
  <c r="DI26" i="4"/>
  <c r="DJ26" i="4" s="1"/>
  <c r="DE26" i="4"/>
  <c r="DF26" i="4" s="1"/>
  <c r="DO26" i="4"/>
  <c r="DP26" i="4" s="1"/>
  <c r="DG26" i="4"/>
  <c r="DH26" i="4" s="1"/>
  <c r="DA26" i="4"/>
  <c r="DB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DK26" i="4"/>
  <c r="DL26" i="4" s="1"/>
  <c r="CS26" i="4"/>
  <c r="CT26" i="4" s="1"/>
  <c r="CC26" i="4"/>
  <c r="CD26" i="4" s="1"/>
  <c r="CK26" i="4"/>
  <c r="CL26" i="4" s="1"/>
  <c r="CW26" i="4"/>
  <c r="CX26" i="4" s="1"/>
  <c r="CG26" i="4"/>
  <c r="CH26" i="4" s="1"/>
  <c r="CO26" i="4"/>
  <c r="CP26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E26" i="4"/>
  <c r="GF26" i="4" s="1"/>
  <c r="FW26" i="4"/>
  <c r="FX26" i="4" s="1"/>
  <c r="FO26" i="4"/>
  <c r="FP26" i="4" s="1"/>
  <c r="FG26" i="4"/>
  <c r="FH26" i="4" s="1"/>
  <c r="EY26" i="4"/>
  <c r="EZ26" i="4" s="1"/>
  <c r="GI26" i="4"/>
  <c r="GJ26" i="4" s="1"/>
  <c r="FC26" i="4"/>
  <c r="FD26" i="4" s="1"/>
  <c r="FK26" i="4"/>
  <c r="FL26" i="4" s="1"/>
  <c r="GA26" i="4"/>
  <c r="GB26" i="4" s="1"/>
  <c r="EU26" i="4"/>
  <c r="EV26" i="4" s="1"/>
  <c r="FS26" i="4"/>
  <c r="FT26" i="4" s="1"/>
  <c r="DQ20" i="4"/>
  <c r="DR20" i="4" s="1"/>
  <c r="DM20" i="4"/>
  <c r="DN20" i="4" s="1"/>
  <c r="DI20" i="4"/>
  <c r="DJ20" i="4" s="1"/>
  <c r="DE20" i="4"/>
  <c r="DF20" i="4" s="1"/>
  <c r="DO20" i="4"/>
  <c r="DP20" i="4" s="1"/>
  <c r="DA20" i="4"/>
  <c r="DB20" i="4" s="1"/>
  <c r="DK20" i="4"/>
  <c r="DL20" i="4" s="1"/>
  <c r="CU20" i="4"/>
  <c r="CV20" i="4" s="1"/>
  <c r="CQ20" i="4"/>
  <c r="CR20" i="4" s="1"/>
  <c r="CM20" i="4"/>
  <c r="CN20" i="4" s="1"/>
  <c r="CI20" i="4"/>
  <c r="CJ20" i="4" s="1"/>
  <c r="CE20" i="4"/>
  <c r="CF20" i="4" s="1"/>
  <c r="CB20" i="4"/>
  <c r="DG20" i="4"/>
  <c r="DH20" i="4" s="1"/>
  <c r="CY20" i="4"/>
  <c r="CZ20" i="4" s="1"/>
  <c r="DC20" i="4"/>
  <c r="DD20" i="4" s="1"/>
  <c r="CW20" i="4"/>
  <c r="CX20" i="4" s="1"/>
  <c r="CS20" i="4"/>
  <c r="CT20" i="4" s="1"/>
  <c r="CO20" i="4"/>
  <c r="CP20" i="4" s="1"/>
  <c r="CK20" i="4"/>
  <c r="CL20" i="4" s="1"/>
  <c r="CG20" i="4"/>
  <c r="CH20" i="4" s="1"/>
  <c r="CC20" i="4"/>
  <c r="CD20" i="4" s="1"/>
  <c r="DE60" i="4"/>
  <c r="DF60" i="4" s="1"/>
  <c r="CO60" i="4"/>
  <c r="CP60" i="4" s="1"/>
  <c r="DC60" i="4"/>
  <c r="DD60" i="4" s="1"/>
  <c r="CI60" i="4"/>
  <c r="CJ60" i="4" s="1"/>
  <c r="DG60" i="4"/>
  <c r="DH60" i="4" s="1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GE20" i="4"/>
  <c r="GF20" i="4" s="1"/>
  <c r="FO20" i="4"/>
  <c r="FP20" i="4" s="1"/>
  <c r="EY20" i="4"/>
  <c r="EZ20" i="4" s="1"/>
  <c r="GA20" i="4"/>
  <c r="GB20" i="4" s="1"/>
  <c r="FK20" i="4"/>
  <c r="FL20" i="4" s="1"/>
  <c r="EU20" i="4"/>
  <c r="EV20" i="4" s="1"/>
  <c r="FW20" i="4"/>
  <c r="FX20" i="4" s="1"/>
  <c r="FG20" i="4"/>
  <c r="FH20" i="4" s="1"/>
  <c r="GI20" i="4"/>
  <c r="GJ20" i="4" s="1"/>
  <c r="FS20" i="4"/>
  <c r="FT20" i="4" s="1"/>
  <c r="FC20" i="4"/>
  <c r="FD2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FS60" i="4"/>
  <c r="FT60" i="4" s="1"/>
  <c r="FC60" i="4"/>
  <c r="FD60" i="4" s="1"/>
  <c r="GE60" i="4"/>
  <c r="GF60" i="4" s="1"/>
  <c r="FO60" i="4"/>
  <c r="FP60" i="4" s="1"/>
  <c r="EY60" i="4"/>
  <c r="EZ60" i="4" s="1"/>
  <c r="GA60" i="4"/>
  <c r="GB60" i="4" s="1"/>
  <c r="FK60" i="4"/>
  <c r="FL60" i="4" s="1"/>
  <c r="EU60" i="4"/>
  <c r="EV60" i="4" s="1"/>
  <c r="FW60" i="4"/>
  <c r="FX60" i="4" s="1"/>
  <c r="FG60" i="4"/>
  <c r="FH60" i="4" s="1"/>
  <c r="AM140" i="4"/>
  <c r="AN140" i="4" s="1"/>
  <c r="S140" i="4"/>
  <c r="T140" i="4" s="1"/>
  <c r="Q140" i="4"/>
  <c r="R140" i="4" s="1"/>
  <c r="AK140" i="4"/>
  <c r="AL140" i="4" s="1"/>
  <c r="AQ140" i="4"/>
  <c r="AR140" i="4" s="1"/>
  <c r="AE140" i="4"/>
  <c r="AF140" i="4" s="1"/>
  <c r="AY140" i="4"/>
  <c r="AZ140" i="4" s="1"/>
  <c r="AC140" i="4"/>
  <c r="AD140" i="4" s="1"/>
  <c r="AW140" i="4"/>
  <c r="AX140" i="4" s="1"/>
  <c r="AA140" i="4"/>
  <c r="AB140" i="4" s="1"/>
  <c r="K140" i="4"/>
  <c r="L140" i="4" s="1"/>
  <c r="J140" i="4"/>
  <c r="Y140" i="4"/>
  <c r="Z140" i="4" s="1"/>
  <c r="DQ135" i="4"/>
  <c r="DR135" i="4" s="1"/>
  <c r="DM135" i="4"/>
  <c r="DN135" i="4" s="1"/>
  <c r="DI135" i="4"/>
  <c r="DJ135" i="4" s="1"/>
  <c r="DE135" i="4"/>
  <c r="DF135" i="4" s="1"/>
  <c r="DA135" i="4"/>
  <c r="DB135" i="4" s="1"/>
  <c r="CW135" i="4"/>
  <c r="CX135" i="4" s="1"/>
  <c r="CS135" i="4"/>
  <c r="CT135" i="4" s="1"/>
  <c r="CO135" i="4"/>
  <c r="CP135" i="4" s="1"/>
  <c r="CK135" i="4"/>
  <c r="CL135" i="4" s="1"/>
  <c r="CG135" i="4"/>
  <c r="CH135" i="4" s="1"/>
  <c r="CC135" i="4"/>
  <c r="CD135" i="4" s="1"/>
  <c r="DG135" i="4"/>
  <c r="DH135" i="4" s="1"/>
  <c r="CU135" i="4"/>
  <c r="CV135" i="4" s="1"/>
  <c r="CI135" i="4"/>
  <c r="CJ135" i="4" s="1"/>
  <c r="DO135" i="4"/>
  <c r="DP135" i="4" s="1"/>
  <c r="CY135" i="4"/>
  <c r="CZ135" i="4" s="1"/>
  <c r="CM135" i="4"/>
  <c r="CN135" i="4" s="1"/>
  <c r="CB135" i="4"/>
  <c r="DK135" i="4"/>
  <c r="DL135" i="4" s="1"/>
  <c r="DC135" i="4"/>
  <c r="DD135" i="4" s="1"/>
  <c r="CQ135" i="4"/>
  <c r="CR135" i="4" s="1"/>
  <c r="CE135" i="4"/>
  <c r="CF135" i="4" s="1"/>
  <c r="GG135" i="4"/>
  <c r="GH135" i="4" s="1"/>
  <c r="GC135" i="4"/>
  <c r="GD135" i="4" s="1"/>
  <c r="FY135" i="4"/>
  <c r="FZ135" i="4" s="1"/>
  <c r="FU135" i="4"/>
  <c r="FV135" i="4" s="1"/>
  <c r="FQ135" i="4"/>
  <c r="FR135" i="4" s="1"/>
  <c r="FM135" i="4"/>
  <c r="FN135" i="4" s="1"/>
  <c r="FI135" i="4"/>
  <c r="FJ135" i="4" s="1"/>
  <c r="FE135" i="4"/>
  <c r="FF135" i="4" s="1"/>
  <c r="FA135" i="4"/>
  <c r="FB135" i="4" s="1"/>
  <c r="EW135" i="4"/>
  <c r="EX135" i="4" s="1"/>
  <c r="ET135" i="4"/>
  <c r="GI135" i="4"/>
  <c r="GJ135" i="4" s="1"/>
  <c r="FS135" i="4"/>
  <c r="FT135" i="4" s="1"/>
  <c r="FG135" i="4"/>
  <c r="FH135" i="4" s="1"/>
  <c r="EU135" i="4"/>
  <c r="EV135" i="4" s="1"/>
  <c r="GE135" i="4"/>
  <c r="GF135" i="4" s="1"/>
  <c r="GA135" i="4"/>
  <c r="GB135" i="4" s="1"/>
  <c r="FW135" i="4"/>
  <c r="FX135" i="4" s="1"/>
  <c r="FK135" i="4"/>
  <c r="FL135" i="4" s="1"/>
  <c r="EY135" i="4"/>
  <c r="EZ135" i="4" s="1"/>
  <c r="FO135" i="4"/>
  <c r="FP135" i="4" s="1"/>
  <c r="FC135" i="4"/>
  <c r="FD135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K140" i="4"/>
  <c r="DL140" i="4" s="1"/>
  <c r="CU140" i="4"/>
  <c r="CV140" i="4" s="1"/>
  <c r="CE140" i="4"/>
  <c r="CF140" i="4" s="1"/>
  <c r="DC140" i="4"/>
  <c r="DD140" i="4" s="1"/>
  <c r="DG140" i="4"/>
  <c r="DH140" i="4" s="1"/>
  <c r="CQ140" i="4"/>
  <c r="CR140" i="4" s="1"/>
  <c r="CB140" i="4"/>
  <c r="CM140" i="4"/>
  <c r="CN140" i="4" s="1"/>
  <c r="DO140" i="4"/>
  <c r="DP140" i="4" s="1"/>
  <c r="CY140" i="4"/>
  <c r="CZ140" i="4" s="1"/>
  <c r="CI140" i="4"/>
  <c r="CJ140" i="4" s="1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GA140" i="4"/>
  <c r="GB140" i="4" s="1"/>
  <c r="FK140" i="4"/>
  <c r="FL140" i="4" s="1"/>
  <c r="EU140" i="4"/>
  <c r="EV140" i="4" s="1"/>
  <c r="FC140" i="4"/>
  <c r="FD140" i="4" s="1"/>
  <c r="FW140" i="4"/>
  <c r="FX140" i="4" s="1"/>
  <c r="FG140" i="4"/>
  <c r="FH140" i="4" s="1"/>
  <c r="FS140" i="4"/>
  <c r="FT140" i="4" s="1"/>
  <c r="GE140" i="4"/>
  <c r="GF140" i="4" s="1"/>
  <c r="FO140" i="4"/>
  <c r="FP140" i="4" s="1"/>
  <c r="EY140" i="4"/>
  <c r="EZ140" i="4" s="1"/>
  <c r="GI140" i="4"/>
  <c r="GJ140" i="4" s="1"/>
  <c r="GG122" i="4"/>
  <c r="GH122" i="4" s="1"/>
  <c r="FU122" i="4"/>
  <c r="FV122" i="4" s="1"/>
  <c r="FI122" i="4"/>
  <c r="FJ122" i="4" s="1"/>
  <c r="EW122" i="4"/>
  <c r="EX122" i="4" s="1"/>
  <c r="GI122" i="4"/>
  <c r="GJ122" i="4" s="1"/>
  <c r="GE122" i="4"/>
  <c r="GF122" i="4" s="1"/>
  <c r="GA122" i="4"/>
  <c r="GB122" i="4" s="1"/>
  <c r="FW122" i="4"/>
  <c r="FX122" i="4" s="1"/>
  <c r="FS122" i="4"/>
  <c r="FT122" i="4" s="1"/>
  <c r="FO122" i="4"/>
  <c r="FP122" i="4" s="1"/>
  <c r="FK122" i="4"/>
  <c r="FL122" i="4" s="1"/>
  <c r="FG122" i="4"/>
  <c r="FH122" i="4" s="1"/>
  <c r="FC122" i="4"/>
  <c r="FD122" i="4" s="1"/>
  <c r="EY122" i="4"/>
  <c r="EZ122" i="4" s="1"/>
  <c r="EU122" i="4"/>
  <c r="EV122" i="4" s="1"/>
  <c r="GC122" i="4"/>
  <c r="GD122" i="4" s="1"/>
  <c r="FQ122" i="4"/>
  <c r="FR122" i="4" s="1"/>
  <c r="FE122" i="4"/>
  <c r="FF122" i="4" s="1"/>
  <c r="ET122" i="4"/>
  <c r="FY122" i="4"/>
  <c r="FZ122" i="4" s="1"/>
  <c r="FM122" i="4"/>
  <c r="FN122" i="4" s="1"/>
  <c r="FA122" i="4"/>
  <c r="FB122" i="4" s="1"/>
  <c r="DM122" i="4"/>
  <c r="DN122" i="4" s="1"/>
  <c r="CW122" i="4"/>
  <c r="CX122" i="4" s="1"/>
  <c r="CK122" i="4"/>
  <c r="CL122" i="4" s="1"/>
  <c r="DO122" i="4"/>
  <c r="DP122" i="4" s="1"/>
  <c r="DK122" i="4"/>
  <c r="DL122" i="4" s="1"/>
  <c r="DG122" i="4"/>
  <c r="DH122" i="4" s="1"/>
  <c r="DC122" i="4"/>
  <c r="DD122" i="4" s="1"/>
  <c r="CY122" i="4"/>
  <c r="CZ122" i="4" s="1"/>
  <c r="CU122" i="4"/>
  <c r="CV122" i="4" s="1"/>
  <c r="CQ122" i="4"/>
  <c r="CR122" i="4" s="1"/>
  <c r="CM122" i="4"/>
  <c r="CN122" i="4" s="1"/>
  <c r="CI122" i="4"/>
  <c r="CJ122" i="4" s="1"/>
  <c r="CE122" i="4"/>
  <c r="CF122" i="4" s="1"/>
  <c r="CB122" i="4"/>
  <c r="DQ122" i="4"/>
  <c r="DR122" i="4" s="1"/>
  <c r="DA122" i="4"/>
  <c r="DB122" i="4" s="1"/>
  <c r="CO122" i="4"/>
  <c r="CP122" i="4" s="1"/>
  <c r="CC122" i="4"/>
  <c r="CD122" i="4" s="1"/>
  <c r="DI122" i="4"/>
  <c r="DJ122" i="4" s="1"/>
  <c r="DE122" i="4"/>
  <c r="DF122" i="4" s="1"/>
  <c r="CS122" i="4"/>
  <c r="CT122" i="4" s="1"/>
  <c r="CG122" i="4"/>
  <c r="CH122" i="4" s="1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DO118" i="4"/>
  <c r="DP118" i="4" s="1"/>
  <c r="CU118" i="4"/>
  <c r="CV118" i="4" s="1"/>
  <c r="CI118" i="4"/>
  <c r="CJ118" i="4" s="1"/>
  <c r="DG118" i="4"/>
  <c r="DH118" i="4" s="1"/>
  <c r="CY118" i="4"/>
  <c r="CZ118" i="4" s="1"/>
  <c r="CM118" i="4"/>
  <c r="CN118" i="4" s="1"/>
  <c r="CB118" i="4"/>
  <c r="DK118" i="4"/>
  <c r="DL118" i="4" s="1"/>
  <c r="DC118" i="4"/>
  <c r="DD118" i="4" s="1"/>
  <c r="CQ118" i="4"/>
  <c r="CR118" i="4" s="1"/>
  <c r="CE118" i="4"/>
  <c r="CF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FK118" i="4"/>
  <c r="FL118" i="4" s="1"/>
  <c r="EU118" i="4"/>
  <c r="EV118" i="4" s="1"/>
  <c r="GI118" i="4"/>
  <c r="GJ118" i="4" s="1"/>
  <c r="GA118" i="4"/>
  <c r="GB118" i="4" s="1"/>
  <c r="FO118" i="4"/>
  <c r="FP118" i="4" s="1"/>
  <c r="FC118" i="4"/>
  <c r="FD118" i="4" s="1"/>
  <c r="GE118" i="4"/>
  <c r="GF118" i="4" s="1"/>
  <c r="FW118" i="4"/>
  <c r="FX118" i="4" s="1"/>
  <c r="FS118" i="4"/>
  <c r="FT118" i="4" s="1"/>
  <c r="FG118" i="4"/>
  <c r="FH118" i="4" s="1"/>
  <c r="EY118" i="4"/>
  <c r="EZ118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O116" i="4"/>
  <c r="DP116" i="4" s="1"/>
  <c r="DK116" i="4"/>
  <c r="DL116" i="4" s="1"/>
  <c r="DG116" i="4"/>
  <c r="DH116" i="4" s="1"/>
  <c r="DC116" i="4"/>
  <c r="DD116" i="4" s="1"/>
  <c r="CY116" i="4"/>
  <c r="CZ116" i="4" s="1"/>
  <c r="CU116" i="4"/>
  <c r="CV116" i="4" s="1"/>
  <c r="CQ116" i="4"/>
  <c r="CR116" i="4" s="1"/>
  <c r="CM116" i="4"/>
  <c r="CN116" i="4" s="1"/>
  <c r="CI116" i="4"/>
  <c r="CJ116" i="4" s="1"/>
  <c r="CE116" i="4"/>
  <c r="CF116" i="4" s="1"/>
  <c r="CB116" i="4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Q124" i="4"/>
  <c r="DR124" i="4" s="1"/>
  <c r="DM124" i="4"/>
  <c r="DN124" i="4" s="1"/>
  <c r="DI124" i="4"/>
  <c r="DJ124" i="4" s="1"/>
  <c r="DE124" i="4"/>
  <c r="DF124" i="4" s="1"/>
  <c r="DA124" i="4"/>
  <c r="DB124" i="4" s="1"/>
  <c r="CW124" i="4"/>
  <c r="CX124" i="4" s="1"/>
  <c r="CS124" i="4"/>
  <c r="CT124" i="4" s="1"/>
  <c r="CO124" i="4"/>
  <c r="CP124" i="4" s="1"/>
  <c r="CK124" i="4"/>
  <c r="CL124" i="4" s="1"/>
  <c r="CG124" i="4"/>
  <c r="CH124" i="4" s="1"/>
  <c r="CC124" i="4"/>
  <c r="CD124" i="4" s="1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S120" i="4"/>
  <c r="AT120" i="4" s="1"/>
  <c r="AO120" i="4"/>
  <c r="AP120" i="4" s="1"/>
  <c r="AK120" i="4"/>
  <c r="AL120" i="4" s="1"/>
  <c r="AG120" i="4"/>
  <c r="AH120" i="4" s="1"/>
  <c r="AC120" i="4"/>
  <c r="AD120" i="4" s="1"/>
  <c r="Y120" i="4"/>
  <c r="Z120" i="4" s="1"/>
  <c r="U120" i="4"/>
  <c r="V120" i="4" s="1"/>
  <c r="Q120" i="4"/>
  <c r="R120" i="4" s="1"/>
  <c r="M120" i="4"/>
  <c r="N120" i="4" s="1"/>
  <c r="J120" i="4"/>
  <c r="ER120" i="4"/>
  <c r="ES120" i="4" s="1"/>
  <c r="CA120" i="4"/>
  <c r="ER127" i="4"/>
  <c r="ES127" i="4" s="1"/>
  <c r="CA127" i="4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AY127" i="4"/>
  <c r="AZ127" i="4" s="1"/>
  <c r="AI127" i="4"/>
  <c r="AJ127" i="4" s="1"/>
  <c r="S127" i="4"/>
  <c r="T127" i="4" s="1"/>
  <c r="K127" i="4"/>
  <c r="L127" i="4" s="1"/>
  <c r="AU127" i="4"/>
  <c r="AV127" i="4" s="1"/>
  <c r="AE127" i="4"/>
  <c r="AF127" i="4" s="1"/>
  <c r="O127" i="4"/>
  <c r="P127" i="4" s="1"/>
  <c r="AQ127" i="4"/>
  <c r="AR127" i="4" s="1"/>
  <c r="AM127" i="4"/>
  <c r="AN127" i="4" s="1"/>
  <c r="W127" i="4"/>
  <c r="X127" i="4" s="1"/>
  <c r="AA127" i="4"/>
  <c r="AB127" i="4" s="1"/>
  <c r="CI22" i="4"/>
  <c r="CJ22" i="4" s="1"/>
  <c r="CC22" i="4"/>
  <c r="CD22" i="4" s="1"/>
  <c r="CS22" i="4"/>
  <c r="CT22" i="4" s="1"/>
  <c r="DG22" i="4"/>
  <c r="DH22" i="4" s="1"/>
  <c r="DE22" i="4"/>
  <c r="DF22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GI99" i="4"/>
  <c r="GJ99" i="4" s="1"/>
  <c r="FW99" i="4"/>
  <c r="FX99" i="4" s="1"/>
  <c r="FO99" i="4"/>
  <c r="FP99" i="4" s="1"/>
  <c r="FG99" i="4"/>
  <c r="FH99" i="4" s="1"/>
  <c r="EU99" i="4"/>
  <c r="EV99" i="4" s="1"/>
  <c r="GE99" i="4"/>
  <c r="GF99" i="4" s="1"/>
  <c r="GA99" i="4"/>
  <c r="GB99" i="4" s="1"/>
  <c r="FS99" i="4"/>
  <c r="FT99" i="4" s="1"/>
  <c r="FK99" i="4"/>
  <c r="FL99" i="4" s="1"/>
  <c r="EY99" i="4"/>
  <c r="EZ99" i="4" s="1"/>
  <c r="FC99" i="4"/>
  <c r="FD99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K99" i="4"/>
  <c r="DL99" i="4" s="1"/>
  <c r="CY99" i="4"/>
  <c r="CZ99" i="4" s="1"/>
  <c r="CM99" i="4"/>
  <c r="CN99" i="4" s="1"/>
  <c r="DO99" i="4"/>
  <c r="DP99" i="4" s="1"/>
  <c r="DC99" i="4"/>
  <c r="DD99" i="4" s="1"/>
  <c r="CQ99" i="4"/>
  <c r="CR99" i="4" s="1"/>
  <c r="CE99" i="4"/>
  <c r="CF99" i="4" s="1"/>
  <c r="DG99" i="4"/>
  <c r="DH99" i="4" s="1"/>
  <c r="CU99" i="4"/>
  <c r="CV99" i="4" s="1"/>
  <c r="CI99" i="4"/>
  <c r="CJ99" i="4" s="1"/>
  <c r="CB99" i="4"/>
  <c r="GI97" i="4"/>
  <c r="GJ97" i="4" s="1"/>
  <c r="GE97" i="4"/>
  <c r="GF97" i="4" s="1"/>
  <c r="GA97" i="4"/>
  <c r="GB97" i="4" s="1"/>
  <c r="FW97" i="4"/>
  <c r="FX97" i="4" s="1"/>
  <c r="FS97" i="4"/>
  <c r="FT97" i="4" s="1"/>
  <c r="FO97" i="4"/>
  <c r="FP97" i="4" s="1"/>
  <c r="FK97" i="4"/>
  <c r="FL97" i="4" s="1"/>
  <c r="FG97" i="4"/>
  <c r="FH97" i="4" s="1"/>
  <c r="FC97" i="4"/>
  <c r="FD97" i="4" s="1"/>
  <c r="EY97" i="4"/>
  <c r="EZ97" i="4" s="1"/>
  <c r="EU97" i="4"/>
  <c r="EV97" i="4" s="1"/>
  <c r="GG97" i="4"/>
  <c r="GH97" i="4" s="1"/>
  <c r="GC97" i="4"/>
  <c r="GD97" i="4" s="1"/>
  <c r="FY97" i="4"/>
  <c r="FZ97" i="4" s="1"/>
  <c r="FU97" i="4"/>
  <c r="FV97" i="4" s="1"/>
  <c r="FQ97" i="4"/>
  <c r="FR97" i="4" s="1"/>
  <c r="FM97" i="4"/>
  <c r="FN97" i="4" s="1"/>
  <c r="FI97" i="4"/>
  <c r="FJ97" i="4" s="1"/>
  <c r="FE97" i="4"/>
  <c r="FF97" i="4" s="1"/>
  <c r="FA97" i="4"/>
  <c r="FB97" i="4" s="1"/>
  <c r="EW97" i="4"/>
  <c r="EX97" i="4" s="1"/>
  <c r="ET97" i="4"/>
  <c r="DO97" i="4"/>
  <c r="DP97" i="4" s="1"/>
  <c r="DK97" i="4"/>
  <c r="DL97" i="4" s="1"/>
  <c r="DG97" i="4"/>
  <c r="DH97" i="4" s="1"/>
  <c r="DC97" i="4"/>
  <c r="DD97" i="4" s="1"/>
  <c r="CY97" i="4"/>
  <c r="CZ97" i="4" s="1"/>
  <c r="CU97" i="4"/>
  <c r="CV97" i="4" s="1"/>
  <c r="CQ97" i="4"/>
  <c r="CR97" i="4" s="1"/>
  <c r="CM97" i="4"/>
  <c r="CN97" i="4" s="1"/>
  <c r="CI97" i="4"/>
  <c r="CJ97" i="4" s="1"/>
  <c r="CE97" i="4"/>
  <c r="CF97" i="4" s="1"/>
  <c r="CB97" i="4"/>
  <c r="DQ97" i="4"/>
  <c r="DR97" i="4" s="1"/>
  <c r="DM97" i="4"/>
  <c r="DN97" i="4" s="1"/>
  <c r="DI97" i="4"/>
  <c r="DJ97" i="4" s="1"/>
  <c r="DE97" i="4"/>
  <c r="DF97" i="4" s="1"/>
  <c r="DA97" i="4"/>
  <c r="DB97" i="4" s="1"/>
  <c r="CW97" i="4"/>
  <c r="CX97" i="4" s="1"/>
  <c r="CS97" i="4"/>
  <c r="CT97" i="4" s="1"/>
  <c r="CO97" i="4"/>
  <c r="CP97" i="4" s="1"/>
  <c r="CK97" i="4"/>
  <c r="CL97" i="4" s="1"/>
  <c r="CG97" i="4"/>
  <c r="CH97" i="4" s="1"/>
  <c r="CC97" i="4"/>
  <c r="CD97" i="4" s="1"/>
  <c r="DQ95" i="4"/>
  <c r="DR95" i="4" s="1"/>
  <c r="DM95" i="4"/>
  <c r="DN95" i="4" s="1"/>
  <c r="DI95" i="4"/>
  <c r="DJ95" i="4" s="1"/>
  <c r="DE95" i="4"/>
  <c r="DF95" i="4" s="1"/>
  <c r="DA95" i="4"/>
  <c r="DB95" i="4" s="1"/>
  <c r="CW95" i="4"/>
  <c r="CX95" i="4" s="1"/>
  <c r="CS95" i="4"/>
  <c r="CT95" i="4" s="1"/>
  <c r="CO95" i="4"/>
  <c r="CP95" i="4" s="1"/>
  <c r="CK95" i="4"/>
  <c r="CL95" i="4" s="1"/>
  <c r="CG95" i="4"/>
  <c r="CH95" i="4" s="1"/>
  <c r="CC95" i="4"/>
  <c r="CD95" i="4" s="1"/>
  <c r="DG95" i="4"/>
  <c r="DH95" i="4" s="1"/>
  <c r="CY95" i="4"/>
  <c r="CZ95" i="4" s="1"/>
  <c r="CM95" i="4"/>
  <c r="CN95" i="4" s="1"/>
  <c r="CB95" i="4"/>
  <c r="DO95" i="4"/>
  <c r="DP95" i="4" s="1"/>
  <c r="DC95" i="4"/>
  <c r="DD95" i="4" s="1"/>
  <c r="CQ95" i="4"/>
  <c r="CR95" i="4" s="1"/>
  <c r="CI95" i="4"/>
  <c r="CJ95" i="4" s="1"/>
  <c r="DK95" i="4"/>
  <c r="DL95" i="4" s="1"/>
  <c r="CU95" i="4"/>
  <c r="CV95" i="4" s="1"/>
  <c r="CE95" i="4"/>
  <c r="CF95" i="4" s="1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E95" i="4"/>
  <c r="GF95" i="4" s="1"/>
  <c r="FW95" i="4"/>
  <c r="FX95" i="4" s="1"/>
  <c r="FO95" i="4"/>
  <c r="FP95" i="4" s="1"/>
  <c r="FG95" i="4"/>
  <c r="FH95" i="4" s="1"/>
  <c r="EU95" i="4"/>
  <c r="EV95" i="4" s="1"/>
  <c r="GI95" i="4"/>
  <c r="GJ95" i="4" s="1"/>
  <c r="GA95" i="4"/>
  <c r="GB95" i="4" s="1"/>
  <c r="FS95" i="4"/>
  <c r="FT95" i="4" s="1"/>
  <c r="FK95" i="4"/>
  <c r="FL95" i="4" s="1"/>
  <c r="EY95" i="4"/>
  <c r="EZ95" i="4" s="1"/>
  <c r="FC95" i="4"/>
  <c r="FD95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GG112" i="4"/>
  <c r="GH112" i="4" s="1"/>
  <c r="GC112" i="4"/>
  <c r="GD112" i="4" s="1"/>
  <c r="FY112" i="4"/>
  <c r="FZ112" i="4" s="1"/>
  <c r="FU112" i="4"/>
  <c r="FV112" i="4" s="1"/>
  <c r="FQ112" i="4"/>
  <c r="FR112" i="4" s="1"/>
  <c r="FM112" i="4"/>
  <c r="FN112" i="4" s="1"/>
  <c r="FI112" i="4"/>
  <c r="FJ112" i="4" s="1"/>
  <c r="FE112" i="4"/>
  <c r="FF112" i="4" s="1"/>
  <c r="FA112" i="4"/>
  <c r="FB112" i="4" s="1"/>
  <c r="EW112" i="4"/>
  <c r="EX112" i="4" s="1"/>
  <c r="ET112" i="4"/>
  <c r="DO112" i="4"/>
  <c r="DP112" i="4" s="1"/>
  <c r="DK112" i="4"/>
  <c r="DL112" i="4" s="1"/>
  <c r="DG112" i="4"/>
  <c r="DH112" i="4" s="1"/>
  <c r="DC112" i="4"/>
  <c r="DD112" i="4" s="1"/>
  <c r="CY112" i="4"/>
  <c r="CZ112" i="4" s="1"/>
  <c r="CU112" i="4"/>
  <c r="CV112" i="4" s="1"/>
  <c r="CQ112" i="4"/>
  <c r="CR112" i="4" s="1"/>
  <c r="CM112" i="4"/>
  <c r="CN112" i="4" s="1"/>
  <c r="CI112" i="4"/>
  <c r="CJ112" i="4" s="1"/>
  <c r="CE112" i="4"/>
  <c r="CF112" i="4" s="1"/>
  <c r="CB112" i="4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G112" i="4"/>
  <c r="CH112" i="4" s="1"/>
  <c r="CC112" i="4"/>
  <c r="CD112" i="4" s="1"/>
  <c r="DQ108" i="4"/>
  <c r="DR108" i="4" s="1"/>
  <c r="DE108" i="4"/>
  <c r="DF108" i="4" s="1"/>
  <c r="CW108" i="4"/>
  <c r="CX108" i="4" s="1"/>
  <c r="CO108" i="4"/>
  <c r="CP108" i="4" s="1"/>
  <c r="CG108" i="4"/>
  <c r="CH108" i="4" s="1"/>
  <c r="DO108" i="4"/>
  <c r="DP108" i="4" s="1"/>
  <c r="DK108" i="4"/>
  <c r="DL108" i="4" s="1"/>
  <c r="DG108" i="4"/>
  <c r="DH108" i="4" s="1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 s="1"/>
  <c r="CE108" i="4"/>
  <c r="CF108" i="4" s="1"/>
  <c r="CB108" i="4"/>
  <c r="DM108" i="4"/>
  <c r="DN108" i="4" s="1"/>
  <c r="DI108" i="4"/>
  <c r="DJ108" i="4" s="1"/>
  <c r="DA108" i="4"/>
  <c r="DB108" i="4" s="1"/>
  <c r="CS108" i="4"/>
  <c r="CT108" i="4" s="1"/>
  <c r="CK108" i="4"/>
  <c r="CL108" i="4" s="1"/>
  <c r="CC108" i="4"/>
  <c r="CD108" i="4" s="1"/>
  <c r="GC108" i="4"/>
  <c r="GD108" i="4" s="1"/>
  <c r="FU108" i="4"/>
  <c r="FV108" i="4" s="1"/>
  <c r="FI108" i="4"/>
  <c r="FJ108" i="4" s="1"/>
  <c r="FA108" i="4"/>
  <c r="FB108" i="4" s="1"/>
  <c r="ET108" i="4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GG108" i="4"/>
  <c r="GH108" i="4" s="1"/>
  <c r="FY108" i="4"/>
  <c r="FZ108" i="4" s="1"/>
  <c r="FQ108" i="4"/>
  <c r="FR108" i="4" s="1"/>
  <c r="FM108" i="4"/>
  <c r="FN108" i="4" s="1"/>
  <c r="FE108" i="4"/>
  <c r="FF108" i="4" s="1"/>
  <c r="EW108" i="4"/>
  <c r="EX108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Q113" i="4"/>
  <c r="DR113" i="4" s="1"/>
  <c r="DM113" i="4"/>
  <c r="DN113" i="4" s="1"/>
  <c r="DI113" i="4"/>
  <c r="DJ113" i="4" s="1"/>
  <c r="DE113" i="4"/>
  <c r="DF113" i="4" s="1"/>
  <c r="DA113" i="4"/>
  <c r="DB113" i="4" s="1"/>
  <c r="CW113" i="4"/>
  <c r="CX113" i="4" s="1"/>
  <c r="CS113" i="4"/>
  <c r="CT113" i="4" s="1"/>
  <c r="CO113" i="4"/>
  <c r="CP113" i="4" s="1"/>
  <c r="CK113" i="4"/>
  <c r="CL113" i="4" s="1"/>
  <c r="CG113" i="4"/>
  <c r="CH113" i="4" s="1"/>
  <c r="CC113" i="4"/>
  <c r="CD113" i="4" s="1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K86" i="4"/>
  <c r="DL86" i="4" s="1"/>
  <c r="CY86" i="4"/>
  <c r="CZ86" i="4" s="1"/>
  <c r="CQ86" i="4"/>
  <c r="CR86" i="4" s="1"/>
  <c r="CE86" i="4"/>
  <c r="CF86" i="4" s="1"/>
  <c r="DG86" i="4"/>
  <c r="DH86" i="4" s="1"/>
  <c r="CU86" i="4"/>
  <c r="CV86" i="4" s="1"/>
  <c r="CI86" i="4"/>
  <c r="CJ86" i="4" s="1"/>
  <c r="DO86" i="4"/>
  <c r="DP86" i="4" s="1"/>
  <c r="DC86" i="4"/>
  <c r="DD86" i="4" s="1"/>
  <c r="CM86" i="4"/>
  <c r="CN86" i="4" s="1"/>
  <c r="CB86" i="4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I86" i="4"/>
  <c r="GJ86" i="4" s="1"/>
  <c r="GA86" i="4"/>
  <c r="GB86" i="4" s="1"/>
  <c r="FW86" i="4"/>
  <c r="FX86" i="4" s="1"/>
  <c r="FS86" i="4"/>
  <c r="FT86" i="4" s="1"/>
  <c r="FG86" i="4"/>
  <c r="FH86" i="4" s="1"/>
  <c r="EY86" i="4"/>
  <c r="EZ86" i="4" s="1"/>
  <c r="FK86" i="4"/>
  <c r="FL86" i="4" s="1"/>
  <c r="GE86" i="4"/>
  <c r="GF86" i="4" s="1"/>
  <c r="FO86" i="4"/>
  <c r="FP86" i="4" s="1"/>
  <c r="FC86" i="4"/>
  <c r="FD86" i="4" s="1"/>
  <c r="EU86" i="4"/>
  <c r="EV86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C66" i="4"/>
  <c r="FD66" i="4" s="1"/>
  <c r="EY66" i="4"/>
  <c r="EZ66" i="4" s="1"/>
  <c r="EU66" i="4"/>
  <c r="EV66" i="4" s="1"/>
  <c r="FG66" i="4"/>
  <c r="FH66" i="4" s="1"/>
  <c r="DQ66" i="4"/>
  <c r="DR66" i="4" s="1"/>
  <c r="DM66" i="4"/>
  <c r="DN66" i="4" s="1"/>
  <c r="DI66" i="4"/>
  <c r="DJ66" i="4" s="1"/>
  <c r="DE66" i="4"/>
  <c r="DF66" i="4" s="1"/>
  <c r="DA66" i="4"/>
  <c r="DB66" i="4" s="1"/>
  <c r="CW66" i="4"/>
  <c r="CX66" i="4" s="1"/>
  <c r="CS66" i="4"/>
  <c r="CT66" i="4" s="1"/>
  <c r="CO66" i="4"/>
  <c r="CP66" i="4" s="1"/>
  <c r="CK66" i="4"/>
  <c r="CL66" i="4" s="1"/>
  <c r="CG66" i="4"/>
  <c r="CH66" i="4" s="1"/>
  <c r="CC66" i="4"/>
  <c r="CD66" i="4" s="1"/>
  <c r="DK66" i="4"/>
  <c r="DL66" i="4" s="1"/>
  <c r="DC66" i="4"/>
  <c r="DD66" i="4" s="1"/>
  <c r="CU66" i="4"/>
  <c r="CV66" i="4" s="1"/>
  <c r="CM66" i="4"/>
  <c r="CN66" i="4" s="1"/>
  <c r="CE66" i="4"/>
  <c r="CF66" i="4" s="1"/>
  <c r="DO66" i="4"/>
  <c r="DP66" i="4" s="1"/>
  <c r="DG66" i="4"/>
  <c r="DH66" i="4" s="1"/>
  <c r="CY66" i="4"/>
  <c r="CZ66" i="4" s="1"/>
  <c r="CQ66" i="4"/>
  <c r="CR66" i="4" s="1"/>
  <c r="CI66" i="4"/>
  <c r="CJ66" i="4" s="1"/>
  <c r="CB66" i="4"/>
  <c r="GA21" i="4"/>
  <c r="GB21" i="4" s="1"/>
  <c r="FG21" i="4"/>
  <c r="FH21" i="4" s="1"/>
  <c r="GE21" i="4"/>
  <c r="GF21" i="4" s="1"/>
  <c r="EY21" i="4"/>
  <c r="EZ21" i="4" s="1"/>
  <c r="FW21" i="4"/>
  <c r="FX21" i="4" s="1"/>
  <c r="FO21" i="4"/>
  <c r="FP21" i="4" s="1"/>
  <c r="FM21" i="4"/>
  <c r="FN21" i="4" s="1"/>
  <c r="EU21" i="4"/>
  <c r="EV21" i="4" s="1"/>
  <c r="GG21" i="4"/>
  <c r="GH21" i="4" s="1"/>
  <c r="FQ21" i="4"/>
  <c r="FR21" i="4" s="1"/>
  <c r="FA21" i="4"/>
  <c r="FB21" i="4" s="1"/>
  <c r="GC21" i="4"/>
  <c r="GD21" i="4" s="1"/>
  <c r="EW21" i="4"/>
  <c r="EX21" i="4" s="1"/>
  <c r="FC21" i="4"/>
  <c r="FD21" i="4" s="1"/>
  <c r="FY21" i="4"/>
  <c r="FZ21" i="4" s="1"/>
  <c r="FI21" i="4"/>
  <c r="FJ21" i="4" s="1"/>
  <c r="ET21" i="4"/>
  <c r="FS21" i="4"/>
  <c r="FT21" i="4" s="1"/>
  <c r="FK21" i="4"/>
  <c r="FL21" i="4" s="1"/>
  <c r="FU21" i="4"/>
  <c r="FV21" i="4" s="1"/>
  <c r="FE21" i="4"/>
  <c r="FF21" i="4" s="1"/>
  <c r="GI21" i="4"/>
  <c r="GJ21" i="4" s="1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S27" i="4"/>
  <c r="T27" i="4" s="1"/>
  <c r="DO21" i="4"/>
  <c r="DP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CO21" i="4"/>
  <c r="CP21" i="4" s="1"/>
  <c r="DK21" i="4"/>
  <c r="DL21" i="4" s="1"/>
  <c r="DE21" i="4"/>
  <c r="DF21" i="4" s="1"/>
  <c r="DC21" i="4"/>
  <c r="DD21" i="4" s="1"/>
  <c r="CK21" i="4"/>
  <c r="CL21" i="4" s="1"/>
  <c r="CC21" i="4"/>
  <c r="CD21" i="4" s="1"/>
  <c r="DG21" i="4"/>
  <c r="DH21" i="4" s="1"/>
  <c r="DA21" i="4"/>
  <c r="DB21" i="4" s="1"/>
  <c r="CW21" i="4"/>
  <c r="CX21" i="4" s="1"/>
  <c r="CS21" i="4"/>
  <c r="CT21" i="4" s="1"/>
  <c r="CG21" i="4"/>
  <c r="CH21" i="4" s="1"/>
  <c r="DI21" i="4"/>
  <c r="DJ21" i="4" s="1"/>
  <c r="DQ21" i="4"/>
  <c r="DR21" i="4" s="1"/>
  <c r="DM21" i="4"/>
  <c r="DN21" i="4" s="1"/>
  <c r="GG88" i="4"/>
  <c r="GH88" i="4" s="1"/>
  <c r="GC88" i="4"/>
  <c r="GD88" i="4" s="1"/>
  <c r="FY88" i="4"/>
  <c r="FZ88" i="4" s="1"/>
  <c r="FU88" i="4"/>
  <c r="FV88" i="4" s="1"/>
  <c r="FQ88" i="4"/>
  <c r="FR88" i="4" s="1"/>
  <c r="FM88" i="4"/>
  <c r="FN88" i="4" s="1"/>
  <c r="FI88" i="4"/>
  <c r="FJ88" i="4" s="1"/>
  <c r="FE88" i="4"/>
  <c r="FF88" i="4" s="1"/>
  <c r="FA88" i="4"/>
  <c r="FB88" i="4" s="1"/>
  <c r="EW88" i="4"/>
  <c r="EX88" i="4" s="1"/>
  <c r="ET88" i="4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AY63" i="4"/>
  <c r="AZ63" i="4" s="1"/>
  <c r="AU63" i="4"/>
  <c r="AV63" i="4" s="1"/>
  <c r="AQ63" i="4"/>
  <c r="AR63" i="4" s="1"/>
  <c r="AM63" i="4"/>
  <c r="AN63" i="4" s="1"/>
  <c r="AI63" i="4"/>
  <c r="AJ63" i="4" s="1"/>
  <c r="AE63" i="4"/>
  <c r="AF63" i="4" s="1"/>
  <c r="AA63" i="4"/>
  <c r="AB63" i="4" s="1"/>
  <c r="W63" i="4"/>
  <c r="X63" i="4" s="1"/>
  <c r="S63" i="4"/>
  <c r="T63" i="4" s="1"/>
  <c r="O63" i="4"/>
  <c r="P63" i="4" s="1"/>
  <c r="K63" i="4"/>
  <c r="L6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CA63" i="4"/>
  <c r="ER63" i="4"/>
  <c r="ES63" i="4" s="1"/>
  <c r="ER89" i="4"/>
  <c r="ES89" i="4" s="1"/>
  <c r="CA89" i="4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Y89" i="4"/>
  <c r="AZ89" i="4" s="1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 s="1"/>
  <c r="O89" i="4"/>
  <c r="P89" i="4" s="1"/>
  <c r="K89" i="4"/>
  <c r="L89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CY28" i="4"/>
  <c r="CZ28" i="4" s="1"/>
  <c r="DQ28" i="4"/>
  <c r="DR28" i="4" s="1"/>
  <c r="CE28" i="4"/>
  <c r="CF28" i="4" s="1"/>
  <c r="AW28" i="4"/>
  <c r="AX28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G44" i="4"/>
  <c r="DH44" i="4" s="1"/>
  <c r="CU44" i="4"/>
  <c r="CV44" i="4" s="1"/>
  <c r="CI44" i="4"/>
  <c r="CJ44" i="4" s="1"/>
  <c r="DO44" i="4"/>
  <c r="DP44" i="4" s="1"/>
  <c r="DC44" i="4"/>
  <c r="DD44" i="4" s="1"/>
  <c r="CQ44" i="4"/>
  <c r="CR44" i="4" s="1"/>
  <c r="CE44" i="4"/>
  <c r="CF44" i="4" s="1"/>
  <c r="DK44" i="4"/>
  <c r="DL44" i="4" s="1"/>
  <c r="CY44" i="4"/>
  <c r="CZ44" i="4" s="1"/>
  <c r="CM44" i="4"/>
  <c r="CN44" i="4" s="1"/>
  <c r="CB44" i="4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W44" i="4"/>
  <c r="FX44" i="4" s="1"/>
  <c r="FK44" i="4"/>
  <c r="FL44" i="4" s="1"/>
  <c r="EY44" i="4"/>
  <c r="EZ44" i="4" s="1"/>
  <c r="GE44" i="4"/>
  <c r="GF44" i="4" s="1"/>
  <c r="GA44" i="4"/>
  <c r="GB44" i="4" s="1"/>
  <c r="FO44" i="4"/>
  <c r="FP44" i="4" s="1"/>
  <c r="FG44" i="4"/>
  <c r="FH44" i="4" s="1"/>
  <c r="EU44" i="4"/>
  <c r="EV44" i="4" s="1"/>
  <c r="FS44" i="4"/>
  <c r="FT44" i="4" s="1"/>
  <c r="FC44" i="4"/>
  <c r="FD44" i="4" s="1"/>
  <c r="AM27" i="4"/>
  <c r="AN27" i="4" s="1"/>
  <c r="AC27" i="4"/>
  <c r="AD27" i="4" s="1"/>
  <c r="AG27" i="4"/>
  <c r="AH27" i="4" s="1"/>
  <c r="CU28" i="4"/>
  <c r="CV28" i="4" s="1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DO43" i="4"/>
  <c r="DP43" i="4" s="1"/>
  <c r="DK43" i="4"/>
  <c r="DL43" i="4" s="1"/>
  <c r="DG43" i="4"/>
  <c r="DH43" i="4" s="1"/>
  <c r="DC43" i="4"/>
  <c r="DD43" i="4" s="1"/>
  <c r="CY43" i="4"/>
  <c r="CZ43" i="4" s="1"/>
  <c r="CU43" i="4"/>
  <c r="CV43" i="4" s="1"/>
  <c r="CQ43" i="4"/>
  <c r="CR43" i="4" s="1"/>
  <c r="CM43" i="4"/>
  <c r="CN43" i="4" s="1"/>
  <c r="CI43" i="4"/>
  <c r="CJ43" i="4" s="1"/>
  <c r="CE43" i="4"/>
  <c r="CF43" i="4" s="1"/>
  <c r="CB43" i="4"/>
  <c r="U27" i="4"/>
  <c r="V27" i="4" s="1"/>
  <c r="AS27" i="4"/>
  <c r="AT27" i="4" s="1"/>
  <c r="AW27" i="4"/>
  <c r="AX27" i="4" s="1"/>
  <c r="AO27" i="4"/>
  <c r="AP27" i="4" s="1"/>
  <c r="Y27" i="4"/>
  <c r="Z27" i="4" s="1"/>
  <c r="K27" i="4"/>
  <c r="L27" i="4" s="1"/>
  <c r="AA27" i="4"/>
  <c r="AB27" i="4" s="1"/>
  <c r="AU27" i="4"/>
  <c r="AV27" i="4" s="1"/>
  <c r="DK28" i="4"/>
  <c r="DL28" i="4" s="1"/>
  <c r="J27" i="4"/>
  <c r="M27" i="4"/>
  <c r="N27" i="4" s="1"/>
  <c r="Q27" i="4"/>
  <c r="R27" i="4" s="1"/>
  <c r="O27" i="4"/>
  <c r="P27" i="4" s="1"/>
  <c r="AE27" i="4"/>
  <c r="AF27" i="4" s="1"/>
  <c r="CO28" i="4"/>
  <c r="CP28" i="4" s="1"/>
  <c r="DA28" i="4"/>
  <c r="DB28" i="4" s="1"/>
  <c r="W27" i="4"/>
  <c r="X27" i="4" s="1"/>
  <c r="AK27" i="4"/>
  <c r="AL27" i="4" s="1"/>
  <c r="AQ27" i="4"/>
  <c r="AR27" i="4" s="1"/>
  <c r="AI27" i="4"/>
  <c r="AJ27" i="4" s="1"/>
  <c r="Q28" i="4"/>
  <c r="R28" i="4" s="1"/>
  <c r="W28" i="4"/>
  <c r="X28" i="4" s="1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J28" i="4"/>
  <c r="DO39" i="4"/>
  <c r="DP39" i="4" s="1"/>
  <c r="DK39" i="4"/>
  <c r="DL39" i="4" s="1"/>
  <c r="DG39" i="4"/>
  <c r="DH39" i="4" s="1"/>
  <c r="DC39" i="4"/>
  <c r="DD39" i="4" s="1"/>
  <c r="CY39" i="4"/>
  <c r="CZ39" i="4" s="1"/>
  <c r="CU39" i="4"/>
  <c r="CV39" i="4" s="1"/>
  <c r="CQ39" i="4"/>
  <c r="CR39" i="4" s="1"/>
  <c r="CM39" i="4"/>
  <c r="CN39" i="4" s="1"/>
  <c r="CI39" i="4"/>
  <c r="CJ39" i="4" s="1"/>
  <c r="CE39" i="4"/>
  <c r="CF39" i="4" s="1"/>
  <c r="CB39" i="4"/>
  <c r="DQ39" i="4"/>
  <c r="DR39" i="4" s="1"/>
  <c r="DM39" i="4"/>
  <c r="DN39" i="4" s="1"/>
  <c r="DI39" i="4"/>
  <c r="DJ39" i="4" s="1"/>
  <c r="DE39" i="4"/>
  <c r="DF39" i="4" s="1"/>
  <c r="DA39" i="4"/>
  <c r="DB39" i="4" s="1"/>
  <c r="CW39" i="4"/>
  <c r="CX39" i="4" s="1"/>
  <c r="CS39" i="4"/>
  <c r="CT39" i="4" s="1"/>
  <c r="CO39" i="4"/>
  <c r="CP39" i="4" s="1"/>
  <c r="CK39" i="4"/>
  <c r="CL39" i="4" s="1"/>
  <c r="CG39" i="4"/>
  <c r="CH39" i="4" s="1"/>
  <c r="CC39" i="4"/>
  <c r="CD39" i="4" s="1"/>
  <c r="CK28" i="4"/>
  <c r="CL28" i="4" s="1"/>
  <c r="CI28" i="4"/>
  <c r="CJ28" i="4" s="1"/>
  <c r="DO28" i="4"/>
  <c r="DP28" i="4" s="1"/>
  <c r="M28" i="4"/>
  <c r="N28" i="4" s="1"/>
  <c r="CC28" i="4"/>
  <c r="CD28" i="4" s="1"/>
  <c r="CM28" i="4"/>
  <c r="CN28" i="4" s="1"/>
  <c r="DC28" i="4"/>
  <c r="DD28" i="4" s="1"/>
  <c r="CS28" i="4"/>
  <c r="CT28" i="4" s="1"/>
  <c r="DI28" i="4"/>
  <c r="DJ28" i="4" s="1"/>
  <c r="AU28" i="4"/>
  <c r="AV28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EU40" i="4"/>
  <c r="EV40" i="4" s="1"/>
  <c r="GI40" i="4"/>
  <c r="GJ40" i="4" s="1"/>
  <c r="GA40" i="4"/>
  <c r="GB40" i="4" s="1"/>
  <c r="FS40" i="4"/>
  <c r="FT40" i="4" s="1"/>
  <c r="FK40" i="4"/>
  <c r="FL40" i="4" s="1"/>
  <c r="FC40" i="4"/>
  <c r="FD40" i="4" s="1"/>
  <c r="GE40" i="4"/>
  <c r="GF40" i="4" s="1"/>
  <c r="FW40" i="4"/>
  <c r="FX40" i="4" s="1"/>
  <c r="FO40" i="4"/>
  <c r="FP40" i="4" s="1"/>
  <c r="FG40" i="4"/>
  <c r="FH40" i="4" s="1"/>
  <c r="EY40" i="4"/>
  <c r="EZ40" i="4" s="1"/>
  <c r="CG28" i="4"/>
  <c r="CH28" i="4" s="1"/>
  <c r="CB28" i="4"/>
  <c r="CQ28" i="4"/>
  <c r="CR28" i="4" s="1"/>
  <c r="DG28" i="4"/>
  <c r="DH28" i="4" s="1"/>
  <c r="CW28" i="4"/>
  <c r="CX28" i="4" s="1"/>
  <c r="DM28" i="4"/>
  <c r="DN28" i="4" s="1"/>
  <c r="AO28" i="4"/>
  <c r="AP28" i="4" s="1"/>
  <c r="DE28" i="4"/>
  <c r="DF28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CY40" i="4"/>
  <c r="CZ40" i="4" s="1"/>
  <c r="CB40" i="4"/>
  <c r="DO40" i="4"/>
  <c r="DP40" i="4" s="1"/>
  <c r="DC40" i="4"/>
  <c r="DD40" i="4" s="1"/>
  <c r="CQ40" i="4"/>
  <c r="CR40" i="4" s="1"/>
  <c r="CI40" i="4"/>
  <c r="CJ40" i="4" s="1"/>
  <c r="DK40" i="4"/>
  <c r="DL40" i="4" s="1"/>
  <c r="DG40" i="4"/>
  <c r="DH40" i="4" s="1"/>
  <c r="CU40" i="4"/>
  <c r="CV40" i="4" s="1"/>
  <c r="CM40" i="4"/>
  <c r="CN40" i="4" s="1"/>
  <c r="CE40" i="4"/>
  <c r="CF40" i="4" s="1"/>
  <c r="AS19" i="4"/>
  <c r="AT19" i="4" s="1"/>
  <c r="AA19" i="4"/>
  <c r="AB19" i="4" s="1"/>
  <c r="K19" i="4"/>
  <c r="L19" i="4" s="1"/>
  <c r="M19" i="4"/>
  <c r="N19" i="4" s="1"/>
  <c r="AY19" i="4"/>
  <c r="AZ19" i="4" s="1"/>
  <c r="AK19" i="4"/>
  <c r="AL19" i="4" s="1"/>
  <c r="AQ19" i="4"/>
  <c r="AR19" i="4" s="1"/>
  <c r="S19" i="4"/>
  <c r="T19" i="4" s="1"/>
  <c r="W19" i="4"/>
  <c r="X19" i="4" s="1"/>
  <c r="U19" i="4"/>
  <c r="V19" i="4" s="1"/>
  <c r="AO19" i="4"/>
  <c r="AP19" i="4" s="1"/>
  <c r="AG19" i="4"/>
  <c r="AH19" i="4" s="1"/>
  <c r="AE19" i="4"/>
  <c r="AF19" i="4" s="1"/>
  <c r="AI19" i="4"/>
  <c r="AJ19" i="4" s="1"/>
  <c r="AM19" i="4"/>
  <c r="AN19" i="4" s="1"/>
  <c r="Y19" i="4"/>
  <c r="Z19" i="4" s="1"/>
  <c r="AW19" i="4"/>
  <c r="AX19" i="4" s="1"/>
  <c r="J19" i="4"/>
  <c r="O19" i="4"/>
  <c r="P19" i="4" s="1"/>
  <c r="Q19" i="4"/>
  <c r="R19" i="4" s="1"/>
  <c r="AU19" i="4"/>
  <c r="AV19" i="4" s="1"/>
  <c r="AC19" i="4"/>
  <c r="AD19" i="4" s="1"/>
  <c r="AM28" i="4"/>
  <c r="AN28" i="4" s="1"/>
  <c r="AY28" i="4"/>
  <c r="AZ28" i="4" s="1"/>
  <c r="O28" i="4"/>
  <c r="P28" i="4" s="1"/>
  <c r="S28" i="4"/>
  <c r="T28" i="4" s="1"/>
  <c r="AK28" i="4"/>
  <c r="AL28" i="4" s="1"/>
  <c r="AA28" i="4"/>
  <c r="AB28" i="4" s="1"/>
  <c r="AC28" i="4"/>
  <c r="AD28" i="4" s="1"/>
  <c r="Y28" i="4"/>
  <c r="Z28" i="4" s="1"/>
  <c r="AE28" i="4"/>
  <c r="AF28" i="4" s="1"/>
  <c r="AG28" i="4"/>
  <c r="AH28" i="4" s="1"/>
  <c r="ER19" i="4"/>
  <c r="CA19" i="4"/>
  <c r="K28" i="4"/>
  <c r="L28" i="4" s="1"/>
  <c r="AI28" i="4"/>
  <c r="AJ28" i="4" s="1"/>
  <c r="U28" i="4"/>
  <c r="V28" i="4" s="1"/>
  <c r="AS28" i="4"/>
  <c r="AT28" i="4" s="1"/>
  <c r="CA54" i="4"/>
  <c r="CM54" i="4" s="1"/>
  <c r="CN54" i="4" s="1"/>
  <c r="DO36" i="4"/>
  <c r="DP36" i="4" s="1"/>
  <c r="DK36" i="4"/>
  <c r="DL36" i="4" s="1"/>
  <c r="DG36" i="4"/>
  <c r="DH36" i="4" s="1"/>
  <c r="DC36" i="4"/>
  <c r="DD36" i="4" s="1"/>
  <c r="CY36" i="4"/>
  <c r="CZ36" i="4" s="1"/>
  <c r="CU36" i="4"/>
  <c r="CV36" i="4" s="1"/>
  <c r="CQ36" i="4"/>
  <c r="CR36" i="4" s="1"/>
  <c r="CM36" i="4"/>
  <c r="CN36" i="4" s="1"/>
  <c r="CI36" i="4"/>
  <c r="CJ36" i="4" s="1"/>
  <c r="CE36" i="4"/>
  <c r="CF36" i="4" s="1"/>
  <c r="CB36" i="4"/>
  <c r="DQ36" i="4"/>
  <c r="DR36" i="4" s="1"/>
  <c r="DM36" i="4"/>
  <c r="DN36" i="4" s="1"/>
  <c r="DI36" i="4"/>
  <c r="DJ36" i="4" s="1"/>
  <c r="DE36" i="4"/>
  <c r="DF36" i="4" s="1"/>
  <c r="DA36" i="4"/>
  <c r="DB36" i="4" s="1"/>
  <c r="CW36" i="4"/>
  <c r="CX36" i="4" s="1"/>
  <c r="CS36" i="4"/>
  <c r="CT36" i="4" s="1"/>
  <c r="CO36" i="4"/>
  <c r="CP36" i="4" s="1"/>
  <c r="CK36" i="4"/>
  <c r="CL36" i="4" s="1"/>
  <c r="CG36" i="4"/>
  <c r="CH36" i="4" s="1"/>
  <c r="CC36" i="4"/>
  <c r="CD36" i="4" s="1"/>
  <c r="GI36" i="4"/>
  <c r="GJ36" i="4" s="1"/>
  <c r="GE36" i="4"/>
  <c r="GF36" i="4" s="1"/>
  <c r="GA36" i="4"/>
  <c r="GB36" i="4" s="1"/>
  <c r="FW36" i="4"/>
  <c r="FX36" i="4" s="1"/>
  <c r="FS36" i="4"/>
  <c r="FT36" i="4" s="1"/>
  <c r="FO36" i="4"/>
  <c r="FP36" i="4" s="1"/>
  <c r="FK36" i="4"/>
  <c r="FL36" i="4" s="1"/>
  <c r="FG36" i="4"/>
  <c r="FH36" i="4" s="1"/>
  <c r="FC36" i="4"/>
  <c r="FD36" i="4" s="1"/>
  <c r="EY36" i="4"/>
  <c r="EZ36" i="4" s="1"/>
  <c r="EU36" i="4"/>
  <c r="EV36" i="4" s="1"/>
  <c r="GG36" i="4"/>
  <c r="GH36" i="4" s="1"/>
  <c r="GC36" i="4"/>
  <c r="GD36" i="4" s="1"/>
  <c r="FY36" i="4"/>
  <c r="FZ36" i="4" s="1"/>
  <c r="FU36" i="4"/>
  <c r="FV36" i="4" s="1"/>
  <c r="FQ36" i="4"/>
  <c r="FR36" i="4" s="1"/>
  <c r="FM36" i="4"/>
  <c r="FN36" i="4" s="1"/>
  <c r="FI36" i="4"/>
  <c r="FJ36" i="4" s="1"/>
  <c r="FE36" i="4"/>
  <c r="FF36" i="4" s="1"/>
  <c r="FA36" i="4"/>
  <c r="FB36" i="4" s="1"/>
  <c r="EW36" i="4"/>
  <c r="EX36" i="4" s="1"/>
  <c r="ET36" i="4"/>
  <c r="DQ35" i="4"/>
  <c r="DR35" i="4" s="1"/>
  <c r="DM35" i="4"/>
  <c r="DN35" i="4" s="1"/>
  <c r="DI35" i="4"/>
  <c r="DJ35" i="4" s="1"/>
  <c r="DE35" i="4"/>
  <c r="DF35" i="4" s="1"/>
  <c r="DA35" i="4"/>
  <c r="DB35" i="4" s="1"/>
  <c r="CW35" i="4"/>
  <c r="CX35" i="4" s="1"/>
  <c r="CS35" i="4"/>
  <c r="CT35" i="4" s="1"/>
  <c r="CO35" i="4"/>
  <c r="CP35" i="4" s="1"/>
  <c r="CK35" i="4"/>
  <c r="CL35" i="4" s="1"/>
  <c r="CG35" i="4"/>
  <c r="CH35" i="4" s="1"/>
  <c r="CC35" i="4"/>
  <c r="CD35" i="4" s="1"/>
  <c r="DG35" i="4"/>
  <c r="DH35" i="4" s="1"/>
  <c r="CU35" i="4"/>
  <c r="CV35" i="4" s="1"/>
  <c r="CM35" i="4"/>
  <c r="CN35" i="4" s="1"/>
  <c r="CB35" i="4"/>
  <c r="DK35" i="4"/>
  <c r="DL35" i="4" s="1"/>
  <c r="CY35" i="4"/>
  <c r="CZ35" i="4" s="1"/>
  <c r="CI35" i="4"/>
  <c r="CJ35" i="4" s="1"/>
  <c r="DO35" i="4"/>
  <c r="DP35" i="4" s="1"/>
  <c r="DC35" i="4"/>
  <c r="DD35" i="4" s="1"/>
  <c r="CQ35" i="4"/>
  <c r="CR35" i="4" s="1"/>
  <c r="CE35" i="4"/>
  <c r="CF35" i="4" s="1"/>
  <c r="GG35" i="4"/>
  <c r="GH35" i="4" s="1"/>
  <c r="GC35" i="4"/>
  <c r="GD35" i="4" s="1"/>
  <c r="FY35" i="4"/>
  <c r="FZ35" i="4" s="1"/>
  <c r="FU35" i="4"/>
  <c r="FV35" i="4" s="1"/>
  <c r="FQ35" i="4"/>
  <c r="FR35" i="4" s="1"/>
  <c r="FM35" i="4"/>
  <c r="FN35" i="4" s="1"/>
  <c r="FI35" i="4"/>
  <c r="FJ35" i="4" s="1"/>
  <c r="FE35" i="4"/>
  <c r="FF35" i="4" s="1"/>
  <c r="FA35" i="4"/>
  <c r="FB35" i="4" s="1"/>
  <c r="EW35" i="4"/>
  <c r="EX35" i="4" s="1"/>
  <c r="ET35" i="4"/>
  <c r="GE35" i="4"/>
  <c r="GF35" i="4" s="1"/>
  <c r="FS35" i="4"/>
  <c r="FT35" i="4" s="1"/>
  <c r="FG35" i="4"/>
  <c r="FH35" i="4" s="1"/>
  <c r="EU35" i="4"/>
  <c r="EV35" i="4" s="1"/>
  <c r="GI35" i="4"/>
  <c r="GJ35" i="4" s="1"/>
  <c r="FW35" i="4"/>
  <c r="FX35" i="4" s="1"/>
  <c r="FO35" i="4"/>
  <c r="FP35" i="4" s="1"/>
  <c r="FC35" i="4"/>
  <c r="FD35" i="4" s="1"/>
  <c r="GA35" i="4"/>
  <c r="GB35" i="4" s="1"/>
  <c r="FK35" i="4"/>
  <c r="FL35" i="4" s="1"/>
  <c r="EY35" i="4"/>
  <c r="EZ3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E52" i="4"/>
  <c r="GF52" i="4" s="1"/>
  <c r="FS52" i="4"/>
  <c r="FT52" i="4" s="1"/>
  <c r="FG52" i="4"/>
  <c r="FH52" i="4" s="1"/>
  <c r="FC52" i="4"/>
  <c r="FD52" i="4" s="1"/>
  <c r="FW52" i="4"/>
  <c r="FX52" i="4" s="1"/>
  <c r="FK52" i="4"/>
  <c r="FL52" i="4" s="1"/>
  <c r="EU52" i="4"/>
  <c r="EV52" i="4" s="1"/>
  <c r="GI52" i="4"/>
  <c r="GJ52" i="4" s="1"/>
  <c r="GA52" i="4"/>
  <c r="GB52" i="4" s="1"/>
  <c r="FO52" i="4"/>
  <c r="FP52" i="4" s="1"/>
  <c r="EY52" i="4"/>
  <c r="EZ52" i="4" s="1"/>
  <c r="FO54" i="4"/>
  <c r="FP54" i="4" s="1"/>
  <c r="ET54" i="4"/>
  <c r="FG54" i="4"/>
  <c r="FH54" i="4" s="1"/>
  <c r="FQ54" i="4"/>
  <c r="FR54" i="4" s="1"/>
  <c r="GA54" i="4"/>
  <c r="GB54" i="4" s="1"/>
  <c r="FK54" i="4"/>
  <c r="FL54" i="4" s="1"/>
  <c r="EU54" i="4"/>
  <c r="EV54" i="4" s="1"/>
  <c r="FU54" i="4"/>
  <c r="FV54" i="4" s="1"/>
  <c r="FE54" i="4"/>
  <c r="FF54" i="4" s="1"/>
  <c r="FW54" i="4"/>
  <c r="FX54" i="4" s="1"/>
  <c r="GI54" i="4"/>
  <c r="GJ54" i="4" s="1"/>
  <c r="FS54" i="4"/>
  <c r="FT54" i="4" s="1"/>
  <c r="FC54" i="4"/>
  <c r="FD54" i="4" s="1"/>
  <c r="GC54" i="4"/>
  <c r="GD54" i="4" s="1"/>
  <c r="FM54" i="4"/>
  <c r="FN54" i="4" s="1"/>
  <c r="EW54" i="4"/>
  <c r="EX54" i="4" s="1"/>
  <c r="GE54" i="4"/>
  <c r="GF54" i="4" s="1"/>
  <c r="EY54" i="4"/>
  <c r="EZ54" i="4" s="1"/>
  <c r="FY54" i="4"/>
  <c r="FZ54" i="4" s="1"/>
  <c r="FI54" i="4"/>
  <c r="FJ54" i="4" s="1"/>
  <c r="GG54" i="4"/>
  <c r="GH54" i="4" s="1"/>
  <c r="FA54" i="4"/>
  <c r="FB54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O52" i="4"/>
  <c r="DP52" i="4" s="1"/>
  <c r="DC52" i="4"/>
  <c r="DD52" i="4" s="1"/>
  <c r="CQ52" i="4"/>
  <c r="CR52" i="4" s="1"/>
  <c r="CE52" i="4"/>
  <c r="CF52" i="4" s="1"/>
  <c r="DG52" i="4"/>
  <c r="DH52" i="4" s="1"/>
  <c r="CY52" i="4"/>
  <c r="CZ52" i="4" s="1"/>
  <c r="CI52" i="4"/>
  <c r="CJ52" i="4" s="1"/>
  <c r="DK52" i="4"/>
  <c r="DL52" i="4" s="1"/>
  <c r="CU52" i="4"/>
  <c r="CV52" i="4" s="1"/>
  <c r="CM52" i="4"/>
  <c r="CN52" i="4" s="1"/>
  <c r="CB52" i="4"/>
  <c r="GI27" i="4"/>
  <c r="GJ27" i="4" s="1"/>
  <c r="GE27" i="4"/>
  <c r="GF27" i="4" s="1"/>
  <c r="GA27" i="4"/>
  <c r="GB27" i="4" s="1"/>
  <c r="FW27" i="4"/>
  <c r="FX27" i="4" s="1"/>
  <c r="FS27" i="4"/>
  <c r="FT27" i="4" s="1"/>
  <c r="FO27" i="4"/>
  <c r="FP27" i="4" s="1"/>
  <c r="FK27" i="4"/>
  <c r="FL27" i="4" s="1"/>
  <c r="FG27" i="4"/>
  <c r="FH27" i="4" s="1"/>
  <c r="FC27" i="4"/>
  <c r="FD27" i="4" s="1"/>
  <c r="EY27" i="4"/>
  <c r="EZ27" i="4" s="1"/>
  <c r="EU27" i="4"/>
  <c r="EV27" i="4" s="1"/>
  <c r="FY27" i="4"/>
  <c r="FZ27" i="4" s="1"/>
  <c r="FI27" i="4"/>
  <c r="FJ27" i="4" s="1"/>
  <c r="ET27" i="4"/>
  <c r="GG27" i="4"/>
  <c r="GH27" i="4" s="1"/>
  <c r="FU27" i="4"/>
  <c r="FV27" i="4" s="1"/>
  <c r="FE27" i="4"/>
  <c r="FF27" i="4" s="1"/>
  <c r="FQ27" i="4"/>
  <c r="FR27" i="4" s="1"/>
  <c r="GC27" i="4"/>
  <c r="GD27" i="4" s="1"/>
  <c r="FM27" i="4"/>
  <c r="FN27" i="4" s="1"/>
  <c r="EW27" i="4"/>
  <c r="EX27" i="4" s="1"/>
  <c r="FA27" i="4"/>
  <c r="FB27" i="4" s="1"/>
  <c r="DO27" i="4"/>
  <c r="DP27" i="4" s="1"/>
  <c r="DK27" i="4"/>
  <c r="DL27" i="4" s="1"/>
  <c r="DG27" i="4"/>
  <c r="DH27" i="4" s="1"/>
  <c r="DC27" i="4"/>
  <c r="DD27" i="4" s="1"/>
  <c r="CY27" i="4"/>
  <c r="CZ27" i="4" s="1"/>
  <c r="CU27" i="4"/>
  <c r="CV27" i="4" s="1"/>
  <c r="CQ27" i="4"/>
  <c r="CR27" i="4" s="1"/>
  <c r="CM27" i="4"/>
  <c r="CN27" i="4" s="1"/>
  <c r="CI27" i="4"/>
  <c r="CJ27" i="4" s="1"/>
  <c r="CE27" i="4"/>
  <c r="CF27" i="4" s="1"/>
  <c r="CB27" i="4"/>
  <c r="DM27" i="4"/>
  <c r="DN27" i="4" s="1"/>
  <c r="CW27" i="4"/>
  <c r="CX27" i="4" s="1"/>
  <c r="CG27" i="4"/>
  <c r="CH27" i="4" s="1"/>
  <c r="DE27" i="4"/>
  <c r="DF27" i="4" s="1"/>
  <c r="DI27" i="4"/>
  <c r="DJ27" i="4" s="1"/>
  <c r="CS27" i="4"/>
  <c r="CT27" i="4" s="1"/>
  <c r="CC27" i="4"/>
  <c r="CD27" i="4" s="1"/>
  <c r="DQ27" i="4"/>
  <c r="DR27" i="4" s="1"/>
  <c r="DA27" i="4"/>
  <c r="DB27" i="4" s="1"/>
  <c r="CK27" i="4"/>
  <c r="CL27" i="4" s="1"/>
  <c r="CO27" i="4"/>
  <c r="CP27" i="4" s="1"/>
  <c r="CQ60" i="4" l="1"/>
  <c r="CR60" i="4" s="1"/>
  <c r="DK60" i="4"/>
  <c r="DL60" i="4" s="1"/>
  <c r="CM60" i="4"/>
  <c r="CN60" i="4" s="1"/>
  <c r="CK60" i="4"/>
  <c r="CL60" i="4" s="1"/>
  <c r="DA60" i="4"/>
  <c r="DB60" i="4" s="1"/>
  <c r="DQ60" i="4"/>
  <c r="DR60" i="4" s="1"/>
  <c r="CE60" i="4"/>
  <c r="CF60" i="4" s="1"/>
  <c r="CY60" i="4"/>
  <c r="CZ60" i="4" s="1"/>
  <c r="CC60" i="4"/>
  <c r="CD60" i="4" s="1"/>
  <c r="CS60" i="4"/>
  <c r="CT60" i="4" s="1"/>
  <c r="DI60" i="4"/>
  <c r="DJ60" i="4" s="1"/>
  <c r="CB60" i="4"/>
  <c r="CU60" i="4"/>
  <c r="CV60" i="4" s="1"/>
  <c r="DO60" i="4"/>
  <c r="DP60" i="4" s="1"/>
  <c r="CG60" i="4"/>
  <c r="CH60" i="4" s="1"/>
  <c r="CW60" i="4"/>
  <c r="CX60" i="4" s="1"/>
  <c r="CW54" i="4"/>
  <c r="CX54" i="4" s="1"/>
  <c r="GI143" i="4"/>
  <c r="GJ143" i="4" s="1"/>
  <c r="GE143" i="4"/>
  <c r="GF143" i="4" s="1"/>
  <c r="GA143" i="4"/>
  <c r="GB143" i="4" s="1"/>
  <c r="FW143" i="4"/>
  <c r="FX143" i="4" s="1"/>
  <c r="FS143" i="4"/>
  <c r="FT143" i="4" s="1"/>
  <c r="FO143" i="4"/>
  <c r="FP143" i="4" s="1"/>
  <c r="FK143" i="4"/>
  <c r="FL143" i="4" s="1"/>
  <c r="FG143" i="4"/>
  <c r="FH143" i="4" s="1"/>
  <c r="FC143" i="4"/>
  <c r="FD143" i="4" s="1"/>
  <c r="EY143" i="4"/>
  <c r="EZ143" i="4" s="1"/>
  <c r="EU143" i="4"/>
  <c r="EV143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 s="1"/>
  <c r="CB143" i="4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FK148" i="4"/>
  <c r="FL148" i="4" s="1"/>
  <c r="FG148" i="4"/>
  <c r="FH148" i="4" s="1"/>
  <c r="FC148" i="4"/>
  <c r="FD148" i="4" s="1"/>
  <c r="EY148" i="4"/>
  <c r="EZ148" i="4" s="1"/>
  <c r="EU148" i="4"/>
  <c r="EV148" i="4" s="1"/>
  <c r="GG148" i="4"/>
  <c r="GH148" i="4" s="1"/>
  <c r="FQ148" i="4"/>
  <c r="FR148" i="4" s="1"/>
  <c r="FA148" i="4"/>
  <c r="FB148" i="4" s="1"/>
  <c r="FY148" i="4"/>
  <c r="FZ148" i="4" s="1"/>
  <c r="ET148" i="4"/>
  <c r="GC148" i="4"/>
  <c r="GD148" i="4" s="1"/>
  <c r="FM148" i="4"/>
  <c r="FN148" i="4" s="1"/>
  <c r="EW148" i="4"/>
  <c r="EX148" i="4" s="1"/>
  <c r="FU148" i="4"/>
  <c r="FV148" i="4" s="1"/>
  <c r="FE148" i="4"/>
  <c r="FF148" i="4" s="1"/>
  <c r="FI148" i="4"/>
  <c r="FJ148" i="4" s="1"/>
  <c r="DO148" i="4"/>
  <c r="DP148" i="4" s="1"/>
  <c r="DK148" i="4"/>
  <c r="DL148" i="4" s="1"/>
  <c r="DG148" i="4"/>
  <c r="DH148" i="4" s="1"/>
  <c r="DC148" i="4"/>
  <c r="DD148" i="4" s="1"/>
  <c r="CY148" i="4"/>
  <c r="CZ148" i="4" s="1"/>
  <c r="CU148" i="4"/>
  <c r="CV148" i="4" s="1"/>
  <c r="CQ148" i="4"/>
  <c r="CR148" i="4" s="1"/>
  <c r="CM148" i="4"/>
  <c r="CN148" i="4" s="1"/>
  <c r="CI148" i="4"/>
  <c r="CJ148" i="4" s="1"/>
  <c r="CE148" i="4"/>
  <c r="CF148" i="4" s="1"/>
  <c r="CB148" i="4"/>
  <c r="DE148" i="4"/>
  <c r="DF148" i="4" s="1"/>
  <c r="CO148" i="4"/>
  <c r="CP148" i="4" s="1"/>
  <c r="CW148" i="4"/>
  <c r="CX148" i="4" s="1"/>
  <c r="DQ148" i="4"/>
  <c r="DR148" i="4" s="1"/>
  <c r="DA148" i="4"/>
  <c r="DB148" i="4" s="1"/>
  <c r="CK148" i="4"/>
  <c r="CL148" i="4" s="1"/>
  <c r="DI148" i="4"/>
  <c r="DJ148" i="4" s="1"/>
  <c r="CS148" i="4"/>
  <c r="CT148" i="4" s="1"/>
  <c r="CC148" i="4"/>
  <c r="CD148" i="4" s="1"/>
  <c r="DM148" i="4"/>
  <c r="DN148" i="4" s="1"/>
  <c r="CG148" i="4"/>
  <c r="CH148" i="4" s="1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GG120" i="4"/>
  <c r="GH120" i="4" s="1"/>
  <c r="GC120" i="4"/>
  <c r="GD120" i="4" s="1"/>
  <c r="FY120" i="4"/>
  <c r="FZ120" i="4" s="1"/>
  <c r="FU120" i="4"/>
  <c r="FV120" i="4" s="1"/>
  <c r="FQ120" i="4"/>
  <c r="FR120" i="4" s="1"/>
  <c r="FM120" i="4"/>
  <c r="FN120" i="4" s="1"/>
  <c r="FI120" i="4"/>
  <c r="FJ120" i="4" s="1"/>
  <c r="FE120" i="4"/>
  <c r="FF120" i="4" s="1"/>
  <c r="FA120" i="4"/>
  <c r="FB120" i="4" s="1"/>
  <c r="EW120" i="4"/>
  <c r="EX120" i="4" s="1"/>
  <c r="ET120" i="4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M120" i="4"/>
  <c r="DN120" i="4" s="1"/>
  <c r="DI120" i="4"/>
  <c r="DJ120" i="4" s="1"/>
  <c r="DE120" i="4"/>
  <c r="DF120" i="4" s="1"/>
  <c r="DA120" i="4"/>
  <c r="DB120" i="4" s="1"/>
  <c r="CW120" i="4"/>
  <c r="CX120" i="4" s="1"/>
  <c r="CS120" i="4"/>
  <c r="CT120" i="4" s="1"/>
  <c r="CO120" i="4"/>
  <c r="CP120" i="4" s="1"/>
  <c r="CK120" i="4"/>
  <c r="CL120" i="4" s="1"/>
  <c r="CG120" i="4"/>
  <c r="CH120" i="4" s="1"/>
  <c r="CC120" i="4"/>
  <c r="CD120" i="4" s="1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K127" i="4"/>
  <c r="DL127" i="4" s="1"/>
  <c r="CU127" i="4"/>
  <c r="CV127" i="4" s="1"/>
  <c r="CE127" i="4"/>
  <c r="CF127" i="4" s="1"/>
  <c r="CM127" i="4"/>
  <c r="CN127" i="4" s="1"/>
  <c r="DG127" i="4"/>
  <c r="DH127" i="4" s="1"/>
  <c r="CQ127" i="4"/>
  <c r="CR127" i="4" s="1"/>
  <c r="CB127" i="4"/>
  <c r="DO127" i="4"/>
  <c r="DP127" i="4" s="1"/>
  <c r="CY127" i="4"/>
  <c r="CZ127" i="4" s="1"/>
  <c r="CI127" i="4"/>
  <c r="CJ127" i="4" s="1"/>
  <c r="DC127" i="4"/>
  <c r="DD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A127" i="4"/>
  <c r="GB127" i="4" s="1"/>
  <c r="FK127" i="4"/>
  <c r="FL127" i="4" s="1"/>
  <c r="EU127" i="4"/>
  <c r="EV127" i="4" s="1"/>
  <c r="FW127" i="4"/>
  <c r="FX127" i="4" s="1"/>
  <c r="FG127" i="4"/>
  <c r="FH127" i="4" s="1"/>
  <c r="GI127" i="4"/>
  <c r="GJ127" i="4" s="1"/>
  <c r="FC127" i="4"/>
  <c r="FD127" i="4" s="1"/>
  <c r="GE127" i="4"/>
  <c r="GF127" i="4" s="1"/>
  <c r="FO127" i="4"/>
  <c r="FP127" i="4" s="1"/>
  <c r="EY127" i="4"/>
  <c r="EZ127" i="4" s="1"/>
  <c r="FS127" i="4"/>
  <c r="FT127" i="4" s="1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O89" i="4"/>
  <c r="DP89" i="4" s="1"/>
  <c r="DK89" i="4"/>
  <c r="DL89" i="4" s="1"/>
  <c r="DG89" i="4"/>
  <c r="DH89" i="4" s="1"/>
  <c r="DC89" i="4"/>
  <c r="DD89" i="4" s="1"/>
  <c r="CY89" i="4"/>
  <c r="CZ89" i="4" s="1"/>
  <c r="CU89" i="4"/>
  <c r="CV89" i="4" s="1"/>
  <c r="CQ89" i="4"/>
  <c r="CR89" i="4" s="1"/>
  <c r="CM89" i="4"/>
  <c r="CN89" i="4" s="1"/>
  <c r="CI89" i="4"/>
  <c r="CJ89" i="4" s="1"/>
  <c r="CE89" i="4"/>
  <c r="CF89" i="4" s="1"/>
  <c r="CB89" i="4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CG54" i="4"/>
  <c r="CH54" i="4" s="1"/>
  <c r="CK54" i="4"/>
  <c r="CL54" i="4" s="1"/>
  <c r="CE54" i="4"/>
  <c r="CF54" i="4" s="1"/>
  <c r="DC54" i="4"/>
  <c r="DD54" i="4" s="1"/>
  <c r="CQ54" i="4"/>
  <c r="CR54" i="4" s="1"/>
  <c r="CI54" i="4"/>
  <c r="CJ54" i="4" s="1"/>
  <c r="CC54" i="4"/>
  <c r="CD54" i="4" s="1"/>
  <c r="CO54" i="4"/>
  <c r="CP54" i="4" s="1"/>
  <c r="DI54" i="4"/>
  <c r="DJ54" i="4" s="1"/>
  <c r="DM54" i="4"/>
  <c r="DN54" i="4" s="1"/>
  <c r="DA54" i="4"/>
  <c r="DB54" i="4" s="1"/>
  <c r="DG54" i="4"/>
  <c r="DH54" i="4" s="1"/>
  <c r="CU54" i="4"/>
  <c r="CV54" i="4" s="1"/>
  <c r="DO54" i="4"/>
  <c r="DP54" i="4" s="1"/>
  <c r="CB54" i="4"/>
  <c r="DE54" i="4"/>
  <c r="DF54" i="4" s="1"/>
  <c r="CS54" i="4"/>
  <c r="CT54" i="4" s="1"/>
  <c r="DK54" i="4"/>
  <c r="DL54" i="4" s="1"/>
  <c r="CY54" i="4"/>
  <c r="CZ54" i="4" s="1"/>
  <c r="DQ54" i="4"/>
  <c r="DR54" i="4" s="1"/>
  <c r="DQ19" i="4"/>
  <c r="DR19" i="4" s="1"/>
  <c r="DC19" i="4"/>
  <c r="DD19" i="4" s="1"/>
  <c r="DE19" i="4"/>
  <c r="DF19" i="4" s="1"/>
  <c r="CO19" i="4"/>
  <c r="CP19" i="4" s="1"/>
  <c r="CQ19" i="4"/>
  <c r="CR19" i="4" s="1"/>
  <c r="CW19" i="4"/>
  <c r="CX19" i="4" s="1"/>
  <c r="CK19" i="4"/>
  <c r="CL19" i="4" s="1"/>
  <c r="DI19" i="4"/>
  <c r="DJ19" i="4" s="1"/>
  <c r="DA19" i="4"/>
  <c r="DB19" i="4" s="1"/>
  <c r="CU19" i="4"/>
  <c r="CV19" i="4" s="1"/>
  <c r="CI19" i="4"/>
  <c r="CJ19" i="4" s="1"/>
  <c r="CS19" i="4"/>
  <c r="CT19" i="4" s="1"/>
  <c r="CE19" i="4"/>
  <c r="CF19" i="4" s="1"/>
  <c r="CM19" i="4"/>
  <c r="CN19" i="4" s="1"/>
  <c r="DO19" i="4"/>
  <c r="DP19" i="4" s="1"/>
  <c r="CC19" i="4"/>
  <c r="CD19" i="4" s="1"/>
  <c r="CB19" i="4"/>
  <c r="CG19" i="4"/>
  <c r="CH19" i="4" s="1"/>
  <c r="DM19" i="4"/>
  <c r="DN19" i="4" s="1"/>
  <c r="DK19" i="4"/>
  <c r="DL19" i="4" s="1"/>
  <c r="CY19" i="4"/>
  <c r="CZ19" i="4" s="1"/>
  <c r="DG19" i="4"/>
  <c r="DH19" i="4" s="1"/>
  <c r="ES19" i="4"/>
  <c r="ER28" i="4"/>
  <c r="ES28" i="4" s="1"/>
  <c r="FY28" i="4" l="1"/>
  <c r="FZ28" i="4" s="1"/>
  <c r="FI28" i="4"/>
  <c r="FJ28" i="4" s="1"/>
  <c r="ET28" i="4"/>
  <c r="FS28" i="4"/>
  <c r="FT28" i="4" s="1"/>
  <c r="EY28" i="4"/>
  <c r="EZ28" i="4" s="1"/>
  <c r="FU28" i="4"/>
  <c r="FV28" i="4" s="1"/>
  <c r="FE28" i="4"/>
  <c r="FF28" i="4" s="1"/>
  <c r="FW28" i="4"/>
  <c r="FX28" i="4" s="1"/>
  <c r="FC28" i="4"/>
  <c r="FD28" i="4" s="1"/>
  <c r="EU28" i="4"/>
  <c r="EV28" i="4" s="1"/>
  <c r="GG28" i="4"/>
  <c r="GH28" i="4" s="1"/>
  <c r="FQ28" i="4"/>
  <c r="FR28" i="4" s="1"/>
  <c r="FA28" i="4"/>
  <c r="FB28" i="4" s="1"/>
  <c r="FG28" i="4"/>
  <c r="FH28" i="4" s="1"/>
  <c r="GE28" i="4"/>
  <c r="GF28" i="4" s="1"/>
  <c r="FK28" i="4"/>
  <c r="FL28" i="4" s="1"/>
  <c r="GC28" i="4"/>
  <c r="GD28" i="4" s="1"/>
  <c r="FM28" i="4"/>
  <c r="FN28" i="4" s="1"/>
  <c r="EW28" i="4"/>
  <c r="EX28" i="4" s="1"/>
  <c r="GI28" i="4"/>
  <c r="GJ28" i="4" s="1"/>
  <c r="FO28" i="4"/>
  <c r="FP28" i="4" s="1"/>
  <c r="GA28" i="4"/>
  <c r="GB28" i="4" s="1"/>
  <c r="FC19" i="4"/>
  <c r="FD19" i="4" s="1"/>
  <c r="GG19" i="4"/>
  <c r="GH19" i="4" s="1"/>
  <c r="FA19" i="4"/>
  <c r="FB19" i="4" s="1"/>
  <c r="FY19" i="4"/>
  <c r="FZ19" i="4" s="1"/>
  <c r="ET19" i="4"/>
  <c r="FW19" i="4"/>
  <c r="FX19" i="4" s="1"/>
  <c r="GA19" i="4"/>
  <c r="GB19" i="4" s="1"/>
  <c r="FO19" i="4"/>
  <c r="FP19" i="4" s="1"/>
  <c r="GC19" i="4"/>
  <c r="GD19" i="4" s="1"/>
  <c r="FK19" i="4"/>
  <c r="FL19" i="4" s="1"/>
  <c r="FQ19" i="4"/>
  <c r="FR19" i="4" s="1"/>
  <c r="FE19" i="4"/>
  <c r="FF19" i="4" s="1"/>
  <c r="FI19" i="4"/>
  <c r="FJ19" i="4" s="1"/>
  <c r="FM19" i="4"/>
  <c r="FN19" i="4" s="1"/>
  <c r="FS19" i="4"/>
  <c r="FT19" i="4" s="1"/>
  <c r="EU19" i="4"/>
  <c r="EV19" i="4" s="1"/>
  <c r="FG19" i="4"/>
  <c r="FH19" i="4" s="1"/>
  <c r="GE19" i="4"/>
  <c r="GF19" i="4" s="1"/>
  <c r="EY19" i="4"/>
  <c r="EZ19" i="4" s="1"/>
  <c r="EW19" i="4"/>
  <c r="EX19" i="4" s="1"/>
  <c r="FU19" i="4"/>
  <c r="FV19" i="4" s="1"/>
  <c r="GI19" i="4"/>
  <c r="GJ19" i="4" s="1"/>
</calcChain>
</file>

<file path=xl/sharedStrings.xml><?xml version="1.0" encoding="utf-8"?>
<sst xmlns="http://schemas.openxmlformats.org/spreadsheetml/2006/main" count="714" uniqueCount="316">
  <si>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</si>
  <si>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</si>
  <si>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</si>
  <si>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</si>
  <si>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</si>
  <si>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</si>
  <si>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</si>
  <si>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</si>
  <si>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</si>
  <si>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</si>
  <si>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</si>
  <si>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</si>
  <si>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</si>
  <si>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</si>
  <si>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</si>
  <si>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</si>
  <si>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</si>
  <si>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</si>
  <si>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</si>
  <si>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</si>
  <si>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</si>
  <si>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</si>
  <si>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</si>
  <si>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</si>
  <si>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</si>
  <si>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</si>
  <si>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</si>
  <si>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</si>
  <si>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</si>
  <si>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</si>
  <si>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</si>
  <si>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</si>
  <si>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</si>
  <si>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</si>
  <si>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</si>
  <si>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</si>
  <si>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</si>
  <si>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</si>
  <si>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</si>
  <si>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</si>
  <si>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</si>
  <si>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</si>
  <si>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</si>
  <si>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</si>
  <si>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</si>
  <si>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</si>
  <si>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</si>
  <si>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</si>
  <si>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</si>
  <si>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</si>
  <si>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</si>
  <si>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</si>
  <si>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</si>
  <si>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</si>
  <si>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</si>
  <si>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</si>
  <si>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</si>
  <si>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</si>
  <si>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</si>
  <si>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</si>
  <si>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</si>
  <si>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</si>
  <si>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</si>
  <si>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</si>
  <si>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</si>
  <si>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</si>
  <si>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</si>
  <si>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</si>
  <si>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</si>
  <si>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</si>
  <si>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</si>
  <si>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</si>
  <si>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</si>
  <si>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</si>
  <si>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</si>
  <si>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</si>
  <si>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</si>
  <si>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</si>
  <si>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</si>
  <si>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</si>
  <si>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</si>
  <si>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</si>
  <si>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</si>
  <si>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</si>
  <si>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</si>
  <si>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</si>
  <si>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</si>
  <si>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</si>
  <si>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</si>
  <si>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</si>
  <si>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</si>
  <si>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</si>
  <si>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</si>
  <si>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</si>
  <si>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</si>
  <si>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</si>
  <si>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</si>
  <si>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</si>
  <si>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</si>
  <si>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</si>
  <si>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</si>
  <si>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</si>
  <si>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</si>
  <si>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</si>
  <si>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</si>
  <si>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</si>
  <si>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</si>
  <si>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</si>
  <si>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</si>
  <si>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</si>
  <si>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</si>
  <si>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</si>
  <si>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</si>
  <si>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</si>
  <si>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</si>
  <si>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</si>
  <si>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</si>
  <si>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</si>
  <si>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</si>
  <si>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</si>
  <si>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</si>
  <si>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</si>
  <si>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</si>
  <si>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</si>
  <si>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</si>
  <si>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</si>
  <si>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</si>
  <si>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</si>
  <si>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</si>
  <si>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</si>
  <si>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</si>
  <si>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</si>
  <si>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</si>
  <si>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</si>
  <si>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</si>
  <si>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</si>
  <si>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</si>
  <si>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</si>
  <si>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</si>
  <si>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</si>
  <si>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</si>
  <si>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</si>
  <si>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</si>
  <si>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</si>
  <si>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</si>
  <si>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</si>
  <si>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</si>
  <si>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</si>
  <si>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</si>
  <si>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</si>
  <si>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</si>
  <si>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</si>
  <si>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</si>
  <si>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</si>
  <si>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</si>
  <si>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</si>
  <si>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</si>
  <si>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</si>
  <si>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</si>
  <si>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</si>
  <si>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</si>
  <si>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</si>
  <si>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</si>
  <si>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</si>
  <si>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</si>
  <si>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</si>
  <si>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</si>
  <si>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</si>
  <si>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</si>
  <si>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</si>
  <si>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</si>
  <si>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</si>
  <si>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</si>
  <si>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</si>
  <si>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</si>
  <si>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</si>
  <si>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</si>
  <si>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</si>
  <si>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</si>
  <si>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</si>
  <si>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</si>
  <si>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</si>
  <si>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</si>
  <si>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</si>
  <si>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</si>
  <si>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</si>
  <si>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</si>
  <si>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</si>
  <si>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</si>
  <si>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</si>
  <si>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</si>
  <si>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</si>
  <si>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</si>
  <si>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</si>
  <si>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</si>
  <si>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</si>
  <si>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</si>
  <si>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</si>
  <si>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</si>
  <si>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</si>
  <si>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</si>
  <si>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</si>
  <si>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</si>
  <si>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</si>
  <si>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</si>
  <si>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</si>
  <si>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</si>
  <si>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</si>
  <si>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</si>
  <si>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</si>
  <si>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</si>
  <si>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</si>
  <si>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</si>
  <si>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</si>
  <si>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</si>
  <si>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</si>
  <si>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</si>
  <si>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</si>
  <si>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</si>
  <si>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</si>
  <si>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</si>
  <si>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</si>
  <si>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</si>
  <si>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</si>
  <si>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</si>
  <si>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</si>
  <si>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</si>
  <si>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</si>
  <si>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</si>
  <si>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</si>
  <si>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</si>
  <si>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</si>
  <si>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</si>
  <si>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</si>
  <si>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</si>
  <si>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</si>
  <si>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</si>
  <si>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</si>
  <si>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</si>
  <si>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</si>
  <si>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</si>
  <si>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</si>
  <si>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</si>
  <si>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</si>
  <si>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</si>
  <si>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</si>
  <si>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</si>
  <si>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</si>
  <si>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</si>
  <si>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</si>
  <si>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</si>
  <si>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</si>
  <si>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</si>
  <si>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</si>
  <si>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</si>
  <si>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</si>
  <si>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</si>
  <si>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</si>
  <si>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</si>
  <si>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</si>
  <si>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</si>
  <si>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</si>
  <si>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</si>
  <si>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</si>
  <si>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</si>
  <si>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</si>
  <si>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</si>
  <si>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</si>
  <si>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</si>
  <si>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</si>
  <si>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</si>
  <si>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</si>
  <si>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</si>
  <si>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</si>
  <si>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</si>
  <si>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</si>
  <si>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</si>
  <si>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</si>
  <si>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</si>
  <si>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</si>
  <si>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</si>
  <si>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</si>
  <si>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</si>
  <si>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</si>
  <si>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</si>
  <si>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</si>
  <si>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</si>
  <si>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</si>
  <si>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</si>
  <si>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</si>
  <si>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</si>
  <si>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</si>
  <si>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</si>
  <si>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</si>
  <si>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</si>
  <si>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</si>
  <si>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</si>
  <si>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</si>
  <si>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</si>
  <si>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</si>
  <si>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</si>
  <si>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</si>
  <si>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</si>
  <si>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</si>
  <si>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나성유초등학교 신축공사</t>
    <phoneticPr fontId="2" type="noConversion"/>
  </si>
  <si>
    <t>세종시</t>
  </si>
  <si>
    <t>창호및유리공사</t>
    <phoneticPr fontId="2" type="noConversion"/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</si>
  <si>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</si>
  <si>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</si>
  <si>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</si>
  <si>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공조배관공사,난방배관공사, 기타공사</t>
    <phoneticPr fontId="2" type="noConversion"/>
  </si>
  <si>
    <t>원격검침 설비공사,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</si>
  <si>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</si>
  <si>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</si>
  <si>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건축</t>
    <phoneticPr fontId="2" type="noConversion"/>
  </si>
  <si>
    <t>원 /평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</si>
</sst>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157</v>
      </c>
      <c r="B2" s="80" t="s">
        <v>0</v>
      </c>
      <c r="C2" s="81"/>
      <c r="D2" s="80" t="s">
        <v>1</v>
      </c>
      <c r="E2" s="81"/>
      <c r="F2" s="80" t="s">
        <v>158</v>
      </c>
      <c r="G2" s="81"/>
      <c r="H2" s="80" t="s">
        <v>2</v>
      </c>
      <c r="I2" s="81"/>
      <c r="J2" s="80" t="s">
        <v>3</v>
      </c>
      <c r="K2" s="81"/>
      <c r="L2" s="80" t="s">
        <v>159</v>
      </c>
      <c r="M2" s="81"/>
      <c r="N2" s="80" t="s">
        <v>160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303</v>
      </c>
    </row>
    <row r="6" spans="1:216" ht="17.25" thickBot="1" x14ac:dyDescent="0.35">
      <c r="A6" s="2">
        <v>3</v>
      </c>
      <c r="B6" s="2" t="s">
        <v>151</v>
      </c>
      <c r="C6" s="2" t="s">
        <v>105</v>
      </c>
      <c r="D6" s="35" t="s">
        <v>291</v>
      </c>
    </row>
    <row r="7" spans="1:216" ht="17.25" thickBot="1" x14ac:dyDescent="0.35">
      <c r="C7" s="37">
        <v>17326</v>
      </c>
      <c r="D7" s="36">
        <f>+C7/3.3058</f>
        <v>5241.0914150886319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305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211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150</v>
      </c>
      <c r="I15" s="87" t="s">
        <v>236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238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239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237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240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237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241</v>
      </c>
      <c r="I16" s="55" t="s">
        <v>242</v>
      </c>
      <c r="J16" s="55"/>
      <c r="K16" s="55" t="s">
        <v>243</v>
      </c>
      <c r="M16" s="55" t="s">
        <v>244</v>
      </c>
      <c r="O16" s="55" t="s">
        <v>245</v>
      </c>
      <c r="Q16" s="57" t="s">
        <v>246</v>
      </c>
      <c r="R16" s="56"/>
      <c r="S16" s="58" t="s">
        <v>247</v>
      </c>
      <c r="U16" s="57" t="s">
        <v>248</v>
      </c>
      <c r="W16" s="55" t="s">
        <v>249</v>
      </c>
      <c r="Y16" s="57" t="s">
        <v>250</v>
      </c>
      <c r="AA16" s="55" t="s">
        <v>251</v>
      </c>
      <c r="AC16" s="55" t="s">
        <v>252</v>
      </c>
      <c r="AE16" s="55" t="s">
        <v>253</v>
      </c>
      <c r="AG16" s="55" t="s">
        <v>254</v>
      </c>
      <c r="AH16" s="56"/>
      <c r="AI16" s="58" t="s">
        <v>255</v>
      </c>
      <c r="AK16" s="55" t="s">
        <v>256</v>
      </c>
      <c r="AM16" s="55" t="s">
        <v>257</v>
      </c>
      <c r="AO16" s="55" t="s">
        <v>258</v>
      </c>
      <c r="AQ16" s="55" t="s">
        <v>259</v>
      </c>
      <c r="AR16" s="56"/>
      <c r="AS16" s="58" t="s">
        <v>260</v>
      </c>
      <c r="AU16" s="55" t="s">
        <v>261</v>
      </c>
      <c r="AW16" s="55" t="s">
        <v>262</v>
      </c>
      <c r="AY16" s="55" t="s">
        <v>263</v>
      </c>
      <c r="BC16" s="55" t="s">
        <v>264</v>
      </c>
      <c r="BD16" s="55" t="s">
        <v>243</v>
      </c>
      <c r="BE16" s="55" t="s">
        <v>209</v>
      </c>
      <c r="BF16" s="55" t="s">
        <v>208</v>
      </c>
      <c r="BG16" s="55" t="s">
        <v>206</v>
      </c>
      <c r="BH16" s="55" t="s">
        <v>203</v>
      </c>
      <c r="BI16" s="55" t="s">
        <v>202</v>
      </c>
      <c r="BJ16" s="55" t="s">
        <v>200</v>
      </c>
      <c r="BK16" s="55" t="s">
        <v>199</v>
      </c>
      <c r="BL16" s="55" t="s">
        <v>198</v>
      </c>
      <c r="BM16" s="55" t="s">
        <v>195</v>
      </c>
      <c r="BN16" s="55" t="s">
        <v>192</v>
      </c>
      <c r="BO16" s="55" t="s">
        <v>189</v>
      </c>
      <c r="BP16" s="55" t="s">
        <v>187</v>
      </c>
      <c r="BQ16" s="55" t="s">
        <v>181</v>
      </c>
      <c r="BR16" s="55" t="s">
        <v>178</v>
      </c>
      <c r="BS16" s="55" t="s">
        <v>265</v>
      </c>
      <c r="BT16" s="55" t="s">
        <v>266</v>
      </c>
      <c r="BU16" s="55" t="s">
        <v>267</v>
      </c>
      <c r="BV16" s="55" t="s">
        <v>268</v>
      </c>
      <c r="BW16" s="55" t="s">
        <v>269</v>
      </c>
      <c r="BX16" s="55" t="s">
        <v>270</v>
      </c>
      <c r="BZ16" s="55" t="s">
        <v>241</v>
      </c>
      <c r="CA16" s="55" t="s">
        <v>242</v>
      </c>
      <c r="CC16" s="55" t="s">
        <v>243</v>
      </c>
      <c r="CE16" s="55" t="s">
        <v>244</v>
      </c>
      <c r="CG16" s="55" t="s">
        <v>245</v>
      </c>
      <c r="CI16" s="55" t="s">
        <v>246</v>
      </c>
      <c r="CJ16" s="56"/>
      <c r="CK16" s="58" t="s">
        <v>247</v>
      </c>
      <c r="CM16" s="55" t="s">
        <v>248</v>
      </c>
      <c r="CO16" s="55" t="s">
        <v>249</v>
      </c>
      <c r="CQ16" s="55" t="s">
        <v>250</v>
      </c>
      <c r="CS16" s="55" t="s">
        <v>251</v>
      </c>
      <c r="CU16" s="55" t="s">
        <v>252</v>
      </c>
      <c r="CW16" s="55" t="s">
        <v>253</v>
      </c>
      <c r="CY16" s="55" t="s">
        <v>254</v>
      </c>
      <c r="CZ16" s="56"/>
      <c r="DA16" s="58" t="s">
        <v>255</v>
      </c>
      <c r="DC16" s="55" t="s">
        <v>256</v>
      </c>
      <c r="DE16" s="55" t="s">
        <v>257</v>
      </c>
      <c r="DG16" s="55" t="s">
        <v>258</v>
      </c>
      <c r="DI16" s="55" t="s">
        <v>259</v>
      </c>
      <c r="DJ16" s="56"/>
      <c r="DK16" s="58" t="s">
        <v>260</v>
      </c>
      <c r="DM16" s="55" t="s">
        <v>261</v>
      </c>
      <c r="DO16" s="55" t="s">
        <v>262</v>
      </c>
      <c r="DQ16" s="55" t="s">
        <v>263</v>
      </c>
      <c r="DU16" s="55" t="s">
        <v>264</v>
      </c>
      <c r="DV16" s="55" t="s">
        <v>243</v>
      </c>
      <c r="DW16" s="55" t="s">
        <v>209</v>
      </c>
      <c r="DX16" s="55" t="s">
        <v>208</v>
      </c>
      <c r="DY16" s="55" t="s">
        <v>206</v>
      </c>
      <c r="DZ16" s="55" t="s">
        <v>203</v>
      </c>
      <c r="EA16" s="55" t="s">
        <v>202</v>
      </c>
      <c r="EB16" s="55" t="s">
        <v>200</v>
      </c>
      <c r="EC16" s="55" t="s">
        <v>199</v>
      </c>
      <c r="ED16" s="55" t="s">
        <v>198</v>
      </c>
      <c r="EE16" s="55" t="s">
        <v>195</v>
      </c>
      <c r="EF16" s="55" t="s">
        <v>192</v>
      </c>
      <c r="EG16" s="55" t="s">
        <v>189</v>
      </c>
      <c r="EH16" s="55" t="s">
        <v>187</v>
      </c>
      <c r="EI16" s="55" t="s">
        <v>181</v>
      </c>
      <c r="EJ16" s="55" t="s">
        <v>178</v>
      </c>
      <c r="EK16" s="55" t="s">
        <v>265</v>
      </c>
      <c r="EL16" s="55" t="s">
        <v>266</v>
      </c>
      <c r="EM16" s="55" t="s">
        <v>267</v>
      </c>
      <c r="EN16" s="55" t="s">
        <v>268</v>
      </c>
      <c r="EO16" s="55" t="s">
        <v>269</v>
      </c>
      <c r="EP16" s="55" t="s">
        <v>270</v>
      </c>
      <c r="ER16" s="55" t="s">
        <v>241</v>
      </c>
      <c r="ES16" s="55" t="s">
        <v>242</v>
      </c>
      <c r="ET16" s="55"/>
      <c r="EU16" s="55" t="s">
        <v>243</v>
      </c>
      <c r="EV16" s="55"/>
      <c r="EW16" s="55" t="s">
        <v>244</v>
      </c>
      <c r="EX16" s="55"/>
      <c r="EY16" s="55" t="s">
        <v>245</v>
      </c>
      <c r="EZ16" s="55"/>
      <c r="FA16" s="55" t="s">
        <v>246</v>
      </c>
      <c r="FB16" s="56"/>
      <c r="FC16" s="58" t="s">
        <v>247</v>
      </c>
      <c r="FD16" s="55"/>
      <c r="FE16" s="55" t="s">
        <v>248</v>
      </c>
      <c r="FF16" s="55"/>
      <c r="FG16" s="55" t="s">
        <v>249</v>
      </c>
      <c r="FH16" s="55"/>
      <c r="FI16" s="55" t="s">
        <v>250</v>
      </c>
      <c r="FJ16" s="55"/>
      <c r="FK16" s="55" t="s">
        <v>251</v>
      </c>
      <c r="FL16" s="55"/>
      <c r="FM16" s="55" t="s">
        <v>252</v>
      </c>
      <c r="FN16" s="55"/>
      <c r="FO16" s="55" t="s">
        <v>253</v>
      </c>
      <c r="FP16" s="55"/>
      <c r="FQ16" s="55" t="s">
        <v>254</v>
      </c>
      <c r="FR16" s="56"/>
      <c r="FS16" s="58" t="s">
        <v>255</v>
      </c>
      <c r="FT16" s="55"/>
      <c r="FU16" s="55" t="s">
        <v>256</v>
      </c>
      <c r="FV16" s="55"/>
      <c r="FW16" s="55" t="s">
        <v>257</v>
      </c>
      <c r="FX16" s="55"/>
      <c r="FY16" s="55" t="s">
        <v>258</v>
      </c>
      <c r="FZ16" s="55"/>
      <c r="GA16" s="55" t="s">
        <v>259</v>
      </c>
      <c r="GB16" s="56"/>
      <c r="GC16" s="58" t="s">
        <v>260</v>
      </c>
      <c r="GD16" s="55"/>
      <c r="GE16" s="55" t="s">
        <v>261</v>
      </c>
      <c r="GF16" s="55"/>
      <c r="GG16" s="55" t="s">
        <v>262</v>
      </c>
      <c r="GH16" s="55"/>
      <c r="GI16" s="55" t="s">
        <v>263</v>
      </c>
      <c r="GJ16" s="55"/>
      <c r="GK16" s="55"/>
      <c r="GL16" s="55"/>
      <c r="GM16" s="55" t="s">
        <v>264</v>
      </c>
      <c r="GN16" s="55" t="s">
        <v>243</v>
      </c>
      <c r="GO16" s="55" t="s">
        <v>209</v>
      </c>
      <c r="GP16" s="55" t="s">
        <v>208</v>
      </c>
      <c r="GQ16" s="55" t="s">
        <v>206</v>
      </c>
      <c r="GR16" s="55" t="s">
        <v>203</v>
      </c>
      <c r="GS16" s="55" t="s">
        <v>202</v>
      </c>
      <c r="GT16" s="55" t="s">
        <v>200</v>
      </c>
      <c r="GU16" s="55" t="s">
        <v>199</v>
      </c>
      <c r="GV16" s="55" t="s">
        <v>198</v>
      </c>
      <c r="GW16" s="55" t="s">
        <v>195</v>
      </c>
      <c r="GX16" s="55" t="s">
        <v>192</v>
      </c>
      <c r="GY16" s="55" t="s">
        <v>189</v>
      </c>
      <c r="GZ16" s="55" t="s">
        <v>187</v>
      </c>
      <c r="HA16" s="55" t="s">
        <v>181</v>
      </c>
      <c r="HB16" s="55" t="s">
        <v>178</v>
      </c>
      <c r="HC16" s="55" t="s">
        <v>265</v>
      </c>
      <c r="HD16" s="55" t="s">
        <v>266</v>
      </c>
      <c r="HE16" s="55" t="s">
        <v>267</v>
      </c>
      <c r="HF16" s="55" t="s">
        <v>268</v>
      </c>
      <c r="HG16" s="55" t="s">
        <v>269</v>
      </c>
      <c r="HH16" s="55" t="s">
        <v>270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292</v>
      </c>
      <c r="E17" s="35" t="s">
        <v>154</v>
      </c>
      <c r="I17" s="55" t="s">
        <v>271</v>
      </c>
      <c r="J17" s="55" t="s">
        <v>272</v>
      </c>
      <c r="K17" s="55" t="s">
        <v>271</v>
      </c>
      <c r="L17" s="55" t="s">
        <v>272</v>
      </c>
      <c r="M17" s="55" t="s">
        <v>271</v>
      </c>
      <c r="N17" s="55" t="s">
        <v>272</v>
      </c>
      <c r="O17" s="55" t="s">
        <v>271</v>
      </c>
      <c r="P17" s="55" t="s">
        <v>272</v>
      </c>
      <c r="Q17" s="57" t="s">
        <v>271</v>
      </c>
      <c r="R17" s="55" t="s">
        <v>272</v>
      </c>
      <c r="S17" s="55" t="s">
        <v>271</v>
      </c>
      <c r="T17" s="55" t="s">
        <v>272</v>
      </c>
      <c r="U17" s="57" t="s">
        <v>271</v>
      </c>
      <c r="V17" s="55" t="s">
        <v>272</v>
      </c>
      <c r="W17" s="55" t="s">
        <v>271</v>
      </c>
      <c r="X17" s="55" t="s">
        <v>272</v>
      </c>
      <c r="Y17" s="57" t="s">
        <v>271</v>
      </c>
      <c r="Z17" s="55" t="s">
        <v>272</v>
      </c>
      <c r="AA17" s="55" t="s">
        <v>271</v>
      </c>
      <c r="AB17" s="55" t="s">
        <v>272</v>
      </c>
      <c r="AC17" s="55" t="s">
        <v>271</v>
      </c>
      <c r="AD17" s="55" t="s">
        <v>272</v>
      </c>
      <c r="AE17" s="55" t="s">
        <v>271</v>
      </c>
      <c r="AF17" s="55" t="s">
        <v>272</v>
      </c>
      <c r="AG17" s="55" t="s">
        <v>271</v>
      </c>
      <c r="AH17" s="55" t="s">
        <v>272</v>
      </c>
      <c r="AI17" s="55" t="s">
        <v>271</v>
      </c>
      <c r="AJ17" s="55" t="s">
        <v>272</v>
      </c>
      <c r="AK17" s="55" t="s">
        <v>271</v>
      </c>
      <c r="AL17" s="55" t="s">
        <v>272</v>
      </c>
      <c r="AM17" s="55" t="s">
        <v>271</v>
      </c>
      <c r="AN17" s="55" t="s">
        <v>272</v>
      </c>
      <c r="AO17" s="55" t="s">
        <v>271</v>
      </c>
      <c r="AP17" s="55" t="s">
        <v>272</v>
      </c>
      <c r="AQ17" s="55" t="s">
        <v>271</v>
      </c>
      <c r="AR17" s="55" t="s">
        <v>272</v>
      </c>
      <c r="AS17" s="55" t="s">
        <v>271</v>
      </c>
      <c r="AT17" s="55" t="s">
        <v>272</v>
      </c>
      <c r="AU17" s="55" t="s">
        <v>271</v>
      </c>
      <c r="AV17" s="55" t="s">
        <v>272</v>
      </c>
      <c r="AW17" s="55" t="s">
        <v>271</v>
      </c>
      <c r="AX17" s="55" t="s">
        <v>272</v>
      </c>
      <c r="AY17" s="55" t="s">
        <v>271</v>
      </c>
      <c r="AZ17" s="55" t="s">
        <v>272</v>
      </c>
      <c r="CA17" s="55" t="s">
        <v>271</v>
      </c>
      <c r="CB17" s="55" t="s">
        <v>272</v>
      </c>
      <c r="CC17" s="55" t="s">
        <v>271</v>
      </c>
      <c r="CD17" s="55" t="s">
        <v>272</v>
      </c>
      <c r="CE17" s="55" t="s">
        <v>271</v>
      </c>
      <c r="CF17" s="55" t="s">
        <v>272</v>
      </c>
      <c r="CG17" s="55" t="s">
        <v>271</v>
      </c>
      <c r="CH17" s="55" t="s">
        <v>272</v>
      </c>
      <c r="CI17" s="55" t="s">
        <v>271</v>
      </c>
      <c r="CJ17" s="55" t="s">
        <v>272</v>
      </c>
      <c r="CK17" s="55" t="s">
        <v>271</v>
      </c>
      <c r="CL17" s="55" t="s">
        <v>272</v>
      </c>
      <c r="CM17" s="55" t="s">
        <v>271</v>
      </c>
      <c r="CN17" s="55" t="s">
        <v>272</v>
      </c>
      <c r="CO17" s="55" t="s">
        <v>271</v>
      </c>
      <c r="CP17" s="55" t="s">
        <v>272</v>
      </c>
      <c r="CQ17" s="55" t="s">
        <v>271</v>
      </c>
      <c r="CR17" s="55" t="s">
        <v>272</v>
      </c>
      <c r="CS17" s="55" t="s">
        <v>271</v>
      </c>
      <c r="CT17" s="55" t="s">
        <v>272</v>
      </c>
      <c r="CU17" s="55" t="s">
        <v>271</v>
      </c>
      <c r="CV17" s="55" t="s">
        <v>272</v>
      </c>
      <c r="CW17" s="55" t="s">
        <v>271</v>
      </c>
      <c r="CX17" s="55" t="s">
        <v>272</v>
      </c>
      <c r="CY17" s="55" t="s">
        <v>271</v>
      </c>
      <c r="CZ17" s="55" t="s">
        <v>272</v>
      </c>
      <c r="DA17" s="55" t="s">
        <v>271</v>
      </c>
      <c r="DB17" s="55" t="s">
        <v>272</v>
      </c>
      <c r="DC17" s="55" t="s">
        <v>271</v>
      </c>
      <c r="DD17" s="55" t="s">
        <v>272</v>
      </c>
      <c r="DE17" s="55" t="s">
        <v>271</v>
      </c>
      <c r="DF17" s="55" t="s">
        <v>272</v>
      </c>
      <c r="DG17" s="55" t="s">
        <v>271</v>
      </c>
      <c r="DH17" s="55" t="s">
        <v>272</v>
      </c>
      <c r="DI17" s="55" t="s">
        <v>271</v>
      </c>
      <c r="DJ17" s="55" t="s">
        <v>272</v>
      </c>
      <c r="DK17" s="55" t="s">
        <v>271</v>
      </c>
      <c r="DL17" s="55" t="s">
        <v>272</v>
      </c>
      <c r="DM17" s="55" t="s">
        <v>271</v>
      </c>
      <c r="DN17" s="55" t="s">
        <v>272</v>
      </c>
      <c r="DO17" s="55" t="s">
        <v>271</v>
      </c>
      <c r="DP17" s="55" t="s">
        <v>272</v>
      </c>
      <c r="DQ17" s="55" t="s">
        <v>271</v>
      </c>
      <c r="DR17" s="55" t="s">
        <v>272</v>
      </c>
      <c r="ER17" s="55"/>
      <c r="ES17" s="55" t="s">
        <v>271</v>
      </c>
      <c r="ET17" s="55" t="s">
        <v>272</v>
      </c>
      <c r="EU17" s="55" t="s">
        <v>271</v>
      </c>
      <c r="EV17" s="55" t="s">
        <v>272</v>
      </c>
      <c r="EW17" s="55" t="s">
        <v>271</v>
      </c>
      <c r="EX17" s="55" t="s">
        <v>272</v>
      </c>
      <c r="EY17" s="55" t="s">
        <v>271</v>
      </c>
      <c r="EZ17" s="55" t="s">
        <v>272</v>
      </c>
      <c r="FA17" s="55" t="s">
        <v>271</v>
      </c>
      <c r="FB17" s="55" t="s">
        <v>272</v>
      </c>
      <c r="FC17" s="55" t="s">
        <v>271</v>
      </c>
      <c r="FD17" s="55" t="s">
        <v>272</v>
      </c>
      <c r="FE17" s="55" t="s">
        <v>271</v>
      </c>
      <c r="FF17" s="55" t="s">
        <v>272</v>
      </c>
      <c r="FG17" s="55" t="s">
        <v>271</v>
      </c>
      <c r="FH17" s="55" t="s">
        <v>272</v>
      </c>
      <c r="FI17" s="55" t="s">
        <v>271</v>
      </c>
      <c r="FJ17" s="55" t="s">
        <v>272</v>
      </c>
      <c r="FK17" s="55" t="s">
        <v>271</v>
      </c>
      <c r="FL17" s="55" t="s">
        <v>272</v>
      </c>
      <c r="FM17" s="55" t="s">
        <v>271</v>
      </c>
      <c r="FN17" s="55" t="s">
        <v>272</v>
      </c>
      <c r="FO17" s="55" t="s">
        <v>271</v>
      </c>
      <c r="FP17" s="55" t="s">
        <v>272</v>
      </c>
      <c r="FQ17" s="55" t="s">
        <v>271</v>
      </c>
      <c r="FR17" s="55" t="s">
        <v>272</v>
      </c>
      <c r="FS17" s="55" t="s">
        <v>271</v>
      </c>
      <c r="FT17" s="55" t="s">
        <v>272</v>
      </c>
      <c r="FU17" s="55" t="s">
        <v>271</v>
      </c>
      <c r="FV17" s="55" t="s">
        <v>272</v>
      </c>
      <c r="FW17" s="55" t="s">
        <v>271</v>
      </c>
      <c r="FX17" s="55" t="s">
        <v>272</v>
      </c>
      <c r="FY17" s="55" t="s">
        <v>271</v>
      </c>
      <c r="FZ17" s="55" t="s">
        <v>272</v>
      </c>
      <c r="GA17" s="55" t="s">
        <v>271</v>
      </c>
      <c r="GB17" s="55" t="s">
        <v>272</v>
      </c>
      <c r="GC17" s="55" t="s">
        <v>271</v>
      </c>
      <c r="GD17" s="55" t="s">
        <v>272</v>
      </c>
      <c r="GE17" s="55" t="s">
        <v>271</v>
      </c>
      <c r="GF17" s="55" t="s">
        <v>272</v>
      </c>
      <c r="GG17" s="55" t="s">
        <v>271</v>
      </c>
      <c r="GH17" s="55" t="s">
        <v>272</v>
      </c>
      <c r="GI17" s="55" t="s">
        <v>271</v>
      </c>
      <c r="GJ17" s="55" t="s">
        <v>272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+D18*1.1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855000</v>
      </c>
      <c r="E19" s="67">
        <f t="shared" si="0"/>
        <v>2826450</v>
      </c>
      <c r="H19" s="55">
        <f t="shared" ref="H19:H28" si="61">+D19*1.1</f>
        <v>940500.00000000012</v>
      </c>
      <c r="I19" s="55">
        <f t="shared" ref="I19:I83" si="62">+H19</f>
        <v>940500.00000000012</v>
      </c>
      <c r="J19" s="59">
        <f t="shared" ref="J19:J83" si="63">+I19*3.3058</f>
        <v>3109104.9000000004</v>
      </c>
      <c r="K19" s="55">
        <f t="shared" ref="K19:K28" si="64">+I19*BD19</f>
        <v>912285.00000000012</v>
      </c>
      <c r="L19" s="59">
        <f t="shared" ref="L19:L28" si="65">+K19*3.3058</f>
        <v>3015831.7530000005</v>
      </c>
      <c r="M19" s="55">
        <f t="shared" ref="M19:M28" si="66">+I19*BE19</f>
        <v>893475.00000000012</v>
      </c>
      <c r="N19" s="59">
        <f t="shared" ref="N19:N28" si="67">+M19*3.3058</f>
        <v>2953649.6550000003</v>
      </c>
      <c r="O19" s="55">
        <f t="shared" si="1"/>
        <v>874665.00000000012</v>
      </c>
      <c r="P19" s="59">
        <f t="shared" ref="P19:P28" si="68">+O19*3.3058</f>
        <v>2891467.5570000005</v>
      </c>
      <c r="Q19" s="57">
        <f t="shared" si="2"/>
        <v>855855.00000000012</v>
      </c>
      <c r="R19" s="59">
        <f t="shared" ref="R19:R28" si="69">+Q19*3.3058</f>
        <v>2829285.4590000003</v>
      </c>
      <c r="S19" s="55">
        <f t="shared" si="3"/>
        <v>837045.00000000012</v>
      </c>
      <c r="T19" s="59">
        <f t="shared" ref="T19:T28" si="70">+S19*3.3058</f>
        <v>2767103.3610000005</v>
      </c>
      <c r="U19" s="57">
        <f t="shared" si="4"/>
        <v>818235.00000000012</v>
      </c>
      <c r="V19" s="59">
        <f t="shared" ref="V19:V28" si="71">+U19*3.3058</f>
        <v>2704921.2630000003</v>
      </c>
      <c r="W19" s="60">
        <f t="shared" si="5"/>
        <v>799425.00000000012</v>
      </c>
      <c r="X19" s="59">
        <f t="shared" ref="X19:X28" si="72">+W19*3.3058</f>
        <v>2642739.1650000005</v>
      </c>
      <c r="Y19" s="57">
        <f t="shared" si="6"/>
        <v>780615.00000000012</v>
      </c>
      <c r="Z19" s="59">
        <f t="shared" ref="Z19:Z28" si="73">+Y19*3.3058</f>
        <v>2580557.0670000003</v>
      </c>
      <c r="AA19" s="55">
        <f t="shared" si="7"/>
        <v>761805</v>
      </c>
      <c r="AB19" s="59">
        <f t="shared" ref="AB19:AB28" si="74">+AA19*3.3058</f>
        <v>2518374.969</v>
      </c>
      <c r="AC19" s="60">
        <f t="shared" si="8"/>
        <v>742995</v>
      </c>
      <c r="AD19" s="59">
        <f t="shared" ref="AD19:AD28" si="75">+AC19*3.3058</f>
        <v>2456192.8710000003</v>
      </c>
      <c r="AE19" s="60">
        <f t="shared" si="9"/>
        <v>724185</v>
      </c>
      <c r="AF19" s="59">
        <f t="shared" ref="AF19:AF28" si="76">+AE19*3.3058</f>
        <v>2394010.773</v>
      </c>
      <c r="AG19" s="60">
        <f t="shared" si="10"/>
        <v>705375</v>
      </c>
      <c r="AH19" s="59">
        <f t="shared" ref="AH19:AH28" si="77">+AG19*3.3058</f>
        <v>2331828.6750000003</v>
      </c>
      <c r="AI19" s="55">
        <f t="shared" si="11"/>
        <v>686565</v>
      </c>
      <c r="AJ19" s="59">
        <f t="shared" ref="AJ19:AJ28" si="78">+AI19*3.3058</f>
        <v>2269646.577</v>
      </c>
      <c r="AK19" s="60">
        <f t="shared" si="12"/>
        <v>667755</v>
      </c>
      <c r="AL19" s="59">
        <f t="shared" ref="AL19:AL28" si="79">+AK19*3.3058</f>
        <v>2207464.4789999998</v>
      </c>
      <c r="AM19" s="60">
        <f t="shared" si="13"/>
        <v>648944.99999999988</v>
      </c>
      <c r="AN19" s="59">
        <f t="shared" ref="AN19:AN28" si="80">+AM19*3.3058</f>
        <v>2145282.3809999996</v>
      </c>
      <c r="AO19" s="60">
        <f t="shared" si="14"/>
        <v>630134.99999999988</v>
      </c>
      <c r="AP19" s="59">
        <f t="shared" ref="AP19:AP28" si="81">+AO19*3.3058</f>
        <v>2083100.2829999996</v>
      </c>
      <c r="AQ19" s="60">
        <f t="shared" si="15"/>
        <v>611324.99999999988</v>
      </c>
      <c r="AR19" s="59">
        <f t="shared" ref="AR19:AR28" si="82">+AQ19*3.3058</f>
        <v>2020918.1849999996</v>
      </c>
      <c r="AS19" s="55">
        <f t="shared" si="16"/>
        <v>592514.99999999988</v>
      </c>
      <c r="AT19" s="59">
        <f t="shared" ref="AT19:AT28" si="83">+AS19*3.3058</f>
        <v>1958736.0869999996</v>
      </c>
      <c r="AU19" s="60">
        <f t="shared" si="17"/>
        <v>573704.99999999988</v>
      </c>
      <c r="AV19" s="59">
        <f t="shared" ref="AV19:AV28" si="84">+AU19*3.3058</f>
        <v>1896553.9889999996</v>
      </c>
      <c r="AW19" s="60">
        <f t="shared" si="18"/>
        <v>554894.99999999988</v>
      </c>
      <c r="AX19" s="59">
        <f t="shared" ref="AX19:AX28" si="85">+AW19*3.3058</f>
        <v>1834371.8909999996</v>
      </c>
      <c r="AY19" s="55">
        <f t="shared" si="19"/>
        <v>536084.99999999977</v>
      </c>
      <c r="AZ19" s="59">
        <f t="shared" ref="AZ19:AZ28" si="86">+AY19*3.3058</f>
        <v>1772189.7929999994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855855.00000000012</v>
      </c>
      <c r="CA19" s="55">
        <f t="shared" ref="CA19:CA83" si="89">+BZ19</f>
        <v>855855.00000000012</v>
      </c>
      <c r="CB19" s="59">
        <f t="shared" ref="CB19:CB28" si="90">+CA19*3.3058</f>
        <v>2829285.4590000003</v>
      </c>
      <c r="CC19" s="55">
        <f t="shared" ref="CC19:CC28" si="91">+CA19*DV19</f>
        <v>830179.35000000009</v>
      </c>
      <c r="CD19" s="59">
        <f t="shared" ref="CD19:CD28" si="92">+CC19*3.3058</f>
        <v>2744406.8952300004</v>
      </c>
      <c r="CE19" s="55">
        <f t="shared" ref="CE19:CE28" si="93">+CA19*DW19</f>
        <v>813062.25000000012</v>
      </c>
      <c r="CF19" s="59">
        <f t="shared" ref="CF19:CF28" si="94">+CE19*3.3058</f>
        <v>2687821.1860500006</v>
      </c>
      <c r="CG19" s="55">
        <f t="shared" si="21"/>
        <v>795945.15000000014</v>
      </c>
      <c r="CH19" s="59">
        <f t="shared" ref="CH19:CH28" si="95">+CG19*3.3058</f>
        <v>2631235.4768700004</v>
      </c>
      <c r="CI19" s="57">
        <f t="shared" si="22"/>
        <v>778828.05000000016</v>
      </c>
      <c r="CJ19" s="59">
        <f t="shared" ref="CJ19:CJ28" si="96">+CI19*3.3058</f>
        <v>2574649.7676900006</v>
      </c>
      <c r="CK19" s="55">
        <f t="shared" si="23"/>
        <v>761710.95000000007</v>
      </c>
      <c r="CL19" s="59">
        <f t="shared" ref="CL19:CL28" si="97">+CK19*3.3058</f>
        <v>2518064.0585100004</v>
      </c>
      <c r="CM19" s="57">
        <f t="shared" si="24"/>
        <v>744593.85000000009</v>
      </c>
      <c r="CN19" s="59">
        <f t="shared" ref="CN19:CN28" si="98">+CM19*3.3058</f>
        <v>2461478.3493300006</v>
      </c>
      <c r="CO19" s="60">
        <f t="shared" si="25"/>
        <v>727476.75000000012</v>
      </c>
      <c r="CP19" s="59">
        <f t="shared" ref="CP19:CP28" si="99">+CO19*3.3058</f>
        <v>2404892.6401500003</v>
      </c>
      <c r="CQ19" s="57">
        <f t="shared" si="26"/>
        <v>710359.65</v>
      </c>
      <c r="CR19" s="59">
        <f t="shared" ref="CR19:CR28" si="100">+CQ19*3.3058</f>
        <v>2348306.9309700001</v>
      </c>
      <c r="CS19" s="55">
        <f t="shared" si="27"/>
        <v>693242.55</v>
      </c>
      <c r="CT19" s="59">
        <f t="shared" ref="CT19:CT28" si="101">+CS19*3.3058</f>
        <v>2291721.2217900003</v>
      </c>
      <c r="CU19" s="60">
        <f t="shared" si="28"/>
        <v>676125.45000000007</v>
      </c>
      <c r="CV19" s="59">
        <f t="shared" ref="CV19:CV28" si="102">+CU19*3.3058</f>
        <v>2235135.5126100001</v>
      </c>
      <c r="CW19" s="60">
        <f t="shared" si="29"/>
        <v>659008.35</v>
      </c>
      <c r="CX19" s="59">
        <f t="shared" ref="CX19:CX28" si="103">+CW19*3.3058</f>
        <v>2178549.8034299999</v>
      </c>
      <c r="CY19" s="60">
        <f t="shared" si="30"/>
        <v>641891.25</v>
      </c>
      <c r="CZ19" s="59">
        <f t="shared" ref="CZ19:CZ28" si="104">+CY19*3.3058</f>
        <v>2121964.0942500001</v>
      </c>
      <c r="DA19" s="55">
        <f t="shared" si="31"/>
        <v>624774.15</v>
      </c>
      <c r="DB19" s="59">
        <f t="shared" ref="DB19:DB28" si="105">+DA19*3.3058</f>
        <v>2065378.3850700001</v>
      </c>
      <c r="DC19" s="60">
        <f t="shared" si="32"/>
        <v>607657.04999999993</v>
      </c>
      <c r="DD19" s="59">
        <f t="shared" ref="DD19:DD28" si="106">+DC19*3.3058</f>
        <v>2008792.6758899998</v>
      </c>
      <c r="DE19" s="60">
        <f t="shared" si="33"/>
        <v>590539.94999999995</v>
      </c>
      <c r="DF19" s="59">
        <f t="shared" ref="DF19:DF28" si="107">+DE19*3.3058</f>
        <v>1952206.9667099998</v>
      </c>
      <c r="DG19" s="60">
        <f t="shared" si="34"/>
        <v>573422.85</v>
      </c>
      <c r="DH19" s="59">
        <f t="shared" ref="DH19:DH28" si="108">+DG19*3.3058</f>
        <v>1895621.2575300001</v>
      </c>
      <c r="DI19" s="60">
        <f t="shared" si="35"/>
        <v>556305.74999999988</v>
      </c>
      <c r="DJ19" s="59">
        <f t="shared" ref="DJ19:DJ28" si="109">+DI19*3.3058</f>
        <v>1839035.5483499996</v>
      </c>
      <c r="DK19" s="55">
        <f t="shared" si="36"/>
        <v>539188.64999999991</v>
      </c>
      <c r="DL19" s="59">
        <f t="shared" ref="DL19:DL28" si="110">+DK19*3.3058</f>
        <v>1782449.8391699998</v>
      </c>
      <c r="DM19" s="60">
        <f t="shared" si="37"/>
        <v>522071.54999999987</v>
      </c>
      <c r="DN19" s="59">
        <f t="shared" ref="DN19:DN28" si="111">+DM19*3.3058</f>
        <v>1725864.1299899996</v>
      </c>
      <c r="DO19" s="60">
        <f t="shared" si="38"/>
        <v>504954.44999999984</v>
      </c>
      <c r="DP19" s="59">
        <f t="shared" ref="DP19:DP28" si="112">+DO19*3.3058</f>
        <v>1669278.4208099996</v>
      </c>
      <c r="DQ19" s="55">
        <f t="shared" si="39"/>
        <v>487837.34999999986</v>
      </c>
      <c r="DR19" s="59">
        <f t="shared" ref="DR19:DR28" si="113">+DQ19*3.3058</f>
        <v>1612692.7116299996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1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778828.05000000016</v>
      </c>
      <c r="ES19" s="55">
        <f t="shared" ref="ES19:ES83" si="116">+ER19</f>
        <v>778828.05000000016</v>
      </c>
      <c r="ET19" s="59">
        <f t="shared" ref="ET19:ET28" si="117">+ES19*3.3058</f>
        <v>2574649.7676900006</v>
      </c>
      <c r="EU19" s="55">
        <f t="shared" ref="EU19:EU28" si="118">+ES19*GN19</f>
        <v>755463.20850000018</v>
      </c>
      <c r="EV19" s="59">
        <f t="shared" ref="EV19:EV28" si="119">+EU19*3.3058</f>
        <v>2497410.2746593007</v>
      </c>
      <c r="EW19" s="55">
        <f t="shared" ref="EW19:EW28" si="120">+ES19*GO19</f>
        <v>739886.64750000008</v>
      </c>
      <c r="EX19" s="59">
        <f t="shared" ref="EX19:EX28" si="121">+EW19*3.3058</f>
        <v>2445917.2793055004</v>
      </c>
      <c r="EY19" s="55">
        <f t="shared" si="41"/>
        <v>724310.08650000021</v>
      </c>
      <c r="EZ19" s="59">
        <f t="shared" ref="EZ19:EZ28" si="122">+EY19*3.3058</f>
        <v>2394424.2839517007</v>
      </c>
      <c r="FA19" s="57">
        <f t="shared" si="42"/>
        <v>708733.52550000022</v>
      </c>
      <c r="FB19" s="59">
        <f t="shared" ref="FB19:FB28" si="123">+FA19*3.3058</f>
        <v>2342931.2885979009</v>
      </c>
      <c r="FC19" s="55">
        <f t="shared" si="43"/>
        <v>693156.96450000012</v>
      </c>
      <c r="FD19" s="59">
        <f t="shared" ref="FD19:FD28" si="124">+FC19*3.3058</f>
        <v>2291438.2932441006</v>
      </c>
      <c r="FE19" s="57">
        <f t="shared" si="44"/>
        <v>677580.40350000013</v>
      </c>
      <c r="FF19" s="59">
        <f t="shared" ref="FF19:FF28" si="125">+FE19*3.3058</f>
        <v>2239945.2978903004</v>
      </c>
      <c r="FG19" s="60">
        <f t="shared" si="45"/>
        <v>662003.84250000014</v>
      </c>
      <c r="FH19" s="59">
        <f t="shared" ref="FH19:FH28" si="126">+FG19*3.3058</f>
        <v>2188452.3025365006</v>
      </c>
      <c r="FI19" s="57">
        <f t="shared" si="46"/>
        <v>646427.28150000016</v>
      </c>
      <c r="FJ19" s="59">
        <f t="shared" ref="FJ19:FJ28" si="127">+FI19*3.3058</f>
        <v>2136959.3071827004</v>
      </c>
      <c r="FK19" s="55">
        <f t="shared" si="47"/>
        <v>630850.72050000005</v>
      </c>
      <c r="FL19" s="59">
        <f t="shared" ref="FL19:FL28" si="128">+FK19*3.3058</f>
        <v>2085466.3118289001</v>
      </c>
      <c r="FM19" s="60">
        <f t="shared" si="48"/>
        <v>615274.15950000007</v>
      </c>
      <c r="FN19" s="59">
        <f t="shared" ref="FN19:FN28" si="129">+FM19*3.3058</f>
        <v>2033973.3164751003</v>
      </c>
      <c r="FO19" s="60">
        <f t="shared" si="49"/>
        <v>599697.59850000008</v>
      </c>
      <c r="FP19" s="59">
        <f t="shared" ref="FP19:FP28" si="130">+FO19*3.3058</f>
        <v>1982480.3211213003</v>
      </c>
      <c r="FQ19" s="60">
        <f t="shared" si="50"/>
        <v>584121.03750000009</v>
      </c>
      <c r="FR19" s="59">
        <f t="shared" ref="FR19:FR28" si="131">+FQ19*3.3058</f>
        <v>1930987.3257675003</v>
      </c>
      <c r="FS19" s="55">
        <f t="shared" si="51"/>
        <v>568544.47649999999</v>
      </c>
      <c r="FT19" s="59">
        <f t="shared" ref="FT19:FT28" si="132">+FS19*3.3058</f>
        <v>1879494.3304137001</v>
      </c>
      <c r="FU19" s="60">
        <f t="shared" si="52"/>
        <v>552967.9155</v>
      </c>
      <c r="FV19" s="59">
        <f t="shared" ref="FV19:FV28" si="133">+FU19*3.3058</f>
        <v>1828001.3350599001</v>
      </c>
      <c r="FW19" s="60">
        <f t="shared" si="53"/>
        <v>537391.35450000002</v>
      </c>
      <c r="FX19" s="59">
        <f t="shared" ref="FX19:FX28" si="134">+FW19*3.3058</f>
        <v>1776508.3397061001</v>
      </c>
      <c r="FY19" s="60">
        <f t="shared" si="54"/>
        <v>521814.79349999997</v>
      </c>
      <c r="FZ19" s="59">
        <f t="shared" ref="FZ19:FZ28" si="135">+FY19*3.3058</f>
        <v>1725015.3443523</v>
      </c>
      <c r="GA19" s="60">
        <f t="shared" si="55"/>
        <v>506238.23249999993</v>
      </c>
      <c r="GB19" s="59">
        <f t="shared" ref="GB19:GB28" si="136">+GA19*3.3058</f>
        <v>1673522.3489984998</v>
      </c>
      <c r="GC19" s="55">
        <f t="shared" si="56"/>
        <v>490661.67149999994</v>
      </c>
      <c r="GD19" s="59">
        <f t="shared" ref="GD19:GD28" si="137">+GC19*3.3058</f>
        <v>1622029.3536446998</v>
      </c>
      <c r="GE19" s="60">
        <f t="shared" si="57"/>
        <v>475085.11049999989</v>
      </c>
      <c r="GF19" s="59">
        <f t="shared" ref="GF19:GF28" si="138">+GE19*3.3058</f>
        <v>1570536.3582908998</v>
      </c>
      <c r="GG19" s="60">
        <f t="shared" si="58"/>
        <v>459508.54949999991</v>
      </c>
      <c r="GH19" s="59">
        <f t="shared" ref="GH19:GH28" si="139">+GG19*3.3058</f>
        <v>1519043.3629370998</v>
      </c>
      <c r="GI19" s="55">
        <f t="shared" si="59"/>
        <v>443931.98849999986</v>
      </c>
      <c r="GJ19" s="59">
        <f t="shared" ref="GJ19:GJ28" si="140">+GI19*3.3058</f>
        <v>1467550.3675832995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1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3160</v>
      </c>
      <c r="E20" s="67">
        <f t="shared" si="0"/>
        <v>10440</v>
      </c>
      <c r="H20" s="55">
        <f t="shared" si="61"/>
        <v>3476.0000000000005</v>
      </c>
      <c r="I20" s="55">
        <f t="shared" si="62"/>
        <v>3476.0000000000005</v>
      </c>
      <c r="J20" s="59">
        <f t="shared" si="63"/>
        <v>11490.960800000003</v>
      </c>
      <c r="K20" s="55">
        <f t="shared" si="64"/>
        <v>3371.7200000000003</v>
      </c>
      <c r="L20" s="59">
        <f t="shared" si="65"/>
        <v>11146.231976000001</v>
      </c>
      <c r="M20" s="55">
        <f t="shared" si="66"/>
        <v>3302.2000000000003</v>
      </c>
      <c r="N20" s="59">
        <f t="shared" si="67"/>
        <v>10916.412760000001</v>
      </c>
      <c r="O20" s="55">
        <f t="shared" si="1"/>
        <v>3232.6800000000007</v>
      </c>
      <c r="P20" s="59">
        <f t="shared" si="68"/>
        <v>10686.593544000003</v>
      </c>
      <c r="Q20" s="57">
        <f t="shared" si="2"/>
        <v>3163.1600000000003</v>
      </c>
      <c r="R20" s="59">
        <f t="shared" si="69"/>
        <v>10456.774328000001</v>
      </c>
      <c r="S20" s="55">
        <f t="shared" si="3"/>
        <v>3093.6400000000003</v>
      </c>
      <c r="T20" s="59">
        <f t="shared" si="70"/>
        <v>10226.955112000001</v>
      </c>
      <c r="U20" s="57">
        <f t="shared" si="4"/>
        <v>3024.1200000000003</v>
      </c>
      <c r="V20" s="59">
        <f t="shared" si="71"/>
        <v>9997.1358960000016</v>
      </c>
      <c r="W20" s="60">
        <f t="shared" si="5"/>
        <v>2954.6000000000004</v>
      </c>
      <c r="X20" s="59">
        <f t="shared" si="72"/>
        <v>9767.3166800000017</v>
      </c>
      <c r="Y20" s="57">
        <f t="shared" si="6"/>
        <v>2885.0800000000004</v>
      </c>
      <c r="Z20" s="59">
        <f t="shared" si="73"/>
        <v>9537.4974640000019</v>
      </c>
      <c r="AA20" s="55">
        <f t="shared" si="7"/>
        <v>2815.56</v>
      </c>
      <c r="AB20" s="59">
        <f t="shared" si="74"/>
        <v>9307.6782480000002</v>
      </c>
      <c r="AC20" s="60">
        <f t="shared" si="8"/>
        <v>2746.04</v>
      </c>
      <c r="AD20" s="59">
        <f t="shared" si="75"/>
        <v>9077.8590320000003</v>
      </c>
      <c r="AE20" s="60">
        <f t="shared" si="9"/>
        <v>2676.52</v>
      </c>
      <c r="AF20" s="59">
        <f t="shared" si="76"/>
        <v>8848.0398160000004</v>
      </c>
      <c r="AG20" s="60">
        <f t="shared" si="10"/>
        <v>2607</v>
      </c>
      <c r="AH20" s="59">
        <f t="shared" si="77"/>
        <v>8618.2206000000006</v>
      </c>
      <c r="AI20" s="55">
        <f t="shared" si="11"/>
        <v>2537.48</v>
      </c>
      <c r="AJ20" s="59">
        <f t="shared" si="78"/>
        <v>8388.4013840000007</v>
      </c>
      <c r="AK20" s="60">
        <f t="shared" si="12"/>
        <v>2467.96</v>
      </c>
      <c r="AL20" s="59">
        <f t="shared" si="79"/>
        <v>8158.5821679999999</v>
      </c>
      <c r="AM20" s="60">
        <f t="shared" si="13"/>
        <v>2398.4399999999996</v>
      </c>
      <c r="AN20" s="59">
        <f t="shared" si="80"/>
        <v>7928.7629519999991</v>
      </c>
      <c r="AO20" s="60">
        <f t="shared" si="14"/>
        <v>2328.9199999999996</v>
      </c>
      <c r="AP20" s="59">
        <f t="shared" si="81"/>
        <v>7698.9437359999993</v>
      </c>
      <c r="AQ20" s="60">
        <f t="shared" si="15"/>
        <v>2259.3999999999996</v>
      </c>
      <c r="AR20" s="59">
        <f t="shared" si="82"/>
        <v>7469.1245199999994</v>
      </c>
      <c r="AS20" s="55">
        <f t="shared" si="16"/>
        <v>2189.8799999999997</v>
      </c>
      <c r="AT20" s="59">
        <f t="shared" si="83"/>
        <v>7239.3053039999986</v>
      </c>
      <c r="AU20" s="60">
        <f t="shared" si="17"/>
        <v>2120.3599999999997</v>
      </c>
      <c r="AV20" s="59">
        <f t="shared" si="84"/>
        <v>7009.4860879999987</v>
      </c>
      <c r="AW20" s="60">
        <f t="shared" si="18"/>
        <v>2050.8399999999992</v>
      </c>
      <c r="AX20" s="59">
        <f t="shared" si="85"/>
        <v>6779.666871999998</v>
      </c>
      <c r="AY20" s="55">
        <f t="shared" si="19"/>
        <v>1981.3199999999993</v>
      </c>
      <c r="AZ20" s="59">
        <f t="shared" si="86"/>
        <v>6549.8476559999981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3163.1600000000003</v>
      </c>
      <c r="CA20" s="55">
        <f t="shared" si="89"/>
        <v>3163.1600000000003</v>
      </c>
      <c r="CB20" s="59">
        <f t="shared" si="90"/>
        <v>10456.774328000001</v>
      </c>
      <c r="CC20" s="55">
        <f t="shared" si="91"/>
        <v>3068.2652000000003</v>
      </c>
      <c r="CD20" s="59">
        <f t="shared" si="92"/>
        <v>10143.07109816</v>
      </c>
      <c r="CE20" s="55">
        <f t="shared" si="93"/>
        <v>3005.002</v>
      </c>
      <c r="CF20" s="59">
        <f t="shared" si="94"/>
        <v>9933.9356115999999</v>
      </c>
      <c r="CG20" s="55">
        <f t="shared" si="21"/>
        <v>2941.7388000000005</v>
      </c>
      <c r="CH20" s="59">
        <f t="shared" si="95"/>
        <v>9724.8001250400011</v>
      </c>
      <c r="CI20" s="57">
        <f t="shared" si="22"/>
        <v>2878.4756000000002</v>
      </c>
      <c r="CJ20" s="59">
        <f t="shared" si="96"/>
        <v>9515.6646384800006</v>
      </c>
      <c r="CK20" s="55">
        <f t="shared" si="23"/>
        <v>2815.2124000000003</v>
      </c>
      <c r="CL20" s="59">
        <f t="shared" si="97"/>
        <v>9306.5291519200018</v>
      </c>
      <c r="CM20" s="57">
        <f t="shared" si="24"/>
        <v>2751.9492000000005</v>
      </c>
      <c r="CN20" s="59">
        <f t="shared" si="98"/>
        <v>9097.3936653600013</v>
      </c>
      <c r="CO20" s="60">
        <f t="shared" si="25"/>
        <v>2688.6860000000001</v>
      </c>
      <c r="CP20" s="59">
        <f t="shared" si="99"/>
        <v>8888.2581788000007</v>
      </c>
      <c r="CQ20" s="57">
        <f t="shared" si="26"/>
        <v>2625.4228000000003</v>
      </c>
      <c r="CR20" s="59">
        <f t="shared" si="100"/>
        <v>8679.1226922400019</v>
      </c>
      <c r="CS20" s="55">
        <f t="shared" si="27"/>
        <v>2562.1596</v>
      </c>
      <c r="CT20" s="59">
        <f t="shared" si="101"/>
        <v>8469.9872056799995</v>
      </c>
      <c r="CU20" s="60">
        <f t="shared" si="28"/>
        <v>2498.8964000000001</v>
      </c>
      <c r="CV20" s="59">
        <f t="shared" si="102"/>
        <v>8260.8517191200008</v>
      </c>
      <c r="CW20" s="60">
        <f t="shared" si="29"/>
        <v>2435.6331999999998</v>
      </c>
      <c r="CX20" s="59">
        <f t="shared" si="103"/>
        <v>8051.7162325599993</v>
      </c>
      <c r="CY20" s="60">
        <f t="shared" si="30"/>
        <v>2372.37</v>
      </c>
      <c r="CZ20" s="59">
        <f t="shared" si="104"/>
        <v>7842.5807459999996</v>
      </c>
      <c r="DA20" s="55">
        <f t="shared" si="31"/>
        <v>2309.1068</v>
      </c>
      <c r="DB20" s="59">
        <f t="shared" si="105"/>
        <v>7633.44525944</v>
      </c>
      <c r="DC20" s="60">
        <f t="shared" si="32"/>
        <v>2245.8435999999997</v>
      </c>
      <c r="DD20" s="59">
        <f t="shared" si="106"/>
        <v>7424.3097728799994</v>
      </c>
      <c r="DE20" s="60">
        <f t="shared" si="33"/>
        <v>2182.5803999999998</v>
      </c>
      <c r="DF20" s="59">
        <f t="shared" si="107"/>
        <v>7215.1742863199997</v>
      </c>
      <c r="DG20" s="60">
        <f t="shared" si="34"/>
        <v>2119.3171999999995</v>
      </c>
      <c r="DH20" s="59">
        <f t="shared" si="108"/>
        <v>7006.0387997599983</v>
      </c>
      <c r="DI20" s="60">
        <f t="shared" si="35"/>
        <v>2056.0539999999996</v>
      </c>
      <c r="DJ20" s="59">
        <f t="shared" si="109"/>
        <v>6796.9033131999986</v>
      </c>
      <c r="DK20" s="55">
        <f t="shared" si="36"/>
        <v>1992.7907999999995</v>
      </c>
      <c r="DL20" s="59">
        <f t="shared" si="110"/>
        <v>6587.7678266399989</v>
      </c>
      <c r="DM20" s="60">
        <f t="shared" si="37"/>
        <v>1929.5275999999994</v>
      </c>
      <c r="DN20" s="59">
        <f t="shared" si="111"/>
        <v>6378.6323400799984</v>
      </c>
      <c r="DO20" s="60">
        <f t="shared" si="38"/>
        <v>1866.2643999999993</v>
      </c>
      <c r="DP20" s="59">
        <f t="shared" si="112"/>
        <v>6169.4968535199978</v>
      </c>
      <c r="DQ20" s="55">
        <f t="shared" si="39"/>
        <v>1803.0011999999992</v>
      </c>
      <c r="DR20" s="59">
        <f t="shared" si="113"/>
        <v>5960.3613669599972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2878.4756000000002</v>
      </c>
      <c r="ES20" s="55">
        <f t="shared" si="116"/>
        <v>2878.4756000000002</v>
      </c>
      <c r="ET20" s="59">
        <f t="shared" si="117"/>
        <v>9515.6646384800006</v>
      </c>
      <c r="EU20" s="55">
        <f t="shared" si="118"/>
        <v>2792.1213320000002</v>
      </c>
      <c r="EV20" s="59">
        <f t="shared" si="119"/>
        <v>9230.1946993256006</v>
      </c>
      <c r="EW20" s="55">
        <f t="shared" si="120"/>
        <v>2734.5518200000001</v>
      </c>
      <c r="EX20" s="59">
        <f t="shared" si="121"/>
        <v>9039.881406556</v>
      </c>
      <c r="EY20" s="55">
        <f t="shared" si="41"/>
        <v>2676.9823080000006</v>
      </c>
      <c r="EZ20" s="59">
        <f t="shared" si="122"/>
        <v>8849.5681137864012</v>
      </c>
      <c r="FA20" s="57">
        <f t="shared" si="42"/>
        <v>2619.4127960000001</v>
      </c>
      <c r="FB20" s="59">
        <f t="shared" si="123"/>
        <v>8659.2548210168006</v>
      </c>
      <c r="FC20" s="55">
        <f t="shared" si="43"/>
        <v>2561.843284</v>
      </c>
      <c r="FD20" s="59">
        <f t="shared" si="124"/>
        <v>8468.9415282472</v>
      </c>
      <c r="FE20" s="57">
        <f t="shared" si="44"/>
        <v>2504.273772</v>
      </c>
      <c r="FF20" s="59">
        <f t="shared" si="125"/>
        <v>8278.6282354775994</v>
      </c>
      <c r="FG20" s="60">
        <f t="shared" si="45"/>
        <v>2446.70426</v>
      </c>
      <c r="FH20" s="59">
        <f t="shared" si="126"/>
        <v>8088.3149427079998</v>
      </c>
      <c r="FI20" s="57">
        <f t="shared" si="46"/>
        <v>2389.1347479999999</v>
      </c>
      <c r="FJ20" s="59">
        <f t="shared" si="127"/>
        <v>7898.0016499384001</v>
      </c>
      <c r="FK20" s="55">
        <f t="shared" si="47"/>
        <v>2331.5652359999999</v>
      </c>
      <c r="FL20" s="59">
        <f t="shared" si="128"/>
        <v>7707.6883571687995</v>
      </c>
      <c r="FM20" s="60">
        <f t="shared" si="48"/>
        <v>2273.9957239999999</v>
      </c>
      <c r="FN20" s="59">
        <f t="shared" si="129"/>
        <v>7517.3750643991998</v>
      </c>
      <c r="FO20" s="60">
        <f t="shared" si="49"/>
        <v>2216.4262119999999</v>
      </c>
      <c r="FP20" s="59">
        <f t="shared" si="130"/>
        <v>7327.0617716296001</v>
      </c>
      <c r="FQ20" s="60">
        <f t="shared" si="50"/>
        <v>2158.8566999999998</v>
      </c>
      <c r="FR20" s="59">
        <f t="shared" si="131"/>
        <v>7136.7484788599995</v>
      </c>
      <c r="FS20" s="55">
        <f t="shared" si="51"/>
        <v>2101.2871879999998</v>
      </c>
      <c r="FT20" s="59">
        <f t="shared" si="132"/>
        <v>6946.4351860903998</v>
      </c>
      <c r="FU20" s="60">
        <f t="shared" si="52"/>
        <v>2043.7176759999998</v>
      </c>
      <c r="FV20" s="59">
        <f t="shared" si="133"/>
        <v>6756.1218933207992</v>
      </c>
      <c r="FW20" s="60">
        <f t="shared" si="53"/>
        <v>1986.1481639999997</v>
      </c>
      <c r="FX20" s="59">
        <f t="shared" si="134"/>
        <v>6565.8086005511996</v>
      </c>
      <c r="FY20" s="60">
        <f t="shared" si="54"/>
        <v>1928.5786519999997</v>
      </c>
      <c r="FZ20" s="59">
        <f t="shared" si="135"/>
        <v>6375.495307781599</v>
      </c>
      <c r="GA20" s="60">
        <f t="shared" si="55"/>
        <v>1871.0091399999997</v>
      </c>
      <c r="GB20" s="59">
        <f t="shared" si="136"/>
        <v>6185.1820150119993</v>
      </c>
      <c r="GC20" s="55">
        <f t="shared" si="56"/>
        <v>1813.4396279999994</v>
      </c>
      <c r="GD20" s="59">
        <f t="shared" si="137"/>
        <v>5994.8687222423978</v>
      </c>
      <c r="GE20" s="60">
        <f t="shared" si="57"/>
        <v>1755.8701159999994</v>
      </c>
      <c r="GF20" s="59">
        <f t="shared" si="138"/>
        <v>5804.5554294727981</v>
      </c>
      <c r="GG20" s="60">
        <f t="shared" si="58"/>
        <v>1698.3006039999993</v>
      </c>
      <c r="GH20" s="59">
        <f t="shared" si="139"/>
        <v>5614.2421367031975</v>
      </c>
      <c r="GI20" s="55">
        <f t="shared" si="59"/>
        <v>1640.7310919999993</v>
      </c>
      <c r="GJ20" s="59">
        <f t="shared" si="140"/>
        <v>5423.9288439335978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214510</v>
      </c>
      <c r="E21" s="67">
        <f t="shared" si="0"/>
        <v>709120</v>
      </c>
      <c r="H21" s="55">
        <f t="shared" si="61"/>
        <v>235961.00000000003</v>
      </c>
      <c r="I21" s="55">
        <f t="shared" si="62"/>
        <v>235961.00000000003</v>
      </c>
      <c r="J21" s="59">
        <f t="shared" si="63"/>
        <v>780039.87380000006</v>
      </c>
      <c r="K21" s="55">
        <f t="shared" si="64"/>
        <v>228882.17</v>
      </c>
      <c r="L21" s="59">
        <f t="shared" si="65"/>
        <v>756638.67758600006</v>
      </c>
      <c r="M21" s="55">
        <f t="shared" si="66"/>
        <v>224162.95</v>
      </c>
      <c r="N21" s="59">
        <f t="shared" si="67"/>
        <v>741037.88011000003</v>
      </c>
      <c r="O21" s="55">
        <f t="shared" si="1"/>
        <v>219443.73000000004</v>
      </c>
      <c r="P21" s="59">
        <f t="shared" si="68"/>
        <v>725437.08263400011</v>
      </c>
      <c r="Q21" s="57">
        <f t="shared" si="2"/>
        <v>214724.51000000004</v>
      </c>
      <c r="R21" s="59">
        <f t="shared" si="69"/>
        <v>709836.28515800019</v>
      </c>
      <c r="S21" s="55">
        <f t="shared" si="3"/>
        <v>210005.29000000004</v>
      </c>
      <c r="T21" s="59">
        <f t="shared" si="70"/>
        <v>694235.48768200015</v>
      </c>
      <c r="U21" s="57">
        <f t="shared" si="4"/>
        <v>205286.07000000004</v>
      </c>
      <c r="V21" s="59">
        <f t="shared" si="71"/>
        <v>678634.69020600012</v>
      </c>
      <c r="W21" s="60">
        <f t="shared" si="5"/>
        <v>200566.85</v>
      </c>
      <c r="X21" s="59">
        <f t="shared" si="72"/>
        <v>663033.89273000008</v>
      </c>
      <c r="Y21" s="57">
        <f t="shared" si="6"/>
        <v>195847.63</v>
      </c>
      <c r="Z21" s="59">
        <f t="shared" si="73"/>
        <v>647433.09525400004</v>
      </c>
      <c r="AA21" s="55">
        <f t="shared" si="7"/>
        <v>191128.41</v>
      </c>
      <c r="AB21" s="59">
        <f t="shared" si="74"/>
        <v>631832.29777800001</v>
      </c>
      <c r="AC21" s="60">
        <f t="shared" si="8"/>
        <v>186409.19</v>
      </c>
      <c r="AD21" s="59">
        <f t="shared" si="75"/>
        <v>616231.50030199997</v>
      </c>
      <c r="AE21" s="60">
        <f t="shared" si="9"/>
        <v>181689.97</v>
      </c>
      <c r="AF21" s="59">
        <f t="shared" si="76"/>
        <v>600630.70282600005</v>
      </c>
      <c r="AG21" s="60">
        <f t="shared" si="10"/>
        <v>176970.75</v>
      </c>
      <c r="AH21" s="59">
        <f t="shared" si="77"/>
        <v>585029.90535000002</v>
      </c>
      <c r="AI21" s="55">
        <f t="shared" si="11"/>
        <v>172251.53</v>
      </c>
      <c r="AJ21" s="59">
        <f t="shared" si="78"/>
        <v>569429.10787399998</v>
      </c>
      <c r="AK21" s="60">
        <f t="shared" si="12"/>
        <v>167532.31</v>
      </c>
      <c r="AL21" s="59">
        <f t="shared" si="79"/>
        <v>553828.31039800006</v>
      </c>
      <c r="AM21" s="60">
        <f t="shared" si="13"/>
        <v>162813.08999999997</v>
      </c>
      <c r="AN21" s="59">
        <f t="shared" si="80"/>
        <v>538227.51292199991</v>
      </c>
      <c r="AO21" s="60">
        <f t="shared" si="14"/>
        <v>158093.86999999997</v>
      </c>
      <c r="AP21" s="59">
        <f t="shared" si="81"/>
        <v>522626.71544599987</v>
      </c>
      <c r="AQ21" s="60">
        <f t="shared" si="15"/>
        <v>153374.64999999997</v>
      </c>
      <c r="AR21" s="59">
        <f t="shared" si="82"/>
        <v>507025.91796999989</v>
      </c>
      <c r="AS21" s="55">
        <f t="shared" si="16"/>
        <v>148655.42999999996</v>
      </c>
      <c r="AT21" s="59">
        <f t="shared" si="83"/>
        <v>491425.12049399992</v>
      </c>
      <c r="AU21" s="60">
        <f t="shared" si="17"/>
        <v>143936.20999999996</v>
      </c>
      <c r="AV21" s="59">
        <f t="shared" si="84"/>
        <v>475824.32301799988</v>
      </c>
      <c r="AW21" s="60">
        <f t="shared" si="18"/>
        <v>139216.98999999996</v>
      </c>
      <c r="AX21" s="59">
        <f t="shared" si="85"/>
        <v>460223.5255419999</v>
      </c>
      <c r="AY21" s="55">
        <f t="shared" si="19"/>
        <v>134497.76999999996</v>
      </c>
      <c r="AZ21" s="59">
        <f t="shared" si="86"/>
        <v>444622.72806599987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214724.51000000004</v>
      </c>
      <c r="CA21" s="55">
        <f t="shared" si="89"/>
        <v>214724.51000000004</v>
      </c>
      <c r="CB21" s="59">
        <f t="shared" si="90"/>
        <v>709836.28515800019</v>
      </c>
      <c r="CC21" s="55">
        <f t="shared" si="91"/>
        <v>208282.77470000004</v>
      </c>
      <c r="CD21" s="59">
        <f t="shared" si="92"/>
        <v>688541.19660326012</v>
      </c>
      <c r="CE21" s="55">
        <f t="shared" si="93"/>
        <v>203988.28450000004</v>
      </c>
      <c r="CF21" s="59">
        <f t="shared" si="94"/>
        <v>674344.47090010019</v>
      </c>
      <c r="CG21" s="55">
        <f t="shared" si="21"/>
        <v>199693.79430000004</v>
      </c>
      <c r="CH21" s="59">
        <f t="shared" si="95"/>
        <v>660147.74519694014</v>
      </c>
      <c r="CI21" s="57">
        <f t="shared" si="22"/>
        <v>195399.30410000004</v>
      </c>
      <c r="CJ21" s="59">
        <f t="shared" si="96"/>
        <v>645951.0194937801</v>
      </c>
      <c r="CK21" s="55">
        <f t="shared" si="23"/>
        <v>191104.81390000004</v>
      </c>
      <c r="CL21" s="59">
        <f t="shared" si="97"/>
        <v>631754.29379062017</v>
      </c>
      <c r="CM21" s="57">
        <f t="shared" si="24"/>
        <v>186810.32370000004</v>
      </c>
      <c r="CN21" s="59">
        <f t="shared" si="98"/>
        <v>617557.56808746012</v>
      </c>
      <c r="CO21" s="60">
        <f t="shared" si="25"/>
        <v>182515.83350000004</v>
      </c>
      <c r="CP21" s="59">
        <f t="shared" si="99"/>
        <v>603360.84238430008</v>
      </c>
      <c r="CQ21" s="57">
        <f t="shared" si="26"/>
        <v>178221.34330000004</v>
      </c>
      <c r="CR21" s="59">
        <f t="shared" si="100"/>
        <v>589164.11668114015</v>
      </c>
      <c r="CS21" s="55">
        <f t="shared" si="27"/>
        <v>173926.85310000001</v>
      </c>
      <c r="CT21" s="59">
        <f t="shared" si="101"/>
        <v>574967.39097797999</v>
      </c>
      <c r="CU21" s="60">
        <f t="shared" si="28"/>
        <v>169632.36290000001</v>
      </c>
      <c r="CV21" s="59">
        <f t="shared" si="102"/>
        <v>560770.66527482006</v>
      </c>
      <c r="CW21" s="60">
        <f t="shared" si="29"/>
        <v>165337.87270000001</v>
      </c>
      <c r="CX21" s="59">
        <f t="shared" si="103"/>
        <v>546573.93957166001</v>
      </c>
      <c r="CY21" s="60">
        <f t="shared" si="30"/>
        <v>161043.38250000001</v>
      </c>
      <c r="CZ21" s="59">
        <f t="shared" si="104"/>
        <v>532377.21386850008</v>
      </c>
      <c r="DA21" s="55">
        <f t="shared" si="31"/>
        <v>156748.89230000001</v>
      </c>
      <c r="DB21" s="59">
        <f t="shared" si="105"/>
        <v>518180.48816534004</v>
      </c>
      <c r="DC21" s="60">
        <f t="shared" si="32"/>
        <v>152454.40210000001</v>
      </c>
      <c r="DD21" s="59">
        <f t="shared" si="106"/>
        <v>503983.76246218005</v>
      </c>
      <c r="DE21" s="60">
        <f t="shared" si="33"/>
        <v>148159.91189999998</v>
      </c>
      <c r="DF21" s="59">
        <f t="shared" si="107"/>
        <v>489787.03675901995</v>
      </c>
      <c r="DG21" s="60">
        <f t="shared" si="34"/>
        <v>143865.42169999998</v>
      </c>
      <c r="DH21" s="59">
        <f t="shared" si="108"/>
        <v>475590.31105585996</v>
      </c>
      <c r="DI21" s="60">
        <f t="shared" si="35"/>
        <v>139570.93149999998</v>
      </c>
      <c r="DJ21" s="59">
        <f t="shared" si="109"/>
        <v>461393.58535269991</v>
      </c>
      <c r="DK21" s="55">
        <f t="shared" si="36"/>
        <v>135276.44129999998</v>
      </c>
      <c r="DL21" s="59">
        <f t="shared" si="110"/>
        <v>447196.85964953993</v>
      </c>
      <c r="DM21" s="60">
        <f t="shared" si="37"/>
        <v>130981.95109999998</v>
      </c>
      <c r="DN21" s="59">
        <f t="shared" si="111"/>
        <v>433000.13394637994</v>
      </c>
      <c r="DO21" s="60">
        <f t="shared" si="38"/>
        <v>126687.46089999996</v>
      </c>
      <c r="DP21" s="59">
        <f t="shared" si="112"/>
        <v>418803.40824321989</v>
      </c>
      <c r="DQ21" s="55">
        <f t="shared" si="39"/>
        <v>122392.97069999996</v>
      </c>
      <c r="DR21" s="59">
        <f t="shared" si="113"/>
        <v>404606.6825400599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195399.30410000004</v>
      </c>
      <c r="ES21" s="55">
        <f t="shared" si="116"/>
        <v>195399.30410000004</v>
      </c>
      <c r="ET21" s="59">
        <f t="shared" si="117"/>
        <v>645951.0194937801</v>
      </c>
      <c r="EU21" s="55">
        <f t="shared" si="118"/>
        <v>189537.32497700004</v>
      </c>
      <c r="EV21" s="59">
        <f t="shared" si="119"/>
        <v>626572.48890896677</v>
      </c>
      <c r="EW21" s="55">
        <f t="shared" si="120"/>
        <v>185629.33889500002</v>
      </c>
      <c r="EX21" s="59">
        <f t="shared" si="121"/>
        <v>613653.46851909114</v>
      </c>
      <c r="EY21" s="55">
        <f t="shared" si="41"/>
        <v>181721.35281300003</v>
      </c>
      <c r="EZ21" s="59">
        <f t="shared" si="122"/>
        <v>600734.44812921551</v>
      </c>
      <c r="FA21" s="57">
        <f t="shared" si="42"/>
        <v>177813.36673100005</v>
      </c>
      <c r="FB21" s="59">
        <f t="shared" si="123"/>
        <v>587815.42773934</v>
      </c>
      <c r="FC21" s="55">
        <f t="shared" si="43"/>
        <v>173905.38064900003</v>
      </c>
      <c r="FD21" s="59">
        <f t="shared" si="124"/>
        <v>574896.40734946425</v>
      </c>
      <c r="FE21" s="57">
        <f t="shared" si="44"/>
        <v>169997.39456700004</v>
      </c>
      <c r="FF21" s="59">
        <f t="shared" si="125"/>
        <v>561977.38695958874</v>
      </c>
      <c r="FG21" s="60">
        <f t="shared" si="45"/>
        <v>166089.40848500002</v>
      </c>
      <c r="FH21" s="59">
        <f t="shared" si="126"/>
        <v>549058.36656971311</v>
      </c>
      <c r="FI21" s="57">
        <f t="shared" si="46"/>
        <v>162181.42240300003</v>
      </c>
      <c r="FJ21" s="59">
        <f t="shared" si="127"/>
        <v>536139.34617983748</v>
      </c>
      <c r="FK21" s="55">
        <f t="shared" si="47"/>
        <v>158273.43632100002</v>
      </c>
      <c r="FL21" s="59">
        <f t="shared" si="128"/>
        <v>523220.32578996185</v>
      </c>
      <c r="FM21" s="60">
        <f t="shared" si="48"/>
        <v>154365.45023900003</v>
      </c>
      <c r="FN21" s="59">
        <f t="shared" si="129"/>
        <v>510301.30540008628</v>
      </c>
      <c r="FO21" s="60">
        <f t="shared" si="49"/>
        <v>150457.46415700001</v>
      </c>
      <c r="FP21" s="59">
        <f t="shared" si="130"/>
        <v>497382.28501021065</v>
      </c>
      <c r="FQ21" s="60">
        <f t="shared" si="50"/>
        <v>146549.47807500002</v>
      </c>
      <c r="FR21" s="59">
        <f t="shared" si="131"/>
        <v>484463.26462033507</v>
      </c>
      <c r="FS21" s="55">
        <f t="shared" si="51"/>
        <v>142641.491993</v>
      </c>
      <c r="FT21" s="59">
        <f t="shared" si="132"/>
        <v>471544.24423045944</v>
      </c>
      <c r="FU21" s="60">
        <f t="shared" si="52"/>
        <v>138733.50591099999</v>
      </c>
      <c r="FV21" s="59">
        <f t="shared" si="133"/>
        <v>458625.22384058376</v>
      </c>
      <c r="FW21" s="60">
        <f t="shared" si="53"/>
        <v>134825.519829</v>
      </c>
      <c r="FX21" s="59">
        <f t="shared" si="134"/>
        <v>445706.20345070818</v>
      </c>
      <c r="FY21" s="60">
        <f t="shared" si="54"/>
        <v>130917.53374699999</v>
      </c>
      <c r="FZ21" s="59">
        <f t="shared" si="135"/>
        <v>432787.18306083261</v>
      </c>
      <c r="GA21" s="60">
        <f t="shared" si="55"/>
        <v>127009.54766499999</v>
      </c>
      <c r="GB21" s="59">
        <f t="shared" si="136"/>
        <v>419868.16267095698</v>
      </c>
      <c r="GC21" s="55">
        <f t="shared" si="56"/>
        <v>123101.56158299999</v>
      </c>
      <c r="GD21" s="59">
        <f t="shared" si="137"/>
        <v>406949.14228108135</v>
      </c>
      <c r="GE21" s="60">
        <f t="shared" si="57"/>
        <v>119193.57550099997</v>
      </c>
      <c r="GF21" s="59">
        <f t="shared" si="138"/>
        <v>394030.12189120572</v>
      </c>
      <c r="GG21" s="60">
        <f t="shared" si="58"/>
        <v>115285.58941899997</v>
      </c>
      <c r="GH21" s="59">
        <f t="shared" si="139"/>
        <v>381111.10150133009</v>
      </c>
      <c r="GI21" s="55">
        <f t="shared" si="59"/>
        <v>111377.60333699996</v>
      </c>
      <c r="GJ21" s="59">
        <f t="shared" si="140"/>
        <v>368192.08111145446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198390</v>
      </c>
      <c r="E22" s="67">
        <f t="shared" si="0"/>
        <v>655830</v>
      </c>
      <c r="H22" s="55">
        <f t="shared" si="61"/>
        <v>218229.00000000003</v>
      </c>
      <c r="I22" s="55">
        <f t="shared" si="62"/>
        <v>218229.00000000003</v>
      </c>
      <c r="J22" s="59">
        <f t="shared" si="63"/>
        <v>721421.42820000008</v>
      </c>
      <c r="K22" s="55">
        <f t="shared" si="64"/>
        <v>211682.13000000003</v>
      </c>
      <c r="L22" s="59">
        <f t="shared" si="65"/>
        <v>699778.78535400017</v>
      </c>
      <c r="M22" s="55">
        <f t="shared" si="66"/>
        <v>207317.55000000002</v>
      </c>
      <c r="N22" s="59">
        <f t="shared" si="67"/>
        <v>685350.35679000011</v>
      </c>
      <c r="O22" s="55">
        <f t="shared" si="1"/>
        <v>202952.97000000003</v>
      </c>
      <c r="P22" s="59">
        <f t="shared" si="68"/>
        <v>670921.92822600016</v>
      </c>
      <c r="Q22" s="57">
        <f t="shared" si="2"/>
        <v>198588.39000000004</v>
      </c>
      <c r="R22" s="59">
        <f t="shared" si="69"/>
        <v>656493.4996620001</v>
      </c>
      <c r="S22" s="55">
        <f t="shared" si="3"/>
        <v>194223.81000000003</v>
      </c>
      <c r="T22" s="59">
        <f t="shared" si="70"/>
        <v>642065.07109800016</v>
      </c>
      <c r="U22" s="57">
        <f t="shared" si="4"/>
        <v>189859.23</v>
      </c>
      <c r="V22" s="59">
        <f t="shared" si="71"/>
        <v>627636.6425340001</v>
      </c>
      <c r="W22" s="60">
        <f t="shared" si="5"/>
        <v>185494.65000000002</v>
      </c>
      <c r="X22" s="59">
        <f t="shared" si="72"/>
        <v>613208.21397000004</v>
      </c>
      <c r="Y22" s="57">
        <f t="shared" si="6"/>
        <v>181130.07</v>
      </c>
      <c r="Z22" s="59">
        <f t="shared" si="73"/>
        <v>598779.78540599998</v>
      </c>
      <c r="AA22" s="55">
        <f t="shared" si="7"/>
        <v>176765.49000000002</v>
      </c>
      <c r="AB22" s="59">
        <f t="shared" si="74"/>
        <v>584351.35684200004</v>
      </c>
      <c r="AC22" s="60">
        <f t="shared" si="8"/>
        <v>172400.91</v>
      </c>
      <c r="AD22" s="59">
        <f t="shared" si="75"/>
        <v>569922.92827799998</v>
      </c>
      <c r="AE22" s="60">
        <f t="shared" si="9"/>
        <v>168036.33000000002</v>
      </c>
      <c r="AF22" s="59">
        <f t="shared" si="76"/>
        <v>555494.49971400003</v>
      </c>
      <c r="AG22" s="60">
        <f t="shared" si="10"/>
        <v>163671.75</v>
      </c>
      <c r="AH22" s="59">
        <f t="shared" si="77"/>
        <v>541066.07114999997</v>
      </c>
      <c r="AI22" s="55">
        <f t="shared" si="11"/>
        <v>159307.16999999998</v>
      </c>
      <c r="AJ22" s="59">
        <f t="shared" si="78"/>
        <v>526637.64258599991</v>
      </c>
      <c r="AK22" s="60">
        <f t="shared" si="12"/>
        <v>154942.59</v>
      </c>
      <c r="AL22" s="59">
        <f t="shared" si="79"/>
        <v>512209.21402199997</v>
      </c>
      <c r="AM22" s="60">
        <f t="shared" si="13"/>
        <v>150578.00999999998</v>
      </c>
      <c r="AN22" s="59">
        <f t="shared" si="80"/>
        <v>497780.78545799997</v>
      </c>
      <c r="AO22" s="60">
        <f t="shared" si="14"/>
        <v>146213.43</v>
      </c>
      <c r="AP22" s="59">
        <f t="shared" si="81"/>
        <v>483352.35689399997</v>
      </c>
      <c r="AQ22" s="60">
        <f t="shared" si="15"/>
        <v>141848.84999999998</v>
      </c>
      <c r="AR22" s="59">
        <f t="shared" si="82"/>
        <v>468923.92832999991</v>
      </c>
      <c r="AS22" s="55">
        <f t="shared" si="16"/>
        <v>137484.26999999996</v>
      </c>
      <c r="AT22" s="59">
        <f t="shared" si="83"/>
        <v>454495.49976599991</v>
      </c>
      <c r="AU22" s="60">
        <f t="shared" si="17"/>
        <v>133119.68999999997</v>
      </c>
      <c r="AV22" s="59">
        <f t="shared" si="84"/>
        <v>440067.0712019999</v>
      </c>
      <c r="AW22" s="60">
        <f t="shared" si="18"/>
        <v>128755.10999999996</v>
      </c>
      <c r="AX22" s="59">
        <f t="shared" si="85"/>
        <v>425638.64263799984</v>
      </c>
      <c r="AY22" s="55">
        <f t="shared" si="19"/>
        <v>124390.52999999996</v>
      </c>
      <c r="AZ22" s="59">
        <f t="shared" si="86"/>
        <v>411210.21407399984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198588.39000000004</v>
      </c>
      <c r="CA22" s="55">
        <f t="shared" si="89"/>
        <v>198588.39000000004</v>
      </c>
      <c r="CB22" s="59">
        <f t="shared" si="90"/>
        <v>656493.4996620001</v>
      </c>
      <c r="CC22" s="55">
        <f t="shared" si="91"/>
        <v>192630.73830000003</v>
      </c>
      <c r="CD22" s="59">
        <f t="shared" si="92"/>
        <v>636798.69467214006</v>
      </c>
      <c r="CE22" s="55">
        <f t="shared" si="93"/>
        <v>188658.97050000002</v>
      </c>
      <c r="CF22" s="59">
        <f t="shared" si="94"/>
        <v>623668.82467890007</v>
      </c>
      <c r="CG22" s="55">
        <f t="shared" si="21"/>
        <v>184687.20270000005</v>
      </c>
      <c r="CH22" s="59">
        <f t="shared" si="95"/>
        <v>610538.9546856602</v>
      </c>
      <c r="CI22" s="57">
        <f t="shared" si="22"/>
        <v>180715.43490000005</v>
      </c>
      <c r="CJ22" s="59">
        <f t="shared" si="96"/>
        <v>597409.08469242021</v>
      </c>
      <c r="CK22" s="55">
        <f t="shared" si="23"/>
        <v>176743.66710000005</v>
      </c>
      <c r="CL22" s="59">
        <f t="shared" si="97"/>
        <v>584279.21469918021</v>
      </c>
      <c r="CM22" s="57">
        <f t="shared" si="24"/>
        <v>172771.89930000005</v>
      </c>
      <c r="CN22" s="59">
        <f t="shared" si="98"/>
        <v>571149.34470594022</v>
      </c>
      <c r="CO22" s="60">
        <f t="shared" si="25"/>
        <v>168800.13150000002</v>
      </c>
      <c r="CP22" s="59">
        <f t="shared" si="99"/>
        <v>558019.47471270012</v>
      </c>
      <c r="CQ22" s="57">
        <f t="shared" si="26"/>
        <v>164828.36370000002</v>
      </c>
      <c r="CR22" s="59">
        <f t="shared" si="100"/>
        <v>544889.60471946001</v>
      </c>
      <c r="CS22" s="55">
        <f t="shared" si="27"/>
        <v>160856.59590000001</v>
      </c>
      <c r="CT22" s="59">
        <f t="shared" si="101"/>
        <v>531759.73472622002</v>
      </c>
      <c r="CU22" s="60">
        <f t="shared" si="28"/>
        <v>156884.82810000001</v>
      </c>
      <c r="CV22" s="59">
        <f t="shared" si="102"/>
        <v>518629.86473298003</v>
      </c>
      <c r="CW22" s="60">
        <f t="shared" si="29"/>
        <v>152913.06030000001</v>
      </c>
      <c r="CX22" s="59">
        <f t="shared" si="103"/>
        <v>505499.99473974004</v>
      </c>
      <c r="CY22" s="60">
        <f t="shared" si="30"/>
        <v>148941.29250000001</v>
      </c>
      <c r="CZ22" s="59">
        <f t="shared" si="104"/>
        <v>492370.12474650005</v>
      </c>
      <c r="DA22" s="55">
        <f t="shared" si="31"/>
        <v>144969.52470000001</v>
      </c>
      <c r="DB22" s="59">
        <f t="shared" si="105"/>
        <v>479240.25475326006</v>
      </c>
      <c r="DC22" s="60">
        <f t="shared" si="32"/>
        <v>140997.75690000001</v>
      </c>
      <c r="DD22" s="59">
        <f t="shared" si="106"/>
        <v>466110.38476002001</v>
      </c>
      <c r="DE22" s="60">
        <f t="shared" si="33"/>
        <v>137025.98910000001</v>
      </c>
      <c r="DF22" s="59">
        <f t="shared" si="107"/>
        <v>452980.51476678002</v>
      </c>
      <c r="DG22" s="60">
        <f t="shared" si="34"/>
        <v>133054.2213</v>
      </c>
      <c r="DH22" s="59">
        <f t="shared" si="108"/>
        <v>439850.64477354003</v>
      </c>
      <c r="DI22" s="60">
        <f t="shared" si="35"/>
        <v>129082.45349999999</v>
      </c>
      <c r="DJ22" s="59">
        <f t="shared" si="109"/>
        <v>426720.77478029998</v>
      </c>
      <c r="DK22" s="55">
        <f t="shared" si="36"/>
        <v>125110.68569999999</v>
      </c>
      <c r="DL22" s="59">
        <f t="shared" si="110"/>
        <v>413590.90478705999</v>
      </c>
      <c r="DM22" s="60">
        <f t="shared" si="37"/>
        <v>121138.91789999999</v>
      </c>
      <c r="DN22" s="59">
        <f t="shared" si="111"/>
        <v>400461.03479381994</v>
      </c>
      <c r="DO22" s="60">
        <f t="shared" si="38"/>
        <v>117167.15009999997</v>
      </c>
      <c r="DP22" s="59">
        <f t="shared" si="112"/>
        <v>387331.16480057989</v>
      </c>
      <c r="DQ22" s="55">
        <f t="shared" si="39"/>
        <v>113195.38229999997</v>
      </c>
      <c r="DR22" s="59">
        <f t="shared" si="113"/>
        <v>374201.2948073399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180715.43490000005</v>
      </c>
      <c r="ES22" s="55">
        <f t="shared" si="116"/>
        <v>180715.43490000005</v>
      </c>
      <c r="ET22" s="59">
        <f t="shared" si="117"/>
        <v>597409.08469242021</v>
      </c>
      <c r="EU22" s="55">
        <f t="shared" si="118"/>
        <v>175293.97185300005</v>
      </c>
      <c r="EV22" s="59">
        <f t="shared" si="119"/>
        <v>579486.81215164764</v>
      </c>
      <c r="EW22" s="55">
        <f t="shared" si="120"/>
        <v>171679.66315500005</v>
      </c>
      <c r="EX22" s="59">
        <f t="shared" si="121"/>
        <v>567538.63045779918</v>
      </c>
      <c r="EY22" s="55">
        <f t="shared" si="41"/>
        <v>168065.35445700007</v>
      </c>
      <c r="EZ22" s="59">
        <f t="shared" si="122"/>
        <v>555590.44876395084</v>
      </c>
      <c r="FA22" s="57">
        <f t="shared" si="42"/>
        <v>164451.04575900006</v>
      </c>
      <c r="FB22" s="59">
        <f t="shared" si="123"/>
        <v>543642.26707010239</v>
      </c>
      <c r="FC22" s="55">
        <f t="shared" si="43"/>
        <v>160836.73706100005</v>
      </c>
      <c r="FD22" s="59">
        <f t="shared" si="124"/>
        <v>531694.08537625393</v>
      </c>
      <c r="FE22" s="57">
        <f t="shared" si="44"/>
        <v>157222.42836300004</v>
      </c>
      <c r="FF22" s="59">
        <f t="shared" si="125"/>
        <v>519745.90368240554</v>
      </c>
      <c r="FG22" s="60">
        <f t="shared" si="45"/>
        <v>153608.11966500003</v>
      </c>
      <c r="FH22" s="59">
        <f t="shared" si="126"/>
        <v>507797.72198855714</v>
      </c>
      <c r="FI22" s="57">
        <f t="shared" si="46"/>
        <v>149993.81096700003</v>
      </c>
      <c r="FJ22" s="59">
        <f t="shared" si="127"/>
        <v>495849.54029470868</v>
      </c>
      <c r="FK22" s="55">
        <f t="shared" si="47"/>
        <v>146379.50226900002</v>
      </c>
      <c r="FL22" s="59">
        <f t="shared" si="128"/>
        <v>483901.35860086029</v>
      </c>
      <c r="FM22" s="60">
        <f t="shared" si="48"/>
        <v>142765.19357100004</v>
      </c>
      <c r="FN22" s="59">
        <f t="shared" si="129"/>
        <v>471953.17690701195</v>
      </c>
      <c r="FO22" s="60">
        <f t="shared" si="49"/>
        <v>139150.88487300003</v>
      </c>
      <c r="FP22" s="59">
        <f t="shared" si="130"/>
        <v>460004.99521316349</v>
      </c>
      <c r="FQ22" s="60">
        <f t="shared" si="50"/>
        <v>135536.57617500002</v>
      </c>
      <c r="FR22" s="59">
        <f t="shared" si="131"/>
        <v>448056.8135193151</v>
      </c>
      <c r="FS22" s="55">
        <f t="shared" si="51"/>
        <v>131922.26747700002</v>
      </c>
      <c r="FT22" s="59">
        <f t="shared" si="132"/>
        <v>436108.63182546664</v>
      </c>
      <c r="FU22" s="60">
        <f t="shared" si="52"/>
        <v>128307.95877900001</v>
      </c>
      <c r="FV22" s="59">
        <f t="shared" si="133"/>
        <v>424160.45013161824</v>
      </c>
      <c r="FW22" s="60">
        <f t="shared" si="53"/>
        <v>124693.650081</v>
      </c>
      <c r="FX22" s="59">
        <f t="shared" si="134"/>
        <v>412212.26843776979</v>
      </c>
      <c r="FY22" s="60">
        <f t="shared" si="54"/>
        <v>121079.34138300001</v>
      </c>
      <c r="FZ22" s="59">
        <f t="shared" si="135"/>
        <v>400264.08674392145</v>
      </c>
      <c r="GA22" s="60">
        <f t="shared" si="55"/>
        <v>117465.032685</v>
      </c>
      <c r="GB22" s="59">
        <f t="shared" si="136"/>
        <v>388315.90505007299</v>
      </c>
      <c r="GC22" s="55">
        <f t="shared" si="56"/>
        <v>113850.72398699999</v>
      </c>
      <c r="GD22" s="59">
        <f t="shared" si="137"/>
        <v>376367.7233562246</v>
      </c>
      <c r="GE22" s="60">
        <f t="shared" si="57"/>
        <v>110236.41528899998</v>
      </c>
      <c r="GF22" s="59">
        <f t="shared" si="138"/>
        <v>364419.54166237614</v>
      </c>
      <c r="GG22" s="60">
        <f t="shared" si="58"/>
        <v>106622.10659099999</v>
      </c>
      <c r="GH22" s="59">
        <f t="shared" si="139"/>
        <v>352471.35996852774</v>
      </c>
      <c r="GI22" s="55">
        <f t="shared" si="59"/>
        <v>103007.79789299998</v>
      </c>
      <c r="GJ22" s="59">
        <f t="shared" si="140"/>
        <v>340523.17827467935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75140</v>
      </c>
      <c r="E23" s="67">
        <f t="shared" si="0"/>
        <v>248390</v>
      </c>
      <c r="H23" s="55">
        <f t="shared" si="61"/>
        <v>82654</v>
      </c>
      <c r="I23" s="55">
        <f t="shared" si="62"/>
        <v>82654</v>
      </c>
      <c r="J23" s="59">
        <f t="shared" si="63"/>
        <v>273237.5932</v>
      </c>
      <c r="K23" s="55">
        <f t="shared" si="64"/>
        <v>80174.38</v>
      </c>
      <c r="L23" s="59">
        <f t="shared" si="65"/>
        <v>265040.46540400002</v>
      </c>
      <c r="M23" s="55">
        <f t="shared" si="66"/>
        <v>78521.3</v>
      </c>
      <c r="N23" s="59">
        <f t="shared" si="67"/>
        <v>259575.71354000003</v>
      </c>
      <c r="O23" s="55">
        <f t="shared" si="1"/>
        <v>76868.22</v>
      </c>
      <c r="P23" s="59">
        <f t="shared" si="68"/>
        <v>254110.96167600001</v>
      </c>
      <c r="Q23" s="57">
        <f t="shared" si="2"/>
        <v>75215.14</v>
      </c>
      <c r="R23" s="59">
        <f t="shared" si="69"/>
        <v>248646.20981200002</v>
      </c>
      <c r="S23" s="55">
        <f t="shared" si="3"/>
        <v>73562.06</v>
      </c>
      <c r="T23" s="59">
        <f t="shared" si="70"/>
        <v>243181.457948</v>
      </c>
      <c r="U23" s="57">
        <f t="shared" si="4"/>
        <v>71908.98</v>
      </c>
      <c r="V23" s="59">
        <f t="shared" si="71"/>
        <v>237716.706084</v>
      </c>
      <c r="W23" s="60">
        <f t="shared" si="5"/>
        <v>70255.899999999994</v>
      </c>
      <c r="X23" s="59">
        <f t="shared" si="72"/>
        <v>232251.95421999999</v>
      </c>
      <c r="Y23" s="57">
        <f t="shared" si="6"/>
        <v>68602.819999999992</v>
      </c>
      <c r="Z23" s="59">
        <f t="shared" si="73"/>
        <v>226787.20235599999</v>
      </c>
      <c r="AA23" s="55">
        <f t="shared" si="7"/>
        <v>66949.739999999991</v>
      </c>
      <c r="AB23" s="59">
        <f t="shared" si="74"/>
        <v>221322.45049199997</v>
      </c>
      <c r="AC23" s="60">
        <f t="shared" si="8"/>
        <v>65296.659999999996</v>
      </c>
      <c r="AD23" s="59">
        <f t="shared" si="75"/>
        <v>215857.69862799998</v>
      </c>
      <c r="AE23" s="60">
        <f t="shared" si="9"/>
        <v>63643.579999999994</v>
      </c>
      <c r="AF23" s="59">
        <f t="shared" si="76"/>
        <v>210392.94676399999</v>
      </c>
      <c r="AG23" s="60">
        <f t="shared" si="10"/>
        <v>61990.499999999993</v>
      </c>
      <c r="AH23" s="59">
        <f t="shared" si="77"/>
        <v>204928.19489999997</v>
      </c>
      <c r="AI23" s="55">
        <f t="shared" si="11"/>
        <v>60337.419999999991</v>
      </c>
      <c r="AJ23" s="59">
        <f t="shared" si="78"/>
        <v>199463.44303599998</v>
      </c>
      <c r="AK23" s="60">
        <f t="shared" si="12"/>
        <v>58684.339999999989</v>
      </c>
      <c r="AL23" s="59">
        <f t="shared" si="79"/>
        <v>193998.69117199996</v>
      </c>
      <c r="AM23" s="60">
        <f t="shared" si="13"/>
        <v>57031.259999999987</v>
      </c>
      <c r="AN23" s="59">
        <f t="shared" si="80"/>
        <v>188533.93930799997</v>
      </c>
      <c r="AO23" s="60">
        <f t="shared" si="14"/>
        <v>55378.179999999986</v>
      </c>
      <c r="AP23" s="59">
        <f t="shared" si="81"/>
        <v>183069.18744399995</v>
      </c>
      <c r="AQ23" s="60">
        <f t="shared" si="15"/>
        <v>53725.099999999984</v>
      </c>
      <c r="AR23" s="59">
        <f t="shared" si="82"/>
        <v>177604.43557999996</v>
      </c>
      <c r="AS23" s="55">
        <f t="shared" si="16"/>
        <v>52072.019999999982</v>
      </c>
      <c r="AT23" s="59">
        <f t="shared" si="83"/>
        <v>172139.68371599994</v>
      </c>
      <c r="AU23" s="60">
        <f t="shared" si="17"/>
        <v>50418.939999999981</v>
      </c>
      <c r="AV23" s="59">
        <f t="shared" si="84"/>
        <v>166674.93185199995</v>
      </c>
      <c r="AW23" s="60">
        <f t="shared" si="18"/>
        <v>48765.859999999979</v>
      </c>
      <c r="AX23" s="59">
        <f t="shared" si="85"/>
        <v>161210.17998799993</v>
      </c>
      <c r="AY23" s="55">
        <f t="shared" si="19"/>
        <v>47112.779999999977</v>
      </c>
      <c r="AZ23" s="59">
        <f t="shared" si="86"/>
        <v>155745.42812399994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75215.14</v>
      </c>
      <c r="CA23" s="55">
        <f t="shared" si="89"/>
        <v>75215.14</v>
      </c>
      <c r="CB23" s="59">
        <f t="shared" si="90"/>
        <v>248646.20981200002</v>
      </c>
      <c r="CC23" s="55">
        <f t="shared" si="91"/>
        <v>72958.685799999992</v>
      </c>
      <c r="CD23" s="59">
        <f t="shared" si="92"/>
        <v>241186.82351763998</v>
      </c>
      <c r="CE23" s="55">
        <f t="shared" si="93"/>
        <v>71454.383000000002</v>
      </c>
      <c r="CF23" s="59">
        <f t="shared" si="94"/>
        <v>236213.89932140001</v>
      </c>
      <c r="CG23" s="55">
        <f t="shared" si="21"/>
        <v>69950.080199999997</v>
      </c>
      <c r="CH23" s="59">
        <f t="shared" si="95"/>
        <v>231240.97512515998</v>
      </c>
      <c r="CI23" s="57">
        <f t="shared" si="22"/>
        <v>68445.777400000006</v>
      </c>
      <c r="CJ23" s="59">
        <f t="shared" si="96"/>
        <v>226268.05092892001</v>
      </c>
      <c r="CK23" s="55">
        <f t="shared" si="23"/>
        <v>66941.474600000001</v>
      </c>
      <c r="CL23" s="59">
        <f t="shared" si="97"/>
        <v>221295.12673268002</v>
      </c>
      <c r="CM23" s="57">
        <f t="shared" si="24"/>
        <v>65437.171799999996</v>
      </c>
      <c r="CN23" s="59">
        <f t="shared" si="98"/>
        <v>216322.20253643999</v>
      </c>
      <c r="CO23" s="60">
        <f t="shared" si="25"/>
        <v>63932.868999999999</v>
      </c>
      <c r="CP23" s="59">
        <f t="shared" si="99"/>
        <v>211349.27834019999</v>
      </c>
      <c r="CQ23" s="57">
        <f t="shared" si="26"/>
        <v>62428.566199999994</v>
      </c>
      <c r="CR23" s="59">
        <f t="shared" si="100"/>
        <v>206376.35414395999</v>
      </c>
      <c r="CS23" s="55">
        <f t="shared" si="27"/>
        <v>60924.263399999996</v>
      </c>
      <c r="CT23" s="59">
        <f t="shared" si="101"/>
        <v>201403.42994772</v>
      </c>
      <c r="CU23" s="60">
        <f t="shared" si="28"/>
        <v>59419.960599999991</v>
      </c>
      <c r="CV23" s="59">
        <f t="shared" si="102"/>
        <v>196430.50575147997</v>
      </c>
      <c r="CW23" s="60">
        <f t="shared" si="29"/>
        <v>57915.657799999994</v>
      </c>
      <c r="CX23" s="59">
        <f t="shared" si="103"/>
        <v>191457.58155523997</v>
      </c>
      <c r="CY23" s="60">
        <f t="shared" si="30"/>
        <v>56411.354999999989</v>
      </c>
      <c r="CZ23" s="59">
        <f t="shared" si="104"/>
        <v>186484.65735899998</v>
      </c>
      <c r="DA23" s="55">
        <f t="shared" si="31"/>
        <v>54907.052199999991</v>
      </c>
      <c r="DB23" s="59">
        <f t="shared" si="105"/>
        <v>181511.73316275998</v>
      </c>
      <c r="DC23" s="60">
        <f t="shared" si="32"/>
        <v>53402.749399999986</v>
      </c>
      <c r="DD23" s="59">
        <f t="shared" si="106"/>
        <v>176538.80896651995</v>
      </c>
      <c r="DE23" s="60">
        <f t="shared" si="33"/>
        <v>51898.446599999988</v>
      </c>
      <c r="DF23" s="59">
        <f t="shared" si="107"/>
        <v>171565.88477027995</v>
      </c>
      <c r="DG23" s="60">
        <f t="shared" si="34"/>
        <v>50394.143799999983</v>
      </c>
      <c r="DH23" s="59">
        <f t="shared" si="108"/>
        <v>166592.96057403996</v>
      </c>
      <c r="DI23" s="60">
        <f t="shared" si="35"/>
        <v>48889.840999999986</v>
      </c>
      <c r="DJ23" s="59">
        <f t="shared" si="109"/>
        <v>161620.03637779996</v>
      </c>
      <c r="DK23" s="55">
        <f t="shared" si="36"/>
        <v>47385.538199999981</v>
      </c>
      <c r="DL23" s="59">
        <f t="shared" si="110"/>
        <v>156647.11218155993</v>
      </c>
      <c r="DM23" s="60">
        <f t="shared" si="37"/>
        <v>45881.235399999983</v>
      </c>
      <c r="DN23" s="59">
        <f t="shared" si="111"/>
        <v>151674.18798531994</v>
      </c>
      <c r="DO23" s="60">
        <f t="shared" si="38"/>
        <v>44376.932599999978</v>
      </c>
      <c r="DP23" s="59">
        <f t="shared" si="112"/>
        <v>146701.26378907994</v>
      </c>
      <c r="DQ23" s="55">
        <f t="shared" si="39"/>
        <v>42872.629799999981</v>
      </c>
      <c r="DR23" s="59">
        <f t="shared" si="113"/>
        <v>141728.33959283994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68445.777400000006</v>
      </c>
      <c r="ES23" s="55">
        <f t="shared" si="116"/>
        <v>68445.777400000006</v>
      </c>
      <c r="ET23" s="59">
        <f t="shared" si="117"/>
        <v>226268.05092892001</v>
      </c>
      <c r="EU23" s="55">
        <f t="shared" si="118"/>
        <v>66392.404078000007</v>
      </c>
      <c r="EV23" s="59">
        <f t="shared" si="119"/>
        <v>219480.00940105243</v>
      </c>
      <c r="EW23" s="55">
        <f t="shared" si="120"/>
        <v>65023.488530000002</v>
      </c>
      <c r="EX23" s="59">
        <f t="shared" si="121"/>
        <v>214954.648382474</v>
      </c>
      <c r="EY23" s="55">
        <f t="shared" si="41"/>
        <v>63654.572982000012</v>
      </c>
      <c r="EZ23" s="59">
        <f t="shared" si="122"/>
        <v>210429.28736389565</v>
      </c>
      <c r="FA23" s="57">
        <f t="shared" si="42"/>
        <v>62285.657434000008</v>
      </c>
      <c r="FB23" s="59">
        <f t="shared" si="123"/>
        <v>205903.92634531722</v>
      </c>
      <c r="FC23" s="55">
        <f t="shared" si="43"/>
        <v>60916.741886000003</v>
      </c>
      <c r="FD23" s="59">
        <f t="shared" si="124"/>
        <v>201378.56532673881</v>
      </c>
      <c r="FE23" s="57">
        <f t="shared" si="44"/>
        <v>59547.826338000006</v>
      </c>
      <c r="FF23" s="59">
        <f t="shared" si="125"/>
        <v>196853.20430816044</v>
      </c>
      <c r="FG23" s="60">
        <f t="shared" si="45"/>
        <v>58178.910790000002</v>
      </c>
      <c r="FH23" s="59">
        <f t="shared" si="126"/>
        <v>192327.843289582</v>
      </c>
      <c r="FI23" s="57">
        <f t="shared" si="46"/>
        <v>56809.995242000005</v>
      </c>
      <c r="FJ23" s="59">
        <f t="shared" si="127"/>
        <v>187802.48227100362</v>
      </c>
      <c r="FK23" s="55">
        <f t="shared" si="47"/>
        <v>55441.079694</v>
      </c>
      <c r="FL23" s="59">
        <f t="shared" si="128"/>
        <v>183277.12125242519</v>
      </c>
      <c r="FM23" s="60">
        <f t="shared" si="48"/>
        <v>54072.164146000003</v>
      </c>
      <c r="FN23" s="59">
        <f t="shared" si="129"/>
        <v>178751.76023384681</v>
      </c>
      <c r="FO23" s="60">
        <f t="shared" si="49"/>
        <v>52703.248597999998</v>
      </c>
      <c r="FP23" s="59">
        <f t="shared" si="130"/>
        <v>174226.39921526841</v>
      </c>
      <c r="FQ23" s="60">
        <f t="shared" si="50"/>
        <v>51334.333049999994</v>
      </c>
      <c r="FR23" s="59">
        <f t="shared" si="131"/>
        <v>169701.03819668997</v>
      </c>
      <c r="FS23" s="55">
        <f t="shared" si="51"/>
        <v>49965.417501999997</v>
      </c>
      <c r="FT23" s="59">
        <f t="shared" si="132"/>
        <v>165175.6771781116</v>
      </c>
      <c r="FU23" s="60">
        <f t="shared" si="52"/>
        <v>48596.501953999992</v>
      </c>
      <c r="FV23" s="59">
        <f t="shared" si="133"/>
        <v>160650.31615953319</v>
      </c>
      <c r="FW23" s="60">
        <f t="shared" si="53"/>
        <v>47227.586405999995</v>
      </c>
      <c r="FX23" s="59">
        <f t="shared" si="134"/>
        <v>156124.95514095479</v>
      </c>
      <c r="FY23" s="60">
        <f t="shared" si="54"/>
        <v>45858.67085799999</v>
      </c>
      <c r="FZ23" s="59">
        <f t="shared" si="135"/>
        <v>151599.59412237638</v>
      </c>
      <c r="GA23" s="60">
        <f t="shared" si="55"/>
        <v>44489.755309999993</v>
      </c>
      <c r="GB23" s="59">
        <f t="shared" si="136"/>
        <v>147074.23310379797</v>
      </c>
      <c r="GC23" s="55">
        <f t="shared" si="56"/>
        <v>43120.839761999989</v>
      </c>
      <c r="GD23" s="59">
        <f t="shared" si="137"/>
        <v>142548.87208521957</v>
      </c>
      <c r="GE23" s="60">
        <f t="shared" si="57"/>
        <v>41751.924213999984</v>
      </c>
      <c r="GF23" s="59">
        <f t="shared" si="138"/>
        <v>138023.51106664116</v>
      </c>
      <c r="GG23" s="60">
        <f t="shared" si="58"/>
        <v>40383.008665999987</v>
      </c>
      <c r="GH23" s="59">
        <f t="shared" si="139"/>
        <v>133498.15004806276</v>
      </c>
      <c r="GI23" s="55">
        <f t="shared" si="59"/>
        <v>39014.093117999982</v>
      </c>
      <c r="GJ23" s="59">
        <f t="shared" si="140"/>
        <v>128972.78902948434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57030</v>
      </c>
      <c r="E24" s="67">
        <f t="shared" si="0"/>
        <v>188520</v>
      </c>
      <c r="H24" s="55">
        <f t="shared" si="61"/>
        <v>62733.000000000007</v>
      </c>
      <c r="I24" s="55">
        <f t="shared" si="62"/>
        <v>62733.000000000007</v>
      </c>
      <c r="J24" s="59">
        <f t="shared" si="63"/>
        <v>207382.75140000004</v>
      </c>
      <c r="K24" s="55">
        <f t="shared" si="64"/>
        <v>60851.01</v>
      </c>
      <c r="L24" s="59">
        <f t="shared" si="65"/>
        <v>201161.26885800002</v>
      </c>
      <c r="M24" s="55">
        <f t="shared" si="66"/>
        <v>59596.350000000006</v>
      </c>
      <c r="N24" s="59">
        <f t="shared" si="67"/>
        <v>197013.61383000002</v>
      </c>
      <c r="O24" s="55">
        <f t="shared" si="1"/>
        <v>58341.69000000001</v>
      </c>
      <c r="P24" s="59">
        <f t="shared" si="68"/>
        <v>192865.95880200004</v>
      </c>
      <c r="Q24" s="57">
        <f t="shared" si="2"/>
        <v>57087.030000000006</v>
      </c>
      <c r="R24" s="59">
        <f t="shared" si="69"/>
        <v>188718.30377400003</v>
      </c>
      <c r="S24" s="55">
        <f t="shared" si="3"/>
        <v>55832.37000000001</v>
      </c>
      <c r="T24" s="59">
        <f t="shared" si="70"/>
        <v>184570.64874600005</v>
      </c>
      <c r="U24" s="57">
        <f t="shared" si="4"/>
        <v>54577.710000000006</v>
      </c>
      <c r="V24" s="59">
        <f t="shared" si="71"/>
        <v>180422.99371800001</v>
      </c>
      <c r="W24" s="60">
        <f t="shared" si="5"/>
        <v>53323.05</v>
      </c>
      <c r="X24" s="59">
        <f t="shared" si="72"/>
        <v>176275.33869</v>
      </c>
      <c r="Y24" s="57">
        <f t="shared" si="6"/>
        <v>52068.390000000007</v>
      </c>
      <c r="Z24" s="59">
        <f t="shared" si="73"/>
        <v>172127.68366200002</v>
      </c>
      <c r="AA24" s="55">
        <f t="shared" si="7"/>
        <v>50813.73</v>
      </c>
      <c r="AB24" s="59">
        <f t="shared" si="74"/>
        <v>167980.02863400002</v>
      </c>
      <c r="AC24" s="60">
        <f t="shared" si="8"/>
        <v>49559.07</v>
      </c>
      <c r="AD24" s="59">
        <f t="shared" si="75"/>
        <v>163832.37360600001</v>
      </c>
      <c r="AE24" s="60">
        <f t="shared" si="9"/>
        <v>48304.409999999996</v>
      </c>
      <c r="AF24" s="59">
        <f t="shared" si="76"/>
        <v>159684.718578</v>
      </c>
      <c r="AG24" s="60">
        <f t="shared" si="10"/>
        <v>47049.75</v>
      </c>
      <c r="AH24" s="59">
        <f t="shared" si="77"/>
        <v>155537.06354999999</v>
      </c>
      <c r="AI24" s="55">
        <f t="shared" si="11"/>
        <v>45795.09</v>
      </c>
      <c r="AJ24" s="59">
        <f t="shared" si="78"/>
        <v>151389.40852199998</v>
      </c>
      <c r="AK24" s="60">
        <f t="shared" si="12"/>
        <v>44540.429999999993</v>
      </c>
      <c r="AL24" s="59">
        <f t="shared" si="79"/>
        <v>147241.75349399998</v>
      </c>
      <c r="AM24" s="60">
        <f t="shared" si="13"/>
        <v>43285.77</v>
      </c>
      <c r="AN24" s="59">
        <f t="shared" si="80"/>
        <v>143094.098466</v>
      </c>
      <c r="AO24" s="60">
        <f t="shared" si="14"/>
        <v>42031.109999999993</v>
      </c>
      <c r="AP24" s="59">
        <f t="shared" si="81"/>
        <v>138946.44343799999</v>
      </c>
      <c r="AQ24" s="60">
        <f t="shared" si="15"/>
        <v>40776.44999999999</v>
      </c>
      <c r="AR24" s="59">
        <f t="shared" si="82"/>
        <v>134798.78840999998</v>
      </c>
      <c r="AS24" s="55">
        <f t="shared" si="16"/>
        <v>39521.789999999994</v>
      </c>
      <c r="AT24" s="59">
        <f t="shared" si="83"/>
        <v>130651.13338199999</v>
      </c>
      <c r="AU24" s="60">
        <f t="shared" si="17"/>
        <v>38267.12999999999</v>
      </c>
      <c r="AV24" s="59">
        <f t="shared" si="84"/>
        <v>126503.47835399998</v>
      </c>
      <c r="AW24" s="60">
        <f t="shared" si="18"/>
        <v>37012.469999999987</v>
      </c>
      <c r="AX24" s="59">
        <f t="shared" si="85"/>
        <v>122355.82332599995</v>
      </c>
      <c r="AY24" s="55">
        <f t="shared" si="19"/>
        <v>35757.80999999999</v>
      </c>
      <c r="AZ24" s="59">
        <f t="shared" si="86"/>
        <v>118208.16829799998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57087.030000000006</v>
      </c>
      <c r="CA24" s="55">
        <f t="shared" si="89"/>
        <v>57087.030000000006</v>
      </c>
      <c r="CB24" s="59">
        <f t="shared" si="90"/>
        <v>188718.30377400003</v>
      </c>
      <c r="CC24" s="55">
        <f t="shared" si="91"/>
        <v>55374.419100000006</v>
      </c>
      <c r="CD24" s="59">
        <f t="shared" si="92"/>
        <v>183056.75466078002</v>
      </c>
      <c r="CE24" s="55">
        <f t="shared" si="93"/>
        <v>54232.678500000002</v>
      </c>
      <c r="CF24" s="59">
        <f t="shared" si="94"/>
        <v>179282.38858530001</v>
      </c>
      <c r="CG24" s="55">
        <f t="shared" si="21"/>
        <v>53090.937900000012</v>
      </c>
      <c r="CH24" s="59">
        <f t="shared" si="95"/>
        <v>175508.02250982003</v>
      </c>
      <c r="CI24" s="57">
        <f t="shared" si="22"/>
        <v>51949.197300000007</v>
      </c>
      <c r="CJ24" s="59">
        <f t="shared" si="96"/>
        <v>171733.65643434002</v>
      </c>
      <c r="CK24" s="55">
        <f t="shared" si="23"/>
        <v>50807.45670000001</v>
      </c>
      <c r="CL24" s="59">
        <f t="shared" si="97"/>
        <v>167959.29035886005</v>
      </c>
      <c r="CM24" s="57">
        <f t="shared" si="24"/>
        <v>49665.716100000005</v>
      </c>
      <c r="CN24" s="59">
        <f t="shared" si="98"/>
        <v>164184.92428338001</v>
      </c>
      <c r="CO24" s="60">
        <f t="shared" si="25"/>
        <v>48523.9755</v>
      </c>
      <c r="CP24" s="59">
        <f t="shared" si="99"/>
        <v>160410.5582079</v>
      </c>
      <c r="CQ24" s="57">
        <f t="shared" si="26"/>
        <v>47382.234900000003</v>
      </c>
      <c r="CR24" s="59">
        <f t="shared" si="100"/>
        <v>156636.19213242002</v>
      </c>
      <c r="CS24" s="55">
        <f t="shared" si="27"/>
        <v>46240.494299999998</v>
      </c>
      <c r="CT24" s="59">
        <f t="shared" si="101"/>
        <v>152861.82605693999</v>
      </c>
      <c r="CU24" s="60">
        <f t="shared" si="28"/>
        <v>45098.753700000001</v>
      </c>
      <c r="CV24" s="59">
        <f t="shared" si="102"/>
        <v>149087.45998146001</v>
      </c>
      <c r="CW24" s="60">
        <f t="shared" si="29"/>
        <v>43957.013099999996</v>
      </c>
      <c r="CX24" s="59">
        <f t="shared" si="103"/>
        <v>145313.09390598</v>
      </c>
      <c r="CY24" s="60">
        <f t="shared" si="30"/>
        <v>42815.272499999999</v>
      </c>
      <c r="CZ24" s="59">
        <f t="shared" si="104"/>
        <v>141538.72783049999</v>
      </c>
      <c r="DA24" s="55">
        <f t="shared" si="31"/>
        <v>41673.531899999994</v>
      </c>
      <c r="DB24" s="59">
        <f t="shared" si="105"/>
        <v>137764.36175501999</v>
      </c>
      <c r="DC24" s="60">
        <f t="shared" si="32"/>
        <v>40531.791299999997</v>
      </c>
      <c r="DD24" s="59">
        <f t="shared" si="106"/>
        <v>133989.99567954001</v>
      </c>
      <c r="DE24" s="60">
        <f t="shared" si="33"/>
        <v>39390.050699999993</v>
      </c>
      <c r="DF24" s="59">
        <f t="shared" si="107"/>
        <v>130215.62960405998</v>
      </c>
      <c r="DG24" s="60">
        <f t="shared" si="34"/>
        <v>38248.310099999995</v>
      </c>
      <c r="DH24" s="59">
        <f t="shared" si="108"/>
        <v>126441.26352857999</v>
      </c>
      <c r="DI24" s="60">
        <f t="shared" si="35"/>
        <v>37106.569499999991</v>
      </c>
      <c r="DJ24" s="59">
        <f t="shared" si="109"/>
        <v>122666.89745309997</v>
      </c>
      <c r="DK24" s="55">
        <f t="shared" si="36"/>
        <v>35964.828899999993</v>
      </c>
      <c r="DL24" s="59">
        <f t="shared" si="110"/>
        <v>118892.53137761998</v>
      </c>
      <c r="DM24" s="60">
        <f t="shared" si="37"/>
        <v>34823.088299999989</v>
      </c>
      <c r="DN24" s="59">
        <f t="shared" si="111"/>
        <v>115118.16530213997</v>
      </c>
      <c r="DO24" s="60">
        <f t="shared" si="38"/>
        <v>33681.347699999991</v>
      </c>
      <c r="DP24" s="59">
        <f t="shared" si="112"/>
        <v>111343.79922665998</v>
      </c>
      <c r="DQ24" s="55">
        <f t="shared" si="39"/>
        <v>32539.607099999987</v>
      </c>
      <c r="DR24" s="59">
        <f t="shared" si="113"/>
        <v>107569.43315117995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51949.197300000007</v>
      </c>
      <c r="ES24" s="55">
        <f t="shared" si="116"/>
        <v>51949.197300000007</v>
      </c>
      <c r="ET24" s="59">
        <f t="shared" si="117"/>
        <v>171733.65643434002</v>
      </c>
      <c r="EU24" s="55">
        <f t="shared" si="118"/>
        <v>50390.721381000003</v>
      </c>
      <c r="EV24" s="59">
        <f t="shared" si="119"/>
        <v>166581.64674130981</v>
      </c>
      <c r="EW24" s="55">
        <f t="shared" si="120"/>
        <v>49351.737435000003</v>
      </c>
      <c r="EX24" s="59">
        <f t="shared" si="121"/>
        <v>163146.973612623</v>
      </c>
      <c r="EY24" s="55">
        <f t="shared" si="41"/>
        <v>48312.75348900001</v>
      </c>
      <c r="EZ24" s="59">
        <f t="shared" si="122"/>
        <v>159712.30048393624</v>
      </c>
      <c r="FA24" s="57">
        <f t="shared" si="42"/>
        <v>47273.769543000009</v>
      </c>
      <c r="FB24" s="59">
        <f t="shared" si="123"/>
        <v>156277.62735524942</v>
      </c>
      <c r="FC24" s="55">
        <f t="shared" si="43"/>
        <v>46234.785597000009</v>
      </c>
      <c r="FD24" s="59">
        <f t="shared" si="124"/>
        <v>152842.95422656264</v>
      </c>
      <c r="FE24" s="57">
        <f t="shared" si="44"/>
        <v>45195.801651000009</v>
      </c>
      <c r="FF24" s="59">
        <f t="shared" si="125"/>
        <v>149408.28109787582</v>
      </c>
      <c r="FG24" s="60">
        <f t="shared" si="45"/>
        <v>44156.817705000001</v>
      </c>
      <c r="FH24" s="59">
        <f t="shared" si="126"/>
        <v>145973.607969189</v>
      </c>
      <c r="FI24" s="57">
        <f t="shared" si="46"/>
        <v>43117.833759000001</v>
      </c>
      <c r="FJ24" s="59">
        <f t="shared" si="127"/>
        <v>142538.93484050222</v>
      </c>
      <c r="FK24" s="55">
        <f t="shared" si="47"/>
        <v>42078.849813000001</v>
      </c>
      <c r="FL24" s="59">
        <f t="shared" si="128"/>
        <v>139104.2617118154</v>
      </c>
      <c r="FM24" s="60">
        <f t="shared" si="48"/>
        <v>41039.865867</v>
      </c>
      <c r="FN24" s="59">
        <f t="shared" si="129"/>
        <v>135669.58858312861</v>
      </c>
      <c r="FO24" s="60">
        <f t="shared" si="49"/>
        <v>40000.881921</v>
      </c>
      <c r="FP24" s="59">
        <f t="shared" si="130"/>
        <v>132234.9154544418</v>
      </c>
      <c r="FQ24" s="60">
        <f t="shared" si="50"/>
        <v>38961.897975</v>
      </c>
      <c r="FR24" s="59">
        <f t="shared" si="131"/>
        <v>128800.242325755</v>
      </c>
      <c r="FS24" s="55">
        <f t="shared" si="51"/>
        <v>37922.914029</v>
      </c>
      <c r="FT24" s="59">
        <f t="shared" si="132"/>
        <v>125365.56919706819</v>
      </c>
      <c r="FU24" s="60">
        <f t="shared" si="52"/>
        <v>36883.930082999999</v>
      </c>
      <c r="FV24" s="59">
        <f t="shared" si="133"/>
        <v>121930.89606838141</v>
      </c>
      <c r="FW24" s="60">
        <f t="shared" si="53"/>
        <v>35844.946136999999</v>
      </c>
      <c r="FX24" s="59">
        <f t="shared" si="134"/>
        <v>118496.22293969461</v>
      </c>
      <c r="FY24" s="60">
        <f t="shared" si="54"/>
        <v>34805.962190999999</v>
      </c>
      <c r="FZ24" s="59">
        <f t="shared" si="135"/>
        <v>115061.5498110078</v>
      </c>
      <c r="GA24" s="60">
        <f t="shared" si="55"/>
        <v>33766.978244999991</v>
      </c>
      <c r="GB24" s="59">
        <f t="shared" si="136"/>
        <v>111626.87668232097</v>
      </c>
      <c r="GC24" s="55">
        <f t="shared" si="56"/>
        <v>32727.994298999994</v>
      </c>
      <c r="GD24" s="59">
        <f t="shared" si="137"/>
        <v>108192.20355363419</v>
      </c>
      <c r="GE24" s="60">
        <f t="shared" si="57"/>
        <v>31689.010352999991</v>
      </c>
      <c r="GF24" s="59">
        <f t="shared" si="138"/>
        <v>104757.53042494737</v>
      </c>
      <c r="GG24" s="60">
        <f t="shared" si="58"/>
        <v>30650.02640699999</v>
      </c>
      <c r="GH24" s="59">
        <f t="shared" si="139"/>
        <v>101322.85729626057</v>
      </c>
      <c r="GI24" s="55">
        <f t="shared" si="59"/>
        <v>29611.04246099999</v>
      </c>
      <c r="GJ24" s="59">
        <f t="shared" si="140"/>
        <v>97888.184167573767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58440</v>
      </c>
      <c r="E25" s="67">
        <f t="shared" si="0"/>
        <v>193190</v>
      </c>
      <c r="H25" s="55">
        <f t="shared" si="61"/>
        <v>64284.000000000007</v>
      </c>
      <c r="I25" s="55">
        <f t="shared" si="62"/>
        <v>64284.000000000007</v>
      </c>
      <c r="J25" s="59">
        <f t="shared" si="63"/>
        <v>212510.04720000003</v>
      </c>
      <c r="K25" s="55">
        <f t="shared" si="64"/>
        <v>62355.48</v>
      </c>
      <c r="L25" s="59">
        <f t="shared" si="65"/>
        <v>206134.74578400003</v>
      </c>
      <c r="M25" s="55">
        <f t="shared" si="66"/>
        <v>61069.8</v>
      </c>
      <c r="N25" s="59">
        <f t="shared" si="67"/>
        <v>201884.54484000002</v>
      </c>
      <c r="O25" s="55">
        <f t="shared" si="1"/>
        <v>59784.12000000001</v>
      </c>
      <c r="P25" s="59">
        <f t="shared" si="68"/>
        <v>197634.34389600003</v>
      </c>
      <c r="Q25" s="57">
        <f t="shared" si="2"/>
        <v>58498.44000000001</v>
      </c>
      <c r="R25" s="59">
        <f t="shared" si="69"/>
        <v>193384.14295200002</v>
      </c>
      <c r="S25" s="55">
        <f t="shared" si="3"/>
        <v>57212.760000000009</v>
      </c>
      <c r="T25" s="59">
        <f t="shared" si="70"/>
        <v>189133.94200800004</v>
      </c>
      <c r="U25" s="57">
        <f t="shared" si="4"/>
        <v>55927.080000000009</v>
      </c>
      <c r="V25" s="59">
        <f t="shared" si="71"/>
        <v>184883.74106400003</v>
      </c>
      <c r="W25" s="60">
        <f t="shared" si="5"/>
        <v>54641.4</v>
      </c>
      <c r="X25" s="59">
        <f t="shared" si="72"/>
        <v>180633.54012000002</v>
      </c>
      <c r="Y25" s="57">
        <f t="shared" si="6"/>
        <v>53355.72</v>
      </c>
      <c r="Z25" s="59">
        <f t="shared" si="73"/>
        <v>176383.33917600001</v>
      </c>
      <c r="AA25" s="55">
        <f t="shared" si="7"/>
        <v>52070.04</v>
      </c>
      <c r="AB25" s="59">
        <f t="shared" si="74"/>
        <v>172133.138232</v>
      </c>
      <c r="AC25" s="60">
        <f t="shared" si="8"/>
        <v>50784.36</v>
      </c>
      <c r="AD25" s="59">
        <f t="shared" si="75"/>
        <v>167882.93728800002</v>
      </c>
      <c r="AE25" s="60">
        <f t="shared" si="9"/>
        <v>49498.68</v>
      </c>
      <c r="AF25" s="59">
        <f t="shared" si="76"/>
        <v>163632.736344</v>
      </c>
      <c r="AG25" s="60">
        <f t="shared" si="10"/>
        <v>48213</v>
      </c>
      <c r="AH25" s="59">
        <f t="shared" si="77"/>
        <v>159382.53539999999</v>
      </c>
      <c r="AI25" s="55">
        <f t="shared" si="11"/>
        <v>46927.32</v>
      </c>
      <c r="AJ25" s="59">
        <f t="shared" si="78"/>
        <v>155132.33445600001</v>
      </c>
      <c r="AK25" s="60">
        <f t="shared" si="12"/>
        <v>45641.639999999992</v>
      </c>
      <c r="AL25" s="59">
        <f t="shared" si="79"/>
        <v>150882.13351199997</v>
      </c>
      <c r="AM25" s="60">
        <f t="shared" si="13"/>
        <v>44355.959999999992</v>
      </c>
      <c r="AN25" s="59">
        <f t="shared" si="80"/>
        <v>146631.93256799999</v>
      </c>
      <c r="AO25" s="60">
        <f t="shared" si="14"/>
        <v>43070.279999999992</v>
      </c>
      <c r="AP25" s="59">
        <f t="shared" si="81"/>
        <v>142381.73162399998</v>
      </c>
      <c r="AQ25" s="60">
        <f t="shared" si="15"/>
        <v>41784.599999999991</v>
      </c>
      <c r="AR25" s="59">
        <f t="shared" si="82"/>
        <v>138131.53067999997</v>
      </c>
      <c r="AS25" s="55">
        <f t="shared" si="16"/>
        <v>40498.919999999991</v>
      </c>
      <c r="AT25" s="59">
        <f t="shared" si="83"/>
        <v>133881.32973599999</v>
      </c>
      <c r="AU25" s="60">
        <f t="shared" si="17"/>
        <v>39213.239999999991</v>
      </c>
      <c r="AV25" s="59">
        <f t="shared" si="84"/>
        <v>129631.12879199997</v>
      </c>
      <c r="AW25" s="60">
        <f t="shared" si="18"/>
        <v>37927.55999999999</v>
      </c>
      <c r="AX25" s="59">
        <f t="shared" si="85"/>
        <v>125380.92784799998</v>
      </c>
      <c r="AY25" s="55">
        <f t="shared" si="19"/>
        <v>36641.87999999999</v>
      </c>
      <c r="AZ25" s="59">
        <f t="shared" si="86"/>
        <v>121130.72690399997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58498.44000000001</v>
      </c>
      <c r="CA25" s="55">
        <f t="shared" si="89"/>
        <v>58498.44000000001</v>
      </c>
      <c r="CB25" s="59">
        <f t="shared" si="90"/>
        <v>193384.14295200002</v>
      </c>
      <c r="CC25" s="55">
        <f t="shared" si="91"/>
        <v>56743.486800000006</v>
      </c>
      <c r="CD25" s="59">
        <f t="shared" si="92"/>
        <v>187582.61866344002</v>
      </c>
      <c r="CE25" s="55">
        <f t="shared" si="93"/>
        <v>55573.518000000004</v>
      </c>
      <c r="CF25" s="59">
        <f t="shared" si="94"/>
        <v>183714.93580440001</v>
      </c>
      <c r="CG25" s="55">
        <f t="shared" si="21"/>
        <v>54403.549200000009</v>
      </c>
      <c r="CH25" s="59">
        <f t="shared" si="95"/>
        <v>179847.25294536003</v>
      </c>
      <c r="CI25" s="57">
        <f t="shared" si="22"/>
        <v>53233.580400000013</v>
      </c>
      <c r="CJ25" s="59">
        <f t="shared" si="96"/>
        <v>175979.57008632005</v>
      </c>
      <c r="CK25" s="55">
        <f t="shared" si="23"/>
        <v>52063.611600000011</v>
      </c>
      <c r="CL25" s="59">
        <f t="shared" si="97"/>
        <v>172111.88722728004</v>
      </c>
      <c r="CM25" s="57">
        <f t="shared" si="24"/>
        <v>50893.642800000009</v>
      </c>
      <c r="CN25" s="59">
        <f t="shared" si="98"/>
        <v>168244.20436824003</v>
      </c>
      <c r="CO25" s="60">
        <f t="shared" si="25"/>
        <v>49723.674000000006</v>
      </c>
      <c r="CP25" s="59">
        <f t="shared" si="99"/>
        <v>164376.52150920001</v>
      </c>
      <c r="CQ25" s="57">
        <f t="shared" si="26"/>
        <v>48553.705200000004</v>
      </c>
      <c r="CR25" s="59">
        <f t="shared" si="100"/>
        <v>160508.83865016</v>
      </c>
      <c r="CS25" s="55">
        <f t="shared" si="27"/>
        <v>47383.736400000002</v>
      </c>
      <c r="CT25" s="59">
        <f t="shared" si="101"/>
        <v>156641.15579112002</v>
      </c>
      <c r="CU25" s="60">
        <f t="shared" si="28"/>
        <v>46213.767600000006</v>
      </c>
      <c r="CV25" s="59">
        <f t="shared" si="102"/>
        <v>152773.47293208001</v>
      </c>
      <c r="CW25" s="60">
        <f t="shared" si="29"/>
        <v>45043.798800000004</v>
      </c>
      <c r="CX25" s="59">
        <f t="shared" si="103"/>
        <v>148905.79007304003</v>
      </c>
      <c r="CY25" s="60">
        <f t="shared" si="30"/>
        <v>43873.83</v>
      </c>
      <c r="CZ25" s="59">
        <f t="shared" si="104"/>
        <v>145038.10721400002</v>
      </c>
      <c r="DA25" s="55">
        <f t="shared" si="31"/>
        <v>42703.861199999999</v>
      </c>
      <c r="DB25" s="59">
        <f t="shared" si="105"/>
        <v>141170.42435496001</v>
      </c>
      <c r="DC25" s="60">
        <f t="shared" si="32"/>
        <v>41533.892399999997</v>
      </c>
      <c r="DD25" s="59">
        <f t="shared" si="106"/>
        <v>137302.74149592</v>
      </c>
      <c r="DE25" s="60">
        <f t="shared" si="33"/>
        <v>40363.923599999995</v>
      </c>
      <c r="DF25" s="59">
        <f t="shared" si="107"/>
        <v>133435.05863687998</v>
      </c>
      <c r="DG25" s="60">
        <f t="shared" si="34"/>
        <v>39193.954799999992</v>
      </c>
      <c r="DH25" s="59">
        <f t="shared" si="108"/>
        <v>129567.37577783997</v>
      </c>
      <c r="DI25" s="60">
        <f t="shared" si="35"/>
        <v>38023.985999999997</v>
      </c>
      <c r="DJ25" s="59">
        <f t="shared" si="109"/>
        <v>125699.69291879999</v>
      </c>
      <c r="DK25" s="55">
        <f t="shared" si="36"/>
        <v>36854.017199999995</v>
      </c>
      <c r="DL25" s="59">
        <f t="shared" si="110"/>
        <v>121832.01005975998</v>
      </c>
      <c r="DM25" s="60">
        <f t="shared" si="37"/>
        <v>35684.048399999992</v>
      </c>
      <c r="DN25" s="59">
        <f t="shared" si="111"/>
        <v>117964.32720071997</v>
      </c>
      <c r="DO25" s="60">
        <f t="shared" si="38"/>
        <v>34514.07959999999</v>
      </c>
      <c r="DP25" s="59">
        <f t="shared" si="112"/>
        <v>114096.64434167997</v>
      </c>
      <c r="DQ25" s="55">
        <f t="shared" si="39"/>
        <v>33344.110799999988</v>
      </c>
      <c r="DR25" s="59">
        <f t="shared" si="113"/>
        <v>110228.96148263996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53233.580400000013</v>
      </c>
      <c r="ES25" s="55">
        <f t="shared" si="116"/>
        <v>53233.580400000013</v>
      </c>
      <c r="ET25" s="59">
        <f t="shared" si="117"/>
        <v>175979.57008632005</v>
      </c>
      <c r="EU25" s="55">
        <f t="shared" si="118"/>
        <v>51636.572988000014</v>
      </c>
      <c r="EV25" s="59">
        <f t="shared" si="119"/>
        <v>170700.18298373045</v>
      </c>
      <c r="EW25" s="55">
        <f t="shared" si="120"/>
        <v>50571.90138000001</v>
      </c>
      <c r="EX25" s="59">
        <f t="shared" si="121"/>
        <v>167180.59158200404</v>
      </c>
      <c r="EY25" s="55">
        <f t="shared" si="41"/>
        <v>49507.229772000013</v>
      </c>
      <c r="EZ25" s="59">
        <f t="shared" si="122"/>
        <v>163661.00018027765</v>
      </c>
      <c r="FA25" s="57">
        <f t="shared" si="42"/>
        <v>48442.558164000016</v>
      </c>
      <c r="FB25" s="59">
        <f t="shared" si="123"/>
        <v>160141.40877855127</v>
      </c>
      <c r="FC25" s="55">
        <f t="shared" si="43"/>
        <v>47377.886556000012</v>
      </c>
      <c r="FD25" s="59">
        <f t="shared" si="124"/>
        <v>156621.81737682485</v>
      </c>
      <c r="FE25" s="57">
        <f t="shared" si="44"/>
        <v>46313.214948000008</v>
      </c>
      <c r="FF25" s="59">
        <f t="shared" si="125"/>
        <v>153102.22597509844</v>
      </c>
      <c r="FG25" s="60">
        <f t="shared" si="45"/>
        <v>45248.543340000011</v>
      </c>
      <c r="FH25" s="59">
        <f t="shared" si="126"/>
        <v>149582.63457337205</v>
      </c>
      <c r="FI25" s="57">
        <f t="shared" si="46"/>
        <v>44183.871732000007</v>
      </c>
      <c r="FJ25" s="59">
        <f t="shared" si="127"/>
        <v>146063.04317164564</v>
      </c>
      <c r="FK25" s="55">
        <f t="shared" si="47"/>
        <v>43119.20012400001</v>
      </c>
      <c r="FL25" s="59">
        <f t="shared" si="128"/>
        <v>142543.45176991922</v>
      </c>
      <c r="FM25" s="60">
        <f t="shared" si="48"/>
        <v>42054.528516000006</v>
      </c>
      <c r="FN25" s="59">
        <f t="shared" si="129"/>
        <v>139023.86036819284</v>
      </c>
      <c r="FO25" s="60">
        <f t="shared" si="49"/>
        <v>40989.856908000009</v>
      </c>
      <c r="FP25" s="59">
        <f t="shared" si="130"/>
        <v>135504.26896646642</v>
      </c>
      <c r="FQ25" s="60">
        <f t="shared" si="50"/>
        <v>39925.185300000005</v>
      </c>
      <c r="FR25" s="59">
        <f t="shared" si="131"/>
        <v>131984.67756474001</v>
      </c>
      <c r="FS25" s="55">
        <f t="shared" si="51"/>
        <v>38860.513692</v>
      </c>
      <c r="FT25" s="59">
        <f t="shared" si="132"/>
        <v>128465.08616301361</v>
      </c>
      <c r="FU25" s="60">
        <f t="shared" si="52"/>
        <v>37795.842084000004</v>
      </c>
      <c r="FV25" s="59">
        <f t="shared" si="133"/>
        <v>124945.49476128722</v>
      </c>
      <c r="FW25" s="60">
        <f t="shared" si="53"/>
        <v>36731.170475999999</v>
      </c>
      <c r="FX25" s="59">
        <f t="shared" si="134"/>
        <v>121425.90335956081</v>
      </c>
      <c r="FY25" s="60">
        <f t="shared" si="54"/>
        <v>35666.498868000002</v>
      </c>
      <c r="FZ25" s="59">
        <f t="shared" si="135"/>
        <v>117906.3119578344</v>
      </c>
      <c r="GA25" s="60">
        <f t="shared" si="55"/>
        <v>34601.827259999998</v>
      </c>
      <c r="GB25" s="59">
        <f t="shared" si="136"/>
        <v>114386.72055610799</v>
      </c>
      <c r="GC25" s="55">
        <f t="shared" si="56"/>
        <v>33537.155651999994</v>
      </c>
      <c r="GD25" s="59">
        <f t="shared" si="137"/>
        <v>110867.12915438159</v>
      </c>
      <c r="GE25" s="60">
        <f t="shared" si="57"/>
        <v>32472.484043999997</v>
      </c>
      <c r="GF25" s="59">
        <f t="shared" si="138"/>
        <v>107347.53775265519</v>
      </c>
      <c r="GG25" s="60">
        <f t="shared" si="58"/>
        <v>31407.812435999993</v>
      </c>
      <c r="GH25" s="59">
        <f t="shared" si="139"/>
        <v>103827.94635092877</v>
      </c>
      <c r="GI25" s="55">
        <f t="shared" si="59"/>
        <v>30343.140827999992</v>
      </c>
      <c r="GJ25" s="59">
        <f t="shared" si="140"/>
        <v>100308.35494920237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31900</v>
      </c>
      <c r="E26" s="67">
        <f t="shared" si="0"/>
        <v>105450</v>
      </c>
      <c r="H26" s="55">
        <f t="shared" si="61"/>
        <v>35090</v>
      </c>
      <c r="I26" s="55">
        <f t="shared" si="62"/>
        <v>35090</v>
      </c>
      <c r="J26" s="59">
        <f t="shared" si="63"/>
        <v>116000.522</v>
      </c>
      <c r="K26" s="55">
        <f t="shared" si="64"/>
        <v>34037.299999999996</v>
      </c>
      <c r="L26" s="59">
        <f t="shared" si="65"/>
        <v>112520.50633999999</v>
      </c>
      <c r="M26" s="55">
        <f t="shared" si="66"/>
        <v>33335.5</v>
      </c>
      <c r="N26" s="59">
        <f t="shared" si="67"/>
        <v>110200.49590000001</v>
      </c>
      <c r="O26" s="55">
        <f t="shared" si="1"/>
        <v>32633.7</v>
      </c>
      <c r="P26" s="59">
        <f t="shared" si="68"/>
        <v>107880.48546000001</v>
      </c>
      <c r="Q26" s="57">
        <f t="shared" si="2"/>
        <v>31931.9</v>
      </c>
      <c r="R26" s="59">
        <f t="shared" si="69"/>
        <v>105560.47502000001</v>
      </c>
      <c r="S26" s="55">
        <f t="shared" si="3"/>
        <v>31230.100000000002</v>
      </c>
      <c r="T26" s="59">
        <f t="shared" si="70"/>
        <v>103240.46458000001</v>
      </c>
      <c r="U26" s="57">
        <f t="shared" si="4"/>
        <v>30528.3</v>
      </c>
      <c r="V26" s="59">
        <f t="shared" si="71"/>
        <v>100920.45414</v>
      </c>
      <c r="W26" s="60">
        <f t="shared" si="5"/>
        <v>29826.5</v>
      </c>
      <c r="X26" s="59">
        <f t="shared" si="72"/>
        <v>98600.443700000003</v>
      </c>
      <c r="Y26" s="57">
        <f t="shared" si="6"/>
        <v>29124.699999999997</v>
      </c>
      <c r="Z26" s="59">
        <f t="shared" si="73"/>
        <v>96280.433259999991</v>
      </c>
      <c r="AA26" s="55">
        <f t="shared" si="7"/>
        <v>28422.899999999998</v>
      </c>
      <c r="AB26" s="59">
        <f t="shared" si="74"/>
        <v>93960.422819999992</v>
      </c>
      <c r="AC26" s="60">
        <f t="shared" si="8"/>
        <v>27721.1</v>
      </c>
      <c r="AD26" s="59">
        <f t="shared" si="75"/>
        <v>91640.412379999994</v>
      </c>
      <c r="AE26" s="60">
        <f t="shared" si="9"/>
        <v>27019.299999999996</v>
      </c>
      <c r="AF26" s="59">
        <f t="shared" si="76"/>
        <v>89320.401939999982</v>
      </c>
      <c r="AG26" s="60">
        <f t="shared" si="10"/>
        <v>26317.499999999996</v>
      </c>
      <c r="AH26" s="59">
        <f t="shared" si="77"/>
        <v>87000.391499999983</v>
      </c>
      <c r="AI26" s="55">
        <f t="shared" si="11"/>
        <v>25615.699999999997</v>
      </c>
      <c r="AJ26" s="59">
        <f t="shared" si="78"/>
        <v>84680.381059999985</v>
      </c>
      <c r="AK26" s="60">
        <f t="shared" si="12"/>
        <v>24913.899999999994</v>
      </c>
      <c r="AL26" s="59">
        <f t="shared" si="79"/>
        <v>82360.370619999987</v>
      </c>
      <c r="AM26" s="60">
        <f t="shared" si="13"/>
        <v>24212.099999999995</v>
      </c>
      <c r="AN26" s="59">
        <f t="shared" si="80"/>
        <v>80040.360179999989</v>
      </c>
      <c r="AO26" s="60">
        <f t="shared" si="14"/>
        <v>23510.299999999992</v>
      </c>
      <c r="AP26" s="59">
        <f t="shared" si="81"/>
        <v>77720.349739999976</v>
      </c>
      <c r="AQ26" s="60">
        <f t="shared" si="15"/>
        <v>22808.499999999993</v>
      </c>
      <c r="AR26" s="59">
        <f t="shared" si="82"/>
        <v>75400.339299999978</v>
      </c>
      <c r="AS26" s="55">
        <f t="shared" si="16"/>
        <v>22106.699999999993</v>
      </c>
      <c r="AT26" s="59">
        <f t="shared" si="83"/>
        <v>73080.32885999998</v>
      </c>
      <c r="AU26" s="60">
        <f t="shared" si="17"/>
        <v>21404.899999999991</v>
      </c>
      <c r="AV26" s="59">
        <f t="shared" si="84"/>
        <v>70760.318419999967</v>
      </c>
      <c r="AW26" s="60">
        <f t="shared" si="18"/>
        <v>20703.099999999991</v>
      </c>
      <c r="AX26" s="59">
        <f t="shared" si="85"/>
        <v>68440.307979999969</v>
      </c>
      <c r="AY26" s="55">
        <f t="shared" si="19"/>
        <v>20001.299999999992</v>
      </c>
      <c r="AZ26" s="59">
        <f t="shared" si="86"/>
        <v>66120.29753999997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31931.9</v>
      </c>
      <c r="CA26" s="55">
        <f t="shared" si="89"/>
        <v>31931.9</v>
      </c>
      <c r="CB26" s="59">
        <f t="shared" si="90"/>
        <v>105560.47502000001</v>
      </c>
      <c r="CC26" s="55">
        <f t="shared" si="91"/>
        <v>30973.942999999999</v>
      </c>
      <c r="CD26" s="59">
        <f t="shared" si="92"/>
        <v>102393.6607694</v>
      </c>
      <c r="CE26" s="55">
        <f t="shared" si="93"/>
        <v>30335.305</v>
      </c>
      <c r="CF26" s="59">
        <f t="shared" si="94"/>
        <v>100282.451269</v>
      </c>
      <c r="CG26" s="55">
        <f t="shared" si="21"/>
        <v>29696.667000000001</v>
      </c>
      <c r="CH26" s="59">
        <f t="shared" si="95"/>
        <v>98171.241768600012</v>
      </c>
      <c r="CI26" s="57">
        <f t="shared" si="22"/>
        <v>29058.029000000002</v>
      </c>
      <c r="CJ26" s="59">
        <f t="shared" si="96"/>
        <v>96060.032268200011</v>
      </c>
      <c r="CK26" s="55">
        <f t="shared" si="23"/>
        <v>28419.391000000003</v>
      </c>
      <c r="CL26" s="59">
        <f t="shared" si="97"/>
        <v>93948.822767800011</v>
      </c>
      <c r="CM26" s="57">
        <f t="shared" si="24"/>
        <v>27780.753000000001</v>
      </c>
      <c r="CN26" s="59">
        <f t="shared" si="98"/>
        <v>91837.613267400011</v>
      </c>
      <c r="CO26" s="60">
        <f t="shared" si="25"/>
        <v>27142.115000000002</v>
      </c>
      <c r="CP26" s="59">
        <f t="shared" si="99"/>
        <v>89726.403767000011</v>
      </c>
      <c r="CQ26" s="57">
        <f t="shared" si="26"/>
        <v>26503.476999999999</v>
      </c>
      <c r="CR26" s="59">
        <f t="shared" si="100"/>
        <v>87615.194266599996</v>
      </c>
      <c r="CS26" s="55">
        <f t="shared" si="27"/>
        <v>25864.839</v>
      </c>
      <c r="CT26" s="59">
        <f t="shared" si="101"/>
        <v>85503.984766199996</v>
      </c>
      <c r="CU26" s="60">
        <f t="shared" si="28"/>
        <v>25226.200999999997</v>
      </c>
      <c r="CV26" s="59">
        <f t="shared" si="102"/>
        <v>83392.775265799995</v>
      </c>
      <c r="CW26" s="60">
        <f t="shared" si="29"/>
        <v>24587.562999999998</v>
      </c>
      <c r="CX26" s="59">
        <f t="shared" si="103"/>
        <v>81281.565765399995</v>
      </c>
      <c r="CY26" s="60">
        <f t="shared" si="30"/>
        <v>23948.924999999999</v>
      </c>
      <c r="CZ26" s="59">
        <f t="shared" si="104"/>
        <v>79170.356264999995</v>
      </c>
      <c r="DA26" s="55">
        <f t="shared" si="31"/>
        <v>23310.286999999997</v>
      </c>
      <c r="DB26" s="59">
        <f t="shared" si="105"/>
        <v>77059.146764599995</v>
      </c>
      <c r="DC26" s="60">
        <f t="shared" si="32"/>
        <v>22671.648999999998</v>
      </c>
      <c r="DD26" s="59">
        <f t="shared" si="106"/>
        <v>74947.937264199994</v>
      </c>
      <c r="DE26" s="60">
        <f t="shared" si="33"/>
        <v>22033.010999999995</v>
      </c>
      <c r="DF26" s="59">
        <f t="shared" si="107"/>
        <v>72836.72776379998</v>
      </c>
      <c r="DG26" s="60">
        <f t="shared" si="34"/>
        <v>21394.372999999996</v>
      </c>
      <c r="DH26" s="59">
        <f t="shared" si="108"/>
        <v>70725.518263399994</v>
      </c>
      <c r="DI26" s="60">
        <f t="shared" si="35"/>
        <v>20755.734999999993</v>
      </c>
      <c r="DJ26" s="59">
        <f t="shared" si="109"/>
        <v>68614.308762999979</v>
      </c>
      <c r="DK26" s="55">
        <f t="shared" si="36"/>
        <v>20117.096999999994</v>
      </c>
      <c r="DL26" s="59">
        <f t="shared" si="110"/>
        <v>66503.099262599979</v>
      </c>
      <c r="DM26" s="60">
        <f t="shared" si="37"/>
        <v>19478.458999999992</v>
      </c>
      <c r="DN26" s="59">
        <f t="shared" si="111"/>
        <v>64391.889762199971</v>
      </c>
      <c r="DO26" s="60">
        <f t="shared" si="38"/>
        <v>18839.820999999993</v>
      </c>
      <c r="DP26" s="59">
        <f t="shared" si="112"/>
        <v>62280.680261799978</v>
      </c>
      <c r="DQ26" s="55">
        <f t="shared" si="39"/>
        <v>18201.182999999994</v>
      </c>
      <c r="DR26" s="59">
        <f t="shared" si="113"/>
        <v>60169.470761399978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29058.029000000002</v>
      </c>
      <c r="ES26" s="55">
        <f t="shared" si="116"/>
        <v>29058.029000000002</v>
      </c>
      <c r="ET26" s="59">
        <f t="shared" si="117"/>
        <v>96060.032268200011</v>
      </c>
      <c r="EU26" s="55">
        <f t="shared" si="118"/>
        <v>28186.288130000001</v>
      </c>
      <c r="EV26" s="59">
        <f t="shared" si="119"/>
        <v>93178.231300154002</v>
      </c>
      <c r="EW26" s="55">
        <f t="shared" si="120"/>
        <v>27605.127550000001</v>
      </c>
      <c r="EX26" s="59">
        <f t="shared" si="121"/>
        <v>91257.030654790011</v>
      </c>
      <c r="EY26" s="55">
        <f t="shared" si="41"/>
        <v>27023.966970000005</v>
      </c>
      <c r="EZ26" s="59">
        <f t="shared" si="122"/>
        <v>89335.830009426019</v>
      </c>
      <c r="FA26" s="57">
        <f t="shared" si="42"/>
        <v>26442.806390000002</v>
      </c>
      <c r="FB26" s="59">
        <f t="shared" si="123"/>
        <v>87414.629364062013</v>
      </c>
      <c r="FC26" s="55">
        <f t="shared" si="43"/>
        <v>25861.645810000002</v>
      </c>
      <c r="FD26" s="59">
        <f t="shared" si="124"/>
        <v>85493.428718698007</v>
      </c>
      <c r="FE26" s="57">
        <f t="shared" si="44"/>
        <v>25280.485230000002</v>
      </c>
      <c r="FF26" s="59">
        <f t="shared" si="125"/>
        <v>83572.228073334016</v>
      </c>
      <c r="FG26" s="60">
        <f t="shared" si="45"/>
        <v>24699.324650000002</v>
      </c>
      <c r="FH26" s="59">
        <f t="shared" si="126"/>
        <v>81651.02742797001</v>
      </c>
      <c r="FI26" s="57">
        <f t="shared" si="46"/>
        <v>24118.164070000003</v>
      </c>
      <c r="FJ26" s="59">
        <f t="shared" si="127"/>
        <v>79729.826782606004</v>
      </c>
      <c r="FK26" s="55">
        <f t="shared" si="47"/>
        <v>23537.003489999999</v>
      </c>
      <c r="FL26" s="59">
        <f t="shared" si="128"/>
        <v>77808.626137241998</v>
      </c>
      <c r="FM26" s="60">
        <f t="shared" si="48"/>
        <v>22955.842909999999</v>
      </c>
      <c r="FN26" s="59">
        <f t="shared" si="129"/>
        <v>75887.425491878006</v>
      </c>
      <c r="FO26" s="60">
        <f t="shared" si="49"/>
        <v>22374.68233</v>
      </c>
      <c r="FP26" s="59">
        <f t="shared" si="130"/>
        <v>73966.224846514</v>
      </c>
      <c r="FQ26" s="60">
        <f t="shared" si="50"/>
        <v>21793.52175</v>
      </c>
      <c r="FR26" s="59">
        <f t="shared" si="131"/>
        <v>72045.024201149994</v>
      </c>
      <c r="FS26" s="55">
        <f t="shared" si="51"/>
        <v>21212.361169999996</v>
      </c>
      <c r="FT26" s="59">
        <f t="shared" si="132"/>
        <v>70123.823555785988</v>
      </c>
      <c r="FU26" s="60">
        <f t="shared" si="52"/>
        <v>20631.200589999997</v>
      </c>
      <c r="FV26" s="59">
        <f t="shared" si="133"/>
        <v>68202.622910421996</v>
      </c>
      <c r="FW26" s="60">
        <f t="shared" si="53"/>
        <v>20050.040009999997</v>
      </c>
      <c r="FX26" s="59">
        <f t="shared" si="134"/>
        <v>66281.42226505799</v>
      </c>
      <c r="FY26" s="60">
        <f t="shared" si="54"/>
        <v>19468.879429999997</v>
      </c>
      <c r="FZ26" s="59">
        <f t="shared" si="135"/>
        <v>64360.221619693992</v>
      </c>
      <c r="GA26" s="60">
        <f t="shared" si="55"/>
        <v>18887.718849999997</v>
      </c>
      <c r="GB26" s="59">
        <f t="shared" si="136"/>
        <v>62439.020974329993</v>
      </c>
      <c r="GC26" s="55">
        <f t="shared" si="56"/>
        <v>18306.558269999994</v>
      </c>
      <c r="GD26" s="59">
        <f t="shared" si="137"/>
        <v>60517.82032896598</v>
      </c>
      <c r="GE26" s="60">
        <f t="shared" si="57"/>
        <v>17725.397689999994</v>
      </c>
      <c r="GF26" s="59">
        <f t="shared" si="138"/>
        <v>58596.619683601981</v>
      </c>
      <c r="GG26" s="60">
        <f t="shared" si="58"/>
        <v>17144.237109999995</v>
      </c>
      <c r="GH26" s="59">
        <f t="shared" si="139"/>
        <v>56675.419038237982</v>
      </c>
      <c r="GI26" s="55">
        <f t="shared" si="59"/>
        <v>16563.076529999995</v>
      </c>
      <c r="GJ26" s="59">
        <f t="shared" si="140"/>
        <v>54754.218392873983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155</v>
      </c>
      <c r="D27" s="53">
        <f>TRUNC(SUM(D18:D26)*0.275,-1)</f>
        <v>410730</v>
      </c>
      <c r="E27" s="68">
        <f t="shared" si="0"/>
        <v>1357790</v>
      </c>
      <c r="H27" s="55">
        <f t="shared" si="61"/>
        <v>451803.00000000006</v>
      </c>
      <c r="I27" s="55">
        <f t="shared" si="62"/>
        <v>451803.00000000006</v>
      </c>
      <c r="J27" s="59">
        <f t="shared" si="63"/>
        <v>1493570.3574000003</v>
      </c>
      <c r="K27" s="55">
        <f t="shared" si="64"/>
        <v>438248.91000000003</v>
      </c>
      <c r="L27" s="59">
        <f t="shared" si="65"/>
        <v>1448763.2466780001</v>
      </c>
      <c r="M27" s="55">
        <f t="shared" si="66"/>
        <v>429212.85000000003</v>
      </c>
      <c r="N27" s="59">
        <f t="shared" si="67"/>
        <v>1418891.8395300002</v>
      </c>
      <c r="O27" s="55">
        <f t="shared" si="1"/>
        <v>420176.7900000001</v>
      </c>
      <c r="P27" s="59">
        <f t="shared" si="68"/>
        <v>1389020.4323820004</v>
      </c>
      <c r="Q27" s="57">
        <f t="shared" si="2"/>
        <v>411140.73000000004</v>
      </c>
      <c r="R27" s="59">
        <f t="shared" si="69"/>
        <v>1359149.0252340001</v>
      </c>
      <c r="S27" s="55">
        <f t="shared" si="3"/>
        <v>402104.67000000004</v>
      </c>
      <c r="T27" s="59">
        <f t="shared" si="70"/>
        <v>1329277.6180860002</v>
      </c>
      <c r="U27" s="57">
        <f t="shared" si="4"/>
        <v>393068.61000000004</v>
      </c>
      <c r="V27" s="59">
        <f t="shared" si="71"/>
        <v>1299406.2109380001</v>
      </c>
      <c r="W27" s="60">
        <f t="shared" si="5"/>
        <v>384032.55000000005</v>
      </c>
      <c r="X27" s="59">
        <f t="shared" si="72"/>
        <v>1269534.8037900003</v>
      </c>
      <c r="Y27" s="57">
        <f t="shared" si="6"/>
        <v>374996.49000000005</v>
      </c>
      <c r="Z27" s="59">
        <f t="shared" si="73"/>
        <v>1239663.3966420002</v>
      </c>
      <c r="AA27" s="55">
        <f t="shared" si="7"/>
        <v>365960.43</v>
      </c>
      <c r="AB27" s="59">
        <f t="shared" si="74"/>
        <v>1209791.9894940001</v>
      </c>
      <c r="AC27" s="60">
        <f t="shared" si="8"/>
        <v>356924.37</v>
      </c>
      <c r="AD27" s="59">
        <f t="shared" si="75"/>
        <v>1179920.582346</v>
      </c>
      <c r="AE27" s="60">
        <f t="shared" si="9"/>
        <v>347888.31</v>
      </c>
      <c r="AF27" s="59">
        <f t="shared" si="76"/>
        <v>1150049.1751979999</v>
      </c>
      <c r="AG27" s="60">
        <f t="shared" si="10"/>
        <v>338852.25</v>
      </c>
      <c r="AH27" s="59">
        <f t="shared" si="77"/>
        <v>1120177.7680500001</v>
      </c>
      <c r="AI27" s="55">
        <f t="shared" si="11"/>
        <v>329816.19</v>
      </c>
      <c r="AJ27" s="59">
        <f t="shared" si="78"/>
        <v>1090306.360902</v>
      </c>
      <c r="AK27" s="60">
        <f t="shared" si="12"/>
        <v>320780.12999999995</v>
      </c>
      <c r="AL27" s="59">
        <f t="shared" si="79"/>
        <v>1060434.9537539999</v>
      </c>
      <c r="AM27" s="60">
        <f t="shared" si="13"/>
        <v>311744.06999999995</v>
      </c>
      <c r="AN27" s="59">
        <f t="shared" si="80"/>
        <v>1030563.5466059998</v>
      </c>
      <c r="AO27" s="60">
        <f t="shared" si="14"/>
        <v>302708.00999999995</v>
      </c>
      <c r="AP27" s="59">
        <f t="shared" si="81"/>
        <v>1000692.1394579998</v>
      </c>
      <c r="AQ27" s="60">
        <f t="shared" si="15"/>
        <v>293671.94999999995</v>
      </c>
      <c r="AR27" s="59">
        <f t="shared" si="82"/>
        <v>970820.73230999988</v>
      </c>
      <c r="AS27" s="55">
        <f t="shared" si="16"/>
        <v>284635.88999999996</v>
      </c>
      <c r="AT27" s="59">
        <f t="shared" si="83"/>
        <v>940949.32516199991</v>
      </c>
      <c r="AU27" s="60">
        <f t="shared" si="17"/>
        <v>275599.82999999996</v>
      </c>
      <c r="AV27" s="59">
        <f t="shared" si="84"/>
        <v>911077.91801399994</v>
      </c>
      <c r="AW27" s="60">
        <f t="shared" si="18"/>
        <v>266563.7699999999</v>
      </c>
      <c r="AX27" s="59">
        <f t="shared" si="85"/>
        <v>881206.51086599973</v>
      </c>
      <c r="AY27" s="55">
        <f t="shared" si="19"/>
        <v>257527.7099999999</v>
      </c>
      <c r="AZ27" s="59">
        <f t="shared" si="86"/>
        <v>851335.10371799965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316262.10000000003</v>
      </c>
      <c r="CA27" s="55">
        <f t="shared" si="89"/>
        <v>316262.10000000003</v>
      </c>
      <c r="CB27" s="59">
        <f t="shared" si="90"/>
        <v>1045499.2501800001</v>
      </c>
      <c r="CC27" s="55">
        <f t="shared" si="91"/>
        <v>306774.23700000002</v>
      </c>
      <c r="CD27" s="59">
        <f t="shared" si="92"/>
        <v>1014134.2726746001</v>
      </c>
      <c r="CE27" s="55">
        <f t="shared" si="93"/>
        <v>300448.995</v>
      </c>
      <c r="CF27" s="59">
        <f t="shared" si="94"/>
        <v>993224.287671</v>
      </c>
      <c r="CG27" s="55">
        <f t="shared" si="21"/>
        <v>294123.75300000003</v>
      </c>
      <c r="CH27" s="59">
        <f t="shared" si="95"/>
        <v>972314.3026674001</v>
      </c>
      <c r="CI27" s="57">
        <f t="shared" si="22"/>
        <v>287798.51100000006</v>
      </c>
      <c r="CJ27" s="59">
        <f t="shared" si="96"/>
        <v>951404.3176638002</v>
      </c>
      <c r="CK27" s="55">
        <f t="shared" si="23"/>
        <v>281473.26900000003</v>
      </c>
      <c r="CL27" s="59">
        <f t="shared" si="97"/>
        <v>930494.33266020007</v>
      </c>
      <c r="CM27" s="57">
        <f t="shared" si="24"/>
        <v>275148.027</v>
      </c>
      <c r="CN27" s="59">
        <f t="shared" si="98"/>
        <v>909584.34765660006</v>
      </c>
      <c r="CO27" s="60">
        <f t="shared" si="25"/>
        <v>268822.78500000003</v>
      </c>
      <c r="CP27" s="59">
        <f t="shared" si="99"/>
        <v>888674.36265300016</v>
      </c>
      <c r="CQ27" s="57">
        <f t="shared" si="26"/>
        <v>262497.54300000001</v>
      </c>
      <c r="CR27" s="59">
        <f t="shared" si="100"/>
        <v>867764.37764940003</v>
      </c>
      <c r="CS27" s="55">
        <f t="shared" si="27"/>
        <v>256172.30100000001</v>
      </c>
      <c r="CT27" s="59">
        <f t="shared" si="101"/>
        <v>846854.39264580002</v>
      </c>
      <c r="CU27" s="60">
        <f t="shared" si="28"/>
        <v>249847.05900000001</v>
      </c>
      <c r="CV27" s="59">
        <f t="shared" si="102"/>
        <v>825944.40764220001</v>
      </c>
      <c r="CW27" s="60">
        <f t="shared" si="29"/>
        <v>243521.81700000001</v>
      </c>
      <c r="CX27" s="59">
        <f t="shared" si="103"/>
        <v>805034.42263859999</v>
      </c>
      <c r="CY27" s="60">
        <f t="shared" si="30"/>
        <v>237196.57499999998</v>
      </c>
      <c r="CZ27" s="59">
        <f t="shared" si="104"/>
        <v>784124.43763499998</v>
      </c>
      <c r="DA27" s="55">
        <f t="shared" si="31"/>
        <v>230871.33299999998</v>
      </c>
      <c r="DB27" s="59">
        <f t="shared" si="105"/>
        <v>763214.45263139997</v>
      </c>
      <c r="DC27" s="60">
        <f t="shared" si="32"/>
        <v>224546.09099999999</v>
      </c>
      <c r="DD27" s="59">
        <f t="shared" si="106"/>
        <v>742304.46762779995</v>
      </c>
      <c r="DE27" s="60">
        <f t="shared" si="33"/>
        <v>218220.84899999996</v>
      </c>
      <c r="DF27" s="59">
        <f t="shared" si="107"/>
        <v>721394.48262419982</v>
      </c>
      <c r="DG27" s="60">
        <f t="shared" si="34"/>
        <v>211895.60699999996</v>
      </c>
      <c r="DH27" s="59">
        <f t="shared" si="108"/>
        <v>700484.49762059993</v>
      </c>
      <c r="DI27" s="60">
        <f t="shared" si="35"/>
        <v>205570.36499999996</v>
      </c>
      <c r="DJ27" s="59">
        <f t="shared" si="109"/>
        <v>679574.51261699991</v>
      </c>
      <c r="DK27" s="55">
        <f t="shared" si="36"/>
        <v>199245.12299999996</v>
      </c>
      <c r="DL27" s="59">
        <f t="shared" si="110"/>
        <v>658664.5276133999</v>
      </c>
      <c r="DM27" s="60">
        <f t="shared" si="37"/>
        <v>192919.88099999994</v>
      </c>
      <c r="DN27" s="59">
        <f t="shared" si="111"/>
        <v>637754.54260979977</v>
      </c>
      <c r="DO27" s="60">
        <f t="shared" si="38"/>
        <v>186594.63899999994</v>
      </c>
      <c r="DP27" s="59">
        <f t="shared" si="112"/>
        <v>616844.55760619976</v>
      </c>
      <c r="DQ27" s="55">
        <f t="shared" si="39"/>
        <v>180269.39699999994</v>
      </c>
      <c r="DR27" s="59">
        <f t="shared" si="113"/>
        <v>595934.57260259986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221383.47</v>
      </c>
      <c r="ES27" s="55">
        <f t="shared" si="116"/>
        <v>221383.47</v>
      </c>
      <c r="ET27" s="59">
        <f t="shared" si="117"/>
        <v>731849.475126</v>
      </c>
      <c r="EU27" s="55">
        <f t="shared" si="118"/>
        <v>214741.96589999998</v>
      </c>
      <c r="EV27" s="59">
        <f t="shared" si="119"/>
        <v>709893.9908722199</v>
      </c>
      <c r="EW27" s="55">
        <f t="shared" si="120"/>
        <v>210314.2965</v>
      </c>
      <c r="EX27" s="59">
        <f t="shared" si="121"/>
        <v>695257.00136969995</v>
      </c>
      <c r="EY27" s="55">
        <f t="shared" si="41"/>
        <v>205886.62710000001</v>
      </c>
      <c r="EZ27" s="59">
        <f t="shared" si="122"/>
        <v>680620.01186718</v>
      </c>
      <c r="FA27" s="57">
        <f t="shared" si="42"/>
        <v>201458.9577</v>
      </c>
      <c r="FB27" s="59">
        <f t="shared" si="123"/>
        <v>665983.02236466005</v>
      </c>
      <c r="FC27" s="55">
        <f t="shared" si="43"/>
        <v>197031.28830000001</v>
      </c>
      <c r="FD27" s="59">
        <f t="shared" si="124"/>
        <v>651346.0328621401</v>
      </c>
      <c r="FE27" s="57">
        <f t="shared" si="44"/>
        <v>192603.6189</v>
      </c>
      <c r="FF27" s="59">
        <f t="shared" si="125"/>
        <v>636709.04335962003</v>
      </c>
      <c r="FG27" s="60">
        <f t="shared" si="45"/>
        <v>188175.94949999999</v>
      </c>
      <c r="FH27" s="59">
        <f t="shared" si="126"/>
        <v>622072.05385709996</v>
      </c>
      <c r="FI27" s="57">
        <f t="shared" si="46"/>
        <v>183748.2801</v>
      </c>
      <c r="FJ27" s="59">
        <f t="shared" si="127"/>
        <v>607435.06435458001</v>
      </c>
      <c r="FK27" s="55">
        <f t="shared" si="47"/>
        <v>179320.61069999999</v>
      </c>
      <c r="FL27" s="59">
        <f t="shared" si="128"/>
        <v>592798.07485205994</v>
      </c>
      <c r="FM27" s="60">
        <f t="shared" si="48"/>
        <v>174892.94129999998</v>
      </c>
      <c r="FN27" s="59">
        <f t="shared" si="129"/>
        <v>578161.08534953999</v>
      </c>
      <c r="FO27" s="60">
        <f t="shared" si="49"/>
        <v>170465.27189999999</v>
      </c>
      <c r="FP27" s="59">
        <f t="shared" si="130"/>
        <v>563524.09584702004</v>
      </c>
      <c r="FQ27" s="60">
        <f t="shared" si="50"/>
        <v>166037.60249999998</v>
      </c>
      <c r="FR27" s="59">
        <f t="shared" si="131"/>
        <v>548887.10634449997</v>
      </c>
      <c r="FS27" s="55">
        <f t="shared" si="51"/>
        <v>161609.93309999997</v>
      </c>
      <c r="FT27" s="59">
        <f t="shared" si="132"/>
        <v>534250.11684197991</v>
      </c>
      <c r="FU27" s="60">
        <f t="shared" si="52"/>
        <v>157182.26369999998</v>
      </c>
      <c r="FV27" s="59">
        <f t="shared" si="133"/>
        <v>519613.12733945996</v>
      </c>
      <c r="FW27" s="60">
        <f t="shared" si="53"/>
        <v>152754.59429999997</v>
      </c>
      <c r="FX27" s="59">
        <f t="shared" si="134"/>
        <v>504976.13783693989</v>
      </c>
      <c r="FY27" s="60">
        <f t="shared" si="54"/>
        <v>148326.92489999995</v>
      </c>
      <c r="FZ27" s="59">
        <f t="shared" si="135"/>
        <v>490339.14833441988</v>
      </c>
      <c r="GA27" s="60">
        <f t="shared" si="55"/>
        <v>143899.25549999997</v>
      </c>
      <c r="GB27" s="59">
        <f t="shared" si="136"/>
        <v>475702.15883189993</v>
      </c>
      <c r="GC27" s="55">
        <f t="shared" si="56"/>
        <v>139471.58609999996</v>
      </c>
      <c r="GD27" s="59">
        <f t="shared" si="137"/>
        <v>461065.16932937986</v>
      </c>
      <c r="GE27" s="60">
        <f t="shared" si="57"/>
        <v>135043.91669999994</v>
      </c>
      <c r="GF27" s="59">
        <f t="shared" si="138"/>
        <v>446428.17982685985</v>
      </c>
      <c r="GG27" s="60">
        <f t="shared" si="58"/>
        <v>130616.24729999994</v>
      </c>
      <c r="GH27" s="59">
        <f t="shared" si="139"/>
        <v>431791.19032433984</v>
      </c>
      <c r="GI27" s="55">
        <f t="shared" si="59"/>
        <v>126188.57789999995</v>
      </c>
      <c r="GJ27" s="59">
        <f t="shared" si="140"/>
        <v>417154.20082181983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1904300</v>
      </c>
      <c r="E28" s="44">
        <f>SUM(E18:E27)</f>
        <v>6295180</v>
      </c>
      <c r="H28" s="55">
        <f t="shared" si="61"/>
        <v>2094730.0000000002</v>
      </c>
      <c r="I28" s="55">
        <f t="shared" si="62"/>
        <v>2094730.0000000002</v>
      </c>
      <c r="J28" s="59">
        <f t="shared" si="63"/>
        <v>6924758.4340000013</v>
      </c>
      <c r="K28" s="55">
        <f t="shared" si="64"/>
        <v>2031888.1</v>
      </c>
      <c r="L28" s="59">
        <f t="shared" si="65"/>
        <v>6717015.6809800006</v>
      </c>
      <c r="M28" s="55">
        <f t="shared" si="66"/>
        <v>1989993.5000000002</v>
      </c>
      <c r="N28" s="59">
        <f t="shared" si="67"/>
        <v>6578520.5123000005</v>
      </c>
      <c r="O28" s="55">
        <f t="shared" si="1"/>
        <v>1948098.9000000004</v>
      </c>
      <c r="P28" s="59">
        <f t="shared" si="68"/>
        <v>6440025.3436200013</v>
      </c>
      <c r="Q28" s="57">
        <f t="shared" si="2"/>
        <v>1906204.3000000003</v>
      </c>
      <c r="R28" s="59">
        <f t="shared" si="69"/>
        <v>6301530.1749400012</v>
      </c>
      <c r="S28" s="55">
        <f t="shared" si="3"/>
        <v>1864309.7000000002</v>
      </c>
      <c r="T28" s="59">
        <f t="shared" si="70"/>
        <v>6163035.0062600011</v>
      </c>
      <c r="U28" s="57">
        <f t="shared" si="4"/>
        <v>1822415.1</v>
      </c>
      <c r="V28" s="59">
        <f t="shared" si="71"/>
        <v>6024539.8375800001</v>
      </c>
      <c r="W28" s="60">
        <f t="shared" si="5"/>
        <v>1780520.5000000002</v>
      </c>
      <c r="X28" s="59">
        <f t="shared" si="72"/>
        <v>5886044.6689000009</v>
      </c>
      <c r="Y28" s="57">
        <f t="shared" si="6"/>
        <v>1738625.9000000001</v>
      </c>
      <c r="Z28" s="59">
        <f t="shared" si="73"/>
        <v>5747549.5002200007</v>
      </c>
      <c r="AA28" s="55">
        <f t="shared" si="7"/>
        <v>1696731.3</v>
      </c>
      <c r="AB28" s="59">
        <f t="shared" si="74"/>
        <v>5609054.3315400006</v>
      </c>
      <c r="AC28" s="60">
        <f t="shared" si="8"/>
        <v>1654836.7</v>
      </c>
      <c r="AD28" s="59">
        <f t="shared" si="75"/>
        <v>5470559.1628599996</v>
      </c>
      <c r="AE28" s="60">
        <f t="shared" si="9"/>
        <v>1612942.1</v>
      </c>
      <c r="AF28" s="59">
        <f t="shared" si="76"/>
        <v>5332063.9941800004</v>
      </c>
      <c r="AG28" s="60">
        <f t="shared" si="10"/>
        <v>1571047.5</v>
      </c>
      <c r="AH28" s="59">
        <f t="shared" si="77"/>
        <v>5193568.8255000003</v>
      </c>
      <c r="AI28" s="55">
        <f t="shared" si="11"/>
        <v>1529152.9</v>
      </c>
      <c r="AJ28" s="59">
        <f t="shared" si="78"/>
        <v>5055073.6568200001</v>
      </c>
      <c r="AK28" s="60">
        <f t="shared" si="12"/>
        <v>1487258.2999999998</v>
      </c>
      <c r="AL28" s="59">
        <f t="shared" si="79"/>
        <v>4916578.4881399991</v>
      </c>
      <c r="AM28" s="60">
        <f t="shared" si="13"/>
        <v>1445363.6999999997</v>
      </c>
      <c r="AN28" s="59">
        <f t="shared" si="80"/>
        <v>4778083.319459999</v>
      </c>
      <c r="AO28" s="60">
        <f t="shared" si="14"/>
        <v>1403469.0999999999</v>
      </c>
      <c r="AP28" s="59">
        <f t="shared" si="81"/>
        <v>4639588.1507799998</v>
      </c>
      <c r="AQ28" s="60">
        <f t="shared" si="15"/>
        <v>1361574.4999999998</v>
      </c>
      <c r="AR28" s="59">
        <f t="shared" si="82"/>
        <v>4501092.9820999997</v>
      </c>
      <c r="AS28" s="55">
        <f t="shared" si="16"/>
        <v>1319679.8999999997</v>
      </c>
      <c r="AT28" s="59">
        <f t="shared" si="83"/>
        <v>4362597.8134199986</v>
      </c>
      <c r="AU28" s="60">
        <f t="shared" si="17"/>
        <v>1277785.2999999996</v>
      </c>
      <c r="AV28" s="59">
        <f t="shared" si="84"/>
        <v>4224102.6447399985</v>
      </c>
      <c r="AW28" s="60">
        <f t="shared" si="18"/>
        <v>1235890.6999999997</v>
      </c>
      <c r="AX28" s="59">
        <f t="shared" si="85"/>
        <v>4085607.4760599993</v>
      </c>
      <c r="AY28" s="55">
        <f t="shared" si="19"/>
        <v>1193996.0999999996</v>
      </c>
      <c r="AZ28" s="59">
        <f t="shared" si="86"/>
        <v>3947112.3073799987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1811325.6700000002</v>
      </c>
      <c r="CA28" s="55">
        <f t="shared" si="89"/>
        <v>1811325.6700000002</v>
      </c>
      <c r="CB28" s="59">
        <f t="shared" si="90"/>
        <v>5987880.3998860009</v>
      </c>
      <c r="CC28" s="55">
        <f t="shared" si="91"/>
        <v>1756985.8999000001</v>
      </c>
      <c r="CD28" s="59">
        <f t="shared" si="92"/>
        <v>5808243.9878894202</v>
      </c>
      <c r="CE28" s="55">
        <f t="shared" si="93"/>
        <v>1720759.3865</v>
      </c>
      <c r="CF28" s="59">
        <f t="shared" si="94"/>
        <v>5688486.3798917001</v>
      </c>
      <c r="CG28" s="55">
        <f t="shared" si="21"/>
        <v>1684532.8731000002</v>
      </c>
      <c r="CH28" s="59">
        <f t="shared" si="95"/>
        <v>5568728.7718939809</v>
      </c>
      <c r="CI28" s="57">
        <f t="shared" si="22"/>
        <v>1648306.3597000001</v>
      </c>
      <c r="CJ28" s="59">
        <f t="shared" si="96"/>
        <v>5448971.1638962608</v>
      </c>
      <c r="CK28" s="55">
        <f t="shared" si="23"/>
        <v>1612079.8463000001</v>
      </c>
      <c r="CL28" s="59">
        <f t="shared" si="97"/>
        <v>5329213.5558985407</v>
      </c>
      <c r="CM28" s="57">
        <f t="shared" si="24"/>
        <v>1575853.3329</v>
      </c>
      <c r="CN28" s="59">
        <f t="shared" si="98"/>
        <v>5209455.9479008205</v>
      </c>
      <c r="CO28" s="60">
        <f t="shared" si="25"/>
        <v>1539626.8195</v>
      </c>
      <c r="CP28" s="59">
        <f t="shared" si="99"/>
        <v>5089698.3399031004</v>
      </c>
      <c r="CQ28" s="57">
        <f t="shared" si="26"/>
        <v>1503400.3061000002</v>
      </c>
      <c r="CR28" s="59">
        <f t="shared" si="100"/>
        <v>4969940.7319053803</v>
      </c>
      <c r="CS28" s="55">
        <f t="shared" si="27"/>
        <v>1467173.7927000001</v>
      </c>
      <c r="CT28" s="59">
        <f t="shared" si="101"/>
        <v>4850183.1239076601</v>
      </c>
      <c r="CU28" s="60">
        <f t="shared" si="28"/>
        <v>1430947.2793000001</v>
      </c>
      <c r="CV28" s="59">
        <f t="shared" si="102"/>
        <v>4730425.51590994</v>
      </c>
      <c r="CW28" s="60">
        <f t="shared" si="29"/>
        <v>1394720.7659</v>
      </c>
      <c r="CX28" s="59">
        <f t="shared" si="103"/>
        <v>4610667.9079122199</v>
      </c>
      <c r="CY28" s="60">
        <f t="shared" si="30"/>
        <v>1358494.2524999999</v>
      </c>
      <c r="CZ28" s="59">
        <f t="shared" si="104"/>
        <v>4490910.2999144997</v>
      </c>
      <c r="DA28" s="55">
        <f t="shared" si="31"/>
        <v>1322267.7390999999</v>
      </c>
      <c r="DB28" s="59">
        <f t="shared" si="105"/>
        <v>4371152.6919167796</v>
      </c>
      <c r="DC28" s="60">
        <f t="shared" si="32"/>
        <v>1286041.2256999998</v>
      </c>
      <c r="DD28" s="59">
        <f t="shared" si="106"/>
        <v>4251395.0839190595</v>
      </c>
      <c r="DE28" s="60">
        <f t="shared" si="33"/>
        <v>1249814.7122999998</v>
      </c>
      <c r="DF28" s="59">
        <f t="shared" si="107"/>
        <v>4131637.4759213394</v>
      </c>
      <c r="DG28" s="60">
        <f t="shared" si="34"/>
        <v>1213588.1988999997</v>
      </c>
      <c r="DH28" s="59">
        <f t="shared" si="108"/>
        <v>4011879.8679236192</v>
      </c>
      <c r="DI28" s="60">
        <f t="shared" si="35"/>
        <v>1177361.6854999997</v>
      </c>
      <c r="DJ28" s="59">
        <f t="shared" si="109"/>
        <v>3892122.2599258991</v>
      </c>
      <c r="DK28" s="55">
        <f t="shared" si="36"/>
        <v>1141135.1720999996</v>
      </c>
      <c r="DL28" s="59">
        <f t="shared" si="110"/>
        <v>3772364.651928179</v>
      </c>
      <c r="DM28" s="60">
        <f t="shared" si="37"/>
        <v>1104908.6586999996</v>
      </c>
      <c r="DN28" s="59">
        <f t="shared" si="111"/>
        <v>3652607.0439304588</v>
      </c>
      <c r="DO28" s="60">
        <f t="shared" si="38"/>
        <v>1068682.1452999997</v>
      </c>
      <c r="DP28" s="59">
        <f t="shared" si="112"/>
        <v>3532849.4359327392</v>
      </c>
      <c r="DQ28" s="55">
        <f t="shared" si="39"/>
        <v>1032455.6318999996</v>
      </c>
      <c r="DR28" s="59">
        <f t="shared" si="113"/>
        <v>3413091.8279350186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1581891.3187000006</v>
      </c>
      <c r="ES28" s="55">
        <f t="shared" si="116"/>
        <v>1581891.3187000006</v>
      </c>
      <c r="ET28" s="59">
        <f t="shared" si="117"/>
        <v>5229416.3213584619</v>
      </c>
      <c r="EU28" s="55">
        <f t="shared" si="118"/>
        <v>1534434.5791390005</v>
      </c>
      <c r="EV28" s="59">
        <f t="shared" si="119"/>
        <v>5072533.8317177081</v>
      </c>
      <c r="EW28" s="55">
        <f t="shared" si="120"/>
        <v>1502796.7527650006</v>
      </c>
      <c r="EX28" s="59">
        <f t="shared" si="121"/>
        <v>4967945.505290539</v>
      </c>
      <c r="EY28" s="55">
        <f t="shared" si="41"/>
        <v>1471158.9263910006</v>
      </c>
      <c r="EZ28" s="59">
        <f t="shared" si="122"/>
        <v>4863357.1788633699</v>
      </c>
      <c r="FA28" s="57">
        <f t="shared" si="42"/>
        <v>1439521.1000170007</v>
      </c>
      <c r="FB28" s="59">
        <f t="shared" si="123"/>
        <v>4758768.8524362007</v>
      </c>
      <c r="FC28" s="55">
        <f t="shared" si="43"/>
        <v>1407883.2736430005</v>
      </c>
      <c r="FD28" s="59">
        <f t="shared" si="124"/>
        <v>4654180.5260090316</v>
      </c>
      <c r="FE28" s="57">
        <f t="shared" si="44"/>
        <v>1376245.4472690006</v>
      </c>
      <c r="FF28" s="59">
        <f t="shared" si="125"/>
        <v>4549592.1995818624</v>
      </c>
      <c r="FG28" s="60">
        <f t="shared" si="45"/>
        <v>1344607.6208950004</v>
      </c>
      <c r="FH28" s="59">
        <f t="shared" si="126"/>
        <v>4445003.8731546924</v>
      </c>
      <c r="FI28" s="57">
        <f t="shared" si="46"/>
        <v>1312969.7945210005</v>
      </c>
      <c r="FJ28" s="59">
        <f t="shared" si="127"/>
        <v>4340415.5467275232</v>
      </c>
      <c r="FK28" s="55">
        <f t="shared" si="47"/>
        <v>1281331.9681470005</v>
      </c>
      <c r="FL28" s="59">
        <f t="shared" si="128"/>
        <v>4235827.2203003541</v>
      </c>
      <c r="FM28" s="60">
        <f t="shared" si="48"/>
        <v>1249694.1417730004</v>
      </c>
      <c r="FN28" s="59">
        <f t="shared" si="129"/>
        <v>4131238.8938731845</v>
      </c>
      <c r="FO28" s="60">
        <f t="shared" si="49"/>
        <v>1218056.3153990004</v>
      </c>
      <c r="FP28" s="59">
        <f t="shared" si="130"/>
        <v>4026650.5674460158</v>
      </c>
      <c r="FQ28" s="60">
        <f t="shared" si="50"/>
        <v>1186418.4890250002</v>
      </c>
      <c r="FR28" s="59">
        <f t="shared" si="131"/>
        <v>3922062.2410188457</v>
      </c>
      <c r="FS28" s="55">
        <f t="shared" si="51"/>
        <v>1154780.6626510003</v>
      </c>
      <c r="FT28" s="59">
        <f t="shared" si="132"/>
        <v>3817473.914591677</v>
      </c>
      <c r="FU28" s="60">
        <f t="shared" si="52"/>
        <v>1123142.8362770001</v>
      </c>
      <c r="FV28" s="59">
        <f t="shared" si="133"/>
        <v>3712885.5881645069</v>
      </c>
      <c r="FW28" s="60">
        <f t="shared" si="53"/>
        <v>1091505.0099030002</v>
      </c>
      <c r="FX28" s="59">
        <f t="shared" si="134"/>
        <v>3608297.2617373383</v>
      </c>
      <c r="FY28" s="60">
        <f t="shared" si="54"/>
        <v>1059867.183529</v>
      </c>
      <c r="FZ28" s="59">
        <f t="shared" si="135"/>
        <v>3503708.9353101682</v>
      </c>
      <c r="GA28" s="60">
        <f t="shared" si="55"/>
        <v>1028229.3571550001</v>
      </c>
      <c r="GB28" s="59">
        <f t="shared" si="136"/>
        <v>3399120.6088829995</v>
      </c>
      <c r="GC28" s="55">
        <f t="shared" si="56"/>
        <v>996591.53078100004</v>
      </c>
      <c r="GD28" s="59">
        <f t="shared" si="137"/>
        <v>3294532.2824558299</v>
      </c>
      <c r="GE28" s="60">
        <f t="shared" si="57"/>
        <v>964953.70440699998</v>
      </c>
      <c r="GF28" s="59">
        <f t="shared" si="138"/>
        <v>3189943.9560286608</v>
      </c>
      <c r="GG28" s="60">
        <f t="shared" si="58"/>
        <v>933315.87803299993</v>
      </c>
      <c r="GH28" s="59">
        <f t="shared" si="139"/>
        <v>3085355.6296014911</v>
      </c>
      <c r="GI28" s="55">
        <f t="shared" si="59"/>
        <v>901678.05165899999</v>
      </c>
      <c r="GJ28" s="59">
        <f t="shared" si="140"/>
        <v>2980767.303174322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273</v>
      </c>
      <c r="R29" s="61"/>
      <c r="S29" s="61" t="s">
        <v>274</v>
      </c>
      <c r="T29" s="62"/>
      <c r="U29" s="61" t="s">
        <v>275</v>
      </c>
      <c r="V29" s="63"/>
      <c r="W29" s="61" t="s">
        <v>276</v>
      </c>
      <c r="X29" s="62"/>
      <c r="Y29" s="61" t="s">
        <v>277</v>
      </c>
      <c r="Z29" s="61"/>
      <c r="AA29" s="61" t="s">
        <v>278</v>
      </c>
      <c r="AB29" s="63"/>
      <c r="AC29" s="61" t="s">
        <v>279</v>
      </c>
      <c r="AD29" s="63"/>
      <c r="AE29" s="61" t="s">
        <v>280</v>
      </c>
      <c r="AF29" s="63"/>
      <c r="AG29" s="61" t="s">
        <v>281</v>
      </c>
      <c r="AH29" s="61"/>
      <c r="AI29" s="61" t="s">
        <v>282</v>
      </c>
      <c r="AJ29" s="63"/>
      <c r="AK29" s="61" t="s">
        <v>283</v>
      </c>
      <c r="AL29" s="63"/>
      <c r="AM29" s="61" t="s">
        <v>284</v>
      </c>
      <c r="AN29" s="63"/>
      <c r="AO29" s="61" t="s">
        <v>285</v>
      </c>
      <c r="AP29" s="63"/>
      <c r="AQ29" s="61" t="s">
        <v>286</v>
      </c>
      <c r="AR29" s="61"/>
      <c r="AS29" s="61" t="s">
        <v>287</v>
      </c>
      <c r="AT29" s="63"/>
      <c r="AU29" s="61" t="s">
        <v>288</v>
      </c>
      <c r="AV29" s="63"/>
      <c r="AW29" s="61" t="s">
        <v>289</v>
      </c>
      <c r="AX29" s="61"/>
      <c r="AY29" s="61" t="s">
        <v>290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273</v>
      </c>
      <c r="CJ29" s="61"/>
      <c r="CK29" s="61" t="s">
        <v>274</v>
      </c>
      <c r="CL29" s="62"/>
      <c r="CM29" s="61" t="s">
        <v>275</v>
      </c>
      <c r="CN29" s="63"/>
      <c r="CO29" s="61" t="s">
        <v>276</v>
      </c>
      <c r="CP29" s="62"/>
      <c r="CQ29" s="61" t="s">
        <v>277</v>
      </c>
      <c r="CR29" s="61"/>
      <c r="CS29" s="61" t="s">
        <v>278</v>
      </c>
      <c r="CT29" s="63"/>
      <c r="CU29" s="61" t="s">
        <v>279</v>
      </c>
      <c r="CV29" s="63"/>
      <c r="CW29" s="61" t="s">
        <v>280</v>
      </c>
      <c r="CX29" s="63"/>
      <c r="CY29" s="61" t="s">
        <v>281</v>
      </c>
      <c r="CZ29" s="61"/>
      <c r="DA29" s="61" t="s">
        <v>282</v>
      </c>
      <c r="DB29" s="63"/>
      <c r="DC29" s="61" t="s">
        <v>283</v>
      </c>
      <c r="DD29" s="63"/>
      <c r="DE29" s="61" t="s">
        <v>284</v>
      </c>
      <c r="DF29" s="63"/>
      <c r="DG29" s="61" t="s">
        <v>285</v>
      </c>
      <c r="DH29" s="63"/>
      <c r="DI29" s="61" t="s">
        <v>286</v>
      </c>
      <c r="DJ29" s="61"/>
      <c r="DK29" s="61" t="s">
        <v>287</v>
      </c>
      <c r="DL29" s="63"/>
      <c r="DM29" s="61" t="s">
        <v>288</v>
      </c>
      <c r="DN29" s="63"/>
      <c r="DO29" s="61" t="s">
        <v>289</v>
      </c>
      <c r="DP29" s="61"/>
      <c r="DQ29" s="61" t="s">
        <v>290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273</v>
      </c>
      <c r="FB29" s="61"/>
      <c r="FC29" s="61" t="s">
        <v>274</v>
      </c>
      <c r="FD29" s="62"/>
      <c r="FE29" s="61" t="s">
        <v>275</v>
      </c>
      <c r="FF29" s="63"/>
      <c r="FG29" s="61" t="s">
        <v>276</v>
      </c>
      <c r="FH29" s="62"/>
      <c r="FI29" s="61" t="s">
        <v>277</v>
      </c>
      <c r="FJ29" s="61"/>
      <c r="FK29" s="61" t="s">
        <v>278</v>
      </c>
      <c r="FL29" s="63"/>
      <c r="FM29" s="61" t="s">
        <v>279</v>
      </c>
      <c r="FN29" s="63"/>
      <c r="FO29" s="61" t="s">
        <v>280</v>
      </c>
      <c r="FP29" s="63"/>
      <c r="FQ29" s="61" t="s">
        <v>281</v>
      </c>
      <c r="FR29" s="61"/>
      <c r="FS29" s="61" t="s">
        <v>282</v>
      </c>
      <c r="FT29" s="63"/>
      <c r="FU29" s="61" t="s">
        <v>283</v>
      </c>
      <c r="FV29" s="63"/>
      <c r="FW29" s="61" t="s">
        <v>284</v>
      </c>
      <c r="FX29" s="63"/>
      <c r="FY29" s="61" t="s">
        <v>285</v>
      </c>
      <c r="FZ29" s="63"/>
      <c r="GA29" s="61" t="s">
        <v>286</v>
      </c>
      <c r="GB29" s="61"/>
      <c r="GC29" s="61" t="s">
        <v>287</v>
      </c>
      <c r="GD29" s="63"/>
      <c r="GE29" s="61" t="s">
        <v>288</v>
      </c>
      <c r="GF29" s="63"/>
      <c r="GG29" s="61" t="s">
        <v>289</v>
      </c>
      <c r="GH29" s="61"/>
      <c r="GI29" s="61" t="s">
        <v>290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293</v>
      </c>
      <c r="D30" s="65" t="s">
        <v>271</v>
      </c>
      <c r="E30" s="65" t="s">
        <v>154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ref="H31" si="143">+D31*1.1</f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4">+BF31-0.02</f>
        <v>0.91</v>
      </c>
      <c r="BH31" s="55">
        <f t="shared" si="144"/>
        <v>0.89</v>
      </c>
      <c r="BI31" s="55">
        <f t="shared" si="144"/>
        <v>0.87</v>
      </c>
      <c r="BJ31" s="55">
        <f t="shared" si="144"/>
        <v>0.85</v>
      </c>
      <c r="BK31" s="55">
        <f t="shared" si="144"/>
        <v>0.83</v>
      </c>
      <c r="BL31" s="55">
        <f t="shared" si="144"/>
        <v>0.80999999999999994</v>
      </c>
      <c r="BM31" s="55">
        <f t="shared" si="144"/>
        <v>0.78999999999999992</v>
      </c>
      <c r="BN31" s="55">
        <f t="shared" si="144"/>
        <v>0.76999999999999991</v>
      </c>
      <c r="BO31" s="55">
        <f t="shared" si="144"/>
        <v>0.74999999999999989</v>
      </c>
      <c r="BP31" s="55">
        <f t="shared" si="144"/>
        <v>0.72999999999999987</v>
      </c>
      <c r="BQ31" s="55">
        <f t="shared" si="144"/>
        <v>0.70999999999999985</v>
      </c>
      <c r="BR31" s="55">
        <f t="shared" si="144"/>
        <v>0.68999999999999984</v>
      </c>
      <c r="BS31" s="55">
        <f t="shared" si="144"/>
        <v>0.66999999999999982</v>
      </c>
      <c r="BT31" s="55">
        <f t="shared" si="144"/>
        <v>0.6499999999999998</v>
      </c>
      <c r="BU31" s="55">
        <f t="shared" si="144"/>
        <v>0.62999999999999978</v>
      </c>
      <c r="BV31" s="55">
        <f t="shared" si="144"/>
        <v>0.60999999999999976</v>
      </c>
      <c r="BW31" s="55">
        <f t="shared" si="144"/>
        <v>0.58999999999999975</v>
      </c>
      <c r="BX31" s="55">
        <f t="shared" si="144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5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6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s="64" customFormat="1" x14ac:dyDescent="0.3">
      <c r="C32" s="65"/>
      <c r="D32" s="65"/>
      <c r="E32" s="65"/>
      <c r="G32" s="61"/>
      <c r="H32" s="61"/>
      <c r="I32" s="61"/>
      <c r="J32" s="61"/>
      <c r="K32" s="61"/>
      <c r="L32" s="61"/>
      <c r="M32" s="61"/>
      <c r="N32" s="61"/>
      <c r="O32" s="61"/>
      <c r="P32" s="62"/>
      <c r="Q32" s="61"/>
      <c r="R32" s="61"/>
      <c r="S32" s="61"/>
      <c r="T32" s="62"/>
      <c r="U32" s="61"/>
      <c r="V32" s="63"/>
      <c r="W32" s="61"/>
      <c r="X32" s="62"/>
      <c r="Y32" s="61"/>
      <c r="Z32" s="61"/>
      <c r="AA32" s="61"/>
      <c r="AB32" s="63"/>
      <c r="AC32" s="61"/>
      <c r="AD32" s="63"/>
      <c r="AE32" s="61"/>
      <c r="AF32" s="63"/>
      <c r="AG32" s="61"/>
      <c r="AH32" s="61"/>
      <c r="AI32" s="61"/>
      <c r="AJ32" s="63"/>
      <c r="AK32" s="61"/>
      <c r="AL32" s="63"/>
      <c r="AM32" s="61"/>
      <c r="AN32" s="63"/>
      <c r="AO32" s="61"/>
      <c r="AP32" s="63"/>
      <c r="AQ32" s="61"/>
      <c r="AR32" s="61"/>
      <c r="AS32" s="61"/>
      <c r="AT32" s="63"/>
      <c r="AU32" s="61"/>
      <c r="AV32" s="63"/>
      <c r="AW32" s="61"/>
      <c r="AX32" s="61"/>
      <c r="AY32" s="61"/>
      <c r="AZ32" s="61"/>
      <c r="BA32" s="61"/>
      <c r="BB32" s="61"/>
      <c r="BC32" s="61">
        <v>1</v>
      </c>
      <c r="BD32" s="61">
        <v>0.97</v>
      </c>
      <c r="BE32" s="61">
        <v>0.95</v>
      </c>
      <c r="BF32" s="61">
        <v>0.93</v>
      </c>
      <c r="BG32" s="61">
        <f t="shared" ref="BG32:BV33" si="147">+BF32-0.02</f>
        <v>0.91</v>
      </c>
      <c r="BH32" s="61">
        <f t="shared" si="147"/>
        <v>0.89</v>
      </c>
      <c r="BI32" s="61">
        <f t="shared" si="147"/>
        <v>0.87</v>
      </c>
      <c r="BJ32" s="61">
        <f t="shared" si="147"/>
        <v>0.85</v>
      </c>
      <c r="BK32" s="61">
        <f t="shared" si="147"/>
        <v>0.83</v>
      </c>
      <c r="BL32" s="61">
        <f t="shared" si="147"/>
        <v>0.80999999999999994</v>
      </c>
      <c r="BM32" s="61">
        <f t="shared" si="147"/>
        <v>0.78999999999999992</v>
      </c>
      <c r="BN32" s="61">
        <f t="shared" si="147"/>
        <v>0.76999999999999991</v>
      </c>
      <c r="BO32" s="61">
        <f t="shared" si="147"/>
        <v>0.74999999999999989</v>
      </c>
      <c r="BP32" s="61">
        <f t="shared" si="147"/>
        <v>0.72999999999999987</v>
      </c>
      <c r="BQ32" s="61">
        <f t="shared" si="147"/>
        <v>0.70999999999999985</v>
      </c>
      <c r="BR32" s="61">
        <f t="shared" si="147"/>
        <v>0.68999999999999984</v>
      </c>
      <c r="BS32" s="61">
        <f t="shared" si="147"/>
        <v>0.66999999999999982</v>
      </c>
      <c r="BT32" s="61">
        <f t="shared" si="147"/>
        <v>0.6499999999999998</v>
      </c>
      <c r="BU32" s="61">
        <f t="shared" si="147"/>
        <v>0.62999999999999978</v>
      </c>
      <c r="BV32" s="61">
        <f t="shared" si="147"/>
        <v>0.60999999999999976</v>
      </c>
      <c r="BW32" s="61">
        <f t="shared" ref="BW32:BX33" si="148">+BV32-0.02</f>
        <v>0.58999999999999975</v>
      </c>
      <c r="BX32" s="61">
        <f t="shared" si="148"/>
        <v>0.56999999999999973</v>
      </c>
      <c r="BY32" s="61"/>
      <c r="BZ32" s="61">
        <f t="shared" si="88"/>
        <v>0</v>
      </c>
      <c r="CA32" s="61"/>
      <c r="CB32" s="61"/>
      <c r="CC32" s="61"/>
      <c r="CD32" s="61"/>
      <c r="CE32" s="61"/>
      <c r="CF32" s="61"/>
      <c r="CG32" s="61"/>
      <c r="CH32" s="62"/>
      <c r="CI32" s="61"/>
      <c r="CJ32" s="61"/>
      <c r="CK32" s="61"/>
      <c r="CL32" s="62"/>
      <c r="CM32" s="61"/>
      <c r="CN32" s="63"/>
      <c r="CO32" s="61"/>
      <c r="CP32" s="62"/>
      <c r="CQ32" s="61"/>
      <c r="CR32" s="61"/>
      <c r="CS32" s="61"/>
      <c r="CT32" s="63"/>
      <c r="CU32" s="61"/>
      <c r="CV32" s="63"/>
      <c r="CW32" s="61"/>
      <c r="CX32" s="63"/>
      <c r="CY32" s="61"/>
      <c r="CZ32" s="61"/>
      <c r="DA32" s="61"/>
      <c r="DB32" s="63"/>
      <c r="DC32" s="61"/>
      <c r="DD32" s="63"/>
      <c r="DE32" s="61"/>
      <c r="DF32" s="63"/>
      <c r="DG32" s="61"/>
      <c r="DH32" s="63"/>
      <c r="DI32" s="61"/>
      <c r="DJ32" s="61"/>
      <c r="DK32" s="61"/>
      <c r="DL32" s="63"/>
      <c r="DM32" s="61"/>
      <c r="DN32" s="63"/>
      <c r="DO32" s="61"/>
      <c r="DP32" s="61"/>
      <c r="DQ32" s="61"/>
      <c r="DR32" s="61"/>
      <c r="DS32" s="61"/>
      <c r="DT32" s="61"/>
      <c r="DU32" s="61">
        <v>1</v>
      </c>
      <c r="DV32" s="61">
        <v>0.97</v>
      </c>
      <c r="DW32" s="61">
        <v>0.95</v>
      </c>
      <c r="DX32" s="61">
        <v>0.93</v>
      </c>
      <c r="DY32" s="61">
        <f t="shared" ref="DY32:EN33" si="149">+DX32-0.02</f>
        <v>0.91</v>
      </c>
      <c r="DZ32" s="61">
        <f t="shared" si="149"/>
        <v>0.89</v>
      </c>
      <c r="EA32" s="61">
        <f t="shared" si="149"/>
        <v>0.87</v>
      </c>
      <c r="EB32" s="61">
        <f t="shared" si="149"/>
        <v>0.85</v>
      </c>
      <c r="EC32" s="61">
        <f t="shared" si="149"/>
        <v>0.83</v>
      </c>
      <c r="ED32" s="61">
        <f t="shared" si="149"/>
        <v>0.80999999999999994</v>
      </c>
      <c r="EE32" s="61">
        <f t="shared" si="149"/>
        <v>0.78999999999999992</v>
      </c>
      <c r="EF32" s="61">
        <f t="shared" si="149"/>
        <v>0.76999999999999991</v>
      </c>
      <c r="EG32" s="61">
        <f t="shared" si="149"/>
        <v>0.74999999999999989</v>
      </c>
      <c r="EH32" s="61">
        <f t="shared" si="149"/>
        <v>0.72999999999999987</v>
      </c>
      <c r="EI32" s="61">
        <f t="shared" si="149"/>
        <v>0.70999999999999985</v>
      </c>
      <c r="EJ32" s="61">
        <f t="shared" si="149"/>
        <v>0.68999999999999984</v>
      </c>
      <c r="EK32" s="61">
        <f t="shared" si="149"/>
        <v>0.66999999999999982</v>
      </c>
      <c r="EL32" s="61">
        <f t="shared" si="149"/>
        <v>0.6499999999999998</v>
      </c>
      <c r="EM32" s="61">
        <f t="shared" si="149"/>
        <v>0.62999999999999978</v>
      </c>
      <c r="EN32" s="61">
        <f t="shared" si="149"/>
        <v>0.60999999999999976</v>
      </c>
      <c r="EO32" s="61">
        <f t="shared" ref="EO32:EP33" si="150">+EN32-0.02</f>
        <v>0.58999999999999975</v>
      </c>
      <c r="EP32" s="64">
        <f t="shared" si="150"/>
        <v>0.56999999999999973</v>
      </c>
      <c r="EQ32" s="61"/>
      <c r="ER32" s="61">
        <f t="shared" si="142"/>
        <v>0</v>
      </c>
      <c r="ES32" s="61"/>
      <c r="ET32" s="61"/>
      <c r="EU32" s="61"/>
      <c r="EV32" s="61"/>
      <c r="EW32" s="61"/>
      <c r="EX32" s="61"/>
      <c r="EY32" s="61"/>
      <c r="EZ32" s="62"/>
      <c r="FA32" s="61"/>
      <c r="FB32" s="61"/>
      <c r="FC32" s="61"/>
      <c r="FD32" s="62"/>
      <c r="FE32" s="61"/>
      <c r="FF32" s="63"/>
      <c r="FG32" s="61"/>
      <c r="FH32" s="62"/>
      <c r="FI32" s="61"/>
      <c r="FJ32" s="61"/>
      <c r="FK32" s="61"/>
      <c r="FL32" s="63"/>
      <c r="FM32" s="61"/>
      <c r="FN32" s="63"/>
      <c r="FO32" s="61"/>
      <c r="FP32" s="63"/>
      <c r="FQ32" s="61"/>
      <c r="FR32" s="61"/>
      <c r="FS32" s="61"/>
      <c r="FT32" s="63"/>
      <c r="FU32" s="61"/>
      <c r="FV32" s="63"/>
      <c r="FW32" s="61"/>
      <c r="FX32" s="63"/>
      <c r="FY32" s="61"/>
      <c r="FZ32" s="63"/>
      <c r="GA32" s="61"/>
      <c r="GB32" s="61"/>
      <c r="GC32" s="61"/>
      <c r="GD32" s="63"/>
      <c r="GE32" s="61"/>
      <c r="GF32" s="63"/>
      <c r="GG32" s="61"/>
      <c r="GH32" s="61"/>
      <c r="GI32" s="61"/>
      <c r="GJ32" s="61"/>
      <c r="GK32" s="61"/>
      <c r="GL32" s="61"/>
      <c r="GM32" s="61">
        <v>1</v>
      </c>
      <c r="GN32" s="61">
        <v>0.97</v>
      </c>
      <c r="GO32" s="61">
        <v>0.95</v>
      </c>
      <c r="GP32" s="61">
        <v>0.93</v>
      </c>
      <c r="GQ32" s="61">
        <f t="shared" ref="GQ32:HF33" si="151">+GP32-0.02</f>
        <v>0.91</v>
      </c>
      <c r="GR32" s="61">
        <f t="shared" si="151"/>
        <v>0.89</v>
      </c>
      <c r="GS32" s="61">
        <f t="shared" si="151"/>
        <v>0.87</v>
      </c>
      <c r="GT32" s="61">
        <f t="shared" si="151"/>
        <v>0.85</v>
      </c>
      <c r="GU32" s="61">
        <f t="shared" si="151"/>
        <v>0.83</v>
      </c>
      <c r="GV32" s="61">
        <f t="shared" si="151"/>
        <v>0.80999999999999994</v>
      </c>
      <c r="GW32" s="61">
        <f t="shared" si="151"/>
        <v>0.78999999999999992</v>
      </c>
      <c r="GX32" s="61">
        <f t="shared" si="151"/>
        <v>0.76999999999999991</v>
      </c>
      <c r="GY32" s="61">
        <f t="shared" si="151"/>
        <v>0.74999999999999989</v>
      </c>
      <c r="GZ32" s="61">
        <f t="shared" si="151"/>
        <v>0.72999999999999987</v>
      </c>
      <c r="HA32" s="61">
        <f t="shared" si="151"/>
        <v>0.70999999999999985</v>
      </c>
      <c r="HB32" s="61">
        <f t="shared" si="151"/>
        <v>0.68999999999999984</v>
      </c>
      <c r="HC32" s="61">
        <f t="shared" si="151"/>
        <v>0.66999999999999982</v>
      </c>
      <c r="HD32" s="61">
        <f t="shared" si="151"/>
        <v>0.6499999999999998</v>
      </c>
      <c r="HE32" s="61">
        <f t="shared" si="151"/>
        <v>0.62999999999999978</v>
      </c>
      <c r="HF32" s="61">
        <f t="shared" si="151"/>
        <v>0.60999999999999976</v>
      </c>
      <c r="HG32" s="61">
        <f t="shared" ref="HG32:HH33" si="152">+HF32-0.02</f>
        <v>0.58999999999999975</v>
      </c>
      <c r="HH32" s="64">
        <f t="shared" si="152"/>
        <v>0.56999999999999973</v>
      </c>
    </row>
    <row r="33" spans="1:216" s="64" customFormat="1" ht="17.25" thickBot="1" x14ac:dyDescent="0.35">
      <c r="B33" s="64" t="s">
        <v>314</v>
      </c>
      <c r="C33" s="64" t="s">
        <v>293</v>
      </c>
      <c r="D33" s="65" t="s">
        <v>292</v>
      </c>
      <c r="E33" s="65" t="s">
        <v>315</v>
      </c>
      <c r="G33" s="61"/>
      <c r="H33" s="61"/>
      <c r="I33" s="61"/>
      <c r="J33" s="61"/>
      <c r="K33" s="61"/>
      <c r="L33" s="61"/>
      <c r="M33" s="61"/>
      <c r="N33" s="61"/>
      <c r="O33" s="61"/>
      <c r="P33" s="62"/>
      <c r="Q33" s="61"/>
      <c r="R33" s="61"/>
      <c r="S33" s="61"/>
      <c r="T33" s="62"/>
      <c r="U33" s="61"/>
      <c r="V33" s="63"/>
      <c r="W33" s="61"/>
      <c r="X33" s="62"/>
      <c r="Y33" s="61"/>
      <c r="Z33" s="61"/>
      <c r="AA33" s="61"/>
      <c r="AB33" s="63"/>
      <c r="AC33" s="61"/>
      <c r="AD33" s="63"/>
      <c r="AE33" s="61"/>
      <c r="AF33" s="63"/>
      <c r="AG33" s="61"/>
      <c r="AH33" s="61"/>
      <c r="AI33" s="61"/>
      <c r="AJ33" s="63"/>
      <c r="AK33" s="61"/>
      <c r="AL33" s="63"/>
      <c r="AM33" s="61"/>
      <c r="AN33" s="63"/>
      <c r="AO33" s="61"/>
      <c r="AP33" s="63"/>
      <c r="AQ33" s="61"/>
      <c r="AR33" s="61"/>
      <c r="AS33" s="61"/>
      <c r="AT33" s="63"/>
      <c r="AU33" s="61"/>
      <c r="AV33" s="63"/>
      <c r="AW33" s="61"/>
      <c r="AX33" s="61"/>
      <c r="AY33" s="61"/>
      <c r="AZ33" s="61"/>
      <c r="BA33" s="61"/>
      <c r="BB33" s="61"/>
      <c r="BC33" s="61">
        <v>1</v>
      </c>
      <c r="BD33" s="61">
        <v>0.97</v>
      </c>
      <c r="BE33" s="61">
        <v>0.95</v>
      </c>
      <c r="BF33" s="61">
        <v>0.93</v>
      </c>
      <c r="BG33" s="61">
        <f t="shared" si="147"/>
        <v>0.91</v>
      </c>
      <c r="BH33" s="61">
        <f t="shared" si="147"/>
        <v>0.89</v>
      </c>
      <c r="BI33" s="61">
        <f t="shared" si="147"/>
        <v>0.87</v>
      </c>
      <c r="BJ33" s="61">
        <f t="shared" si="147"/>
        <v>0.85</v>
      </c>
      <c r="BK33" s="61">
        <f t="shared" si="147"/>
        <v>0.83</v>
      </c>
      <c r="BL33" s="61">
        <f t="shared" si="147"/>
        <v>0.80999999999999994</v>
      </c>
      <c r="BM33" s="61">
        <f t="shared" si="147"/>
        <v>0.78999999999999992</v>
      </c>
      <c r="BN33" s="61">
        <f t="shared" si="147"/>
        <v>0.76999999999999991</v>
      </c>
      <c r="BO33" s="61">
        <f t="shared" si="147"/>
        <v>0.74999999999999989</v>
      </c>
      <c r="BP33" s="61">
        <f t="shared" si="147"/>
        <v>0.72999999999999987</v>
      </c>
      <c r="BQ33" s="61">
        <f t="shared" si="147"/>
        <v>0.70999999999999985</v>
      </c>
      <c r="BR33" s="61">
        <f t="shared" si="147"/>
        <v>0.68999999999999984</v>
      </c>
      <c r="BS33" s="61">
        <f t="shared" si="147"/>
        <v>0.66999999999999982</v>
      </c>
      <c r="BT33" s="61">
        <f t="shared" si="147"/>
        <v>0.6499999999999998</v>
      </c>
      <c r="BU33" s="61">
        <f t="shared" si="147"/>
        <v>0.62999999999999978</v>
      </c>
      <c r="BV33" s="61">
        <f t="shared" si="147"/>
        <v>0.60999999999999976</v>
      </c>
      <c r="BW33" s="61">
        <f t="shared" si="148"/>
        <v>0.58999999999999975</v>
      </c>
      <c r="BX33" s="61">
        <f t="shared" si="148"/>
        <v>0.56999999999999973</v>
      </c>
      <c r="BY33" s="61"/>
      <c r="BZ33" s="61">
        <f t="shared" si="88"/>
        <v>0</v>
      </c>
      <c r="CA33" s="61"/>
      <c r="CB33" s="61"/>
      <c r="CC33" s="61"/>
      <c r="CD33" s="61"/>
      <c r="CE33" s="61"/>
      <c r="CF33" s="61"/>
      <c r="CG33" s="61"/>
      <c r="CH33" s="62"/>
      <c r="CI33" s="61"/>
      <c r="CJ33" s="61"/>
      <c r="CK33" s="61"/>
      <c r="CL33" s="62"/>
      <c r="CM33" s="61"/>
      <c r="CN33" s="63"/>
      <c r="CO33" s="61"/>
      <c r="CP33" s="62"/>
      <c r="CQ33" s="61"/>
      <c r="CR33" s="61"/>
      <c r="CS33" s="61"/>
      <c r="CT33" s="63"/>
      <c r="CU33" s="61"/>
      <c r="CV33" s="63"/>
      <c r="CW33" s="61"/>
      <c r="CX33" s="63"/>
      <c r="CY33" s="61"/>
      <c r="CZ33" s="61"/>
      <c r="DA33" s="61"/>
      <c r="DB33" s="63"/>
      <c r="DC33" s="61"/>
      <c r="DD33" s="63"/>
      <c r="DE33" s="61"/>
      <c r="DF33" s="63"/>
      <c r="DG33" s="61"/>
      <c r="DH33" s="63"/>
      <c r="DI33" s="61"/>
      <c r="DJ33" s="61"/>
      <c r="DK33" s="61"/>
      <c r="DL33" s="63"/>
      <c r="DM33" s="61"/>
      <c r="DN33" s="63"/>
      <c r="DO33" s="61"/>
      <c r="DP33" s="61"/>
      <c r="DQ33" s="61"/>
      <c r="DR33" s="61"/>
      <c r="DS33" s="61"/>
      <c r="DT33" s="61"/>
      <c r="DU33" s="61">
        <v>1</v>
      </c>
      <c r="DV33" s="61">
        <v>0.97</v>
      </c>
      <c r="DW33" s="61">
        <v>0.95</v>
      </c>
      <c r="DX33" s="61">
        <v>0.93</v>
      </c>
      <c r="DY33" s="61">
        <f t="shared" si="149"/>
        <v>0.91</v>
      </c>
      <c r="DZ33" s="61">
        <f t="shared" si="149"/>
        <v>0.89</v>
      </c>
      <c r="EA33" s="61">
        <f t="shared" si="149"/>
        <v>0.87</v>
      </c>
      <c r="EB33" s="61">
        <f t="shared" si="149"/>
        <v>0.85</v>
      </c>
      <c r="EC33" s="61">
        <f t="shared" si="149"/>
        <v>0.83</v>
      </c>
      <c r="ED33" s="61">
        <f t="shared" si="149"/>
        <v>0.80999999999999994</v>
      </c>
      <c r="EE33" s="61">
        <f t="shared" si="149"/>
        <v>0.78999999999999992</v>
      </c>
      <c r="EF33" s="61">
        <f t="shared" si="149"/>
        <v>0.76999999999999991</v>
      </c>
      <c r="EG33" s="61">
        <f t="shared" si="149"/>
        <v>0.74999999999999989</v>
      </c>
      <c r="EH33" s="61">
        <f t="shared" si="149"/>
        <v>0.72999999999999987</v>
      </c>
      <c r="EI33" s="61">
        <f t="shared" si="149"/>
        <v>0.70999999999999985</v>
      </c>
      <c r="EJ33" s="61">
        <f t="shared" si="149"/>
        <v>0.68999999999999984</v>
      </c>
      <c r="EK33" s="61">
        <f t="shared" si="149"/>
        <v>0.66999999999999982</v>
      </c>
      <c r="EL33" s="61">
        <f t="shared" si="149"/>
        <v>0.6499999999999998</v>
      </c>
      <c r="EM33" s="61">
        <f t="shared" si="149"/>
        <v>0.62999999999999978</v>
      </c>
      <c r="EN33" s="61">
        <f t="shared" si="149"/>
        <v>0.60999999999999976</v>
      </c>
      <c r="EO33" s="61">
        <f t="shared" si="150"/>
        <v>0.58999999999999975</v>
      </c>
      <c r="EP33" s="64">
        <f t="shared" si="150"/>
        <v>0.56999999999999973</v>
      </c>
      <c r="EQ33" s="61"/>
      <c r="ER33" s="61">
        <f t="shared" si="142"/>
        <v>0</v>
      </c>
      <c r="ES33" s="61"/>
      <c r="ET33" s="61"/>
      <c r="EU33" s="61"/>
      <c r="EV33" s="61"/>
      <c r="EW33" s="61"/>
      <c r="EX33" s="61"/>
      <c r="EY33" s="61"/>
      <c r="EZ33" s="62"/>
      <c r="FA33" s="61"/>
      <c r="FB33" s="61"/>
      <c r="FC33" s="61"/>
      <c r="FD33" s="62"/>
      <c r="FE33" s="61"/>
      <c r="FF33" s="63"/>
      <c r="FG33" s="61"/>
      <c r="FH33" s="62"/>
      <c r="FI33" s="61"/>
      <c r="FJ33" s="61"/>
      <c r="FK33" s="61"/>
      <c r="FL33" s="63"/>
      <c r="FM33" s="61"/>
      <c r="FN33" s="63"/>
      <c r="FO33" s="61"/>
      <c r="FP33" s="63"/>
      <c r="FQ33" s="61"/>
      <c r="FR33" s="61"/>
      <c r="FS33" s="61"/>
      <c r="FT33" s="63"/>
      <c r="FU33" s="61"/>
      <c r="FV33" s="63"/>
      <c r="FW33" s="61"/>
      <c r="FX33" s="63"/>
      <c r="FY33" s="61"/>
      <c r="FZ33" s="63"/>
      <c r="GA33" s="61"/>
      <c r="GB33" s="61"/>
      <c r="GC33" s="61"/>
      <c r="GD33" s="63"/>
      <c r="GE33" s="61"/>
      <c r="GF33" s="63"/>
      <c r="GG33" s="61"/>
      <c r="GH33" s="61"/>
      <c r="GI33" s="61"/>
      <c r="GJ33" s="61"/>
      <c r="GK33" s="61"/>
      <c r="GL33" s="61"/>
      <c r="GM33" s="61">
        <v>1</v>
      </c>
      <c r="GN33" s="61">
        <v>0.97</v>
      </c>
      <c r="GO33" s="61">
        <v>0.95</v>
      </c>
      <c r="GP33" s="61">
        <v>0.93</v>
      </c>
      <c r="GQ33" s="61">
        <f t="shared" si="151"/>
        <v>0.91</v>
      </c>
      <c r="GR33" s="61">
        <f t="shared" si="151"/>
        <v>0.89</v>
      </c>
      <c r="GS33" s="61">
        <f t="shared" si="151"/>
        <v>0.87</v>
      </c>
      <c r="GT33" s="61">
        <f t="shared" si="151"/>
        <v>0.85</v>
      </c>
      <c r="GU33" s="61">
        <f t="shared" si="151"/>
        <v>0.83</v>
      </c>
      <c r="GV33" s="61">
        <f t="shared" si="151"/>
        <v>0.80999999999999994</v>
      </c>
      <c r="GW33" s="61">
        <f t="shared" si="151"/>
        <v>0.78999999999999992</v>
      </c>
      <c r="GX33" s="61">
        <f t="shared" si="151"/>
        <v>0.76999999999999991</v>
      </c>
      <c r="GY33" s="61">
        <f t="shared" si="151"/>
        <v>0.74999999999999989</v>
      </c>
      <c r="GZ33" s="61">
        <f t="shared" si="151"/>
        <v>0.72999999999999987</v>
      </c>
      <c r="HA33" s="61">
        <f t="shared" si="151"/>
        <v>0.70999999999999985</v>
      </c>
      <c r="HB33" s="61">
        <f t="shared" si="151"/>
        <v>0.68999999999999984</v>
      </c>
      <c r="HC33" s="61">
        <f t="shared" si="151"/>
        <v>0.66999999999999982</v>
      </c>
      <c r="HD33" s="61">
        <f t="shared" si="151"/>
        <v>0.6499999999999998</v>
      </c>
      <c r="HE33" s="61">
        <f t="shared" si="151"/>
        <v>0.62999999999999978</v>
      </c>
      <c r="HF33" s="61">
        <f t="shared" si="151"/>
        <v>0.60999999999999976</v>
      </c>
      <c r="HG33" s="61">
        <f t="shared" si="152"/>
        <v>0.58999999999999975</v>
      </c>
      <c r="HH33" s="64">
        <f t="shared" si="152"/>
        <v>0.56999999999999973</v>
      </c>
    </row>
    <row r="34" spans="1:216" x14ac:dyDescent="0.3">
      <c r="A34" s="2">
        <v>1</v>
      </c>
      <c r="C34" s="38" t="s">
        <v>15</v>
      </c>
      <c r="D34" s="40">
        <f>TRUNC(53059,-1)</f>
        <v>53050</v>
      </c>
      <c r="E34" s="70">
        <f t="shared" ref="E34:E53" si="153">TRUNC(+D34*3.3058,-1)</f>
        <v>175370</v>
      </c>
      <c r="H34" s="55">
        <f t="shared" ref="H34:H54" si="154">+D34*1.1</f>
        <v>58355.000000000007</v>
      </c>
      <c r="I34" s="55">
        <f t="shared" si="62"/>
        <v>58355.000000000007</v>
      </c>
      <c r="J34" s="59">
        <f t="shared" si="63"/>
        <v>192909.95900000003</v>
      </c>
      <c r="K34" s="55">
        <f t="shared" ref="K34:K54" si="155">+I34*BD34</f>
        <v>56604.350000000006</v>
      </c>
      <c r="L34" s="59">
        <f t="shared" ref="L34:L54" si="156">+K34*3.3058</f>
        <v>187122.66023000004</v>
      </c>
      <c r="M34" s="55">
        <f t="shared" ref="M34:M54" si="157">+I34*BE34</f>
        <v>55437.250000000007</v>
      </c>
      <c r="N34" s="59">
        <f t="shared" ref="N34:N54" si="158">+M34*3.3058</f>
        <v>183264.46105000004</v>
      </c>
      <c r="O34" s="55">
        <f t="shared" ref="O34:O54" si="159">+I34*BF34</f>
        <v>54270.150000000009</v>
      </c>
      <c r="P34" s="59">
        <f t="shared" ref="P34:P54" si="160">+O34*3.3058</f>
        <v>179406.26187000005</v>
      </c>
      <c r="Q34" s="57">
        <f t="shared" ref="Q34:Q54" si="161">+I34*BG34</f>
        <v>53103.05000000001</v>
      </c>
      <c r="R34" s="59">
        <f t="shared" ref="R34:R54" si="162">+Q34*3.3058</f>
        <v>175548.06269000005</v>
      </c>
      <c r="S34" s="55">
        <f t="shared" ref="S34:S54" si="163">+I34*BH34</f>
        <v>51935.950000000004</v>
      </c>
      <c r="T34" s="59">
        <f t="shared" ref="T34:T54" si="164">+S34*3.3058</f>
        <v>171689.86351000002</v>
      </c>
      <c r="U34" s="57">
        <f t="shared" ref="U34:U54" si="165">+I34*BI34</f>
        <v>50768.850000000006</v>
      </c>
      <c r="V34" s="59">
        <f t="shared" ref="V34:V54" si="166">+U34*3.3058</f>
        <v>167831.66433000003</v>
      </c>
      <c r="W34" s="60">
        <f t="shared" ref="W34:W54" si="167">+I34*BJ34</f>
        <v>49601.750000000007</v>
      </c>
      <c r="X34" s="59">
        <f t="shared" ref="X34:X54" si="168">+W34*3.3058</f>
        <v>163973.46515000003</v>
      </c>
      <c r="Y34" s="57">
        <f t="shared" ref="Y34:Y54" si="169">+I34*BK34</f>
        <v>48434.65</v>
      </c>
      <c r="Z34" s="59">
        <f t="shared" ref="Z34:Z54" si="170">+Y34*3.3058</f>
        <v>160115.26597000001</v>
      </c>
      <c r="AA34" s="55">
        <f t="shared" ref="AA34:AA54" si="171">+I34*BL34</f>
        <v>47267.55</v>
      </c>
      <c r="AB34" s="59">
        <f t="shared" ref="AB34:AB54" si="172">+AA34*3.3058</f>
        <v>156257.06679000001</v>
      </c>
      <c r="AC34" s="60">
        <f t="shared" ref="AC34:AC54" si="173">+I34*BM34</f>
        <v>46100.450000000004</v>
      </c>
      <c r="AD34" s="59">
        <f t="shared" ref="AD34:AD54" si="174">+AC34*3.3058</f>
        <v>152398.86761000002</v>
      </c>
      <c r="AE34" s="60">
        <f t="shared" ref="AE34:AE54" si="175">+I34*BN34</f>
        <v>44933.35</v>
      </c>
      <c r="AF34" s="59">
        <f t="shared" ref="AF34:AF54" si="176">+AE34*3.3058</f>
        <v>148540.66842999999</v>
      </c>
      <c r="AG34" s="60">
        <f t="shared" ref="AG34:AG54" si="177">+I34*BO34</f>
        <v>43766.25</v>
      </c>
      <c r="AH34" s="59">
        <f t="shared" ref="AH34:AH54" si="178">+AG34*3.3058</f>
        <v>144682.46924999999</v>
      </c>
      <c r="AI34" s="55">
        <f t="shared" ref="AI34:AI54" si="179">+I34*BP34</f>
        <v>42599.149999999994</v>
      </c>
      <c r="AJ34" s="59">
        <f t="shared" ref="AJ34:AJ54" si="180">+AI34*3.3058</f>
        <v>140824.27006999997</v>
      </c>
      <c r="AK34" s="60">
        <f t="shared" ref="AK34:AK54" si="181">+I34*BQ34</f>
        <v>41432.049999999996</v>
      </c>
      <c r="AL34" s="59">
        <f t="shared" ref="AL34:AL54" si="182">+AK34*3.3058</f>
        <v>136966.07089</v>
      </c>
      <c r="AM34" s="60">
        <f t="shared" ref="AM34:AM54" si="183">+I34*BR34</f>
        <v>40264.949999999997</v>
      </c>
      <c r="AN34" s="59">
        <f t="shared" ref="AN34:AN54" si="184">+AM34*3.3058</f>
        <v>133107.87171000001</v>
      </c>
      <c r="AO34" s="60">
        <f t="shared" ref="AO34:AO54" si="185">+I34*BS34</f>
        <v>39097.849999999991</v>
      </c>
      <c r="AP34" s="59">
        <f t="shared" ref="AP34:AP54" si="186">+AO34*3.3058</f>
        <v>129249.67252999997</v>
      </c>
      <c r="AQ34" s="60">
        <f t="shared" ref="AQ34:AQ54" si="187">+I34*BT34</f>
        <v>37930.749999999993</v>
      </c>
      <c r="AR34" s="59">
        <f t="shared" ref="AR34:AR54" si="188">+AQ34*3.3058</f>
        <v>125391.47334999999</v>
      </c>
      <c r="AS34" s="55">
        <f t="shared" ref="AS34:AS54" si="189">+I34*BU34</f>
        <v>36763.649999999994</v>
      </c>
      <c r="AT34" s="59">
        <f t="shared" ref="AT34:AT54" si="190">+AS34*3.3058</f>
        <v>121533.27416999999</v>
      </c>
      <c r="AU34" s="60">
        <f t="shared" ref="AU34:AU54" si="191">+I34*BV34</f>
        <v>35596.549999999988</v>
      </c>
      <c r="AV34" s="59">
        <f t="shared" ref="AV34:AV54" si="192">+AU34*3.3058</f>
        <v>117675.07498999996</v>
      </c>
      <c r="AW34" s="60">
        <f t="shared" ref="AW34:AW54" si="193">+I34*BW34</f>
        <v>34429.44999999999</v>
      </c>
      <c r="AX34" s="59">
        <f t="shared" ref="AX34:AX54" si="194">+AW34*3.3058</f>
        <v>113816.87580999997</v>
      </c>
      <c r="AY34" s="55">
        <f t="shared" ref="AY34:AY54" si="195">+I34*BX34</f>
        <v>33262.349999999991</v>
      </c>
      <c r="AZ34" s="59">
        <f t="shared" ref="AZ34:AZ54" si="196">+AY34*3.3058</f>
        <v>109958.67662999997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4"/>
        <v>0.91</v>
      </c>
      <c r="BH34" s="55">
        <f t="shared" si="144"/>
        <v>0.89</v>
      </c>
      <c r="BI34" s="55">
        <f t="shared" si="144"/>
        <v>0.87</v>
      </c>
      <c r="BJ34" s="55">
        <f t="shared" si="144"/>
        <v>0.85</v>
      </c>
      <c r="BK34" s="55">
        <f t="shared" si="144"/>
        <v>0.83</v>
      </c>
      <c r="BL34" s="55">
        <f t="shared" si="144"/>
        <v>0.80999999999999994</v>
      </c>
      <c r="BM34" s="55">
        <f t="shared" si="144"/>
        <v>0.78999999999999992</v>
      </c>
      <c r="BN34" s="55">
        <f t="shared" si="144"/>
        <v>0.76999999999999991</v>
      </c>
      <c r="BO34" s="55">
        <f t="shared" si="144"/>
        <v>0.74999999999999989</v>
      </c>
      <c r="BP34" s="55">
        <f t="shared" si="144"/>
        <v>0.72999999999999987</v>
      </c>
      <c r="BQ34" s="55">
        <f t="shared" si="144"/>
        <v>0.70999999999999985</v>
      </c>
      <c r="BR34" s="55">
        <f t="shared" si="144"/>
        <v>0.68999999999999984</v>
      </c>
      <c r="BS34" s="55">
        <f t="shared" si="144"/>
        <v>0.66999999999999982</v>
      </c>
      <c r="BT34" s="55">
        <f t="shared" si="144"/>
        <v>0.6499999999999998</v>
      </c>
      <c r="BU34" s="55">
        <f t="shared" si="144"/>
        <v>0.62999999999999978</v>
      </c>
      <c r="BV34" s="55">
        <f t="shared" si="144"/>
        <v>0.60999999999999976</v>
      </c>
      <c r="BW34" s="55">
        <f t="shared" si="144"/>
        <v>0.58999999999999975</v>
      </c>
      <c r="BX34" s="55">
        <f t="shared" si="144"/>
        <v>0.56999999999999973</v>
      </c>
      <c r="BZ34" s="55">
        <f t="shared" si="88"/>
        <v>53103.05000000001</v>
      </c>
      <c r="CA34" s="55">
        <f t="shared" si="89"/>
        <v>53103.05000000001</v>
      </c>
      <c r="CB34" s="59">
        <f t="shared" ref="CB34:CB54" si="197">+CA34*3.3058</f>
        <v>175548.06269000005</v>
      </c>
      <c r="CC34" s="55">
        <f t="shared" ref="CC34:CC54" si="198">+CA34*DV34</f>
        <v>51509.958500000008</v>
      </c>
      <c r="CD34" s="59">
        <f t="shared" ref="CD34:CD54" si="199">+CC34*3.3058</f>
        <v>170281.62080930002</v>
      </c>
      <c r="CE34" s="55">
        <f t="shared" ref="CE34:CE54" si="200">+CA34*DW34</f>
        <v>50447.897500000006</v>
      </c>
      <c r="CF34" s="59">
        <f t="shared" ref="CF34:CF54" si="201">+CE34*3.3058</f>
        <v>166770.65955550002</v>
      </c>
      <c r="CG34" s="55">
        <f t="shared" ref="CG34:CG54" si="202">+CA34*DX34</f>
        <v>49385.836500000012</v>
      </c>
      <c r="CH34" s="59">
        <f t="shared" ref="CH34:CH54" si="203">+CG34*3.3058</f>
        <v>163259.69830170003</v>
      </c>
      <c r="CI34" s="57">
        <f t="shared" ref="CI34:CI54" si="204">+CA34*DY34</f>
        <v>48323.775500000011</v>
      </c>
      <c r="CJ34" s="59">
        <f t="shared" ref="CJ34:CJ54" si="205">+CI34*3.3058</f>
        <v>159748.73704790004</v>
      </c>
      <c r="CK34" s="55">
        <f t="shared" ref="CK34:CK54" si="206">+CA34*DZ34</f>
        <v>47261.714500000009</v>
      </c>
      <c r="CL34" s="59">
        <f t="shared" ref="CL34:CL54" si="207">+CK34*3.3058</f>
        <v>156237.77579410005</v>
      </c>
      <c r="CM34" s="57">
        <f t="shared" ref="CM34:CM54" si="208">+CA34*EA34</f>
        <v>46199.653500000008</v>
      </c>
      <c r="CN34" s="59">
        <f t="shared" ref="CN34:CN54" si="209">+CM34*3.3058</f>
        <v>152726.81454030002</v>
      </c>
      <c r="CO34" s="60">
        <f t="shared" ref="CO34:CO54" si="210">+CA34*EB34</f>
        <v>45137.592500000006</v>
      </c>
      <c r="CP34" s="59">
        <f t="shared" ref="CP34:CP54" si="211">+CO34*3.3058</f>
        <v>149215.85328650003</v>
      </c>
      <c r="CQ34" s="57">
        <f t="shared" ref="CQ34:CQ54" si="212">+CA34*EC34</f>
        <v>44075.531500000005</v>
      </c>
      <c r="CR34" s="59">
        <f t="shared" ref="CR34:CR54" si="213">+CQ34*3.3058</f>
        <v>145704.89203270001</v>
      </c>
      <c r="CS34" s="55">
        <f t="shared" ref="CS34:CS54" si="214">+CA34*ED34</f>
        <v>43013.470500000003</v>
      </c>
      <c r="CT34" s="59">
        <f t="shared" ref="CT34:CT54" si="215">+CS34*3.3058</f>
        <v>142193.93077890002</v>
      </c>
      <c r="CU34" s="60">
        <f t="shared" ref="CU34:CU54" si="216">+CA34*EE34</f>
        <v>41951.409500000002</v>
      </c>
      <c r="CV34" s="59">
        <f t="shared" ref="CV34:CV54" si="217">+CU34*3.3058</f>
        <v>138682.96952509999</v>
      </c>
      <c r="CW34" s="60">
        <f t="shared" ref="CW34:CW54" si="218">+CA34*EF34</f>
        <v>40889.3485</v>
      </c>
      <c r="CX34" s="59">
        <f t="shared" ref="CX34:CX54" si="219">+CW34*3.3058</f>
        <v>135172.0082713</v>
      </c>
      <c r="CY34" s="60">
        <f t="shared" ref="CY34:CY54" si="220">+CA34*EG34</f>
        <v>39827.287499999999</v>
      </c>
      <c r="CZ34" s="59">
        <f t="shared" ref="CZ34:CZ54" si="221">+CY34*3.3058</f>
        <v>131661.04701750001</v>
      </c>
      <c r="DA34" s="55">
        <f t="shared" ref="DA34:DA54" si="222">+CA34*EH34</f>
        <v>38765.226499999997</v>
      </c>
      <c r="DB34" s="59">
        <f t="shared" ref="DB34:DB54" si="223">+DA34*3.3058</f>
        <v>128150.08576369999</v>
      </c>
      <c r="DC34" s="60">
        <f t="shared" ref="DC34:DC54" si="224">+CA34*EI34</f>
        <v>37703.165500000003</v>
      </c>
      <c r="DD34" s="59">
        <f t="shared" ref="DD34:DD54" si="225">+DC34*3.3058</f>
        <v>124639.12450990001</v>
      </c>
      <c r="DE34" s="60">
        <f t="shared" ref="DE34:DE54" si="226">+CA34*EJ34</f>
        <v>36641.104500000001</v>
      </c>
      <c r="DF34" s="59">
        <f t="shared" ref="DF34:DF54" si="227">+DE34*3.3058</f>
        <v>121128.1632561</v>
      </c>
      <c r="DG34" s="60">
        <f t="shared" ref="DG34:DG54" si="228">+CA34*EK34</f>
        <v>35579.0435</v>
      </c>
      <c r="DH34" s="59">
        <f t="shared" ref="DH34:DH54" si="229">+DG34*3.3058</f>
        <v>117617.20200230001</v>
      </c>
      <c r="DI34" s="60">
        <f t="shared" ref="DI34:DI54" si="230">+CA34*EL34</f>
        <v>34516.982499999998</v>
      </c>
      <c r="DJ34" s="59">
        <f t="shared" ref="DJ34:DJ54" si="231">+DI34*3.3058</f>
        <v>114106.2407485</v>
      </c>
      <c r="DK34" s="55">
        <f t="shared" ref="DK34:DK54" si="232">+CA34*EM34</f>
        <v>33454.921499999997</v>
      </c>
      <c r="DL34" s="59">
        <f t="shared" ref="DL34:DL54" si="233">+DK34*3.3058</f>
        <v>110595.27949469999</v>
      </c>
      <c r="DM34" s="60">
        <f t="shared" ref="DM34:DM54" si="234">+CA34*EN34</f>
        <v>32392.860499999995</v>
      </c>
      <c r="DN34" s="59">
        <f t="shared" ref="DN34:DN54" si="235">+DM34*3.3058</f>
        <v>107084.31824089999</v>
      </c>
      <c r="DO34" s="60">
        <f t="shared" ref="DO34:DO54" si="236">+CA34*EO34</f>
        <v>31330.799499999994</v>
      </c>
      <c r="DP34" s="59">
        <f t="shared" ref="DP34:DP54" si="237">+DO34*3.3058</f>
        <v>103573.35698709998</v>
      </c>
      <c r="DQ34" s="55">
        <f t="shared" ref="DQ34:DQ54" si="238">+CA34*EP34</f>
        <v>30268.738499999992</v>
      </c>
      <c r="DR34" s="59">
        <f t="shared" ref="DR34:DR54" si="239">+DQ34*3.3058</f>
        <v>100062.39573329997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40">+DX34-0.02</f>
        <v>0.91</v>
      </c>
      <c r="DZ34" s="55">
        <f t="shared" si="240"/>
        <v>0.89</v>
      </c>
      <c r="EA34" s="55">
        <f t="shared" si="240"/>
        <v>0.87</v>
      </c>
      <c r="EB34" s="55">
        <f t="shared" si="240"/>
        <v>0.85</v>
      </c>
      <c r="EC34" s="55">
        <f t="shared" si="240"/>
        <v>0.83</v>
      </c>
      <c r="ED34" s="55">
        <f t="shared" si="240"/>
        <v>0.80999999999999994</v>
      </c>
      <c r="EE34" s="55">
        <f t="shared" si="240"/>
        <v>0.78999999999999992</v>
      </c>
      <c r="EF34" s="55">
        <f t="shared" si="240"/>
        <v>0.76999999999999991</v>
      </c>
      <c r="EG34" s="55">
        <f t="shared" si="240"/>
        <v>0.74999999999999989</v>
      </c>
      <c r="EH34" s="55">
        <f t="shared" si="240"/>
        <v>0.72999999999999987</v>
      </c>
      <c r="EI34" s="55">
        <f t="shared" si="240"/>
        <v>0.70999999999999985</v>
      </c>
      <c r="EJ34" s="55">
        <f t="shared" si="240"/>
        <v>0.68999999999999984</v>
      </c>
      <c r="EK34" s="55">
        <f t="shared" si="240"/>
        <v>0.66999999999999982</v>
      </c>
      <c r="EL34" s="55">
        <f t="shared" si="240"/>
        <v>0.6499999999999998</v>
      </c>
      <c r="EM34" s="55">
        <f t="shared" si="240"/>
        <v>0.62999999999999978</v>
      </c>
      <c r="EN34" s="55">
        <f t="shared" si="240"/>
        <v>0.60999999999999976</v>
      </c>
      <c r="EO34" s="55">
        <f t="shared" si="240"/>
        <v>0.58999999999999975</v>
      </c>
      <c r="EP34" s="55">
        <f t="shared" si="240"/>
        <v>0.56999999999999973</v>
      </c>
      <c r="ER34" s="55">
        <f t="shared" si="142"/>
        <v>48323.775500000011</v>
      </c>
      <c r="ES34" s="55">
        <f t="shared" si="116"/>
        <v>48323.775500000011</v>
      </c>
      <c r="ET34" s="59">
        <f t="shared" ref="ET34:ET54" si="241">+ES34*3.3058</f>
        <v>159748.73704790004</v>
      </c>
      <c r="EU34" s="55">
        <f t="shared" ref="EU34:EU54" si="242">+ES34*GN34</f>
        <v>46874.062235000012</v>
      </c>
      <c r="EV34" s="59">
        <f t="shared" ref="EV34:EV54" si="243">+EU34*3.3058</f>
        <v>154956.27493646304</v>
      </c>
      <c r="EW34" s="55">
        <f t="shared" ref="EW34:EW54" si="244">+ES34*GO34</f>
        <v>45907.586725000008</v>
      </c>
      <c r="EX34" s="59">
        <f t="shared" ref="EX34:EX54" si="245">+EW34*3.3058</f>
        <v>151761.30019550503</v>
      </c>
      <c r="EY34" s="55">
        <f t="shared" ref="EY34:EY54" si="246">+ES34*GP34</f>
        <v>44941.111215000012</v>
      </c>
      <c r="EZ34" s="59">
        <f t="shared" ref="EZ34:EZ54" si="247">+EY34*3.3058</f>
        <v>148566.32545454704</v>
      </c>
      <c r="FA34" s="57">
        <f t="shared" ref="FA34:FA54" si="248">+ES34*GQ34</f>
        <v>43974.635705000008</v>
      </c>
      <c r="FB34" s="59">
        <f t="shared" ref="FB34:FB54" si="249">+FA34*3.3058</f>
        <v>145371.35071358902</v>
      </c>
      <c r="FC34" s="55">
        <f t="shared" ref="FC34:FC54" si="250">+ES34*GR34</f>
        <v>43008.160195000011</v>
      </c>
      <c r="FD34" s="59">
        <f t="shared" ref="FD34:FD54" si="251">+FC34*3.3058</f>
        <v>142176.37597263104</v>
      </c>
      <c r="FE34" s="57">
        <f t="shared" ref="FE34:FE54" si="252">+ES34*GS34</f>
        <v>42041.684685000007</v>
      </c>
      <c r="FF34" s="59">
        <f t="shared" ref="FF34:FF54" si="253">+FE34*3.3058</f>
        <v>138981.40123167302</v>
      </c>
      <c r="FG34" s="60">
        <f t="shared" ref="FG34:FG54" si="254">+ES34*GT34</f>
        <v>41075.209175000011</v>
      </c>
      <c r="FH34" s="59">
        <f t="shared" ref="FH34:FH54" si="255">+FG34*3.3058</f>
        <v>135786.42649071504</v>
      </c>
      <c r="FI34" s="57">
        <f t="shared" ref="FI34:FI54" si="256">+ES34*GU34</f>
        <v>40108.733665000007</v>
      </c>
      <c r="FJ34" s="59">
        <f t="shared" ref="FJ34:FJ54" si="257">+FI34*3.3058</f>
        <v>132591.45174975702</v>
      </c>
      <c r="FK34" s="55">
        <f t="shared" ref="FK34:FK54" si="258">+ES34*GV34</f>
        <v>39142.258155000003</v>
      </c>
      <c r="FL34" s="59">
        <f t="shared" ref="FL34:FL54" si="259">+FK34*3.3058</f>
        <v>129396.47700879902</v>
      </c>
      <c r="FM34" s="60">
        <f t="shared" ref="FM34:FM54" si="260">+ES34*GW34</f>
        <v>38175.782645000007</v>
      </c>
      <c r="FN34" s="59">
        <f t="shared" ref="FN34:FN54" si="261">+FM34*3.3058</f>
        <v>126201.50226784103</v>
      </c>
      <c r="FO34" s="60">
        <f t="shared" ref="FO34:FO54" si="262">+ES34*GX34</f>
        <v>37209.307135000003</v>
      </c>
      <c r="FP34" s="59">
        <f t="shared" ref="FP34:FP54" si="263">+FO34*3.3058</f>
        <v>123006.52752688302</v>
      </c>
      <c r="FQ34" s="60">
        <f t="shared" ref="FQ34:FQ54" si="264">+ES34*GY34</f>
        <v>36242.831625000006</v>
      </c>
      <c r="FR34" s="59">
        <f t="shared" ref="FR34:FR54" si="265">+FQ34*3.3058</f>
        <v>119811.55278592503</v>
      </c>
      <c r="FS34" s="55">
        <f t="shared" ref="FS34:FS54" si="266">+ES34*GZ34</f>
        <v>35276.356115000002</v>
      </c>
      <c r="FT34" s="59">
        <f t="shared" ref="FT34:FT54" si="267">+FS34*3.3058</f>
        <v>116616.57804496701</v>
      </c>
      <c r="FU34" s="60">
        <f t="shared" ref="FU34:FU54" si="268">+ES34*HA34</f>
        <v>34309.880604999998</v>
      </c>
      <c r="FV34" s="59">
        <f t="shared" ref="FV34:FV54" si="269">+FU34*3.3058</f>
        <v>113421.603304009</v>
      </c>
      <c r="FW34" s="60">
        <f t="shared" ref="FW34:FW54" si="270">+ES34*HB34</f>
        <v>33343.405095000002</v>
      </c>
      <c r="FX34" s="59">
        <f t="shared" ref="FX34:FX54" si="271">+FW34*3.3058</f>
        <v>110226.62856305101</v>
      </c>
      <c r="FY34" s="60">
        <f t="shared" ref="FY34:FY54" si="272">+ES34*HC34</f>
        <v>32376.929584999998</v>
      </c>
      <c r="FZ34" s="59">
        <f t="shared" ref="FZ34:FZ54" si="273">+FY34*3.3058</f>
        <v>107031.65382209299</v>
      </c>
      <c r="GA34" s="60">
        <f t="shared" ref="GA34:GA54" si="274">+ES34*HD34</f>
        <v>31410.454074999998</v>
      </c>
      <c r="GB34" s="59">
        <f t="shared" ref="GB34:GB54" si="275">+GA34*3.3058</f>
        <v>103836.67908113499</v>
      </c>
      <c r="GC34" s="55">
        <f t="shared" ref="GC34:GC54" si="276">+ES34*HE34</f>
        <v>30443.978564999998</v>
      </c>
      <c r="GD34" s="59">
        <f t="shared" ref="GD34:GD54" si="277">+GC34*3.3058</f>
        <v>100641.70434017699</v>
      </c>
      <c r="GE34" s="60">
        <f t="shared" ref="GE34:GE54" si="278">+ES34*HF34</f>
        <v>29477.503054999994</v>
      </c>
      <c r="GF34" s="59">
        <f t="shared" ref="GF34:GF54" si="279">+GE34*3.3058</f>
        <v>97446.729599218976</v>
      </c>
      <c r="GG34" s="60">
        <f t="shared" ref="GG34:GG54" si="280">+ES34*HG34</f>
        <v>28511.027544999994</v>
      </c>
      <c r="GH34" s="59">
        <f t="shared" ref="GH34:GH54" si="281">+GG34*3.3058</f>
        <v>94251.754858260974</v>
      </c>
      <c r="GI34" s="55">
        <f t="shared" ref="GI34:GI54" si="282">+ES34*HH34</f>
        <v>27544.552034999993</v>
      </c>
      <c r="GJ34" s="59">
        <f t="shared" ref="GJ34:GJ54" si="283">+GI34*3.3058</f>
        <v>91056.780117302973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84">+GP34-0.02</f>
        <v>0.91</v>
      </c>
      <c r="GR34" s="55">
        <f t="shared" si="284"/>
        <v>0.89</v>
      </c>
      <c r="GS34" s="55">
        <f t="shared" si="284"/>
        <v>0.87</v>
      </c>
      <c r="GT34" s="55">
        <f t="shared" si="284"/>
        <v>0.85</v>
      </c>
      <c r="GU34" s="55">
        <f t="shared" si="284"/>
        <v>0.83</v>
      </c>
      <c r="GV34" s="55">
        <f t="shared" si="284"/>
        <v>0.80999999999999994</v>
      </c>
      <c r="GW34" s="55">
        <f t="shared" si="284"/>
        <v>0.78999999999999992</v>
      </c>
      <c r="GX34" s="55">
        <f t="shared" si="284"/>
        <v>0.76999999999999991</v>
      </c>
      <c r="GY34" s="55">
        <f t="shared" si="284"/>
        <v>0.74999999999999989</v>
      </c>
      <c r="GZ34" s="55">
        <f t="shared" si="284"/>
        <v>0.72999999999999987</v>
      </c>
      <c r="HA34" s="55">
        <f t="shared" si="284"/>
        <v>0.70999999999999985</v>
      </c>
      <c r="HB34" s="55">
        <f t="shared" si="284"/>
        <v>0.68999999999999984</v>
      </c>
      <c r="HC34" s="55">
        <f t="shared" si="284"/>
        <v>0.66999999999999982</v>
      </c>
      <c r="HD34" s="55">
        <f t="shared" si="284"/>
        <v>0.6499999999999998</v>
      </c>
      <c r="HE34" s="55">
        <f t="shared" si="284"/>
        <v>0.62999999999999978</v>
      </c>
      <c r="HF34" s="55">
        <f t="shared" si="284"/>
        <v>0.60999999999999976</v>
      </c>
      <c r="HG34" s="55">
        <f t="shared" si="284"/>
        <v>0.58999999999999975</v>
      </c>
      <c r="HH34" s="55">
        <f t="shared" si="284"/>
        <v>0.56999999999999973</v>
      </c>
    </row>
    <row r="35" spans="1:216" x14ac:dyDescent="0.3">
      <c r="A35" s="2">
        <v>2</v>
      </c>
      <c r="C35" s="38" t="s">
        <v>13</v>
      </c>
      <c r="D35" s="42">
        <f>TRUNC(174986,-1)</f>
        <v>174980</v>
      </c>
      <c r="E35" s="71">
        <f t="shared" si="153"/>
        <v>578440</v>
      </c>
      <c r="H35" s="55">
        <f t="shared" si="154"/>
        <v>192478.00000000003</v>
      </c>
      <c r="I35" s="55">
        <f t="shared" si="62"/>
        <v>192478.00000000003</v>
      </c>
      <c r="J35" s="59">
        <f t="shared" si="63"/>
        <v>636293.77240000013</v>
      </c>
      <c r="K35" s="55">
        <f t="shared" si="155"/>
        <v>186703.66000000003</v>
      </c>
      <c r="L35" s="59">
        <f t="shared" si="156"/>
        <v>617204.95922800014</v>
      </c>
      <c r="M35" s="55">
        <f t="shared" si="157"/>
        <v>182854.1</v>
      </c>
      <c r="N35" s="59">
        <f t="shared" si="158"/>
        <v>604479.08377999999</v>
      </c>
      <c r="O35" s="55">
        <f t="shared" si="159"/>
        <v>179004.54000000004</v>
      </c>
      <c r="P35" s="59">
        <f t="shared" si="160"/>
        <v>591753.20833200018</v>
      </c>
      <c r="Q35" s="57">
        <f t="shared" si="161"/>
        <v>175154.98000000004</v>
      </c>
      <c r="R35" s="59">
        <f t="shared" si="162"/>
        <v>579027.33288400015</v>
      </c>
      <c r="S35" s="55">
        <f t="shared" si="163"/>
        <v>171305.42000000004</v>
      </c>
      <c r="T35" s="59">
        <f t="shared" si="164"/>
        <v>566301.45743600011</v>
      </c>
      <c r="U35" s="57">
        <f t="shared" si="165"/>
        <v>167455.86000000002</v>
      </c>
      <c r="V35" s="59">
        <f t="shared" si="166"/>
        <v>553575.58198800008</v>
      </c>
      <c r="W35" s="60">
        <f t="shared" si="167"/>
        <v>163606.30000000002</v>
      </c>
      <c r="X35" s="59">
        <f t="shared" si="168"/>
        <v>540849.70654000004</v>
      </c>
      <c r="Y35" s="57">
        <f t="shared" si="169"/>
        <v>159756.74000000002</v>
      </c>
      <c r="Z35" s="59">
        <f t="shared" si="170"/>
        <v>528123.83109200012</v>
      </c>
      <c r="AA35" s="55">
        <f t="shared" si="171"/>
        <v>155907.18000000002</v>
      </c>
      <c r="AB35" s="59">
        <f t="shared" si="172"/>
        <v>515397.95564400009</v>
      </c>
      <c r="AC35" s="60">
        <f t="shared" si="173"/>
        <v>152057.62</v>
      </c>
      <c r="AD35" s="59">
        <f t="shared" si="174"/>
        <v>502672.080196</v>
      </c>
      <c r="AE35" s="60">
        <f t="shared" si="175"/>
        <v>148208.06</v>
      </c>
      <c r="AF35" s="59">
        <f t="shared" si="176"/>
        <v>489946.20474800002</v>
      </c>
      <c r="AG35" s="60">
        <f t="shared" si="177"/>
        <v>144358.5</v>
      </c>
      <c r="AH35" s="59">
        <f t="shared" si="178"/>
        <v>477220.32929999998</v>
      </c>
      <c r="AI35" s="55">
        <f t="shared" si="179"/>
        <v>140508.94</v>
      </c>
      <c r="AJ35" s="59">
        <f t="shared" si="180"/>
        <v>464494.45385200001</v>
      </c>
      <c r="AK35" s="60">
        <f t="shared" si="181"/>
        <v>136659.38</v>
      </c>
      <c r="AL35" s="59">
        <f t="shared" si="182"/>
        <v>451768.57840400003</v>
      </c>
      <c r="AM35" s="60">
        <f t="shared" si="183"/>
        <v>132809.81999999998</v>
      </c>
      <c r="AN35" s="59">
        <f t="shared" si="184"/>
        <v>439042.70295599994</v>
      </c>
      <c r="AO35" s="60">
        <f t="shared" si="185"/>
        <v>128960.25999999998</v>
      </c>
      <c r="AP35" s="59">
        <f t="shared" si="186"/>
        <v>426316.82750799996</v>
      </c>
      <c r="AQ35" s="60">
        <f t="shared" si="187"/>
        <v>125110.69999999998</v>
      </c>
      <c r="AR35" s="59">
        <f t="shared" si="188"/>
        <v>413590.95205999992</v>
      </c>
      <c r="AS35" s="55">
        <f t="shared" si="189"/>
        <v>121261.13999999997</v>
      </c>
      <c r="AT35" s="59">
        <f t="shared" si="190"/>
        <v>400865.07661199989</v>
      </c>
      <c r="AU35" s="60">
        <f t="shared" si="191"/>
        <v>117411.57999999997</v>
      </c>
      <c r="AV35" s="59">
        <f t="shared" si="192"/>
        <v>388139.20116399991</v>
      </c>
      <c r="AW35" s="60">
        <f t="shared" si="193"/>
        <v>113562.01999999997</v>
      </c>
      <c r="AX35" s="59">
        <f t="shared" si="194"/>
        <v>375413.32571599993</v>
      </c>
      <c r="AY35" s="55">
        <f t="shared" si="195"/>
        <v>109712.45999999996</v>
      </c>
      <c r="AZ35" s="59">
        <f t="shared" si="196"/>
        <v>362687.4502679999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4"/>
        <v>0.91</v>
      </c>
      <c r="BH35" s="55">
        <f t="shared" si="144"/>
        <v>0.89</v>
      </c>
      <c r="BI35" s="55">
        <f t="shared" si="144"/>
        <v>0.87</v>
      </c>
      <c r="BJ35" s="55">
        <f t="shared" si="144"/>
        <v>0.85</v>
      </c>
      <c r="BK35" s="55">
        <f t="shared" si="144"/>
        <v>0.83</v>
      </c>
      <c r="BL35" s="55">
        <f t="shared" si="144"/>
        <v>0.80999999999999994</v>
      </c>
      <c r="BM35" s="55">
        <f t="shared" si="144"/>
        <v>0.78999999999999992</v>
      </c>
      <c r="BN35" s="55">
        <f t="shared" si="144"/>
        <v>0.76999999999999991</v>
      </c>
      <c r="BO35" s="55">
        <f t="shared" si="144"/>
        <v>0.74999999999999989</v>
      </c>
      <c r="BP35" s="55">
        <f t="shared" si="144"/>
        <v>0.72999999999999987</v>
      </c>
      <c r="BQ35" s="55">
        <f t="shared" si="144"/>
        <v>0.70999999999999985</v>
      </c>
      <c r="BR35" s="55">
        <f t="shared" si="144"/>
        <v>0.68999999999999984</v>
      </c>
      <c r="BS35" s="55">
        <f t="shared" si="144"/>
        <v>0.66999999999999982</v>
      </c>
      <c r="BT35" s="55">
        <f t="shared" si="144"/>
        <v>0.6499999999999998</v>
      </c>
      <c r="BU35" s="55">
        <f t="shared" si="144"/>
        <v>0.62999999999999978</v>
      </c>
      <c r="BV35" s="55">
        <f t="shared" si="144"/>
        <v>0.60999999999999976</v>
      </c>
      <c r="BW35" s="55">
        <f t="shared" si="144"/>
        <v>0.58999999999999975</v>
      </c>
      <c r="BX35" s="55">
        <f t="shared" si="144"/>
        <v>0.56999999999999973</v>
      </c>
      <c r="BZ35" s="55">
        <f t="shared" si="88"/>
        <v>175154.98000000004</v>
      </c>
      <c r="CA35" s="55">
        <f t="shared" si="89"/>
        <v>175154.98000000004</v>
      </c>
      <c r="CB35" s="59">
        <f t="shared" si="197"/>
        <v>579027.33288400015</v>
      </c>
      <c r="CC35" s="55">
        <f t="shared" si="198"/>
        <v>169900.33060000004</v>
      </c>
      <c r="CD35" s="59">
        <f t="shared" si="199"/>
        <v>561656.51289748016</v>
      </c>
      <c r="CE35" s="55">
        <f t="shared" si="200"/>
        <v>166397.23100000003</v>
      </c>
      <c r="CF35" s="59">
        <f t="shared" si="201"/>
        <v>550075.96623980009</v>
      </c>
      <c r="CG35" s="55">
        <f t="shared" si="202"/>
        <v>162894.13140000004</v>
      </c>
      <c r="CH35" s="59">
        <f t="shared" si="203"/>
        <v>538495.41958212014</v>
      </c>
      <c r="CI35" s="57">
        <f t="shared" si="204"/>
        <v>159391.03180000006</v>
      </c>
      <c r="CJ35" s="59">
        <f t="shared" si="205"/>
        <v>526914.87292444019</v>
      </c>
      <c r="CK35" s="55">
        <f t="shared" si="206"/>
        <v>155887.93220000004</v>
      </c>
      <c r="CL35" s="59">
        <f t="shared" si="207"/>
        <v>515334.32626676012</v>
      </c>
      <c r="CM35" s="57">
        <f t="shared" si="208"/>
        <v>152384.83260000002</v>
      </c>
      <c r="CN35" s="59">
        <f t="shared" si="209"/>
        <v>503753.77960908011</v>
      </c>
      <c r="CO35" s="60">
        <f t="shared" si="210"/>
        <v>148881.73300000004</v>
      </c>
      <c r="CP35" s="59">
        <f t="shared" si="211"/>
        <v>492173.2329514001</v>
      </c>
      <c r="CQ35" s="57">
        <f t="shared" si="212"/>
        <v>145378.63340000002</v>
      </c>
      <c r="CR35" s="59">
        <f t="shared" si="213"/>
        <v>480592.68629372009</v>
      </c>
      <c r="CS35" s="55">
        <f t="shared" si="214"/>
        <v>141875.53380000003</v>
      </c>
      <c r="CT35" s="59">
        <f t="shared" si="215"/>
        <v>469012.13963604014</v>
      </c>
      <c r="CU35" s="60">
        <f t="shared" si="216"/>
        <v>138372.43420000002</v>
      </c>
      <c r="CV35" s="59">
        <f t="shared" si="217"/>
        <v>457431.59297836007</v>
      </c>
      <c r="CW35" s="60">
        <f t="shared" si="218"/>
        <v>134869.3346</v>
      </c>
      <c r="CX35" s="59">
        <f t="shared" si="219"/>
        <v>445851.04632068001</v>
      </c>
      <c r="CY35" s="60">
        <f t="shared" si="220"/>
        <v>131366.23500000002</v>
      </c>
      <c r="CZ35" s="59">
        <f t="shared" si="221"/>
        <v>434270.49966300005</v>
      </c>
      <c r="DA35" s="55">
        <f t="shared" si="222"/>
        <v>127863.1354</v>
      </c>
      <c r="DB35" s="59">
        <f t="shared" si="223"/>
        <v>422689.95300531999</v>
      </c>
      <c r="DC35" s="60">
        <f t="shared" si="224"/>
        <v>124360.0358</v>
      </c>
      <c r="DD35" s="59">
        <f t="shared" si="225"/>
        <v>411109.40634763998</v>
      </c>
      <c r="DE35" s="60">
        <f t="shared" si="226"/>
        <v>120856.9362</v>
      </c>
      <c r="DF35" s="59">
        <f t="shared" si="227"/>
        <v>399528.85968996002</v>
      </c>
      <c r="DG35" s="60">
        <f t="shared" si="228"/>
        <v>117353.8366</v>
      </c>
      <c r="DH35" s="59">
        <f t="shared" si="229"/>
        <v>387948.31303228001</v>
      </c>
      <c r="DI35" s="60">
        <f t="shared" si="230"/>
        <v>113850.73699999999</v>
      </c>
      <c r="DJ35" s="59">
        <f t="shared" si="231"/>
        <v>376367.7663746</v>
      </c>
      <c r="DK35" s="55">
        <f t="shared" si="232"/>
        <v>110347.63739999999</v>
      </c>
      <c r="DL35" s="59">
        <f t="shared" si="233"/>
        <v>364787.21971691999</v>
      </c>
      <c r="DM35" s="60">
        <f t="shared" si="234"/>
        <v>106844.53779999998</v>
      </c>
      <c r="DN35" s="59">
        <f t="shared" si="235"/>
        <v>353206.67305923993</v>
      </c>
      <c r="DO35" s="60">
        <f t="shared" si="236"/>
        <v>103341.43819999998</v>
      </c>
      <c r="DP35" s="59">
        <f t="shared" si="237"/>
        <v>341626.12640155992</v>
      </c>
      <c r="DQ35" s="55">
        <f t="shared" si="238"/>
        <v>99838.338599999974</v>
      </c>
      <c r="DR35" s="59">
        <f t="shared" si="239"/>
        <v>330045.57974387991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40"/>
        <v>0.91</v>
      </c>
      <c r="DZ35" s="55">
        <f t="shared" si="240"/>
        <v>0.89</v>
      </c>
      <c r="EA35" s="55">
        <f t="shared" si="240"/>
        <v>0.87</v>
      </c>
      <c r="EB35" s="55">
        <f t="shared" si="240"/>
        <v>0.85</v>
      </c>
      <c r="EC35" s="55">
        <f t="shared" si="240"/>
        <v>0.83</v>
      </c>
      <c r="ED35" s="55">
        <f t="shared" si="240"/>
        <v>0.80999999999999994</v>
      </c>
      <c r="EE35" s="55">
        <f t="shared" si="240"/>
        <v>0.78999999999999992</v>
      </c>
      <c r="EF35" s="55">
        <f t="shared" si="240"/>
        <v>0.76999999999999991</v>
      </c>
      <c r="EG35" s="55">
        <f t="shared" si="240"/>
        <v>0.74999999999999989</v>
      </c>
      <c r="EH35" s="55">
        <f t="shared" si="240"/>
        <v>0.72999999999999987</v>
      </c>
      <c r="EI35" s="55">
        <f t="shared" si="240"/>
        <v>0.70999999999999985</v>
      </c>
      <c r="EJ35" s="55">
        <f t="shared" si="240"/>
        <v>0.68999999999999984</v>
      </c>
      <c r="EK35" s="55">
        <f t="shared" si="240"/>
        <v>0.66999999999999982</v>
      </c>
      <c r="EL35" s="55">
        <f t="shared" si="240"/>
        <v>0.6499999999999998</v>
      </c>
      <c r="EM35" s="55">
        <f t="shared" si="240"/>
        <v>0.62999999999999978</v>
      </c>
      <c r="EN35" s="55">
        <f t="shared" si="240"/>
        <v>0.60999999999999976</v>
      </c>
      <c r="EO35" s="55">
        <f t="shared" si="240"/>
        <v>0.58999999999999975</v>
      </c>
      <c r="EP35" s="55">
        <f t="shared" si="240"/>
        <v>0.56999999999999973</v>
      </c>
      <c r="ER35" s="55">
        <f t="shared" si="142"/>
        <v>159391.03180000006</v>
      </c>
      <c r="ES35" s="55">
        <f t="shared" si="116"/>
        <v>159391.03180000006</v>
      </c>
      <c r="ET35" s="59">
        <f t="shared" si="241"/>
        <v>526914.87292444019</v>
      </c>
      <c r="EU35" s="55">
        <f t="shared" si="242"/>
        <v>154609.30084600006</v>
      </c>
      <c r="EV35" s="59">
        <f t="shared" si="243"/>
        <v>511107.42673670698</v>
      </c>
      <c r="EW35" s="55">
        <f t="shared" si="244"/>
        <v>151421.48021000004</v>
      </c>
      <c r="EX35" s="59">
        <f t="shared" si="245"/>
        <v>500569.12927821814</v>
      </c>
      <c r="EY35" s="55">
        <f t="shared" si="246"/>
        <v>148233.65957400005</v>
      </c>
      <c r="EZ35" s="59">
        <f t="shared" si="247"/>
        <v>490030.83181972936</v>
      </c>
      <c r="FA35" s="57">
        <f t="shared" si="248"/>
        <v>145045.83893800006</v>
      </c>
      <c r="FB35" s="59">
        <f t="shared" si="249"/>
        <v>479492.53436124063</v>
      </c>
      <c r="FC35" s="55">
        <f t="shared" si="250"/>
        <v>141858.01830200004</v>
      </c>
      <c r="FD35" s="59">
        <f t="shared" si="251"/>
        <v>468954.23690275173</v>
      </c>
      <c r="FE35" s="57">
        <f t="shared" si="252"/>
        <v>138670.19766600005</v>
      </c>
      <c r="FF35" s="59">
        <f t="shared" si="253"/>
        <v>458415.939444263</v>
      </c>
      <c r="FG35" s="60">
        <f t="shared" si="254"/>
        <v>135482.37703000003</v>
      </c>
      <c r="FH35" s="59">
        <f t="shared" si="255"/>
        <v>447877.6419857741</v>
      </c>
      <c r="FI35" s="57">
        <f t="shared" si="256"/>
        <v>132294.55639400004</v>
      </c>
      <c r="FJ35" s="59">
        <f t="shared" si="257"/>
        <v>437339.34452728537</v>
      </c>
      <c r="FK35" s="55">
        <f t="shared" si="258"/>
        <v>129106.73575800004</v>
      </c>
      <c r="FL35" s="59">
        <f t="shared" si="259"/>
        <v>426801.04706879653</v>
      </c>
      <c r="FM35" s="60">
        <f t="shared" si="260"/>
        <v>125918.91512200003</v>
      </c>
      <c r="FN35" s="59">
        <f t="shared" si="261"/>
        <v>416262.74961030774</v>
      </c>
      <c r="FO35" s="60">
        <f t="shared" si="262"/>
        <v>122731.09448600003</v>
      </c>
      <c r="FP35" s="59">
        <f t="shared" si="263"/>
        <v>405724.4521518189</v>
      </c>
      <c r="FQ35" s="60">
        <f t="shared" si="264"/>
        <v>119543.27385000003</v>
      </c>
      <c r="FR35" s="59">
        <f t="shared" si="265"/>
        <v>395186.15469333011</v>
      </c>
      <c r="FS35" s="55">
        <f t="shared" si="266"/>
        <v>116355.45321400002</v>
      </c>
      <c r="FT35" s="59">
        <f t="shared" si="267"/>
        <v>384647.85723484127</v>
      </c>
      <c r="FU35" s="60">
        <f t="shared" si="268"/>
        <v>113167.63257800002</v>
      </c>
      <c r="FV35" s="59">
        <f t="shared" si="269"/>
        <v>374109.55977635249</v>
      </c>
      <c r="FW35" s="60">
        <f t="shared" si="270"/>
        <v>109979.81194200001</v>
      </c>
      <c r="FX35" s="59">
        <f t="shared" si="271"/>
        <v>363571.26231786364</v>
      </c>
      <c r="FY35" s="60">
        <f t="shared" si="272"/>
        <v>106791.99130600001</v>
      </c>
      <c r="FZ35" s="59">
        <f t="shared" si="273"/>
        <v>353032.96485937486</v>
      </c>
      <c r="GA35" s="60">
        <f t="shared" si="274"/>
        <v>103604.17067000001</v>
      </c>
      <c r="GB35" s="59">
        <f t="shared" si="275"/>
        <v>342494.66740088601</v>
      </c>
      <c r="GC35" s="55">
        <f t="shared" si="276"/>
        <v>100416.350034</v>
      </c>
      <c r="GD35" s="59">
        <f t="shared" si="277"/>
        <v>331956.36994239723</v>
      </c>
      <c r="GE35" s="60">
        <f t="shared" si="278"/>
        <v>97228.529397999999</v>
      </c>
      <c r="GF35" s="59">
        <f t="shared" si="279"/>
        <v>321418.07248390839</v>
      </c>
      <c r="GG35" s="60">
        <f t="shared" si="280"/>
        <v>94040.708761999995</v>
      </c>
      <c r="GH35" s="59">
        <f t="shared" si="281"/>
        <v>310879.7750254196</v>
      </c>
      <c r="GI35" s="55">
        <f t="shared" si="282"/>
        <v>90852.888125999991</v>
      </c>
      <c r="GJ35" s="59">
        <f t="shared" si="283"/>
        <v>300341.47756693076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84"/>
        <v>0.91</v>
      </c>
      <c r="GR35" s="55">
        <f t="shared" si="284"/>
        <v>0.89</v>
      </c>
      <c r="GS35" s="55">
        <f t="shared" si="284"/>
        <v>0.87</v>
      </c>
      <c r="GT35" s="55">
        <f t="shared" si="284"/>
        <v>0.85</v>
      </c>
      <c r="GU35" s="55">
        <f t="shared" si="284"/>
        <v>0.83</v>
      </c>
      <c r="GV35" s="55">
        <f t="shared" si="284"/>
        <v>0.80999999999999994</v>
      </c>
      <c r="GW35" s="55">
        <f t="shared" si="284"/>
        <v>0.78999999999999992</v>
      </c>
      <c r="GX35" s="55">
        <f t="shared" si="284"/>
        <v>0.76999999999999991</v>
      </c>
      <c r="GY35" s="55">
        <f t="shared" si="284"/>
        <v>0.74999999999999989</v>
      </c>
      <c r="GZ35" s="55">
        <f t="shared" si="284"/>
        <v>0.72999999999999987</v>
      </c>
      <c r="HA35" s="55">
        <f t="shared" si="284"/>
        <v>0.70999999999999985</v>
      </c>
      <c r="HB35" s="55">
        <f t="shared" si="284"/>
        <v>0.68999999999999984</v>
      </c>
      <c r="HC35" s="55">
        <f t="shared" si="284"/>
        <v>0.66999999999999982</v>
      </c>
      <c r="HD35" s="55">
        <f t="shared" si="284"/>
        <v>0.6499999999999998</v>
      </c>
      <c r="HE35" s="55">
        <f t="shared" si="284"/>
        <v>0.62999999999999978</v>
      </c>
      <c r="HF35" s="55">
        <f t="shared" si="284"/>
        <v>0.60999999999999976</v>
      </c>
      <c r="HG35" s="55">
        <f t="shared" si="284"/>
        <v>0.58999999999999975</v>
      </c>
      <c r="HH35" s="55">
        <f t="shared" si="284"/>
        <v>0.56999999999999973</v>
      </c>
    </row>
    <row r="36" spans="1:216" x14ac:dyDescent="0.3">
      <c r="A36" s="2">
        <v>3</v>
      </c>
      <c r="C36" s="38" t="s">
        <v>14</v>
      </c>
      <c r="D36" s="42">
        <f>TRUNC(5575,-1)</f>
        <v>5570</v>
      </c>
      <c r="E36" s="71">
        <f t="shared" si="153"/>
        <v>18410</v>
      </c>
      <c r="H36" s="55">
        <f t="shared" si="154"/>
        <v>6127.0000000000009</v>
      </c>
      <c r="I36" s="55">
        <f t="shared" si="62"/>
        <v>6127.0000000000009</v>
      </c>
      <c r="J36" s="59">
        <f t="shared" si="63"/>
        <v>20254.636600000002</v>
      </c>
      <c r="K36" s="55">
        <f t="shared" si="155"/>
        <v>5943.1900000000005</v>
      </c>
      <c r="L36" s="59">
        <f t="shared" si="156"/>
        <v>19646.997502000002</v>
      </c>
      <c r="M36" s="55">
        <f t="shared" si="157"/>
        <v>5820.6500000000005</v>
      </c>
      <c r="N36" s="59">
        <f t="shared" si="158"/>
        <v>19241.904770000001</v>
      </c>
      <c r="O36" s="55">
        <f t="shared" si="159"/>
        <v>5698.1100000000015</v>
      </c>
      <c r="P36" s="59">
        <f t="shared" si="160"/>
        <v>18836.812038000004</v>
      </c>
      <c r="Q36" s="57">
        <f t="shared" si="161"/>
        <v>5575.5700000000006</v>
      </c>
      <c r="R36" s="59">
        <f t="shared" si="162"/>
        <v>18431.719306000003</v>
      </c>
      <c r="S36" s="55">
        <f t="shared" si="163"/>
        <v>5453.0300000000007</v>
      </c>
      <c r="T36" s="59">
        <f t="shared" si="164"/>
        <v>18026.626574000002</v>
      </c>
      <c r="U36" s="57">
        <f t="shared" si="165"/>
        <v>5330.4900000000007</v>
      </c>
      <c r="V36" s="59">
        <f t="shared" si="166"/>
        <v>17621.533842000004</v>
      </c>
      <c r="W36" s="60">
        <f t="shared" si="167"/>
        <v>5207.9500000000007</v>
      </c>
      <c r="X36" s="59">
        <f t="shared" si="168"/>
        <v>17216.441110000003</v>
      </c>
      <c r="Y36" s="57">
        <f t="shared" si="169"/>
        <v>5085.4100000000008</v>
      </c>
      <c r="Z36" s="59">
        <f t="shared" si="170"/>
        <v>16811.348378000002</v>
      </c>
      <c r="AA36" s="55">
        <f t="shared" si="171"/>
        <v>4962.8700000000008</v>
      </c>
      <c r="AB36" s="59">
        <f t="shared" si="172"/>
        <v>16406.255646000001</v>
      </c>
      <c r="AC36" s="60">
        <f t="shared" si="173"/>
        <v>4840.33</v>
      </c>
      <c r="AD36" s="59">
        <f t="shared" si="174"/>
        <v>16001.162914</v>
      </c>
      <c r="AE36" s="60">
        <f t="shared" si="175"/>
        <v>4717.79</v>
      </c>
      <c r="AF36" s="59">
        <f t="shared" si="176"/>
        <v>15596.070181999999</v>
      </c>
      <c r="AG36" s="60">
        <f t="shared" si="177"/>
        <v>4595.25</v>
      </c>
      <c r="AH36" s="59">
        <f t="shared" si="178"/>
        <v>15190.97745</v>
      </c>
      <c r="AI36" s="55">
        <f t="shared" si="179"/>
        <v>4472.71</v>
      </c>
      <c r="AJ36" s="59">
        <f t="shared" si="180"/>
        <v>14785.884718000001</v>
      </c>
      <c r="AK36" s="60">
        <f t="shared" si="181"/>
        <v>4350.17</v>
      </c>
      <c r="AL36" s="59">
        <f t="shared" si="182"/>
        <v>14380.791986</v>
      </c>
      <c r="AM36" s="60">
        <f t="shared" si="183"/>
        <v>4227.6299999999992</v>
      </c>
      <c r="AN36" s="59">
        <f t="shared" si="184"/>
        <v>13975.699253999997</v>
      </c>
      <c r="AO36" s="60">
        <f t="shared" si="185"/>
        <v>4105.0899999999992</v>
      </c>
      <c r="AP36" s="59">
        <f t="shared" si="186"/>
        <v>13570.606521999998</v>
      </c>
      <c r="AQ36" s="60">
        <f t="shared" si="187"/>
        <v>3982.5499999999993</v>
      </c>
      <c r="AR36" s="59">
        <f t="shared" si="188"/>
        <v>13165.513789999997</v>
      </c>
      <c r="AS36" s="55">
        <f t="shared" si="189"/>
        <v>3860.0099999999993</v>
      </c>
      <c r="AT36" s="59">
        <f t="shared" si="190"/>
        <v>12760.421057999998</v>
      </c>
      <c r="AU36" s="60">
        <f t="shared" si="191"/>
        <v>3737.4699999999989</v>
      </c>
      <c r="AV36" s="59">
        <f t="shared" si="192"/>
        <v>12355.328325999997</v>
      </c>
      <c r="AW36" s="60">
        <f t="shared" si="193"/>
        <v>3614.9299999999989</v>
      </c>
      <c r="AX36" s="59">
        <f t="shared" si="194"/>
        <v>11950.235593999996</v>
      </c>
      <c r="AY36" s="55">
        <f t="shared" si="195"/>
        <v>3492.389999999999</v>
      </c>
      <c r="AZ36" s="59">
        <f t="shared" si="196"/>
        <v>11545.142861999997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4"/>
        <v>0.91</v>
      </c>
      <c r="BH36" s="55">
        <f t="shared" si="144"/>
        <v>0.89</v>
      </c>
      <c r="BI36" s="55">
        <f t="shared" si="144"/>
        <v>0.87</v>
      </c>
      <c r="BJ36" s="55">
        <f t="shared" si="144"/>
        <v>0.85</v>
      </c>
      <c r="BK36" s="55">
        <f t="shared" si="144"/>
        <v>0.83</v>
      </c>
      <c r="BL36" s="55">
        <f t="shared" si="144"/>
        <v>0.80999999999999994</v>
      </c>
      <c r="BM36" s="55">
        <f t="shared" si="144"/>
        <v>0.78999999999999992</v>
      </c>
      <c r="BN36" s="55">
        <f t="shared" si="144"/>
        <v>0.76999999999999991</v>
      </c>
      <c r="BO36" s="55">
        <f t="shared" si="144"/>
        <v>0.74999999999999989</v>
      </c>
      <c r="BP36" s="55">
        <f t="shared" si="144"/>
        <v>0.72999999999999987</v>
      </c>
      <c r="BQ36" s="55">
        <f t="shared" si="144"/>
        <v>0.70999999999999985</v>
      </c>
      <c r="BR36" s="55">
        <f t="shared" si="144"/>
        <v>0.68999999999999984</v>
      </c>
      <c r="BS36" s="55">
        <f t="shared" si="144"/>
        <v>0.66999999999999982</v>
      </c>
      <c r="BT36" s="55">
        <f t="shared" si="144"/>
        <v>0.6499999999999998</v>
      </c>
      <c r="BU36" s="55">
        <f t="shared" si="144"/>
        <v>0.62999999999999978</v>
      </c>
      <c r="BV36" s="55">
        <f t="shared" si="144"/>
        <v>0.60999999999999976</v>
      </c>
      <c r="BW36" s="55">
        <f t="shared" si="144"/>
        <v>0.58999999999999975</v>
      </c>
      <c r="BX36" s="55">
        <f t="shared" si="144"/>
        <v>0.56999999999999973</v>
      </c>
      <c r="BZ36" s="55">
        <f t="shared" si="88"/>
        <v>5575.5700000000006</v>
      </c>
      <c r="CA36" s="55">
        <f t="shared" si="89"/>
        <v>5575.5700000000006</v>
      </c>
      <c r="CB36" s="59">
        <f t="shared" si="197"/>
        <v>18431.719306000003</v>
      </c>
      <c r="CC36" s="55">
        <f t="shared" si="198"/>
        <v>5408.3029000000006</v>
      </c>
      <c r="CD36" s="59">
        <f t="shared" si="199"/>
        <v>17878.767726820002</v>
      </c>
      <c r="CE36" s="55">
        <f t="shared" si="200"/>
        <v>5296.7915000000003</v>
      </c>
      <c r="CF36" s="59">
        <f t="shared" si="201"/>
        <v>17510.133340700002</v>
      </c>
      <c r="CG36" s="55">
        <f t="shared" si="202"/>
        <v>5185.2801000000009</v>
      </c>
      <c r="CH36" s="59">
        <f t="shared" si="203"/>
        <v>17141.498954580002</v>
      </c>
      <c r="CI36" s="57">
        <f t="shared" si="204"/>
        <v>5073.7687000000005</v>
      </c>
      <c r="CJ36" s="59">
        <f t="shared" si="205"/>
        <v>16772.864568460001</v>
      </c>
      <c r="CK36" s="55">
        <f t="shared" si="206"/>
        <v>4962.2573000000002</v>
      </c>
      <c r="CL36" s="59">
        <f t="shared" si="207"/>
        <v>16404.230182340001</v>
      </c>
      <c r="CM36" s="57">
        <f t="shared" si="208"/>
        <v>4850.7459000000008</v>
      </c>
      <c r="CN36" s="59">
        <f t="shared" si="209"/>
        <v>16035.595796220003</v>
      </c>
      <c r="CO36" s="60">
        <f t="shared" si="210"/>
        <v>4739.2345000000005</v>
      </c>
      <c r="CP36" s="59">
        <f t="shared" si="211"/>
        <v>15666.961410100002</v>
      </c>
      <c r="CQ36" s="57">
        <f t="shared" si="212"/>
        <v>4627.7231000000002</v>
      </c>
      <c r="CR36" s="59">
        <f t="shared" si="213"/>
        <v>15298.32702398</v>
      </c>
      <c r="CS36" s="55">
        <f t="shared" si="214"/>
        <v>4516.2116999999998</v>
      </c>
      <c r="CT36" s="59">
        <f t="shared" si="215"/>
        <v>14929.69263786</v>
      </c>
      <c r="CU36" s="60">
        <f t="shared" si="216"/>
        <v>4404.7003000000004</v>
      </c>
      <c r="CV36" s="59">
        <f t="shared" si="217"/>
        <v>14561.058251740002</v>
      </c>
      <c r="CW36" s="60">
        <f t="shared" si="218"/>
        <v>4293.1889000000001</v>
      </c>
      <c r="CX36" s="59">
        <f t="shared" si="219"/>
        <v>14192.423865620001</v>
      </c>
      <c r="CY36" s="60">
        <f t="shared" si="220"/>
        <v>4181.6774999999998</v>
      </c>
      <c r="CZ36" s="59">
        <f t="shared" si="221"/>
        <v>13823.789479499999</v>
      </c>
      <c r="DA36" s="55">
        <f t="shared" si="222"/>
        <v>4070.1660999999999</v>
      </c>
      <c r="DB36" s="59">
        <f t="shared" si="223"/>
        <v>13455.155093380001</v>
      </c>
      <c r="DC36" s="60">
        <f t="shared" si="224"/>
        <v>3958.6546999999996</v>
      </c>
      <c r="DD36" s="59">
        <f t="shared" si="225"/>
        <v>13086.520707259999</v>
      </c>
      <c r="DE36" s="60">
        <f t="shared" si="226"/>
        <v>3847.1432999999997</v>
      </c>
      <c r="DF36" s="59">
        <f t="shared" si="227"/>
        <v>12717.886321139998</v>
      </c>
      <c r="DG36" s="60">
        <f t="shared" si="228"/>
        <v>3735.6318999999994</v>
      </c>
      <c r="DH36" s="59">
        <f t="shared" si="229"/>
        <v>12349.251935019998</v>
      </c>
      <c r="DI36" s="60">
        <f t="shared" si="230"/>
        <v>3624.1204999999991</v>
      </c>
      <c r="DJ36" s="59">
        <f t="shared" si="231"/>
        <v>11980.617548899998</v>
      </c>
      <c r="DK36" s="55">
        <f t="shared" si="232"/>
        <v>3512.6090999999992</v>
      </c>
      <c r="DL36" s="59">
        <f t="shared" si="233"/>
        <v>11611.983162779998</v>
      </c>
      <c r="DM36" s="60">
        <f t="shared" si="234"/>
        <v>3401.0976999999989</v>
      </c>
      <c r="DN36" s="59">
        <f t="shared" si="235"/>
        <v>11243.348776659997</v>
      </c>
      <c r="DO36" s="60">
        <f t="shared" si="236"/>
        <v>3289.586299999999</v>
      </c>
      <c r="DP36" s="59">
        <f t="shared" si="237"/>
        <v>10874.714390539997</v>
      </c>
      <c r="DQ36" s="55">
        <f t="shared" si="238"/>
        <v>3178.0748999999987</v>
      </c>
      <c r="DR36" s="59">
        <f t="shared" si="239"/>
        <v>10506.080004419997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40"/>
        <v>0.91</v>
      </c>
      <c r="DZ36" s="55">
        <f t="shared" si="240"/>
        <v>0.89</v>
      </c>
      <c r="EA36" s="55">
        <f t="shared" si="240"/>
        <v>0.87</v>
      </c>
      <c r="EB36" s="55">
        <f t="shared" si="240"/>
        <v>0.85</v>
      </c>
      <c r="EC36" s="55">
        <f t="shared" si="240"/>
        <v>0.83</v>
      </c>
      <c r="ED36" s="55">
        <f t="shared" si="240"/>
        <v>0.80999999999999994</v>
      </c>
      <c r="EE36" s="55">
        <f t="shared" si="240"/>
        <v>0.78999999999999992</v>
      </c>
      <c r="EF36" s="55">
        <f t="shared" si="240"/>
        <v>0.76999999999999991</v>
      </c>
      <c r="EG36" s="55">
        <f t="shared" si="240"/>
        <v>0.74999999999999989</v>
      </c>
      <c r="EH36" s="55">
        <f t="shared" si="240"/>
        <v>0.72999999999999987</v>
      </c>
      <c r="EI36" s="55">
        <f t="shared" si="240"/>
        <v>0.70999999999999985</v>
      </c>
      <c r="EJ36" s="55">
        <f t="shared" si="240"/>
        <v>0.68999999999999984</v>
      </c>
      <c r="EK36" s="55">
        <f t="shared" si="240"/>
        <v>0.66999999999999982</v>
      </c>
      <c r="EL36" s="55">
        <f t="shared" si="240"/>
        <v>0.6499999999999998</v>
      </c>
      <c r="EM36" s="55">
        <f t="shared" si="240"/>
        <v>0.62999999999999978</v>
      </c>
      <c r="EN36" s="55">
        <f t="shared" si="240"/>
        <v>0.60999999999999976</v>
      </c>
      <c r="EO36" s="55">
        <f t="shared" si="240"/>
        <v>0.58999999999999975</v>
      </c>
      <c r="EP36" s="55">
        <f t="shared" si="240"/>
        <v>0.56999999999999973</v>
      </c>
      <c r="ER36" s="55">
        <f t="shared" si="142"/>
        <v>5073.7687000000005</v>
      </c>
      <c r="ES36" s="55">
        <f t="shared" si="116"/>
        <v>5073.7687000000005</v>
      </c>
      <c r="ET36" s="59">
        <f t="shared" si="241"/>
        <v>16772.864568460001</v>
      </c>
      <c r="EU36" s="55">
        <f t="shared" si="242"/>
        <v>4921.5556390000002</v>
      </c>
      <c r="EV36" s="59">
        <f t="shared" si="243"/>
        <v>16269.678631406201</v>
      </c>
      <c r="EW36" s="55">
        <f t="shared" si="244"/>
        <v>4820.0802650000005</v>
      </c>
      <c r="EX36" s="59">
        <f t="shared" si="245"/>
        <v>15934.221340037002</v>
      </c>
      <c r="EY36" s="55">
        <f t="shared" si="246"/>
        <v>4718.6048910000009</v>
      </c>
      <c r="EZ36" s="59">
        <f t="shared" si="247"/>
        <v>15598.764048667803</v>
      </c>
      <c r="FA36" s="57">
        <f t="shared" si="248"/>
        <v>4617.1295170000003</v>
      </c>
      <c r="FB36" s="59">
        <f t="shared" si="249"/>
        <v>15263.306757298602</v>
      </c>
      <c r="FC36" s="55">
        <f t="shared" si="250"/>
        <v>4515.6541430000007</v>
      </c>
      <c r="FD36" s="59">
        <f t="shared" si="251"/>
        <v>14927.849465929403</v>
      </c>
      <c r="FE36" s="57">
        <f t="shared" si="252"/>
        <v>4414.1787690000001</v>
      </c>
      <c r="FF36" s="59">
        <f t="shared" si="253"/>
        <v>14592.3921745602</v>
      </c>
      <c r="FG36" s="60">
        <f t="shared" si="254"/>
        <v>4312.7033950000005</v>
      </c>
      <c r="FH36" s="59">
        <f t="shared" si="255"/>
        <v>14256.934883191001</v>
      </c>
      <c r="FI36" s="57">
        <f t="shared" si="256"/>
        <v>4211.2280209999999</v>
      </c>
      <c r="FJ36" s="59">
        <f t="shared" si="257"/>
        <v>13921.4775918218</v>
      </c>
      <c r="FK36" s="55">
        <f t="shared" si="258"/>
        <v>4109.7526470000003</v>
      </c>
      <c r="FL36" s="59">
        <f t="shared" si="259"/>
        <v>13586.020300452601</v>
      </c>
      <c r="FM36" s="60">
        <f t="shared" si="260"/>
        <v>4008.2772730000002</v>
      </c>
      <c r="FN36" s="59">
        <f t="shared" si="261"/>
        <v>13250.5630090834</v>
      </c>
      <c r="FO36" s="60">
        <f t="shared" si="262"/>
        <v>3906.801899</v>
      </c>
      <c r="FP36" s="59">
        <f t="shared" si="263"/>
        <v>12915.105717714201</v>
      </c>
      <c r="FQ36" s="60">
        <f t="shared" si="264"/>
        <v>3805.3265249999999</v>
      </c>
      <c r="FR36" s="59">
        <f t="shared" si="265"/>
        <v>12579.648426345</v>
      </c>
      <c r="FS36" s="55">
        <f t="shared" si="266"/>
        <v>3703.8511509999998</v>
      </c>
      <c r="FT36" s="59">
        <f t="shared" si="267"/>
        <v>12244.191134975799</v>
      </c>
      <c r="FU36" s="60">
        <f t="shared" si="268"/>
        <v>3602.3757769999997</v>
      </c>
      <c r="FV36" s="59">
        <f t="shared" si="269"/>
        <v>11908.7338436066</v>
      </c>
      <c r="FW36" s="60">
        <f t="shared" si="270"/>
        <v>3500.9004029999996</v>
      </c>
      <c r="FX36" s="59">
        <f t="shared" si="271"/>
        <v>11573.276552237399</v>
      </c>
      <c r="FY36" s="60">
        <f t="shared" si="272"/>
        <v>3399.4250289999995</v>
      </c>
      <c r="FZ36" s="59">
        <f t="shared" si="273"/>
        <v>11237.819260868198</v>
      </c>
      <c r="GA36" s="60">
        <f t="shared" si="274"/>
        <v>3297.9496549999994</v>
      </c>
      <c r="GB36" s="59">
        <f t="shared" si="275"/>
        <v>10902.361969498997</v>
      </c>
      <c r="GC36" s="55">
        <f t="shared" si="276"/>
        <v>3196.4742809999993</v>
      </c>
      <c r="GD36" s="59">
        <f t="shared" si="277"/>
        <v>10566.904678129798</v>
      </c>
      <c r="GE36" s="60">
        <f t="shared" si="278"/>
        <v>3094.9989069999992</v>
      </c>
      <c r="GF36" s="59">
        <f t="shared" si="279"/>
        <v>10231.447386760598</v>
      </c>
      <c r="GG36" s="60">
        <f t="shared" si="280"/>
        <v>2993.5235329999991</v>
      </c>
      <c r="GH36" s="59">
        <f t="shared" si="281"/>
        <v>9895.9900953913966</v>
      </c>
      <c r="GI36" s="55">
        <f t="shared" si="282"/>
        <v>2892.048158999999</v>
      </c>
      <c r="GJ36" s="59">
        <f t="shared" si="283"/>
        <v>9560.5328040221975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84"/>
        <v>0.91</v>
      </c>
      <c r="GR36" s="55">
        <f t="shared" si="284"/>
        <v>0.89</v>
      </c>
      <c r="GS36" s="55">
        <f t="shared" si="284"/>
        <v>0.87</v>
      </c>
      <c r="GT36" s="55">
        <f t="shared" si="284"/>
        <v>0.85</v>
      </c>
      <c r="GU36" s="55">
        <f t="shared" si="284"/>
        <v>0.83</v>
      </c>
      <c r="GV36" s="55">
        <f t="shared" si="284"/>
        <v>0.80999999999999994</v>
      </c>
      <c r="GW36" s="55">
        <f t="shared" si="284"/>
        <v>0.78999999999999992</v>
      </c>
      <c r="GX36" s="55">
        <f t="shared" si="284"/>
        <v>0.76999999999999991</v>
      </c>
      <c r="GY36" s="55">
        <f t="shared" si="284"/>
        <v>0.74999999999999989</v>
      </c>
      <c r="GZ36" s="55">
        <f t="shared" si="284"/>
        <v>0.72999999999999987</v>
      </c>
      <c r="HA36" s="55">
        <f t="shared" si="284"/>
        <v>0.70999999999999985</v>
      </c>
      <c r="HB36" s="55">
        <f t="shared" si="284"/>
        <v>0.68999999999999984</v>
      </c>
      <c r="HC36" s="55">
        <f t="shared" si="284"/>
        <v>0.66999999999999982</v>
      </c>
      <c r="HD36" s="55">
        <f t="shared" si="284"/>
        <v>0.6499999999999998</v>
      </c>
      <c r="HE36" s="55">
        <f t="shared" si="284"/>
        <v>0.62999999999999978</v>
      </c>
      <c r="HF36" s="55">
        <f t="shared" si="284"/>
        <v>0.60999999999999976</v>
      </c>
      <c r="HG36" s="55">
        <f t="shared" si="284"/>
        <v>0.58999999999999975</v>
      </c>
      <c r="HH36" s="55">
        <f t="shared" si="284"/>
        <v>0.56999999999999973</v>
      </c>
    </row>
    <row r="37" spans="1:216" x14ac:dyDescent="0.3">
      <c r="A37" s="2">
        <v>4</v>
      </c>
      <c r="C37" s="38" t="s">
        <v>16</v>
      </c>
      <c r="D37" s="42">
        <f>TRUNC(46943,-1)</f>
        <v>46940</v>
      </c>
      <c r="E37" s="71">
        <f t="shared" si="153"/>
        <v>155170</v>
      </c>
      <c r="H37" s="55">
        <f t="shared" si="154"/>
        <v>51634.000000000007</v>
      </c>
      <c r="I37" s="55">
        <f t="shared" si="62"/>
        <v>51634.000000000007</v>
      </c>
      <c r="J37" s="59">
        <f t="shared" si="63"/>
        <v>170691.67720000003</v>
      </c>
      <c r="K37" s="55">
        <f t="shared" si="155"/>
        <v>50084.98</v>
      </c>
      <c r="L37" s="59">
        <f t="shared" si="156"/>
        <v>165570.92688400001</v>
      </c>
      <c r="M37" s="55">
        <f t="shared" si="157"/>
        <v>49052.3</v>
      </c>
      <c r="N37" s="59">
        <f t="shared" si="158"/>
        <v>162157.09334000002</v>
      </c>
      <c r="O37" s="55">
        <f t="shared" si="159"/>
        <v>48019.62000000001</v>
      </c>
      <c r="P37" s="59">
        <f t="shared" si="160"/>
        <v>158743.25979600003</v>
      </c>
      <c r="Q37" s="57">
        <f t="shared" si="161"/>
        <v>46986.94000000001</v>
      </c>
      <c r="R37" s="59">
        <f t="shared" si="162"/>
        <v>155329.42625200003</v>
      </c>
      <c r="S37" s="55">
        <f t="shared" si="163"/>
        <v>45954.260000000009</v>
      </c>
      <c r="T37" s="59">
        <f t="shared" si="164"/>
        <v>151915.59270800004</v>
      </c>
      <c r="U37" s="57">
        <f t="shared" si="165"/>
        <v>44921.580000000009</v>
      </c>
      <c r="V37" s="59">
        <f t="shared" si="166"/>
        <v>148501.75916400005</v>
      </c>
      <c r="W37" s="60">
        <f t="shared" si="167"/>
        <v>43888.9</v>
      </c>
      <c r="X37" s="59">
        <f t="shared" si="168"/>
        <v>145087.92561999999</v>
      </c>
      <c r="Y37" s="57">
        <f t="shared" si="169"/>
        <v>42856.22</v>
      </c>
      <c r="Z37" s="59">
        <f t="shared" si="170"/>
        <v>141674.092076</v>
      </c>
      <c r="AA37" s="55">
        <f t="shared" si="171"/>
        <v>41823.54</v>
      </c>
      <c r="AB37" s="59">
        <f t="shared" si="172"/>
        <v>138260.25853200001</v>
      </c>
      <c r="AC37" s="60">
        <f t="shared" si="173"/>
        <v>40790.86</v>
      </c>
      <c r="AD37" s="59">
        <f t="shared" si="174"/>
        <v>134846.42498800001</v>
      </c>
      <c r="AE37" s="60">
        <f t="shared" si="175"/>
        <v>39758.18</v>
      </c>
      <c r="AF37" s="59">
        <f t="shared" si="176"/>
        <v>131432.59144399999</v>
      </c>
      <c r="AG37" s="60">
        <f t="shared" si="177"/>
        <v>38725.5</v>
      </c>
      <c r="AH37" s="59">
        <f t="shared" si="178"/>
        <v>128018.7579</v>
      </c>
      <c r="AI37" s="55">
        <f t="shared" si="179"/>
        <v>37692.82</v>
      </c>
      <c r="AJ37" s="59">
        <f t="shared" si="180"/>
        <v>124604.924356</v>
      </c>
      <c r="AK37" s="60">
        <f t="shared" si="181"/>
        <v>36660.14</v>
      </c>
      <c r="AL37" s="59">
        <f t="shared" si="182"/>
        <v>121191.09081199999</v>
      </c>
      <c r="AM37" s="60">
        <f t="shared" si="183"/>
        <v>35627.46</v>
      </c>
      <c r="AN37" s="59">
        <f t="shared" si="184"/>
        <v>117777.257268</v>
      </c>
      <c r="AO37" s="60">
        <f t="shared" si="185"/>
        <v>34594.78</v>
      </c>
      <c r="AP37" s="59">
        <f t="shared" si="186"/>
        <v>114363.42372399999</v>
      </c>
      <c r="AQ37" s="60">
        <f t="shared" si="187"/>
        <v>33562.099999999991</v>
      </c>
      <c r="AR37" s="59">
        <f t="shared" si="188"/>
        <v>110949.59017999997</v>
      </c>
      <c r="AS37" s="55">
        <f t="shared" si="189"/>
        <v>32529.419999999995</v>
      </c>
      <c r="AT37" s="59">
        <f t="shared" si="190"/>
        <v>107535.75663599999</v>
      </c>
      <c r="AU37" s="60">
        <f t="shared" si="191"/>
        <v>31496.739999999991</v>
      </c>
      <c r="AV37" s="59">
        <f t="shared" si="192"/>
        <v>104121.92309199997</v>
      </c>
      <c r="AW37" s="60">
        <f t="shared" si="193"/>
        <v>30464.05999999999</v>
      </c>
      <c r="AX37" s="59">
        <f t="shared" si="194"/>
        <v>100708.08954799997</v>
      </c>
      <c r="AY37" s="55">
        <f t="shared" si="195"/>
        <v>29431.37999999999</v>
      </c>
      <c r="AZ37" s="59">
        <f t="shared" si="196"/>
        <v>97294.256003999966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4"/>
        <v>0.91</v>
      </c>
      <c r="BH37" s="55">
        <f t="shared" si="144"/>
        <v>0.89</v>
      </c>
      <c r="BI37" s="55">
        <f t="shared" si="144"/>
        <v>0.87</v>
      </c>
      <c r="BJ37" s="55">
        <f t="shared" si="144"/>
        <v>0.85</v>
      </c>
      <c r="BK37" s="55">
        <f t="shared" si="144"/>
        <v>0.83</v>
      </c>
      <c r="BL37" s="55">
        <f t="shared" si="144"/>
        <v>0.80999999999999994</v>
      </c>
      <c r="BM37" s="55">
        <f t="shared" si="144"/>
        <v>0.78999999999999992</v>
      </c>
      <c r="BN37" s="55">
        <f t="shared" si="144"/>
        <v>0.76999999999999991</v>
      </c>
      <c r="BO37" s="55">
        <f t="shared" si="144"/>
        <v>0.74999999999999989</v>
      </c>
      <c r="BP37" s="55">
        <f t="shared" si="144"/>
        <v>0.72999999999999987</v>
      </c>
      <c r="BQ37" s="55">
        <f t="shared" si="144"/>
        <v>0.70999999999999985</v>
      </c>
      <c r="BR37" s="55">
        <f t="shared" si="144"/>
        <v>0.68999999999999984</v>
      </c>
      <c r="BS37" s="55">
        <f t="shared" si="144"/>
        <v>0.66999999999999982</v>
      </c>
      <c r="BT37" s="55">
        <f t="shared" si="144"/>
        <v>0.6499999999999998</v>
      </c>
      <c r="BU37" s="55">
        <f t="shared" si="144"/>
        <v>0.62999999999999978</v>
      </c>
      <c r="BV37" s="55">
        <f t="shared" si="144"/>
        <v>0.60999999999999976</v>
      </c>
      <c r="BW37" s="55">
        <f t="shared" si="144"/>
        <v>0.58999999999999975</v>
      </c>
      <c r="BX37" s="55">
        <f t="shared" si="144"/>
        <v>0.56999999999999973</v>
      </c>
      <c r="BZ37" s="55">
        <f t="shared" si="88"/>
        <v>46986.94000000001</v>
      </c>
      <c r="CA37" s="55">
        <f t="shared" si="89"/>
        <v>46986.94000000001</v>
      </c>
      <c r="CB37" s="59">
        <f t="shared" si="197"/>
        <v>155329.42625200003</v>
      </c>
      <c r="CC37" s="55">
        <f t="shared" si="198"/>
        <v>45577.331800000007</v>
      </c>
      <c r="CD37" s="59">
        <f t="shared" si="199"/>
        <v>150669.54346444004</v>
      </c>
      <c r="CE37" s="55">
        <f t="shared" si="200"/>
        <v>44637.593000000008</v>
      </c>
      <c r="CF37" s="59">
        <f t="shared" si="201"/>
        <v>147562.95493940002</v>
      </c>
      <c r="CG37" s="55">
        <f t="shared" si="202"/>
        <v>43697.854200000009</v>
      </c>
      <c r="CH37" s="59">
        <f t="shared" si="203"/>
        <v>144456.36641436003</v>
      </c>
      <c r="CI37" s="57">
        <f t="shared" si="204"/>
        <v>42758.11540000001</v>
      </c>
      <c r="CJ37" s="59">
        <f t="shared" si="205"/>
        <v>141349.77788932004</v>
      </c>
      <c r="CK37" s="55">
        <f t="shared" si="206"/>
        <v>41818.376600000011</v>
      </c>
      <c r="CL37" s="59">
        <f t="shared" si="207"/>
        <v>138243.18936428003</v>
      </c>
      <c r="CM37" s="57">
        <f t="shared" si="208"/>
        <v>40878.637800000011</v>
      </c>
      <c r="CN37" s="59">
        <f t="shared" si="209"/>
        <v>135136.60083924004</v>
      </c>
      <c r="CO37" s="60">
        <f t="shared" si="210"/>
        <v>39938.899000000005</v>
      </c>
      <c r="CP37" s="59">
        <f t="shared" si="211"/>
        <v>132030.01231420002</v>
      </c>
      <c r="CQ37" s="57">
        <f t="shared" si="212"/>
        <v>38999.160200000006</v>
      </c>
      <c r="CR37" s="59">
        <f t="shared" si="213"/>
        <v>128923.42378916002</v>
      </c>
      <c r="CS37" s="55">
        <f t="shared" si="214"/>
        <v>38059.421400000007</v>
      </c>
      <c r="CT37" s="59">
        <f t="shared" si="215"/>
        <v>125816.83526412002</v>
      </c>
      <c r="CU37" s="60">
        <f t="shared" si="216"/>
        <v>37119.682600000007</v>
      </c>
      <c r="CV37" s="59">
        <f t="shared" si="217"/>
        <v>122710.24673908003</v>
      </c>
      <c r="CW37" s="60">
        <f t="shared" si="218"/>
        <v>36179.943800000001</v>
      </c>
      <c r="CX37" s="59">
        <f t="shared" si="219"/>
        <v>119603.65821404</v>
      </c>
      <c r="CY37" s="60">
        <f t="shared" si="220"/>
        <v>35240.205000000002</v>
      </c>
      <c r="CZ37" s="59">
        <f t="shared" si="221"/>
        <v>116497.06968900001</v>
      </c>
      <c r="DA37" s="55">
        <f t="shared" si="222"/>
        <v>34300.466200000003</v>
      </c>
      <c r="DB37" s="59">
        <f t="shared" si="223"/>
        <v>113390.48116396001</v>
      </c>
      <c r="DC37" s="60">
        <f t="shared" si="224"/>
        <v>33360.727400000003</v>
      </c>
      <c r="DD37" s="59">
        <f t="shared" si="225"/>
        <v>110283.89263892002</v>
      </c>
      <c r="DE37" s="60">
        <f t="shared" si="226"/>
        <v>32420.988600000001</v>
      </c>
      <c r="DF37" s="59">
        <f t="shared" si="227"/>
        <v>107177.30411388</v>
      </c>
      <c r="DG37" s="60">
        <f t="shared" si="228"/>
        <v>31481.249799999998</v>
      </c>
      <c r="DH37" s="59">
        <f t="shared" si="229"/>
        <v>104070.71558884</v>
      </c>
      <c r="DI37" s="60">
        <f t="shared" si="230"/>
        <v>30541.510999999999</v>
      </c>
      <c r="DJ37" s="59">
        <f t="shared" si="231"/>
        <v>100964.1270638</v>
      </c>
      <c r="DK37" s="55">
        <f t="shared" si="232"/>
        <v>29601.772199999996</v>
      </c>
      <c r="DL37" s="59">
        <f t="shared" si="233"/>
        <v>97857.538538759982</v>
      </c>
      <c r="DM37" s="60">
        <f t="shared" si="234"/>
        <v>28662.033399999993</v>
      </c>
      <c r="DN37" s="59">
        <f t="shared" si="235"/>
        <v>94750.950013719979</v>
      </c>
      <c r="DO37" s="60">
        <f t="shared" si="236"/>
        <v>27722.294599999994</v>
      </c>
      <c r="DP37" s="59">
        <f t="shared" si="237"/>
        <v>91644.361488679977</v>
      </c>
      <c r="DQ37" s="55">
        <f t="shared" si="238"/>
        <v>26782.555799999991</v>
      </c>
      <c r="DR37" s="59">
        <f t="shared" si="239"/>
        <v>88537.772963639974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40"/>
        <v>0.91</v>
      </c>
      <c r="DZ37" s="55">
        <f t="shared" si="240"/>
        <v>0.89</v>
      </c>
      <c r="EA37" s="55">
        <f t="shared" si="240"/>
        <v>0.87</v>
      </c>
      <c r="EB37" s="55">
        <f t="shared" si="240"/>
        <v>0.85</v>
      </c>
      <c r="EC37" s="55">
        <f t="shared" si="240"/>
        <v>0.83</v>
      </c>
      <c r="ED37" s="55">
        <f t="shared" si="240"/>
        <v>0.80999999999999994</v>
      </c>
      <c r="EE37" s="55">
        <f t="shared" si="240"/>
        <v>0.78999999999999992</v>
      </c>
      <c r="EF37" s="55">
        <f t="shared" si="240"/>
        <v>0.76999999999999991</v>
      </c>
      <c r="EG37" s="55">
        <f t="shared" si="240"/>
        <v>0.74999999999999989</v>
      </c>
      <c r="EH37" s="55">
        <f t="shared" si="240"/>
        <v>0.72999999999999987</v>
      </c>
      <c r="EI37" s="55">
        <f t="shared" si="240"/>
        <v>0.70999999999999985</v>
      </c>
      <c r="EJ37" s="55">
        <f t="shared" si="240"/>
        <v>0.68999999999999984</v>
      </c>
      <c r="EK37" s="55">
        <f t="shared" si="240"/>
        <v>0.66999999999999982</v>
      </c>
      <c r="EL37" s="55">
        <f t="shared" si="240"/>
        <v>0.6499999999999998</v>
      </c>
      <c r="EM37" s="55">
        <f t="shared" si="240"/>
        <v>0.62999999999999978</v>
      </c>
      <c r="EN37" s="55">
        <f t="shared" si="240"/>
        <v>0.60999999999999976</v>
      </c>
      <c r="EO37" s="55">
        <f t="shared" si="240"/>
        <v>0.58999999999999975</v>
      </c>
      <c r="EP37" s="55">
        <f t="shared" si="240"/>
        <v>0.56999999999999973</v>
      </c>
      <c r="ER37" s="55">
        <f t="shared" si="142"/>
        <v>42758.11540000001</v>
      </c>
      <c r="ES37" s="55">
        <f t="shared" si="116"/>
        <v>42758.11540000001</v>
      </c>
      <c r="ET37" s="59">
        <f t="shared" si="241"/>
        <v>141349.77788932004</v>
      </c>
      <c r="EU37" s="55">
        <f t="shared" si="242"/>
        <v>41475.371938000011</v>
      </c>
      <c r="EV37" s="59">
        <f t="shared" si="243"/>
        <v>137109.28455264043</v>
      </c>
      <c r="EW37" s="55">
        <f t="shared" si="244"/>
        <v>40620.209630000005</v>
      </c>
      <c r="EX37" s="59">
        <f t="shared" si="245"/>
        <v>134282.28899485403</v>
      </c>
      <c r="EY37" s="55">
        <f t="shared" si="246"/>
        <v>39765.047322000013</v>
      </c>
      <c r="EZ37" s="59">
        <f t="shared" si="247"/>
        <v>131455.29343706765</v>
      </c>
      <c r="FA37" s="57">
        <f t="shared" si="248"/>
        <v>38909.885014000007</v>
      </c>
      <c r="FB37" s="59">
        <f t="shared" si="249"/>
        <v>128628.29787928122</v>
      </c>
      <c r="FC37" s="55">
        <f t="shared" si="250"/>
        <v>38054.722706000008</v>
      </c>
      <c r="FD37" s="59">
        <f t="shared" si="251"/>
        <v>125801.30232149483</v>
      </c>
      <c r="FE37" s="57">
        <f t="shared" si="252"/>
        <v>37199.560398000009</v>
      </c>
      <c r="FF37" s="59">
        <f t="shared" si="253"/>
        <v>122974.30676370843</v>
      </c>
      <c r="FG37" s="60">
        <f t="shared" si="254"/>
        <v>36344.39809000001</v>
      </c>
      <c r="FH37" s="59">
        <f t="shared" si="255"/>
        <v>120147.31120592203</v>
      </c>
      <c r="FI37" s="57">
        <f t="shared" si="256"/>
        <v>35489.235782000003</v>
      </c>
      <c r="FJ37" s="59">
        <f t="shared" si="257"/>
        <v>117320.31564813561</v>
      </c>
      <c r="FK37" s="55">
        <f t="shared" si="258"/>
        <v>34634.073474000004</v>
      </c>
      <c r="FL37" s="59">
        <f t="shared" si="259"/>
        <v>114493.32009034921</v>
      </c>
      <c r="FM37" s="60">
        <f t="shared" si="260"/>
        <v>33778.911166000005</v>
      </c>
      <c r="FN37" s="59">
        <f t="shared" si="261"/>
        <v>111666.32453256282</v>
      </c>
      <c r="FO37" s="60">
        <f t="shared" si="262"/>
        <v>32923.748858000006</v>
      </c>
      <c r="FP37" s="59">
        <f t="shared" si="263"/>
        <v>108839.32897477642</v>
      </c>
      <c r="FQ37" s="60">
        <f t="shared" si="264"/>
        <v>32068.586550000004</v>
      </c>
      <c r="FR37" s="59">
        <f t="shared" si="265"/>
        <v>106012.33341699002</v>
      </c>
      <c r="FS37" s="55">
        <f t="shared" si="266"/>
        <v>31213.424242000001</v>
      </c>
      <c r="FT37" s="59">
        <f t="shared" si="267"/>
        <v>103185.3378592036</v>
      </c>
      <c r="FU37" s="60">
        <f t="shared" si="268"/>
        <v>30358.261934000002</v>
      </c>
      <c r="FV37" s="59">
        <f t="shared" si="269"/>
        <v>100358.34230141721</v>
      </c>
      <c r="FW37" s="60">
        <f t="shared" si="270"/>
        <v>29503.099625999999</v>
      </c>
      <c r="FX37" s="59">
        <f t="shared" si="271"/>
        <v>97531.346743630798</v>
      </c>
      <c r="FY37" s="60">
        <f t="shared" si="272"/>
        <v>28647.937318</v>
      </c>
      <c r="FZ37" s="59">
        <f t="shared" si="273"/>
        <v>94704.351185844396</v>
      </c>
      <c r="GA37" s="60">
        <f t="shared" si="274"/>
        <v>27792.775009999998</v>
      </c>
      <c r="GB37" s="59">
        <f t="shared" si="275"/>
        <v>91877.355628057994</v>
      </c>
      <c r="GC37" s="55">
        <f t="shared" si="276"/>
        <v>26937.612701999999</v>
      </c>
      <c r="GD37" s="59">
        <f t="shared" si="277"/>
        <v>89050.360070271592</v>
      </c>
      <c r="GE37" s="60">
        <f t="shared" si="278"/>
        <v>26082.450393999996</v>
      </c>
      <c r="GF37" s="59">
        <f t="shared" si="279"/>
        <v>86223.36451248519</v>
      </c>
      <c r="GG37" s="60">
        <f t="shared" si="280"/>
        <v>25227.288085999993</v>
      </c>
      <c r="GH37" s="59">
        <f t="shared" si="281"/>
        <v>83396.368954698773</v>
      </c>
      <c r="GI37" s="55">
        <f t="shared" si="282"/>
        <v>24372.125777999994</v>
      </c>
      <c r="GJ37" s="59">
        <f t="shared" si="283"/>
        <v>80569.373396912386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84"/>
        <v>0.91</v>
      </c>
      <c r="GR37" s="55">
        <f t="shared" si="284"/>
        <v>0.89</v>
      </c>
      <c r="GS37" s="55">
        <f t="shared" si="284"/>
        <v>0.87</v>
      </c>
      <c r="GT37" s="55">
        <f t="shared" si="284"/>
        <v>0.85</v>
      </c>
      <c r="GU37" s="55">
        <f t="shared" si="284"/>
        <v>0.83</v>
      </c>
      <c r="GV37" s="55">
        <f t="shared" si="284"/>
        <v>0.80999999999999994</v>
      </c>
      <c r="GW37" s="55">
        <f t="shared" si="284"/>
        <v>0.78999999999999992</v>
      </c>
      <c r="GX37" s="55">
        <f t="shared" si="284"/>
        <v>0.76999999999999991</v>
      </c>
      <c r="GY37" s="55">
        <f t="shared" si="284"/>
        <v>0.74999999999999989</v>
      </c>
      <c r="GZ37" s="55">
        <f t="shared" si="284"/>
        <v>0.72999999999999987</v>
      </c>
      <c r="HA37" s="55">
        <f t="shared" si="284"/>
        <v>0.70999999999999985</v>
      </c>
      <c r="HB37" s="55">
        <f t="shared" si="284"/>
        <v>0.68999999999999984</v>
      </c>
      <c r="HC37" s="55">
        <f t="shared" si="284"/>
        <v>0.66999999999999982</v>
      </c>
      <c r="HD37" s="55">
        <f t="shared" si="284"/>
        <v>0.6499999999999998</v>
      </c>
      <c r="HE37" s="55">
        <f t="shared" si="284"/>
        <v>0.62999999999999978</v>
      </c>
      <c r="HF37" s="55">
        <f t="shared" si="284"/>
        <v>0.60999999999999976</v>
      </c>
      <c r="HG37" s="55">
        <f t="shared" si="284"/>
        <v>0.58999999999999975</v>
      </c>
      <c r="HH37" s="55">
        <f t="shared" si="284"/>
        <v>0.56999999999999973</v>
      </c>
    </row>
    <row r="38" spans="1:216" x14ac:dyDescent="0.3">
      <c r="A38" s="2">
        <v>5</v>
      </c>
      <c r="C38" s="38" t="s">
        <v>17</v>
      </c>
      <c r="D38" s="42">
        <f>TRUNC(19474,-1)</f>
        <v>19470</v>
      </c>
      <c r="E38" s="71">
        <f t="shared" si="153"/>
        <v>64360</v>
      </c>
      <c r="H38" s="55">
        <f t="shared" si="154"/>
        <v>21417</v>
      </c>
      <c r="I38" s="55">
        <f t="shared" si="62"/>
        <v>21417</v>
      </c>
      <c r="J38" s="59">
        <f t="shared" si="63"/>
        <v>70800.318599999999</v>
      </c>
      <c r="K38" s="55">
        <f t="shared" si="155"/>
        <v>20774.489999999998</v>
      </c>
      <c r="L38" s="59">
        <f t="shared" si="156"/>
        <v>68676.309041999993</v>
      </c>
      <c r="M38" s="55">
        <f t="shared" si="157"/>
        <v>20346.149999999998</v>
      </c>
      <c r="N38" s="59">
        <f t="shared" si="158"/>
        <v>67260.30266999999</v>
      </c>
      <c r="O38" s="55">
        <f t="shared" si="159"/>
        <v>19917.810000000001</v>
      </c>
      <c r="P38" s="59">
        <f t="shared" si="160"/>
        <v>65844.296298000001</v>
      </c>
      <c r="Q38" s="57">
        <f t="shared" si="161"/>
        <v>19489.47</v>
      </c>
      <c r="R38" s="59">
        <f t="shared" si="162"/>
        <v>64428.289926000005</v>
      </c>
      <c r="S38" s="55">
        <f t="shared" si="163"/>
        <v>19061.13</v>
      </c>
      <c r="T38" s="59">
        <f t="shared" si="164"/>
        <v>63012.283554000001</v>
      </c>
      <c r="U38" s="57">
        <f t="shared" si="165"/>
        <v>18632.79</v>
      </c>
      <c r="V38" s="59">
        <f t="shared" si="166"/>
        <v>61596.277182000005</v>
      </c>
      <c r="W38" s="60">
        <f t="shared" si="167"/>
        <v>18204.45</v>
      </c>
      <c r="X38" s="59">
        <f t="shared" si="168"/>
        <v>60180.270810000002</v>
      </c>
      <c r="Y38" s="57">
        <f t="shared" si="169"/>
        <v>17776.11</v>
      </c>
      <c r="Z38" s="59">
        <f t="shared" si="170"/>
        <v>58764.264438000006</v>
      </c>
      <c r="AA38" s="55">
        <f t="shared" si="171"/>
        <v>17347.77</v>
      </c>
      <c r="AB38" s="59">
        <f t="shared" si="172"/>
        <v>57348.258066000002</v>
      </c>
      <c r="AC38" s="60">
        <f t="shared" si="173"/>
        <v>16919.429999999997</v>
      </c>
      <c r="AD38" s="59">
        <f t="shared" si="174"/>
        <v>55932.251693999991</v>
      </c>
      <c r="AE38" s="60">
        <f t="shared" si="175"/>
        <v>16491.089999999997</v>
      </c>
      <c r="AF38" s="59">
        <f t="shared" si="176"/>
        <v>54516.245321999988</v>
      </c>
      <c r="AG38" s="60">
        <f t="shared" si="177"/>
        <v>16062.749999999998</v>
      </c>
      <c r="AH38" s="59">
        <f t="shared" si="178"/>
        <v>53100.238949999992</v>
      </c>
      <c r="AI38" s="55">
        <f t="shared" si="179"/>
        <v>15634.409999999998</v>
      </c>
      <c r="AJ38" s="59">
        <f t="shared" si="180"/>
        <v>51684.232577999996</v>
      </c>
      <c r="AK38" s="60">
        <f t="shared" si="181"/>
        <v>15206.069999999996</v>
      </c>
      <c r="AL38" s="59">
        <f t="shared" si="182"/>
        <v>50268.226205999985</v>
      </c>
      <c r="AM38" s="60">
        <f t="shared" si="183"/>
        <v>14777.729999999996</v>
      </c>
      <c r="AN38" s="59">
        <f t="shared" si="184"/>
        <v>48852.219833999989</v>
      </c>
      <c r="AO38" s="60">
        <f t="shared" si="185"/>
        <v>14349.389999999996</v>
      </c>
      <c r="AP38" s="59">
        <f t="shared" si="186"/>
        <v>47436.213461999985</v>
      </c>
      <c r="AQ38" s="60">
        <f t="shared" si="187"/>
        <v>13921.049999999996</v>
      </c>
      <c r="AR38" s="59">
        <f t="shared" si="188"/>
        <v>46020.207089999989</v>
      </c>
      <c r="AS38" s="55">
        <f t="shared" si="189"/>
        <v>13492.709999999995</v>
      </c>
      <c r="AT38" s="59">
        <f t="shared" si="190"/>
        <v>44604.200717999985</v>
      </c>
      <c r="AU38" s="60">
        <f t="shared" si="191"/>
        <v>13064.369999999995</v>
      </c>
      <c r="AV38" s="59">
        <f t="shared" si="192"/>
        <v>43188.194345999982</v>
      </c>
      <c r="AW38" s="60">
        <f t="shared" si="193"/>
        <v>12636.029999999995</v>
      </c>
      <c r="AX38" s="59">
        <f t="shared" si="194"/>
        <v>41772.187973999986</v>
      </c>
      <c r="AY38" s="55">
        <f t="shared" si="195"/>
        <v>12207.689999999995</v>
      </c>
      <c r="AZ38" s="59">
        <f t="shared" si="196"/>
        <v>40356.181601999982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4"/>
        <v>0.91</v>
      </c>
      <c r="BH38" s="55">
        <f t="shared" si="144"/>
        <v>0.89</v>
      </c>
      <c r="BI38" s="55">
        <f t="shared" si="144"/>
        <v>0.87</v>
      </c>
      <c r="BJ38" s="55">
        <f t="shared" si="144"/>
        <v>0.85</v>
      </c>
      <c r="BK38" s="55">
        <f t="shared" si="144"/>
        <v>0.83</v>
      </c>
      <c r="BL38" s="55">
        <f t="shared" si="144"/>
        <v>0.80999999999999994</v>
      </c>
      <c r="BM38" s="55">
        <f t="shared" si="144"/>
        <v>0.78999999999999992</v>
      </c>
      <c r="BN38" s="55">
        <f t="shared" si="144"/>
        <v>0.76999999999999991</v>
      </c>
      <c r="BO38" s="55">
        <f t="shared" si="144"/>
        <v>0.74999999999999989</v>
      </c>
      <c r="BP38" s="55">
        <f t="shared" si="144"/>
        <v>0.72999999999999987</v>
      </c>
      <c r="BQ38" s="55">
        <f t="shared" si="144"/>
        <v>0.70999999999999985</v>
      </c>
      <c r="BR38" s="55">
        <f t="shared" si="144"/>
        <v>0.68999999999999984</v>
      </c>
      <c r="BS38" s="55">
        <f t="shared" si="144"/>
        <v>0.66999999999999982</v>
      </c>
      <c r="BT38" s="55">
        <f t="shared" si="144"/>
        <v>0.6499999999999998</v>
      </c>
      <c r="BU38" s="55">
        <f t="shared" si="144"/>
        <v>0.62999999999999978</v>
      </c>
      <c r="BV38" s="55">
        <f t="shared" si="144"/>
        <v>0.60999999999999976</v>
      </c>
      <c r="BW38" s="55">
        <f t="shared" si="144"/>
        <v>0.58999999999999975</v>
      </c>
      <c r="BX38" s="55">
        <f t="shared" si="144"/>
        <v>0.56999999999999973</v>
      </c>
      <c r="BZ38" s="55">
        <f t="shared" si="88"/>
        <v>19489.47</v>
      </c>
      <c r="CA38" s="55">
        <f t="shared" si="89"/>
        <v>19489.47</v>
      </c>
      <c r="CB38" s="59">
        <f t="shared" si="197"/>
        <v>64428.289926000005</v>
      </c>
      <c r="CC38" s="55">
        <f t="shared" si="198"/>
        <v>18904.785899999999</v>
      </c>
      <c r="CD38" s="59">
        <f t="shared" si="199"/>
        <v>62495.441228219999</v>
      </c>
      <c r="CE38" s="55">
        <f t="shared" si="200"/>
        <v>18514.996500000001</v>
      </c>
      <c r="CF38" s="59">
        <f t="shared" si="201"/>
        <v>61206.875429700005</v>
      </c>
      <c r="CG38" s="55">
        <f t="shared" si="202"/>
        <v>18125.207100000003</v>
      </c>
      <c r="CH38" s="59">
        <f t="shared" si="203"/>
        <v>59918.309631180011</v>
      </c>
      <c r="CI38" s="57">
        <f t="shared" si="204"/>
        <v>17735.417700000002</v>
      </c>
      <c r="CJ38" s="59">
        <f t="shared" si="205"/>
        <v>58629.74383266001</v>
      </c>
      <c r="CK38" s="55">
        <f t="shared" si="206"/>
        <v>17345.6283</v>
      </c>
      <c r="CL38" s="59">
        <f t="shared" si="207"/>
        <v>57341.178034140001</v>
      </c>
      <c r="CM38" s="57">
        <f t="shared" si="208"/>
        <v>16955.838900000002</v>
      </c>
      <c r="CN38" s="59">
        <f t="shared" si="209"/>
        <v>56052.612235620007</v>
      </c>
      <c r="CO38" s="60">
        <f t="shared" si="210"/>
        <v>16566.049500000001</v>
      </c>
      <c r="CP38" s="59">
        <f t="shared" si="211"/>
        <v>54764.046437100005</v>
      </c>
      <c r="CQ38" s="57">
        <f t="shared" si="212"/>
        <v>16176.2601</v>
      </c>
      <c r="CR38" s="59">
        <f t="shared" si="213"/>
        <v>53475.480638579997</v>
      </c>
      <c r="CS38" s="55">
        <f t="shared" si="214"/>
        <v>15786.4707</v>
      </c>
      <c r="CT38" s="59">
        <f t="shared" si="215"/>
        <v>52186.914840060002</v>
      </c>
      <c r="CU38" s="60">
        <f t="shared" si="216"/>
        <v>15396.6813</v>
      </c>
      <c r="CV38" s="59">
        <f t="shared" si="217"/>
        <v>50898.349041540001</v>
      </c>
      <c r="CW38" s="60">
        <f t="shared" si="218"/>
        <v>15006.891899999999</v>
      </c>
      <c r="CX38" s="59">
        <f t="shared" si="219"/>
        <v>49609.78324302</v>
      </c>
      <c r="CY38" s="60">
        <f t="shared" si="220"/>
        <v>14617.102499999999</v>
      </c>
      <c r="CZ38" s="59">
        <f t="shared" si="221"/>
        <v>48321.217444499998</v>
      </c>
      <c r="DA38" s="55">
        <f t="shared" si="222"/>
        <v>14227.313099999998</v>
      </c>
      <c r="DB38" s="59">
        <f t="shared" si="223"/>
        <v>47032.65164597999</v>
      </c>
      <c r="DC38" s="60">
        <f t="shared" si="224"/>
        <v>13837.523699999998</v>
      </c>
      <c r="DD38" s="59">
        <f t="shared" si="225"/>
        <v>45744.085847459995</v>
      </c>
      <c r="DE38" s="60">
        <f t="shared" si="226"/>
        <v>13447.734299999998</v>
      </c>
      <c r="DF38" s="59">
        <f t="shared" si="227"/>
        <v>44455.520048939994</v>
      </c>
      <c r="DG38" s="60">
        <f t="shared" si="228"/>
        <v>13057.944899999997</v>
      </c>
      <c r="DH38" s="59">
        <f t="shared" si="229"/>
        <v>43166.954250419993</v>
      </c>
      <c r="DI38" s="60">
        <f t="shared" si="230"/>
        <v>12668.155499999997</v>
      </c>
      <c r="DJ38" s="59">
        <f t="shared" si="231"/>
        <v>41878.388451899991</v>
      </c>
      <c r="DK38" s="55">
        <f t="shared" si="232"/>
        <v>12278.366099999996</v>
      </c>
      <c r="DL38" s="59">
        <f t="shared" si="233"/>
        <v>40589.82265337999</v>
      </c>
      <c r="DM38" s="60">
        <f t="shared" si="234"/>
        <v>11888.576699999996</v>
      </c>
      <c r="DN38" s="59">
        <f t="shared" si="235"/>
        <v>39301.256854859988</v>
      </c>
      <c r="DO38" s="60">
        <f t="shared" si="236"/>
        <v>11498.787299999996</v>
      </c>
      <c r="DP38" s="59">
        <f t="shared" si="237"/>
        <v>38012.691056339987</v>
      </c>
      <c r="DQ38" s="55">
        <f t="shared" si="238"/>
        <v>11108.997899999995</v>
      </c>
      <c r="DR38" s="59">
        <f t="shared" si="239"/>
        <v>36724.125257819986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40"/>
        <v>0.91</v>
      </c>
      <c r="DZ38" s="55">
        <f t="shared" si="240"/>
        <v>0.89</v>
      </c>
      <c r="EA38" s="55">
        <f t="shared" si="240"/>
        <v>0.87</v>
      </c>
      <c r="EB38" s="55">
        <f t="shared" si="240"/>
        <v>0.85</v>
      </c>
      <c r="EC38" s="55">
        <f t="shared" si="240"/>
        <v>0.83</v>
      </c>
      <c r="ED38" s="55">
        <f t="shared" si="240"/>
        <v>0.80999999999999994</v>
      </c>
      <c r="EE38" s="55">
        <f t="shared" si="240"/>
        <v>0.78999999999999992</v>
      </c>
      <c r="EF38" s="55">
        <f t="shared" si="240"/>
        <v>0.76999999999999991</v>
      </c>
      <c r="EG38" s="55">
        <f t="shared" si="240"/>
        <v>0.74999999999999989</v>
      </c>
      <c r="EH38" s="55">
        <f t="shared" si="240"/>
        <v>0.72999999999999987</v>
      </c>
      <c r="EI38" s="55">
        <f t="shared" si="240"/>
        <v>0.70999999999999985</v>
      </c>
      <c r="EJ38" s="55">
        <f t="shared" si="240"/>
        <v>0.68999999999999984</v>
      </c>
      <c r="EK38" s="55">
        <f t="shared" si="240"/>
        <v>0.66999999999999982</v>
      </c>
      <c r="EL38" s="55">
        <f t="shared" si="240"/>
        <v>0.6499999999999998</v>
      </c>
      <c r="EM38" s="55">
        <f t="shared" si="240"/>
        <v>0.62999999999999978</v>
      </c>
      <c r="EN38" s="55">
        <f t="shared" si="240"/>
        <v>0.60999999999999976</v>
      </c>
      <c r="EO38" s="55">
        <f t="shared" si="240"/>
        <v>0.58999999999999975</v>
      </c>
      <c r="EP38" s="55">
        <f t="shared" si="240"/>
        <v>0.56999999999999973</v>
      </c>
      <c r="ER38" s="55">
        <f t="shared" si="142"/>
        <v>17735.417700000002</v>
      </c>
      <c r="ES38" s="55">
        <f t="shared" si="116"/>
        <v>17735.417700000002</v>
      </c>
      <c r="ET38" s="59">
        <f t="shared" si="241"/>
        <v>58629.74383266001</v>
      </c>
      <c r="EU38" s="55">
        <f t="shared" si="242"/>
        <v>17203.355169000002</v>
      </c>
      <c r="EV38" s="59">
        <f t="shared" si="243"/>
        <v>56870.85151768021</v>
      </c>
      <c r="EW38" s="55">
        <f t="shared" si="244"/>
        <v>16848.646815</v>
      </c>
      <c r="EX38" s="59">
        <f t="shared" si="245"/>
        <v>55698.256641027001</v>
      </c>
      <c r="EY38" s="55">
        <f t="shared" si="246"/>
        <v>16493.938461000002</v>
      </c>
      <c r="EZ38" s="59">
        <f t="shared" si="247"/>
        <v>54525.661764373806</v>
      </c>
      <c r="FA38" s="57">
        <f t="shared" si="248"/>
        <v>16139.230107000003</v>
      </c>
      <c r="FB38" s="59">
        <f t="shared" si="249"/>
        <v>53353.066887720612</v>
      </c>
      <c r="FC38" s="55">
        <f t="shared" si="250"/>
        <v>15784.521753000003</v>
      </c>
      <c r="FD38" s="59">
        <f t="shared" si="251"/>
        <v>52180.47201106741</v>
      </c>
      <c r="FE38" s="57">
        <f t="shared" si="252"/>
        <v>15429.813399000001</v>
      </c>
      <c r="FF38" s="59">
        <f t="shared" si="253"/>
        <v>51007.877134414201</v>
      </c>
      <c r="FG38" s="60">
        <f t="shared" si="254"/>
        <v>15075.105045</v>
      </c>
      <c r="FH38" s="59">
        <f t="shared" si="255"/>
        <v>49835.282257760999</v>
      </c>
      <c r="FI38" s="57">
        <f t="shared" si="256"/>
        <v>14720.396691</v>
      </c>
      <c r="FJ38" s="59">
        <f t="shared" si="257"/>
        <v>48662.687381107804</v>
      </c>
      <c r="FK38" s="55">
        <f t="shared" si="258"/>
        <v>14365.688337</v>
      </c>
      <c r="FL38" s="59">
        <f t="shared" si="259"/>
        <v>47490.092504454602</v>
      </c>
      <c r="FM38" s="60">
        <f t="shared" si="260"/>
        <v>14010.979982999999</v>
      </c>
      <c r="FN38" s="59">
        <f t="shared" si="261"/>
        <v>46317.4976278014</v>
      </c>
      <c r="FO38" s="60">
        <f t="shared" si="262"/>
        <v>13656.271628999999</v>
      </c>
      <c r="FP38" s="59">
        <f t="shared" si="263"/>
        <v>45144.902751148198</v>
      </c>
      <c r="FQ38" s="60">
        <f t="shared" si="264"/>
        <v>13301.563274999999</v>
      </c>
      <c r="FR38" s="59">
        <f t="shared" si="265"/>
        <v>43972.307874494996</v>
      </c>
      <c r="FS38" s="55">
        <f t="shared" si="266"/>
        <v>12946.854920999998</v>
      </c>
      <c r="FT38" s="59">
        <f t="shared" si="267"/>
        <v>42799.712997841794</v>
      </c>
      <c r="FU38" s="60">
        <f t="shared" si="268"/>
        <v>12592.146566999998</v>
      </c>
      <c r="FV38" s="59">
        <f t="shared" si="269"/>
        <v>41627.118121188592</v>
      </c>
      <c r="FW38" s="60">
        <f t="shared" si="270"/>
        <v>12237.438212999998</v>
      </c>
      <c r="FX38" s="59">
        <f t="shared" si="271"/>
        <v>40454.52324453539</v>
      </c>
      <c r="FY38" s="60">
        <f t="shared" si="272"/>
        <v>11882.729858999997</v>
      </c>
      <c r="FZ38" s="59">
        <f t="shared" si="273"/>
        <v>39281.928367882188</v>
      </c>
      <c r="GA38" s="60">
        <f t="shared" si="274"/>
        <v>11528.021504999997</v>
      </c>
      <c r="GB38" s="59">
        <f t="shared" si="275"/>
        <v>38109.333491228994</v>
      </c>
      <c r="GC38" s="55">
        <f t="shared" si="276"/>
        <v>11173.313150999997</v>
      </c>
      <c r="GD38" s="59">
        <f t="shared" si="277"/>
        <v>36936.738614575792</v>
      </c>
      <c r="GE38" s="60">
        <f t="shared" si="278"/>
        <v>10818.604796999996</v>
      </c>
      <c r="GF38" s="59">
        <f t="shared" si="279"/>
        <v>35764.14373792259</v>
      </c>
      <c r="GG38" s="60">
        <f t="shared" si="280"/>
        <v>10463.896442999996</v>
      </c>
      <c r="GH38" s="59">
        <f t="shared" si="281"/>
        <v>34591.548861269388</v>
      </c>
      <c r="GI38" s="55">
        <f t="shared" si="282"/>
        <v>10109.188088999996</v>
      </c>
      <c r="GJ38" s="59">
        <f t="shared" si="283"/>
        <v>33418.953984616186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84"/>
        <v>0.91</v>
      </c>
      <c r="GR38" s="55">
        <f t="shared" si="284"/>
        <v>0.89</v>
      </c>
      <c r="GS38" s="55">
        <f t="shared" si="284"/>
        <v>0.87</v>
      </c>
      <c r="GT38" s="55">
        <f t="shared" si="284"/>
        <v>0.85</v>
      </c>
      <c r="GU38" s="55">
        <f t="shared" si="284"/>
        <v>0.83</v>
      </c>
      <c r="GV38" s="55">
        <f t="shared" si="284"/>
        <v>0.80999999999999994</v>
      </c>
      <c r="GW38" s="55">
        <f t="shared" si="284"/>
        <v>0.78999999999999992</v>
      </c>
      <c r="GX38" s="55">
        <f t="shared" si="284"/>
        <v>0.76999999999999991</v>
      </c>
      <c r="GY38" s="55">
        <f t="shared" si="284"/>
        <v>0.74999999999999989</v>
      </c>
      <c r="GZ38" s="55">
        <f t="shared" si="284"/>
        <v>0.72999999999999987</v>
      </c>
      <c r="HA38" s="55">
        <f t="shared" si="284"/>
        <v>0.70999999999999985</v>
      </c>
      <c r="HB38" s="55">
        <f t="shared" si="284"/>
        <v>0.68999999999999984</v>
      </c>
      <c r="HC38" s="55">
        <f t="shared" si="284"/>
        <v>0.66999999999999982</v>
      </c>
      <c r="HD38" s="55">
        <f t="shared" si="284"/>
        <v>0.6499999999999998</v>
      </c>
      <c r="HE38" s="55">
        <f t="shared" si="284"/>
        <v>0.62999999999999978</v>
      </c>
      <c r="HF38" s="55">
        <f t="shared" si="284"/>
        <v>0.60999999999999976</v>
      </c>
      <c r="HG38" s="55">
        <f t="shared" si="284"/>
        <v>0.58999999999999975</v>
      </c>
      <c r="HH38" s="55">
        <f t="shared" si="284"/>
        <v>0.56999999999999973</v>
      </c>
    </row>
    <row r="39" spans="1:216" x14ac:dyDescent="0.3">
      <c r="A39" s="2">
        <v>6</v>
      </c>
      <c r="C39" s="38" t="s">
        <v>18</v>
      </c>
      <c r="D39" s="42">
        <v>8830</v>
      </c>
      <c r="E39" s="71">
        <f t="shared" si="153"/>
        <v>29190</v>
      </c>
      <c r="H39" s="55">
        <f t="shared" si="154"/>
        <v>9713</v>
      </c>
      <c r="I39" s="55">
        <f t="shared" si="62"/>
        <v>9713</v>
      </c>
      <c r="J39" s="59">
        <f t="shared" si="63"/>
        <v>32109.235400000001</v>
      </c>
      <c r="K39" s="55">
        <f t="shared" si="155"/>
        <v>9421.61</v>
      </c>
      <c r="L39" s="59">
        <f t="shared" si="156"/>
        <v>31145.958338000004</v>
      </c>
      <c r="M39" s="55">
        <f t="shared" si="157"/>
        <v>9227.35</v>
      </c>
      <c r="N39" s="59">
        <f t="shared" si="158"/>
        <v>30503.773630000003</v>
      </c>
      <c r="O39" s="55">
        <f t="shared" si="159"/>
        <v>9033.09</v>
      </c>
      <c r="P39" s="59">
        <f t="shared" si="160"/>
        <v>29861.588922000003</v>
      </c>
      <c r="Q39" s="57">
        <f t="shared" si="161"/>
        <v>8838.83</v>
      </c>
      <c r="R39" s="59">
        <f t="shared" si="162"/>
        <v>29219.404214000002</v>
      </c>
      <c r="S39" s="55">
        <f t="shared" si="163"/>
        <v>8644.57</v>
      </c>
      <c r="T39" s="59">
        <f t="shared" si="164"/>
        <v>28577.219506000001</v>
      </c>
      <c r="U39" s="57">
        <f t="shared" si="165"/>
        <v>8450.31</v>
      </c>
      <c r="V39" s="59">
        <f t="shared" si="166"/>
        <v>27935.034798000001</v>
      </c>
      <c r="W39" s="60">
        <f t="shared" si="167"/>
        <v>8256.0499999999993</v>
      </c>
      <c r="X39" s="59">
        <f t="shared" si="168"/>
        <v>27292.85009</v>
      </c>
      <c r="Y39" s="57">
        <f t="shared" si="169"/>
        <v>8061.79</v>
      </c>
      <c r="Z39" s="59">
        <f t="shared" si="170"/>
        <v>26650.665381999999</v>
      </c>
      <c r="AA39" s="55">
        <f t="shared" si="171"/>
        <v>7867.53</v>
      </c>
      <c r="AB39" s="59">
        <f t="shared" si="172"/>
        <v>26008.480673999999</v>
      </c>
      <c r="AC39" s="60">
        <f t="shared" si="173"/>
        <v>7673.2699999999995</v>
      </c>
      <c r="AD39" s="59">
        <f t="shared" si="174"/>
        <v>25366.295965999998</v>
      </c>
      <c r="AE39" s="60">
        <f t="shared" si="175"/>
        <v>7479.0099999999993</v>
      </c>
      <c r="AF39" s="59">
        <f t="shared" si="176"/>
        <v>24724.111257999997</v>
      </c>
      <c r="AG39" s="60">
        <f t="shared" si="177"/>
        <v>7284.7499999999991</v>
      </c>
      <c r="AH39" s="59">
        <f t="shared" si="178"/>
        <v>24081.926549999996</v>
      </c>
      <c r="AI39" s="55">
        <f t="shared" si="179"/>
        <v>7090.4899999999989</v>
      </c>
      <c r="AJ39" s="59">
        <f t="shared" si="180"/>
        <v>23439.741841999996</v>
      </c>
      <c r="AK39" s="60">
        <f t="shared" si="181"/>
        <v>6896.2299999999987</v>
      </c>
      <c r="AL39" s="59">
        <f t="shared" si="182"/>
        <v>22797.557133999995</v>
      </c>
      <c r="AM39" s="60">
        <f t="shared" si="183"/>
        <v>6701.9699999999984</v>
      </c>
      <c r="AN39" s="59">
        <f t="shared" si="184"/>
        <v>22155.372425999994</v>
      </c>
      <c r="AO39" s="60">
        <f t="shared" si="185"/>
        <v>6507.7099999999982</v>
      </c>
      <c r="AP39" s="59">
        <f t="shared" si="186"/>
        <v>21513.187717999994</v>
      </c>
      <c r="AQ39" s="60">
        <f t="shared" si="187"/>
        <v>6313.449999999998</v>
      </c>
      <c r="AR39" s="59">
        <f t="shared" si="188"/>
        <v>20871.003009999993</v>
      </c>
      <c r="AS39" s="55">
        <f t="shared" si="189"/>
        <v>6119.1899999999978</v>
      </c>
      <c r="AT39" s="59">
        <f t="shared" si="190"/>
        <v>20228.818301999992</v>
      </c>
      <c r="AU39" s="60">
        <f t="shared" si="191"/>
        <v>5924.9299999999976</v>
      </c>
      <c r="AV39" s="59">
        <f t="shared" si="192"/>
        <v>19586.633593999992</v>
      </c>
      <c r="AW39" s="60">
        <f t="shared" si="193"/>
        <v>5730.6699999999973</v>
      </c>
      <c r="AX39" s="59">
        <f t="shared" si="194"/>
        <v>18944.448885999991</v>
      </c>
      <c r="AY39" s="55">
        <f t="shared" si="195"/>
        <v>5536.4099999999971</v>
      </c>
      <c r="AZ39" s="59">
        <f t="shared" si="196"/>
        <v>18302.26417799999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4"/>
        <v>0.91</v>
      </c>
      <c r="BH39" s="55">
        <f t="shared" si="144"/>
        <v>0.89</v>
      </c>
      <c r="BI39" s="55">
        <f t="shared" si="144"/>
        <v>0.87</v>
      </c>
      <c r="BJ39" s="55">
        <f t="shared" si="144"/>
        <v>0.85</v>
      </c>
      <c r="BK39" s="55">
        <f t="shared" si="144"/>
        <v>0.83</v>
      </c>
      <c r="BL39" s="55">
        <f t="shared" si="144"/>
        <v>0.80999999999999994</v>
      </c>
      <c r="BM39" s="55">
        <f t="shared" si="144"/>
        <v>0.78999999999999992</v>
      </c>
      <c r="BN39" s="55">
        <f t="shared" si="144"/>
        <v>0.76999999999999991</v>
      </c>
      <c r="BO39" s="55">
        <f t="shared" si="144"/>
        <v>0.74999999999999989</v>
      </c>
      <c r="BP39" s="55">
        <f t="shared" si="144"/>
        <v>0.72999999999999987</v>
      </c>
      <c r="BQ39" s="55">
        <f t="shared" si="144"/>
        <v>0.70999999999999985</v>
      </c>
      <c r="BR39" s="55">
        <f t="shared" si="144"/>
        <v>0.68999999999999984</v>
      </c>
      <c r="BS39" s="55">
        <f t="shared" si="144"/>
        <v>0.66999999999999982</v>
      </c>
      <c r="BT39" s="55">
        <f t="shared" si="144"/>
        <v>0.6499999999999998</v>
      </c>
      <c r="BU39" s="55">
        <f t="shared" si="144"/>
        <v>0.62999999999999978</v>
      </c>
      <c r="BV39" s="55">
        <f t="shared" si="144"/>
        <v>0.60999999999999976</v>
      </c>
      <c r="BW39" s="55">
        <f t="shared" si="144"/>
        <v>0.58999999999999975</v>
      </c>
      <c r="BX39" s="55">
        <f t="shared" si="144"/>
        <v>0.56999999999999973</v>
      </c>
      <c r="BZ39" s="55">
        <f t="shared" si="88"/>
        <v>8838.83</v>
      </c>
      <c r="CA39" s="55">
        <f t="shared" si="89"/>
        <v>8838.83</v>
      </c>
      <c r="CB39" s="59">
        <f t="shared" si="197"/>
        <v>29219.404214000002</v>
      </c>
      <c r="CC39" s="55">
        <f t="shared" si="198"/>
        <v>8573.6651000000002</v>
      </c>
      <c r="CD39" s="59">
        <f t="shared" si="199"/>
        <v>28342.82208758</v>
      </c>
      <c r="CE39" s="55">
        <f t="shared" si="200"/>
        <v>8396.8884999999991</v>
      </c>
      <c r="CF39" s="59">
        <f t="shared" si="201"/>
        <v>27758.434003299997</v>
      </c>
      <c r="CG39" s="55">
        <f t="shared" si="202"/>
        <v>8220.1118999999999</v>
      </c>
      <c r="CH39" s="59">
        <f t="shared" si="203"/>
        <v>27174.045919020002</v>
      </c>
      <c r="CI39" s="57">
        <f t="shared" si="204"/>
        <v>8043.3353000000006</v>
      </c>
      <c r="CJ39" s="59">
        <f t="shared" si="205"/>
        <v>26589.657834740003</v>
      </c>
      <c r="CK39" s="55">
        <f t="shared" si="206"/>
        <v>7866.5587000000005</v>
      </c>
      <c r="CL39" s="59">
        <f t="shared" si="207"/>
        <v>26005.269750460004</v>
      </c>
      <c r="CM39" s="57">
        <f t="shared" si="208"/>
        <v>7689.7820999999994</v>
      </c>
      <c r="CN39" s="59">
        <f t="shared" si="209"/>
        <v>25420.881666179997</v>
      </c>
      <c r="CO39" s="60">
        <f t="shared" si="210"/>
        <v>7513.0054999999993</v>
      </c>
      <c r="CP39" s="59">
        <f t="shared" si="211"/>
        <v>24836.493581899998</v>
      </c>
      <c r="CQ39" s="57">
        <f t="shared" si="212"/>
        <v>7336.2288999999992</v>
      </c>
      <c r="CR39" s="59">
        <f t="shared" si="213"/>
        <v>24252.105497619999</v>
      </c>
      <c r="CS39" s="55">
        <f t="shared" si="214"/>
        <v>7159.452299999999</v>
      </c>
      <c r="CT39" s="59">
        <f t="shared" si="215"/>
        <v>23667.717413339997</v>
      </c>
      <c r="CU39" s="60">
        <f t="shared" si="216"/>
        <v>6982.6756999999989</v>
      </c>
      <c r="CV39" s="59">
        <f t="shared" si="217"/>
        <v>23083.329329059998</v>
      </c>
      <c r="CW39" s="60">
        <f t="shared" si="218"/>
        <v>6805.8990999999987</v>
      </c>
      <c r="CX39" s="59">
        <f t="shared" si="219"/>
        <v>22498.941244779995</v>
      </c>
      <c r="CY39" s="60">
        <f t="shared" si="220"/>
        <v>6629.1224999999986</v>
      </c>
      <c r="CZ39" s="59">
        <f t="shared" si="221"/>
        <v>21914.553160499996</v>
      </c>
      <c r="DA39" s="55">
        <f t="shared" si="222"/>
        <v>6452.3458999999984</v>
      </c>
      <c r="DB39" s="59">
        <f t="shared" si="223"/>
        <v>21330.165076219997</v>
      </c>
      <c r="DC39" s="60">
        <f t="shared" si="224"/>
        <v>6275.5692999999983</v>
      </c>
      <c r="DD39" s="59">
        <f t="shared" si="225"/>
        <v>20745.776991939994</v>
      </c>
      <c r="DE39" s="60">
        <f t="shared" si="226"/>
        <v>6098.7926999999981</v>
      </c>
      <c r="DF39" s="59">
        <f t="shared" si="227"/>
        <v>20161.388907659995</v>
      </c>
      <c r="DG39" s="60">
        <f t="shared" si="228"/>
        <v>5922.016099999998</v>
      </c>
      <c r="DH39" s="59">
        <f t="shared" si="229"/>
        <v>19577.000823379993</v>
      </c>
      <c r="DI39" s="60">
        <f t="shared" si="230"/>
        <v>5745.2394999999979</v>
      </c>
      <c r="DJ39" s="59">
        <f t="shared" si="231"/>
        <v>18992.612739099994</v>
      </c>
      <c r="DK39" s="55">
        <f t="shared" si="232"/>
        <v>5568.4628999999977</v>
      </c>
      <c r="DL39" s="59">
        <f t="shared" si="233"/>
        <v>18408.224654819995</v>
      </c>
      <c r="DM39" s="60">
        <f t="shared" si="234"/>
        <v>5391.6862999999976</v>
      </c>
      <c r="DN39" s="59">
        <f t="shared" si="235"/>
        <v>17823.836570539992</v>
      </c>
      <c r="DO39" s="60">
        <f t="shared" si="236"/>
        <v>5214.9096999999974</v>
      </c>
      <c r="DP39" s="59">
        <f t="shared" si="237"/>
        <v>17239.448486259993</v>
      </c>
      <c r="DQ39" s="55">
        <f t="shared" si="238"/>
        <v>5038.1330999999973</v>
      </c>
      <c r="DR39" s="59">
        <f t="shared" si="239"/>
        <v>16655.06040197999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40"/>
        <v>0.91</v>
      </c>
      <c r="DZ39" s="55">
        <f t="shared" si="240"/>
        <v>0.89</v>
      </c>
      <c r="EA39" s="55">
        <f t="shared" si="240"/>
        <v>0.87</v>
      </c>
      <c r="EB39" s="55">
        <f t="shared" si="240"/>
        <v>0.85</v>
      </c>
      <c r="EC39" s="55">
        <f t="shared" si="240"/>
        <v>0.83</v>
      </c>
      <c r="ED39" s="55">
        <f t="shared" si="240"/>
        <v>0.80999999999999994</v>
      </c>
      <c r="EE39" s="55">
        <f t="shared" si="240"/>
        <v>0.78999999999999992</v>
      </c>
      <c r="EF39" s="55">
        <f t="shared" si="240"/>
        <v>0.76999999999999991</v>
      </c>
      <c r="EG39" s="55">
        <f t="shared" si="240"/>
        <v>0.74999999999999989</v>
      </c>
      <c r="EH39" s="55">
        <f t="shared" si="240"/>
        <v>0.72999999999999987</v>
      </c>
      <c r="EI39" s="55">
        <f t="shared" si="240"/>
        <v>0.70999999999999985</v>
      </c>
      <c r="EJ39" s="55">
        <f t="shared" si="240"/>
        <v>0.68999999999999984</v>
      </c>
      <c r="EK39" s="55">
        <f t="shared" si="240"/>
        <v>0.66999999999999982</v>
      </c>
      <c r="EL39" s="55">
        <f t="shared" si="240"/>
        <v>0.6499999999999998</v>
      </c>
      <c r="EM39" s="55">
        <f t="shared" si="240"/>
        <v>0.62999999999999978</v>
      </c>
      <c r="EN39" s="55">
        <f t="shared" si="240"/>
        <v>0.60999999999999976</v>
      </c>
      <c r="EO39" s="55">
        <f t="shared" si="240"/>
        <v>0.58999999999999975</v>
      </c>
      <c r="EP39" s="55">
        <f t="shared" si="240"/>
        <v>0.56999999999999973</v>
      </c>
      <c r="ER39" s="55">
        <f t="shared" si="142"/>
        <v>8043.3353000000006</v>
      </c>
      <c r="ES39" s="55">
        <f t="shared" si="116"/>
        <v>8043.3353000000006</v>
      </c>
      <c r="ET39" s="59">
        <f t="shared" si="241"/>
        <v>26589.657834740003</v>
      </c>
      <c r="EU39" s="55">
        <f t="shared" si="242"/>
        <v>7802.0352410000005</v>
      </c>
      <c r="EV39" s="59">
        <f t="shared" si="243"/>
        <v>25791.968099697802</v>
      </c>
      <c r="EW39" s="55">
        <f t="shared" si="244"/>
        <v>7641.1685350000007</v>
      </c>
      <c r="EX39" s="59">
        <f t="shared" si="245"/>
        <v>25260.174943003003</v>
      </c>
      <c r="EY39" s="55">
        <f t="shared" si="246"/>
        <v>7480.3018290000009</v>
      </c>
      <c r="EZ39" s="59">
        <f t="shared" si="247"/>
        <v>24728.381786308204</v>
      </c>
      <c r="FA39" s="57">
        <f t="shared" si="248"/>
        <v>7319.4351230000011</v>
      </c>
      <c r="FB39" s="59">
        <f t="shared" si="249"/>
        <v>24196.588629613405</v>
      </c>
      <c r="FC39" s="55">
        <f t="shared" si="250"/>
        <v>7158.5684170000004</v>
      </c>
      <c r="FD39" s="59">
        <f t="shared" si="251"/>
        <v>23664.795472918602</v>
      </c>
      <c r="FE39" s="57">
        <f t="shared" si="252"/>
        <v>6997.7017110000006</v>
      </c>
      <c r="FF39" s="59">
        <f t="shared" si="253"/>
        <v>23133.002316223803</v>
      </c>
      <c r="FG39" s="60">
        <f t="shared" si="254"/>
        <v>6836.8350050000008</v>
      </c>
      <c r="FH39" s="59">
        <f t="shared" si="255"/>
        <v>22601.209159529004</v>
      </c>
      <c r="FI39" s="57">
        <f t="shared" si="256"/>
        <v>6675.9682990000001</v>
      </c>
      <c r="FJ39" s="59">
        <f t="shared" si="257"/>
        <v>22069.416002834201</v>
      </c>
      <c r="FK39" s="55">
        <f t="shared" si="258"/>
        <v>6515.1015930000003</v>
      </c>
      <c r="FL39" s="59">
        <f t="shared" si="259"/>
        <v>21537.622846139402</v>
      </c>
      <c r="FM39" s="60">
        <f t="shared" si="260"/>
        <v>6354.2348869999996</v>
      </c>
      <c r="FN39" s="59">
        <f t="shared" si="261"/>
        <v>21005.829689444599</v>
      </c>
      <c r="FO39" s="60">
        <f t="shared" si="262"/>
        <v>6193.3681809999998</v>
      </c>
      <c r="FP39" s="59">
        <f t="shared" si="263"/>
        <v>20474.0365327498</v>
      </c>
      <c r="FQ39" s="60">
        <f t="shared" si="264"/>
        <v>6032.501475</v>
      </c>
      <c r="FR39" s="59">
        <f t="shared" si="265"/>
        <v>19942.243376055001</v>
      </c>
      <c r="FS39" s="55">
        <f t="shared" si="266"/>
        <v>5871.6347689999993</v>
      </c>
      <c r="FT39" s="59">
        <f t="shared" si="267"/>
        <v>19410.450219360198</v>
      </c>
      <c r="FU39" s="60">
        <f t="shared" si="268"/>
        <v>5710.7680629999995</v>
      </c>
      <c r="FV39" s="59">
        <f t="shared" si="269"/>
        <v>18878.657062665399</v>
      </c>
      <c r="FW39" s="60">
        <f t="shared" si="270"/>
        <v>5549.9013569999988</v>
      </c>
      <c r="FX39" s="59">
        <f t="shared" si="271"/>
        <v>18346.863905970597</v>
      </c>
      <c r="FY39" s="60">
        <f t="shared" si="272"/>
        <v>5389.034650999999</v>
      </c>
      <c r="FZ39" s="59">
        <f t="shared" si="273"/>
        <v>17815.070749275797</v>
      </c>
      <c r="GA39" s="60">
        <f t="shared" si="274"/>
        <v>5228.1679449999992</v>
      </c>
      <c r="GB39" s="59">
        <f t="shared" si="275"/>
        <v>17283.277592580998</v>
      </c>
      <c r="GC39" s="55">
        <f t="shared" si="276"/>
        <v>5067.3012389999985</v>
      </c>
      <c r="GD39" s="59">
        <f t="shared" si="277"/>
        <v>16751.484435886196</v>
      </c>
      <c r="GE39" s="60">
        <f t="shared" si="278"/>
        <v>4906.4345329999987</v>
      </c>
      <c r="GF39" s="59">
        <f t="shared" si="279"/>
        <v>16219.691279191396</v>
      </c>
      <c r="GG39" s="60">
        <f t="shared" si="280"/>
        <v>4745.567826999998</v>
      </c>
      <c r="GH39" s="59">
        <f t="shared" si="281"/>
        <v>15687.898122496594</v>
      </c>
      <c r="GI39" s="55">
        <f t="shared" si="282"/>
        <v>4584.7011209999982</v>
      </c>
      <c r="GJ39" s="59">
        <f t="shared" si="283"/>
        <v>15156.104965801795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84"/>
        <v>0.91</v>
      </c>
      <c r="GR39" s="55">
        <f t="shared" si="284"/>
        <v>0.89</v>
      </c>
      <c r="GS39" s="55">
        <f t="shared" si="284"/>
        <v>0.87</v>
      </c>
      <c r="GT39" s="55">
        <f t="shared" si="284"/>
        <v>0.85</v>
      </c>
      <c r="GU39" s="55">
        <f t="shared" si="284"/>
        <v>0.83</v>
      </c>
      <c r="GV39" s="55">
        <f t="shared" si="284"/>
        <v>0.80999999999999994</v>
      </c>
      <c r="GW39" s="55">
        <f t="shared" si="284"/>
        <v>0.78999999999999992</v>
      </c>
      <c r="GX39" s="55">
        <f t="shared" si="284"/>
        <v>0.76999999999999991</v>
      </c>
      <c r="GY39" s="55">
        <f t="shared" si="284"/>
        <v>0.74999999999999989</v>
      </c>
      <c r="GZ39" s="55">
        <f t="shared" si="284"/>
        <v>0.72999999999999987</v>
      </c>
      <c r="HA39" s="55">
        <f t="shared" si="284"/>
        <v>0.70999999999999985</v>
      </c>
      <c r="HB39" s="55">
        <f t="shared" si="284"/>
        <v>0.68999999999999984</v>
      </c>
      <c r="HC39" s="55">
        <f t="shared" si="284"/>
        <v>0.66999999999999982</v>
      </c>
      <c r="HD39" s="55">
        <f t="shared" si="284"/>
        <v>0.6499999999999998</v>
      </c>
      <c r="HE39" s="55">
        <f t="shared" si="284"/>
        <v>0.62999999999999978</v>
      </c>
      <c r="HF39" s="55">
        <f t="shared" si="284"/>
        <v>0.60999999999999976</v>
      </c>
      <c r="HG39" s="55">
        <f t="shared" si="284"/>
        <v>0.58999999999999975</v>
      </c>
      <c r="HH39" s="55">
        <f t="shared" si="284"/>
        <v>0.56999999999999973</v>
      </c>
    </row>
    <row r="40" spans="1:216" x14ac:dyDescent="0.3">
      <c r="A40" s="2">
        <v>7</v>
      </c>
      <c r="C40" s="38" t="s">
        <v>19</v>
      </c>
      <c r="D40" s="42">
        <f>TRUNC(22224,-1)</f>
        <v>22220</v>
      </c>
      <c r="E40" s="71">
        <f t="shared" si="153"/>
        <v>73450</v>
      </c>
      <c r="H40" s="55">
        <f t="shared" si="154"/>
        <v>24442.000000000004</v>
      </c>
      <c r="I40" s="55">
        <f t="shared" si="62"/>
        <v>24442.000000000004</v>
      </c>
      <c r="J40" s="59">
        <f t="shared" si="63"/>
        <v>80800.363600000012</v>
      </c>
      <c r="K40" s="55">
        <f t="shared" si="155"/>
        <v>23708.74</v>
      </c>
      <c r="L40" s="59">
        <f t="shared" si="156"/>
        <v>78376.352692</v>
      </c>
      <c r="M40" s="55">
        <f t="shared" si="157"/>
        <v>23219.9</v>
      </c>
      <c r="N40" s="59">
        <f t="shared" si="158"/>
        <v>76760.345420000012</v>
      </c>
      <c r="O40" s="55">
        <f t="shared" si="159"/>
        <v>22731.060000000005</v>
      </c>
      <c r="P40" s="59">
        <f t="shared" si="160"/>
        <v>75144.338148000024</v>
      </c>
      <c r="Q40" s="57">
        <f t="shared" si="161"/>
        <v>22242.220000000005</v>
      </c>
      <c r="R40" s="59">
        <f t="shared" si="162"/>
        <v>73528.330876000022</v>
      </c>
      <c r="S40" s="55">
        <f t="shared" si="163"/>
        <v>21753.380000000005</v>
      </c>
      <c r="T40" s="59">
        <f t="shared" si="164"/>
        <v>71912.323604000019</v>
      </c>
      <c r="U40" s="57">
        <f t="shared" si="165"/>
        <v>21264.540000000005</v>
      </c>
      <c r="V40" s="59">
        <f t="shared" si="166"/>
        <v>70296.316332000017</v>
      </c>
      <c r="W40" s="60">
        <f t="shared" si="167"/>
        <v>20775.700000000004</v>
      </c>
      <c r="X40" s="59">
        <f t="shared" si="168"/>
        <v>68680.309060000014</v>
      </c>
      <c r="Y40" s="57">
        <f t="shared" si="169"/>
        <v>20286.86</v>
      </c>
      <c r="Z40" s="59">
        <f t="shared" si="170"/>
        <v>67064.301787999997</v>
      </c>
      <c r="AA40" s="55">
        <f t="shared" si="171"/>
        <v>19798.02</v>
      </c>
      <c r="AB40" s="59">
        <f t="shared" si="172"/>
        <v>65448.294516000002</v>
      </c>
      <c r="AC40" s="60">
        <f t="shared" si="173"/>
        <v>19309.18</v>
      </c>
      <c r="AD40" s="59">
        <f t="shared" si="174"/>
        <v>63832.287243999999</v>
      </c>
      <c r="AE40" s="60">
        <f t="shared" si="175"/>
        <v>18820.34</v>
      </c>
      <c r="AF40" s="59">
        <f t="shared" si="176"/>
        <v>62216.279972000004</v>
      </c>
      <c r="AG40" s="60">
        <f t="shared" si="177"/>
        <v>18331.5</v>
      </c>
      <c r="AH40" s="59">
        <f t="shared" si="178"/>
        <v>60600.272700000001</v>
      </c>
      <c r="AI40" s="55">
        <f t="shared" si="179"/>
        <v>17842.66</v>
      </c>
      <c r="AJ40" s="59">
        <f t="shared" si="180"/>
        <v>58984.265427999999</v>
      </c>
      <c r="AK40" s="60">
        <f t="shared" si="181"/>
        <v>17353.82</v>
      </c>
      <c r="AL40" s="59">
        <f t="shared" si="182"/>
        <v>57368.258156000004</v>
      </c>
      <c r="AM40" s="60">
        <f t="shared" si="183"/>
        <v>16864.98</v>
      </c>
      <c r="AN40" s="59">
        <f t="shared" si="184"/>
        <v>55752.250884000001</v>
      </c>
      <c r="AO40" s="60">
        <f t="shared" si="185"/>
        <v>16376.139999999998</v>
      </c>
      <c r="AP40" s="59">
        <f t="shared" si="186"/>
        <v>54136.243611999991</v>
      </c>
      <c r="AQ40" s="60">
        <f t="shared" si="187"/>
        <v>15887.299999999997</v>
      </c>
      <c r="AR40" s="59">
        <f t="shared" si="188"/>
        <v>52520.236339999996</v>
      </c>
      <c r="AS40" s="55">
        <f t="shared" si="189"/>
        <v>15398.459999999997</v>
      </c>
      <c r="AT40" s="59">
        <f t="shared" si="190"/>
        <v>50904.229067999993</v>
      </c>
      <c r="AU40" s="60">
        <f t="shared" si="191"/>
        <v>14909.619999999997</v>
      </c>
      <c r="AV40" s="59">
        <f t="shared" si="192"/>
        <v>49288.221795999991</v>
      </c>
      <c r="AW40" s="60">
        <f t="shared" si="193"/>
        <v>14420.779999999995</v>
      </c>
      <c r="AX40" s="59">
        <f t="shared" si="194"/>
        <v>47672.214523999988</v>
      </c>
      <c r="AY40" s="55">
        <f t="shared" si="195"/>
        <v>13931.939999999995</v>
      </c>
      <c r="AZ40" s="59">
        <f t="shared" si="196"/>
        <v>46056.207251999986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4"/>
        <v>0.91</v>
      </c>
      <c r="BH40" s="55">
        <f t="shared" si="144"/>
        <v>0.89</v>
      </c>
      <c r="BI40" s="55">
        <f t="shared" si="144"/>
        <v>0.87</v>
      </c>
      <c r="BJ40" s="55">
        <f t="shared" si="144"/>
        <v>0.85</v>
      </c>
      <c r="BK40" s="55">
        <f t="shared" si="144"/>
        <v>0.83</v>
      </c>
      <c r="BL40" s="55">
        <f t="shared" si="144"/>
        <v>0.80999999999999994</v>
      </c>
      <c r="BM40" s="55">
        <f t="shared" si="144"/>
        <v>0.78999999999999992</v>
      </c>
      <c r="BN40" s="55">
        <f t="shared" si="144"/>
        <v>0.76999999999999991</v>
      </c>
      <c r="BO40" s="55">
        <f t="shared" si="144"/>
        <v>0.74999999999999989</v>
      </c>
      <c r="BP40" s="55">
        <f t="shared" si="144"/>
        <v>0.72999999999999987</v>
      </c>
      <c r="BQ40" s="55">
        <f t="shared" si="144"/>
        <v>0.70999999999999985</v>
      </c>
      <c r="BR40" s="55">
        <f t="shared" si="144"/>
        <v>0.68999999999999984</v>
      </c>
      <c r="BS40" s="55">
        <f t="shared" si="144"/>
        <v>0.66999999999999982</v>
      </c>
      <c r="BT40" s="55">
        <f t="shared" si="144"/>
        <v>0.6499999999999998</v>
      </c>
      <c r="BU40" s="55">
        <f t="shared" si="144"/>
        <v>0.62999999999999978</v>
      </c>
      <c r="BV40" s="55">
        <f t="shared" si="144"/>
        <v>0.60999999999999976</v>
      </c>
      <c r="BW40" s="55">
        <f t="shared" si="144"/>
        <v>0.58999999999999975</v>
      </c>
      <c r="BX40" s="55">
        <f t="shared" si="144"/>
        <v>0.56999999999999973</v>
      </c>
      <c r="BZ40" s="55">
        <f t="shared" si="88"/>
        <v>22242.220000000005</v>
      </c>
      <c r="CA40" s="55">
        <f t="shared" si="89"/>
        <v>22242.220000000005</v>
      </c>
      <c r="CB40" s="59">
        <f t="shared" si="197"/>
        <v>73528.330876000022</v>
      </c>
      <c r="CC40" s="55">
        <f t="shared" si="198"/>
        <v>21574.953400000006</v>
      </c>
      <c r="CD40" s="59">
        <f t="shared" si="199"/>
        <v>71322.480949720019</v>
      </c>
      <c r="CE40" s="55">
        <f t="shared" si="200"/>
        <v>21130.109000000004</v>
      </c>
      <c r="CF40" s="59">
        <f t="shared" si="201"/>
        <v>69851.914332200016</v>
      </c>
      <c r="CG40" s="55">
        <f t="shared" si="202"/>
        <v>20685.264600000006</v>
      </c>
      <c r="CH40" s="59">
        <f t="shared" si="203"/>
        <v>68381.347714680014</v>
      </c>
      <c r="CI40" s="57">
        <f t="shared" si="204"/>
        <v>20240.420200000004</v>
      </c>
      <c r="CJ40" s="59">
        <f t="shared" si="205"/>
        <v>66910.781097160012</v>
      </c>
      <c r="CK40" s="55">
        <f t="shared" si="206"/>
        <v>19795.575800000006</v>
      </c>
      <c r="CL40" s="59">
        <f t="shared" si="207"/>
        <v>65440.214479640024</v>
      </c>
      <c r="CM40" s="57">
        <f t="shared" si="208"/>
        <v>19350.731400000004</v>
      </c>
      <c r="CN40" s="59">
        <f t="shared" si="209"/>
        <v>63969.647862120015</v>
      </c>
      <c r="CO40" s="60">
        <f t="shared" si="210"/>
        <v>18905.887000000002</v>
      </c>
      <c r="CP40" s="59">
        <f t="shared" si="211"/>
        <v>62499.081244600013</v>
      </c>
      <c r="CQ40" s="57">
        <f t="shared" si="212"/>
        <v>18461.042600000004</v>
      </c>
      <c r="CR40" s="59">
        <f t="shared" si="213"/>
        <v>61028.514627080018</v>
      </c>
      <c r="CS40" s="55">
        <f t="shared" si="214"/>
        <v>18016.198200000003</v>
      </c>
      <c r="CT40" s="59">
        <f t="shared" si="215"/>
        <v>59557.948009560008</v>
      </c>
      <c r="CU40" s="60">
        <f t="shared" si="216"/>
        <v>17571.353800000001</v>
      </c>
      <c r="CV40" s="59">
        <f t="shared" si="217"/>
        <v>58087.381392040006</v>
      </c>
      <c r="CW40" s="60">
        <f t="shared" si="218"/>
        <v>17126.509400000003</v>
      </c>
      <c r="CX40" s="59">
        <f t="shared" si="219"/>
        <v>56616.814774520011</v>
      </c>
      <c r="CY40" s="60">
        <f t="shared" si="220"/>
        <v>16681.665000000001</v>
      </c>
      <c r="CZ40" s="59">
        <f t="shared" si="221"/>
        <v>55146.248157000002</v>
      </c>
      <c r="DA40" s="55">
        <f t="shared" si="222"/>
        <v>16236.820600000001</v>
      </c>
      <c r="DB40" s="59">
        <f t="shared" si="223"/>
        <v>53675.681539480007</v>
      </c>
      <c r="DC40" s="60">
        <f t="shared" si="224"/>
        <v>15791.976200000001</v>
      </c>
      <c r="DD40" s="59">
        <f t="shared" si="225"/>
        <v>52205.114921960005</v>
      </c>
      <c r="DE40" s="60">
        <f t="shared" si="226"/>
        <v>15347.131799999999</v>
      </c>
      <c r="DF40" s="59">
        <f t="shared" si="227"/>
        <v>50734.548304439995</v>
      </c>
      <c r="DG40" s="60">
        <f t="shared" si="228"/>
        <v>14902.287399999999</v>
      </c>
      <c r="DH40" s="59">
        <f t="shared" si="229"/>
        <v>49263.98168692</v>
      </c>
      <c r="DI40" s="60">
        <f t="shared" si="230"/>
        <v>14457.442999999999</v>
      </c>
      <c r="DJ40" s="59">
        <f t="shared" si="231"/>
        <v>47793.415069399998</v>
      </c>
      <c r="DK40" s="55">
        <f t="shared" si="232"/>
        <v>14012.598599999998</v>
      </c>
      <c r="DL40" s="59">
        <f t="shared" si="233"/>
        <v>46322.848451879996</v>
      </c>
      <c r="DM40" s="60">
        <f t="shared" si="234"/>
        <v>13567.754199999998</v>
      </c>
      <c r="DN40" s="59">
        <f t="shared" si="235"/>
        <v>44852.281834359994</v>
      </c>
      <c r="DO40" s="60">
        <f t="shared" si="236"/>
        <v>13122.909799999998</v>
      </c>
      <c r="DP40" s="59">
        <f t="shared" si="237"/>
        <v>43381.715216839992</v>
      </c>
      <c r="DQ40" s="55">
        <f t="shared" si="238"/>
        <v>12678.065399999996</v>
      </c>
      <c r="DR40" s="59">
        <f t="shared" si="239"/>
        <v>41911.148599319989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40"/>
        <v>0.91</v>
      </c>
      <c r="DZ40" s="55">
        <f t="shared" si="240"/>
        <v>0.89</v>
      </c>
      <c r="EA40" s="55">
        <f t="shared" si="240"/>
        <v>0.87</v>
      </c>
      <c r="EB40" s="55">
        <f t="shared" si="240"/>
        <v>0.85</v>
      </c>
      <c r="EC40" s="55">
        <f t="shared" si="240"/>
        <v>0.83</v>
      </c>
      <c r="ED40" s="55">
        <f t="shared" si="240"/>
        <v>0.80999999999999994</v>
      </c>
      <c r="EE40" s="55">
        <f t="shared" si="240"/>
        <v>0.78999999999999992</v>
      </c>
      <c r="EF40" s="55">
        <f t="shared" si="240"/>
        <v>0.76999999999999991</v>
      </c>
      <c r="EG40" s="55">
        <f t="shared" si="240"/>
        <v>0.74999999999999989</v>
      </c>
      <c r="EH40" s="55">
        <f t="shared" si="240"/>
        <v>0.72999999999999987</v>
      </c>
      <c r="EI40" s="55">
        <f t="shared" si="240"/>
        <v>0.70999999999999985</v>
      </c>
      <c r="EJ40" s="55">
        <f t="shared" si="240"/>
        <v>0.68999999999999984</v>
      </c>
      <c r="EK40" s="55">
        <f t="shared" si="240"/>
        <v>0.66999999999999982</v>
      </c>
      <c r="EL40" s="55">
        <f t="shared" si="240"/>
        <v>0.6499999999999998</v>
      </c>
      <c r="EM40" s="55">
        <f t="shared" si="240"/>
        <v>0.62999999999999978</v>
      </c>
      <c r="EN40" s="55">
        <f t="shared" si="240"/>
        <v>0.60999999999999976</v>
      </c>
      <c r="EO40" s="55">
        <f t="shared" si="240"/>
        <v>0.58999999999999975</v>
      </c>
      <c r="EP40" s="55">
        <f t="shared" si="240"/>
        <v>0.56999999999999973</v>
      </c>
      <c r="ER40" s="55">
        <f t="shared" si="142"/>
        <v>20240.420200000004</v>
      </c>
      <c r="ES40" s="55">
        <f t="shared" si="116"/>
        <v>20240.420200000004</v>
      </c>
      <c r="ET40" s="59">
        <f t="shared" si="241"/>
        <v>66910.781097160012</v>
      </c>
      <c r="EU40" s="55">
        <f t="shared" si="242"/>
        <v>19633.207594000003</v>
      </c>
      <c r="EV40" s="59">
        <f t="shared" si="243"/>
        <v>64903.457664245208</v>
      </c>
      <c r="EW40" s="55">
        <f t="shared" si="244"/>
        <v>19228.399190000004</v>
      </c>
      <c r="EX40" s="59">
        <f t="shared" si="245"/>
        <v>63565.242042302016</v>
      </c>
      <c r="EY40" s="55">
        <f t="shared" si="246"/>
        <v>18823.590786000004</v>
      </c>
      <c r="EZ40" s="59">
        <f t="shared" si="247"/>
        <v>62227.026420358816</v>
      </c>
      <c r="FA40" s="57">
        <f t="shared" si="248"/>
        <v>18418.782382000005</v>
      </c>
      <c r="FB40" s="59">
        <f t="shared" si="249"/>
        <v>60888.810798415616</v>
      </c>
      <c r="FC40" s="55">
        <f t="shared" si="250"/>
        <v>18013.973978000005</v>
      </c>
      <c r="FD40" s="59">
        <f t="shared" si="251"/>
        <v>59550.595176472416</v>
      </c>
      <c r="FE40" s="57">
        <f t="shared" si="252"/>
        <v>17609.165574000002</v>
      </c>
      <c r="FF40" s="59">
        <f t="shared" si="253"/>
        <v>58212.379554529209</v>
      </c>
      <c r="FG40" s="60">
        <f t="shared" si="254"/>
        <v>17204.357170000003</v>
      </c>
      <c r="FH40" s="59">
        <f t="shared" si="255"/>
        <v>56874.163932586009</v>
      </c>
      <c r="FI40" s="57">
        <f t="shared" si="256"/>
        <v>16799.548766000004</v>
      </c>
      <c r="FJ40" s="59">
        <f t="shared" si="257"/>
        <v>55535.948310642816</v>
      </c>
      <c r="FK40" s="55">
        <f t="shared" si="258"/>
        <v>16394.740362</v>
      </c>
      <c r="FL40" s="59">
        <f t="shared" si="259"/>
        <v>54197.732688699602</v>
      </c>
      <c r="FM40" s="60">
        <f t="shared" si="260"/>
        <v>15989.931958000001</v>
      </c>
      <c r="FN40" s="59">
        <f t="shared" si="261"/>
        <v>52859.517066756402</v>
      </c>
      <c r="FO40" s="60">
        <f t="shared" si="262"/>
        <v>15585.123554000002</v>
      </c>
      <c r="FP40" s="59">
        <f t="shared" si="263"/>
        <v>51521.301444813209</v>
      </c>
      <c r="FQ40" s="60">
        <f t="shared" si="264"/>
        <v>15180.31515</v>
      </c>
      <c r="FR40" s="59">
        <f t="shared" si="265"/>
        <v>50183.085822870002</v>
      </c>
      <c r="FS40" s="55">
        <f t="shared" si="266"/>
        <v>14775.506746000001</v>
      </c>
      <c r="FT40" s="59">
        <f t="shared" si="267"/>
        <v>48844.870200926802</v>
      </c>
      <c r="FU40" s="60">
        <f t="shared" si="268"/>
        <v>14370.698342</v>
      </c>
      <c r="FV40" s="59">
        <f t="shared" si="269"/>
        <v>47506.654578983602</v>
      </c>
      <c r="FW40" s="60">
        <f t="shared" si="270"/>
        <v>13965.889938</v>
      </c>
      <c r="FX40" s="59">
        <f t="shared" si="271"/>
        <v>46168.438957040402</v>
      </c>
      <c r="FY40" s="60">
        <f t="shared" si="272"/>
        <v>13561.081533999999</v>
      </c>
      <c r="FZ40" s="59">
        <f t="shared" si="273"/>
        <v>44830.223335097195</v>
      </c>
      <c r="GA40" s="60">
        <f t="shared" si="274"/>
        <v>13156.273129999998</v>
      </c>
      <c r="GB40" s="59">
        <f t="shared" si="275"/>
        <v>43492.007713153995</v>
      </c>
      <c r="GC40" s="55">
        <f t="shared" si="276"/>
        <v>12751.464725999998</v>
      </c>
      <c r="GD40" s="59">
        <f t="shared" si="277"/>
        <v>42153.792091210795</v>
      </c>
      <c r="GE40" s="60">
        <f t="shared" si="278"/>
        <v>12346.656321999997</v>
      </c>
      <c r="GF40" s="59">
        <f t="shared" si="279"/>
        <v>40815.576469267595</v>
      </c>
      <c r="GG40" s="60">
        <f t="shared" si="280"/>
        <v>11941.847917999998</v>
      </c>
      <c r="GH40" s="59">
        <f t="shared" si="281"/>
        <v>39477.360847324395</v>
      </c>
      <c r="GI40" s="55">
        <f t="shared" si="282"/>
        <v>11537.039513999996</v>
      </c>
      <c r="GJ40" s="59">
        <f t="shared" si="283"/>
        <v>38139.145225381188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84"/>
        <v>0.91</v>
      </c>
      <c r="GR40" s="55">
        <f t="shared" si="284"/>
        <v>0.89</v>
      </c>
      <c r="GS40" s="55">
        <f t="shared" si="284"/>
        <v>0.87</v>
      </c>
      <c r="GT40" s="55">
        <f t="shared" si="284"/>
        <v>0.85</v>
      </c>
      <c r="GU40" s="55">
        <f t="shared" si="284"/>
        <v>0.83</v>
      </c>
      <c r="GV40" s="55">
        <f t="shared" si="284"/>
        <v>0.80999999999999994</v>
      </c>
      <c r="GW40" s="55">
        <f t="shared" si="284"/>
        <v>0.78999999999999992</v>
      </c>
      <c r="GX40" s="55">
        <f t="shared" si="284"/>
        <v>0.76999999999999991</v>
      </c>
      <c r="GY40" s="55">
        <f t="shared" si="284"/>
        <v>0.74999999999999989</v>
      </c>
      <c r="GZ40" s="55">
        <f t="shared" si="284"/>
        <v>0.72999999999999987</v>
      </c>
      <c r="HA40" s="55">
        <f t="shared" si="284"/>
        <v>0.70999999999999985</v>
      </c>
      <c r="HB40" s="55">
        <f t="shared" si="284"/>
        <v>0.68999999999999984</v>
      </c>
      <c r="HC40" s="55">
        <f t="shared" si="284"/>
        <v>0.66999999999999982</v>
      </c>
      <c r="HD40" s="55">
        <f t="shared" si="284"/>
        <v>0.6499999999999998</v>
      </c>
      <c r="HE40" s="55">
        <f t="shared" si="284"/>
        <v>0.62999999999999978</v>
      </c>
      <c r="HF40" s="55">
        <f t="shared" si="284"/>
        <v>0.60999999999999976</v>
      </c>
      <c r="HG40" s="55">
        <f t="shared" si="284"/>
        <v>0.58999999999999975</v>
      </c>
      <c r="HH40" s="55">
        <f t="shared" si="284"/>
        <v>0.56999999999999973</v>
      </c>
    </row>
    <row r="41" spans="1:216" x14ac:dyDescent="0.3">
      <c r="A41" s="2">
        <v>8</v>
      </c>
      <c r="C41" s="38" t="s">
        <v>20</v>
      </c>
      <c r="D41" s="42">
        <v>0</v>
      </c>
      <c r="E41" s="71">
        <f t="shared" si="153"/>
        <v>0</v>
      </c>
      <c r="H41" s="55">
        <f t="shared" si="154"/>
        <v>0</v>
      </c>
      <c r="I41" s="55">
        <f t="shared" si="62"/>
        <v>0</v>
      </c>
      <c r="J41" s="59">
        <f t="shared" si="63"/>
        <v>0</v>
      </c>
      <c r="K41" s="55">
        <f t="shared" si="155"/>
        <v>0</v>
      </c>
      <c r="L41" s="59">
        <f t="shared" si="156"/>
        <v>0</v>
      </c>
      <c r="M41" s="55">
        <f t="shared" si="157"/>
        <v>0</v>
      </c>
      <c r="N41" s="59">
        <f t="shared" si="158"/>
        <v>0</v>
      </c>
      <c r="O41" s="55">
        <f t="shared" si="159"/>
        <v>0</v>
      </c>
      <c r="P41" s="59">
        <f t="shared" si="160"/>
        <v>0</v>
      </c>
      <c r="Q41" s="57">
        <f t="shared" si="161"/>
        <v>0</v>
      </c>
      <c r="R41" s="59">
        <f t="shared" si="162"/>
        <v>0</v>
      </c>
      <c r="S41" s="55">
        <f t="shared" si="163"/>
        <v>0</v>
      </c>
      <c r="T41" s="59">
        <f t="shared" si="164"/>
        <v>0</v>
      </c>
      <c r="U41" s="57">
        <f t="shared" si="165"/>
        <v>0</v>
      </c>
      <c r="V41" s="59">
        <f t="shared" si="166"/>
        <v>0</v>
      </c>
      <c r="W41" s="60">
        <f t="shared" si="167"/>
        <v>0</v>
      </c>
      <c r="X41" s="59">
        <f t="shared" si="168"/>
        <v>0</v>
      </c>
      <c r="Y41" s="57">
        <f t="shared" si="169"/>
        <v>0</v>
      </c>
      <c r="Z41" s="59">
        <f t="shared" si="170"/>
        <v>0</v>
      </c>
      <c r="AA41" s="55">
        <f t="shared" si="171"/>
        <v>0</v>
      </c>
      <c r="AB41" s="59">
        <f t="shared" si="172"/>
        <v>0</v>
      </c>
      <c r="AC41" s="60">
        <f t="shared" si="173"/>
        <v>0</v>
      </c>
      <c r="AD41" s="59">
        <f t="shared" si="174"/>
        <v>0</v>
      </c>
      <c r="AE41" s="60">
        <f t="shared" si="175"/>
        <v>0</v>
      </c>
      <c r="AF41" s="59">
        <f t="shared" si="176"/>
        <v>0</v>
      </c>
      <c r="AG41" s="60">
        <f t="shared" si="177"/>
        <v>0</v>
      </c>
      <c r="AH41" s="59">
        <f t="shared" si="178"/>
        <v>0</v>
      </c>
      <c r="AI41" s="55">
        <f t="shared" si="179"/>
        <v>0</v>
      </c>
      <c r="AJ41" s="59">
        <f t="shared" si="180"/>
        <v>0</v>
      </c>
      <c r="AK41" s="60">
        <f t="shared" si="181"/>
        <v>0</v>
      </c>
      <c r="AL41" s="59">
        <f t="shared" si="182"/>
        <v>0</v>
      </c>
      <c r="AM41" s="60">
        <f t="shared" si="183"/>
        <v>0</v>
      </c>
      <c r="AN41" s="59">
        <f t="shared" si="184"/>
        <v>0</v>
      </c>
      <c r="AO41" s="60">
        <f t="shared" si="185"/>
        <v>0</v>
      </c>
      <c r="AP41" s="59">
        <f t="shared" si="186"/>
        <v>0</v>
      </c>
      <c r="AQ41" s="60">
        <f t="shared" si="187"/>
        <v>0</v>
      </c>
      <c r="AR41" s="59">
        <f t="shared" si="188"/>
        <v>0</v>
      </c>
      <c r="AS41" s="55">
        <f t="shared" si="189"/>
        <v>0</v>
      </c>
      <c r="AT41" s="59">
        <f t="shared" si="190"/>
        <v>0</v>
      </c>
      <c r="AU41" s="60">
        <f t="shared" si="191"/>
        <v>0</v>
      </c>
      <c r="AV41" s="59">
        <f t="shared" si="192"/>
        <v>0</v>
      </c>
      <c r="AW41" s="60">
        <f t="shared" si="193"/>
        <v>0</v>
      </c>
      <c r="AX41" s="59">
        <f t="shared" si="194"/>
        <v>0</v>
      </c>
      <c r="AY41" s="55">
        <f t="shared" si="195"/>
        <v>0</v>
      </c>
      <c r="AZ41" s="59">
        <f t="shared" si="196"/>
        <v>0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4"/>
        <v>0.91</v>
      </c>
      <c r="BH41" s="55">
        <f t="shared" si="144"/>
        <v>0.89</v>
      </c>
      <c r="BI41" s="55">
        <f t="shared" si="144"/>
        <v>0.87</v>
      </c>
      <c r="BJ41" s="55">
        <f t="shared" si="144"/>
        <v>0.85</v>
      </c>
      <c r="BK41" s="55">
        <f t="shared" si="144"/>
        <v>0.83</v>
      </c>
      <c r="BL41" s="55">
        <f t="shared" si="144"/>
        <v>0.80999999999999994</v>
      </c>
      <c r="BM41" s="55">
        <f t="shared" si="144"/>
        <v>0.78999999999999992</v>
      </c>
      <c r="BN41" s="55">
        <f t="shared" si="144"/>
        <v>0.76999999999999991</v>
      </c>
      <c r="BO41" s="55">
        <f t="shared" si="144"/>
        <v>0.74999999999999989</v>
      </c>
      <c r="BP41" s="55">
        <f t="shared" si="144"/>
        <v>0.72999999999999987</v>
      </c>
      <c r="BQ41" s="55">
        <f t="shared" si="144"/>
        <v>0.70999999999999985</v>
      </c>
      <c r="BR41" s="55">
        <f t="shared" si="144"/>
        <v>0.68999999999999984</v>
      </c>
      <c r="BS41" s="55">
        <f t="shared" si="144"/>
        <v>0.66999999999999982</v>
      </c>
      <c r="BT41" s="55">
        <f t="shared" si="144"/>
        <v>0.6499999999999998</v>
      </c>
      <c r="BU41" s="55">
        <f t="shared" si="144"/>
        <v>0.62999999999999978</v>
      </c>
      <c r="BV41" s="55">
        <f t="shared" si="144"/>
        <v>0.60999999999999976</v>
      </c>
      <c r="BW41" s="55">
        <f t="shared" si="144"/>
        <v>0.58999999999999975</v>
      </c>
      <c r="BX41" s="55">
        <f t="shared" si="144"/>
        <v>0.56999999999999973</v>
      </c>
      <c r="BZ41" s="55">
        <f t="shared" si="88"/>
        <v>0</v>
      </c>
      <c r="CA41" s="55">
        <f t="shared" si="89"/>
        <v>0</v>
      </c>
      <c r="CB41" s="59">
        <f t="shared" si="197"/>
        <v>0</v>
      </c>
      <c r="CC41" s="55">
        <f t="shared" si="198"/>
        <v>0</v>
      </c>
      <c r="CD41" s="59">
        <f t="shared" si="199"/>
        <v>0</v>
      </c>
      <c r="CE41" s="55">
        <f t="shared" si="200"/>
        <v>0</v>
      </c>
      <c r="CF41" s="59">
        <f t="shared" si="201"/>
        <v>0</v>
      </c>
      <c r="CG41" s="55">
        <f t="shared" si="202"/>
        <v>0</v>
      </c>
      <c r="CH41" s="59">
        <f t="shared" si="203"/>
        <v>0</v>
      </c>
      <c r="CI41" s="57">
        <f t="shared" si="204"/>
        <v>0</v>
      </c>
      <c r="CJ41" s="59">
        <f t="shared" si="205"/>
        <v>0</v>
      </c>
      <c r="CK41" s="55">
        <f t="shared" si="206"/>
        <v>0</v>
      </c>
      <c r="CL41" s="59">
        <f t="shared" si="207"/>
        <v>0</v>
      </c>
      <c r="CM41" s="57">
        <f t="shared" si="208"/>
        <v>0</v>
      </c>
      <c r="CN41" s="59">
        <f t="shared" si="209"/>
        <v>0</v>
      </c>
      <c r="CO41" s="60">
        <f t="shared" si="210"/>
        <v>0</v>
      </c>
      <c r="CP41" s="59">
        <f t="shared" si="211"/>
        <v>0</v>
      </c>
      <c r="CQ41" s="57">
        <f t="shared" si="212"/>
        <v>0</v>
      </c>
      <c r="CR41" s="59">
        <f t="shared" si="213"/>
        <v>0</v>
      </c>
      <c r="CS41" s="55">
        <f t="shared" si="214"/>
        <v>0</v>
      </c>
      <c r="CT41" s="59">
        <f t="shared" si="215"/>
        <v>0</v>
      </c>
      <c r="CU41" s="60">
        <f t="shared" si="216"/>
        <v>0</v>
      </c>
      <c r="CV41" s="59">
        <f t="shared" si="217"/>
        <v>0</v>
      </c>
      <c r="CW41" s="60">
        <f t="shared" si="218"/>
        <v>0</v>
      </c>
      <c r="CX41" s="59">
        <f t="shared" si="219"/>
        <v>0</v>
      </c>
      <c r="CY41" s="60">
        <f t="shared" si="220"/>
        <v>0</v>
      </c>
      <c r="CZ41" s="59">
        <f t="shared" si="221"/>
        <v>0</v>
      </c>
      <c r="DA41" s="55">
        <f t="shared" si="222"/>
        <v>0</v>
      </c>
      <c r="DB41" s="59">
        <f t="shared" si="223"/>
        <v>0</v>
      </c>
      <c r="DC41" s="60">
        <f t="shared" si="224"/>
        <v>0</v>
      </c>
      <c r="DD41" s="59">
        <f t="shared" si="225"/>
        <v>0</v>
      </c>
      <c r="DE41" s="60">
        <f t="shared" si="226"/>
        <v>0</v>
      </c>
      <c r="DF41" s="59">
        <f t="shared" si="227"/>
        <v>0</v>
      </c>
      <c r="DG41" s="60">
        <f t="shared" si="228"/>
        <v>0</v>
      </c>
      <c r="DH41" s="59">
        <f t="shared" si="229"/>
        <v>0</v>
      </c>
      <c r="DI41" s="60">
        <f t="shared" si="230"/>
        <v>0</v>
      </c>
      <c r="DJ41" s="59">
        <f t="shared" si="231"/>
        <v>0</v>
      </c>
      <c r="DK41" s="55">
        <f t="shared" si="232"/>
        <v>0</v>
      </c>
      <c r="DL41" s="59">
        <f t="shared" si="233"/>
        <v>0</v>
      </c>
      <c r="DM41" s="60">
        <f t="shared" si="234"/>
        <v>0</v>
      </c>
      <c r="DN41" s="59">
        <f t="shared" si="235"/>
        <v>0</v>
      </c>
      <c r="DO41" s="60">
        <f t="shared" si="236"/>
        <v>0</v>
      </c>
      <c r="DP41" s="59">
        <f t="shared" si="237"/>
        <v>0</v>
      </c>
      <c r="DQ41" s="55">
        <f t="shared" si="238"/>
        <v>0</v>
      </c>
      <c r="DR41" s="59">
        <f t="shared" si="239"/>
        <v>0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40"/>
        <v>0.91</v>
      </c>
      <c r="DZ41" s="55">
        <f t="shared" si="240"/>
        <v>0.89</v>
      </c>
      <c r="EA41" s="55">
        <f t="shared" si="240"/>
        <v>0.87</v>
      </c>
      <c r="EB41" s="55">
        <f t="shared" si="240"/>
        <v>0.85</v>
      </c>
      <c r="EC41" s="55">
        <f t="shared" si="240"/>
        <v>0.83</v>
      </c>
      <c r="ED41" s="55">
        <f t="shared" si="240"/>
        <v>0.80999999999999994</v>
      </c>
      <c r="EE41" s="55">
        <f t="shared" si="240"/>
        <v>0.78999999999999992</v>
      </c>
      <c r="EF41" s="55">
        <f t="shared" si="240"/>
        <v>0.76999999999999991</v>
      </c>
      <c r="EG41" s="55">
        <f t="shared" si="240"/>
        <v>0.74999999999999989</v>
      </c>
      <c r="EH41" s="55">
        <f t="shared" si="240"/>
        <v>0.72999999999999987</v>
      </c>
      <c r="EI41" s="55">
        <f t="shared" si="240"/>
        <v>0.70999999999999985</v>
      </c>
      <c r="EJ41" s="55">
        <f t="shared" si="240"/>
        <v>0.68999999999999984</v>
      </c>
      <c r="EK41" s="55">
        <f t="shared" si="240"/>
        <v>0.66999999999999982</v>
      </c>
      <c r="EL41" s="55">
        <f t="shared" si="240"/>
        <v>0.6499999999999998</v>
      </c>
      <c r="EM41" s="55">
        <f t="shared" si="240"/>
        <v>0.62999999999999978</v>
      </c>
      <c r="EN41" s="55">
        <f t="shared" si="240"/>
        <v>0.60999999999999976</v>
      </c>
      <c r="EO41" s="55">
        <f t="shared" si="240"/>
        <v>0.58999999999999975</v>
      </c>
      <c r="EP41" s="55">
        <f t="shared" si="240"/>
        <v>0.56999999999999973</v>
      </c>
      <c r="ER41" s="55">
        <f t="shared" si="142"/>
        <v>0</v>
      </c>
      <c r="ES41" s="55">
        <f t="shared" si="116"/>
        <v>0</v>
      </c>
      <c r="ET41" s="59">
        <f t="shared" si="241"/>
        <v>0</v>
      </c>
      <c r="EU41" s="55">
        <f t="shared" si="242"/>
        <v>0</v>
      </c>
      <c r="EV41" s="59">
        <f t="shared" si="243"/>
        <v>0</v>
      </c>
      <c r="EW41" s="55">
        <f t="shared" si="244"/>
        <v>0</v>
      </c>
      <c r="EX41" s="59">
        <f t="shared" si="245"/>
        <v>0</v>
      </c>
      <c r="EY41" s="55">
        <f t="shared" si="246"/>
        <v>0</v>
      </c>
      <c r="EZ41" s="59">
        <f t="shared" si="247"/>
        <v>0</v>
      </c>
      <c r="FA41" s="57">
        <f t="shared" si="248"/>
        <v>0</v>
      </c>
      <c r="FB41" s="59">
        <f t="shared" si="249"/>
        <v>0</v>
      </c>
      <c r="FC41" s="55">
        <f t="shared" si="250"/>
        <v>0</v>
      </c>
      <c r="FD41" s="59">
        <f t="shared" si="251"/>
        <v>0</v>
      </c>
      <c r="FE41" s="57">
        <f t="shared" si="252"/>
        <v>0</v>
      </c>
      <c r="FF41" s="59">
        <f t="shared" si="253"/>
        <v>0</v>
      </c>
      <c r="FG41" s="60">
        <f t="shared" si="254"/>
        <v>0</v>
      </c>
      <c r="FH41" s="59">
        <f t="shared" si="255"/>
        <v>0</v>
      </c>
      <c r="FI41" s="57">
        <f t="shared" si="256"/>
        <v>0</v>
      </c>
      <c r="FJ41" s="59">
        <f t="shared" si="257"/>
        <v>0</v>
      </c>
      <c r="FK41" s="55">
        <f t="shared" si="258"/>
        <v>0</v>
      </c>
      <c r="FL41" s="59">
        <f t="shared" si="259"/>
        <v>0</v>
      </c>
      <c r="FM41" s="60">
        <f t="shared" si="260"/>
        <v>0</v>
      </c>
      <c r="FN41" s="59">
        <f t="shared" si="261"/>
        <v>0</v>
      </c>
      <c r="FO41" s="60">
        <f t="shared" si="262"/>
        <v>0</v>
      </c>
      <c r="FP41" s="59">
        <f t="shared" si="263"/>
        <v>0</v>
      </c>
      <c r="FQ41" s="60">
        <f t="shared" si="264"/>
        <v>0</v>
      </c>
      <c r="FR41" s="59">
        <f t="shared" si="265"/>
        <v>0</v>
      </c>
      <c r="FS41" s="55">
        <f t="shared" si="266"/>
        <v>0</v>
      </c>
      <c r="FT41" s="59">
        <f t="shared" si="267"/>
        <v>0</v>
      </c>
      <c r="FU41" s="60">
        <f t="shared" si="268"/>
        <v>0</v>
      </c>
      <c r="FV41" s="59">
        <f t="shared" si="269"/>
        <v>0</v>
      </c>
      <c r="FW41" s="60">
        <f t="shared" si="270"/>
        <v>0</v>
      </c>
      <c r="FX41" s="59">
        <f t="shared" si="271"/>
        <v>0</v>
      </c>
      <c r="FY41" s="60">
        <f t="shared" si="272"/>
        <v>0</v>
      </c>
      <c r="FZ41" s="59">
        <f t="shared" si="273"/>
        <v>0</v>
      </c>
      <c r="GA41" s="60">
        <f t="shared" si="274"/>
        <v>0</v>
      </c>
      <c r="GB41" s="59">
        <f t="shared" si="275"/>
        <v>0</v>
      </c>
      <c r="GC41" s="55">
        <f t="shared" si="276"/>
        <v>0</v>
      </c>
      <c r="GD41" s="59">
        <f t="shared" si="277"/>
        <v>0</v>
      </c>
      <c r="GE41" s="60">
        <f t="shared" si="278"/>
        <v>0</v>
      </c>
      <c r="GF41" s="59">
        <f t="shared" si="279"/>
        <v>0</v>
      </c>
      <c r="GG41" s="60">
        <f t="shared" si="280"/>
        <v>0</v>
      </c>
      <c r="GH41" s="59">
        <f t="shared" si="281"/>
        <v>0</v>
      </c>
      <c r="GI41" s="55">
        <f t="shared" si="282"/>
        <v>0</v>
      </c>
      <c r="GJ41" s="59">
        <f t="shared" si="283"/>
        <v>0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84"/>
        <v>0.91</v>
      </c>
      <c r="GR41" s="55">
        <f t="shared" si="284"/>
        <v>0.89</v>
      </c>
      <c r="GS41" s="55">
        <f t="shared" si="284"/>
        <v>0.87</v>
      </c>
      <c r="GT41" s="55">
        <f t="shared" si="284"/>
        <v>0.85</v>
      </c>
      <c r="GU41" s="55">
        <f t="shared" si="284"/>
        <v>0.83</v>
      </c>
      <c r="GV41" s="55">
        <f t="shared" si="284"/>
        <v>0.80999999999999994</v>
      </c>
      <c r="GW41" s="55">
        <f t="shared" si="284"/>
        <v>0.78999999999999992</v>
      </c>
      <c r="GX41" s="55">
        <f t="shared" si="284"/>
        <v>0.76999999999999991</v>
      </c>
      <c r="GY41" s="55">
        <f t="shared" si="284"/>
        <v>0.74999999999999989</v>
      </c>
      <c r="GZ41" s="55">
        <f t="shared" si="284"/>
        <v>0.72999999999999987</v>
      </c>
      <c r="HA41" s="55">
        <f t="shared" si="284"/>
        <v>0.70999999999999985</v>
      </c>
      <c r="HB41" s="55">
        <f t="shared" si="284"/>
        <v>0.68999999999999984</v>
      </c>
      <c r="HC41" s="55">
        <f t="shared" si="284"/>
        <v>0.66999999999999982</v>
      </c>
      <c r="HD41" s="55">
        <f t="shared" si="284"/>
        <v>0.6499999999999998</v>
      </c>
      <c r="HE41" s="55">
        <f t="shared" si="284"/>
        <v>0.62999999999999978</v>
      </c>
      <c r="HF41" s="55">
        <f t="shared" si="284"/>
        <v>0.60999999999999976</v>
      </c>
      <c r="HG41" s="55">
        <f t="shared" si="284"/>
        <v>0.58999999999999975</v>
      </c>
      <c r="HH41" s="55">
        <f t="shared" si="284"/>
        <v>0.56999999999999973</v>
      </c>
    </row>
    <row r="42" spans="1:216" x14ac:dyDescent="0.3">
      <c r="A42" s="2">
        <v>9</v>
      </c>
      <c r="C42" s="38" t="s">
        <v>21</v>
      </c>
      <c r="D42" s="42">
        <f>TRUNC(48656,-1)</f>
        <v>48650</v>
      </c>
      <c r="E42" s="71">
        <f t="shared" si="153"/>
        <v>160820</v>
      </c>
      <c r="F42" s="2" t="s">
        <v>307</v>
      </c>
      <c r="H42" s="55">
        <f t="shared" si="154"/>
        <v>53515.000000000007</v>
      </c>
      <c r="I42" s="55">
        <f t="shared" si="62"/>
        <v>53515.000000000007</v>
      </c>
      <c r="J42" s="59">
        <f t="shared" si="63"/>
        <v>176909.88700000002</v>
      </c>
      <c r="K42" s="55">
        <f t="shared" si="155"/>
        <v>51909.55</v>
      </c>
      <c r="L42" s="59">
        <f t="shared" si="156"/>
        <v>171602.59039000003</v>
      </c>
      <c r="M42" s="55">
        <f t="shared" si="157"/>
        <v>50839.250000000007</v>
      </c>
      <c r="N42" s="59">
        <f t="shared" si="158"/>
        <v>168064.39265000002</v>
      </c>
      <c r="O42" s="55">
        <f t="shared" si="159"/>
        <v>49768.950000000012</v>
      </c>
      <c r="P42" s="59">
        <f t="shared" si="160"/>
        <v>164526.19491000005</v>
      </c>
      <c r="Q42" s="57">
        <f t="shared" si="161"/>
        <v>48698.650000000009</v>
      </c>
      <c r="R42" s="59">
        <f t="shared" si="162"/>
        <v>160987.99717000005</v>
      </c>
      <c r="S42" s="55">
        <f t="shared" si="163"/>
        <v>47628.350000000006</v>
      </c>
      <c r="T42" s="59">
        <f t="shared" si="164"/>
        <v>157449.79943000001</v>
      </c>
      <c r="U42" s="57">
        <f t="shared" si="165"/>
        <v>46558.05</v>
      </c>
      <c r="V42" s="59">
        <f t="shared" si="166"/>
        <v>153911.60169000001</v>
      </c>
      <c r="W42" s="60">
        <f t="shared" si="167"/>
        <v>45487.750000000007</v>
      </c>
      <c r="X42" s="59">
        <f t="shared" si="168"/>
        <v>150373.40395000004</v>
      </c>
      <c r="Y42" s="57">
        <f t="shared" si="169"/>
        <v>44417.450000000004</v>
      </c>
      <c r="Z42" s="59">
        <f t="shared" si="170"/>
        <v>146835.20621</v>
      </c>
      <c r="AA42" s="55">
        <f t="shared" si="171"/>
        <v>43347.15</v>
      </c>
      <c r="AB42" s="59">
        <f t="shared" si="172"/>
        <v>143297.00847</v>
      </c>
      <c r="AC42" s="60">
        <f t="shared" si="173"/>
        <v>42276.85</v>
      </c>
      <c r="AD42" s="59">
        <f t="shared" si="174"/>
        <v>139758.81073</v>
      </c>
      <c r="AE42" s="60">
        <f t="shared" si="175"/>
        <v>41206.550000000003</v>
      </c>
      <c r="AF42" s="59">
        <f t="shared" si="176"/>
        <v>136220.61299000002</v>
      </c>
      <c r="AG42" s="60">
        <f t="shared" si="177"/>
        <v>40136.25</v>
      </c>
      <c r="AH42" s="59">
        <f t="shared" si="178"/>
        <v>132682.41524999999</v>
      </c>
      <c r="AI42" s="55">
        <f t="shared" si="179"/>
        <v>39065.949999999997</v>
      </c>
      <c r="AJ42" s="59">
        <f t="shared" si="180"/>
        <v>129144.21750999999</v>
      </c>
      <c r="AK42" s="60">
        <f t="shared" si="181"/>
        <v>37995.649999999994</v>
      </c>
      <c r="AL42" s="59">
        <f t="shared" si="182"/>
        <v>125606.01976999998</v>
      </c>
      <c r="AM42" s="60">
        <f t="shared" si="183"/>
        <v>36925.35</v>
      </c>
      <c r="AN42" s="59">
        <f t="shared" si="184"/>
        <v>122067.82203</v>
      </c>
      <c r="AO42" s="60">
        <f t="shared" si="185"/>
        <v>35855.049999999996</v>
      </c>
      <c r="AP42" s="59">
        <f t="shared" si="186"/>
        <v>118529.62428999999</v>
      </c>
      <c r="AQ42" s="60">
        <f t="shared" si="187"/>
        <v>34784.749999999993</v>
      </c>
      <c r="AR42" s="59">
        <f t="shared" si="188"/>
        <v>114991.42654999997</v>
      </c>
      <c r="AS42" s="55">
        <f t="shared" si="189"/>
        <v>33714.44999999999</v>
      </c>
      <c r="AT42" s="59">
        <f t="shared" si="190"/>
        <v>111453.22880999997</v>
      </c>
      <c r="AU42" s="60">
        <f t="shared" si="191"/>
        <v>32644.149999999991</v>
      </c>
      <c r="AV42" s="59">
        <f t="shared" si="192"/>
        <v>107915.03106999997</v>
      </c>
      <c r="AW42" s="60">
        <f t="shared" si="193"/>
        <v>31573.849999999991</v>
      </c>
      <c r="AX42" s="59">
        <f t="shared" si="194"/>
        <v>104376.83332999998</v>
      </c>
      <c r="AY42" s="55">
        <f t="shared" si="195"/>
        <v>30503.549999999988</v>
      </c>
      <c r="AZ42" s="59">
        <f t="shared" si="196"/>
        <v>100838.63558999996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4"/>
        <v>0.91</v>
      </c>
      <c r="BH42" s="55">
        <f t="shared" si="144"/>
        <v>0.89</v>
      </c>
      <c r="BI42" s="55">
        <f t="shared" si="144"/>
        <v>0.87</v>
      </c>
      <c r="BJ42" s="55">
        <f t="shared" si="144"/>
        <v>0.85</v>
      </c>
      <c r="BK42" s="55">
        <f t="shared" si="144"/>
        <v>0.83</v>
      </c>
      <c r="BL42" s="55">
        <f t="shared" si="144"/>
        <v>0.80999999999999994</v>
      </c>
      <c r="BM42" s="55">
        <f t="shared" si="144"/>
        <v>0.78999999999999992</v>
      </c>
      <c r="BN42" s="55">
        <f t="shared" si="144"/>
        <v>0.76999999999999991</v>
      </c>
      <c r="BO42" s="55">
        <f t="shared" si="144"/>
        <v>0.74999999999999989</v>
      </c>
      <c r="BP42" s="55">
        <f t="shared" si="144"/>
        <v>0.72999999999999987</v>
      </c>
      <c r="BQ42" s="55">
        <f t="shared" si="144"/>
        <v>0.70999999999999985</v>
      </c>
      <c r="BR42" s="55">
        <f t="shared" si="144"/>
        <v>0.68999999999999984</v>
      </c>
      <c r="BS42" s="55">
        <f t="shared" si="144"/>
        <v>0.66999999999999982</v>
      </c>
      <c r="BT42" s="55">
        <f t="shared" si="144"/>
        <v>0.6499999999999998</v>
      </c>
      <c r="BU42" s="55">
        <f t="shared" si="144"/>
        <v>0.62999999999999978</v>
      </c>
      <c r="BV42" s="55">
        <f t="shared" si="144"/>
        <v>0.60999999999999976</v>
      </c>
      <c r="BW42" s="55">
        <f t="shared" si="144"/>
        <v>0.58999999999999975</v>
      </c>
      <c r="BX42" s="55">
        <f t="shared" si="144"/>
        <v>0.56999999999999973</v>
      </c>
      <c r="BZ42" s="55">
        <f t="shared" si="88"/>
        <v>48698.650000000009</v>
      </c>
      <c r="CA42" s="55">
        <f t="shared" si="89"/>
        <v>48698.650000000009</v>
      </c>
      <c r="CB42" s="59">
        <f t="shared" si="197"/>
        <v>160987.99717000005</v>
      </c>
      <c r="CC42" s="55">
        <f t="shared" si="198"/>
        <v>47237.690500000004</v>
      </c>
      <c r="CD42" s="59">
        <f t="shared" si="199"/>
        <v>156158.35725490001</v>
      </c>
      <c r="CE42" s="55">
        <f t="shared" si="200"/>
        <v>46263.717500000006</v>
      </c>
      <c r="CF42" s="59">
        <f t="shared" si="201"/>
        <v>152938.59731150002</v>
      </c>
      <c r="CG42" s="55">
        <f t="shared" si="202"/>
        <v>45289.744500000008</v>
      </c>
      <c r="CH42" s="59">
        <f t="shared" si="203"/>
        <v>149718.83736810004</v>
      </c>
      <c r="CI42" s="57">
        <f t="shared" si="204"/>
        <v>44315.77150000001</v>
      </c>
      <c r="CJ42" s="59">
        <f t="shared" si="205"/>
        <v>146499.07742470002</v>
      </c>
      <c r="CK42" s="55">
        <f t="shared" si="206"/>
        <v>43341.798500000012</v>
      </c>
      <c r="CL42" s="59">
        <f t="shared" si="207"/>
        <v>143279.31748130004</v>
      </c>
      <c r="CM42" s="57">
        <f t="shared" si="208"/>
        <v>42367.825500000006</v>
      </c>
      <c r="CN42" s="59">
        <f t="shared" si="209"/>
        <v>140059.55753790002</v>
      </c>
      <c r="CO42" s="60">
        <f t="shared" si="210"/>
        <v>41393.852500000008</v>
      </c>
      <c r="CP42" s="59">
        <f t="shared" si="211"/>
        <v>136839.79759450004</v>
      </c>
      <c r="CQ42" s="57">
        <f t="shared" si="212"/>
        <v>40419.879500000003</v>
      </c>
      <c r="CR42" s="59">
        <f t="shared" si="213"/>
        <v>133620.03765110002</v>
      </c>
      <c r="CS42" s="55">
        <f t="shared" si="214"/>
        <v>39445.906500000005</v>
      </c>
      <c r="CT42" s="59">
        <f t="shared" si="215"/>
        <v>130400.27770770002</v>
      </c>
      <c r="CU42" s="60">
        <f t="shared" si="216"/>
        <v>38471.933500000006</v>
      </c>
      <c r="CV42" s="59">
        <f t="shared" si="217"/>
        <v>127180.51776430002</v>
      </c>
      <c r="CW42" s="60">
        <f t="shared" si="218"/>
        <v>37497.960500000001</v>
      </c>
      <c r="CX42" s="59">
        <f t="shared" si="219"/>
        <v>123960.75782090001</v>
      </c>
      <c r="CY42" s="60">
        <f t="shared" si="220"/>
        <v>36523.987500000003</v>
      </c>
      <c r="CZ42" s="59">
        <f t="shared" si="221"/>
        <v>120740.99787750001</v>
      </c>
      <c r="DA42" s="55">
        <f t="shared" si="222"/>
        <v>35550.014499999997</v>
      </c>
      <c r="DB42" s="59">
        <f t="shared" si="223"/>
        <v>117521.23793409999</v>
      </c>
      <c r="DC42" s="60">
        <f t="shared" si="224"/>
        <v>34576.041499999999</v>
      </c>
      <c r="DD42" s="59">
        <f t="shared" si="225"/>
        <v>114301.4779907</v>
      </c>
      <c r="DE42" s="60">
        <f t="shared" si="226"/>
        <v>33602.068500000001</v>
      </c>
      <c r="DF42" s="59">
        <f t="shared" si="227"/>
        <v>111081.7180473</v>
      </c>
      <c r="DG42" s="60">
        <f t="shared" si="228"/>
        <v>32628.095499999996</v>
      </c>
      <c r="DH42" s="59">
        <f t="shared" si="229"/>
        <v>107861.95810389999</v>
      </c>
      <c r="DI42" s="60">
        <f t="shared" si="230"/>
        <v>31654.122499999998</v>
      </c>
      <c r="DJ42" s="59">
        <f t="shared" si="231"/>
        <v>104642.19816049999</v>
      </c>
      <c r="DK42" s="55">
        <f t="shared" si="232"/>
        <v>30680.149499999996</v>
      </c>
      <c r="DL42" s="59">
        <f t="shared" si="233"/>
        <v>101422.43821709999</v>
      </c>
      <c r="DM42" s="60">
        <f t="shared" si="234"/>
        <v>29706.176499999994</v>
      </c>
      <c r="DN42" s="59">
        <f t="shared" si="235"/>
        <v>98202.678273699988</v>
      </c>
      <c r="DO42" s="60">
        <f t="shared" si="236"/>
        <v>28732.203499999992</v>
      </c>
      <c r="DP42" s="59">
        <f t="shared" si="237"/>
        <v>94982.918330299974</v>
      </c>
      <c r="DQ42" s="55">
        <f t="shared" si="238"/>
        <v>27758.230499999991</v>
      </c>
      <c r="DR42" s="59">
        <f t="shared" si="239"/>
        <v>91763.158386899973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40"/>
        <v>0.91</v>
      </c>
      <c r="DZ42" s="55">
        <f t="shared" si="240"/>
        <v>0.89</v>
      </c>
      <c r="EA42" s="55">
        <f t="shared" si="240"/>
        <v>0.87</v>
      </c>
      <c r="EB42" s="55">
        <f t="shared" si="240"/>
        <v>0.85</v>
      </c>
      <c r="EC42" s="55">
        <f t="shared" si="240"/>
        <v>0.83</v>
      </c>
      <c r="ED42" s="55">
        <f t="shared" si="240"/>
        <v>0.80999999999999994</v>
      </c>
      <c r="EE42" s="55">
        <f t="shared" si="240"/>
        <v>0.78999999999999992</v>
      </c>
      <c r="EF42" s="55">
        <f t="shared" si="240"/>
        <v>0.76999999999999991</v>
      </c>
      <c r="EG42" s="55">
        <f t="shared" si="240"/>
        <v>0.74999999999999989</v>
      </c>
      <c r="EH42" s="55">
        <f t="shared" si="240"/>
        <v>0.72999999999999987</v>
      </c>
      <c r="EI42" s="55">
        <f t="shared" si="240"/>
        <v>0.70999999999999985</v>
      </c>
      <c r="EJ42" s="55">
        <f t="shared" si="240"/>
        <v>0.68999999999999984</v>
      </c>
      <c r="EK42" s="55">
        <f t="shared" si="240"/>
        <v>0.66999999999999982</v>
      </c>
      <c r="EL42" s="55">
        <f t="shared" si="240"/>
        <v>0.6499999999999998</v>
      </c>
      <c r="EM42" s="55">
        <f t="shared" si="240"/>
        <v>0.62999999999999978</v>
      </c>
      <c r="EN42" s="55">
        <f t="shared" si="240"/>
        <v>0.60999999999999976</v>
      </c>
      <c r="EO42" s="55">
        <f t="shared" si="240"/>
        <v>0.58999999999999975</v>
      </c>
      <c r="EP42" s="55">
        <f t="shared" si="240"/>
        <v>0.56999999999999973</v>
      </c>
      <c r="ER42" s="55">
        <f t="shared" si="142"/>
        <v>44315.77150000001</v>
      </c>
      <c r="ES42" s="55">
        <f t="shared" si="116"/>
        <v>44315.77150000001</v>
      </c>
      <c r="ET42" s="59">
        <f t="shared" si="241"/>
        <v>146499.07742470002</v>
      </c>
      <c r="EU42" s="55">
        <f t="shared" si="242"/>
        <v>42986.298355000006</v>
      </c>
      <c r="EV42" s="59">
        <f t="shared" si="243"/>
        <v>142104.10510195902</v>
      </c>
      <c r="EW42" s="55">
        <f t="shared" si="244"/>
        <v>42099.982925000004</v>
      </c>
      <c r="EX42" s="59">
        <f t="shared" si="245"/>
        <v>139174.123553465</v>
      </c>
      <c r="EY42" s="55">
        <f t="shared" si="246"/>
        <v>41213.667495000009</v>
      </c>
      <c r="EZ42" s="59">
        <f t="shared" si="247"/>
        <v>136244.14200497104</v>
      </c>
      <c r="FA42" s="57">
        <f t="shared" si="248"/>
        <v>40327.352065000014</v>
      </c>
      <c r="FB42" s="59">
        <f t="shared" si="249"/>
        <v>133314.16045647705</v>
      </c>
      <c r="FC42" s="55">
        <f t="shared" si="250"/>
        <v>39441.036635000011</v>
      </c>
      <c r="FD42" s="59">
        <f t="shared" si="251"/>
        <v>130384.17890798303</v>
      </c>
      <c r="FE42" s="57">
        <f t="shared" si="252"/>
        <v>38554.721205000009</v>
      </c>
      <c r="FF42" s="59">
        <f t="shared" si="253"/>
        <v>127454.19735948903</v>
      </c>
      <c r="FG42" s="60">
        <f t="shared" si="254"/>
        <v>37668.405775000007</v>
      </c>
      <c r="FH42" s="59">
        <f t="shared" si="255"/>
        <v>124524.21581099503</v>
      </c>
      <c r="FI42" s="57">
        <f t="shared" si="256"/>
        <v>36782.090345000004</v>
      </c>
      <c r="FJ42" s="59">
        <f t="shared" si="257"/>
        <v>121594.23426250102</v>
      </c>
      <c r="FK42" s="55">
        <f t="shared" si="258"/>
        <v>35895.774915000002</v>
      </c>
      <c r="FL42" s="59">
        <f t="shared" si="259"/>
        <v>118664.252714007</v>
      </c>
      <c r="FM42" s="60">
        <f t="shared" si="260"/>
        <v>35009.459485000007</v>
      </c>
      <c r="FN42" s="59">
        <f t="shared" si="261"/>
        <v>115734.27116551303</v>
      </c>
      <c r="FO42" s="60">
        <f t="shared" si="262"/>
        <v>34123.144055000004</v>
      </c>
      <c r="FP42" s="59">
        <f t="shared" si="263"/>
        <v>112804.28961701902</v>
      </c>
      <c r="FQ42" s="60">
        <f t="shared" si="264"/>
        <v>33236.828625000002</v>
      </c>
      <c r="FR42" s="59">
        <f t="shared" si="265"/>
        <v>109874.308068525</v>
      </c>
      <c r="FS42" s="55">
        <f t="shared" si="266"/>
        <v>32350.513195000003</v>
      </c>
      <c r="FT42" s="59">
        <f t="shared" si="267"/>
        <v>106944.32652003101</v>
      </c>
      <c r="FU42" s="60">
        <f t="shared" si="268"/>
        <v>31464.197765000001</v>
      </c>
      <c r="FV42" s="59">
        <f t="shared" si="269"/>
        <v>104014.34497153701</v>
      </c>
      <c r="FW42" s="60">
        <f t="shared" si="270"/>
        <v>30577.882334999998</v>
      </c>
      <c r="FX42" s="59">
        <f t="shared" si="271"/>
        <v>101084.363423043</v>
      </c>
      <c r="FY42" s="60">
        <f t="shared" si="272"/>
        <v>29691.566905</v>
      </c>
      <c r="FZ42" s="59">
        <f t="shared" si="273"/>
        <v>98154.381874548999</v>
      </c>
      <c r="GA42" s="60">
        <f t="shared" si="274"/>
        <v>28805.251474999997</v>
      </c>
      <c r="GB42" s="59">
        <f t="shared" si="275"/>
        <v>95224.400326054994</v>
      </c>
      <c r="GC42" s="55">
        <f t="shared" si="276"/>
        <v>27918.936044999995</v>
      </c>
      <c r="GD42" s="59">
        <f t="shared" si="277"/>
        <v>92294.41877756099</v>
      </c>
      <c r="GE42" s="60">
        <f t="shared" si="278"/>
        <v>27032.620614999996</v>
      </c>
      <c r="GF42" s="59">
        <f t="shared" si="279"/>
        <v>89364.437229066985</v>
      </c>
      <c r="GG42" s="60">
        <f t="shared" si="280"/>
        <v>26146.305184999994</v>
      </c>
      <c r="GH42" s="59">
        <f t="shared" si="281"/>
        <v>86434.455680572981</v>
      </c>
      <c r="GI42" s="55">
        <f t="shared" si="282"/>
        <v>25259.989754999995</v>
      </c>
      <c r="GJ42" s="59">
        <f t="shared" si="283"/>
        <v>83504.474132078991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84"/>
        <v>0.91</v>
      </c>
      <c r="GR42" s="55">
        <f t="shared" si="284"/>
        <v>0.89</v>
      </c>
      <c r="GS42" s="55">
        <f t="shared" si="284"/>
        <v>0.87</v>
      </c>
      <c r="GT42" s="55">
        <f t="shared" si="284"/>
        <v>0.85</v>
      </c>
      <c r="GU42" s="55">
        <f t="shared" si="284"/>
        <v>0.83</v>
      </c>
      <c r="GV42" s="55">
        <f t="shared" si="284"/>
        <v>0.80999999999999994</v>
      </c>
      <c r="GW42" s="55">
        <f t="shared" si="284"/>
        <v>0.78999999999999992</v>
      </c>
      <c r="GX42" s="55">
        <f t="shared" si="284"/>
        <v>0.76999999999999991</v>
      </c>
      <c r="GY42" s="55">
        <f t="shared" si="284"/>
        <v>0.74999999999999989</v>
      </c>
      <c r="GZ42" s="55">
        <f t="shared" si="284"/>
        <v>0.72999999999999987</v>
      </c>
      <c r="HA42" s="55">
        <f t="shared" si="284"/>
        <v>0.70999999999999985</v>
      </c>
      <c r="HB42" s="55">
        <f t="shared" si="284"/>
        <v>0.68999999999999984</v>
      </c>
      <c r="HC42" s="55">
        <f t="shared" si="284"/>
        <v>0.66999999999999982</v>
      </c>
      <c r="HD42" s="55">
        <f t="shared" si="284"/>
        <v>0.6499999999999998</v>
      </c>
      <c r="HE42" s="55">
        <f t="shared" si="284"/>
        <v>0.62999999999999978</v>
      </c>
      <c r="HF42" s="55">
        <f t="shared" si="284"/>
        <v>0.60999999999999976</v>
      </c>
      <c r="HG42" s="55">
        <f t="shared" si="284"/>
        <v>0.58999999999999975</v>
      </c>
      <c r="HH42" s="55">
        <f t="shared" si="284"/>
        <v>0.56999999999999973</v>
      </c>
    </row>
    <row r="43" spans="1:216" x14ac:dyDescent="0.3">
      <c r="A43" s="2">
        <v>10</v>
      </c>
      <c r="C43" s="38" t="s">
        <v>22</v>
      </c>
      <c r="D43" s="42">
        <f>TRUNC(18257,-1)</f>
        <v>18250</v>
      </c>
      <c r="E43" s="71">
        <f t="shared" si="153"/>
        <v>60330</v>
      </c>
      <c r="H43" s="55">
        <f t="shared" si="154"/>
        <v>20075</v>
      </c>
      <c r="I43" s="55">
        <f t="shared" si="62"/>
        <v>20075</v>
      </c>
      <c r="J43" s="59">
        <f t="shared" si="63"/>
        <v>66363.934999999998</v>
      </c>
      <c r="K43" s="55">
        <f t="shared" si="155"/>
        <v>19472.75</v>
      </c>
      <c r="L43" s="59">
        <f t="shared" si="156"/>
        <v>64373.016950000005</v>
      </c>
      <c r="M43" s="55">
        <f t="shared" si="157"/>
        <v>19071.25</v>
      </c>
      <c r="N43" s="59">
        <f t="shared" si="158"/>
        <v>63045.738250000002</v>
      </c>
      <c r="O43" s="55">
        <f t="shared" si="159"/>
        <v>18669.75</v>
      </c>
      <c r="P43" s="59">
        <f t="shared" si="160"/>
        <v>61718.45955</v>
      </c>
      <c r="Q43" s="57">
        <f t="shared" si="161"/>
        <v>18268.25</v>
      </c>
      <c r="R43" s="59">
        <f t="shared" si="162"/>
        <v>60391.180850000004</v>
      </c>
      <c r="S43" s="55">
        <f t="shared" si="163"/>
        <v>17866.75</v>
      </c>
      <c r="T43" s="59">
        <f t="shared" si="164"/>
        <v>59063.902150000002</v>
      </c>
      <c r="U43" s="57">
        <f t="shared" si="165"/>
        <v>17465.25</v>
      </c>
      <c r="V43" s="59">
        <f t="shared" si="166"/>
        <v>57736.623449999999</v>
      </c>
      <c r="W43" s="60">
        <f t="shared" si="167"/>
        <v>17063.75</v>
      </c>
      <c r="X43" s="59">
        <f t="shared" si="168"/>
        <v>56409.344750000004</v>
      </c>
      <c r="Y43" s="57">
        <f t="shared" si="169"/>
        <v>16662.25</v>
      </c>
      <c r="Z43" s="59">
        <f t="shared" si="170"/>
        <v>55082.066050000001</v>
      </c>
      <c r="AA43" s="55">
        <f t="shared" si="171"/>
        <v>16260.749999999998</v>
      </c>
      <c r="AB43" s="59">
        <f t="shared" si="172"/>
        <v>53754.787349999999</v>
      </c>
      <c r="AC43" s="60">
        <f t="shared" si="173"/>
        <v>15859.249999999998</v>
      </c>
      <c r="AD43" s="59">
        <f t="shared" si="174"/>
        <v>52427.508649999996</v>
      </c>
      <c r="AE43" s="60">
        <f t="shared" si="175"/>
        <v>15457.749999999998</v>
      </c>
      <c r="AF43" s="59">
        <f t="shared" si="176"/>
        <v>51100.229949999994</v>
      </c>
      <c r="AG43" s="60">
        <f t="shared" si="177"/>
        <v>15056.249999999998</v>
      </c>
      <c r="AH43" s="59">
        <f t="shared" si="178"/>
        <v>49772.951249999998</v>
      </c>
      <c r="AI43" s="55">
        <f t="shared" si="179"/>
        <v>14654.749999999998</v>
      </c>
      <c r="AJ43" s="59">
        <f t="shared" si="180"/>
        <v>48445.672549999996</v>
      </c>
      <c r="AK43" s="60">
        <f t="shared" si="181"/>
        <v>14253.249999999996</v>
      </c>
      <c r="AL43" s="59">
        <f t="shared" si="182"/>
        <v>47118.393849999986</v>
      </c>
      <c r="AM43" s="60">
        <f t="shared" si="183"/>
        <v>13851.749999999996</v>
      </c>
      <c r="AN43" s="59">
        <f t="shared" si="184"/>
        <v>45791.115149999991</v>
      </c>
      <c r="AO43" s="60">
        <f t="shared" si="185"/>
        <v>13450.249999999996</v>
      </c>
      <c r="AP43" s="59">
        <f t="shared" si="186"/>
        <v>44463.836449999988</v>
      </c>
      <c r="AQ43" s="60">
        <f t="shared" si="187"/>
        <v>13048.749999999996</v>
      </c>
      <c r="AR43" s="59">
        <f t="shared" si="188"/>
        <v>43136.557749999985</v>
      </c>
      <c r="AS43" s="55">
        <f t="shared" si="189"/>
        <v>12647.249999999996</v>
      </c>
      <c r="AT43" s="59">
        <f t="shared" si="190"/>
        <v>41809.27904999999</v>
      </c>
      <c r="AU43" s="60">
        <f t="shared" si="191"/>
        <v>12245.749999999995</v>
      </c>
      <c r="AV43" s="59">
        <f t="shared" si="192"/>
        <v>40482.00034999998</v>
      </c>
      <c r="AW43" s="60">
        <f t="shared" si="193"/>
        <v>11844.249999999995</v>
      </c>
      <c r="AX43" s="59">
        <f t="shared" si="194"/>
        <v>39154.721649999985</v>
      </c>
      <c r="AY43" s="55">
        <f t="shared" si="195"/>
        <v>11442.749999999995</v>
      </c>
      <c r="AZ43" s="59">
        <f t="shared" si="196"/>
        <v>37827.442949999982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4"/>
        <v>0.91</v>
      </c>
      <c r="BH43" s="55">
        <f t="shared" si="144"/>
        <v>0.89</v>
      </c>
      <c r="BI43" s="55">
        <f t="shared" si="144"/>
        <v>0.87</v>
      </c>
      <c r="BJ43" s="55">
        <f t="shared" si="144"/>
        <v>0.85</v>
      </c>
      <c r="BK43" s="55">
        <f t="shared" si="144"/>
        <v>0.83</v>
      </c>
      <c r="BL43" s="55">
        <f t="shared" si="144"/>
        <v>0.80999999999999994</v>
      </c>
      <c r="BM43" s="55">
        <f t="shared" si="144"/>
        <v>0.78999999999999992</v>
      </c>
      <c r="BN43" s="55">
        <f t="shared" si="144"/>
        <v>0.76999999999999991</v>
      </c>
      <c r="BO43" s="55">
        <f t="shared" si="144"/>
        <v>0.74999999999999989</v>
      </c>
      <c r="BP43" s="55">
        <f t="shared" si="144"/>
        <v>0.72999999999999987</v>
      </c>
      <c r="BQ43" s="55">
        <f t="shared" si="144"/>
        <v>0.70999999999999985</v>
      </c>
      <c r="BR43" s="55">
        <f t="shared" si="144"/>
        <v>0.68999999999999984</v>
      </c>
      <c r="BS43" s="55">
        <f t="shared" si="144"/>
        <v>0.66999999999999982</v>
      </c>
      <c r="BT43" s="55">
        <f t="shared" si="144"/>
        <v>0.6499999999999998</v>
      </c>
      <c r="BU43" s="55">
        <f t="shared" si="144"/>
        <v>0.62999999999999978</v>
      </c>
      <c r="BV43" s="55">
        <f t="shared" si="144"/>
        <v>0.60999999999999976</v>
      </c>
      <c r="BW43" s="55">
        <f t="shared" si="144"/>
        <v>0.58999999999999975</v>
      </c>
      <c r="BX43" s="55">
        <f t="shared" si="144"/>
        <v>0.56999999999999973</v>
      </c>
      <c r="BZ43" s="55">
        <f t="shared" si="88"/>
        <v>18268.25</v>
      </c>
      <c r="CA43" s="55">
        <f t="shared" si="89"/>
        <v>18268.25</v>
      </c>
      <c r="CB43" s="59">
        <f t="shared" si="197"/>
        <v>60391.180850000004</v>
      </c>
      <c r="CC43" s="55">
        <f t="shared" si="198"/>
        <v>17720.202499999999</v>
      </c>
      <c r="CD43" s="59">
        <f t="shared" si="199"/>
        <v>58579.445424500002</v>
      </c>
      <c r="CE43" s="55">
        <f t="shared" si="200"/>
        <v>17354.837499999998</v>
      </c>
      <c r="CF43" s="59">
        <f t="shared" si="201"/>
        <v>57371.621807499992</v>
      </c>
      <c r="CG43" s="55">
        <f t="shared" si="202"/>
        <v>16989.4725</v>
      </c>
      <c r="CH43" s="59">
        <f t="shared" si="203"/>
        <v>56163.798190499998</v>
      </c>
      <c r="CI43" s="57">
        <f t="shared" si="204"/>
        <v>16624.107500000002</v>
      </c>
      <c r="CJ43" s="59">
        <f t="shared" si="205"/>
        <v>54955.974573500011</v>
      </c>
      <c r="CK43" s="55">
        <f t="shared" si="206"/>
        <v>16258.7425</v>
      </c>
      <c r="CL43" s="59">
        <f t="shared" si="207"/>
        <v>53748.150956500001</v>
      </c>
      <c r="CM43" s="57">
        <f t="shared" si="208"/>
        <v>15893.377500000001</v>
      </c>
      <c r="CN43" s="59">
        <f t="shared" si="209"/>
        <v>52540.3273395</v>
      </c>
      <c r="CO43" s="60">
        <f t="shared" si="210"/>
        <v>15528.012499999999</v>
      </c>
      <c r="CP43" s="59">
        <f t="shared" si="211"/>
        <v>51332.503722499998</v>
      </c>
      <c r="CQ43" s="57">
        <f t="shared" si="212"/>
        <v>15162.647499999999</v>
      </c>
      <c r="CR43" s="59">
        <f t="shared" si="213"/>
        <v>50124.680105499996</v>
      </c>
      <c r="CS43" s="55">
        <f t="shared" si="214"/>
        <v>14797.282499999999</v>
      </c>
      <c r="CT43" s="59">
        <f t="shared" si="215"/>
        <v>48916.856488500001</v>
      </c>
      <c r="CU43" s="60">
        <f t="shared" si="216"/>
        <v>14431.917499999998</v>
      </c>
      <c r="CV43" s="59">
        <f t="shared" si="217"/>
        <v>47709.032871499992</v>
      </c>
      <c r="CW43" s="60">
        <f t="shared" si="218"/>
        <v>14066.552499999998</v>
      </c>
      <c r="CX43" s="59">
        <f t="shared" si="219"/>
        <v>46501.209254499998</v>
      </c>
      <c r="CY43" s="60">
        <f t="shared" si="220"/>
        <v>13701.187499999998</v>
      </c>
      <c r="CZ43" s="59">
        <f t="shared" si="221"/>
        <v>45293.385637499996</v>
      </c>
      <c r="DA43" s="55">
        <f t="shared" si="222"/>
        <v>13335.822499999998</v>
      </c>
      <c r="DB43" s="59">
        <f t="shared" si="223"/>
        <v>44085.562020499994</v>
      </c>
      <c r="DC43" s="60">
        <f t="shared" si="224"/>
        <v>12970.457499999997</v>
      </c>
      <c r="DD43" s="59">
        <f t="shared" si="225"/>
        <v>42877.738403499992</v>
      </c>
      <c r="DE43" s="60">
        <f t="shared" si="226"/>
        <v>12605.092499999997</v>
      </c>
      <c r="DF43" s="59">
        <f t="shared" si="227"/>
        <v>41669.91478649999</v>
      </c>
      <c r="DG43" s="60">
        <f t="shared" si="228"/>
        <v>12239.727499999997</v>
      </c>
      <c r="DH43" s="59">
        <f t="shared" si="229"/>
        <v>40462.091169499989</v>
      </c>
      <c r="DI43" s="60">
        <f t="shared" si="230"/>
        <v>11874.362499999996</v>
      </c>
      <c r="DJ43" s="59">
        <f t="shared" si="231"/>
        <v>39254.267552499987</v>
      </c>
      <c r="DK43" s="55">
        <f t="shared" si="232"/>
        <v>11508.997499999996</v>
      </c>
      <c r="DL43" s="59">
        <f t="shared" si="233"/>
        <v>38046.443935499985</v>
      </c>
      <c r="DM43" s="60">
        <f t="shared" si="234"/>
        <v>11143.632499999996</v>
      </c>
      <c r="DN43" s="59">
        <f t="shared" si="235"/>
        <v>36838.62031849999</v>
      </c>
      <c r="DO43" s="60">
        <f t="shared" si="236"/>
        <v>10778.267499999994</v>
      </c>
      <c r="DP43" s="59">
        <f t="shared" si="237"/>
        <v>35630.796701499981</v>
      </c>
      <c r="DQ43" s="55">
        <f t="shared" si="238"/>
        <v>10412.902499999995</v>
      </c>
      <c r="DR43" s="59">
        <f t="shared" si="239"/>
        <v>34422.973084499987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40"/>
        <v>0.91</v>
      </c>
      <c r="DZ43" s="55">
        <f t="shared" si="240"/>
        <v>0.89</v>
      </c>
      <c r="EA43" s="55">
        <f t="shared" si="240"/>
        <v>0.87</v>
      </c>
      <c r="EB43" s="55">
        <f t="shared" si="240"/>
        <v>0.85</v>
      </c>
      <c r="EC43" s="55">
        <f t="shared" si="240"/>
        <v>0.83</v>
      </c>
      <c r="ED43" s="55">
        <f t="shared" si="240"/>
        <v>0.80999999999999994</v>
      </c>
      <c r="EE43" s="55">
        <f t="shared" si="240"/>
        <v>0.78999999999999992</v>
      </c>
      <c r="EF43" s="55">
        <f t="shared" si="240"/>
        <v>0.76999999999999991</v>
      </c>
      <c r="EG43" s="55">
        <f t="shared" si="240"/>
        <v>0.74999999999999989</v>
      </c>
      <c r="EH43" s="55">
        <f t="shared" si="240"/>
        <v>0.72999999999999987</v>
      </c>
      <c r="EI43" s="55">
        <f t="shared" si="240"/>
        <v>0.70999999999999985</v>
      </c>
      <c r="EJ43" s="55">
        <f t="shared" si="240"/>
        <v>0.68999999999999984</v>
      </c>
      <c r="EK43" s="55">
        <f t="shared" si="240"/>
        <v>0.66999999999999982</v>
      </c>
      <c r="EL43" s="55">
        <f t="shared" si="240"/>
        <v>0.6499999999999998</v>
      </c>
      <c r="EM43" s="55">
        <f t="shared" si="240"/>
        <v>0.62999999999999978</v>
      </c>
      <c r="EN43" s="55">
        <f t="shared" si="240"/>
        <v>0.60999999999999976</v>
      </c>
      <c r="EO43" s="55">
        <f t="shared" si="240"/>
        <v>0.58999999999999975</v>
      </c>
      <c r="EP43" s="55">
        <f t="shared" si="240"/>
        <v>0.56999999999999973</v>
      </c>
      <c r="ER43" s="55">
        <f t="shared" si="142"/>
        <v>16624.107500000002</v>
      </c>
      <c r="ES43" s="55">
        <f t="shared" si="116"/>
        <v>16624.107500000002</v>
      </c>
      <c r="ET43" s="59">
        <f t="shared" si="241"/>
        <v>54955.974573500011</v>
      </c>
      <c r="EU43" s="55">
        <f t="shared" si="242"/>
        <v>16125.384275000002</v>
      </c>
      <c r="EV43" s="59">
        <f t="shared" si="243"/>
        <v>53307.295336295007</v>
      </c>
      <c r="EW43" s="55">
        <f t="shared" si="244"/>
        <v>15792.902125000001</v>
      </c>
      <c r="EX43" s="59">
        <f t="shared" si="245"/>
        <v>52208.175844825004</v>
      </c>
      <c r="EY43" s="55">
        <f t="shared" si="246"/>
        <v>15460.419975000003</v>
      </c>
      <c r="EZ43" s="59">
        <f t="shared" si="247"/>
        <v>51109.056353355008</v>
      </c>
      <c r="FA43" s="57">
        <f t="shared" si="248"/>
        <v>15127.937825000003</v>
      </c>
      <c r="FB43" s="59">
        <f t="shared" si="249"/>
        <v>50009.936861885013</v>
      </c>
      <c r="FC43" s="55">
        <f t="shared" si="250"/>
        <v>14795.455675000001</v>
      </c>
      <c r="FD43" s="59">
        <f t="shared" si="251"/>
        <v>48910.817370415003</v>
      </c>
      <c r="FE43" s="57">
        <f t="shared" si="252"/>
        <v>14462.973525000001</v>
      </c>
      <c r="FF43" s="59">
        <f t="shared" si="253"/>
        <v>47811.697878945008</v>
      </c>
      <c r="FG43" s="60">
        <f t="shared" si="254"/>
        <v>14130.491375000001</v>
      </c>
      <c r="FH43" s="59">
        <f t="shared" si="255"/>
        <v>46712.578387475005</v>
      </c>
      <c r="FI43" s="57">
        <f t="shared" si="256"/>
        <v>13798.009225000002</v>
      </c>
      <c r="FJ43" s="59">
        <f t="shared" si="257"/>
        <v>45613.45889600501</v>
      </c>
      <c r="FK43" s="55">
        <f t="shared" si="258"/>
        <v>13465.527075</v>
      </c>
      <c r="FL43" s="59">
        <f t="shared" si="259"/>
        <v>44514.339404535</v>
      </c>
      <c r="FM43" s="60">
        <f t="shared" si="260"/>
        <v>13133.044925</v>
      </c>
      <c r="FN43" s="59">
        <f t="shared" si="261"/>
        <v>43415.219913065004</v>
      </c>
      <c r="FO43" s="60">
        <f t="shared" si="262"/>
        <v>12800.562775</v>
      </c>
      <c r="FP43" s="59">
        <f t="shared" si="263"/>
        <v>42316.100421595002</v>
      </c>
      <c r="FQ43" s="60">
        <f t="shared" si="264"/>
        <v>12468.080624999999</v>
      </c>
      <c r="FR43" s="59">
        <f t="shared" si="265"/>
        <v>41216.980930124999</v>
      </c>
      <c r="FS43" s="55">
        <f t="shared" si="266"/>
        <v>12135.598474999999</v>
      </c>
      <c r="FT43" s="59">
        <f t="shared" si="267"/>
        <v>40117.861438654996</v>
      </c>
      <c r="FU43" s="60">
        <f t="shared" si="268"/>
        <v>11803.116324999999</v>
      </c>
      <c r="FV43" s="59">
        <f t="shared" si="269"/>
        <v>39018.741947185001</v>
      </c>
      <c r="FW43" s="60">
        <f t="shared" si="270"/>
        <v>11470.634174999999</v>
      </c>
      <c r="FX43" s="59">
        <f t="shared" si="271"/>
        <v>37919.622455714998</v>
      </c>
      <c r="FY43" s="60">
        <f t="shared" si="272"/>
        <v>11138.152024999998</v>
      </c>
      <c r="FZ43" s="59">
        <f t="shared" si="273"/>
        <v>36820.502964244995</v>
      </c>
      <c r="GA43" s="60">
        <f t="shared" si="274"/>
        <v>10805.669874999998</v>
      </c>
      <c r="GB43" s="59">
        <f t="shared" si="275"/>
        <v>35721.383472774993</v>
      </c>
      <c r="GC43" s="55">
        <f t="shared" si="276"/>
        <v>10473.187724999998</v>
      </c>
      <c r="GD43" s="59">
        <f t="shared" si="277"/>
        <v>34622.263981304997</v>
      </c>
      <c r="GE43" s="60">
        <f t="shared" si="278"/>
        <v>10140.705574999998</v>
      </c>
      <c r="GF43" s="59">
        <f t="shared" si="279"/>
        <v>33523.144489834995</v>
      </c>
      <c r="GG43" s="60">
        <f t="shared" si="280"/>
        <v>9808.2234249999965</v>
      </c>
      <c r="GH43" s="59">
        <f t="shared" si="281"/>
        <v>32424.024998364988</v>
      </c>
      <c r="GI43" s="55">
        <f t="shared" si="282"/>
        <v>9475.7412749999967</v>
      </c>
      <c r="GJ43" s="59">
        <f t="shared" si="283"/>
        <v>31324.905506894989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84"/>
        <v>0.91</v>
      </c>
      <c r="GR43" s="55">
        <f t="shared" si="284"/>
        <v>0.89</v>
      </c>
      <c r="GS43" s="55">
        <f t="shared" si="284"/>
        <v>0.87</v>
      </c>
      <c r="GT43" s="55">
        <f t="shared" si="284"/>
        <v>0.85</v>
      </c>
      <c r="GU43" s="55">
        <f t="shared" si="284"/>
        <v>0.83</v>
      </c>
      <c r="GV43" s="55">
        <f t="shared" si="284"/>
        <v>0.80999999999999994</v>
      </c>
      <c r="GW43" s="55">
        <f t="shared" si="284"/>
        <v>0.78999999999999992</v>
      </c>
      <c r="GX43" s="55">
        <f t="shared" si="284"/>
        <v>0.76999999999999991</v>
      </c>
      <c r="GY43" s="55">
        <f t="shared" si="284"/>
        <v>0.74999999999999989</v>
      </c>
      <c r="GZ43" s="55">
        <f t="shared" si="284"/>
        <v>0.72999999999999987</v>
      </c>
      <c r="HA43" s="55">
        <f t="shared" si="284"/>
        <v>0.70999999999999985</v>
      </c>
      <c r="HB43" s="55">
        <f t="shared" si="284"/>
        <v>0.68999999999999984</v>
      </c>
      <c r="HC43" s="55">
        <f t="shared" si="284"/>
        <v>0.66999999999999982</v>
      </c>
      <c r="HD43" s="55">
        <f t="shared" si="284"/>
        <v>0.6499999999999998</v>
      </c>
      <c r="HE43" s="55">
        <f t="shared" si="284"/>
        <v>0.62999999999999978</v>
      </c>
      <c r="HF43" s="55">
        <f t="shared" si="284"/>
        <v>0.60999999999999976</v>
      </c>
      <c r="HG43" s="55">
        <f t="shared" si="284"/>
        <v>0.58999999999999975</v>
      </c>
      <c r="HH43" s="55">
        <f t="shared" si="284"/>
        <v>0.56999999999999973</v>
      </c>
    </row>
    <row r="44" spans="1:216" x14ac:dyDescent="0.3">
      <c r="A44" s="2">
        <v>11</v>
      </c>
      <c r="C44" s="38" t="s">
        <v>156</v>
      </c>
      <c r="D44" s="42">
        <f>TRUNC(50752,-1)</f>
        <v>50750</v>
      </c>
      <c r="E44" s="71">
        <f t="shared" si="153"/>
        <v>167760</v>
      </c>
      <c r="F44" s="2" t="s">
        <v>306</v>
      </c>
      <c r="H44" s="55">
        <f t="shared" si="154"/>
        <v>55825.000000000007</v>
      </c>
      <c r="I44" s="55">
        <f t="shared" si="62"/>
        <v>55825.000000000007</v>
      </c>
      <c r="J44" s="59">
        <f t="shared" si="63"/>
        <v>184546.28500000003</v>
      </c>
      <c r="K44" s="55">
        <f t="shared" si="155"/>
        <v>54150.250000000007</v>
      </c>
      <c r="L44" s="59">
        <f t="shared" si="156"/>
        <v>179009.89645000003</v>
      </c>
      <c r="M44" s="55">
        <f t="shared" si="157"/>
        <v>53033.750000000007</v>
      </c>
      <c r="N44" s="59">
        <f t="shared" si="158"/>
        <v>175318.97075000004</v>
      </c>
      <c r="O44" s="55">
        <f t="shared" si="159"/>
        <v>51917.250000000007</v>
      </c>
      <c r="P44" s="59">
        <f t="shared" si="160"/>
        <v>171628.04505000002</v>
      </c>
      <c r="Q44" s="57">
        <f t="shared" si="161"/>
        <v>50800.750000000007</v>
      </c>
      <c r="R44" s="59">
        <f t="shared" si="162"/>
        <v>167937.11935000002</v>
      </c>
      <c r="S44" s="55">
        <f t="shared" si="163"/>
        <v>49684.250000000007</v>
      </c>
      <c r="T44" s="59">
        <f t="shared" si="164"/>
        <v>164246.19365000003</v>
      </c>
      <c r="U44" s="57">
        <f t="shared" si="165"/>
        <v>48567.750000000007</v>
      </c>
      <c r="V44" s="59">
        <f t="shared" si="166"/>
        <v>160555.26795000004</v>
      </c>
      <c r="W44" s="60">
        <f t="shared" si="167"/>
        <v>47451.250000000007</v>
      </c>
      <c r="X44" s="59">
        <f t="shared" si="168"/>
        <v>156864.34225000002</v>
      </c>
      <c r="Y44" s="57">
        <f t="shared" si="169"/>
        <v>46334.750000000007</v>
      </c>
      <c r="Z44" s="59">
        <f t="shared" si="170"/>
        <v>153173.41655000002</v>
      </c>
      <c r="AA44" s="55">
        <f t="shared" si="171"/>
        <v>45218.25</v>
      </c>
      <c r="AB44" s="59">
        <f t="shared" si="172"/>
        <v>149482.49085</v>
      </c>
      <c r="AC44" s="60">
        <f t="shared" si="173"/>
        <v>44101.75</v>
      </c>
      <c r="AD44" s="59">
        <f t="shared" si="174"/>
        <v>145791.56515000001</v>
      </c>
      <c r="AE44" s="60">
        <f t="shared" si="175"/>
        <v>42985.25</v>
      </c>
      <c r="AF44" s="59">
        <f t="shared" si="176"/>
        <v>142100.63945000002</v>
      </c>
      <c r="AG44" s="60">
        <f t="shared" si="177"/>
        <v>41868.75</v>
      </c>
      <c r="AH44" s="59">
        <f t="shared" si="178"/>
        <v>138409.71375</v>
      </c>
      <c r="AI44" s="55">
        <f t="shared" si="179"/>
        <v>40752.25</v>
      </c>
      <c r="AJ44" s="59">
        <f t="shared" si="180"/>
        <v>134718.78805</v>
      </c>
      <c r="AK44" s="60">
        <f t="shared" si="181"/>
        <v>39635.75</v>
      </c>
      <c r="AL44" s="59">
        <f t="shared" si="182"/>
        <v>131027.86235</v>
      </c>
      <c r="AM44" s="60">
        <f t="shared" si="183"/>
        <v>38519.249999999993</v>
      </c>
      <c r="AN44" s="59">
        <f t="shared" si="184"/>
        <v>127336.93664999997</v>
      </c>
      <c r="AO44" s="60">
        <f t="shared" si="185"/>
        <v>37402.749999999993</v>
      </c>
      <c r="AP44" s="59">
        <f t="shared" si="186"/>
        <v>123646.01094999998</v>
      </c>
      <c r="AQ44" s="60">
        <f t="shared" si="187"/>
        <v>36286.249999999993</v>
      </c>
      <c r="AR44" s="59">
        <f t="shared" si="188"/>
        <v>119955.08524999997</v>
      </c>
      <c r="AS44" s="55">
        <f t="shared" si="189"/>
        <v>35169.749999999993</v>
      </c>
      <c r="AT44" s="59">
        <f t="shared" si="190"/>
        <v>116264.15954999998</v>
      </c>
      <c r="AU44" s="60">
        <f t="shared" si="191"/>
        <v>34053.249999999993</v>
      </c>
      <c r="AV44" s="59">
        <f t="shared" si="192"/>
        <v>112573.23384999998</v>
      </c>
      <c r="AW44" s="60">
        <f t="shared" si="193"/>
        <v>32936.749999999993</v>
      </c>
      <c r="AX44" s="59">
        <f t="shared" si="194"/>
        <v>108882.30814999998</v>
      </c>
      <c r="AY44" s="55">
        <f t="shared" si="195"/>
        <v>31820.249999999989</v>
      </c>
      <c r="AZ44" s="59">
        <f t="shared" si="196"/>
        <v>105191.38244999996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4"/>
        <v>0.91</v>
      </c>
      <c r="BH44" s="55">
        <f t="shared" si="144"/>
        <v>0.89</v>
      </c>
      <c r="BI44" s="55">
        <f t="shared" si="144"/>
        <v>0.87</v>
      </c>
      <c r="BJ44" s="55">
        <f t="shared" si="144"/>
        <v>0.85</v>
      </c>
      <c r="BK44" s="55">
        <f t="shared" si="144"/>
        <v>0.83</v>
      </c>
      <c r="BL44" s="55">
        <f t="shared" si="144"/>
        <v>0.80999999999999994</v>
      </c>
      <c r="BM44" s="55">
        <f t="shared" si="144"/>
        <v>0.78999999999999992</v>
      </c>
      <c r="BN44" s="55">
        <f t="shared" si="144"/>
        <v>0.76999999999999991</v>
      </c>
      <c r="BO44" s="55">
        <f t="shared" si="144"/>
        <v>0.74999999999999989</v>
      </c>
      <c r="BP44" s="55">
        <f t="shared" si="144"/>
        <v>0.72999999999999987</v>
      </c>
      <c r="BQ44" s="55">
        <f t="shared" si="144"/>
        <v>0.70999999999999985</v>
      </c>
      <c r="BR44" s="55">
        <f t="shared" si="144"/>
        <v>0.68999999999999984</v>
      </c>
      <c r="BS44" s="55">
        <f t="shared" si="144"/>
        <v>0.66999999999999982</v>
      </c>
      <c r="BT44" s="55">
        <f t="shared" si="144"/>
        <v>0.6499999999999998</v>
      </c>
      <c r="BU44" s="55">
        <f t="shared" si="144"/>
        <v>0.62999999999999978</v>
      </c>
      <c r="BV44" s="55">
        <f t="shared" si="144"/>
        <v>0.60999999999999976</v>
      </c>
      <c r="BW44" s="55">
        <f t="shared" si="144"/>
        <v>0.58999999999999975</v>
      </c>
      <c r="BX44" s="55">
        <f t="shared" si="144"/>
        <v>0.56999999999999973</v>
      </c>
      <c r="BZ44" s="55">
        <f t="shared" si="88"/>
        <v>50800.750000000007</v>
      </c>
      <c r="CA44" s="55">
        <f t="shared" si="89"/>
        <v>50800.750000000007</v>
      </c>
      <c r="CB44" s="59">
        <f t="shared" si="197"/>
        <v>167937.11935000002</v>
      </c>
      <c r="CC44" s="55">
        <f t="shared" si="198"/>
        <v>49276.727500000008</v>
      </c>
      <c r="CD44" s="59">
        <f t="shared" si="199"/>
        <v>162899.00576950004</v>
      </c>
      <c r="CE44" s="55">
        <f t="shared" si="200"/>
        <v>48260.712500000001</v>
      </c>
      <c r="CF44" s="59">
        <f t="shared" si="201"/>
        <v>159540.26338250001</v>
      </c>
      <c r="CG44" s="55">
        <f t="shared" si="202"/>
        <v>47244.697500000009</v>
      </c>
      <c r="CH44" s="59">
        <f t="shared" si="203"/>
        <v>156181.52099550003</v>
      </c>
      <c r="CI44" s="57">
        <f t="shared" si="204"/>
        <v>46228.68250000001</v>
      </c>
      <c r="CJ44" s="59">
        <f t="shared" si="205"/>
        <v>152822.77860850003</v>
      </c>
      <c r="CK44" s="55">
        <f t="shared" si="206"/>
        <v>45212.66750000001</v>
      </c>
      <c r="CL44" s="59">
        <f t="shared" si="207"/>
        <v>149464.03622150005</v>
      </c>
      <c r="CM44" s="57">
        <f t="shared" si="208"/>
        <v>44196.652500000004</v>
      </c>
      <c r="CN44" s="59">
        <f t="shared" si="209"/>
        <v>146105.29383450001</v>
      </c>
      <c r="CO44" s="60">
        <f t="shared" si="210"/>
        <v>43180.637500000004</v>
      </c>
      <c r="CP44" s="59">
        <f t="shared" si="211"/>
        <v>142746.55144750001</v>
      </c>
      <c r="CQ44" s="57">
        <f t="shared" si="212"/>
        <v>42164.622500000005</v>
      </c>
      <c r="CR44" s="59">
        <f t="shared" si="213"/>
        <v>139387.80906050003</v>
      </c>
      <c r="CS44" s="55">
        <f t="shared" si="214"/>
        <v>41148.607500000006</v>
      </c>
      <c r="CT44" s="59">
        <f t="shared" si="215"/>
        <v>136029.06667350003</v>
      </c>
      <c r="CU44" s="60">
        <f t="shared" si="216"/>
        <v>40132.592499999999</v>
      </c>
      <c r="CV44" s="59">
        <f t="shared" si="217"/>
        <v>132670.32428649999</v>
      </c>
      <c r="CW44" s="60">
        <f t="shared" si="218"/>
        <v>39116.577499999999</v>
      </c>
      <c r="CX44" s="59">
        <f t="shared" si="219"/>
        <v>129311.5818995</v>
      </c>
      <c r="CY44" s="60">
        <f t="shared" si="220"/>
        <v>38100.5625</v>
      </c>
      <c r="CZ44" s="59">
        <f t="shared" si="221"/>
        <v>125952.83951250001</v>
      </c>
      <c r="DA44" s="55">
        <f t="shared" si="222"/>
        <v>37084.547500000001</v>
      </c>
      <c r="DB44" s="59">
        <f t="shared" si="223"/>
        <v>122594.0971255</v>
      </c>
      <c r="DC44" s="60">
        <f t="shared" si="224"/>
        <v>36068.532500000001</v>
      </c>
      <c r="DD44" s="59">
        <f t="shared" si="225"/>
        <v>119235.35473850001</v>
      </c>
      <c r="DE44" s="60">
        <f t="shared" si="226"/>
        <v>35052.517499999994</v>
      </c>
      <c r="DF44" s="59">
        <f t="shared" si="227"/>
        <v>115876.61235149998</v>
      </c>
      <c r="DG44" s="60">
        <f t="shared" si="228"/>
        <v>34036.502499999995</v>
      </c>
      <c r="DH44" s="59">
        <f t="shared" si="229"/>
        <v>112517.86996449999</v>
      </c>
      <c r="DI44" s="60">
        <f t="shared" si="230"/>
        <v>33020.487499999996</v>
      </c>
      <c r="DJ44" s="59">
        <f t="shared" si="231"/>
        <v>109159.12757749998</v>
      </c>
      <c r="DK44" s="55">
        <f t="shared" si="232"/>
        <v>32004.472499999993</v>
      </c>
      <c r="DL44" s="59">
        <f t="shared" si="233"/>
        <v>105800.38519049998</v>
      </c>
      <c r="DM44" s="60">
        <f t="shared" si="234"/>
        <v>30988.457499999993</v>
      </c>
      <c r="DN44" s="59">
        <f t="shared" si="235"/>
        <v>102441.64280349998</v>
      </c>
      <c r="DO44" s="60">
        <f t="shared" si="236"/>
        <v>29972.44249999999</v>
      </c>
      <c r="DP44" s="59">
        <f t="shared" si="237"/>
        <v>99082.900416499964</v>
      </c>
      <c r="DQ44" s="55">
        <f t="shared" si="238"/>
        <v>28956.427499999991</v>
      </c>
      <c r="DR44" s="59">
        <f t="shared" si="239"/>
        <v>95724.158029499973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40"/>
        <v>0.91</v>
      </c>
      <c r="DZ44" s="55">
        <f t="shared" si="240"/>
        <v>0.89</v>
      </c>
      <c r="EA44" s="55">
        <f t="shared" si="240"/>
        <v>0.87</v>
      </c>
      <c r="EB44" s="55">
        <f t="shared" si="240"/>
        <v>0.85</v>
      </c>
      <c r="EC44" s="55">
        <f t="shared" si="240"/>
        <v>0.83</v>
      </c>
      <c r="ED44" s="55">
        <f t="shared" si="240"/>
        <v>0.80999999999999994</v>
      </c>
      <c r="EE44" s="55">
        <f t="shared" si="240"/>
        <v>0.78999999999999992</v>
      </c>
      <c r="EF44" s="55">
        <f t="shared" si="240"/>
        <v>0.76999999999999991</v>
      </c>
      <c r="EG44" s="55">
        <f t="shared" si="240"/>
        <v>0.74999999999999989</v>
      </c>
      <c r="EH44" s="55">
        <f t="shared" si="240"/>
        <v>0.72999999999999987</v>
      </c>
      <c r="EI44" s="55">
        <f t="shared" si="240"/>
        <v>0.70999999999999985</v>
      </c>
      <c r="EJ44" s="55">
        <f t="shared" si="240"/>
        <v>0.68999999999999984</v>
      </c>
      <c r="EK44" s="55">
        <f t="shared" si="240"/>
        <v>0.66999999999999982</v>
      </c>
      <c r="EL44" s="55">
        <f t="shared" si="240"/>
        <v>0.6499999999999998</v>
      </c>
      <c r="EM44" s="55">
        <f t="shared" si="240"/>
        <v>0.62999999999999978</v>
      </c>
      <c r="EN44" s="55">
        <f t="shared" si="240"/>
        <v>0.60999999999999976</v>
      </c>
      <c r="EO44" s="55">
        <f t="shared" si="240"/>
        <v>0.58999999999999975</v>
      </c>
      <c r="EP44" s="55">
        <f t="shared" si="240"/>
        <v>0.56999999999999973</v>
      </c>
      <c r="ER44" s="55">
        <f t="shared" si="142"/>
        <v>46228.68250000001</v>
      </c>
      <c r="ES44" s="55">
        <f t="shared" si="116"/>
        <v>46228.68250000001</v>
      </c>
      <c r="ET44" s="59">
        <f t="shared" si="241"/>
        <v>152822.77860850003</v>
      </c>
      <c r="EU44" s="55">
        <f t="shared" si="242"/>
        <v>44841.822025000009</v>
      </c>
      <c r="EV44" s="59">
        <f t="shared" si="243"/>
        <v>148238.09525024504</v>
      </c>
      <c r="EW44" s="55">
        <f t="shared" si="244"/>
        <v>43917.24837500001</v>
      </c>
      <c r="EX44" s="59">
        <f t="shared" si="245"/>
        <v>145181.63967807504</v>
      </c>
      <c r="EY44" s="55">
        <f t="shared" si="246"/>
        <v>42992.674725000012</v>
      </c>
      <c r="EZ44" s="59">
        <f t="shared" si="247"/>
        <v>142125.18410590503</v>
      </c>
      <c r="FA44" s="57">
        <f t="shared" si="248"/>
        <v>42068.101075000013</v>
      </c>
      <c r="FB44" s="59">
        <f t="shared" si="249"/>
        <v>139068.72853373503</v>
      </c>
      <c r="FC44" s="55">
        <f t="shared" si="250"/>
        <v>41143.527425000007</v>
      </c>
      <c r="FD44" s="59">
        <f t="shared" si="251"/>
        <v>136012.27296156503</v>
      </c>
      <c r="FE44" s="57">
        <f t="shared" si="252"/>
        <v>40218.953775000009</v>
      </c>
      <c r="FF44" s="59">
        <f t="shared" si="253"/>
        <v>132955.81738939503</v>
      </c>
      <c r="FG44" s="60">
        <f t="shared" si="254"/>
        <v>39294.380125000011</v>
      </c>
      <c r="FH44" s="59">
        <f t="shared" si="255"/>
        <v>129899.36181722504</v>
      </c>
      <c r="FI44" s="57">
        <f t="shared" si="256"/>
        <v>38369.806475000005</v>
      </c>
      <c r="FJ44" s="59">
        <f t="shared" si="257"/>
        <v>126842.90624505501</v>
      </c>
      <c r="FK44" s="55">
        <f t="shared" si="258"/>
        <v>37445.232825000006</v>
      </c>
      <c r="FL44" s="59">
        <f t="shared" si="259"/>
        <v>123786.45067288502</v>
      </c>
      <c r="FM44" s="60">
        <f t="shared" si="260"/>
        <v>36520.659175000008</v>
      </c>
      <c r="FN44" s="59">
        <f t="shared" si="261"/>
        <v>120729.99510071502</v>
      </c>
      <c r="FO44" s="60">
        <f t="shared" si="262"/>
        <v>35596.085525000002</v>
      </c>
      <c r="FP44" s="59">
        <f t="shared" si="263"/>
        <v>117673.53952854501</v>
      </c>
      <c r="FQ44" s="60">
        <f t="shared" si="264"/>
        <v>34671.511875000004</v>
      </c>
      <c r="FR44" s="59">
        <f t="shared" si="265"/>
        <v>114617.08395637502</v>
      </c>
      <c r="FS44" s="55">
        <f t="shared" si="266"/>
        <v>33746.938224999998</v>
      </c>
      <c r="FT44" s="59">
        <f t="shared" si="267"/>
        <v>111560.62838420499</v>
      </c>
      <c r="FU44" s="60">
        <f t="shared" si="268"/>
        <v>32822.364575</v>
      </c>
      <c r="FV44" s="59">
        <f t="shared" si="269"/>
        <v>108504.172812035</v>
      </c>
      <c r="FW44" s="60">
        <f t="shared" si="270"/>
        <v>31897.790924999998</v>
      </c>
      <c r="FX44" s="59">
        <f t="shared" si="271"/>
        <v>105447.717239865</v>
      </c>
      <c r="FY44" s="60">
        <f t="shared" si="272"/>
        <v>30973.217274999999</v>
      </c>
      <c r="FZ44" s="59">
        <f t="shared" si="273"/>
        <v>102391.261667695</v>
      </c>
      <c r="GA44" s="60">
        <f t="shared" si="274"/>
        <v>30048.643624999997</v>
      </c>
      <c r="GB44" s="59">
        <f t="shared" si="275"/>
        <v>99334.806095524997</v>
      </c>
      <c r="GC44" s="55">
        <f t="shared" si="276"/>
        <v>29124.069974999995</v>
      </c>
      <c r="GD44" s="59">
        <f t="shared" si="277"/>
        <v>96278.35052335498</v>
      </c>
      <c r="GE44" s="60">
        <f t="shared" si="278"/>
        <v>28199.496324999996</v>
      </c>
      <c r="GF44" s="59">
        <f t="shared" si="279"/>
        <v>93221.894951184993</v>
      </c>
      <c r="GG44" s="60">
        <f t="shared" si="280"/>
        <v>27274.922674999994</v>
      </c>
      <c r="GH44" s="59">
        <f t="shared" si="281"/>
        <v>90165.439379014977</v>
      </c>
      <c r="GI44" s="55">
        <f t="shared" si="282"/>
        <v>26350.349024999992</v>
      </c>
      <c r="GJ44" s="59">
        <f t="shared" si="283"/>
        <v>87108.983806844975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84"/>
        <v>0.91</v>
      </c>
      <c r="GR44" s="55">
        <f t="shared" si="284"/>
        <v>0.89</v>
      </c>
      <c r="GS44" s="55">
        <f t="shared" si="284"/>
        <v>0.87</v>
      </c>
      <c r="GT44" s="55">
        <f t="shared" si="284"/>
        <v>0.85</v>
      </c>
      <c r="GU44" s="55">
        <f t="shared" si="284"/>
        <v>0.83</v>
      </c>
      <c r="GV44" s="55">
        <f t="shared" si="284"/>
        <v>0.80999999999999994</v>
      </c>
      <c r="GW44" s="55">
        <f t="shared" si="284"/>
        <v>0.78999999999999992</v>
      </c>
      <c r="GX44" s="55">
        <f t="shared" si="284"/>
        <v>0.76999999999999991</v>
      </c>
      <c r="GY44" s="55">
        <f t="shared" si="284"/>
        <v>0.74999999999999989</v>
      </c>
      <c r="GZ44" s="55">
        <f t="shared" si="284"/>
        <v>0.72999999999999987</v>
      </c>
      <c r="HA44" s="55">
        <f t="shared" si="284"/>
        <v>0.70999999999999985</v>
      </c>
      <c r="HB44" s="55">
        <f t="shared" si="284"/>
        <v>0.68999999999999984</v>
      </c>
      <c r="HC44" s="55">
        <f t="shared" si="284"/>
        <v>0.66999999999999982</v>
      </c>
      <c r="HD44" s="55">
        <f t="shared" si="284"/>
        <v>0.6499999999999998</v>
      </c>
      <c r="HE44" s="55">
        <f t="shared" si="284"/>
        <v>0.62999999999999978</v>
      </c>
      <c r="HF44" s="55">
        <f t="shared" si="284"/>
        <v>0.60999999999999976</v>
      </c>
      <c r="HG44" s="55">
        <f t="shared" si="284"/>
        <v>0.58999999999999975</v>
      </c>
      <c r="HH44" s="55">
        <f t="shared" si="284"/>
        <v>0.56999999999999973</v>
      </c>
    </row>
    <row r="45" spans="1:216" x14ac:dyDescent="0.3">
      <c r="A45" s="2">
        <v>12</v>
      </c>
      <c r="C45" s="38" t="s">
        <v>23</v>
      </c>
      <c r="D45" s="42">
        <v>0</v>
      </c>
      <c r="E45" s="71">
        <f t="shared" si="153"/>
        <v>0</v>
      </c>
      <c r="H45" s="55">
        <f t="shared" si="154"/>
        <v>0</v>
      </c>
      <c r="I45" s="55">
        <f t="shared" si="62"/>
        <v>0</v>
      </c>
      <c r="J45" s="59">
        <f t="shared" si="63"/>
        <v>0</v>
      </c>
      <c r="K45" s="55">
        <f t="shared" si="155"/>
        <v>0</v>
      </c>
      <c r="L45" s="59">
        <f t="shared" si="156"/>
        <v>0</v>
      </c>
      <c r="M45" s="55">
        <f t="shared" si="157"/>
        <v>0</v>
      </c>
      <c r="N45" s="59">
        <f t="shared" si="158"/>
        <v>0</v>
      </c>
      <c r="O45" s="55">
        <f t="shared" si="159"/>
        <v>0</v>
      </c>
      <c r="P45" s="59">
        <f t="shared" si="160"/>
        <v>0</v>
      </c>
      <c r="Q45" s="57">
        <f t="shared" si="161"/>
        <v>0</v>
      </c>
      <c r="R45" s="59">
        <f t="shared" si="162"/>
        <v>0</v>
      </c>
      <c r="S45" s="55">
        <f t="shared" si="163"/>
        <v>0</v>
      </c>
      <c r="T45" s="59">
        <f t="shared" si="164"/>
        <v>0</v>
      </c>
      <c r="U45" s="57">
        <f t="shared" si="165"/>
        <v>0</v>
      </c>
      <c r="V45" s="59">
        <f t="shared" si="166"/>
        <v>0</v>
      </c>
      <c r="W45" s="60">
        <f t="shared" si="167"/>
        <v>0</v>
      </c>
      <c r="X45" s="59">
        <f t="shared" si="168"/>
        <v>0</v>
      </c>
      <c r="Y45" s="57">
        <f t="shared" si="169"/>
        <v>0</v>
      </c>
      <c r="Z45" s="59">
        <f t="shared" si="170"/>
        <v>0</v>
      </c>
      <c r="AA45" s="55">
        <f t="shared" si="171"/>
        <v>0</v>
      </c>
      <c r="AB45" s="59">
        <f t="shared" si="172"/>
        <v>0</v>
      </c>
      <c r="AC45" s="60">
        <f t="shared" si="173"/>
        <v>0</v>
      </c>
      <c r="AD45" s="59">
        <f t="shared" si="174"/>
        <v>0</v>
      </c>
      <c r="AE45" s="60">
        <f t="shared" si="175"/>
        <v>0</v>
      </c>
      <c r="AF45" s="59">
        <f t="shared" si="176"/>
        <v>0</v>
      </c>
      <c r="AG45" s="60">
        <f t="shared" si="177"/>
        <v>0</v>
      </c>
      <c r="AH45" s="59">
        <f t="shared" si="178"/>
        <v>0</v>
      </c>
      <c r="AI45" s="55">
        <f t="shared" si="179"/>
        <v>0</v>
      </c>
      <c r="AJ45" s="59">
        <f t="shared" si="180"/>
        <v>0</v>
      </c>
      <c r="AK45" s="60">
        <f t="shared" si="181"/>
        <v>0</v>
      </c>
      <c r="AL45" s="59">
        <f t="shared" si="182"/>
        <v>0</v>
      </c>
      <c r="AM45" s="60">
        <f t="shared" si="183"/>
        <v>0</v>
      </c>
      <c r="AN45" s="59">
        <f t="shared" si="184"/>
        <v>0</v>
      </c>
      <c r="AO45" s="60">
        <f t="shared" si="185"/>
        <v>0</v>
      </c>
      <c r="AP45" s="59">
        <f t="shared" si="186"/>
        <v>0</v>
      </c>
      <c r="AQ45" s="60">
        <f t="shared" si="187"/>
        <v>0</v>
      </c>
      <c r="AR45" s="59">
        <f t="shared" si="188"/>
        <v>0</v>
      </c>
      <c r="AS45" s="55">
        <f t="shared" si="189"/>
        <v>0</v>
      </c>
      <c r="AT45" s="59">
        <f t="shared" si="190"/>
        <v>0</v>
      </c>
      <c r="AU45" s="60">
        <f t="shared" si="191"/>
        <v>0</v>
      </c>
      <c r="AV45" s="59">
        <f t="shared" si="192"/>
        <v>0</v>
      </c>
      <c r="AW45" s="60">
        <f t="shared" si="193"/>
        <v>0</v>
      </c>
      <c r="AX45" s="59">
        <f t="shared" si="194"/>
        <v>0</v>
      </c>
      <c r="AY45" s="55">
        <f t="shared" si="195"/>
        <v>0</v>
      </c>
      <c r="AZ45" s="59">
        <f t="shared" si="196"/>
        <v>0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4"/>
        <v>0.91</v>
      </c>
      <c r="BH45" s="55">
        <f t="shared" si="144"/>
        <v>0.89</v>
      </c>
      <c r="BI45" s="55">
        <f t="shared" si="144"/>
        <v>0.87</v>
      </c>
      <c r="BJ45" s="55">
        <f t="shared" ref="BJ45:BX45" si="285">+BI45-0.02</f>
        <v>0.85</v>
      </c>
      <c r="BK45" s="55">
        <f t="shared" si="285"/>
        <v>0.83</v>
      </c>
      <c r="BL45" s="55">
        <f t="shared" si="285"/>
        <v>0.80999999999999994</v>
      </c>
      <c r="BM45" s="55">
        <f t="shared" si="285"/>
        <v>0.78999999999999992</v>
      </c>
      <c r="BN45" s="55">
        <f t="shared" si="285"/>
        <v>0.76999999999999991</v>
      </c>
      <c r="BO45" s="55">
        <f t="shared" si="285"/>
        <v>0.74999999999999989</v>
      </c>
      <c r="BP45" s="55">
        <f t="shared" si="285"/>
        <v>0.72999999999999987</v>
      </c>
      <c r="BQ45" s="55">
        <f t="shared" si="285"/>
        <v>0.70999999999999985</v>
      </c>
      <c r="BR45" s="55">
        <f t="shared" si="285"/>
        <v>0.68999999999999984</v>
      </c>
      <c r="BS45" s="55">
        <f t="shared" si="285"/>
        <v>0.66999999999999982</v>
      </c>
      <c r="BT45" s="55">
        <f t="shared" si="285"/>
        <v>0.6499999999999998</v>
      </c>
      <c r="BU45" s="55">
        <f t="shared" si="285"/>
        <v>0.62999999999999978</v>
      </c>
      <c r="BV45" s="55">
        <f t="shared" si="285"/>
        <v>0.60999999999999976</v>
      </c>
      <c r="BW45" s="55">
        <f t="shared" si="285"/>
        <v>0.58999999999999975</v>
      </c>
      <c r="BX45" s="55">
        <f t="shared" si="285"/>
        <v>0.56999999999999973</v>
      </c>
      <c r="BZ45" s="55">
        <f t="shared" si="88"/>
        <v>0</v>
      </c>
      <c r="CA45" s="55">
        <f t="shared" si="89"/>
        <v>0</v>
      </c>
      <c r="CB45" s="59">
        <f t="shared" si="197"/>
        <v>0</v>
      </c>
      <c r="CC45" s="55">
        <f t="shared" si="198"/>
        <v>0</v>
      </c>
      <c r="CD45" s="59">
        <f t="shared" si="199"/>
        <v>0</v>
      </c>
      <c r="CE45" s="55">
        <f t="shared" si="200"/>
        <v>0</v>
      </c>
      <c r="CF45" s="59">
        <f t="shared" si="201"/>
        <v>0</v>
      </c>
      <c r="CG45" s="55">
        <f t="shared" si="202"/>
        <v>0</v>
      </c>
      <c r="CH45" s="59">
        <f t="shared" si="203"/>
        <v>0</v>
      </c>
      <c r="CI45" s="57">
        <f t="shared" si="204"/>
        <v>0</v>
      </c>
      <c r="CJ45" s="59">
        <f t="shared" si="205"/>
        <v>0</v>
      </c>
      <c r="CK45" s="55">
        <f t="shared" si="206"/>
        <v>0</v>
      </c>
      <c r="CL45" s="59">
        <f t="shared" si="207"/>
        <v>0</v>
      </c>
      <c r="CM45" s="57">
        <f t="shared" si="208"/>
        <v>0</v>
      </c>
      <c r="CN45" s="59">
        <f t="shared" si="209"/>
        <v>0</v>
      </c>
      <c r="CO45" s="60">
        <f t="shared" si="210"/>
        <v>0</v>
      </c>
      <c r="CP45" s="59">
        <f t="shared" si="211"/>
        <v>0</v>
      </c>
      <c r="CQ45" s="57">
        <f t="shared" si="212"/>
        <v>0</v>
      </c>
      <c r="CR45" s="59">
        <f t="shared" si="213"/>
        <v>0</v>
      </c>
      <c r="CS45" s="55">
        <f t="shared" si="214"/>
        <v>0</v>
      </c>
      <c r="CT45" s="59">
        <f t="shared" si="215"/>
        <v>0</v>
      </c>
      <c r="CU45" s="60">
        <f t="shared" si="216"/>
        <v>0</v>
      </c>
      <c r="CV45" s="59">
        <f t="shared" si="217"/>
        <v>0</v>
      </c>
      <c r="CW45" s="60">
        <f t="shared" si="218"/>
        <v>0</v>
      </c>
      <c r="CX45" s="59">
        <f t="shared" si="219"/>
        <v>0</v>
      </c>
      <c r="CY45" s="60">
        <f t="shared" si="220"/>
        <v>0</v>
      </c>
      <c r="CZ45" s="59">
        <f t="shared" si="221"/>
        <v>0</v>
      </c>
      <c r="DA45" s="55">
        <f t="shared" si="222"/>
        <v>0</v>
      </c>
      <c r="DB45" s="59">
        <f t="shared" si="223"/>
        <v>0</v>
      </c>
      <c r="DC45" s="60">
        <f t="shared" si="224"/>
        <v>0</v>
      </c>
      <c r="DD45" s="59">
        <f t="shared" si="225"/>
        <v>0</v>
      </c>
      <c r="DE45" s="60">
        <f t="shared" si="226"/>
        <v>0</v>
      </c>
      <c r="DF45" s="59">
        <f t="shared" si="227"/>
        <v>0</v>
      </c>
      <c r="DG45" s="60">
        <f t="shared" si="228"/>
        <v>0</v>
      </c>
      <c r="DH45" s="59">
        <f t="shared" si="229"/>
        <v>0</v>
      </c>
      <c r="DI45" s="60">
        <f t="shared" si="230"/>
        <v>0</v>
      </c>
      <c r="DJ45" s="59">
        <f t="shared" si="231"/>
        <v>0</v>
      </c>
      <c r="DK45" s="55">
        <f t="shared" si="232"/>
        <v>0</v>
      </c>
      <c r="DL45" s="59">
        <f t="shared" si="233"/>
        <v>0</v>
      </c>
      <c r="DM45" s="60">
        <f t="shared" si="234"/>
        <v>0</v>
      </c>
      <c r="DN45" s="59">
        <f t="shared" si="235"/>
        <v>0</v>
      </c>
      <c r="DO45" s="60">
        <f t="shared" si="236"/>
        <v>0</v>
      </c>
      <c r="DP45" s="59">
        <f t="shared" si="237"/>
        <v>0</v>
      </c>
      <c r="DQ45" s="55">
        <f t="shared" si="238"/>
        <v>0</v>
      </c>
      <c r="DR45" s="59">
        <f t="shared" si="239"/>
        <v>0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40"/>
        <v>0.91</v>
      </c>
      <c r="DZ45" s="55">
        <f t="shared" si="240"/>
        <v>0.89</v>
      </c>
      <c r="EA45" s="55">
        <f t="shared" si="240"/>
        <v>0.87</v>
      </c>
      <c r="EB45" s="55">
        <f t="shared" si="240"/>
        <v>0.85</v>
      </c>
      <c r="EC45" s="55">
        <f t="shared" si="240"/>
        <v>0.83</v>
      </c>
      <c r="ED45" s="55">
        <f t="shared" si="240"/>
        <v>0.80999999999999994</v>
      </c>
      <c r="EE45" s="55">
        <f t="shared" si="240"/>
        <v>0.78999999999999992</v>
      </c>
      <c r="EF45" s="55">
        <f t="shared" si="240"/>
        <v>0.76999999999999991</v>
      </c>
      <c r="EG45" s="55">
        <f t="shared" si="240"/>
        <v>0.74999999999999989</v>
      </c>
      <c r="EH45" s="55">
        <f t="shared" si="240"/>
        <v>0.72999999999999987</v>
      </c>
      <c r="EI45" s="55">
        <f t="shared" si="240"/>
        <v>0.70999999999999985</v>
      </c>
      <c r="EJ45" s="55">
        <f t="shared" si="240"/>
        <v>0.68999999999999984</v>
      </c>
      <c r="EK45" s="55">
        <f t="shared" si="240"/>
        <v>0.66999999999999982</v>
      </c>
      <c r="EL45" s="55">
        <f t="shared" si="240"/>
        <v>0.6499999999999998</v>
      </c>
      <c r="EM45" s="55">
        <f t="shared" si="240"/>
        <v>0.62999999999999978</v>
      </c>
      <c r="EN45" s="55">
        <f t="shared" si="240"/>
        <v>0.60999999999999976</v>
      </c>
      <c r="EO45" s="55">
        <f t="shared" si="240"/>
        <v>0.58999999999999975</v>
      </c>
      <c r="EP45" s="55">
        <f t="shared" si="240"/>
        <v>0.56999999999999973</v>
      </c>
      <c r="ER45" s="55">
        <f t="shared" si="142"/>
        <v>0</v>
      </c>
      <c r="ES45" s="55">
        <f t="shared" si="116"/>
        <v>0</v>
      </c>
      <c r="ET45" s="59">
        <f t="shared" si="241"/>
        <v>0</v>
      </c>
      <c r="EU45" s="55">
        <f t="shared" si="242"/>
        <v>0</v>
      </c>
      <c r="EV45" s="59">
        <f t="shared" si="243"/>
        <v>0</v>
      </c>
      <c r="EW45" s="55">
        <f t="shared" si="244"/>
        <v>0</v>
      </c>
      <c r="EX45" s="59">
        <f t="shared" si="245"/>
        <v>0</v>
      </c>
      <c r="EY45" s="55">
        <f t="shared" si="246"/>
        <v>0</v>
      </c>
      <c r="EZ45" s="59">
        <f t="shared" si="247"/>
        <v>0</v>
      </c>
      <c r="FA45" s="57">
        <f t="shared" si="248"/>
        <v>0</v>
      </c>
      <c r="FB45" s="59">
        <f t="shared" si="249"/>
        <v>0</v>
      </c>
      <c r="FC45" s="55">
        <f t="shared" si="250"/>
        <v>0</v>
      </c>
      <c r="FD45" s="59">
        <f t="shared" si="251"/>
        <v>0</v>
      </c>
      <c r="FE45" s="57">
        <f t="shared" si="252"/>
        <v>0</v>
      </c>
      <c r="FF45" s="59">
        <f t="shared" si="253"/>
        <v>0</v>
      </c>
      <c r="FG45" s="60">
        <f t="shared" si="254"/>
        <v>0</v>
      </c>
      <c r="FH45" s="59">
        <f t="shared" si="255"/>
        <v>0</v>
      </c>
      <c r="FI45" s="57">
        <f t="shared" si="256"/>
        <v>0</v>
      </c>
      <c r="FJ45" s="59">
        <f t="shared" si="257"/>
        <v>0</v>
      </c>
      <c r="FK45" s="55">
        <f t="shared" si="258"/>
        <v>0</v>
      </c>
      <c r="FL45" s="59">
        <f t="shared" si="259"/>
        <v>0</v>
      </c>
      <c r="FM45" s="60">
        <f t="shared" si="260"/>
        <v>0</v>
      </c>
      <c r="FN45" s="59">
        <f t="shared" si="261"/>
        <v>0</v>
      </c>
      <c r="FO45" s="60">
        <f t="shared" si="262"/>
        <v>0</v>
      </c>
      <c r="FP45" s="59">
        <f t="shared" si="263"/>
        <v>0</v>
      </c>
      <c r="FQ45" s="60">
        <f t="shared" si="264"/>
        <v>0</v>
      </c>
      <c r="FR45" s="59">
        <f t="shared" si="265"/>
        <v>0</v>
      </c>
      <c r="FS45" s="55">
        <f t="shared" si="266"/>
        <v>0</v>
      </c>
      <c r="FT45" s="59">
        <f t="shared" si="267"/>
        <v>0</v>
      </c>
      <c r="FU45" s="60">
        <f t="shared" si="268"/>
        <v>0</v>
      </c>
      <c r="FV45" s="59">
        <f t="shared" si="269"/>
        <v>0</v>
      </c>
      <c r="FW45" s="60">
        <f t="shared" si="270"/>
        <v>0</v>
      </c>
      <c r="FX45" s="59">
        <f t="shared" si="271"/>
        <v>0</v>
      </c>
      <c r="FY45" s="60">
        <f t="shared" si="272"/>
        <v>0</v>
      </c>
      <c r="FZ45" s="59">
        <f t="shared" si="273"/>
        <v>0</v>
      </c>
      <c r="GA45" s="60">
        <f t="shared" si="274"/>
        <v>0</v>
      </c>
      <c r="GB45" s="59">
        <f t="shared" si="275"/>
        <v>0</v>
      </c>
      <c r="GC45" s="55">
        <f t="shared" si="276"/>
        <v>0</v>
      </c>
      <c r="GD45" s="59">
        <f t="shared" si="277"/>
        <v>0</v>
      </c>
      <c r="GE45" s="60">
        <f t="shared" si="278"/>
        <v>0</v>
      </c>
      <c r="GF45" s="59">
        <f t="shared" si="279"/>
        <v>0</v>
      </c>
      <c r="GG45" s="60">
        <f t="shared" si="280"/>
        <v>0</v>
      </c>
      <c r="GH45" s="59">
        <f t="shared" si="281"/>
        <v>0</v>
      </c>
      <c r="GI45" s="55">
        <f t="shared" si="282"/>
        <v>0</v>
      </c>
      <c r="GJ45" s="59">
        <f t="shared" si="283"/>
        <v>0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84"/>
        <v>0.91</v>
      </c>
      <c r="GR45" s="55">
        <f t="shared" si="284"/>
        <v>0.89</v>
      </c>
      <c r="GS45" s="55">
        <f t="shared" si="284"/>
        <v>0.87</v>
      </c>
      <c r="GT45" s="55">
        <f t="shared" si="284"/>
        <v>0.85</v>
      </c>
      <c r="GU45" s="55">
        <f t="shared" si="284"/>
        <v>0.83</v>
      </c>
      <c r="GV45" s="55">
        <f t="shared" si="284"/>
        <v>0.80999999999999994</v>
      </c>
      <c r="GW45" s="55">
        <f t="shared" si="284"/>
        <v>0.78999999999999992</v>
      </c>
      <c r="GX45" s="55">
        <f t="shared" si="284"/>
        <v>0.76999999999999991</v>
      </c>
      <c r="GY45" s="55">
        <f t="shared" si="284"/>
        <v>0.74999999999999989</v>
      </c>
      <c r="GZ45" s="55">
        <f t="shared" si="284"/>
        <v>0.72999999999999987</v>
      </c>
      <c r="HA45" s="55">
        <f t="shared" si="284"/>
        <v>0.70999999999999985</v>
      </c>
      <c r="HB45" s="55">
        <f t="shared" si="284"/>
        <v>0.68999999999999984</v>
      </c>
      <c r="HC45" s="55">
        <f t="shared" si="284"/>
        <v>0.66999999999999982</v>
      </c>
      <c r="HD45" s="55">
        <f t="shared" si="284"/>
        <v>0.6499999999999998</v>
      </c>
      <c r="HE45" s="55">
        <f t="shared" si="284"/>
        <v>0.62999999999999978</v>
      </c>
      <c r="HF45" s="55">
        <f t="shared" si="284"/>
        <v>0.60999999999999976</v>
      </c>
      <c r="HG45" s="55">
        <f t="shared" si="284"/>
        <v>0.58999999999999975</v>
      </c>
      <c r="HH45" s="55">
        <f t="shared" si="284"/>
        <v>0.56999999999999973</v>
      </c>
    </row>
    <row r="46" spans="1:216" x14ac:dyDescent="0.3">
      <c r="A46" s="2">
        <v>13</v>
      </c>
      <c r="C46" s="38" t="s">
        <v>24</v>
      </c>
      <c r="D46" s="42">
        <f>TRUNC(6072,-1)</f>
        <v>6070</v>
      </c>
      <c r="E46" s="71">
        <f t="shared" si="153"/>
        <v>20060</v>
      </c>
      <c r="H46" s="55">
        <f t="shared" si="154"/>
        <v>6677.0000000000009</v>
      </c>
      <c r="I46" s="55">
        <f t="shared" si="62"/>
        <v>6677.0000000000009</v>
      </c>
      <c r="J46" s="59">
        <f t="shared" si="63"/>
        <v>22072.826600000004</v>
      </c>
      <c r="K46" s="55">
        <f t="shared" si="155"/>
        <v>6476.6900000000005</v>
      </c>
      <c r="L46" s="59">
        <f t="shared" si="156"/>
        <v>21410.641802000002</v>
      </c>
      <c r="M46" s="55">
        <f t="shared" si="157"/>
        <v>6343.1500000000005</v>
      </c>
      <c r="N46" s="59">
        <f t="shared" si="158"/>
        <v>20969.185270000002</v>
      </c>
      <c r="O46" s="55">
        <f t="shared" si="159"/>
        <v>6209.6100000000015</v>
      </c>
      <c r="P46" s="59">
        <f t="shared" si="160"/>
        <v>20527.728738000005</v>
      </c>
      <c r="Q46" s="57">
        <f t="shared" si="161"/>
        <v>6076.0700000000006</v>
      </c>
      <c r="R46" s="59">
        <f t="shared" si="162"/>
        <v>20086.272206000001</v>
      </c>
      <c r="S46" s="55">
        <f t="shared" si="163"/>
        <v>5942.5300000000007</v>
      </c>
      <c r="T46" s="59">
        <f t="shared" si="164"/>
        <v>19644.815674000001</v>
      </c>
      <c r="U46" s="57">
        <f t="shared" si="165"/>
        <v>5808.9900000000007</v>
      </c>
      <c r="V46" s="59">
        <f t="shared" si="166"/>
        <v>19203.359142000001</v>
      </c>
      <c r="W46" s="60">
        <f t="shared" si="167"/>
        <v>5675.4500000000007</v>
      </c>
      <c r="X46" s="59">
        <f t="shared" si="168"/>
        <v>18761.902610000001</v>
      </c>
      <c r="Y46" s="57">
        <f t="shared" si="169"/>
        <v>5541.9100000000008</v>
      </c>
      <c r="Z46" s="59">
        <f t="shared" si="170"/>
        <v>18320.446078000004</v>
      </c>
      <c r="AA46" s="55">
        <f t="shared" si="171"/>
        <v>5408.3700000000008</v>
      </c>
      <c r="AB46" s="59">
        <f t="shared" si="172"/>
        <v>17878.989546000004</v>
      </c>
      <c r="AC46" s="60">
        <f t="shared" si="173"/>
        <v>5274.83</v>
      </c>
      <c r="AD46" s="59">
        <f t="shared" si="174"/>
        <v>17437.533014000001</v>
      </c>
      <c r="AE46" s="60">
        <f t="shared" si="175"/>
        <v>5141.29</v>
      </c>
      <c r="AF46" s="59">
        <f t="shared" si="176"/>
        <v>16996.076482</v>
      </c>
      <c r="AG46" s="60">
        <f t="shared" si="177"/>
        <v>5007.75</v>
      </c>
      <c r="AH46" s="59">
        <f t="shared" si="178"/>
        <v>16554.61995</v>
      </c>
      <c r="AI46" s="55">
        <f t="shared" si="179"/>
        <v>4874.21</v>
      </c>
      <c r="AJ46" s="59">
        <f t="shared" si="180"/>
        <v>16113.163418</v>
      </c>
      <c r="AK46" s="60">
        <f t="shared" si="181"/>
        <v>4740.67</v>
      </c>
      <c r="AL46" s="59">
        <f t="shared" si="182"/>
        <v>15671.706886</v>
      </c>
      <c r="AM46" s="60">
        <f t="shared" si="183"/>
        <v>4607.1299999999992</v>
      </c>
      <c r="AN46" s="59">
        <f t="shared" si="184"/>
        <v>15230.250353999998</v>
      </c>
      <c r="AO46" s="60">
        <f t="shared" si="185"/>
        <v>4473.5899999999992</v>
      </c>
      <c r="AP46" s="59">
        <f t="shared" si="186"/>
        <v>14788.793821999998</v>
      </c>
      <c r="AQ46" s="60">
        <f t="shared" si="187"/>
        <v>4340.0499999999993</v>
      </c>
      <c r="AR46" s="59">
        <f t="shared" si="188"/>
        <v>14347.337289999998</v>
      </c>
      <c r="AS46" s="55">
        <f t="shared" si="189"/>
        <v>4206.5099999999993</v>
      </c>
      <c r="AT46" s="59">
        <f t="shared" si="190"/>
        <v>13905.880757999998</v>
      </c>
      <c r="AU46" s="60">
        <f t="shared" si="191"/>
        <v>4072.9699999999989</v>
      </c>
      <c r="AV46" s="59">
        <f t="shared" si="192"/>
        <v>13464.424225999997</v>
      </c>
      <c r="AW46" s="60">
        <f t="shared" si="193"/>
        <v>3939.4299999999989</v>
      </c>
      <c r="AX46" s="59">
        <f t="shared" si="194"/>
        <v>13022.967693999997</v>
      </c>
      <c r="AY46" s="55">
        <f t="shared" si="195"/>
        <v>3805.8899999999985</v>
      </c>
      <c r="AZ46" s="59">
        <f t="shared" si="196"/>
        <v>12581.511161999995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6">+BF46-0.02</f>
        <v>0.91</v>
      </c>
      <c r="BH46" s="55">
        <f t="shared" si="286"/>
        <v>0.89</v>
      </c>
      <c r="BI46" s="55">
        <f t="shared" si="286"/>
        <v>0.87</v>
      </c>
      <c r="BJ46" s="55">
        <f t="shared" si="286"/>
        <v>0.85</v>
      </c>
      <c r="BK46" s="55">
        <f t="shared" si="286"/>
        <v>0.83</v>
      </c>
      <c r="BL46" s="55">
        <f t="shared" si="286"/>
        <v>0.80999999999999994</v>
      </c>
      <c r="BM46" s="55">
        <f t="shared" si="286"/>
        <v>0.78999999999999992</v>
      </c>
      <c r="BN46" s="55">
        <f t="shared" si="286"/>
        <v>0.76999999999999991</v>
      </c>
      <c r="BO46" s="55">
        <f t="shared" si="286"/>
        <v>0.74999999999999989</v>
      </c>
      <c r="BP46" s="55">
        <f t="shared" si="286"/>
        <v>0.72999999999999987</v>
      </c>
      <c r="BQ46" s="55">
        <f t="shared" si="286"/>
        <v>0.70999999999999985</v>
      </c>
      <c r="BR46" s="55">
        <f t="shared" si="286"/>
        <v>0.68999999999999984</v>
      </c>
      <c r="BS46" s="55">
        <f t="shared" si="286"/>
        <v>0.66999999999999982</v>
      </c>
      <c r="BT46" s="55">
        <f t="shared" si="286"/>
        <v>0.6499999999999998</v>
      </c>
      <c r="BU46" s="55">
        <f t="shared" si="286"/>
        <v>0.62999999999999978</v>
      </c>
      <c r="BV46" s="55">
        <f t="shared" si="286"/>
        <v>0.60999999999999976</v>
      </c>
      <c r="BW46" s="55">
        <f t="shared" si="286"/>
        <v>0.58999999999999975</v>
      </c>
      <c r="BX46" s="55">
        <f t="shared" si="286"/>
        <v>0.56999999999999973</v>
      </c>
      <c r="BZ46" s="55">
        <f t="shared" si="88"/>
        <v>6076.0700000000006</v>
      </c>
      <c r="CA46" s="55">
        <f t="shared" si="89"/>
        <v>6076.0700000000006</v>
      </c>
      <c r="CB46" s="59">
        <f t="shared" si="197"/>
        <v>20086.272206000001</v>
      </c>
      <c r="CC46" s="55">
        <f t="shared" si="198"/>
        <v>5893.7879000000003</v>
      </c>
      <c r="CD46" s="59">
        <f t="shared" si="199"/>
        <v>19483.68403982</v>
      </c>
      <c r="CE46" s="55">
        <f t="shared" si="200"/>
        <v>5772.2665000000006</v>
      </c>
      <c r="CF46" s="59">
        <f t="shared" si="201"/>
        <v>19081.958595700002</v>
      </c>
      <c r="CG46" s="55">
        <f t="shared" si="202"/>
        <v>5650.745100000001</v>
      </c>
      <c r="CH46" s="59">
        <f t="shared" si="203"/>
        <v>18680.233151580003</v>
      </c>
      <c r="CI46" s="57">
        <f t="shared" si="204"/>
        <v>5529.2237000000005</v>
      </c>
      <c r="CJ46" s="59">
        <f t="shared" si="205"/>
        <v>18278.507707460001</v>
      </c>
      <c r="CK46" s="55">
        <f t="shared" si="206"/>
        <v>5407.7023000000008</v>
      </c>
      <c r="CL46" s="59">
        <f t="shared" si="207"/>
        <v>17876.782263340003</v>
      </c>
      <c r="CM46" s="57">
        <f t="shared" si="208"/>
        <v>5286.1809000000003</v>
      </c>
      <c r="CN46" s="59">
        <f t="shared" si="209"/>
        <v>17475.056819220001</v>
      </c>
      <c r="CO46" s="60">
        <f t="shared" si="210"/>
        <v>5164.6595000000007</v>
      </c>
      <c r="CP46" s="59">
        <f t="shared" si="211"/>
        <v>17073.331375100002</v>
      </c>
      <c r="CQ46" s="57">
        <f t="shared" si="212"/>
        <v>5043.1381000000001</v>
      </c>
      <c r="CR46" s="59">
        <f t="shared" si="213"/>
        <v>16671.60593098</v>
      </c>
      <c r="CS46" s="55">
        <f t="shared" si="214"/>
        <v>4921.6167000000005</v>
      </c>
      <c r="CT46" s="59">
        <f t="shared" si="215"/>
        <v>16269.880486860002</v>
      </c>
      <c r="CU46" s="60">
        <f t="shared" si="216"/>
        <v>4800.0953</v>
      </c>
      <c r="CV46" s="59">
        <f t="shared" si="217"/>
        <v>15868.15504274</v>
      </c>
      <c r="CW46" s="60">
        <f t="shared" si="218"/>
        <v>4678.5739000000003</v>
      </c>
      <c r="CX46" s="59">
        <f t="shared" si="219"/>
        <v>15466.429598620001</v>
      </c>
      <c r="CY46" s="60">
        <f t="shared" si="220"/>
        <v>4557.0524999999998</v>
      </c>
      <c r="CZ46" s="59">
        <f t="shared" si="221"/>
        <v>15064.704154499999</v>
      </c>
      <c r="DA46" s="55">
        <f t="shared" si="222"/>
        <v>4435.5310999999992</v>
      </c>
      <c r="DB46" s="59">
        <f t="shared" si="223"/>
        <v>14662.978710379997</v>
      </c>
      <c r="DC46" s="60">
        <f t="shared" si="224"/>
        <v>4314.0096999999996</v>
      </c>
      <c r="DD46" s="59">
        <f t="shared" si="225"/>
        <v>14261.253266259999</v>
      </c>
      <c r="DE46" s="60">
        <f t="shared" si="226"/>
        <v>4192.4882999999991</v>
      </c>
      <c r="DF46" s="59">
        <f t="shared" si="227"/>
        <v>13859.527822139997</v>
      </c>
      <c r="DG46" s="60">
        <f t="shared" si="228"/>
        <v>4070.9668999999994</v>
      </c>
      <c r="DH46" s="59">
        <f t="shared" si="229"/>
        <v>13457.802378019998</v>
      </c>
      <c r="DI46" s="60">
        <f t="shared" si="230"/>
        <v>3949.4454999999994</v>
      </c>
      <c r="DJ46" s="59">
        <f t="shared" si="231"/>
        <v>13056.076933899998</v>
      </c>
      <c r="DK46" s="55">
        <f t="shared" si="232"/>
        <v>3827.9240999999993</v>
      </c>
      <c r="DL46" s="59">
        <f t="shared" si="233"/>
        <v>12654.351489779998</v>
      </c>
      <c r="DM46" s="60">
        <f t="shared" si="234"/>
        <v>3706.4026999999987</v>
      </c>
      <c r="DN46" s="59">
        <f t="shared" si="235"/>
        <v>12252.626045659996</v>
      </c>
      <c r="DO46" s="60">
        <f t="shared" si="236"/>
        <v>3584.8812999999986</v>
      </c>
      <c r="DP46" s="59">
        <f t="shared" si="237"/>
        <v>11850.900601539995</v>
      </c>
      <c r="DQ46" s="55">
        <f t="shared" si="238"/>
        <v>3463.3598999999986</v>
      </c>
      <c r="DR46" s="59">
        <f t="shared" si="239"/>
        <v>11449.175157419995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40"/>
        <v>0.91</v>
      </c>
      <c r="DZ46" s="55">
        <f t="shared" si="240"/>
        <v>0.89</v>
      </c>
      <c r="EA46" s="55">
        <f t="shared" si="240"/>
        <v>0.87</v>
      </c>
      <c r="EB46" s="55">
        <f t="shared" si="240"/>
        <v>0.85</v>
      </c>
      <c r="EC46" s="55">
        <f t="shared" si="240"/>
        <v>0.83</v>
      </c>
      <c r="ED46" s="55">
        <f t="shared" si="240"/>
        <v>0.80999999999999994</v>
      </c>
      <c r="EE46" s="55">
        <f t="shared" si="240"/>
        <v>0.78999999999999992</v>
      </c>
      <c r="EF46" s="55">
        <f t="shared" si="240"/>
        <v>0.76999999999999991</v>
      </c>
      <c r="EG46" s="55">
        <f t="shared" si="240"/>
        <v>0.74999999999999989</v>
      </c>
      <c r="EH46" s="55">
        <f t="shared" si="240"/>
        <v>0.72999999999999987</v>
      </c>
      <c r="EI46" s="55">
        <f t="shared" si="240"/>
        <v>0.70999999999999985</v>
      </c>
      <c r="EJ46" s="55">
        <f t="shared" si="240"/>
        <v>0.68999999999999984</v>
      </c>
      <c r="EK46" s="55">
        <f t="shared" si="240"/>
        <v>0.66999999999999982</v>
      </c>
      <c r="EL46" s="55">
        <f t="shared" si="240"/>
        <v>0.6499999999999998</v>
      </c>
      <c r="EM46" s="55">
        <f t="shared" si="240"/>
        <v>0.62999999999999978</v>
      </c>
      <c r="EN46" s="55">
        <f t="shared" si="240"/>
        <v>0.60999999999999976</v>
      </c>
      <c r="EO46" s="55">
        <f t="shared" si="240"/>
        <v>0.58999999999999975</v>
      </c>
      <c r="EP46" s="55">
        <f t="shared" si="240"/>
        <v>0.56999999999999973</v>
      </c>
      <c r="ER46" s="55">
        <f t="shared" si="142"/>
        <v>5529.2237000000005</v>
      </c>
      <c r="ES46" s="55">
        <f t="shared" si="116"/>
        <v>5529.2237000000005</v>
      </c>
      <c r="ET46" s="59">
        <f t="shared" si="241"/>
        <v>18278.507707460001</v>
      </c>
      <c r="EU46" s="55">
        <f t="shared" si="242"/>
        <v>5363.3469890000006</v>
      </c>
      <c r="EV46" s="59">
        <f t="shared" si="243"/>
        <v>17730.152476236202</v>
      </c>
      <c r="EW46" s="55">
        <f t="shared" si="244"/>
        <v>5252.7625150000003</v>
      </c>
      <c r="EX46" s="59">
        <f t="shared" si="245"/>
        <v>17364.582322087001</v>
      </c>
      <c r="EY46" s="55">
        <f t="shared" si="246"/>
        <v>5142.178041000001</v>
      </c>
      <c r="EZ46" s="59">
        <f t="shared" si="247"/>
        <v>16999.012167937803</v>
      </c>
      <c r="FA46" s="57">
        <f t="shared" si="248"/>
        <v>5031.5935670000008</v>
      </c>
      <c r="FB46" s="59">
        <f t="shared" si="249"/>
        <v>16633.442013788605</v>
      </c>
      <c r="FC46" s="55">
        <f t="shared" si="250"/>
        <v>4921.0090930000006</v>
      </c>
      <c r="FD46" s="59">
        <f t="shared" si="251"/>
        <v>16267.871859639403</v>
      </c>
      <c r="FE46" s="57">
        <f t="shared" si="252"/>
        <v>4810.4246190000003</v>
      </c>
      <c r="FF46" s="59">
        <f t="shared" si="253"/>
        <v>15902.301705490201</v>
      </c>
      <c r="FG46" s="60">
        <f t="shared" si="254"/>
        <v>4699.8401450000001</v>
      </c>
      <c r="FH46" s="59">
        <f t="shared" si="255"/>
        <v>15536.731551341001</v>
      </c>
      <c r="FI46" s="57">
        <f t="shared" si="256"/>
        <v>4589.2556709999999</v>
      </c>
      <c r="FJ46" s="59">
        <f t="shared" si="257"/>
        <v>15171.1613971918</v>
      </c>
      <c r="FK46" s="55">
        <f t="shared" si="258"/>
        <v>4478.6711969999997</v>
      </c>
      <c r="FL46" s="59">
        <f t="shared" si="259"/>
        <v>14805.5912430426</v>
      </c>
      <c r="FM46" s="60">
        <f t="shared" si="260"/>
        <v>4368.0867230000003</v>
      </c>
      <c r="FN46" s="59">
        <f t="shared" si="261"/>
        <v>14440.021088893402</v>
      </c>
      <c r="FO46" s="60">
        <f t="shared" si="262"/>
        <v>4257.5022490000001</v>
      </c>
      <c r="FP46" s="59">
        <f t="shared" si="263"/>
        <v>14074.4509347442</v>
      </c>
      <c r="FQ46" s="60">
        <f t="shared" si="264"/>
        <v>4146.9177749999999</v>
      </c>
      <c r="FR46" s="59">
        <f t="shared" si="265"/>
        <v>13708.880780595</v>
      </c>
      <c r="FS46" s="55">
        <f t="shared" si="266"/>
        <v>4036.3333009999997</v>
      </c>
      <c r="FT46" s="59">
        <f t="shared" si="267"/>
        <v>13343.310626445798</v>
      </c>
      <c r="FU46" s="60">
        <f t="shared" si="268"/>
        <v>3925.7488269999994</v>
      </c>
      <c r="FV46" s="59">
        <f t="shared" si="269"/>
        <v>12977.740472296598</v>
      </c>
      <c r="FW46" s="60">
        <f t="shared" si="270"/>
        <v>3815.1643529999992</v>
      </c>
      <c r="FX46" s="59">
        <f t="shared" si="271"/>
        <v>12612.170318147397</v>
      </c>
      <c r="FY46" s="60">
        <f t="shared" si="272"/>
        <v>3704.5798789999994</v>
      </c>
      <c r="FZ46" s="59">
        <f t="shared" si="273"/>
        <v>12246.600163998199</v>
      </c>
      <c r="GA46" s="60">
        <f t="shared" si="274"/>
        <v>3593.9954049999992</v>
      </c>
      <c r="GB46" s="59">
        <f t="shared" si="275"/>
        <v>11881.030009848997</v>
      </c>
      <c r="GC46" s="55">
        <f t="shared" si="276"/>
        <v>3483.410930999999</v>
      </c>
      <c r="GD46" s="59">
        <f t="shared" si="277"/>
        <v>11515.459855699797</v>
      </c>
      <c r="GE46" s="60">
        <f t="shared" si="278"/>
        <v>3372.8264569999988</v>
      </c>
      <c r="GF46" s="59">
        <f t="shared" si="279"/>
        <v>11149.889701550595</v>
      </c>
      <c r="GG46" s="60">
        <f t="shared" si="280"/>
        <v>3262.241982999999</v>
      </c>
      <c r="GH46" s="59">
        <f t="shared" si="281"/>
        <v>10784.319547401397</v>
      </c>
      <c r="GI46" s="55">
        <f t="shared" si="282"/>
        <v>3151.6575089999988</v>
      </c>
      <c r="GJ46" s="59">
        <f t="shared" si="283"/>
        <v>10418.749393252196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84"/>
        <v>0.91</v>
      </c>
      <c r="GR46" s="55">
        <f t="shared" si="284"/>
        <v>0.89</v>
      </c>
      <c r="GS46" s="55">
        <f t="shared" si="284"/>
        <v>0.87</v>
      </c>
      <c r="GT46" s="55">
        <f t="shared" si="284"/>
        <v>0.85</v>
      </c>
      <c r="GU46" s="55">
        <f t="shared" si="284"/>
        <v>0.83</v>
      </c>
      <c r="GV46" s="55">
        <f t="shared" si="284"/>
        <v>0.80999999999999994</v>
      </c>
      <c r="GW46" s="55">
        <f t="shared" si="284"/>
        <v>0.78999999999999992</v>
      </c>
      <c r="GX46" s="55">
        <f t="shared" si="284"/>
        <v>0.76999999999999991</v>
      </c>
      <c r="GY46" s="55">
        <f t="shared" si="284"/>
        <v>0.74999999999999989</v>
      </c>
      <c r="GZ46" s="55">
        <f t="shared" si="284"/>
        <v>0.72999999999999987</v>
      </c>
      <c r="HA46" s="55">
        <f t="shared" si="284"/>
        <v>0.70999999999999985</v>
      </c>
      <c r="HB46" s="55">
        <f t="shared" si="284"/>
        <v>0.68999999999999984</v>
      </c>
      <c r="HC46" s="55">
        <f t="shared" si="284"/>
        <v>0.66999999999999982</v>
      </c>
      <c r="HD46" s="55">
        <f t="shared" si="284"/>
        <v>0.6499999999999998</v>
      </c>
      <c r="HE46" s="55">
        <f t="shared" si="284"/>
        <v>0.62999999999999978</v>
      </c>
      <c r="HF46" s="55">
        <f t="shared" si="284"/>
        <v>0.60999999999999976</v>
      </c>
      <c r="HG46" s="55">
        <f t="shared" si="284"/>
        <v>0.58999999999999975</v>
      </c>
      <c r="HH46" s="55">
        <f t="shared" si="284"/>
        <v>0.56999999999999973</v>
      </c>
    </row>
    <row r="47" spans="1:216" x14ac:dyDescent="0.3">
      <c r="A47" s="2">
        <v>14</v>
      </c>
      <c r="C47" s="38" t="s">
        <v>25</v>
      </c>
      <c r="D47" s="42">
        <f>TRUNC(69867,-1)</f>
        <v>69860</v>
      </c>
      <c r="E47" s="71">
        <f t="shared" si="153"/>
        <v>230940</v>
      </c>
      <c r="F47" s="2" t="s">
        <v>308</v>
      </c>
      <c r="H47" s="55">
        <f t="shared" si="154"/>
        <v>76846</v>
      </c>
      <c r="I47" s="55">
        <f t="shared" si="62"/>
        <v>76846</v>
      </c>
      <c r="J47" s="59">
        <f t="shared" si="63"/>
        <v>254037.5068</v>
      </c>
      <c r="K47" s="55">
        <f t="shared" si="155"/>
        <v>74540.62</v>
      </c>
      <c r="L47" s="59">
        <f t="shared" si="156"/>
        <v>246416.38159599999</v>
      </c>
      <c r="M47" s="55">
        <f t="shared" si="157"/>
        <v>73003.7</v>
      </c>
      <c r="N47" s="59">
        <f t="shared" si="158"/>
        <v>241335.63146</v>
      </c>
      <c r="O47" s="55">
        <f t="shared" si="159"/>
        <v>71466.78</v>
      </c>
      <c r="P47" s="59">
        <f t="shared" si="160"/>
        <v>236254.88132399999</v>
      </c>
      <c r="Q47" s="57">
        <f t="shared" si="161"/>
        <v>69929.86</v>
      </c>
      <c r="R47" s="59">
        <f t="shared" si="162"/>
        <v>231174.131188</v>
      </c>
      <c r="S47" s="55">
        <f t="shared" si="163"/>
        <v>68392.94</v>
      </c>
      <c r="T47" s="59">
        <f t="shared" si="164"/>
        <v>226093.38105200001</v>
      </c>
      <c r="U47" s="57">
        <f t="shared" si="165"/>
        <v>66856.02</v>
      </c>
      <c r="V47" s="59">
        <f t="shared" si="166"/>
        <v>221012.63091600002</v>
      </c>
      <c r="W47" s="60">
        <f t="shared" si="167"/>
        <v>65319.1</v>
      </c>
      <c r="X47" s="59">
        <f t="shared" si="168"/>
        <v>215931.88078000001</v>
      </c>
      <c r="Y47" s="57">
        <f t="shared" si="169"/>
        <v>63782.18</v>
      </c>
      <c r="Z47" s="59">
        <f t="shared" si="170"/>
        <v>210851.13064400002</v>
      </c>
      <c r="AA47" s="55">
        <f t="shared" si="171"/>
        <v>62245.259999999995</v>
      </c>
      <c r="AB47" s="59">
        <f t="shared" si="172"/>
        <v>205770.38050799997</v>
      </c>
      <c r="AC47" s="60">
        <f t="shared" si="173"/>
        <v>60708.34</v>
      </c>
      <c r="AD47" s="59">
        <f t="shared" si="174"/>
        <v>200689.63037199999</v>
      </c>
      <c r="AE47" s="60">
        <f t="shared" si="175"/>
        <v>59171.419999999991</v>
      </c>
      <c r="AF47" s="59">
        <f t="shared" si="176"/>
        <v>195608.88023599997</v>
      </c>
      <c r="AG47" s="60">
        <f t="shared" si="177"/>
        <v>57634.499999999993</v>
      </c>
      <c r="AH47" s="59">
        <f t="shared" si="178"/>
        <v>190528.13009999998</v>
      </c>
      <c r="AI47" s="55">
        <f t="shared" si="179"/>
        <v>56097.579999999987</v>
      </c>
      <c r="AJ47" s="59">
        <f t="shared" si="180"/>
        <v>185447.37996399996</v>
      </c>
      <c r="AK47" s="60">
        <f t="shared" si="181"/>
        <v>54560.659999999989</v>
      </c>
      <c r="AL47" s="59">
        <f t="shared" si="182"/>
        <v>180366.62982799998</v>
      </c>
      <c r="AM47" s="60">
        <f t="shared" si="183"/>
        <v>53023.739999999991</v>
      </c>
      <c r="AN47" s="59">
        <f t="shared" si="184"/>
        <v>175285.87969199996</v>
      </c>
      <c r="AO47" s="60">
        <f t="shared" si="185"/>
        <v>51486.819999999985</v>
      </c>
      <c r="AP47" s="59">
        <f t="shared" si="186"/>
        <v>170205.12955599994</v>
      </c>
      <c r="AQ47" s="60">
        <f t="shared" si="187"/>
        <v>49949.899999999987</v>
      </c>
      <c r="AR47" s="59">
        <f t="shared" si="188"/>
        <v>165124.37941999995</v>
      </c>
      <c r="AS47" s="55">
        <f t="shared" si="189"/>
        <v>48412.979999999981</v>
      </c>
      <c r="AT47" s="59">
        <f t="shared" si="190"/>
        <v>160043.62928399994</v>
      </c>
      <c r="AU47" s="60">
        <f t="shared" si="191"/>
        <v>46876.059999999983</v>
      </c>
      <c r="AV47" s="59">
        <f t="shared" si="192"/>
        <v>154962.87914799995</v>
      </c>
      <c r="AW47" s="60">
        <f t="shared" si="193"/>
        <v>45339.139999999978</v>
      </c>
      <c r="AX47" s="59">
        <f t="shared" si="194"/>
        <v>149882.12901199993</v>
      </c>
      <c r="AY47" s="55">
        <f t="shared" si="195"/>
        <v>43802.219999999979</v>
      </c>
      <c r="AZ47" s="59">
        <f t="shared" si="196"/>
        <v>144801.37887599994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6"/>
        <v>0.91</v>
      </c>
      <c r="BH47" s="55">
        <f t="shared" si="286"/>
        <v>0.89</v>
      </c>
      <c r="BI47" s="55">
        <f t="shared" si="286"/>
        <v>0.87</v>
      </c>
      <c r="BJ47" s="55">
        <f t="shared" si="286"/>
        <v>0.85</v>
      </c>
      <c r="BK47" s="55">
        <f t="shared" si="286"/>
        <v>0.83</v>
      </c>
      <c r="BL47" s="55">
        <f t="shared" si="286"/>
        <v>0.80999999999999994</v>
      </c>
      <c r="BM47" s="55">
        <f t="shared" si="286"/>
        <v>0.78999999999999992</v>
      </c>
      <c r="BN47" s="55">
        <f t="shared" si="286"/>
        <v>0.76999999999999991</v>
      </c>
      <c r="BO47" s="55">
        <f t="shared" si="286"/>
        <v>0.74999999999999989</v>
      </c>
      <c r="BP47" s="55">
        <f t="shared" si="286"/>
        <v>0.72999999999999987</v>
      </c>
      <c r="BQ47" s="55">
        <f t="shared" si="286"/>
        <v>0.70999999999999985</v>
      </c>
      <c r="BR47" s="55">
        <f t="shared" si="286"/>
        <v>0.68999999999999984</v>
      </c>
      <c r="BS47" s="55">
        <f t="shared" si="286"/>
        <v>0.66999999999999982</v>
      </c>
      <c r="BT47" s="55">
        <f t="shared" si="286"/>
        <v>0.6499999999999998</v>
      </c>
      <c r="BU47" s="55">
        <f t="shared" si="286"/>
        <v>0.62999999999999978</v>
      </c>
      <c r="BV47" s="55">
        <f t="shared" si="286"/>
        <v>0.60999999999999976</v>
      </c>
      <c r="BW47" s="55">
        <f t="shared" si="286"/>
        <v>0.58999999999999975</v>
      </c>
      <c r="BX47" s="55">
        <f t="shared" si="286"/>
        <v>0.56999999999999973</v>
      </c>
      <c r="BZ47" s="55">
        <f t="shared" si="88"/>
        <v>69929.86</v>
      </c>
      <c r="CA47" s="55">
        <f t="shared" si="89"/>
        <v>69929.86</v>
      </c>
      <c r="CB47" s="59">
        <f t="shared" si="197"/>
        <v>231174.131188</v>
      </c>
      <c r="CC47" s="55">
        <f t="shared" si="198"/>
        <v>67831.964200000002</v>
      </c>
      <c r="CD47" s="59">
        <f t="shared" si="199"/>
        <v>224238.90725236002</v>
      </c>
      <c r="CE47" s="55">
        <f t="shared" si="200"/>
        <v>66433.366999999998</v>
      </c>
      <c r="CF47" s="59">
        <f t="shared" si="201"/>
        <v>219615.42462860001</v>
      </c>
      <c r="CG47" s="55">
        <f t="shared" si="202"/>
        <v>65034.769800000002</v>
      </c>
      <c r="CH47" s="59">
        <f t="shared" si="203"/>
        <v>214991.94200484001</v>
      </c>
      <c r="CI47" s="57">
        <f t="shared" si="204"/>
        <v>63636.172600000005</v>
      </c>
      <c r="CJ47" s="59">
        <f t="shared" si="205"/>
        <v>210368.45938108003</v>
      </c>
      <c r="CK47" s="55">
        <f t="shared" si="206"/>
        <v>62237.575400000002</v>
      </c>
      <c r="CL47" s="59">
        <f t="shared" si="207"/>
        <v>205744.97675732002</v>
      </c>
      <c r="CM47" s="57">
        <f t="shared" si="208"/>
        <v>60838.978199999998</v>
      </c>
      <c r="CN47" s="59">
        <f t="shared" si="209"/>
        <v>201121.49413355999</v>
      </c>
      <c r="CO47" s="60">
        <f t="shared" si="210"/>
        <v>59440.381000000001</v>
      </c>
      <c r="CP47" s="59">
        <f t="shared" si="211"/>
        <v>196498.01150980001</v>
      </c>
      <c r="CQ47" s="57">
        <f t="shared" si="212"/>
        <v>58041.783799999997</v>
      </c>
      <c r="CR47" s="59">
        <f t="shared" si="213"/>
        <v>191874.52888604</v>
      </c>
      <c r="CS47" s="55">
        <f t="shared" si="214"/>
        <v>56643.186599999994</v>
      </c>
      <c r="CT47" s="59">
        <f t="shared" si="215"/>
        <v>187251.04626228</v>
      </c>
      <c r="CU47" s="60">
        <f t="shared" si="216"/>
        <v>55244.589399999997</v>
      </c>
      <c r="CV47" s="59">
        <f t="shared" si="217"/>
        <v>182627.56363851999</v>
      </c>
      <c r="CW47" s="60">
        <f t="shared" si="218"/>
        <v>53845.992199999993</v>
      </c>
      <c r="CX47" s="59">
        <f t="shared" si="219"/>
        <v>178004.08101475998</v>
      </c>
      <c r="CY47" s="60">
        <f t="shared" si="220"/>
        <v>52447.39499999999</v>
      </c>
      <c r="CZ47" s="59">
        <f t="shared" si="221"/>
        <v>173380.59839099998</v>
      </c>
      <c r="DA47" s="55">
        <f t="shared" si="222"/>
        <v>51048.797799999993</v>
      </c>
      <c r="DB47" s="59">
        <f t="shared" si="223"/>
        <v>168757.11576723997</v>
      </c>
      <c r="DC47" s="60">
        <f t="shared" si="224"/>
        <v>49650.200599999989</v>
      </c>
      <c r="DD47" s="59">
        <f t="shared" si="225"/>
        <v>164133.63314347996</v>
      </c>
      <c r="DE47" s="60">
        <f t="shared" si="226"/>
        <v>48251.603399999985</v>
      </c>
      <c r="DF47" s="59">
        <f t="shared" si="227"/>
        <v>159510.15051971996</v>
      </c>
      <c r="DG47" s="60">
        <f t="shared" si="228"/>
        <v>46853.006199999989</v>
      </c>
      <c r="DH47" s="59">
        <f t="shared" si="229"/>
        <v>154886.66789595995</v>
      </c>
      <c r="DI47" s="60">
        <f t="shared" si="230"/>
        <v>45454.408999999985</v>
      </c>
      <c r="DJ47" s="59">
        <f t="shared" si="231"/>
        <v>150263.18527219995</v>
      </c>
      <c r="DK47" s="55">
        <f t="shared" si="232"/>
        <v>44055.811799999989</v>
      </c>
      <c r="DL47" s="59">
        <f t="shared" si="233"/>
        <v>145639.70264843997</v>
      </c>
      <c r="DM47" s="60">
        <f t="shared" si="234"/>
        <v>42657.214599999985</v>
      </c>
      <c r="DN47" s="59">
        <f t="shared" si="235"/>
        <v>141016.22002467996</v>
      </c>
      <c r="DO47" s="60">
        <f t="shared" si="236"/>
        <v>41258.617399999981</v>
      </c>
      <c r="DP47" s="59">
        <f t="shared" si="237"/>
        <v>136392.73740091993</v>
      </c>
      <c r="DQ47" s="55">
        <f t="shared" si="238"/>
        <v>39860.020199999984</v>
      </c>
      <c r="DR47" s="59">
        <f t="shared" si="239"/>
        <v>131769.25477715995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40"/>
        <v>0.91</v>
      </c>
      <c r="DZ47" s="55">
        <f t="shared" si="240"/>
        <v>0.89</v>
      </c>
      <c r="EA47" s="55">
        <f t="shared" si="240"/>
        <v>0.87</v>
      </c>
      <c r="EB47" s="55">
        <f t="shared" si="240"/>
        <v>0.85</v>
      </c>
      <c r="EC47" s="55">
        <f t="shared" si="240"/>
        <v>0.83</v>
      </c>
      <c r="ED47" s="55">
        <f t="shared" si="240"/>
        <v>0.80999999999999994</v>
      </c>
      <c r="EE47" s="55">
        <f t="shared" si="240"/>
        <v>0.78999999999999992</v>
      </c>
      <c r="EF47" s="55">
        <f t="shared" si="240"/>
        <v>0.76999999999999991</v>
      </c>
      <c r="EG47" s="55">
        <f t="shared" si="240"/>
        <v>0.74999999999999989</v>
      </c>
      <c r="EH47" s="55">
        <f t="shared" si="240"/>
        <v>0.72999999999999987</v>
      </c>
      <c r="EI47" s="55">
        <f t="shared" si="240"/>
        <v>0.70999999999999985</v>
      </c>
      <c r="EJ47" s="55">
        <f t="shared" si="240"/>
        <v>0.68999999999999984</v>
      </c>
      <c r="EK47" s="55">
        <f t="shared" si="240"/>
        <v>0.66999999999999982</v>
      </c>
      <c r="EL47" s="55">
        <f t="shared" si="240"/>
        <v>0.6499999999999998</v>
      </c>
      <c r="EM47" s="55">
        <f t="shared" si="240"/>
        <v>0.62999999999999978</v>
      </c>
      <c r="EN47" s="55">
        <f t="shared" si="240"/>
        <v>0.60999999999999976</v>
      </c>
      <c r="EO47" s="55">
        <f t="shared" si="240"/>
        <v>0.58999999999999975</v>
      </c>
      <c r="EP47" s="55">
        <f t="shared" si="240"/>
        <v>0.56999999999999973</v>
      </c>
      <c r="ER47" s="55">
        <f t="shared" si="142"/>
        <v>63636.172600000005</v>
      </c>
      <c r="ES47" s="55">
        <f t="shared" si="116"/>
        <v>63636.172600000005</v>
      </c>
      <c r="ET47" s="59">
        <f t="shared" si="241"/>
        <v>210368.45938108003</v>
      </c>
      <c r="EU47" s="55">
        <f t="shared" si="242"/>
        <v>61727.087422000004</v>
      </c>
      <c r="EV47" s="59">
        <f t="shared" si="243"/>
        <v>204057.40559964761</v>
      </c>
      <c r="EW47" s="55">
        <f t="shared" si="244"/>
        <v>60454.363970000006</v>
      </c>
      <c r="EX47" s="59">
        <f t="shared" si="245"/>
        <v>199850.03641202603</v>
      </c>
      <c r="EY47" s="55">
        <f t="shared" si="246"/>
        <v>59181.640518000007</v>
      </c>
      <c r="EZ47" s="59">
        <f t="shared" si="247"/>
        <v>195642.66722440443</v>
      </c>
      <c r="FA47" s="57">
        <f t="shared" si="248"/>
        <v>57908.917066000009</v>
      </c>
      <c r="FB47" s="59">
        <f t="shared" si="249"/>
        <v>191435.29803678283</v>
      </c>
      <c r="FC47" s="55">
        <f t="shared" si="250"/>
        <v>56636.193614000003</v>
      </c>
      <c r="FD47" s="59">
        <f t="shared" si="251"/>
        <v>187227.92884916122</v>
      </c>
      <c r="FE47" s="57">
        <f t="shared" si="252"/>
        <v>55363.470162000005</v>
      </c>
      <c r="FF47" s="59">
        <f t="shared" si="253"/>
        <v>183020.55966153962</v>
      </c>
      <c r="FG47" s="60">
        <f t="shared" si="254"/>
        <v>54090.746710000007</v>
      </c>
      <c r="FH47" s="59">
        <f t="shared" si="255"/>
        <v>178813.19047391802</v>
      </c>
      <c r="FI47" s="57">
        <f t="shared" si="256"/>
        <v>52818.023258000001</v>
      </c>
      <c r="FJ47" s="59">
        <f t="shared" si="257"/>
        <v>174605.82128629641</v>
      </c>
      <c r="FK47" s="55">
        <f t="shared" si="258"/>
        <v>51545.299806000003</v>
      </c>
      <c r="FL47" s="59">
        <f t="shared" si="259"/>
        <v>170398.45209867481</v>
      </c>
      <c r="FM47" s="60">
        <f t="shared" si="260"/>
        <v>50272.576353999997</v>
      </c>
      <c r="FN47" s="59">
        <f t="shared" si="261"/>
        <v>166191.08291105321</v>
      </c>
      <c r="FO47" s="60">
        <f t="shared" si="262"/>
        <v>48999.852901999999</v>
      </c>
      <c r="FP47" s="59">
        <f t="shared" si="263"/>
        <v>161983.7137234316</v>
      </c>
      <c r="FQ47" s="60">
        <f t="shared" si="264"/>
        <v>47727.12945</v>
      </c>
      <c r="FR47" s="59">
        <f t="shared" si="265"/>
        <v>157776.34453581</v>
      </c>
      <c r="FS47" s="55">
        <f t="shared" si="266"/>
        <v>46454.405997999995</v>
      </c>
      <c r="FT47" s="59">
        <f t="shared" si="267"/>
        <v>153568.9753481884</v>
      </c>
      <c r="FU47" s="60">
        <f t="shared" si="268"/>
        <v>45181.682545999996</v>
      </c>
      <c r="FV47" s="59">
        <f t="shared" si="269"/>
        <v>149361.60616056679</v>
      </c>
      <c r="FW47" s="60">
        <f t="shared" si="270"/>
        <v>43908.959093999991</v>
      </c>
      <c r="FX47" s="59">
        <f t="shared" si="271"/>
        <v>145154.23697294516</v>
      </c>
      <c r="FY47" s="60">
        <f t="shared" si="272"/>
        <v>42636.235641999992</v>
      </c>
      <c r="FZ47" s="59">
        <f t="shared" si="273"/>
        <v>140946.86778532359</v>
      </c>
      <c r="GA47" s="60">
        <f t="shared" si="274"/>
        <v>41363.512189999994</v>
      </c>
      <c r="GB47" s="59">
        <f t="shared" si="275"/>
        <v>136739.49859770198</v>
      </c>
      <c r="GC47" s="55">
        <f t="shared" si="276"/>
        <v>40090.788737999988</v>
      </c>
      <c r="GD47" s="59">
        <f t="shared" si="277"/>
        <v>132532.12941008038</v>
      </c>
      <c r="GE47" s="60">
        <f t="shared" si="278"/>
        <v>38818.06528599999</v>
      </c>
      <c r="GF47" s="59">
        <f t="shared" si="279"/>
        <v>128324.76022245878</v>
      </c>
      <c r="GG47" s="60">
        <f t="shared" si="280"/>
        <v>37545.341833999984</v>
      </c>
      <c r="GH47" s="59">
        <f t="shared" si="281"/>
        <v>124117.39103483716</v>
      </c>
      <c r="GI47" s="55">
        <f t="shared" si="282"/>
        <v>36272.618381999986</v>
      </c>
      <c r="GJ47" s="59">
        <f t="shared" si="283"/>
        <v>119910.02184721555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84"/>
        <v>0.91</v>
      </c>
      <c r="GR47" s="55">
        <f t="shared" si="284"/>
        <v>0.89</v>
      </c>
      <c r="GS47" s="55">
        <f t="shared" si="284"/>
        <v>0.87</v>
      </c>
      <c r="GT47" s="55">
        <f t="shared" si="284"/>
        <v>0.85</v>
      </c>
      <c r="GU47" s="55">
        <f t="shared" si="284"/>
        <v>0.83</v>
      </c>
      <c r="GV47" s="55">
        <f t="shared" si="284"/>
        <v>0.80999999999999994</v>
      </c>
      <c r="GW47" s="55">
        <f t="shared" si="284"/>
        <v>0.78999999999999992</v>
      </c>
      <c r="GX47" s="55">
        <f t="shared" si="284"/>
        <v>0.76999999999999991</v>
      </c>
      <c r="GY47" s="55">
        <f t="shared" si="284"/>
        <v>0.74999999999999989</v>
      </c>
      <c r="GZ47" s="55">
        <f t="shared" si="284"/>
        <v>0.72999999999999987</v>
      </c>
      <c r="HA47" s="55">
        <f t="shared" si="284"/>
        <v>0.70999999999999985</v>
      </c>
      <c r="HB47" s="55">
        <f t="shared" si="284"/>
        <v>0.68999999999999984</v>
      </c>
      <c r="HC47" s="55">
        <f t="shared" si="284"/>
        <v>0.66999999999999982</v>
      </c>
      <c r="HD47" s="55">
        <f t="shared" si="284"/>
        <v>0.6499999999999998</v>
      </c>
      <c r="HE47" s="55">
        <f t="shared" si="284"/>
        <v>0.62999999999999978</v>
      </c>
      <c r="HF47" s="55">
        <f t="shared" si="284"/>
        <v>0.60999999999999976</v>
      </c>
      <c r="HG47" s="55">
        <f t="shared" si="284"/>
        <v>0.58999999999999975</v>
      </c>
      <c r="HH47" s="55">
        <f t="shared" si="284"/>
        <v>0.56999999999999973</v>
      </c>
    </row>
    <row r="48" spans="1:216" x14ac:dyDescent="0.3">
      <c r="A48" s="2">
        <v>15</v>
      </c>
      <c r="C48" s="38" t="s">
        <v>148</v>
      </c>
      <c r="D48" s="42">
        <v>0</v>
      </c>
      <c r="E48" s="71">
        <f t="shared" si="153"/>
        <v>0</v>
      </c>
      <c r="H48" s="55">
        <f t="shared" si="154"/>
        <v>0</v>
      </c>
      <c r="I48" s="55">
        <f t="shared" si="62"/>
        <v>0</v>
      </c>
      <c r="J48" s="59">
        <f t="shared" si="63"/>
        <v>0</v>
      </c>
      <c r="K48" s="55">
        <f t="shared" si="155"/>
        <v>0</v>
      </c>
      <c r="L48" s="59">
        <f t="shared" si="156"/>
        <v>0</v>
      </c>
      <c r="M48" s="55">
        <f t="shared" si="157"/>
        <v>0</v>
      </c>
      <c r="N48" s="59">
        <f t="shared" si="158"/>
        <v>0</v>
      </c>
      <c r="O48" s="55">
        <f t="shared" si="159"/>
        <v>0</v>
      </c>
      <c r="P48" s="59">
        <f t="shared" si="160"/>
        <v>0</v>
      </c>
      <c r="Q48" s="57">
        <f t="shared" si="161"/>
        <v>0</v>
      </c>
      <c r="R48" s="59">
        <f t="shared" si="162"/>
        <v>0</v>
      </c>
      <c r="S48" s="55">
        <f t="shared" si="163"/>
        <v>0</v>
      </c>
      <c r="T48" s="59">
        <f t="shared" si="164"/>
        <v>0</v>
      </c>
      <c r="U48" s="57">
        <f t="shared" si="165"/>
        <v>0</v>
      </c>
      <c r="V48" s="59">
        <f t="shared" si="166"/>
        <v>0</v>
      </c>
      <c r="W48" s="60">
        <f t="shared" si="167"/>
        <v>0</v>
      </c>
      <c r="X48" s="59">
        <f t="shared" si="168"/>
        <v>0</v>
      </c>
      <c r="Y48" s="57">
        <f t="shared" si="169"/>
        <v>0</v>
      </c>
      <c r="Z48" s="59">
        <f t="shared" si="170"/>
        <v>0</v>
      </c>
      <c r="AA48" s="55">
        <f t="shared" si="171"/>
        <v>0</v>
      </c>
      <c r="AB48" s="59">
        <f t="shared" si="172"/>
        <v>0</v>
      </c>
      <c r="AC48" s="60">
        <f t="shared" si="173"/>
        <v>0</v>
      </c>
      <c r="AD48" s="59">
        <f t="shared" si="174"/>
        <v>0</v>
      </c>
      <c r="AE48" s="60">
        <f t="shared" si="175"/>
        <v>0</v>
      </c>
      <c r="AF48" s="59">
        <f t="shared" si="176"/>
        <v>0</v>
      </c>
      <c r="AG48" s="60">
        <f t="shared" si="177"/>
        <v>0</v>
      </c>
      <c r="AH48" s="59">
        <f t="shared" si="178"/>
        <v>0</v>
      </c>
      <c r="AI48" s="55">
        <f t="shared" si="179"/>
        <v>0</v>
      </c>
      <c r="AJ48" s="59">
        <f t="shared" si="180"/>
        <v>0</v>
      </c>
      <c r="AK48" s="60">
        <f t="shared" si="181"/>
        <v>0</v>
      </c>
      <c r="AL48" s="59">
        <f t="shared" si="182"/>
        <v>0</v>
      </c>
      <c r="AM48" s="60">
        <f t="shared" si="183"/>
        <v>0</v>
      </c>
      <c r="AN48" s="59">
        <f t="shared" si="184"/>
        <v>0</v>
      </c>
      <c r="AO48" s="60">
        <f t="shared" si="185"/>
        <v>0</v>
      </c>
      <c r="AP48" s="59">
        <f t="shared" si="186"/>
        <v>0</v>
      </c>
      <c r="AQ48" s="60">
        <f t="shared" si="187"/>
        <v>0</v>
      </c>
      <c r="AR48" s="59">
        <f t="shared" si="188"/>
        <v>0</v>
      </c>
      <c r="AS48" s="55">
        <f t="shared" si="189"/>
        <v>0</v>
      </c>
      <c r="AT48" s="59">
        <f t="shared" si="190"/>
        <v>0</v>
      </c>
      <c r="AU48" s="60">
        <f t="shared" si="191"/>
        <v>0</v>
      </c>
      <c r="AV48" s="59">
        <f t="shared" si="192"/>
        <v>0</v>
      </c>
      <c r="AW48" s="60">
        <f t="shared" si="193"/>
        <v>0</v>
      </c>
      <c r="AX48" s="59">
        <f t="shared" si="194"/>
        <v>0</v>
      </c>
      <c r="AY48" s="55">
        <f t="shared" si="195"/>
        <v>0</v>
      </c>
      <c r="AZ48" s="59">
        <f t="shared" si="196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6"/>
        <v>0.91</v>
      </c>
      <c r="BH48" s="55">
        <f t="shared" si="286"/>
        <v>0.89</v>
      </c>
      <c r="BI48" s="55">
        <f t="shared" si="286"/>
        <v>0.87</v>
      </c>
      <c r="BJ48" s="55">
        <f t="shared" si="286"/>
        <v>0.85</v>
      </c>
      <c r="BK48" s="55">
        <f t="shared" si="286"/>
        <v>0.83</v>
      </c>
      <c r="BL48" s="55">
        <f t="shared" si="286"/>
        <v>0.80999999999999994</v>
      </c>
      <c r="BM48" s="55">
        <f t="shared" si="286"/>
        <v>0.78999999999999992</v>
      </c>
      <c r="BN48" s="55">
        <f t="shared" si="286"/>
        <v>0.76999999999999991</v>
      </c>
      <c r="BO48" s="55">
        <f t="shared" si="286"/>
        <v>0.74999999999999989</v>
      </c>
      <c r="BP48" s="55">
        <f t="shared" si="286"/>
        <v>0.72999999999999987</v>
      </c>
      <c r="BQ48" s="55">
        <f t="shared" si="286"/>
        <v>0.70999999999999985</v>
      </c>
      <c r="BR48" s="55">
        <f t="shared" si="286"/>
        <v>0.68999999999999984</v>
      </c>
      <c r="BS48" s="55">
        <f t="shared" si="286"/>
        <v>0.66999999999999982</v>
      </c>
      <c r="BT48" s="55">
        <f t="shared" si="286"/>
        <v>0.6499999999999998</v>
      </c>
      <c r="BU48" s="55">
        <f t="shared" si="286"/>
        <v>0.62999999999999978</v>
      </c>
      <c r="BV48" s="55">
        <f t="shared" si="286"/>
        <v>0.60999999999999976</v>
      </c>
      <c r="BW48" s="55">
        <f t="shared" si="286"/>
        <v>0.58999999999999975</v>
      </c>
      <c r="BX48" s="55">
        <f t="shared" si="286"/>
        <v>0.56999999999999973</v>
      </c>
      <c r="BZ48" s="55">
        <f t="shared" si="88"/>
        <v>0</v>
      </c>
      <c r="CA48" s="55">
        <f t="shared" si="89"/>
        <v>0</v>
      </c>
      <c r="CB48" s="59">
        <f t="shared" si="197"/>
        <v>0</v>
      </c>
      <c r="CC48" s="55">
        <f t="shared" si="198"/>
        <v>0</v>
      </c>
      <c r="CD48" s="59">
        <f t="shared" si="199"/>
        <v>0</v>
      </c>
      <c r="CE48" s="55">
        <f t="shared" si="200"/>
        <v>0</v>
      </c>
      <c r="CF48" s="59">
        <f t="shared" si="201"/>
        <v>0</v>
      </c>
      <c r="CG48" s="55">
        <f t="shared" si="202"/>
        <v>0</v>
      </c>
      <c r="CH48" s="59">
        <f t="shared" si="203"/>
        <v>0</v>
      </c>
      <c r="CI48" s="57">
        <f t="shared" si="204"/>
        <v>0</v>
      </c>
      <c r="CJ48" s="59">
        <f t="shared" si="205"/>
        <v>0</v>
      </c>
      <c r="CK48" s="55">
        <f t="shared" si="206"/>
        <v>0</v>
      </c>
      <c r="CL48" s="59">
        <f t="shared" si="207"/>
        <v>0</v>
      </c>
      <c r="CM48" s="57">
        <f t="shared" si="208"/>
        <v>0</v>
      </c>
      <c r="CN48" s="59">
        <f t="shared" si="209"/>
        <v>0</v>
      </c>
      <c r="CO48" s="60">
        <f t="shared" si="210"/>
        <v>0</v>
      </c>
      <c r="CP48" s="59">
        <f t="shared" si="211"/>
        <v>0</v>
      </c>
      <c r="CQ48" s="57">
        <f t="shared" si="212"/>
        <v>0</v>
      </c>
      <c r="CR48" s="59">
        <f t="shared" si="213"/>
        <v>0</v>
      </c>
      <c r="CS48" s="55">
        <f t="shared" si="214"/>
        <v>0</v>
      </c>
      <c r="CT48" s="59">
        <f t="shared" si="215"/>
        <v>0</v>
      </c>
      <c r="CU48" s="60">
        <f t="shared" si="216"/>
        <v>0</v>
      </c>
      <c r="CV48" s="59">
        <f t="shared" si="217"/>
        <v>0</v>
      </c>
      <c r="CW48" s="60">
        <f t="shared" si="218"/>
        <v>0</v>
      </c>
      <c r="CX48" s="59">
        <f t="shared" si="219"/>
        <v>0</v>
      </c>
      <c r="CY48" s="60">
        <f t="shared" si="220"/>
        <v>0</v>
      </c>
      <c r="CZ48" s="59">
        <f t="shared" si="221"/>
        <v>0</v>
      </c>
      <c r="DA48" s="55">
        <f t="shared" si="222"/>
        <v>0</v>
      </c>
      <c r="DB48" s="59">
        <f t="shared" si="223"/>
        <v>0</v>
      </c>
      <c r="DC48" s="60">
        <f t="shared" si="224"/>
        <v>0</v>
      </c>
      <c r="DD48" s="59">
        <f t="shared" si="225"/>
        <v>0</v>
      </c>
      <c r="DE48" s="60">
        <f t="shared" si="226"/>
        <v>0</v>
      </c>
      <c r="DF48" s="59">
        <f t="shared" si="227"/>
        <v>0</v>
      </c>
      <c r="DG48" s="60">
        <f t="shared" si="228"/>
        <v>0</v>
      </c>
      <c r="DH48" s="59">
        <f t="shared" si="229"/>
        <v>0</v>
      </c>
      <c r="DI48" s="60">
        <f t="shared" si="230"/>
        <v>0</v>
      </c>
      <c r="DJ48" s="59">
        <f t="shared" si="231"/>
        <v>0</v>
      </c>
      <c r="DK48" s="55">
        <f t="shared" si="232"/>
        <v>0</v>
      </c>
      <c r="DL48" s="59">
        <f t="shared" si="233"/>
        <v>0</v>
      </c>
      <c r="DM48" s="60">
        <f t="shared" si="234"/>
        <v>0</v>
      </c>
      <c r="DN48" s="59">
        <f t="shared" si="235"/>
        <v>0</v>
      </c>
      <c r="DO48" s="60">
        <f t="shared" si="236"/>
        <v>0</v>
      </c>
      <c r="DP48" s="59">
        <f t="shared" si="237"/>
        <v>0</v>
      </c>
      <c r="DQ48" s="55">
        <f t="shared" si="238"/>
        <v>0</v>
      </c>
      <c r="DR48" s="59">
        <f t="shared" si="239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40"/>
        <v>0.91</v>
      </c>
      <c r="DZ48" s="55">
        <f t="shared" si="240"/>
        <v>0.89</v>
      </c>
      <c r="EA48" s="55">
        <f t="shared" si="240"/>
        <v>0.87</v>
      </c>
      <c r="EB48" s="55">
        <f t="shared" ref="EB48:EP48" si="287">+EA48-0.02</f>
        <v>0.85</v>
      </c>
      <c r="EC48" s="55">
        <f t="shared" si="287"/>
        <v>0.83</v>
      </c>
      <c r="ED48" s="55">
        <f t="shared" si="287"/>
        <v>0.80999999999999994</v>
      </c>
      <c r="EE48" s="55">
        <f t="shared" si="287"/>
        <v>0.78999999999999992</v>
      </c>
      <c r="EF48" s="55">
        <f t="shared" si="287"/>
        <v>0.76999999999999991</v>
      </c>
      <c r="EG48" s="55">
        <f t="shared" si="287"/>
        <v>0.74999999999999989</v>
      </c>
      <c r="EH48" s="55">
        <f t="shared" si="287"/>
        <v>0.72999999999999987</v>
      </c>
      <c r="EI48" s="55">
        <f t="shared" si="287"/>
        <v>0.70999999999999985</v>
      </c>
      <c r="EJ48" s="55">
        <f t="shared" si="287"/>
        <v>0.68999999999999984</v>
      </c>
      <c r="EK48" s="55">
        <f t="shared" si="287"/>
        <v>0.66999999999999982</v>
      </c>
      <c r="EL48" s="55">
        <f t="shared" si="287"/>
        <v>0.6499999999999998</v>
      </c>
      <c r="EM48" s="55">
        <f t="shared" si="287"/>
        <v>0.62999999999999978</v>
      </c>
      <c r="EN48" s="55">
        <f t="shared" si="287"/>
        <v>0.60999999999999976</v>
      </c>
      <c r="EO48" s="55">
        <f t="shared" si="287"/>
        <v>0.58999999999999975</v>
      </c>
      <c r="EP48" s="55">
        <f t="shared" si="287"/>
        <v>0.56999999999999973</v>
      </c>
      <c r="ER48" s="55">
        <f t="shared" si="142"/>
        <v>0</v>
      </c>
      <c r="ES48" s="55">
        <f t="shared" si="116"/>
        <v>0</v>
      </c>
      <c r="ET48" s="59">
        <f t="shared" si="241"/>
        <v>0</v>
      </c>
      <c r="EU48" s="55">
        <f t="shared" si="242"/>
        <v>0</v>
      </c>
      <c r="EV48" s="59">
        <f t="shared" si="243"/>
        <v>0</v>
      </c>
      <c r="EW48" s="55">
        <f t="shared" si="244"/>
        <v>0</v>
      </c>
      <c r="EX48" s="59">
        <f t="shared" si="245"/>
        <v>0</v>
      </c>
      <c r="EY48" s="55">
        <f t="shared" si="246"/>
        <v>0</v>
      </c>
      <c r="EZ48" s="59">
        <f t="shared" si="247"/>
        <v>0</v>
      </c>
      <c r="FA48" s="57">
        <f t="shared" si="248"/>
        <v>0</v>
      </c>
      <c r="FB48" s="59">
        <f t="shared" si="249"/>
        <v>0</v>
      </c>
      <c r="FC48" s="55">
        <f t="shared" si="250"/>
        <v>0</v>
      </c>
      <c r="FD48" s="59">
        <f t="shared" si="251"/>
        <v>0</v>
      </c>
      <c r="FE48" s="57">
        <f t="shared" si="252"/>
        <v>0</v>
      </c>
      <c r="FF48" s="59">
        <f t="shared" si="253"/>
        <v>0</v>
      </c>
      <c r="FG48" s="60">
        <f t="shared" si="254"/>
        <v>0</v>
      </c>
      <c r="FH48" s="59">
        <f t="shared" si="255"/>
        <v>0</v>
      </c>
      <c r="FI48" s="57">
        <f t="shared" si="256"/>
        <v>0</v>
      </c>
      <c r="FJ48" s="59">
        <f t="shared" si="257"/>
        <v>0</v>
      </c>
      <c r="FK48" s="55">
        <f t="shared" si="258"/>
        <v>0</v>
      </c>
      <c r="FL48" s="59">
        <f t="shared" si="259"/>
        <v>0</v>
      </c>
      <c r="FM48" s="60">
        <f t="shared" si="260"/>
        <v>0</v>
      </c>
      <c r="FN48" s="59">
        <f t="shared" si="261"/>
        <v>0</v>
      </c>
      <c r="FO48" s="60">
        <f t="shared" si="262"/>
        <v>0</v>
      </c>
      <c r="FP48" s="59">
        <f t="shared" si="263"/>
        <v>0</v>
      </c>
      <c r="FQ48" s="60">
        <f t="shared" si="264"/>
        <v>0</v>
      </c>
      <c r="FR48" s="59">
        <f t="shared" si="265"/>
        <v>0</v>
      </c>
      <c r="FS48" s="55">
        <f t="shared" si="266"/>
        <v>0</v>
      </c>
      <c r="FT48" s="59">
        <f t="shared" si="267"/>
        <v>0</v>
      </c>
      <c r="FU48" s="60">
        <f t="shared" si="268"/>
        <v>0</v>
      </c>
      <c r="FV48" s="59">
        <f t="shared" si="269"/>
        <v>0</v>
      </c>
      <c r="FW48" s="60">
        <f t="shared" si="270"/>
        <v>0</v>
      </c>
      <c r="FX48" s="59">
        <f t="shared" si="271"/>
        <v>0</v>
      </c>
      <c r="FY48" s="60">
        <f t="shared" si="272"/>
        <v>0</v>
      </c>
      <c r="FZ48" s="59">
        <f t="shared" si="273"/>
        <v>0</v>
      </c>
      <c r="GA48" s="60">
        <f t="shared" si="274"/>
        <v>0</v>
      </c>
      <c r="GB48" s="59">
        <f t="shared" si="275"/>
        <v>0</v>
      </c>
      <c r="GC48" s="55">
        <f t="shared" si="276"/>
        <v>0</v>
      </c>
      <c r="GD48" s="59">
        <f t="shared" si="277"/>
        <v>0</v>
      </c>
      <c r="GE48" s="60">
        <f t="shared" si="278"/>
        <v>0</v>
      </c>
      <c r="GF48" s="59">
        <f t="shared" si="279"/>
        <v>0</v>
      </c>
      <c r="GG48" s="60">
        <f t="shared" si="280"/>
        <v>0</v>
      </c>
      <c r="GH48" s="59">
        <f t="shared" si="281"/>
        <v>0</v>
      </c>
      <c r="GI48" s="55">
        <f t="shared" si="282"/>
        <v>0</v>
      </c>
      <c r="GJ48" s="59">
        <f t="shared" si="283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84"/>
        <v>0.91</v>
      </c>
      <c r="GR48" s="55">
        <f t="shared" si="284"/>
        <v>0.89</v>
      </c>
      <c r="GS48" s="55">
        <f t="shared" si="284"/>
        <v>0.87</v>
      </c>
      <c r="GT48" s="55">
        <f t="shared" ref="GT48:HH48" si="288">+GS48-0.02</f>
        <v>0.85</v>
      </c>
      <c r="GU48" s="55">
        <f t="shared" si="288"/>
        <v>0.83</v>
      </c>
      <c r="GV48" s="55">
        <f t="shared" si="288"/>
        <v>0.80999999999999994</v>
      </c>
      <c r="GW48" s="55">
        <f t="shared" si="288"/>
        <v>0.78999999999999992</v>
      </c>
      <c r="GX48" s="55">
        <f t="shared" si="288"/>
        <v>0.76999999999999991</v>
      </c>
      <c r="GY48" s="55">
        <f t="shared" si="288"/>
        <v>0.74999999999999989</v>
      </c>
      <c r="GZ48" s="55">
        <f t="shared" si="288"/>
        <v>0.72999999999999987</v>
      </c>
      <c r="HA48" s="55">
        <f t="shared" si="288"/>
        <v>0.70999999999999985</v>
      </c>
      <c r="HB48" s="55">
        <f t="shared" si="288"/>
        <v>0.68999999999999984</v>
      </c>
      <c r="HC48" s="55">
        <f t="shared" si="288"/>
        <v>0.66999999999999982</v>
      </c>
      <c r="HD48" s="55">
        <f t="shared" si="288"/>
        <v>0.6499999999999998</v>
      </c>
      <c r="HE48" s="55">
        <f t="shared" si="288"/>
        <v>0.62999999999999978</v>
      </c>
      <c r="HF48" s="55">
        <f t="shared" si="288"/>
        <v>0.60999999999999976</v>
      </c>
      <c r="HG48" s="55">
        <f t="shared" si="288"/>
        <v>0.58999999999999975</v>
      </c>
      <c r="HH48" s="55">
        <f t="shared" si="288"/>
        <v>0.56999999999999973</v>
      </c>
    </row>
    <row r="49" spans="1:216" x14ac:dyDescent="0.3">
      <c r="A49" s="2">
        <v>16</v>
      </c>
      <c r="C49" s="38" t="s">
        <v>145</v>
      </c>
      <c r="D49" s="42">
        <v>0</v>
      </c>
      <c r="E49" s="71">
        <f t="shared" si="153"/>
        <v>0</v>
      </c>
      <c r="H49" s="55">
        <f t="shared" si="154"/>
        <v>0</v>
      </c>
      <c r="I49" s="55">
        <f t="shared" si="62"/>
        <v>0</v>
      </c>
      <c r="J49" s="59">
        <f t="shared" si="63"/>
        <v>0</v>
      </c>
      <c r="K49" s="55">
        <f t="shared" si="155"/>
        <v>0</v>
      </c>
      <c r="L49" s="59">
        <f t="shared" si="156"/>
        <v>0</v>
      </c>
      <c r="M49" s="55">
        <f t="shared" si="157"/>
        <v>0</v>
      </c>
      <c r="N49" s="59">
        <f t="shared" si="158"/>
        <v>0</v>
      </c>
      <c r="O49" s="55">
        <f t="shared" si="159"/>
        <v>0</v>
      </c>
      <c r="P49" s="59">
        <f t="shared" si="160"/>
        <v>0</v>
      </c>
      <c r="Q49" s="57">
        <f t="shared" si="161"/>
        <v>0</v>
      </c>
      <c r="R49" s="59">
        <f t="shared" si="162"/>
        <v>0</v>
      </c>
      <c r="S49" s="55">
        <f t="shared" si="163"/>
        <v>0</v>
      </c>
      <c r="T49" s="59">
        <f t="shared" si="164"/>
        <v>0</v>
      </c>
      <c r="U49" s="57">
        <f t="shared" si="165"/>
        <v>0</v>
      </c>
      <c r="V49" s="59">
        <f t="shared" si="166"/>
        <v>0</v>
      </c>
      <c r="W49" s="60">
        <f t="shared" si="167"/>
        <v>0</v>
      </c>
      <c r="X49" s="59">
        <f t="shared" si="168"/>
        <v>0</v>
      </c>
      <c r="Y49" s="57">
        <f t="shared" si="169"/>
        <v>0</v>
      </c>
      <c r="Z49" s="59">
        <f t="shared" si="170"/>
        <v>0</v>
      </c>
      <c r="AA49" s="55">
        <f t="shared" si="171"/>
        <v>0</v>
      </c>
      <c r="AB49" s="59">
        <f t="shared" si="172"/>
        <v>0</v>
      </c>
      <c r="AC49" s="60">
        <f t="shared" si="173"/>
        <v>0</v>
      </c>
      <c r="AD49" s="59">
        <f t="shared" si="174"/>
        <v>0</v>
      </c>
      <c r="AE49" s="60">
        <f t="shared" si="175"/>
        <v>0</v>
      </c>
      <c r="AF49" s="59">
        <f t="shared" si="176"/>
        <v>0</v>
      </c>
      <c r="AG49" s="60">
        <f t="shared" si="177"/>
        <v>0</v>
      </c>
      <c r="AH49" s="59">
        <f t="shared" si="178"/>
        <v>0</v>
      </c>
      <c r="AI49" s="55">
        <f t="shared" si="179"/>
        <v>0</v>
      </c>
      <c r="AJ49" s="59">
        <f t="shared" si="180"/>
        <v>0</v>
      </c>
      <c r="AK49" s="60">
        <f t="shared" si="181"/>
        <v>0</v>
      </c>
      <c r="AL49" s="59">
        <f t="shared" si="182"/>
        <v>0</v>
      </c>
      <c r="AM49" s="60">
        <f t="shared" si="183"/>
        <v>0</v>
      </c>
      <c r="AN49" s="59">
        <f t="shared" si="184"/>
        <v>0</v>
      </c>
      <c r="AO49" s="60">
        <f t="shared" si="185"/>
        <v>0</v>
      </c>
      <c r="AP49" s="59">
        <f t="shared" si="186"/>
        <v>0</v>
      </c>
      <c r="AQ49" s="60">
        <f t="shared" si="187"/>
        <v>0</v>
      </c>
      <c r="AR49" s="59">
        <f t="shared" si="188"/>
        <v>0</v>
      </c>
      <c r="AS49" s="55">
        <f t="shared" si="189"/>
        <v>0</v>
      </c>
      <c r="AT49" s="59">
        <f t="shared" si="190"/>
        <v>0</v>
      </c>
      <c r="AU49" s="60">
        <f t="shared" si="191"/>
        <v>0</v>
      </c>
      <c r="AV49" s="59">
        <f t="shared" si="192"/>
        <v>0</v>
      </c>
      <c r="AW49" s="60">
        <f t="shared" si="193"/>
        <v>0</v>
      </c>
      <c r="AX49" s="59">
        <f t="shared" si="194"/>
        <v>0</v>
      </c>
      <c r="AY49" s="55">
        <f t="shared" si="195"/>
        <v>0</v>
      </c>
      <c r="AZ49" s="59">
        <f t="shared" si="196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6"/>
        <v>0.91</v>
      </c>
      <c r="BH49" s="55">
        <f t="shared" si="286"/>
        <v>0.89</v>
      </c>
      <c r="BI49" s="55">
        <f t="shared" si="286"/>
        <v>0.87</v>
      </c>
      <c r="BJ49" s="55">
        <f t="shared" si="286"/>
        <v>0.85</v>
      </c>
      <c r="BK49" s="55">
        <f t="shared" si="286"/>
        <v>0.83</v>
      </c>
      <c r="BL49" s="55">
        <f t="shared" si="286"/>
        <v>0.80999999999999994</v>
      </c>
      <c r="BM49" s="55">
        <f t="shared" si="286"/>
        <v>0.78999999999999992</v>
      </c>
      <c r="BN49" s="55">
        <f t="shared" si="286"/>
        <v>0.76999999999999991</v>
      </c>
      <c r="BO49" s="55">
        <f t="shared" si="286"/>
        <v>0.74999999999999989</v>
      </c>
      <c r="BP49" s="55">
        <f t="shared" si="286"/>
        <v>0.72999999999999987</v>
      </c>
      <c r="BQ49" s="55">
        <f t="shared" si="286"/>
        <v>0.70999999999999985</v>
      </c>
      <c r="BR49" s="55">
        <f t="shared" si="286"/>
        <v>0.68999999999999984</v>
      </c>
      <c r="BS49" s="55">
        <f t="shared" si="286"/>
        <v>0.66999999999999982</v>
      </c>
      <c r="BT49" s="55">
        <f t="shared" si="286"/>
        <v>0.6499999999999998</v>
      </c>
      <c r="BU49" s="55">
        <f t="shared" si="286"/>
        <v>0.62999999999999978</v>
      </c>
      <c r="BV49" s="55">
        <f t="shared" si="286"/>
        <v>0.60999999999999976</v>
      </c>
      <c r="BW49" s="55">
        <f t="shared" si="286"/>
        <v>0.58999999999999975</v>
      </c>
      <c r="BX49" s="55">
        <f t="shared" si="286"/>
        <v>0.56999999999999973</v>
      </c>
      <c r="BZ49" s="55">
        <f t="shared" si="88"/>
        <v>0</v>
      </c>
      <c r="CA49" s="55">
        <f t="shared" si="89"/>
        <v>0</v>
      </c>
      <c r="CB49" s="59">
        <f t="shared" si="197"/>
        <v>0</v>
      </c>
      <c r="CC49" s="55">
        <f t="shared" si="198"/>
        <v>0</v>
      </c>
      <c r="CD49" s="59">
        <f t="shared" si="199"/>
        <v>0</v>
      </c>
      <c r="CE49" s="55">
        <f t="shared" si="200"/>
        <v>0</v>
      </c>
      <c r="CF49" s="59">
        <f t="shared" si="201"/>
        <v>0</v>
      </c>
      <c r="CG49" s="55">
        <f t="shared" si="202"/>
        <v>0</v>
      </c>
      <c r="CH49" s="59">
        <f t="shared" si="203"/>
        <v>0</v>
      </c>
      <c r="CI49" s="57">
        <f t="shared" si="204"/>
        <v>0</v>
      </c>
      <c r="CJ49" s="59">
        <f t="shared" si="205"/>
        <v>0</v>
      </c>
      <c r="CK49" s="55">
        <f t="shared" si="206"/>
        <v>0</v>
      </c>
      <c r="CL49" s="59">
        <f t="shared" si="207"/>
        <v>0</v>
      </c>
      <c r="CM49" s="57">
        <f t="shared" si="208"/>
        <v>0</v>
      </c>
      <c r="CN49" s="59">
        <f t="shared" si="209"/>
        <v>0</v>
      </c>
      <c r="CO49" s="60">
        <f t="shared" si="210"/>
        <v>0</v>
      </c>
      <c r="CP49" s="59">
        <f t="shared" si="211"/>
        <v>0</v>
      </c>
      <c r="CQ49" s="57">
        <f t="shared" si="212"/>
        <v>0</v>
      </c>
      <c r="CR49" s="59">
        <f t="shared" si="213"/>
        <v>0</v>
      </c>
      <c r="CS49" s="55">
        <f t="shared" si="214"/>
        <v>0</v>
      </c>
      <c r="CT49" s="59">
        <f t="shared" si="215"/>
        <v>0</v>
      </c>
      <c r="CU49" s="60">
        <f t="shared" si="216"/>
        <v>0</v>
      </c>
      <c r="CV49" s="59">
        <f t="shared" si="217"/>
        <v>0</v>
      </c>
      <c r="CW49" s="60">
        <f t="shared" si="218"/>
        <v>0</v>
      </c>
      <c r="CX49" s="59">
        <f t="shared" si="219"/>
        <v>0</v>
      </c>
      <c r="CY49" s="60">
        <f t="shared" si="220"/>
        <v>0</v>
      </c>
      <c r="CZ49" s="59">
        <f t="shared" si="221"/>
        <v>0</v>
      </c>
      <c r="DA49" s="55">
        <f t="shared" si="222"/>
        <v>0</v>
      </c>
      <c r="DB49" s="59">
        <f t="shared" si="223"/>
        <v>0</v>
      </c>
      <c r="DC49" s="60">
        <f t="shared" si="224"/>
        <v>0</v>
      </c>
      <c r="DD49" s="59">
        <f t="shared" si="225"/>
        <v>0</v>
      </c>
      <c r="DE49" s="60">
        <f t="shared" si="226"/>
        <v>0</v>
      </c>
      <c r="DF49" s="59">
        <f t="shared" si="227"/>
        <v>0</v>
      </c>
      <c r="DG49" s="60">
        <f t="shared" si="228"/>
        <v>0</v>
      </c>
      <c r="DH49" s="59">
        <f t="shared" si="229"/>
        <v>0</v>
      </c>
      <c r="DI49" s="60">
        <f t="shared" si="230"/>
        <v>0</v>
      </c>
      <c r="DJ49" s="59">
        <f t="shared" si="231"/>
        <v>0</v>
      </c>
      <c r="DK49" s="55">
        <f t="shared" si="232"/>
        <v>0</v>
      </c>
      <c r="DL49" s="59">
        <f t="shared" si="233"/>
        <v>0</v>
      </c>
      <c r="DM49" s="60">
        <f t="shared" si="234"/>
        <v>0</v>
      </c>
      <c r="DN49" s="59">
        <f t="shared" si="235"/>
        <v>0</v>
      </c>
      <c r="DO49" s="60">
        <f t="shared" si="236"/>
        <v>0</v>
      </c>
      <c r="DP49" s="59">
        <f t="shared" si="237"/>
        <v>0</v>
      </c>
      <c r="DQ49" s="55">
        <f t="shared" si="238"/>
        <v>0</v>
      </c>
      <c r="DR49" s="59">
        <f t="shared" si="239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9">+DX49-0.02</f>
        <v>0.91</v>
      </c>
      <c r="DZ49" s="55">
        <f t="shared" si="289"/>
        <v>0.89</v>
      </c>
      <c r="EA49" s="55">
        <f t="shared" si="289"/>
        <v>0.87</v>
      </c>
      <c r="EB49" s="55">
        <f t="shared" si="289"/>
        <v>0.85</v>
      </c>
      <c r="EC49" s="55">
        <f t="shared" si="289"/>
        <v>0.83</v>
      </c>
      <c r="ED49" s="55">
        <f t="shared" si="289"/>
        <v>0.80999999999999994</v>
      </c>
      <c r="EE49" s="55">
        <f t="shared" si="289"/>
        <v>0.78999999999999992</v>
      </c>
      <c r="EF49" s="55">
        <f t="shared" si="289"/>
        <v>0.76999999999999991</v>
      </c>
      <c r="EG49" s="55">
        <f t="shared" si="289"/>
        <v>0.74999999999999989</v>
      </c>
      <c r="EH49" s="55">
        <f t="shared" si="289"/>
        <v>0.72999999999999987</v>
      </c>
      <c r="EI49" s="55">
        <f t="shared" si="289"/>
        <v>0.70999999999999985</v>
      </c>
      <c r="EJ49" s="55">
        <f t="shared" si="289"/>
        <v>0.68999999999999984</v>
      </c>
      <c r="EK49" s="55">
        <f t="shared" si="289"/>
        <v>0.66999999999999982</v>
      </c>
      <c r="EL49" s="55">
        <f t="shared" si="289"/>
        <v>0.6499999999999998</v>
      </c>
      <c r="EM49" s="55">
        <f t="shared" si="289"/>
        <v>0.62999999999999978</v>
      </c>
      <c r="EN49" s="55">
        <f t="shared" si="289"/>
        <v>0.60999999999999976</v>
      </c>
      <c r="EO49" s="55">
        <f t="shared" si="289"/>
        <v>0.58999999999999975</v>
      </c>
      <c r="EP49" s="55">
        <f t="shared" si="289"/>
        <v>0.56999999999999973</v>
      </c>
      <c r="ER49" s="55">
        <f t="shared" si="142"/>
        <v>0</v>
      </c>
      <c r="ES49" s="55">
        <f t="shared" si="116"/>
        <v>0</v>
      </c>
      <c r="ET49" s="59">
        <f t="shared" si="241"/>
        <v>0</v>
      </c>
      <c r="EU49" s="55">
        <f t="shared" si="242"/>
        <v>0</v>
      </c>
      <c r="EV49" s="59">
        <f t="shared" si="243"/>
        <v>0</v>
      </c>
      <c r="EW49" s="55">
        <f t="shared" si="244"/>
        <v>0</v>
      </c>
      <c r="EX49" s="59">
        <f t="shared" si="245"/>
        <v>0</v>
      </c>
      <c r="EY49" s="55">
        <f t="shared" si="246"/>
        <v>0</v>
      </c>
      <c r="EZ49" s="59">
        <f t="shared" si="247"/>
        <v>0</v>
      </c>
      <c r="FA49" s="57">
        <f t="shared" si="248"/>
        <v>0</v>
      </c>
      <c r="FB49" s="59">
        <f t="shared" si="249"/>
        <v>0</v>
      </c>
      <c r="FC49" s="55">
        <f t="shared" si="250"/>
        <v>0</v>
      </c>
      <c r="FD49" s="59">
        <f t="shared" si="251"/>
        <v>0</v>
      </c>
      <c r="FE49" s="57">
        <f t="shared" si="252"/>
        <v>0</v>
      </c>
      <c r="FF49" s="59">
        <f t="shared" si="253"/>
        <v>0</v>
      </c>
      <c r="FG49" s="60">
        <f t="shared" si="254"/>
        <v>0</v>
      </c>
      <c r="FH49" s="59">
        <f t="shared" si="255"/>
        <v>0</v>
      </c>
      <c r="FI49" s="57">
        <f t="shared" si="256"/>
        <v>0</v>
      </c>
      <c r="FJ49" s="59">
        <f t="shared" si="257"/>
        <v>0</v>
      </c>
      <c r="FK49" s="55">
        <f t="shared" si="258"/>
        <v>0</v>
      </c>
      <c r="FL49" s="59">
        <f t="shared" si="259"/>
        <v>0</v>
      </c>
      <c r="FM49" s="60">
        <f t="shared" si="260"/>
        <v>0</v>
      </c>
      <c r="FN49" s="59">
        <f t="shared" si="261"/>
        <v>0</v>
      </c>
      <c r="FO49" s="60">
        <f t="shared" si="262"/>
        <v>0</v>
      </c>
      <c r="FP49" s="59">
        <f t="shared" si="263"/>
        <v>0</v>
      </c>
      <c r="FQ49" s="60">
        <f t="shared" si="264"/>
        <v>0</v>
      </c>
      <c r="FR49" s="59">
        <f t="shared" si="265"/>
        <v>0</v>
      </c>
      <c r="FS49" s="55">
        <f t="shared" si="266"/>
        <v>0</v>
      </c>
      <c r="FT49" s="59">
        <f t="shared" si="267"/>
        <v>0</v>
      </c>
      <c r="FU49" s="60">
        <f t="shared" si="268"/>
        <v>0</v>
      </c>
      <c r="FV49" s="59">
        <f t="shared" si="269"/>
        <v>0</v>
      </c>
      <c r="FW49" s="60">
        <f t="shared" si="270"/>
        <v>0</v>
      </c>
      <c r="FX49" s="59">
        <f t="shared" si="271"/>
        <v>0</v>
      </c>
      <c r="FY49" s="60">
        <f t="shared" si="272"/>
        <v>0</v>
      </c>
      <c r="FZ49" s="59">
        <f t="shared" si="273"/>
        <v>0</v>
      </c>
      <c r="GA49" s="60">
        <f t="shared" si="274"/>
        <v>0</v>
      </c>
      <c r="GB49" s="59">
        <f t="shared" si="275"/>
        <v>0</v>
      </c>
      <c r="GC49" s="55">
        <f t="shared" si="276"/>
        <v>0</v>
      </c>
      <c r="GD49" s="59">
        <f t="shared" si="277"/>
        <v>0</v>
      </c>
      <c r="GE49" s="60">
        <f t="shared" si="278"/>
        <v>0</v>
      </c>
      <c r="GF49" s="59">
        <f t="shared" si="279"/>
        <v>0</v>
      </c>
      <c r="GG49" s="60">
        <f t="shared" si="280"/>
        <v>0</v>
      </c>
      <c r="GH49" s="59">
        <f t="shared" si="281"/>
        <v>0</v>
      </c>
      <c r="GI49" s="55">
        <f t="shared" si="282"/>
        <v>0</v>
      </c>
      <c r="GJ49" s="59">
        <f t="shared" si="283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90">+GP49-0.02</f>
        <v>0.91</v>
      </c>
      <c r="GR49" s="55">
        <f t="shared" si="290"/>
        <v>0.89</v>
      </c>
      <c r="GS49" s="55">
        <f t="shared" si="290"/>
        <v>0.87</v>
      </c>
      <c r="GT49" s="55">
        <f t="shared" si="290"/>
        <v>0.85</v>
      </c>
      <c r="GU49" s="55">
        <f t="shared" si="290"/>
        <v>0.83</v>
      </c>
      <c r="GV49" s="55">
        <f t="shared" si="290"/>
        <v>0.80999999999999994</v>
      </c>
      <c r="GW49" s="55">
        <f t="shared" si="290"/>
        <v>0.78999999999999992</v>
      </c>
      <c r="GX49" s="55">
        <f t="shared" si="290"/>
        <v>0.76999999999999991</v>
      </c>
      <c r="GY49" s="55">
        <f t="shared" si="290"/>
        <v>0.74999999999999989</v>
      </c>
      <c r="GZ49" s="55">
        <f t="shared" si="290"/>
        <v>0.72999999999999987</v>
      </c>
      <c r="HA49" s="55">
        <f t="shared" si="290"/>
        <v>0.70999999999999985</v>
      </c>
      <c r="HB49" s="55">
        <f t="shared" si="290"/>
        <v>0.68999999999999984</v>
      </c>
      <c r="HC49" s="55">
        <f t="shared" si="290"/>
        <v>0.66999999999999982</v>
      </c>
      <c r="HD49" s="55">
        <f t="shared" si="290"/>
        <v>0.6499999999999998</v>
      </c>
      <c r="HE49" s="55">
        <f t="shared" si="290"/>
        <v>0.62999999999999978</v>
      </c>
      <c r="HF49" s="55">
        <f t="shared" si="290"/>
        <v>0.60999999999999976</v>
      </c>
      <c r="HG49" s="55">
        <f t="shared" si="290"/>
        <v>0.58999999999999975</v>
      </c>
      <c r="HH49" s="55">
        <f t="shared" si="290"/>
        <v>0.56999999999999973</v>
      </c>
    </row>
    <row r="50" spans="1:216" x14ac:dyDescent="0.3">
      <c r="A50" s="2">
        <v>17</v>
      </c>
      <c r="C50" s="38" t="s">
        <v>146</v>
      </c>
      <c r="D50" s="42">
        <v>0</v>
      </c>
      <c r="E50" s="71">
        <f t="shared" si="153"/>
        <v>0</v>
      </c>
      <c r="H50" s="55">
        <f t="shared" si="154"/>
        <v>0</v>
      </c>
      <c r="I50" s="55">
        <f t="shared" si="62"/>
        <v>0</v>
      </c>
      <c r="J50" s="59">
        <f t="shared" si="63"/>
        <v>0</v>
      </c>
      <c r="K50" s="55">
        <f t="shared" si="155"/>
        <v>0</v>
      </c>
      <c r="L50" s="59">
        <f t="shared" si="156"/>
        <v>0</v>
      </c>
      <c r="M50" s="55">
        <f t="shared" si="157"/>
        <v>0</v>
      </c>
      <c r="N50" s="59">
        <f t="shared" si="158"/>
        <v>0</v>
      </c>
      <c r="O50" s="55">
        <f t="shared" si="159"/>
        <v>0</v>
      </c>
      <c r="P50" s="59">
        <f t="shared" si="160"/>
        <v>0</v>
      </c>
      <c r="Q50" s="57">
        <f t="shared" si="161"/>
        <v>0</v>
      </c>
      <c r="R50" s="59">
        <f t="shared" si="162"/>
        <v>0</v>
      </c>
      <c r="S50" s="55">
        <f t="shared" si="163"/>
        <v>0</v>
      </c>
      <c r="T50" s="59">
        <f t="shared" si="164"/>
        <v>0</v>
      </c>
      <c r="U50" s="57">
        <f t="shared" si="165"/>
        <v>0</v>
      </c>
      <c r="V50" s="59">
        <f t="shared" si="166"/>
        <v>0</v>
      </c>
      <c r="W50" s="60">
        <f t="shared" si="167"/>
        <v>0</v>
      </c>
      <c r="X50" s="59">
        <f t="shared" si="168"/>
        <v>0</v>
      </c>
      <c r="Y50" s="57">
        <f t="shared" si="169"/>
        <v>0</v>
      </c>
      <c r="Z50" s="59">
        <f t="shared" si="170"/>
        <v>0</v>
      </c>
      <c r="AA50" s="55">
        <f t="shared" si="171"/>
        <v>0</v>
      </c>
      <c r="AB50" s="59">
        <f t="shared" si="172"/>
        <v>0</v>
      </c>
      <c r="AC50" s="60">
        <f t="shared" si="173"/>
        <v>0</v>
      </c>
      <c r="AD50" s="59">
        <f t="shared" si="174"/>
        <v>0</v>
      </c>
      <c r="AE50" s="60">
        <f t="shared" si="175"/>
        <v>0</v>
      </c>
      <c r="AF50" s="59">
        <f t="shared" si="176"/>
        <v>0</v>
      </c>
      <c r="AG50" s="60">
        <f t="shared" si="177"/>
        <v>0</v>
      </c>
      <c r="AH50" s="59">
        <f t="shared" si="178"/>
        <v>0</v>
      </c>
      <c r="AI50" s="55">
        <f t="shared" si="179"/>
        <v>0</v>
      </c>
      <c r="AJ50" s="59">
        <f t="shared" si="180"/>
        <v>0</v>
      </c>
      <c r="AK50" s="60">
        <f t="shared" si="181"/>
        <v>0</v>
      </c>
      <c r="AL50" s="59">
        <f t="shared" si="182"/>
        <v>0</v>
      </c>
      <c r="AM50" s="60">
        <f t="shared" si="183"/>
        <v>0</v>
      </c>
      <c r="AN50" s="59">
        <f t="shared" si="184"/>
        <v>0</v>
      </c>
      <c r="AO50" s="60">
        <f t="shared" si="185"/>
        <v>0</v>
      </c>
      <c r="AP50" s="59">
        <f t="shared" si="186"/>
        <v>0</v>
      </c>
      <c r="AQ50" s="60">
        <f t="shared" si="187"/>
        <v>0</v>
      </c>
      <c r="AR50" s="59">
        <f t="shared" si="188"/>
        <v>0</v>
      </c>
      <c r="AS50" s="55">
        <f t="shared" si="189"/>
        <v>0</v>
      </c>
      <c r="AT50" s="59">
        <f t="shared" si="190"/>
        <v>0</v>
      </c>
      <c r="AU50" s="60">
        <f t="shared" si="191"/>
        <v>0</v>
      </c>
      <c r="AV50" s="59">
        <f t="shared" si="192"/>
        <v>0</v>
      </c>
      <c r="AW50" s="60">
        <f t="shared" si="193"/>
        <v>0</v>
      </c>
      <c r="AX50" s="59">
        <f t="shared" si="194"/>
        <v>0</v>
      </c>
      <c r="AY50" s="55">
        <f t="shared" si="195"/>
        <v>0</v>
      </c>
      <c r="AZ50" s="59">
        <f t="shared" si="196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6"/>
        <v>0.91</v>
      </c>
      <c r="BH50" s="55">
        <f t="shared" si="286"/>
        <v>0.89</v>
      </c>
      <c r="BI50" s="55">
        <f t="shared" si="286"/>
        <v>0.87</v>
      </c>
      <c r="BJ50" s="55">
        <f t="shared" si="286"/>
        <v>0.85</v>
      </c>
      <c r="BK50" s="55">
        <f t="shared" si="286"/>
        <v>0.83</v>
      </c>
      <c r="BL50" s="55">
        <f t="shared" si="286"/>
        <v>0.80999999999999994</v>
      </c>
      <c r="BM50" s="55">
        <f t="shared" si="286"/>
        <v>0.78999999999999992</v>
      </c>
      <c r="BN50" s="55">
        <f t="shared" si="286"/>
        <v>0.76999999999999991</v>
      </c>
      <c r="BO50" s="55">
        <f t="shared" si="286"/>
        <v>0.74999999999999989</v>
      </c>
      <c r="BP50" s="55">
        <f t="shared" si="286"/>
        <v>0.72999999999999987</v>
      </c>
      <c r="BQ50" s="55">
        <f t="shared" si="286"/>
        <v>0.70999999999999985</v>
      </c>
      <c r="BR50" s="55">
        <f t="shared" si="286"/>
        <v>0.68999999999999984</v>
      </c>
      <c r="BS50" s="55">
        <f t="shared" si="286"/>
        <v>0.66999999999999982</v>
      </c>
      <c r="BT50" s="55">
        <f t="shared" si="286"/>
        <v>0.6499999999999998</v>
      </c>
      <c r="BU50" s="55">
        <f t="shared" si="286"/>
        <v>0.62999999999999978</v>
      </c>
      <c r="BV50" s="55">
        <f t="shared" si="286"/>
        <v>0.60999999999999976</v>
      </c>
      <c r="BW50" s="55">
        <f t="shared" si="286"/>
        <v>0.58999999999999975</v>
      </c>
      <c r="BX50" s="55">
        <f t="shared" si="286"/>
        <v>0.56999999999999973</v>
      </c>
      <c r="BZ50" s="55">
        <f t="shared" si="88"/>
        <v>0</v>
      </c>
      <c r="CA50" s="55">
        <f t="shared" si="89"/>
        <v>0</v>
      </c>
      <c r="CB50" s="59">
        <f t="shared" si="197"/>
        <v>0</v>
      </c>
      <c r="CC50" s="55">
        <f t="shared" si="198"/>
        <v>0</v>
      </c>
      <c r="CD50" s="59">
        <f t="shared" si="199"/>
        <v>0</v>
      </c>
      <c r="CE50" s="55">
        <f t="shared" si="200"/>
        <v>0</v>
      </c>
      <c r="CF50" s="59">
        <f t="shared" si="201"/>
        <v>0</v>
      </c>
      <c r="CG50" s="55">
        <f t="shared" si="202"/>
        <v>0</v>
      </c>
      <c r="CH50" s="59">
        <f t="shared" si="203"/>
        <v>0</v>
      </c>
      <c r="CI50" s="57">
        <f t="shared" si="204"/>
        <v>0</v>
      </c>
      <c r="CJ50" s="59">
        <f t="shared" si="205"/>
        <v>0</v>
      </c>
      <c r="CK50" s="55">
        <f t="shared" si="206"/>
        <v>0</v>
      </c>
      <c r="CL50" s="59">
        <f t="shared" si="207"/>
        <v>0</v>
      </c>
      <c r="CM50" s="57">
        <f t="shared" si="208"/>
        <v>0</v>
      </c>
      <c r="CN50" s="59">
        <f t="shared" si="209"/>
        <v>0</v>
      </c>
      <c r="CO50" s="60">
        <f t="shared" si="210"/>
        <v>0</v>
      </c>
      <c r="CP50" s="59">
        <f t="shared" si="211"/>
        <v>0</v>
      </c>
      <c r="CQ50" s="57">
        <f t="shared" si="212"/>
        <v>0</v>
      </c>
      <c r="CR50" s="59">
        <f t="shared" si="213"/>
        <v>0</v>
      </c>
      <c r="CS50" s="55">
        <f t="shared" si="214"/>
        <v>0</v>
      </c>
      <c r="CT50" s="59">
        <f t="shared" si="215"/>
        <v>0</v>
      </c>
      <c r="CU50" s="60">
        <f t="shared" si="216"/>
        <v>0</v>
      </c>
      <c r="CV50" s="59">
        <f t="shared" si="217"/>
        <v>0</v>
      </c>
      <c r="CW50" s="60">
        <f t="shared" si="218"/>
        <v>0</v>
      </c>
      <c r="CX50" s="59">
        <f t="shared" si="219"/>
        <v>0</v>
      </c>
      <c r="CY50" s="60">
        <f t="shared" si="220"/>
        <v>0</v>
      </c>
      <c r="CZ50" s="59">
        <f t="shared" si="221"/>
        <v>0</v>
      </c>
      <c r="DA50" s="55">
        <f t="shared" si="222"/>
        <v>0</v>
      </c>
      <c r="DB50" s="59">
        <f t="shared" si="223"/>
        <v>0</v>
      </c>
      <c r="DC50" s="60">
        <f t="shared" si="224"/>
        <v>0</v>
      </c>
      <c r="DD50" s="59">
        <f t="shared" si="225"/>
        <v>0</v>
      </c>
      <c r="DE50" s="60">
        <f t="shared" si="226"/>
        <v>0</v>
      </c>
      <c r="DF50" s="59">
        <f t="shared" si="227"/>
        <v>0</v>
      </c>
      <c r="DG50" s="60">
        <f t="shared" si="228"/>
        <v>0</v>
      </c>
      <c r="DH50" s="59">
        <f t="shared" si="229"/>
        <v>0</v>
      </c>
      <c r="DI50" s="60">
        <f t="shared" si="230"/>
        <v>0</v>
      </c>
      <c r="DJ50" s="59">
        <f t="shared" si="231"/>
        <v>0</v>
      </c>
      <c r="DK50" s="55">
        <f t="shared" si="232"/>
        <v>0</v>
      </c>
      <c r="DL50" s="59">
        <f t="shared" si="233"/>
        <v>0</v>
      </c>
      <c r="DM50" s="60">
        <f t="shared" si="234"/>
        <v>0</v>
      </c>
      <c r="DN50" s="59">
        <f t="shared" si="235"/>
        <v>0</v>
      </c>
      <c r="DO50" s="60">
        <f t="shared" si="236"/>
        <v>0</v>
      </c>
      <c r="DP50" s="59">
        <f t="shared" si="237"/>
        <v>0</v>
      </c>
      <c r="DQ50" s="55">
        <f t="shared" si="238"/>
        <v>0</v>
      </c>
      <c r="DR50" s="59">
        <f t="shared" si="239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9"/>
        <v>0.91</v>
      </c>
      <c r="DZ50" s="55">
        <f t="shared" si="289"/>
        <v>0.89</v>
      </c>
      <c r="EA50" s="55">
        <f t="shared" si="289"/>
        <v>0.87</v>
      </c>
      <c r="EB50" s="55">
        <f t="shared" si="289"/>
        <v>0.85</v>
      </c>
      <c r="EC50" s="55">
        <f t="shared" si="289"/>
        <v>0.83</v>
      </c>
      <c r="ED50" s="55">
        <f t="shared" si="289"/>
        <v>0.80999999999999994</v>
      </c>
      <c r="EE50" s="55">
        <f t="shared" si="289"/>
        <v>0.78999999999999992</v>
      </c>
      <c r="EF50" s="55">
        <f t="shared" si="289"/>
        <v>0.76999999999999991</v>
      </c>
      <c r="EG50" s="55">
        <f t="shared" si="289"/>
        <v>0.74999999999999989</v>
      </c>
      <c r="EH50" s="55">
        <f t="shared" si="289"/>
        <v>0.72999999999999987</v>
      </c>
      <c r="EI50" s="55">
        <f t="shared" si="289"/>
        <v>0.70999999999999985</v>
      </c>
      <c r="EJ50" s="55">
        <f t="shared" si="289"/>
        <v>0.68999999999999984</v>
      </c>
      <c r="EK50" s="55">
        <f t="shared" si="289"/>
        <v>0.66999999999999982</v>
      </c>
      <c r="EL50" s="55">
        <f t="shared" si="289"/>
        <v>0.6499999999999998</v>
      </c>
      <c r="EM50" s="55">
        <f t="shared" si="289"/>
        <v>0.62999999999999978</v>
      </c>
      <c r="EN50" s="55">
        <f t="shared" si="289"/>
        <v>0.60999999999999976</v>
      </c>
      <c r="EO50" s="55">
        <f t="shared" si="289"/>
        <v>0.58999999999999975</v>
      </c>
      <c r="EP50" s="55">
        <f t="shared" si="289"/>
        <v>0.56999999999999973</v>
      </c>
      <c r="ER50" s="55">
        <f t="shared" si="142"/>
        <v>0</v>
      </c>
      <c r="ES50" s="55">
        <f t="shared" si="116"/>
        <v>0</v>
      </c>
      <c r="ET50" s="59">
        <f t="shared" si="241"/>
        <v>0</v>
      </c>
      <c r="EU50" s="55">
        <f t="shared" si="242"/>
        <v>0</v>
      </c>
      <c r="EV50" s="59">
        <f t="shared" si="243"/>
        <v>0</v>
      </c>
      <c r="EW50" s="55">
        <f t="shared" si="244"/>
        <v>0</v>
      </c>
      <c r="EX50" s="59">
        <f t="shared" si="245"/>
        <v>0</v>
      </c>
      <c r="EY50" s="55">
        <f t="shared" si="246"/>
        <v>0</v>
      </c>
      <c r="EZ50" s="59">
        <f t="shared" si="247"/>
        <v>0</v>
      </c>
      <c r="FA50" s="57">
        <f t="shared" si="248"/>
        <v>0</v>
      </c>
      <c r="FB50" s="59">
        <f t="shared" si="249"/>
        <v>0</v>
      </c>
      <c r="FC50" s="55">
        <f t="shared" si="250"/>
        <v>0</v>
      </c>
      <c r="FD50" s="59">
        <f t="shared" si="251"/>
        <v>0</v>
      </c>
      <c r="FE50" s="57">
        <f t="shared" si="252"/>
        <v>0</v>
      </c>
      <c r="FF50" s="59">
        <f t="shared" si="253"/>
        <v>0</v>
      </c>
      <c r="FG50" s="60">
        <f t="shared" si="254"/>
        <v>0</v>
      </c>
      <c r="FH50" s="59">
        <f t="shared" si="255"/>
        <v>0</v>
      </c>
      <c r="FI50" s="57">
        <f t="shared" si="256"/>
        <v>0</v>
      </c>
      <c r="FJ50" s="59">
        <f t="shared" si="257"/>
        <v>0</v>
      </c>
      <c r="FK50" s="55">
        <f t="shared" si="258"/>
        <v>0</v>
      </c>
      <c r="FL50" s="59">
        <f t="shared" si="259"/>
        <v>0</v>
      </c>
      <c r="FM50" s="60">
        <f t="shared" si="260"/>
        <v>0</v>
      </c>
      <c r="FN50" s="59">
        <f t="shared" si="261"/>
        <v>0</v>
      </c>
      <c r="FO50" s="60">
        <f t="shared" si="262"/>
        <v>0</v>
      </c>
      <c r="FP50" s="59">
        <f t="shared" si="263"/>
        <v>0</v>
      </c>
      <c r="FQ50" s="60">
        <f t="shared" si="264"/>
        <v>0</v>
      </c>
      <c r="FR50" s="59">
        <f t="shared" si="265"/>
        <v>0</v>
      </c>
      <c r="FS50" s="55">
        <f t="shared" si="266"/>
        <v>0</v>
      </c>
      <c r="FT50" s="59">
        <f t="shared" si="267"/>
        <v>0</v>
      </c>
      <c r="FU50" s="60">
        <f t="shared" si="268"/>
        <v>0</v>
      </c>
      <c r="FV50" s="59">
        <f t="shared" si="269"/>
        <v>0</v>
      </c>
      <c r="FW50" s="60">
        <f t="shared" si="270"/>
        <v>0</v>
      </c>
      <c r="FX50" s="59">
        <f t="shared" si="271"/>
        <v>0</v>
      </c>
      <c r="FY50" s="60">
        <f t="shared" si="272"/>
        <v>0</v>
      </c>
      <c r="FZ50" s="59">
        <f t="shared" si="273"/>
        <v>0</v>
      </c>
      <c r="GA50" s="60">
        <f t="shared" si="274"/>
        <v>0</v>
      </c>
      <c r="GB50" s="59">
        <f t="shared" si="275"/>
        <v>0</v>
      </c>
      <c r="GC50" s="55">
        <f t="shared" si="276"/>
        <v>0</v>
      </c>
      <c r="GD50" s="59">
        <f t="shared" si="277"/>
        <v>0</v>
      </c>
      <c r="GE50" s="60">
        <f t="shared" si="278"/>
        <v>0</v>
      </c>
      <c r="GF50" s="59">
        <f t="shared" si="279"/>
        <v>0</v>
      </c>
      <c r="GG50" s="60">
        <f t="shared" si="280"/>
        <v>0</v>
      </c>
      <c r="GH50" s="59">
        <f t="shared" si="281"/>
        <v>0</v>
      </c>
      <c r="GI50" s="55">
        <f t="shared" si="282"/>
        <v>0</v>
      </c>
      <c r="GJ50" s="59">
        <f t="shared" si="283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90"/>
        <v>0.91</v>
      </c>
      <c r="GR50" s="55">
        <f t="shared" si="290"/>
        <v>0.89</v>
      </c>
      <c r="GS50" s="55">
        <f t="shared" si="290"/>
        <v>0.87</v>
      </c>
      <c r="GT50" s="55">
        <f t="shared" si="290"/>
        <v>0.85</v>
      </c>
      <c r="GU50" s="55">
        <f t="shared" si="290"/>
        <v>0.83</v>
      </c>
      <c r="GV50" s="55">
        <f t="shared" si="290"/>
        <v>0.80999999999999994</v>
      </c>
      <c r="GW50" s="55">
        <f t="shared" si="290"/>
        <v>0.78999999999999992</v>
      </c>
      <c r="GX50" s="55">
        <f t="shared" si="290"/>
        <v>0.76999999999999991</v>
      </c>
      <c r="GY50" s="55">
        <f t="shared" si="290"/>
        <v>0.74999999999999989</v>
      </c>
      <c r="GZ50" s="55">
        <f t="shared" si="290"/>
        <v>0.72999999999999987</v>
      </c>
      <c r="HA50" s="55">
        <f t="shared" si="290"/>
        <v>0.70999999999999985</v>
      </c>
      <c r="HB50" s="55">
        <f t="shared" si="290"/>
        <v>0.68999999999999984</v>
      </c>
      <c r="HC50" s="55">
        <f t="shared" si="290"/>
        <v>0.66999999999999982</v>
      </c>
      <c r="HD50" s="55">
        <f t="shared" si="290"/>
        <v>0.6499999999999998</v>
      </c>
      <c r="HE50" s="55">
        <f t="shared" si="290"/>
        <v>0.62999999999999978</v>
      </c>
      <c r="HF50" s="55">
        <f t="shared" si="290"/>
        <v>0.60999999999999976</v>
      </c>
      <c r="HG50" s="55">
        <f t="shared" si="290"/>
        <v>0.58999999999999975</v>
      </c>
      <c r="HH50" s="55">
        <f t="shared" si="290"/>
        <v>0.56999999999999973</v>
      </c>
    </row>
    <row r="51" spans="1:216" x14ac:dyDescent="0.3">
      <c r="A51" s="2">
        <v>18</v>
      </c>
      <c r="C51" s="38" t="s">
        <v>147</v>
      </c>
      <c r="D51" s="42">
        <v>0</v>
      </c>
      <c r="E51" s="71">
        <f t="shared" si="153"/>
        <v>0</v>
      </c>
      <c r="H51" s="55">
        <f t="shared" si="154"/>
        <v>0</v>
      </c>
      <c r="I51" s="55">
        <f t="shared" si="62"/>
        <v>0</v>
      </c>
      <c r="J51" s="59">
        <f t="shared" si="63"/>
        <v>0</v>
      </c>
      <c r="K51" s="55">
        <f t="shared" si="155"/>
        <v>0</v>
      </c>
      <c r="L51" s="59">
        <f t="shared" si="156"/>
        <v>0</v>
      </c>
      <c r="M51" s="55">
        <f t="shared" si="157"/>
        <v>0</v>
      </c>
      <c r="N51" s="59">
        <f t="shared" si="158"/>
        <v>0</v>
      </c>
      <c r="O51" s="55">
        <f t="shared" si="159"/>
        <v>0</v>
      </c>
      <c r="P51" s="59">
        <f t="shared" si="160"/>
        <v>0</v>
      </c>
      <c r="Q51" s="57">
        <f t="shared" si="161"/>
        <v>0</v>
      </c>
      <c r="R51" s="59">
        <f t="shared" si="162"/>
        <v>0</v>
      </c>
      <c r="S51" s="55">
        <f t="shared" si="163"/>
        <v>0</v>
      </c>
      <c r="T51" s="59">
        <f t="shared" si="164"/>
        <v>0</v>
      </c>
      <c r="U51" s="57">
        <f t="shared" si="165"/>
        <v>0</v>
      </c>
      <c r="V51" s="59">
        <f t="shared" si="166"/>
        <v>0</v>
      </c>
      <c r="W51" s="60">
        <f t="shared" si="167"/>
        <v>0</v>
      </c>
      <c r="X51" s="59">
        <f t="shared" si="168"/>
        <v>0</v>
      </c>
      <c r="Y51" s="57">
        <f t="shared" si="169"/>
        <v>0</v>
      </c>
      <c r="Z51" s="59">
        <f t="shared" si="170"/>
        <v>0</v>
      </c>
      <c r="AA51" s="55">
        <f t="shared" si="171"/>
        <v>0</v>
      </c>
      <c r="AB51" s="59">
        <f t="shared" si="172"/>
        <v>0</v>
      </c>
      <c r="AC51" s="60">
        <f t="shared" si="173"/>
        <v>0</v>
      </c>
      <c r="AD51" s="59">
        <f t="shared" si="174"/>
        <v>0</v>
      </c>
      <c r="AE51" s="60">
        <f t="shared" si="175"/>
        <v>0</v>
      </c>
      <c r="AF51" s="59">
        <f t="shared" si="176"/>
        <v>0</v>
      </c>
      <c r="AG51" s="60">
        <f t="shared" si="177"/>
        <v>0</v>
      </c>
      <c r="AH51" s="59">
        <f t="shared" si="178"/>
        <v>0</v>
      </c>
      <c r="AI51" s="55">
        <f t="shared" si="179"/>
        <v>0</v>
      </c>
      <c r="AJ51" s="59">
        <f t="shared" si="180"/>
        <v>0</v>
      </c>
      <c r="AK51" s="60">
        <f t="shared" si="181"/>
        <v>0</v>
      </c>
      <c r="AL51" s="59">
        <f t="shared" si="182"/>
        <v>0</v>
      </c>
      <c r="AM51" s="60">
        <f t="shared" si="183"/>
        <v>0</v>
      </c>
      <c r="AN51" s="59">
        <f t="shared" si="184"/>
        <v>0</v>
      </c>
      <c r="AO51" s="60">
        <f t="shared" si="185"/>
        <v>0</v>
      </c>
      <c r="AP51" s="59">
        <f t="shared" si="186"/>
        <v>0</v>
      </c>
      <c r="AQ51" s="60">
        <f t="shared" si="187"/>
        <v>0</v>
      </c>
      <c r="AR51" s="59">
        <f t="shared" si="188"/>
        <v>0</v>
      </c>
      <c r="AS51" s="55">
        <f t="shared" si="189"/>
        <v>0</v>
      </c>
      <c r="AT51" s="59">
        <f t="shared" si="190"/>
        <v>0</v>
      </c>
      <c r="AU51" s="60">
        <f t="shared" si="191"/>
        <v>0</v>
      </c>
      <c r="AV51" s="59">
        <f t="shared" si="192"/>
        <v>0</v>
      </c>
      <c r="AW51" s="60">
        <f t="shared" si="193"/>
        <v>0</v>
      </c>
      <c r="AX51" s="59">
        <f t="shared" si="194"/>
        <v>0</v>
      </c>
      <c r="AY51" s="55">
        <f t="shared" si="195"/>
        <v>0</v>
      </c>
      <c r="AZ51" s="59">
        <f t="shared" si="196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6"/>
        <v>0.91</v>
      </c>
      <c r="BH51" s="55">
        <f t="shared" si="286"/>
        <v>0.89</v>
      </c>
      <c r="BI51" s="55">
        <f t="shared" si="286"/>
        <v>0.87</v>
      </c>
      <c r="BJ51" s="55">
        <f t="shared" si="286"/>
        <v>0.85</v>
      </c>
      <c r="BK51" s="55">
        <f t="shared" si="286"/>
        <v>0.83</v>
      </c>
      <c r="BL51" s="55">
        <f t="shared" si="286"/>
        <v>0.80999999999999994</v>
      </c>
      <c r="BM51" s="55">
        <f t="shared" si="286"/>
        <v>0.78999999999999992</v>
      </c>
      <c r="BN51" s="55">
        <f t="shared" si="286"/>
        <v>0.76999999999999991</v>
      </c>
      <c r="BO51" s="55">
        <f t="shared" si="286"/>
        <v>0.74999999999999989</v>
      </c>
      <c r="BP51" s="55">
        <f t="shared" si="286"/>
        <v>0.72999999999999987</v>
      </c>
      <c r="BQ51" s="55">
        <f t="shared" si="286"/>
        <v>0.70999999999999985</v>
      </c>
      <c r="BR51" s="55">
        <f t="shared" si="286"/>
        <v>0.68999999999999984</v>
      </c>
      <c r="BS51" s="55">
        <f t="shared" si="286"/>
        <v>0.66999999999999982</v>
      </c>
      <c r="BT51" s="55">
        <f t="shared" si="286"/>
        <v>0.6499999999999998</v>
      </c>
      <c r="BU51" s="55">
        <f t="shared" si="286"/>
        <v>0.62999999999999978</v>
      </c>
      <c r="BV51" s="55">
        <f t="shared" si="286"/>
        <v>0.60999999999999976</v>
      </c>
      <c r="BW51" s="55">
        <f t="shared" si="286"/>
        <v>0.58999999999999975</v>
      </c>
      <c r="BX51" s="55">
        <f t="shared" si="286"/>
        <v>0.56999999999999973</v>
      </c>
      <c r="BZ51" s="55">
        <f t="shared" si="88"/>
        <v>0</v>
      </c>
      <c r="CA51" s="55">
        <f t="shared" si="89"/>
        <v>0</v>
      </c>
      <c r="CB51" s="59">
        <f t="shared" si="197"/>
        <v>0</v>
      </c>
      <c r="CC51" s="55">
        <f t="shared" si="198"/>
        <v>0</v>
      </c>
      <c r="CD51" s="59">
        <f t="shared" si="199"/>
        <v>0</v>
      </c>
      <c r="CE51" s="55">
        <f t="shared" si="200"/>
        <v>0</v>
      </c>
      <c r="CF51" s="59">
        <f t="shared" si="201"/>
        <v>0</v>
      </c>
      <c r="CG51" s="55">
        <f t="shared" si="202"/>
        <v>0</v>
      </c>
      <c r="CH51" s="59">
        <f t="shared" si="203"/>
        <v>0</v>
      </c>
      <c r="CI51" s="57">
        <f t="shared" si="204"/>
        <v>0</v>
      </c>
      <c r="CJ51" s="59">
        <f t="shared" si="205"/>
        <v>0</v>
      </c>
      <c r="CK51" s="55">
        <f t="shared" si="206"/>
        <v>0</v>
      </c>
      <c r="CL51" s="59">
        <f t="shared" si="207"/>
        <v>0</v>
      </c>
      <c r="CM51" s="57">
        <f t="shared" si="208"/>
        <v>0</v>
      </c>
      <c r="CN51" s="59">
        <f t="shared" si="209"/>
        <v>0</v>
      </c>
      <c r="CO51" s="60">
        <f t="shared" si="210"/>
        <v>0</v>
      </c>
      <c r="CP51" s="59">
        <f t="shared" si="211"/>
        <v>0</v>
      </c>
      <c r="CQ51" s="57">
        <f t="shared" si="212"/>
        <v>0</v>
      </c>
      <c r="CR51" s="59">
        <f t="shared" si="213"/>
        <v>0</v>
      </c>
      <c r="CS51" s="55">
        <f t="shared" si="214"/>
        <v>0</v>
      </c>
      <c r="CT51" s="59">
        <f t="shared" si="215"/>
        <v>0</v>
      </c>
      <c r="CU51" s="60">
        <f t="shared" si="216"/>
        <v>0</v>
      </c>
      <c r="CV51" s="59">
        <f t="shared" si="217"/>
        <v>0</v>
      </c>
      <c r="CW51" s="60">
        <f t="shared" si="218"/>
        <v>0</v>
      </c>
      <c r="CX51" s="59">
        <f t="shared" si="219"/>
        <v>0</v>
      </c>
      <c r="CY51" s="60">
        <f t="shared" si="220"/>
        <v>0</v>
      </c>
      <c r="CZ51" s="59">
        <f t="shared" si="221"/>
        <v>0</v>
      </c>
      <c r="DA51" s="55">
        <f t="shared" si="222"/>
        <v>0</v>
      </c>
      <c r="DB51" s="59">
        <f t="shared" si="223"/>
        <v>0</v>
      </c>
      <c r="DC51" s="60">
        <f t="shared" si="224"/>
        <v>0</v>
      </c>
      <c r="DD51" s="59">
        <f t="shared" si="225"/>
        <v>0</v>
      </c>
      <c r="DE51" s="60">
        <f t="shared" si="226"/>
        <v>0</v>
      </c>
      <c r="DF51" s="59">
        <f t="shared" si="227"/>
        <v>0</v>
      </c>
      <c r="DG51" s="60">
        <f t="shared" si="228"/>
        <v>0</v>
      </c>
      <c r="DH51" s="59">
        <f t="shared" si="229"/>
        <v>0</v>
      </c>
      <c r="DI51" s="60">
        <f t="shared" si="230"/>
        <v>0</v>
      </c>
      <c r="DJ51" s="59">
        <f t="shared" si="231"/>
        <v>0</v>
      </c>
      <c r="DK51" s="55">
        <f t="shared" si="232"/>
        <v>0</v>
      </c>
      <c r="DL51" s="59">
        <f t="shared" si="233"/>
        <v>0</v>
      </c>
      <c r="DM51" s="60">
        <f t="shared" si="234"/>
        <v>0</v>
      </c>
      <c r="DN51" s="59">
        <f t="shared" si="235"/>
        <v>0</v>
      </c>
      <c r="DO51" s="60">
        <f t="shared" si="236"/>
        <v>0</v>
      </c>
      <c r="DP51" s="59">
        <f t="shared" si="237"/>
        <v>0</v>
      </c>
      <c r="DQ51" s="55">
        <f t="shared" si="238"/>
        <v>0</v>
      </c>
      <c r="DR51" s="59">
        <f t="shared" si="239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9"/>
        <v>0.91</v>
      </c>
      <c r="DZ51" s="55">
        <f t="shared" si="289"/>
        <v>0.89</v>
      </c>
      <c r="EA51" s="55">
        <f t="shared" si="289"/>
        <v>0.87</v>
      </c>
      <c r="EB51" s="55">
        <f t="shared" si="289"/>
        <v>0.85</v>
      </c>
      <c r="EC51" s="55">
        <f t="shared" si="289"/>
        <v>0.83</v>
      </c>
      <c r="ED51" s="55">
        <f t="shared" si="289"/>
        <v>0.80999999999999994</v>
      </c>
      <c r="EE51" s="55">
        <f t="shared" si="289"/>
        <v>0.78999999999999992</v>
      </c>
      <c r="EF51" s="55">
        <f t="shared" si="289"/>
        <v>0.76999999999999991</v>
      </c>
      <c r="EG51" s="55">
        <f t="shared" si="289"/>
        <v>0.74999999999999989</v>
      </c>
      <c r="EH51" s="55">
        <f t="shared" si="289"/>
        <v>0.72999999999999987</v>
      </c>
      <c r="EI51" s="55">
        <f t="shared" si="289"/>
        <v>0.70999999999999985</v>
      </c>
      <c r="EJ51" s="55">
        <f t="shared" si="289"/>
        <v>0.68999999999999984</v>
      </c>
      <c r="EK51" s="55">
        <f t="shared" si="289"/>
        <v>0.66999999999999982</v>
      </c>
      <c r="EL51" s="55">
        <f t="shared" si="289"/>
        <v>0.6499999999999998</v>
      </c>
      <c r="EM51" s="55">
        <f t="shared" si="289"/>
        <v>0.62999999999999978</v>
      </c>
      <c r="EN51" s="55">
        <f t="shared" si="289"/>
        <v>0.60999999999999976</v>
      </c>
      <c r="EO51" s="55">
        <f t="shared" si="289"/>
        <v>0.58999999999999975</v>
      </c>
      <c r="EP51" s="55">
        <f t="shared" si="289"/>
        <v>0.56999999999999973</v>
      </c>
      <c r="ER51" s="55">
        <f t="shared" si="142"/>
        <v>0</v>
      </c>
      <c r="ES51" s="55">
        <f t="shared" si="116"/>
        <v>0</v>
      </c>
      <c r="ET51" s="59">
        <f t="shared" si="241"/>
        <v>0</v>
      </c>
      <c r="EU51" s="55">
        <f t="shared" si="242"/>
        <v>0</v>
      </c>
      <c r="EV51" s="59">
        <f t="shared" si="243"/>
        <v>0</v>
      </c>
      <c r="EW51" s="55">
        <f t="shared" si="244"/>
        <v>0</v>
      </c>
      <c r="EX51" s="59">
        <f t="shared" si="245"/>
        <v>0</v>
      </c>
      <c r="EY51" s="55">
        <f t="shared" si="246"/>
        <v>0</v>
      </c>
      <c r="EZ51" s="59">
        <f t="shared" si="247"/>
        <v>0</v>
      </c>
      <c r="FA51" s="57">
        <f t="shared" si="248"/>
        <v>0</v>
      </c>
      <c r="FB51" s="59">
        <f t="shared" si="249"/>
        <v>0</v>
      </c>
      <c r="FC51" s="55">
        <f t="shared" si="250"/>
        <v>0</v>
      </c>
      <c r="FD51" s="59">
        <f t="shared" si="251"/>
        <v>0</v>
      </c>
      <c r="FE51" s="57">
        <f t="shared" si="252"/>
        <v>0</v>
      </c>
      <c r="FF51" s="59">
        <f t="shared" si="253"/>
        <v>0</v>
      </c>
      <c r="FG51" s="60">
        <f t="shared" si="254"/>
        <v>0</v>
      </c>
      <c r="FH51" s="59">
        <f t="shared" si="255"/>
        <v>0</v>
      </c>
      <c r="FI51" s="57">
        <f t="shared" si="256"/>
        <v>0</v>
      </c>
      <c r="FJ51" s="59">
        <f t="shared" si="257"/>
        <v>0</v>
      </c>
      <c r="FK51" s="55">
        <f t="shared" si="258"/>
        <v>0</v>
      </c>
      <c r="FL51" s="59">
        <f t="shared" si="259"/>
        <v>0</v>
      </c>
      <c r="FM51" s="60">
        <f t="shared" si="260"/>
        <v>0</v>
      </c>
      <c r="FN51" s="59">
        <f t="shared" si="261"/>
        <v>0</v>
      </c>
      <c r="FO51" s="60">
        <f t="shared" si="262"/>
        <v>0</v>
      </c>
      <c r="FP51" s="59">
        <f t="shared" si="263"/>
        <v>0</v>
      </c>
      <c r="FQ51" s="60">
        <f t="shared" si="264"/>
        <v>0</v>
      </c>
      <c r="FR51" s="59">
        <f t="shared" si="265"/>
        <v>0</v>
      </c>
      <c r="FS51" s="55">
        <f t="shared" si="266"/>
        <v>0</v>
      </c>
      <c r="FT51" s="59">
        <f t="shared" si="267"/>
        <v>0</v>
      </c>
      <c r="FU51" s="60">
        <f t="shared" si="268"/>
        <v>0</v>
      </c>
      <c r="FV51" s="59">
        <f t="shared" si="269"/>
        <v>0</v>
      </c>
      <c r="FW51" s="60">
        <f t="shared" si="270"/>
        <v>0</v>
      </c>
      <c r="FX51" s="59">
        <f t="shared" si="271"/>
        <v>0</v>
      </c>
      <c r="FY51" s="60">
        <f t="shared" si="272"/>
        <v>0</v>
      </c>
      <c r="FZ51" s="59">
        <f t="shared" si="273"/>
        <v>0</v>
      </c>
      <c r="GA51" s="60">
        <f t="shared" si="274"/>
        <v>0</v>
      </c>
      <c r="GB51" s="59">
        <f t="shared" si="275"/>
        <v>0</v>
      </c>
      <c r="GC51" s="55">
        <f t="shared" si="276"/>
        <v>0</v>
      </c>
      <c r="GD51" s="59">
        <f t="shared" si="277"/>
        <v>0</v>
      </c>
      <c r="GE51" s="60">
        <f t="shared" si="278"/>
        <v>0</v>
      </c>
      <c r="GF51" s="59">
        <f t="shared" si="279"/>
        <v>0</v>
      </c>
      <c r="GG51" s="60">
        <f t="shared" si="280"/>
        <v>0</v>
      </c>
      <c r="GH51" s="59">
        <f t="shared" si="281"/>
        <v>0</v>
      </c>
      <c r="GI51" s="55">
        <f t="shared" si="282"/>
        <v>0</v>
      </c>
      <c r="GJ51" s="59">
        <f t="shared" si="283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90"/>
        <v>0.91</v>
      </c>
      <c r="GR51" s="55">
        <f t="shared" si="290"/>
        <v>0.89</v>
      </c>
      <c r="GS51" s="55">
        <f t="shared" si="290"/>
        <v>0.87</v>
      </c>
      <c r="GT51" s="55">
        <f t="shared" si="290"/>
        <v>0.85</v>
      </c>
      <c r="GU51" s="55">
        <f t="shared" si="290"/>
        <v>0.83</v>
      </c>
      <c r="GV51" s="55">
        <f t="shared" si="290"/>
        <v>0.80999999999999994</v>
      </c>
      <c r="GW51" s="55">
        <f t="shared" si="290"/>
        <v>0.78999999999999992</v>
      </c>
      <c r="GX51" s="55">
        <f t="shared" si="290"/>
        <v>0.76999999999999991</v>
      </c>
      <c r="GY51" s="55">
        <f t="shared" si="290"/>
        <v>0.74999999999999989</v>
      </c>
      <c r="GZ51" s="55">
        <f t="shared" si="290"/>
        <v>0.72999999999999987</v>
      </c>
      <c r="HA51" s="55">
        <f t="shared" si="290"/>
        <v>0.70999999999999985</v>
      </c>
      <c r="HB51" s="55">
        <f t="shared" si="290"/>
        <v>0.68999999999999984</v>
      </c>
      <c r="HC51" s="55">
        <f t="shared" si="290"/>
        <v>0.66999999999999982</v>
      </c>
      <c r="HD51" s="55">
        <f t="shared" si="290"/>
        <v>0.6499999999999998</v>
      </c>
      <c r="HE51" s="55">
        <f t="shared" si="290"/>
        <v>0.62999999999999978</v>
      </c>
      <c r="HF51" s="55">
        <f t="shared" si="290"/>
        <v>0.60999999999999976</v>
      </c>
      <c r="HG51" s="55">
        <f t="shared" si="290"/>
        <v>0.58999999999999975</v>
      </c>
      <c r="HH51" s="55">
        <f t="shared" si="290"/>
        <v>0.56999999999999973</v>
      </c>
    </row>
    <row r="52" spans="1:216" x14ac:dyDescent="0.3">
      <c r="A52" s="2">
        <v>19</v>
      </c>
      <c r="C52" s="38" t="s">
        <v>26</v>
      </c>
      <c r="D52" s="42">
        <f>TRUNC(44028+7893-724+4116+11353,-1)</f>
        <v>66660</v>
      </c>
      <c r="E52" s="71">
        <f t="shared" si="153"/>
        <v>220360</v>
      </c>
      <c r="F52" s="2" t="s">
        <v>309</v>
      </c>
      <c r="H52" s="55">
        <f t="shared" si="154"/>
        <v>73326</v>
      </c>
      <c r="I52" s="55">
        <f t="shared" si="62"/>
        <v>73326</v>
      </c>
      <c r="J52" s="59">
        <f t="shared" si="63"/>
        <v>242401.09080000001</v>
      </c>
      <c r="K52" s="55">
        <f t="shared" si="155"/>
        <v>71126.22</v>
      </c>
      <c r="L52" s="59">
        <f t="shared" si="156"/>
        <v>235129.05807600002</v>
      </c>
      <c r="M52" s="55">
        <f t="shared" si="157"/>
        <v>69659.7</v>
      </c>
      <c r="N52" s="59">
        <f t="shared" si="158"/>
        <v>230281.03625999999</v>
      </c>
      <c r="O52" s="55">
        <f t="shared" si="159"/>
        <v>68193.180000000008</v>
      </c>
      <c r="P52" s="59">
        <f t="shared" si="160"/>
        <v>225433.01444400003</v>
      </c>
      <c r="Q52" s="57">
        <f t="shared" si="161"/>
        <v>66726.66</v>
      </c>
      <c r="R52" s="59">
        <f t="shared" si="162"/>
        <v>220584.99262800001</v>
      </c>
      <c r="S52" s="55">
        <f t="shared" si="163"/>
        <v>65260.14</v>
      </c>
      <c r="T52" s="59">
        <f t="shared" si="164"/>
        <v>215736.97081200001</v>
      </c>
      <c r="U52" s="57">
        <f t="shared" si="165"/>
        <v>63793.62</v>
      </c>
      <c r="V52" s="59">
        <f t="shared" si="166"/>
        <v>210888.94899600002</v>
      </c>
      <c r="W52" s="60">
        <f t="shared" si="167"/>
        <v>62327.1</v>
      </c>
      <c r="X52" s="59">
        <f t="shared" si="168"/>
        <v>206040.92718</v>
      </c>
      <c r="Y52" s="57">
        <f t="shared" si="169"/>
        <v>60860.579999999994</v>
      </c>
      <c r="Z52" s="59">
        <f t="shared" si="170"/>
        <v>201192.90536399998</v>
      </c>
      <c r="AA52" s="55">
        <f t="shared" si="171"/>
        <v>59394.06</v>
      </c>
      <c r="AB52" s="59">
        <f t="shared" si="172"/>
        <v>196344.88354799998</v>
      </c>
      <c r="AC52" s="60">
        <f t="shared" si="173"/>
        <v>57927.539999999994</v>
      </c>
      <c r="AD52" s="59">
        <f t="shared" si="174"/>
        <v>191496.86173199999</v>
      </c>
      <c r="AE52" s="60">
        <f t="shared" si="175"/>
        <v>56461.01999999999</v>
      </c>
      <c r="AF52" s="59">
        <f t="shared" si="176"/>
        <v>186648.83991599997</v>
      </c>
      <c r="AG52" s="60">
        <f t="shared" si="177"/>
        <v>54994.499999999993</v>
      </c>
      <c r="AH52" s="59">
        <f t="shared" si="178"/>
        <v>181800.81809999997</v>
      </c>
      <c r="AI52" s="55">
        <f t="shared" si="179"/>
        <v>53527.979999999989</v>
      </c>
      <c r="AJ52" s="59">
        <f t="shared" si="180"/>
        <v>176952.79628399995</v>
      </c>
      <c r="AK52" s="60">
        <f t="shared" si="181"/>
        <v>52061.459999999992</v>
      </c>
      <c r="AL52" s="59">
        <f t="shared" si="182"/>
        <v>172104.77446799999</v>
      </c>
      <c r="AM52" s="60">
        <f t="shared" si="183"/>
        <v>50594.939999999988</v>
      </c>
      <c r="AN52" s="59">
        <f t="shared" si="184"/>
        <v>167256.75265199997</v>
      </c>
      <c r="AO52" s="60">
        <f t="shared" si="185"/>
        <v>49128.419999999984</v>
      </c>
      <c r="AP52" s="59">
        <f t="shared" si="186"/>
        <v>162408.73083599994</v>
      </c>
      <c r="AQ52" s="60">
        <f t="shared" si="187"/>
        <v>47661.899999999987</v>
      </c>
      <c r="AR52" s="59">
        <f t="shared" si="188"/>
        <v>157560.70901999995</v>
      </c>
      <c r="AS52" s="55">
        <f t="shared" si="189"/>
        <v>46195.379999999983</v>
      </c>
      <c r="AT52" s="59">
        <f t="shared" si="190"/>
        <v>152712.68720399996</v>
      </c>
      <c r="AU52" s="60">
        <f t="shared" si="191"/>
        <v>44728.859999999986</v>
      </c>
      <c r="AV52" s="59">
        <f t="shared" si="192"/>
        <v>147864.66538799996</v>
      </c>
      <c r="AW52" s="60">
        <f t="shared" si="193"/>
        <v>43262.339999999982</v>
      </c>
      <c r="AX52" s="59">
        <f t="shared" si="194"/>
        <v>143016.64357199994</v>
      </c>
      <c r="AY52" s="55">
        <f t="shared" si="195"/>
        <v>41795.819999999978</v>
      </c>
      <c r="AZ52" s="59">
        <f t="shared" si="196"/>
        <v>138168.62175599992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6"/>
        <v>0.91</v>
      </c>
      <c r="BH52" s="55">
        <f t="shared" si="286"/>
        <v>0.89</v>
      </c>
      <c r="BI52" s="55">
        <f t="shared" si="286"/>
        <v>0.87</v>
      </c>
      <c r="BJ52" s="55">
        <f t="shared" si="286"/>
        <v>0.85</v>
      </c>
      <c r="BK52" s="55">
        <f t="shared" si="286"/>
        <v>0.83</v>
      </c>
      <c r="BL52" s="55">
        <f t="shared" si="286"/>
        <v>0.80999999999999994</v>
      </c>
      <c r="BM52" s="55">
        <f t="shared" si="286"/>
        <v>0.78999999999999992</v>
      </c>
      <c r="BN52" s="55">
        <f t="shared" si="286"/>
        <v>0.76999999999999991</v>
      </c>
      <c r="BO52" s="55">
        <f t="shared" si="286"/>
        <v>0.74999999999999989</v>
      </c>
      <c r="BP52" s="55">
        <f t="shared" si="286"/>
        <v>0.72999999999999987</v>
      </c>
      <c r="BQ52" s="55">
        <f t="shared" si="286"/>
        <v>0.70999999999999985</v>
      </c>
      <c r="BR52" s="55">
        <f t="shared" si="286"/>
        <v>0.68999999999999984</v>
      </c>
      <c r="BS52" s="55">
        <f t="shared" si="286"/>
        <v>0.66999999999999982</v>
      </c>
      <c r="BT52" s="55">
        <f t="shared" si="286"/>
        <v>0.6499999999999998</v>
      </c>
      <c r="BU52" s="55">
        <f t="shared" si="286"/>
        <v>0.62999999999999978</v>
      </c>
      <c r="BV52" s="55">
        <f t="shared" si="286"/>
        <v>0.60999999999999976</v>
      </c>
      <c r="BW52" s="55">
        <f t="shared" si="286"/>
        <v>0.58999999999999975</v>
      </c>
      <c r="BX52" s="55">
        <f t="shared" si="286"/>
        <v>0.56999999999999973</v>
      </c>
      <c r="BZ52" s="55">
        <f t="shared" si="88"/>
        <v>66726.66</v>
      </c>
      <c r="CA52" s="55">
        <f t="shared" si="89"/>
        <v>66726.66</v>
      </c>
      <c r="CB52" s="59">
        <f t="shared" si="197"/>
        <v>220584.99262800001</v>
      </c>
      <c r="CC52" s="55">
        <f t="shared" si="198"/>
        <v>64724.860200000003</v>
      </c>
      <c r="CD52" s="59">
        <f t="shared" si="199"/>
        <v>213967.44284916003</v>
      </c>
      <c r="CE52" s="55">
        <f t="shared" si="200"/>
        <v>63390.326999999997</v>
      </c>
      <c r="CF52" s="59">
        <f t="shared" si="201"/>
        <v>209555.74299659999</v>
      </c>
      <c r="CG52" s="55">
        <f t="shared" si="202"/>
        <v>62055.793800000007</v>
      </c>
      <c r="CH52" s="59">
        <f t="shared" si="203"/>
        <v>205144.04314404001</v>
      </c>
      <c r="CI52" s="57">
        <f t="shared" si="204"/>
        <v>60721.260600000009</v>
      </c>
      <c r="CJ52" s="59">
        <f t="shared" si="205"/>
        <v>200732.34329148004</v>
      </c>
      <c r="CK52" s="55">
        <f t="shared" si="206"/>
        <v>59386.727400000003</v>
      </c>
      <c r="CL52" s="59">
        <f t="shared" si="207"/>
        <v>196320.64343892003</v>
      </c>
      <c r="CM52" s="57">
        <f t="shared" si="208"/>
        <v>58052.194200000005</v>
      </c>
      <c r="CN52" s="59">
        <f t="shared" si="209"/>
        <v>191908.94358636002</v>
      </c>
      <c r="CO52" s="60">
        <f t="shared" si="210"/>
        <v>56717.661</v>
      </c>
      <c r="CP52" s="59">
        <f t="shared" si="211"/>
        <v>187497.24373380002</v>
      </c>
      <c r="CQ52" s="57">
        <f t="shared" si="212"/>
        <v>55383.127800000002</v>
      </c>
      <c r="CR52" s="59">
        <f t="shared" si="213"/>
        <v>183085.54388124001</v>
      </c>
      <c r="CS52" s="55">
        <f t="shared" si="214"/>
        <v>54048.594599999997</v>
      </c>
      <c r="CT52" s="59">
        <f t="shared" si="215"/>
        <v>178673.84402868</v>
      </c>
      <c r="CU52" s="60">
        <f t="shared" si="216"/>
        <v>52714.061399999999</v>
      </c>
      <c r="CV52" s="59">
        <f t="shared" si="217"/>
        <v>174262.14417612</v>
      </c>
      <c r="CW52" s="60">
        <f t="shared" si="218"/>
        <v>51379.528199999993</v>
      </c>
      <c r="CX52" s="59">
        <f t="shared" si="219"/>
        <v>169850.44432355999</v>
      </c>
      <c r="CY52" s="60">
        <f t="shared" si="220"/>
        <v>50044.994999999995</v>
      </c>
      <c r="CZ52" s="59">
        <f t="shared" si="221"/>
        <v>165438.74447099998</v>
      </c>
      <c r="DA52" s="55">
        <f t="shared" si="222"/>
        <v>48710.461799999997</v>
      </c>
      <c r="DB52" s="59">
        <f t="shared" si="223"/>
        <v>161027.04461844001</v>
      </c>
      <c r="DC52" s="60">
        <f t="shared" si="224"/>
        <v>47375.928599999992</v>
      </c>
      <c r="DD52" s="59">
        <f t="shared" si="225"/>
        <v>156615.34476587997</v>
      </c>
      <c r="DE52" s="60">
        <f t="shared" si="226"/>
        <v>46041.395399999994</v>
      </c>
      <c r="DF52" s="59">
        <f t="shared" si="227"/>
        <v>152203.64491331999</v>
      </c>
      <c r="DG52" s="60">
        <f t="shared" si="228"/>
        <v>44706.862199999989</v>
      </c>
      <c r="DH52" s="59">
        <f t="shared" si="229"/>
        <v>147791.94506075996</v>
      </c>
      <c r="DI52" s="60">
        <f t="shared" si="230"/>
        <v>43372.328999999991</v>
      </c>
      <c r="DJ52" s="59">
        <f t="shared" si="231"/>
        <v>143380.24520819998</v>
      </c>
      <c r="DK52" s="55">
        <f t="shared" si="232"/>
        <v>42037.795799999985</v>
      </c>
      <c r="DL52" s="59">
        <f t="shared" si="233"/>
        <v>138968.54535563994</v>
      </c>
      <c r="DM52" s="60">
        <f t="shared" si="234"/>
        <v>40703.262599999987</v>
      </c>
      <c r="DN52" s="59">
        <f t="shared" si="235"/>
        <v>134556.84550307997</v>
      </c>
      <c r="DO52" s="60">
        <f t="shared" si="236"/>
        <v>39368.729399999982</v>
      </c>
      <c r="DP52" s="59">
        <f t="shared" si="237"/>
        <v>130145.14565051995</v>
      </c>
      <c r="DQ52" s="55">
        <f t="shared" si="238"/>
        <v>38034.196199999984</v>
      </c>
      <c r="DR52" s="59">
        <f t="shared" si="239"/>
        <v>125733.44579795995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9"/>
        <v>0.91</v>
      </c>
      <c r="DZ52" s="55">
        <f t="shared" si="289"/>
        <v>0.89</v>
      </c>
      <c r="EA52" s="55">
        <f t="shared" si="289"/>
        <v>0.87</v>
      </c>
      <c r="EB52" s="55">
        <f t="shared" si="289"/>
        <v>0.85</v>
      </c>
      <c r="EC52" s="55">
        <f t="shared" si="289"/>
        <v>0.83</v>
      </c>
      <c r="ED52" s="55">
        <f t="shared" si="289"/>
        <v>0.80999999999999994</v>
      </c>
      <c r="EE52" s="55">
        <f t="shared" si="289"/>
        <v>0.78999999999999992</v>
      </c>
      <c r="EF52" s="55">
        <f t="shared" si="289"/>
        <v>0.76999999999999991</v>
      </c>
      <c r="EG52" s="55">
        <f t="shared" si="289"/>
        <v>0.74999999999999989</v>
      </c>
      <c r="EH52" s="55">
        <f t="shared" si="289"/>
        <v>0.72999999999999987</v>
      </c>
      <c r="EI52" s="55">
        <f t="shared" si="289"/>
        <v>0.70999999999999985</v>
      </c>
      <c r="EJ52" s="55">
        <f t="shared" si="289"/>
        <v>0.68999999999999984</v>
      </c>
      <c r="EK52" s="55">
        <f t="shared" si="289"/>
        <v>0.66999999999999982</v>
      </c>
      <c r="EL52" s="55">
        <f t="shared" si="289"/>
        <v>0.6499999999999998</v>
      </c>
      <c r="EM52" s="55">
        <f t="shared" si="289"/>
        <v>0.62999999999999978</v>
      </c>
      <c r="EN52" s="55">
        <f t="shared" si="289"/>
        <v>0.60999999999999976</v>
      </c>
      <c r="EO52" s="55">
        <f t="shared" si="289"/>
        <v>0.58999999999999975</v>
      </c>
      <c r="EP52" s="55">
        <f t="shared" si="289"/>
        <v>0.56999999999999973</v>
      </c>
      <c r="ER52" s="55">
        <f t="shared" si="142"/>
        <v>60721.260600000009</v>
      </c>
      <c r="ES52" s="55">
        <f t="shared" si="116"/>
        <v>60721.260600000009</v>
      </c>
      <c r="ET52" s="59">
        <f t="shared" si="241"/>
        <v>200732.34329148004</v>
      </c>
      <c r="EU52" s="55">
        <f t="shared" si="242"/>
        <v>58899.622782000006</v>
      </c>
      <c r="EV52" s="59">
        <f t="shared" si="243"/>
        <v>194710.37299273562</v>
      </c>
      <c r="EW52" s="55">
        <f t="shared" si="244"/>
        <v>57685.197570000004</v>
      </c>
      <c r="EX52" s="59">
        <f t="shared" si="245"/>
        <v>190695.72612690603</v>
      </c>
      <c r="EY52" s="55">
        <f t="shared" si="246"/>
        <v>56470.772358000009</v>
      </c>
      <c r="EZ52" s="59">
        <f t="shared" si="247"/>
        <v>186681.07926107643</v>
      </c>
      <c r="FA52" s="57">
        <f t="shared" si="248"/>
        <v>55256.347146000007</v>
      </c>
      <c r="FB52" s="59">
        <f t="shared" si="249"/>
        <v>182666.43239524684</v>
      </c>
      <c r="FC52" s="55">
        <f t="shared" si="250"/>
        <v>54041.921934000005</v>
      </c>
      <c r="FD52" s="59">
        <f t="shared" si="251"/>
        <v>178651.78552941722</v>
      </c>
      <c r="FE52" s="57">
        <f t="shared" si="252"/>
        <v>52827.496722000011</v>
      </c>
      <c r="FF52" s="59">
        <f t="shared" si="253"/>
        <v>174637.13866358763</v>
      </c>
      <c r="FG52" s="60">
        <f t="shared" si="254"/>
        <v>51613.071510000009</v>
      </c>
      <c r="FH52" s="59">
        <f t="shared" si="255"/>
        <v>170622.49179775803</v>
      </c>
      <c r="FI52" s="57">
        <f t="shared" si="256"/>
        <v>50398.646298000007</v>
      </c>
      <c r="FJ52" s="59">
        <f t="shared" si="257"/>
        <v>166607.84493192844</v>
      </c>
      <c r="FK52" s="55">
        <f t="shared" si="258"/>
        <v>49184.221086000005</v>
      </c>
      <c r="FL52" s="59">
        <f t="shared" si="259"/>
        <v>162593.19806609882</v>
      </c>
      <c r="FM52" s="60">
        <f t="shared" si="260"/>
        <v>47969.795874000003</v>
      </c>
      <c r="FN52" s="59">
        <f t="shared" si="261"/>
        <v>158578.55120026923</v>
      </c>
      <c r="FO52" s="60">
        <f t="shared" si="262"/>
        <v>46755.370662000001</v>
      </c>
      <c r="FP52" s="59">
        <f t="shared" si="263"/>
        <v>154563.90433443961</v>
      </c>
      <c r="FQ52" s="60">
        <f t="shared" si="264"/>
        <v>45540.945449999999</v>
      </c>
      <c r="FR52" s="59">
        <f t="shared" si="265"/>
        <v>150549.25746861001</v>
      </c>
      <c r="FS52" s="55">
        <f t="shared" si="266"/>
        <v>44326.520237999997</v>
      </c>
      <c r="FT52" s="59">
        <f t="shared" si="267"/>
        <v>146534.61060278039</v>
      </c>
      <c r="FU52" s="60">
        <f t="shared" si="268"/>
        <v>43112.095025999995</v>
      </c>
      <c r="FV52" s="59">
        <f t="shared" si="269"/>
        <v>142519.9637369508</v>
      </c>
      <c r="FW52" s="60">
        <f t="shared" si="270"/>
        <v>41897.669813999993</v>
      </c>
      <c r="FX52" s="59">
        <f t="shared" si="271"/>
        <v>138505.31687112118</v>
      </c>
      <c r="FY52" s="60">
        <f t="shared" si="272"/>
        <v>40683.244601999992</v>
      </c>
      <c r="FZ52" s="59">
        <f t="shared" si="273"/>
        <v>134490.67000529158</v>
      </c>
      <c r="GA52" s="60">
        <f t="shared" si="274"/>
        <v>39468.819389999997</v>
      </c>
      <c r="GB52" s="59">
        <f t="shared" si="275"/>
        <v>130476.02313946199</v>
      </c>
      <c r="GC52" s="55">
        <f t="shared" si="276"/>
        <v>38254.394177999995</v>
      </c>
      <c r="GD52" s="59">
        <f t="shared" si="277"/>
        <v>126461.37627363238</v>
      </c>
      <c r="GE52" s="60">
        <f t="shared" si="278"/>
        <v>37039.968965999993</v>
      </c>
      <c r="GF52" s="59">
        <f t="shared" si="279"/>
        <v>122446.72940780278</v>
      </c>
      <c r="GG52" s="60">
        <f t="shared" si="280"/>
        <v>35825.543753999991</v>
      </c>
      <c r="GH52" s="59">
        <f t="shared" si="281"/>
        <v>118432.08254197317</v>
      </c>
      <c r="GI52" s="55">
        <f t="shared" si="282"/>
        <v>34611.118541999989</v>
      </c>
      <c r="GJ52" s="59">
        <f t="shared" si="283"/>
        <v>114417.43567614356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90"/>
        <v>0.91</v>
      </c>
      <c r="GR52" s="55">
        <f t="shared" si="290"/>
        <v>0.89</v>
      </c>
      <c r="GS52" s="55">
        <f t="shared" si="290"/>
        <v>0.87</v>
      </c>
      <c r="GT52" s="55">
        <f t="shared" si="290"/>
        <v>0.85</v>
      </c>
      <c r="GU52" s="55">
        <f t="shared" si="290"/>
        <v>0.83</v>
      </c>
      <c r="GV52" s="55">
        <f t="shared" si="290"/>
        <v>0.80999999999999994</v>
      </c>
      <c r="GW52" s="55">
        <f t="shared" si="290"/>
        <v>0.78999999999999992</v>
      </c>
      <c r="GX52" s="55">
        <f t="shared" si="290"/>
        <v>0.76999999999999991</v>
      </c>
      <c r="GY52" s="55">
        <f t="shared" si="290"/>
        <v>0.74999999999999989</v>
      </c>
      <c r="GZ52" s="55">
        <f t="shared" si="290"/>
        <v>0.72999999999999987</v>
      </c>
      <c r="HA52" s="55">
        <f t="shared" si="290"/>
        <v>0.70999999999999985</v>
      </c>
      <c r="HB52" s="55">
        <f t="shared" si="290"/>
        <v>0.68999999999999984</v>
      </c>
      <c r="HC52" s="55">
        <f t="shared" si="290"/>
        <v>0.66999999999999982</v>
      </c>
      <c r="HD52" s="55">
        <f t="shared" si="290"/>
        <v>0.6499999999999998</v>
      </c>
      <c r="HE52" s="55">
        <f t="shared" si="290"/>
        <v>0.62999999999999978</v>
      </c>
      <c r="HF52" s="55">
        <f t="shared" si="290"/>
        <v>0.60999999999999976</v>
      </c>
      <c r="HG52" s="55">
        <f t="shared" si="290"/>
        <v>0.58999999999999975</v>
      </c>
      <c r="HH52" s="55">
        <f t="shared" si="290"/>
        <v>0.56999999999999973</v>
      </c>
    </row>
    <row r="53" spans="1:216" ht="17.25" thickBot="1" x14ac:dyDescent="0.35">
      <c r="A53" s="2">
        <v>20</v>
      </c>
      <c r="C53" s="38" t="s">
        <v>149</v>
      </c>
      <c r="D53" s="43">
        <f>TRUNC(263707,-1)</f>
        <v>263700</v>
      </c>
      <c r="E53" s="72">
        <f t="shared" si="153"/>
        <v>871730</v>
      </c>
      <c r="H53" s="55">
        <f t="shared" si="154"/>
        <v>290070</v>
      </c>
      <c r="I53" s="55">
        <f t="shared" si="62"/>
        <v>290070</v>
      </c>
      <c r="J53" s="59">
        <f t="shared" si="63"/>
        <v>958913.40600000008</v>
      </c>
      <c r="K53" s="55">
        <f t="shared" si="155"/>
        <v>281367.89999999997</v>
      </c>
      <c r="L53" s="59">
        <f t="shared" si="156"/>
        <v>930146.00381999987</v>
      </c>
      <c r="M53" s="55">
        <f t="shared" si="157"/>
        <v>275566.5</v>
      </c>
      <c r="N53" s="59">
        <f t="shared" si="158"/>
        <v>910967.73570000008</v>
      </c>
      <c r="O53" s="55">
        <f t="shared" si="159"/>
        <v>269765.10000000003</v>
      </c>
      <c r="P53" s="59">
        <f t="shared" si="160"/>
        <v>891789.46758000017</v>
      </c>
      <c r="Q53" s="57">
        <f t="shared" si="161"/>
        <v>263963.7</v>
      </c>
      <c r="R53" s="59">
        <f t="shared" si="162"/>
        <v>872611.19946000003</v>
      </c>
      <c r="S53" s="55">
        <f t="shared" si="163"/>
        <v>258162.30000000002</v>
      </c>
      <c r="T53" s="59">
        <f t="shared" si="164"/>
        <v>853432.93134000013</v>
      </c>
      <c r="U53" s="57">
        <f t="shared" si="165"/>
        <v>252360.9</v>
      </c>
      <c r="V53" s="59">
        <f t="shared" si="166"/>
        <v>834254.66321999999</v>
      </c>
      <c r="W53" s="60">
        <f t="shared" si="167"/>
        <v>246559.5</v>
      </c>
      <c r="X53" s="59">
        <f t="shared" si="168"/>
        <v>815076.39509999997</v>
      </c>
      <c r="Y53" s="57">
        <f t="shared" si="169"/>
        <v>240758.09999999998</v>
      </c>
      <c r="Z53" s="59">
        <f t="shared" si="170"/>
        <v>795898.12697999994</v>
      </c>
      <c r="AA53" s="55">
        <f t="shared" si="171"/>
        <v>234956.69999999998</v>
      </c>
      <c r="AB53" s="59">
        <f t="shared" si="172"/>
        <v>776719.85885999992</v>
      </c>
      <c r="AC53" s="60">
        <f t="shared" si="173"/>
        <v>229155.3</v>
      </c>
      <c r="AD53" s="59">
        <f t="shared" si="174"/>
        <v>757541.59074000001</v>
      </c>
      <c r="AE53" s="60">
        <f t="shared" si="175"/>
        <v>223353.89999999997</v>
      </c>
      <c r="AF53" s="59">
        <f t="shared" si="176"/>
        <v>738363.32261999988</v>
      </c>
      <c r="AG53" s="60">
        <f t="shared" si="177"/>
        <v>217552.49999999997</v>
      </c>
      <c r="AH53" s="59">
        <f t="shared" si="178"/>
        <v>719185.05449999997</v>
      </c>
      <c r="AI53" s="55">
        <f t="shared" si="179"/>
        <v>211751.09999999998</v>
      </c>
      <c r="AJ53" s="59">
        <f t="shared" si="180"/>
        <v>700006.78637999995</v>
      </c>
      <c r="AK53" s="60">
        <f t="shared" si="181"/>
        <v>205949.69999999995</v>
      </c>
      <c r="AL53" s="59">
        <f t="shared" si="182"/>
        <v>680828.51825999981</v>
      </c>
      <c r="AM53" s="60">
        <f t="shared" si="183"/>
        <v>200148.29999999996</v>
      </c>
      <c r="AN53" s="59">
        <f t="shared" si="184"/>
        <v>661650.2501399999</v>
      </c>
      <c r="AO53" s="60">
        <f t="shared" si="185"/>
        <v>194346.89999999994</v>
      </c>
      <c r="AP53" s="59">
        <f t="shared" si="186"/>
        <v>642471.98201999976</v>
      </c>
      <c r="AQ53" s="60">
        <f t="shared" si="187"/>
        <v>188545.49999999994</v>
      </c>
      <c r="AR53" s="59">
        <f t="shared" si="188"/>
        <v>623293.71389999986</v>
      </c>
      <c r="AS53" s="55">
        <f t="shared" si="189"/>
        <v>182744.09999999995</v>
      </c>
      <c r="AT53" s="59">
        <f t="shared" si="190"/>
        <v>604115.44577999983</v>
      </c>
      <c r="AU53" s="60">
        <f t="shared" si="191"/>
        <v>176942.69999999992</v>
      </c>
      <c r="AV53" s="59">
        <f t="shared" si="192"/>
        <v>584937.17765999981</v>
      </c>
      <c r="AW53" s="60">
        <f t="shared" si="193"/>
        <v>171141.29999999993</v>
      </c>
      <c r="AX53" s="59">
        <f t="shared" si="194"/>
        <v>565758.90953999979</v>
      </c>
      <c r="AY53" s="55">
        <f t="shared" si="195"/>
        <v>165339.89999999991</v>
      </c>
      <c r="AZ53" s="59">
        <f t="shared" si="196"/>
        <v>546580.64141999965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6"/>
        <v>0.91</v>
      </c>
      <c r="BH53" s="55">
        <f t="shared" si="286"/>
        <v>0.89</v>
      </c>
      <c r="BI53" s="55">
        <f t="shared" si="286"/>
        <v>0.87</v>
      </c>
      <c r="BJ53" s="55">
        <f t="shared" si="286"/>
        <v>0.85</v>
      </c>
      <c r="BK53" s="55">
        <f t="shared" si="286"/>
        <v>0.83</v>
      </c>
      <c r="BL53" s="55">
        <f t="shared" si="286"/>
        <v>0.80999999999999994</v>
      </c>
      <c r="BM53" s="55">
        <f t="shared" si="286"/>
        <v>0.78999999999999992</v>
      </c>
      <c r="BN53" s="55">
        <f t="shared" si="286"/>
        <v>0.76999999999999991</v>
      </c>
      <c r="BO53" s="55">
        <f t="shared" si="286"/>
        <v>0.74999999999999989</v>
      </c>
      <c r="BP53" s="55">
        <f t="shared" si="286"/>
        <v>0.72999999999999987</v>
      </c>
      <c r="BQ53" s="55">
        <f t="shared" si="286"/>
        <v>0.70999999999999985</v>
      </c>
      <c r="BR53" s="55">
        <f t="shared" si="286"/>
        <v>0.68999999999999984</v>
      </c>
      <c r="BS53" s="55">
        <f t="shared" si="286"/>
        <v>0.66999999999999982</v>
      </c>
      <c r="BT53" s="55">
        <f t="shared" si="286"/>
        <v>0.6499999999999998</v>
      </c>
      <c r="BU53" s="55">
        <f t="shared" si="286"/>
        <v>0.62999999999999978</v>
      </c>
      <c r="BV53" s="55">
        <f t="shared" si="286"/>
        <v>0.60999999999999976</v>
      </c>
      <c r="BW53" s="55">
        <f t="shared" si="286"/>
        <v>0.58999999999999975</v>
      </c>
      <c r="BX53" s="55">
        <f t="shared" si="286"/>
        <v>0.56999999999999973</v>
      </c>
      <c r="BZ53" s="55">
        <f t="shared" si="88"/>
        <v>263963.7</v>
      </c>
      <c r="CA53" s="55">
        <f t="shared" si="89"/>
        <v>263963.7</v>
      </c>
      <c r="CB53" s="59">
        <f t="shared" si="197"/>
        <v>872611.19946000003</v>
      </c>
      <c r="CC53" s="55">
        <f t="shared" si="198"/>
        <v>256044.78899999999</v>
      </c>
      <c r="CD53" s="59">
        <f t="shared" si="199"/>
        <v>846432.86347620003</v>
      </c>
      <c r="CE53" s="55">
        <f t="shared" si="200"/>
        <v>250765.51499999998</v>
      </c>
      <c r="CF53" s="59">
        <f t="shared" si="201"/>
        <v>828980.63948699995</v>
      </c>
      <c r="CG53" s="55">
        <f t="shared" si="202"/>
        <v>245486.24100000004</v>
      </c>
      <c r="CH53" s="59">
        <f t="shared" si="203"/>
        <v>811528.4154978001</v>
      </c>
      <c r="CI53" s="57">
        <f t="shared" si="204"/>
        <v>240206.96700000003</v>
      </c>
      <c r="CJ53" s="59">
        <f t="shared" si="205"/>
        <v>794076.19150860014</v>
      </c>
      <c r="CK53" s="55">
        <f t="shared" si="206"/>
        <v>234927.69300000003</v>
      </c>
      <c r="CL53" s="59">
        <f t="shared" si="207"/>
        <v>776623.96751940006</v>
      </c>
      <c r="CM53" s="57">
        <f t="shared" si="208"/>
        <v>229648.41899999999</v>
      </c>
      <c r="CN53" s="59">
        <f t="shared" si="209"/>
        <v>759171.74353019998</v>
      </c>
      <c r="CO53" s="60">
        <f t="shared" si="210"/>
        <v>224369.14499999999</v>
      </c>
      <c r="CP53" s="59">
        <f t="shared" si="211"/>
        <v>741719.51954100002</v>
      </c>
      <c r="CQ53" s="57">
        <f t="shared" si="212"/>
        <v>219089.87099999998</v>
      </c>
      <c r="CR53" s="59">
        <f t="shared" si="213"/>
        <v>724267.29555179994</v>
      </c>
      <c r="CS53" s="55">
        <f t="shared" si="214"/>
        <v>213810.59699999998</v>
      </c>
      <c r="CT53" s="59">
        <f t="shared" si="215"/>
        <v>706815.07156259997</v>
      </c>
      <c r="CU53" s="60">
        <f t="shared" si="216"/>
        <v>208531.32299999997</v>
      </c>
      <c r="CV53" s="59">
        <f t="shared" si="217"/>
        <v>689362.84757339989</v>
      </c>
      <c r="CW53" s="60">
        <f t="shared" si="218"/>
        <v>203252.04899999997</v>
      </c>
      <c r="CX53" s="59">
        <f t="shared" si="219"/>
        <v>671910.62358419993</v>
      </c>
      <c r="CY53" s="60">
        <f t="shared" si="220"/>
        <v>197972.77499999997</v>
      </c>
      <c r="CZ53" s="59">
        <f t="shared" si="221"/>
        <v>654458.39959499985</v>
      </c>
      <c r="DA53" s="55">
        <f t="shared" si="222"/>
        <v>192693.50099999996</v>
      </c>
      <c r="DB53" s="59">
        <f t="shared" si="223"/>
        <v>637006.17560579989</v>
      </c>
      <c r="DC53" s="60">
        <f t="shared" si="224"/>
        <v>187414.22699999996</v>
      </c>
      <c r="DD53" s="59">
        <f t="shared" si="225"/>
        <v>619553.95161659992</v>
      </c>
      <c r="DE53" s="60">
        <f t="shared" si="226"/>
        <v>182134.95299999995</v>
      </c>
      <c r="DF53" s="59">
        <f t="shared" si="227"/>
        <v>602101.72762739984</v>
      </c>
      <c r="DG53" s="60">
        <f t="shared" si="228"/>
        <v>176855.67899999995</v>
      </c>
      <c r="DH53" s="59">
        <f t="shared" si="229"/>
        <v>584649.50363819988</v>
      </c>
      <c r="DI53" s="60">
        <f t="shared" si="230"/>
        <v>171576.40499999994</v>
      </c>
      <c r="DJ53" s="59">
        <f t="shared" si="231"/>
        <v>567197.2796489998</v>
      </c>
      <c r="DK53" s="55">
        <f t="shared" si="232"/>
        <v>166297.13099999994</v>
      </c>
      <c r="DL53" s="59">
        <f t="shared" si="233"/>
        <v>549745.05565979984</v>
      </c>
      <c r="DM53" s="60">
        <f t="shared" si="234"/>
        <v>161017.85699999993</v>
      </c>
      <c r="DN53" s="59">
        <f t="shared" si="235"/>
        <v>532292.83167059976</v>
      </c>
      <c r="DO53" s="60">
        <f t="shared" si="236"/>
        <v>155738.58299999993</v>
      </c>
      <c r="DP53" s="59">
        <f t="shared" si="237"/>
        <v>514840.60768139979</v>
      </c>
      <c r="DQ53" s="55">
        <f t="shared" si="238"/>
        <v>150459.30899999992</v>
      </c>
      <c r="DR53" s="59">
        <f t="shared" si="239"/>
        <v>497388.38369219977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9"/>
        <v>0.91</v>
      </c>
      <c r="DZ53" s="55">
        <f t="shared" si="289"/>
        <v>0.89</v>
      </c>
      <c r="EA53" s="55">
        <f t="shared" si="289"/>
        <v>0.87</v>
      </c>
      <c r="EB53" s="55">
        <f t="shared" si="289"/>
        <v>0.85</v>
      </c>
      <c r="EC53" s="55">
        <f t="shared" si="289"/>
        <v>0.83</v>
      </c>
      <c r="ED53" s="55">
        <f t="shared" si="289"/>
        <v>0.80999999999999994</v>
      </c>
      <c r="EE53" s="55">
        <f t="shared" si="289"/>
        <v>0.78999999999999992</v>
      </c>
      <c r="EF53" s="55">
        <f t="shared" si="289"/>
        <v>0.76999999999999991</v>
      </c>
      <c r="EG53" s="55">
        <f t="shared" si="289"/>
        <v>0.74999999999999989</v>
      </c>
      <c r="EH53" s="55">
        <f t="shared" si="289"/>
        <v>0.72999999999999987</v>
      </c>
      <c r="EI53" s="55">
        <f t="shared" si="289"/>
        <v>0.70999999999999985</v>
      </c>
      <c r="EJ53" s="55">
        <f t="shared" si="289"/>
        <v>0.68999999999999984</v>
      </c>
      <c r="EK53" s="55">
        <f t="shared" si="289"/>
        <v>0.66999999999999982</v>
      </c>
      <c r="EL53" s="55">
        <f t="shared" si="289"/>
        <v>0.6499999999999998</v>
      </c>
      <c r="EM53" s="55">
        <f t="shared" si="289"/>
        <v>0.62999999999999978</v>
      </c>
      <c r="EN53" s="55">
        <f t="shared" si="289"/>
        <v>0.60999999999999976</v>
      </c>
      <c r="EO53" s="55">
        <f t="shared" si="289"/>
        <v>0.58999999999999975</v>
      </c>
      <c r="EP53" s="55">
        <f t="shared" si="289"/>
        <v>0.56999999999999973</v>
      </c>
      <c r="ER53" s="55">
        <f t="shared" si="142"/>
        <v>240206.96700000003</v>
      </c>
      <c r="ES53" s="55">
        <f t="shared" si="116"/>
        <v>240206.96700000003</v>
      </c>
      <c r="ET53" s="59">
        <f t="shared" si="241"/>
        <v>794076.19150860014</v>
      </c>
      <c r="EU53" s="55">
        <f t="shared" si="242"/>
        <v>233000.75799000001</v>
      </c>
      <c r="EV53" s="59">
        <f t="shared" si="243"/>
        <v>770253.90576334205</v>
      </c>
      <c r="EW53" s="55">
        <f t="shared" si="244"/>
        <v>228196.61865000002</v>
      </c>
      <c r="EX53" s="59">
        <f t="shared" si="245"/>
        <v>754372.38193317002</v>
      </c>
      <c r="EY53" s="55">
        <f t="shared" si="246"/>
        <v>223392.47931000005</v>
      </c>
      <c r="EZ53" s="59">
        <f t="shared" si="247"/>
        <v>738490.85810299823</v>
      </c>
      <c r="FA53" s="57">
        <f t="shared" si="248"/>
        <v>218588.33997000003</v>
      </c>
      <c r="FB53" s="59">
        <f t="shared" si="249"/>
        <v>722609.33427282609</v>
      </c>
      <c r="FC53" s="55">
        <f t="shared" si="250"/>
        <v>213784.20063000004</v>
      </c>
      <c r="FD53" s="59">
        <f t="shared" si="251"/>
        <v>706727.81044265418</v>
      </c>
      <c r="FE53" s="57">
        <f t="shared" si="252"/>
        <v>208980.06129000004</v>
      </c>
      <c r="FF53" s="59">
        <f t="shared" si="253"/>
        <v>690846.28661248216</v>
      </c>
      <c r="FG53" s="60">
        <f t="shared" si="254"/>
        <v>204175.92195000002</v>
      </c>
      <c r="FH53" s="59">
        <f t="shared" si="255"/>
        <v>674964.76278231002</v>
      </c>
      <c r="FI53" s="57">
        <f t="shared" si="256"/>
        <v>199371.78261000002</v>
      </c>
      <c r="FJ53" s="59">
        <f t="shared" si="257"/>
        <v>659083.23895213811</v>
      </c>
      <c r="FK53" s="55">
        <f t="shared" si="258"/>
        <v>194567.64327</v>
      </c>
      <c r="FL53" s="59">
        <f t="shared" si="259"/>
        <v>643201.71512196597</v>
      </c>
      <c r="FM53" s="60">
        <f t="shared" si="260"/>
        <v>189763.50393000001</v>
      </c>
      <c r="FN53" s="59">
        <f t="shared" si="261"/>
        <v>627320.19129179406</v>
      </c>
      <c r="FO53" s="60">
        <f t="shared" si="262"/>
        <v>184959.36459000001</v>
      </c>
      <c r="FP53" s="59">
        <f t="shared" si="263"/>
        <v>611438.66746162204</v>
      </c>
      <c r="FQ53" s="60">
        <f t="shared" si="264"/>
        <v>180155.22524999999</v>
      </c>
      <c r="FR53" s="59">
        <f t="shared" si="265"/>
        <v>595557.14363145002</v>
      </c>
      <c r="FS53" s="55">
        <f t="shared" si="266"/>
        <v>175351.08590999999</v>
      </c>
      <c r="FT53" s="59">
        <f t="shared" si="267"/>
        <v>579675.61980127799</v>
      </c>
      <c r="FU53" s="60">
        <f t="shared" si="268"/>
        <v>170546.94657</v>
      </c>
      <c r="FV53" s="59">
        <f t="shared" si="269"/>
        <v>563794.09597110597</v>
      </c>
      <c r="FW53" s="60">
        <f t="shared" si="270"/>
        <v>165742.80722999998</v>
      </c>
      <c r="FX53" s="59">
        <f t="shared" si="271"/>
        <v>547912.57214093395</v>
      </c>
      <c r="FY53" s="60">
        <f t="shared" si="272"/>
        <v>160938.66788999998</v>
      </c>
      <c r="FZ53" s="59">
        <f t="shared" si="273"/>
        <v>532031.04831076192</v>
      </c>
      <c r="GA53" s="60">
        <f t="shared" si="274"/>
        <v>156134.52854999999</v>
      </c>
      <c r="GB53" s="59">
        <f t="shared" si="275"/>
        <v>516149.52448058996</v>
      </c>
      <c r="GC53" s="55">
        <f t="shared" si="276"/>
        <v>151330.38920999996</v>
      </c>
      <c r="GD53" s="59">
        <f t="shared" si="277"/>
        <v>500268.00065041787</v>
      </c>
      <c r="GE53" s="60">
        <f t="shared" si="278"/>
        <v>146526.24986999997</v>
      </c>
      <c r="GF53" s="59">
        <f t="shared" si="279"/>
        <v>484386.47682024591</v>
      </c>
      <c r="GG53" s="60">
        <f t="shared" si="280"/>
        <v>141722.11052999995</v>
      </c>
      <c r="GH53" s="59">
        <f t="shared" si="281"/>
        <v>468504.95299007383</v>
      </c>
      <c r="GI53" s="55">
        <f t="shared" si="282"/>
        <v>136917.97118999995</v>
      </c>
      <c r="GJ53" s="59">
        <f t="shared" si="283"/>
        <v>452623.42915990186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90"/>
        <v>0.91</v>
      </c>
      <c r="GR53" s="55">
        <f t="shared" si="290"/>
        <v>0.89</v>
      </c>
      <c r="GS53" s="55">
        <f t="shared" si="290"/>
        <v>0.87</v>
      </c>
      <c r="GT53" s="55">
        <f t="shared" si="290"/>
        <v>0.85</v>
      </c>
      <c r="GU53" s="55">
        <f t="shared" si="290"/>
        <v>0.83</v>
      </c>
      <c r="GV53" s="55">
        <f t="shared" si="290"/>
        <v>0.80999999999999994</v>
      </c>
      <c r="GW53" s="55">
        <f t="shared" si="290"/>
        <v>0.78999999999999992</v>
      </c>
      <c r="GX53" s="55">
        <f t="shared" si="290"/>
        <v>0.76999999999999991</v>
      </c>
      <c r="GY53" s="55">
        <f t="shared" si="290"/>
        <v>0.74999999999999989</v>
      </c>
      <c r="GZ53" s="55">
        <f t="shared" si="290"/>
        <v>0.72999999999999987</v>
      </c>
      <c r="HA53" s="55">
        <f t="shared" si="290"/>
        <v>0.70999999999999985</v>
      </c>
      <c r="HB53" s="55">
        <f t="shared" si="290"/>
        <v>0.68999999999999984</v>
      </c>
      <c r="HC53" s="55">
        <f t="shared" si="290"/>
        <v>0.66999999999999982</v>
      </c>
      <c r="HD53" s="55">
        <f t="shared" si="290"/>
        <v>0.6499999999999998</v>
      </c>
      <c r="HE53" s="55">
        <f t="shared" si="290"/>
        <v>0.62999999999999978</v>
      </c>
      <c r="HF53" s="55">
        <f t="shared" si="290"/>
        <v>0.60999999999999976</v>
      </c>
      <c r="HG53" s="55">
        <f t="shared" si="290"/>
        <v>0.58999999999999975</v>
      </c>
      <c r="HH53" s="55">
        <f t="shared" si="290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855000</v>
      </c>
      <c r="E54" s="39">
        <f>SUM(E34:E53)</f>
        <v>2826390</v>
      </c>
      <c r="H54" s="55">
        <f t="shared" si="154"/>
        <v>940500.00000000012</v>
      </c>
      <c r="I54" s="55">
        <f t="shared" si="62"/>
        <v>940500.00000000012</v>
      </c>
      <c r="J54" s="59">
        <f t="shared" si="63"/>
        <v>3109104.9000000004</v>
      </c>
      <c r="K54" s="55">
        <f t="shared" si="155"/>
        <v>912285.00000000012</v>
      </c>
      <c r="L54" s="59">
        <f t="shared" si="156"/>
        <v>3015831.7530000005</v>
      </c>
      <c r="M54" s="55">
        <f t="shared" si="157"/>
        <v>893475.00000000012</v>
      </c>
      <c r="N54" s="59">
        <f t="shared" si="158"/>
        <v>2953649.6550000003</v>
      </c>
      <c r="O54" s="55">
        <f t="shared" si="159"/>
        <v>874665.00000000012</v>
      </c>
      <c r="P54" s="59">
        <f t="shared" si="160"/>
        <v>2891467.5570000005</v>
      </c>
      <c r="Q54" s="57">
        <f t="shared" si="161"/>
        <v>855855.00000000012</v>
      </c>
      <c r="R54" s="59">
        <f t="shared" si="162"/>
        <v>2829285.4590000003</v>
      </c>
      <c r="S54" s="55">
        <f t="shared" si="163"/>
        <v>837045.00000000012</v>
      </c>
      <c r="T54" s="59">
        <f t="shared" si="164"/>
        <v>2767103.3610000005</v>
      </c>
      <c r="U54" s="57">
        <f t="shared" si="165"/>
        <v>818235.00000000012</v>
      </c>
      <c r="V54" s="59">
        <f t="shared" si="166"/>
        <v>2704921.2630000003</v>
      </c>
      <c r="W54" s="60">
        <f t="shared" si="167"/>
        <v>799425.00000000012</v>
      </c>
      <c r="X54" s="59">
        <f t="shared" si="168"/>
        <v>2642739.1650000005</v>
      </c>
      <c r="Y54" s="57">
        <f t="shared" si="169"/>
        <v>780615.00000000012</v>
      </c>
      <c r="Z54" s="59">
        <f t="shared" si="170"/>
        <v>2580557.0670000003</v>
      </c>
      <c r="AA54" s="55">
        <f t="shared" si="171"/>
        <v>761805</v>
      </c>
      <c r="AB54" s="59">
        <f t="shared" si="172"/>
        <v>2518374.969</v>
      </c>
      <c r="AC54" s="60">
        <f t="shared" si="173"/>
        <v>742995</v>
      </c>
      <c r="AD54" s="59">
        <f t="shared" si="174"/>
        <v>2456192.8710000003</v>
      </c>
      <c r="AE54" s="60">
        <f t="shared" si="175"/>
        <v>724185</v>
      </c>
      <c r="AF54" s="59">
        <f t="shared" si="176"/>
        <v>2394010.773</v>
      </c>
      <c r="AG54" s="60">
        <f t="shared" si="177"/>
        <v>705375</v>
      </c>
      <c r="AH54" s="59">
        <f t="shared" si="178"/>
        <v>2331828.6750000003</v>
      </c>
      <c r="AI54" s="55">
        <f t="shared" si="179"/>
        <v>686565</v>
      </c>
      <c r="AJ54" s="59">
        <f t="shared" si="180"/>
        <v>2269646.577</v>
      </c>
      <c r="AK54" s="60">
        <f t="shared" si="181"/>
        <v>667755</v>
      </c>
      <c r="AL54" s="59">
        <f t="shared" si="182"/>
        <v>2207464.4789999998</v>
      </c>
      <c r="AM54" s="60">
        <f t="shared" si="183"/>
        <v>648944.99999999988</v>
      </c>
      <c r="AN54" s="59">
        <f t="shared" si="184"/>
        <v>2145282.3809999996</v>
      </c>
      <c r="AO54" s="60">
        <f t="shared" si="185"/>
        <v>630134.99999999988</v>
      </c>
      <c r="AP54" s="59">
        <f t="shared" si="186"/>
        <v>2083100.2829999996</v>
      </c>
      <c r="AQ54" s="60">
        <f t="shared" si="187"/>
        <v>611324.99999999988</v>
      </c>
      <c r="AR54" s="59">
        <f t="shared" si="188"/>
        <v>2020918.1849999996</v>
      </c>
      <c r="AS54" s="55">
        <f t="shared" si="189"/>
        <v>592514.99999999988</v>
      </c>
      <c r="AT54" s="59">
        <f t="shared" si="190"/>
        <v>1958736.0869999996</v>
      </c>
      <c r="AU54" s="60">
        <f t="shared" si="191"/>
        <v>573704.99999999988</v>
      </c>
      <c r="AV54" s="59">
        <f t="shared" si="192"/>
        <v>1896553.9889999996</v>
      </c>
      <c r="AW54" s="60">
        <f t="shared" si="193"/>
        <v>554894.99999999988</v>
      </c>
      <c r="AX54" s="59">
        <f t="shared" si="194"/>
        <v>1834371.8909999996</v>
      </c>
      <c r="AY54" s="55">
        <f t="shared" si="195"/>
        <v>536084.99999999977</v>
      </c>
      <c r="AZ54" s="59">
        <f t="shared" si="196"/>
        <v>1772189.7929999994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6"/>
        <v>0.91</v>
      </c>
      <c r="BH54" s="55">
        <f t="shared" si="286"/>
        <v>0.89</v>
      </c>
      <c r="BI54" s="55">
        <f t="shared" si="286"/>
        <v>0.87</v>
      </c>
      <c r="BJ54" s="55">
        <f t="shared" si="286"/>
        <v>0.85</v>
      </c>
      <c r="BK54" s="55">
        <f t="shared" si="286"/>
        <v>0.83</v>
      </c>
      <c r="BL54" s="55">
        <f t="shared" si="286"/>
        <v>0.80999999999999994</v>
      </c>
      <c r="BM54" s="55">
        <f t="shared" si="286"/>
        <v>0.78999999999999992</v>
      </c>
      <c r="BN54" s="55">
        <f t="shared" si="286"/>
        <v>0.76999999999999991</v>
      </c>
      <c r="BO54" s="55">
        <f t="shared" si="286"/>
        <v>0.74999999999999989</v>
      </c>
      <c r="BP54" s="55">
        <f t="shared" si="286"/>
        <v>0.72999999999999987</v>
      </c>
      <c r="BQ54" s="55">
        <f t="shared" si="286"/>
        <v>0.70999999999999985</v>
      </c>
      <c r="BR54" s="55">
        <f t="shared" si="286"/>
        <v>0.68999999999999984</v>
      </c>
      <c r="BS54" s="55">
        <f t="shared" si="286"/>
        <v>0.66999999999999982</v>
      </c>
      <c r="BT54" s="55">
        <f t="shared" si="286"/>
        <v>0.6499999999999998</v>
      </c>
      <c r="BU54" s="55">
        <f t="shared" si="286"/>
        <v>0.62999999999999978</v>
      </c>
      <c r="BV54" s="55">
        <f t="shared" si="286"/>
        <v>0.60999999999999976</v>
      </c>
      <c r="BW54" s="55">
        <f t="shared" si="286"/>
        <v>0.58999999999999975</v>
      </c>
      <c r="BX54" s="55">
        <f t="shared" si="286"/>
        <v>0.56999999999999973</v>
      </c>
      <c r="BZ54" s="55">
        <f t="shared" si="88"/>
        <v>855855.00000000012</v>
      </c>
      <c r="CA54" s="55">
        <f t="shared" si="89"/>
        <v>855855.00000000012</v>
      </c>
      <c r="CB54" s="59">
        <f t="shared" si="197"/>
        <v>2829285.4590000003</v>
      </c>
      <c r="CC54" s="55">
        <f t="shared" si="198"/>
        <v>830179.35000000009</v>
      </c>
      <c r="CD54" s="59">
        <f t="shared" si="199"/>
        <v>2744406.8952300004</v>
      </c>
      <c r="CE54" s="55">
        <f t="shared" si="200"/>
        <v>813062.25000000012</v>
      </c>
      <c r="CF54" s="59">
        <f t="shared" si="201"/>
        <v>2687821.1860500006</v>
      </c>
      <c r="CG54" s="55">
        <f t="shared" si="202"/>
        <v>795945.15000000014</v>
      </c>
      <c r="CH54" s="59">
        <f t="shared" si="203"/>
        <v>2631235.4768700004</v>
      </c>
      <c r="CI54" s="57">
        <f t="shared" si="204"/>
        <v>778828.05000000016</v>
      </c>
      <c r="CJ54" s="59">
        <f t="shared" si="205"/>
        <v>2574649.7676900006</v>
      </c>
      <c r="CK54" s="55">
        <f t="shared" si="206"/>
        <v>761710.95000000007</v>
      </c>
      <c r="CL54" s="59">
        <f t="shared" si="207"/>
        <v>2518064.0585100004</v>
      </c>
      <c r="CM54" s="57">
        <f t="shared" si="208"/>
        <v>744593.85000000009</v>
      </c>
      <c r="CN54" s="59">
        <f t="shared" si="209"/>
        <v>2461478.3493300006</v>
      </c>
      <c r="CO54" s="60">
        <f t="shared" si="210"/>
        <v>727476.75000000012</v>
      </c>
      <c r="CP54" s="59">
        <f t="shared" si="211"/>
        <v>2404892.6401500003</v>
      </c>
      <c r="CQ54" s="57">
        <f t="shared" si="212"/>
        <v>710359.65</v>
      </c>
      <c r="CR54" s="59">
        <f t="shared" si="213"/>
        <v>2348306.9309700001</v>
      </c>
      <c r="CS54" s="55">
        <f t="shared" si="214"/>
        <v>693242.55</v>
      </c>
      <c r="CT54" s="59">
        <f t="shared" si="215"/>
        <v>2291721.2217900003</v>
      </c>
      <c r="CU54" s="60">
        <f t="shared" si="216"/>
        <v>676125.45000000007</v>
      </c>
      <c r="CV54" s="59">
        <f t="shared" si="217"/>
        <v>2235135.5126100001</v>
      </c>
      <c r="CW54" s="60">
        <f t="shared" si="218"/>
        <v>659008.35</v>
      </c>
      <c r="CX54" s="59">
        <f t="shared" si="219"/>
        <v>2178549.8034299999</v>
      </c>
      <c r="CY54" s="60">
        <f t="shared" si="220"/>
        <v>641891.25</v>
      </c>
      <c r="CZ54" s="59">
        <f t="shared" si="221"/>
        <v>2121964.0942500001</v>
      </c>
      <c r="DA54" s="55">
        <f t="shared" si="222"/>
        <v>624774.15</v>
      </c>
      <c r="DB54" s="59">
        <f t="shared" si="223"/>
        <v>2065378.3850700001</v>
      </c>
      <c r="DC54" s="60">
        <f t="shared" si="224"/>
        <v>607657.04999999993</v>
      </c>
      <c r="DD54" s="59">
        <f t="shared" si="225"/>
        <v>2008792.6758899998</v>
      </c>
      <c r="DE54" s="60">
        <f t="shared" si="226"/>
        <v>590539.94999999995</v>
      </c>
      <c r="DF54" s="59">
        <f t="shared" si="227"/>
        <v>1952206.9667099998</v>
      </c>
      <c r="DG54" s="60">
        <f t="shared" si="228"/>
        <v>573422.85</v>
      </c>
      <c r="DH54" s="59">
        <f t="shared" si="229"/>
        <v>1895621.2575300001</v>
      </c>
      <c r="DI54" s="60">
        <f t="shared" si="230"/>
        <v>556305.74999999988</v>
      </c>
      <c r="DJ54" s="59">
        <f t="shared" si="231"/>
        <v>1839035.5483499996</v>
      </c>
      <c r="DK54" s="55">
        <f t="shared" si="232"/>
        <v>539188.64999999991</v>
      </c>
      <c r="DL54" s="59">
        <f t="shared" si="233"/>
        <v>1782449.8391699998</v>
      </c>
      <c r="DM54" s="60">
        <f t="shared" si="234"/>
        <v>522071.54999999987</v>
      </c>
      <c r="DN54" s="59">
        <f t="shared" si="235"/>
        <v>1725864.1299899996</v>
      </c>
      <c r="DO54" s="60">
        <f t="shared" si="236"/>
        <v>504954.44999999984</v>
      </c>
      <c r="DP54" s="59">
        <f t="shared" si="237"/>
        <v>1669278.4208099996</v>
      </c>
      <c r="DQ54" s="55">
        <f t="shared" si="238"/>
        <v>487837.34999999986</v>
      </c>
      <c r="DR54" s="59">
        <f t="shared" si="239"/>
        <v>1612692.7116299996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9"/>
        <v>0.91</v>
      </c>
      <c r="DZ54" s="55">
        <f t="shared" si="289"/>
        <v>0.89</v>
      </c>
      <c r="EA54" s="55">
        <f t="shared" si="289"/>
        <v>0.87</v>
      </c>
      <c r="EB54" s="55">
        <f t="shared" si="289"/>
        <v>0.85</v>
      </c>
      <c r="EC54" s="55">
        <f t="shared" si="289"/>
        <v>0.83</v>
      </c>
      <c r="ED54" s="55">
        <f t="shared" si="289"/>
        <v>0.80999999999999994</v>
      </c>
      <c r="EE54" s="55">
        <f t="shared" si="289"/>
        <v>0.78999999999999992</v>
      </c>
      <c r="EF54" s="55">
        <f t="shared" si="289"/>
        <v>0.76999999999999991</v>
      </c>
      <c r="EG54" s="55">
        <f t="shared" si="289"/>
        <v>0.74999999999999989</v>
      </c>
      <c r="EH54" s="55">
        <f t="shared" si="289"/>
        <v>0.72999999999999987</v>
      </c>
      <c r="EI54" s="55">
        <f t="shared" si="289"/>
        <v>0.70999999999999985</v>
      </c>
      <c r="EJ54" s="55">
        <f t="shared" si="289"/>
        <v>0.68999999999999984</v>
      </c>
      <c r="EK54" s="55">
        <f t="shared" si="289"/>
        <v>0.66999999999999982</v>
      </c>
      <c r="EL54" s="55">
        <f t="shared" si="289"/>
        <v>0.6499999999999998</v>
      </c>
      <c r="EM54" s="55">
        <f t="shared" si="289"/>
        <v>0.62999999999999978</v>
      </c>
      <c r="EN54" s="55">
        <f t="shared" si="289"/>
        <v>0.60999999999999976</v>
      </c>
      <c r="EO54" s="55">
        <f t="shared" si="289"/>
        <v>0.58999999999999975</v>
      </c>
      <c r="EP54" s="55">
        <f t="shared" si="289"/>
        <v>0.56999999999999973</v>
      </c>
      <c r="ER54" s="55">
        <f t="shared" si="142"/>
        <v>778828.05000000016</v>
      </c>
      <c r="ES54" s="55">
        <f t="shared" si="116"/>
        <v>778828.05000000016</v>
      </c>
      <c r="ET54" s="59">
        <f t="shared" si="241"/>
        <v>2574649.7676900006</v>
      </c>
      <c r="EU54" s="55">
        <f t="shared" si="242"/>
        <v>755463.20850000018</v>
      </c>
      <c r="EV54" s="59">
        <f t="shared" si="243"/>
        <v>2497410.2746593007</v>
      </c>
      <c r="EW54" s="55">
        <f t="shared" si="244"/>
        <v>739886.64750000008</v>
      </c>
      <c r="EX54" s="59">
        <f t="shared" si="245"/>
        <v>2445917.2793055004</v>
      </c>
      <c r="EY54" s="55">
        <f t="shared" si="246"/>
        <v>724310.08650000021</v>
      </c>
      <c r="EZ54" s="59">
        <f t="shared" si="247"/>
        <v>2394424.2839517007</v>
      </c>
      <c r="FA54" s="57">
        <f t="shared" si="248"/>
        <v>708733.52550000022</v>
      </c>
      <c r="FB54" s="59">
        <f t="shared" si="249"/>
        <v>2342931.2885979009</v>
      </c>
      <c r="FC54" s="55">
        <f t="shared" si="250"/>
        <v>693156.96450000012</v>
      </c>
      <c r="FD54" s="59">
        <f t="shared" si="251"/>
        <v>2291438.2932441006</v>
      </c>
      <c r="FE54" s="57">
        <f t="shared" si="252"/>
        <v>677580.40350000013</v>
      </c>
      <c r="FF54" s="59">
        <f t="shared" si="253"/>
        <v>2239945.2978903004</v>
      </c>
      <c r="FG54" s="60">
        <f t="shared" si="254"/>
        <v>662003.84250000014</v>
      </c>
      <c r="FH54" s="59">
        <f t="shared" si="255"/>
        <v>2188452.3025365006</v>
      </c>
      <c r="FI54" s="57">
        <f t="shared" si="256"/>
        <v>646427.28150000016</v>
      </c>
      <c r="FJ54" s="59">
        <f t="shared" si="257"/>
        <v>2136959.3071827004</v>
      </c>
      <c r="FK54" s="55">
        <f t="shared" si="258"/>
        <v>630850.72050000005</v>
      </c>
      <c r="FL54" s="59">
        <f t="shared" si="259"/>
        <v>2085466.3118289001</v>
      </c>
      <c r="FM54" s="60">
        <f t="shared" si="260"/>
        <v>615274.15950000007</v>
      </c>
      <c r="FN54" s="59">
        <f t="shared" si="261"/>
        <v>2033973.3164751003</v>
      </c>
      <c r="FO54" s="60">
        <f t="shared" si="262"/>
        <v>599697.59850000008</v>
      </c>
      <c r="FP54" s="59">
        <f t="shared" si="263"/>
        <v>1982480.3211213003</v>
      </c>
      <c r="FQ54" s="60">
        <f t="shared" si="264"/>
        <v>584121.03750000009</v>
      </c>
      <c r="FR54" s="59">
        <f t="shared" si="265"/>
        <v>1930987.3257675003</v>
      </c>
      <c r="FS54" s="55">
        <f t="shared" si="266"/>
        <v>568544.47649999999</v>
      </c>
      <c r="FT54" s="59">
        <f t="shared" si="267"/>
        <v>1879494.3304137001</v>
      </c>
      <c r="FU54" s="60">
        <f t="shared" si="268"/>
        <v>552967.9155</v>
      </c>
      <c r="FV54" s="59">
        <f t="shared" si="269"/>
        <v>1828001.3350599001</v>
      </c>
      <c r="FW54" s="60">
        <f t="shared" si="270"/>
        <v>537391.35450000002</v>
      </c>
      <c r="FX54" s="59">
        <f t="shared" si="271"/>
        <v>1776508.3397061001</v>
      </c>
      <c r="FY54" s="60">
        <f t="shared" si="272"/>
        <v>521814.79349999997</v>
      </c>
      <c r="FZ54" s="59">
        <f t="shared" si="273"/>
        <v>1725015.3443523</v>
      </c>
      <c r="GA54" s="60">
        <f t="shared" si="274"/>
        <v>506238.23249999993</v>
      </c>
      <c r="GB54" s="59">
        <f t="shared" si="275"/>
        <v>1673522.3489984998</v>
      </c>
      <c r="GC54" s="55">
        <f t="shared" si="276"/>
        <v>490661.67149999994</v>
      </c>
      <c r="GD54" s="59">
        <f t="shared" si="277"/>
        <v>1622029.3536446998</v>
      </c>
      <c r="GE54" s="60">
        <f t="shared" si="278"/>
        <v>475085.11049999989</v>
      </c>
      <c r="GF54" s="59">
        <f t="shared" si="279"/>
        <v>1570536.3582908998</v>
      </c>
      <c r="GG54" s="60">
        <f t="shared" si="280"/>
        <v>459508.54949999991</v>
      </c>
      <c r="GH54" s="59">
        <f t="shared" si="281"/>
        <v>1519043.3629370998</v>
      </c>
      <c r="GI54" s="55">
        <f t="shared" si="282"/>
        <v>443931.98849999986</v>
      </c>
      <c r="GJ54" s="59">
        <f t="shared" si="283"/>
        <v>1467550.3675832995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90"/>
        <v>0.91</v>
      </c>
      <c r="GR54" s="55">
        <f t="shared" si="290"/>
        <v>0.89</v>
      </c>
      <c r="GS54" s="55">
        <f t="shared" si="290"/>
        <v>0.87</v>
      </c>
      <c r="GT54" s="55">
        <f t="shared" si="290"/>
        <v>0.85</v>
      </c>
      <c r="GU54" s="55">
        <f t="shared" si="290"/>
        <v>0.83</v>
      </c>
      <c r="GV54" s="55">
        <f t="shared" si="290"/>
        <v>0.80999999999999994</v>
      </c>
      <c r="GW54" s="55">
        <f t="shared" si="290"/>
        <v>0.78999999999999992</v>
      </c>
      <c r="GX54" s="55">
        <f t="shared" si="290"/>
        <v>0.76999999999999991</v>
      </c>
      <c r="GY54" s="55">
        <f t="shared" si="290"/>
        <v>0.74999999999999989</v>
      </c>
      <c r="GZ54" s="55">
        <f t="shared" si="290"/>
        <v>0.72999999999999987</v>
      </c>
      <c r="HA54" s="55">
        <f t="shared" si="290"/>
        <v>0.70999999999999985</v>
      </c>
      <c r="HB54" s="55">
        <f t="shared" si="290"/>
        <v>0.68999999999999984</v>
      </c>
      <c r="HC54" s="55">
        <f t="shared" si="290"/>
        <v>0.66999999999999982</v>
      </c>
      <c r="HD54" s="55">
        <f t="shared" si="290"/>
        <v>0.6499999999999998</v>
      </c>
      <c r="HE54" s="55">
        <f t="shared" si="290"/>
        <v>0.62999999999999978</v>
      </c>
      <c r="HF54" s="55">
        <f t="shared" si="290"/>
        <v>0.60999999999999976</v>
      </c>
      <c r="HG54" s="55">
        <f t="shared" si="290"/>
        <v>0.58999999999999975</v>
      </c>
      <c r="HH54" s="55">
        <f t="shared" si="290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91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92">+DW55-0.02</f>
        <v>0.91</v>
      </c>
      <c r="DY55" s="61">
        <f t="shared" si="292"/>
        <v>0.89</v>
      </c>
      <c r="DZ55" s="61">
        <f t="shared" si="292"/>
        <v>0.87</v>
      </c>
      <c r="EA55" s="61">
        <f t="shared" si="292"/>
        <v>0.85</v>
      </c>
      <c r="EB55" s="61">
        <f t="shared" si="292"/>
        <v>0.83</v>
      </c>
      <c r="EC55" s="61">
        <f t="shared" si="292"/>
        <v>0.80999999999999994</v>
      </c>
      <c r="ED55" s="61">
        <f t="shared" si="292"/>
        <v>0.78999999999999992</v>
      </c>
      <c r="EE55" s="61">
        <f t="shared" si="292"/>
        <v>0.76999999999999991</v>
      </c>
      <c r="EF55" s="61">
        <f t="shared" si="292"/>
        <v>0.74999999999999989</v>
      </c>
      <c r="EG55" s="61">
        <f t="shared" si="292"/>
        <v>0.72999999999999987</v>
      </c>
      <c r="EH55" s="61">
        <f t="shared" si="292"/>
        <v>0.70999999999999985</v>
      </c>
      <c r="EI55" s="61">
        <f t="shared" si="292"/>
        <v>0.68999999999999984</v>
      </c>
      <c r="EJ55" s="61">
        <f t="shared" si="292"/>
        <v>0.66999999999999982</v>
      </c>
      <c r="EK55" s="61">
        <f t="shared" si="292"/>
        <v>0.6499999999999998</v>
      </c>
      <c r="EL55" s="61">
        <f t="shared" si="292"/>
        <v>0.62999999999999978</v>
      </c>
      <c r="EM55" s="61">
        <f t="shared" si="292"/>
        <v>0.60999999999999976</v>
      </c>
      <c r="EN55" s="61">
        <f t="shared" si="292"/>
        <v>0.58999999999999975</v>
      </c>
      <c r="EO55" s="61">
        <f t="shared" si="292"/>
        <v>0.56999999999999973</v>
      </c>
      <c r="EQ55" s="61">
        <f t="shared" ref="EQ55:EQ56" si="293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94">+GO55-0.02</f>
        <v>0.91</v>
      </c>
      <c r="GQ55" s="61">
        <f t="shared" si="294"/>
        <v>0.89</v>
      </c>
      <c r="GR55" s="61">
        <f t="shared" si="294"/>
        <v>0.87</v>
      </c>
      <c r="GS55" s="61">
        <f t="shared" si="294"/>
        <v>0.85</v>
      </c>
      <c r="GT55" s="61">
        <f t="shared" si="294"/>
        <v>0.83</v>
      </c>
      <c r="GU55" s="61">
        <f t="shared" si="294"/>
        <v>0.80999999999999994</v>
      </c>
      <c r="GV55" s="61">
        <f t="shared" si="294"/>
        <v>0.78999999999999992</v>
      </c>
      <c r="GW55" s="61">
        <f t="shared" si="294"/>
        <v>0.76999999999999991</v>
      </c>
      <c r="GX55" s="61">
        <f t="shared" si="294"/>
        <v>0.74999999999999989</v>
      </c>
      <c r="GY55" s="61">
        <f t="shared" si="294"/>
        <v>0.72999999999999987</v>
      </c>
      <c r="GZ55" s="61">
        <f t="shared" si="294"/>
        <v>0.70999999999999985</v>
      </c>
      <c r="HA55" s="61">
        <f t="shared" si="294"/>
        <v>0.68999999999999984</v>
      </c>
      <c r="HB55" s="61">
        <f t="shared" si="294"/>
        <v>0.66999999999999982</v>
      </c>
      <c r="HC55" s="61">
        <f t="shared" si="294"/>
        <v>0.6499999999999998</v>
      </c>
      <c r="HD55" s="61">
        <f t="shared" si="294"/>
        <v>0.62999999999999978</v>
      </c>
      <c r="HE55" s="61">
        <f t="shared" si="294"/>
        <v>0.60999999999999976</v>
      </c>
      <c r="HF55" s="61">
        <f t="shared" si="294"/>
        <v>0.58999999999999975</v>
      </c>
      <c r="HG55" s="61">
        <f t="shared" si="294"/>
        <v>0.56999999999999973</v>
      </c>
    </row>
    <row r="56" spans="1:216" s="64" customFormat="1" ht="17.25" thickBot="1" x14ac:dyDescent="0.35">
      <c r="B56" s="64" t="s">
        <v>294</v>
      </c>
      <c r="C56" s="64" t="s">
        <v>295</v>
      </c>
      <c r="D56" s="65" t="s">
        <v>292</v>
      </c>
      <c r="E56" s="65" t="s">
        <v>154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91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92"/>
        <v>0.91</v>
      </c>
      <c r="DY56" s="61">
        <f t="shared" si="292"/>
        <v>0.89</v>
      </c>
      <c r="DZ56" s="61">
        <f t="shared" si="292"/>
        <v>0.87</v>
      </c>
      <c r="EA56" s="61">
        <f t="shared" si="292"/>
        <v>0.85</v>
      </c>
      <c r="EB56" s="61">
        <f t="shared" si="292"/>
        <v>0.83</v>
      </c>
      <c r="EC56" s="61">
        <f t="shared" si="292"/>
        <v>0.80999999999999994</v>
      </c>
      <c r="ED56" s="61">
        <f t="shared" si="292"/>
        <v>0.78999999999999992</v>
      </c>
      <c r="EE56" s="61">
        <f t="shared" si="292"/>
        <v>0.76999999999999991</v>
      </c>
      <c r="EF56" s="61">
        <f t="shared" si="292"/>
        <v>0.74999999999999989</v>
      </c>
      <c r="EG56" s="61">
        <f t="shared" si="292"/>
        <v>0.72999999999999987</v>
      </c>
      <c r="EH56" s="61">
        <f t="shared" si="292"/>
        <v>0.70999999999999985</v>
      </c>
      <c r="EI56" s="61">
        <f t="shared" si="292"/>
        <v>0.68999999999999984</v>
      </c>
      <c r="EJ56" s="61">
        <f t="shared" si="292"/>
        <v>0.66999999999999982</v>
      </c>
      <c r="EK56" s="61">
        <f t="shared" si="292"/>
        <v>0.6499999999999998</v>
      </c>
      <c r="EL56" s="61">
        <f t="shared" si="292"/>
        <v>0.62999999999999978</v>
      </c>
      <c r="EM56" s="61">
        <f t="shared" si="292"/>
        <v>0.60999999999999976</v>
      </c>
      <c r="EN56" s="61">
        <f t="shared" si="292"/>
        <v>0.58999999999999975</v>
      </c>
      <c r="EO56" s="61">
        <f t="shared" si="292"/>
        <v>0.56999999999999973</v>
      </c>
      <c r="EQ56" s="61">
        <f t="shared" si="293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94"/>
        <v>0.91</v>
      </c>
      <c r="GQ56" s="61">
        <f t="shared" si="294"/>
        <v>0.89</v>
      </c>
      <c r="GR56" s="61">
        <f t="shared" si="294"/>
        <v>0.87</v>
      </c>
      <c r="GS56" s="61">
        <f t="shared" si="294"/>
        <v>0.85</v>
      </c>
      <c r="GT56" s="61">
        <f t="shared" si="294"/>
        <v>0.83</v>
      </c>
      <c r="GU56" s="61">
        <f t="shared" si="294"/>
        <v>0.80999999999999994</v>
      </c>
      <c r="GV56" s="61">
        <f t="shared" si="294"/>
        <v>0.78999999999999992</v>
      </c>
      <c r="GW56" s="61">
        <f t="shared" si="294"/>
        <v>0.76999999999999991</v>
      </c>
      <c r="GX56" s="61">
        <f t="shared" si="294"/>
        <v>0.74999999999999989</v>
      </c>
      <c r="GY56" s="61">
        <f t="shared" si="294"/>
        <v>0.72999999999999987</v>
      </c>
      <c r="GZ56" s="61">
        <f t="shared" si="294"/>
        <v>0.70999999999999985</v>
      </c>
      <c r="HA56" s="61">
        <f t="shared" si="294"/>
        <v>0.68999999999999984</v>
      </c>
      <c r="HB56" s="61">
        <f t="shared" si="294"/>
        <v>0.66999999999999982</v>
      </c>
      <c r="HC56" s="61">
        <f t="shared" si="294"/>
        <v>0.6499999999999998</v>
      </c>
      <c r="HD56" s="61">
        <f t="shared" si="294"/>
        <v>0.62999999999999978</v>
      </c>
      <c r="HE56" s="61">
        <f t="shared" si="294"/>
        <v>0.60999999999999976</v>
      </c>
      <c r="HF56" s="61">
        <f t="shared" si="294"/>
        <v>0.58999999999999975</v>
      </c>
      <c r="HG56" s="61">
        <f t="shared" si="294"/>
        <v>0.56999999999999973</v>
      </c>
    </row>
    <row r="57" spans="1:216" x14ac:dyDescent="0.3">
      <c r="A57" s="2">
        <v>1</v>
      </c>
      <c r="C57" s="38" t="s">
        <v>27</v>
      </c>
      <c r="D57" s="40">
        <f>TRUNC(2982,-1)</f>
        <v>2980</v>
      </c>
      <c r="E57" s="70">
        <f>TRUNC(+D57*3.3058,-1)</f>
        <v>9850</v>
      </c>
      <c r="H57" s="55">
        <f t="shared" ref="H57:H60" si="295">+D57*1.1</f>
        <v>3278.0000000000005</v>
      </c>
      <c r="I57" s="55">
        <f t="shared" si="62"/>
        <v>3278.0000000000005</v>
      </c>
      <c r="J57" s="59">
        <f t="shared" si="63"/>
        <v>10836.412400000001</v>
      </c>
      <c r="K57" s="55">
        <f t="shared" ref="K57:K60" si="296">+I57*BD57</f>
        <v>3179.6600000000003</v>
      </c>
      <c r="L57" s="59">
        <f t="shared" ref="L57:L60" si="297">+K57*3.3058</f>
        <v>10511.320028000002</v>
      </c>
      <c r="M57" s="55">
        <f t="shared" ref="M57:M60" si="298">+I57*BE57</f>
        <v>3114.1000000000004</v>
      </c>
      <c r="N57" s="59">
        <f t="shared" ref="N57:N60" si="299">+M57*3.3058</f>
        <v>10294.591780000001</v>
      </c>
      <c r="O57" s="55">
        <f>+I57*BF57</f>
        <v>3048.5400000000004</v>
      </c>
      <c r="P57" s="59">
        <f t="shared" ref="P57:P60" si="300">+O57*3.3058</f>
        <v>10077.863532000001</v>
      </c>
      <c r="Q57" s="57">
        <f>+I57*BG57</f>
        <v>2982.9800000000005</v>
      </c>
      <c r="R57" s="59">
        <f t="shared" ref="R57:R60" si="301">+Q57*3.3058</f>
        <v>9861.1352840000018</v>
      </c>
      <c r="S57" s="55">
        <f>+I57*BH57</f>
        <v>2917.4200000000005</v>
      </c>
      <c r="T57" s="59">
        <f t="shared" ref="T57:T60" si="302">+S57*3.3058</f>
        <v>9644.4070360000023</v>
      </c>
      <c r="U57" s="57">
        <f>+I57*BI57</f>
        <v>2851.8600000000006</v>
      </c>
      <c r="V57" s="59">
        <f t="shared" ref="V57:V60" si="303">+U57*3.3058</f>
        <v>9427.6787880000029</v>
      </c>
      <c r="W57" s="60">
        <f>+I57*BJ57</f>
        <v>2786.3</v>
      </c>
      <c r="X57" s="59">
        <f t="shared" ref="X57:X60" si="304">+W57*3.3058</f>
        <v>9210.9505400000016</v>
      </c>
      <c r="Y57" s="57">
        <f>+I57*BK57</f>
        <v>2720.7400000000002</v>
      </c>
      <c r="Z57" s="59">
        <f t="shared" ref="Z57:Z60" si="305">+Y57*3.3058</f>
        <v>8994.2222920000004</v>
      </c>
      <c r="AA57" s="55">
        <f>+I57*BL57</f>
        <v>2655.1800000000003</v>
      </c>
      <c r="AB57" s="59">
        <f t="shared" ref="AB57:AB60" si="306">+AA57*3.3058</f>
        <v>8777.4940440000009</v>
      </c>
      <c r="AC57" s="60">
        <f>+I57*BM57</f>
        <v>2589.62</v>
      </c>
      <c r="AD57" s="59">
        <f t="shared" ref="AD57:AD60" si="307">+AC57*3.3058</f>
        <v>8560.7657959999997</v>
      </c>
      <c r="AE57" s="60">
        <f>+I57*BN57</f>
        <v>2524.06</v>
      </c>
      <c r="AF57" s="59">
        <f t="shared" ref="AF57:AF60" si="308">+AE57*3.3058</f>
        <v>8344.0375480000002</v>
      </c>
      <c r="AG57" s="60">
        <f>+I57*BO57</f>
        <v>2458.5</v>
      </c>
      <c r="AH57" s="59">
        <f t="shared" ref="AH57:AH60" si="309">+AG57*3.3058</f>
        <v>8127.3092999999999</v>
      </c>
      <c r="AI57" s="55">
        <f>+I57*BP57</f>
        <v>2392.94</v>
      </c>
      <c r="AJ57" s="59">
        <f t="shared" ref="AJ57:AJ60" si="310">+AI57*3.3058</f>
        <v>7910.5810520000005</v>
      </c>
      <c r="AK57" s="60">
        <f>+I57*BQ57</f>
        <v>2327.3799999999997</v>
      </c>
      <c r="AL57" s="59">
        <f t="shared" ref="AL57:AL60" si="311">+AK57*3.3058</f>
        <v>7693.8528039999992</v>
      </c>
      <c r="AM57" s="60">
        <f>+I57*BR57</f>
        <v>2261.8199999999997</v>
      </c>
      <c r="AN57" s="59">
        <f t="shared" ref="AN57:AN60" si="312">+AM57*3.3058</f>
        <v>7477.1245559999988</v>
      </c>
      <c r="AO57" s="60">
        <f>+I57*BS57</f>
        <v>2196.2599999999998</v>
      </c>
      <c r="AP57" s="59">
        <f t="shared" ref="AP57:AP60" si="313">+AO57*3.3058</f>
        <v>7260.3963079999994</v>
      </c>
      <c r="AQ57" s="60">
        <f>+I57*BT57</f>
        <v>2130.6999999999998</v>
      </c>
      <c r="AR57" s="59">
        <f t="shared" ref="AR57:AR60" si="314">+AQ57*3.3058</f>
        <v>7043.66806</v>
      </c>
      <c r="AS57" s="55">
        <f>+I57*BU57</f>
        <v>2065.1399999999994</v>
      </c>
      <c r="AT57" s="59">
        <f t="shared" ref="AT57:AT60" si="315">+AS57*3.3058</f>
        <v>6826.9398119999978</v>
      </c>
      <c r="AU57" s="60">
        <f>+I57*BV57</f>
        <v>1999.5799999999995</v>
      </c>
      <c r="AV57" s="59">
        <f t="shared" ref="AV57:AV60" si="316">+AU57*3.3058</f>
        <v>6610.2115639999984</v>
      </c>
      <c r="AW57" s="60">
        <f>+I57*BW57</f>
        <v>1934.0199999999995</v>
      </c>
      <c r="AX57" s="59">
        <f t="shared" ref="AX57:AX60" si="317">+AW57*3.3058</f>
        <v>6393.4833159999989</v>
      </c>
      <c r="AY57" s="55">
        <f>+I57*BX57</f>
        <v>1868.4599999999994</v>
      </c>
      <c r="AZ57" s="59">
        <f t="shared" ref="AZ57:AZ60" si="318">+AY57*3.3058</f>
        <v>6176.7550679999977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9">+BF57-0.02</f>
        <v>0.91</v>
      </c>
      <c r="BH57" s="55">
        <f t="shared" si="319"/>
        <v>0.89</v>
      </c>
      <c r="BI57" s="55">
        <f t="shared" si="319"/>
        <v>0.87</v>
      </c>
      <c r="BJ57" s="55">
        <f t="shared" si="319"/>
        <v>0.85</v>
      </c>
      <c r="BK57" s="55">
        <f t="shared" si="319"/>
        <v>0.83</v>
      </c>
      <c r="BL57" s="55">
        <f t="shared" si="319"/>
        <v>0.80999999999999994</v>
      </c>
      <c r="BM57" s="55">
        <f t="shared" si="319"/>
        <v>0.78999999999999992</v>
      </c>
      <c r="BN57" s="55">
        <f t="shared" si="319"/>
        <v>0.76999999999999991</v>
      </c>
      <c r="BO57" s="55">
        <f t="shared" si="319"/>
        <v>0.74999999999999989</v>
      </c>
      <c r="BP57" s="55">
        <f t="shared" si="319"/>
        <v>0.72999999999999987</v>
      </c>
      <c r="BQ57" s="55">
        <f t="shared" si="319"/>
        <v>0.70999999999999985</v>
      </c>
      <c r="BR57" s="55">
        <f t="shared" si="319"/>
        <v>0.68999999999999984</v>
      </c>
      <c r="BS57" s="55">
        <f t="shared" si="319"/>
        <v>0.66999999999999982</v>
      </c>
      <c r="BT57" s="55">
        <f t="shared" si="319"/>
        <v>0.6499999999999998</v>
      </c>
      <c r="BU57" s="55">
        <f t="shared" si="319"/>
        <v>0.62999999999999978</v>
      </c>
      <c r="BV57" s="55">
        <f t="shared" si="319"/>
        <v>0.60999999999999976</v>
      </c>
      <c r="BW57" s="55">
        <f t="shared" si="319"/>
        <v>0.58999999999999975</v>
      </c>
      <c r="BX57" s="55">
        <f t="shared" si="319"/>
        <v>0.56999999999999973</v>
      </c>
      <c r="BZ57" s="55">
        <f t="shared" si="88"/>
        <v>2982.9800000000005</v>
      </c>
      <c r="CA57" s="55">
        <f t="shared" si="89"/>
        <v>2982.9800000000005</v>
      </c>
      <c r="CB57" s="59">
        <f t="shared" ref="CB57:CB60" si="320">+CA57*3.3058</f>
        <v>9861.1352840000018</v>
      </c>
      <c r="CC57" s="55">
        <f t="shared" ref="CC57:CC60" si="321">+CA57*DV57</f>
        <v>2893.4906000000005</v>
      </c>
      <c r="CD57" s="59">
        <f t="shared" ref="CD57:CD60" si="322">+CC57*3.3058</f>
        <v>9565.3012254800014</v>
      </c>
      <c r="CE57" s="55">
        <f t="shared" ref="CE57:CE60" si="323">+CA57*DW57</f>
        <v>2833.8310000000001</v>
      </c>
      <c r="CF57" s="59">
        <f t="shared" ref="CF57:CF60" si="324">+CE57*3.3058</f>
        <v>9368.0785198000012</v>
      </c>
      <c r="CG57" s="55">
        <f>+CA57*DX57</f>
        <v>2774.1714000000006</v>
      </c>
      <c r="CH57" s="59">
        <f t="shared" ref="CH57:CH60" si="325">+CG57*3.3058</f>
        <v>9170.8558141200028</v>
      </c>
      <c r="CI57" s="57">
        <f>+CA57*DY57</f>
        <v>2714.5118000000007</v>
      </c>
      <c r="CJ57" s="59">
        <f t="shared" ref="CJ57:CJ60" si="326">+CI57*3.3058</f>
        <v>8973.6331084400026</v>
      </c>
      <c r="CK57" s="55">
        <f>+CA57*DZ57</f>
        <v>2654.8522000000003</v>
      </c>
      <c r="CL57" s="59">
        <f t="shared" ref="CL57:CL60" si="327">+CK57*3.3058</f>
        <v>8776.4104027600006</v>
      </c>
      <c r="CM57" s="57">
        <f>+CA57*EA57</f>
        <v>2595.1926000000003</v>
      </c>
      <c r="CN57" s="59">
        <f t="shared" ref="CN57:CN60" si="328">+CM57*3.3058</f>
        <v>8579.1876970800004</v>
      </c>
      <c r="CO57" s="60">
        <f>+CA57*EB57</f>
        <v>2535.5330000000004</v>
      </c>
      <c r="CP57" s="59">
        <f t="shared" ref="CP57:CP60" si="329">+CO57*3.3058</f>
        <v>8381.964991400002</v>
      </c>
      <c r="CQ57" s="57">
        <f>+CA57*EC57</f>
        <v>2475.8734000000004</v>
      </c>
      <c r="CR57" s="59">
        <f t="shared" ref="CR57:CR60" si="330">+CQ57*3.3058</f>
        <v>8184.7422857200017</v>
      </c>
      <c r="CS57" s="55">
        <f>+CA57*ED57</f>
        <v>2416.2138</v>
      </c>
      <c r="CT57" s="59">
        <f t="shared" ref="CT57:CT60" si="331">+CS57*3.3058</f>
        <v>7987.5195800399997</v>
      </c>
      <c r="CU57" s="60">
        <f>+CA57*EE57</f>
        <v>2356.5542</v>
      </c>
      <c r="CV57" s="59">
        <f t="shared" ref="CV57:CV60" si="332">+CU57*3.3058</f>
        <v>7790.2968743600004</v>
      </c>
      <c r="CW57" s="60">
        <f>+CA57*EF57</f>
        <v>2296.8946000000001</v>
      </c>
      <c r="CX57" s="59">
        <f t="shared" ref="CX57:CX60" si="333">+CW57*3.3058</f>
        <v>7593.0741686800002</v>
      </c>
      <c r="CY57" s="60">
        <f>+CA57*EG57</f>
        <v>2237.2350000000001</v>
      </c>
      <c r="CZ57" s="59">
        <f t="shared" ref="CZ57:CZ60" si="334">+CY57*3.3058</f>
        <v>7395.8514630000009</v>
      </c>
      <c r="DA57" s="55">
        <f>+CA57*EH57</f>
        <v>2177.5754000000002</v>
      </c>
      <c r="DB57" s="59">
        <f t="shared" ref="DB57:DB60" si="335">+DA57*3.3058</f>
        <v>7198.6287573200007</v>
      </c>
      <c r="DC57" s="60">
        <f>+CA57*EI57</f>
        <v>2117.9157999999998</v>
      </c>
      <c r="DD57" s="59">
        <f t="shared" ref="DD57:DD60" si="336">+DC57*3.3058</f>
        <v>7001.4060516399995</v>
      </c>
      <c r="DE57" s="60">
        <f>+CA57*EJ57</f>
        <v>2058.2561999999998</v>
      </c>
      <c r="DF57" s="59">
        <f t="shared" ref="DF57:DF60" si="337">+DE57*3.3058</f>
        <v>6804.1833459599993</v>
      </c>
      <c r="DG57" s="60">
        <f>+CA57*EK57</f>
        <v>1998.5965999999999</v>
      </c>
      <c r="DH57" s="59">
        <f t="shared" ref="DH57:DH60" si="338">+DG57*3.3058</f>
        <v>6606.96064028</v>
      </c>
      <c r="DI57" s="60">
        <f>+CA57*EL57</f>
        <v>1938.9369999999997</v>
      </c>
      <c r="DJ57" s="59">
        <f t="shared" ref="DJ57:DJ60" si="339">+DI57*3.3058</f>
        <v>6409.7379345999989</v>
      </c>
      <c r="DK57" s="55">
        <f>+CA57*EM57</f>
        <v>1879.2773999999997</v>
      </c>
      <c r="DL57" s="59">
        <f t="shared" ref="DL57:DL60" si="340">+DK57*3.3058</f>
        <v>6212.5152289199996</v>
      </c>
      <c r="DM57" s="60">
        <f>+CA57*EN57</f>
        <v>1819.6177999999995</v>
      </c>
      <c r="DN57" s="59">
        <f t="shared" ref="DN57:DN60" si="341">+DM57*3.3058</f>
        <v>6015.2925232399984</v>
      </c>
      <c r="DO57" s="60">
        <f>+CA57*EO57</f>
        <v>1759.9581999999996</v>
      </c>
      <c r="DP57" s="59">
        <f t="shared" ref="DP57:DP60" si="342">+DO57*3.3058</f>
        <v>5818.0698175599991</v>
      </c>
      <c r="DQ57" s="55">
        <f>+CA57*EP57</f>
        <v>1700.2985999999994</v>
      </c>
      <c r="DR57" s="59">
        <f t="shared" ref="DR57:DR60" si="343">+DQ57*3.3058</f>
        <v>5620.847111879998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9"/>
        <v>0.91</v>
      </c>
      <c r="DZ57" s="55">
        <f t="shared" si="289"/>
        <v>0.89</v>
      </c>
      <c r="EA57" s="55">
        <f t="shared" si="289"/>
        <v>0.87</v>
      </c>
      <c r="EB57" s="55">
        <f t="shared" si="289"/>
        <v>0.85</v>
      </c>
      <c r="EC57" s="55">
        <f t="shared" si="289"/>
        <v>0.83</v>
      </c>
      <c r="ED57" s="55">
        <f t="shared" si="289"/>
        <v>0.80999999999999994</v>
      </c>
      <c r="EE57" s="55">
        <f t="shared" si="289"/>
        <v>0.78999999999999992</v>
      </c>
      <c r="EF57" s="55">
        <f t="shared" si="289"/>
        <v>0.76999999999999991</v>
      </c>
      <c r="EG57" s="55">
        <f t="shared" si="289"/>
        <v>0.74999999999999989</v>
      </c>
      <c r="EH57" s="55">
        <f t="shared" si="289"/>
        <v>0.72999999999999987</v>
      </c>
      <c r="EI57" s="55">
        <f t="shared" si="289"/>
        <v>0.70999999999999985</v>
      </c>
      <c r="EJ57" s="55">
        <f t="shared" si="289"/>
        <v>0.68999999999999984</v>
      </c>
      <c r="EK57" s="55">
        <f t="shared" si="289"/>
        <v>0.66999999999999982</v>
      </c>
      <c r="EL57" s="55">
        <f t="shared" si="289"/>
        <v>0.6499999999999998</v>
      </c>
      <c r="EM57" s="55">
        <f t="shared" si="289"/>
        <v>0.62999999999999978</v>
      </c>
      <c r="EN57" s="55">
        <f t="shared" si="289"/>
        <v>0.60999999999999976</v>
      </c>
      <c r="EO57" s="55">
        <f t="shared" si="289"/>
        <v>0.58999999999999975</v>
      </c>
      <c r="EP57" s="55">
        <f t="shared" si="289"/>
        <v>0.56999999999999973</v>
      </c>
      <c r="ER57" s="55">
        <f t="shared" si="142"/>
        <v>2714.5118000000007</v>
      </c>
      <c r="ES57" s="55">
        <f t="shared" si="116"/>
        <v>2714.5118000000007</v>
      </c>
      <c r="ET57" s="59">
        <f t="shared" ref="ET57:ET60" si="344">+ES57*3.3058</f>
        <v>8973.6331084400026</v>
      </c>
      <c r="EU57" s="55">
        <f t="shared" ref="EU57:EU60" si="345">+ES57*GN57</f>
        <v>2633.0764460000005</v>
      </c>
      <c r="EV57" s="59">
        <f t="shared" ref="EV57:EV60" si="346">+EU57*3.3058</f>
        <v>8704.4241151868009</v>
      </c>
      <c r="EW57" s="55">
        <f t="shared" ref="EW57:EW60" si="347">+ES57*GO57</f>
        <v>2578.7862100000007</v>
      </c>
      <c r="EX57" s="59">
        <f t="shared" ref="EX57:EX60" si="348">+EW57*3.3058</f>
        <v>8524.9514530180022</v>
      </c>
      <c r="EY57" s="55">
        <f>+ES57*GP57</f>
        <v>2524.4959740000008</v>
      </c>
      <c r="EZ57" s="59">
        <f t="shared" ref="EZ57:EZ60" si="349">+EY57*3.3058</f>
        <v>8345.4787908492035</v>
      </c>
      <c r="FA57" s="57">
        <f>+ES57*GQ57</f>
        <v>2470.2057380000006</v>
      </c>
      <c r="FB57" s="59">
        <f t="shared" ref="FB57:FB60" si="350">+FA57*3.3058</f>
        <v>8166.0061286804021</v>
      </c>
      <c r="FC57" s="55">
        <f>+ES57*GR57</f>
        <v>2415.9155020000007</v>
      </c>
      <c r="FD57" s="59">
        <f t="shared" ref="FD57:FD60" si="351">+FC57*3.3058</f>
        <v>7986.5334665116025</v>
      </c>
      <c r="FE57" s="57">
        <f>+ES57*GS57</f>
        <v>2361.6252660000005</v>
      </c>
      <c r="FF57" s="59">
        <f t="shared" ref="FF57:FF60" si="352">+FE57*3.3058</f>
        <v>7807.0608043428019</v>
      </c>
      <c r="FG57" s="60">
        <f>+ES57*GT57</f>
        <v>2307.3350300000006</v>
      </c>
      <c r="FH57" s="59">
        <f t="shared" ref="FH57:FH60" si="353">+FG57*3.3058</f>
        <v>7627.5881421740023</v>
      </c>
      <c r="FI57" s="57">
        <f>+ES57*GU57</f>
        <v>2253.0447940000004</v>
      </c>
      <c r="FJ57" s="59">
        <f t="shared" ref="FJ57:FJ60" si="354">+FI57*3.3058</f>
        <v>7448.1154800052018</v>
      </c>
      <c r="FK57" s="55">
        <f>+ES57*GV57</f>
        <v>2198.7545580000005</v>
      </c>
      <c r="FL57" s="59">
        <f t="shared" ref="FL57:FL60" si="355">+FK57*3.3058</f>
        <v>7268.6428178364022</v>
      </c>
      <c r="FM57" s="60">
        <f>+ES57*GW57</f>
        <v>2144.4643220000003</v>
      </c>
      <c r="FN57" s="59">
        <f t="shared" ref="FN57:FN60" si="356">+FM57*3.3058</f>
        <v>7089.1701556676007</v>
      </c>
      <c r="FO57" s="60">
        <f>+ES57*GX57</f>
        <v>2090.1740860000004</v>
      </c>
      <c r="FP57" s="59">
        <f t="shared" ref="FP57:FP60" si="357">+FO57*3.3058</f>
        <v>6909.697493498802</v>
      </c>
      <c r="FQ57" s="60">
        <f>+ES57*GY57</f>
        <v>2035.8838500000002</v>
      </c>
      <c r="FR57" s="59">
        <f t="shared" ref="FR57:FR60" si="358">+FQ57*3.3058</f>
        <v>6730.2248313300006</v>
      </c>
      <c r="FS57" s="55">
        <f>+ES57*GZ57</f>
        <v>1981.5936140000001</v>
      </c>
      <c r="FT57" s="59">
        <f t="shared" ref="FT57:FT60" si="359">+FS57*3.3058</f>
        <v>6550.7521691612001</v>
      </c>
      <c r="FU57" s="60">
        <f>+ES57*HA57</f>
        <v>1927.3033780000001</v>
      </c>
      <c r="FV57" s="59">
        <f t="shared" ref="FV57:FV60" si="360">+FU57*3.3058</f>
        <v>6371.2795069924005</v>
      </c>
      <c r="FW57" s="60">
        <f>+ES57*HB57</f>
        <v>1873.013142</v>
      </c>
      <c r="FX57" s="59">
        <f t="shared" ref="FX57:FX60" si="361">+FW57*3.3058</f>
        <v>6191.8068448235999</v>
      </c>
      <c r="FY57" s="60">
        <f>+ES57*HC57</f>
        <v>1818.722906</v>
      </c>
      <c r="FZ57" s="59">
        <f t="shared" ref="FZ57:FZ60" si="362">+FY57*3.3058</f>
        <v>6012.3341826548003</v>
      </c>
      <c r="GA57" s="60">
        <f>+ES57*HD57</f>
        <v>1764.4326699999999</v>
      </c>
      <c r="GB57" s="59">
        <f t="shared" ref="GB57:GB60" si="363">+GA57*3.3058</f>
        <v>5832.8615204859998</v>
      </c>
      <c r="GC57" s="55">
        <f>+ES57*HE57</f>
        <v>1710.1424339999999</v>
      </c>
      <c r="GD57" s="59">
        <f t="shared" ref="GD57:GD60" si="364">+GC57*3.3058</f>
        <v>5653.3888583171993</v>
      </c>
      <c r="GE57" s="60">
        <f>+ES57*HF57</f>
        <v>1655.8521979999998</v>
      </c>
      <c r="GF57" s="59">
        <f t="shared" ref="GF57:GF60" si="365">+GE57*3.3058</f>
        <v>5473.9161961483996</v>
      </c>
      <c r="GG57" s="60">
        <f>+ES57*HG57</f>
        <v>1601.5619619999998</v>
      </c>
      <c r="GH57" s="59">
        <f t="shared" ref="GH57:GH60" si="366">+GG57*3.3058</f>
        <v>5294.4435339795991</v>
      </c>
      <c r="GI57" s="55">
        <f>+ES57*HH57</f>
        <v>1547.2717259999997</v>
      </c>
      <c r="GJ57" s="59">
        <f t="shared" ref="GJ57:GJ60" si="367">+GI57*3.3058</f>
        <v>5114.9708718107995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90"/>
        <v>0.91</v>
      </c>
      <c r="GR57" s="55">
        <f t="shared" si="290"/>
        <v>0.89</v>
      </c>
      <c r="GS57" s="55">
        <f t="shared" si="290"/>
        <v>0.87</v>
      </c>
      <c r="GT57" s="55">
        <f t="shared" si="290"/>
        <v>0.85</v>
      </c>
      <c r="GU57" s="55">
        <f t="shared" si="290"/>
        <v>0.83</v>
      </c>
      <c r="GV57" s="55">
        <f t="shared" si="290"/>
        <v>0.80999999999999994</v>
      </c>
      <c r="GW57" s="55">
        <f t="shared" si="290"/>
        <v>0.78999999999999992</v>
      </c>
      <c r="GX57" s="55">
        <f t="shared" si="290"/>
        <v>0.76999999999999991</v>
      </c>
      <c r="GY57" s="55">
        <f t="shared" si="290"/>
        <v>0.74999999999999989</v>
      </c>
      <c r="GZ57" s="55">
        <f t="shared" si="290"/>
        <v>0.72999999999999987</v>
      </c>
      <c r="HA57" s="55">
        <f t="shared" si="290"/>
        <v>0.70999999999999985</v>
      </c>
      <c r="HB57" s="55">
        <f t="shared" si="290"/>
        <v>0.68999999999999984</v>
      </c>
      <c r="HC57" s="55">
        <f t="shared" si="290"/>
        <v>0.66999999999999982</v>
      </c>
      <c r="HD57" s="55">
        <f t="shared" si="290"/>
        <v>0.6499999999999998</v>
      </c>
      <c r="HE57" s="55">
        <f t="shared" si="290"/>
        <v>0.62999999999999978</v>
      </c>
      <c r="HF57" s="55">
        <f t="shared" si="290"/>
        <v>0.60999999999999976</v>
      </c>
      <c r="HG57" s="55">
        <f t="shared" si="290"/>
        <v>0.58999999999999975</v>
      </c>
      <c r="HH57" s="55">
        <f t="shared" si="290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295"/>
        <v>0</v>
      </c>
      <c r="I58" s="55">
        <f t="shared" si="62"/>
        <v>0</v>
      </c>
      <c r="J58" s="59">
        <f t="shared" si="63"/>
        <v>0</v>
      </c>
      <c r="K58" s="55">
        <f t="shared" si="296"/>
        <v>0</v>
      </c>
      <c r="L58" s="59">
        <f t="shared" si="297"/>
        <v>0</v>
      </c>
      <c r="M58" s="55">
        <f t="shared" si="298"/>
        <v>0</v>
      </c>
      <c r="N58" s="59">
        <f t="shared" si="299"/>
        <v>0</v>
      </c>
      <c r="O58" s="55">
        <f>+I58*BF58</f>
        <v>0</v>
      </c>
      <c r="P58" s="59">
        <f t="shared" si="300"/>
        <v>0</v>
      </c>
      <c r="Q58" s="57">
        <f>+I58*BG58</f>
        <v>0</v>
      </c>
      <c r="R58" s="59">
        <f t="shared" si="301"/>
        <v>0</v>
      </c>
      <c r="S58" s="55">
        <f>+I58*BH58</f>
        <v>0</v>
      </c>
      <c r="T58" s="59">
        <f t="shared" si="302"/>
        <v>0</v>
      </c>
      <c r="U58" s="57">
        <f>+I58*BI58</f>
        <v>0</v>
      </c>
      <c r="V58" s="59">
        <f t="shared" si="303"/>
        <v>0</v>
      </c>
      <c r="W58" s="60">
        <f>+I58*BJ58</f>
        <v>0</v>
      </c>
      <c r="X58" s="59">
        <f t="shared" si="304"/>
        <v>0</v>
      </c>
      <c r="Y58" s="57">
        <f>+I58*BK58</f>
        <v>0</v>
      </c>
      <c r="Z58" s="59">
        <f t="shared" si="305"/>
        <v>0</v>
      </c>
      <c r="AA58" s="55">
        <f>+I58*BL58</f>
        <v>0</v>
      </c>
      <c r="AB58" s="59">
        <f t="shared" si="306"/>
        <v>0</v>
      </c>
      <c r="AC58" s="60">
        <f>+I58*BM58</f>
        <v>0</v>
      </c>
      <c r="AD58" s="59">
        <f t="shared" si="307"/>
        <v>0</v>
      </c>
      <c r="AE58" s="60">
        <f>+I58*BN58</f>
        <v>0</v>
      </c>
      <c r="AF58" s="59">
        <f t="shared" si="308"/>
        <v>0</v>
      </c>
      <c r="AG58" s="60">
        <f>+I58*BO58</f>
        <v>0</v>
      </c>
      <c r="AH58" s="59">
        <f t="shared" si="309"/>
        <v>0</v>
      </c>
      <c r="AI58" s="55">
        <f>+I58*BP58</f>
        <v>0</v>
      </c>
      <c r="AJ58" s="59">
        <f t="shared" si="310"/>
        <v>0</v>
      </c>
      <c r="AK58" s="60">
        <f>+I58*BQ58</f>
        <v>0</v>
      </c>
      <c r="AL58" s="59">
        <f t="shared" si="311"/>
        <v>0</v>
      </c>
      <c r="AM58" s="60">
        <f>+I58*BR58</f>
        <v>0</v>
      </c>
      <c r="AN58" s="59">
        <f t="shared" si="312"/>
        <v>0</v>
      </c>
      <c r="AO58" s="60">
        <f>+I58*BS58</f>
        <v>0</v>
      </c>
      <c r="AP58" s="59">
        <f t="shared" si="313"/>
        <v>0</v>
      </c>
      <c r="AQ58" s="60">
        <f>+I58*BT58</f>
        <v>0</v>
      </c>
      <c r="AR58" s="59">
        <f t="shared" si="314"/>
        <v>0</v>
      </c>
      <c r="AS58" s="55">
        <f>+I58*BU58</f>
        <v>0</v>
      </c>
      <c r="AT58" s="59">
        <f t="shared" si="315"/>
        <v>0</v>
      </c>
      <c r="AU58" s="60">
        <f>+I58*BV58</f>
        <v>0</v>
      </c>
      <c r="AV58" s="59">
        <f t="shared" si="316"/>
        <v>0</v>
      </c>
      <c r="AW58" s="60">
        <f>+I58*BW58</f>
        <v>0</v>
      </c>
      <c r="AX58" s="59">
        <f t="shared" si="317"/>
        <v>0</v>
      </c>
      <c r="AY58" s="55">
        <f>+I58*BX58</f>
        <v>0</v>
      </c>
      <c r="AZ58" s="59">
        <f t="shared" si="318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9"/>
        <v>0.91</v>
      </c>
      <c r="BH58" s="55">
        <f t="shared" si="319"/>
        <v>0.89</v>
      </c>
      <c r="BI58" s="55">
        <f t="shared" si="319"/>
        <v>0.87</v>
      </c>
      <c r="BJ58" s="55">
        <f t="shared" si="319"/>
        <v>0.85</v>
      </c>
      <c r="BK58" s="55">
        <f t="shared" si="319"/>
        <v>0.83</v>
      </c>
      <c r="BL58" s="55">
        <f t="shared" si="319"/>
        <v>0.80999999999999994</v>
      </c>
      <c r="BM58" s="55">
        <f t="shared" si="319"/>
        <v>0.78999999999999992</v>
      </c>
      <c r="BN58" s="55">
        <f t="shared" si="319"/>
        <v>0.76999999999999991</v>
      </c>
      <c r="BO58" s="55">
        <f t="shared" si="319"/>
        <v>0.74999999999999989</v>
      </c>
      <c r="BP58" s="55">
        <f t="shared" si="319"/>
        <v>0.72999999999999987</v>
      </c>
      <c r="BQ58" s="55">
        <f t="shared" si="319"/>
        <v>0.70999999999999985</v>
      </c>
      <c r="BR58" s="55">
        <f t="shared" si="319"/>
        <v>0.68999999999999984</v>
      </c>
      <c r="BS58" s="55">
        <f t="shared" si="319"/>
        <v>0.66999999999999982</v>
      </c>
      <c r="BT58" s="55">
        <f t="shared" si="319"/>
        <v>0.6499999999999998</v>
      </c>
      <c r="BU58" s="55">
        <f t="shared" si="319"/>
        <v>0.62999999999999978</v>
      </c>
      <c r="BV58" s="55">
        <f t="shared" si="319"/>
        <v>0.60999999999999976</v>
      </c>
      <c r="BW58" s="55">
        <f t="shared" si="319"/>
        <v>0.58999999999999975</v>
      </c>
      <c r="BX58" s="55">
        <f t="shared" si="319"/>
        <v>0.56999999999999973</v>
      </c>
      <c r="BZ58" s="55">
        <f t="shared" si="88"/>
        <v>0</v>
      </c>
      <c r="CA58" s="55">
        <f t="shared" si="89"/>
        <v>0</v>
      </c>
      <c r="CB58" s="59">
        <f t="shared" si="320"/>
        <v>0</v>
      </c>
      <c r="CC58" s="55">
        <f t="shared" si="321"/>
        <v>0</v>
      </c>
      <c r="CD58" s="59">
        <f t="shared" si="322"/>
        <v>0</v>
      </c>
      <c r="CE58" s="55">
        <f t="shared" si="323"/>
        <v>0</v>
      </c>
      <c r="CF58" s="59">
        <f t="shared" si="324"/>
        <v>0</v>
      </c>
      <c r="CG58" s="55">
        <f>+CA58*DX58</f>
        <v>0</v>
      </c>
      <c r="CH58" s="59">
        <f t="shared" si="325"/>
        <v>0</v>
      </c>
      <c r="CI58" s="57">
        <f>+CA58*DY58</f>
        <v>0</v>
      </c>
      <c r="CJ58" s="59">
        <f t="shared" si="326"/>
        <v>0</v>
      </c>
      <c r="CK58" s="55">
        <f>+CA58*DZ58</f>
        <v>0</v>
      </c>
      <c r="CL58" s="59">
        <f t="shared" si="327"/>
        <v>0</v>
      </c>
      <c r="CM58" s="57">
        <f>+CA58*EA58</f>
        <v>0</v>
      </c>
      <c r="CN58" s="59">
        <f t="shared" si="328"/>
        <v>0</v>
      </c>
      <c r="CO58" s="60">
        <f>+CA58*EB58</f>
        <v>0</v>
      </c>
      <c r="CP58" s="59">
        <f t="shared" si="329"/>
        <v>0</v>
      </c>
      <c r="CQ58" s="57">
        <f>+CA58*EC58</f>
        <v>0</v>
      </c>
      <c r="CR58" s="59">
        <f t="shared" si="330"/>
        <v>0</v>
      </c>
      <c r="CS58" s="55">
        <f>+CA58*ED58</f>
        <v>0</v>
      </c>
      <c r="CT58" s="59">
        <f t="shared" si="331"/>
        <v>0</v>
      </c>
      <c r="CU58" s="60">
        <f>+CA58*EE58</f>
        <v>0</v>
      </c>
      <c r="CV58" s="59">
        <f t="shared" si="332"/>
        <v>0</v>
      </c>
      <c r="CW58" s="60">
        <f>+CA58*EF58</f>
        <v>0</v>
      </c>
      <c r="CX58" s="59">
        <f t="shared" si="333"/>
        <v>0</v>
      </c>
      <c r="CY58" s="60">
        <f>+CA58*EG58</f>
        <v>0</v>
      </c>
      <c r="CZ58" s="59">
        <f t="shared" si="334"/>
        <v>0</v>
      </c>
      <c r="DA58" s="55">
        <f>+CA58*EH58</f>
        <v>0</v>
      </c>
      <c r="DB58" s="59">
        <f t="shared" si="335"/>
        <v>0</v>
      </c>
      <c r="DC58" s="60">
        <f>+CA58*EI58</f>
        <v>0</v>
      </c>
      <c r="DD58" s="59">
        <f t="shared" si="336"/>
        <v>0</v>
      </c>
      <c r="DE58" s="60">
        <f>+CA58*EJ58</f>
        <v>0</v>
      </c>
      <c r="DF58" s="59">
        <f t="shared" si="337"/>
        <v>0</v>
      </c>
      <c r="DG58" s="60">
        <f>+CA58*EK58</f>
        <v>0</v>
      </c>
      <c r="DH58" s="59">
        <f t="shared" si="338"/>
        <v>0</v>
      </c>
      <c r="DI58" s="60">
        <f>+CA58*EL58</f>
        <v>0</v>
      </c>
      <c r="DJ58" s="59">
        <f t="shared" si="339"/>
        <v>0</v>
      </c>
      <c r="DK58" s="55">
        <f>+CA58*EM58</f>
        <v>0</v>
      </c>
      <c r="DL58" s="59">
        <f t="shared" si="340"/>
        <v>0</v>
      </c>
      <c r="DM58" s="60">
        <f>+CA58*EN58</f>
        <v>0</v>
      </c>
      <c r="DN58" s="59">
        <f t="shared" si="341"/>
        <v>0</v>
      </c>
      <c r="DO58" s="60">
        <f>+CA58*EO58</f>
        <v>0</v>
      </c>
      <c r="DP58" s="59">
        <f t="shared" si="342"/>
        <v>0</v>
      </c>
      <c r="DQ58" s="55">
        <f>+CA58*EP58</f>
        <v>0</v>
      </c>
      <c r="DR58" s="59">
        <f t="shared" si="343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9"/>
        <v>0.91</v>
      </c>
      <c r="DZ58" s="55">
        <f t="shared" si="289"/>
        <v>0.89</v>
      </c>
      <c r="EA58" s="55">
        <f t="shared" si="289"/>
        <v>0.87</v>
      </c>
      <c r="EB58" s="55">
        <f t="shared" si="289"/>
        <v>0.85</v>
      </c>
      <c r="EC58" s="55">
        <f t="shared" si="289"/>
        <v>0.83</v>
      </c>
      <c r="ED58" s="55">
        <f t="shared" si="289"/>
        <v>0.80999999999999994</v>
      </c>
      <c r="EE58" s="55">
        <f t="shared" si="289"/>
        <v>0.78999999999999992</v>
      </c>
      <c r="EF58" s="55">
        <f t="shared" si="289"/>
        <v>0.76999999999999991</v>
      </c>
      <c r="EG58" s="55">
        <f t="shared" si="289"/>
        <v>0.74999999999999989</v>
      </c>
      <c r="EH58" s="55">
        <f t="shared" si="289"/>
        <v>0.72999999999999987</v>
      </c>
      <c r="EI58" s="55">
        <f t="shared" si="289"/>
        <v>0.70999999999999985</v>
      </c>
      <c r="EJ58" s="55">
        <f t="shared" si="289"/>
        <v>0.68999999999999984</v>
      </c>
      <c r="EK58" s="55">
        <f t="shared" si="289"/>
        <v>0.66999999999999982</v>
      </c>
      <c r="EL58" s="55">
        <f t="shared" si="289"/>
        <v>0.6499999999999998</v>
      </c>
      <c r="EM58" s="55">
        <f t="shared" si="289"/>
        <v>0.62999999999999978</v>
      </c>
      <c r="EN58" s="55">
        <f t="shared" si="289"/>
        <v>0.60999999999999976</v>
      </c>
      <c r="EO58" s="55">
        <f t="shared" si="289"/>
        <v>0.58999999999999975</v>
      </c>
      <c r="EP58" s="55">
        <f t="shared" si="289"/>
        <v>0.56999999999999973</v>
      </c>
      <c r="ER58" s="55">
        <f t="shared" si="142"/>
        <v>0</v>
      </c>
      <c r="ES58" s="55">
        <f t="shared" si="116"/>
        <v>0</v>
      </c>
      <c r="ET58" s="59">
        <f t="shared" si="344"/>
        <v>0</v>
      </c>
      <c r="EU58" s="55">
        <f t="shared" si="345"/>
        <v>0</v>
      </c>
      <c r="EV58" s="59">
        <f t="shared" si="346"/>
        <v>0</v>
      </c>
      <c r="EW58" s="55">
        <f t="shared" si="347"/>
        <v>0</v>
      </c>
      <c r="EX58" s="59">
        <f t="shared" si="348"/>
        <v>0</v>
      </c>
      <c r="EY58" s="55">
        <f>+ES58*GP58</f>
        <v>0</v>
      </c>
      <c r="EZ58" s="59">
        <f t="shared" si="349"/>
        <v>0</v>
      </c>
      <c r="FA58" s="57">
        <f>+ES58*GQ58</f>
        <v>0</v>
      </c>
      <c r="FB58" s="59">
        <f t="shared" si="350"/>
        <v>0</v>
      </c>
      <c r="FC58" s="55">
        <f>+ES58*GR58</f>
        <v>0</v>
      </c>
      <c r="FD58" s="59">
        <f t="shared" si="351"/>
        <v>0</v>
      </c>
      <c r="FE58" s="57">
        <f>+ES58*GS58</f>
        <v>0</v>
      </c>
      <c r="FF58" s="59">
        <f t="shared" si="352"/>
        <v>0</v>
      </c>
      <c r="FG58" s="60">
        <f>+ES58*GT58</f>
        <v>0</v>
      </c>
      <c r="FH58" s="59">
        <f t="shared" si="353"/>
        <v>0</v>
      </c>
      <c r="FI58" s="57">
        <f>+ES58*GU58</f>
        <v>0</v>
      </c>
      <c r="FJ58" s="59">
        <f t="shared" si="354"/>
        <v>0</v>
      </c>
      <c r="FK58" s="55">
        <f>+ES58*GV58</f>
        <v>0</v>
      </c>
      <c r="FL58" s="59">
        <f t="shared" si="355"/>
        <v>0</v>
      </c>
      <c r="FM58" s="60">
        <f>+ES58*GW58</f>
        <v>0</v>
      </c>
      <c r="FN58" s="59">
        <f t="shared" si="356"/>
        <v>0</v>
      </c>
      <c r="FO58" s="60">
        <f>+ES58*GX58</f>
        <v>0</v>
      </c>
      <c r="FP58" s="59">
        <f t="shared" si="357"/>
        <v>0</v>
      </c>
      <c r="FQ58" s="60">
        <f>+ES58*GY58</f>
        <v>0</v>
      </c>
      <c r="FR58" s="59">
        <f t="shared" si="358"/>
        <v>0</v>
      </c>
      <c r="FS58" s="55">
        <f>+ES58*GZ58</f>
        <v>0</v>
      </c>
      <c r="FT58" s="59">
        <f t="shared" si="359"/>
        <v>0</v>
      </c>
      <c r="FU58" s="60">
        <f>+ES58*HA58</f>
        <v>0</v>
      </c>
      <c r="FV58" s="59">
        <f t="shared" si="360"/>
        <v>0</v>
      </c>
      <c r="FW58" s="60">
        <f>+ES58*HB58</f>
        <v>0</v>
      </c>
      <c r="FX58" s="59">
        <f t="shared" si="361"/>
        <v>0</v>
      </c>
      <c r="FY58" s="60">
        <f>+ES58*HC58</f>
        <v>0</v>
      </c>
      <c r="FZ58" s="59">
        <f t="shared" si="362"/>
        <v>0</v>
      </c>
      <c r="GA58" s="60">
        <f>+ES58*HD58</f>
        <v>0</v>
      </c>
      <c r="GB58" s="59">
        <f t="shared" si="363"/>
        <v>0</v>
      </c>
      <c r="GC58" s="55">
        <f>+ES58*HE58</f>
        <v>0</v>
      </c>
      <c r="GD58" s="59">
        <f t="shared" si="364"/>
        <v>0</v>
      </c>
      <c r="GE58" s="60">
        <f>+ES58*HF58</f>
        <v>0</v>
      </c>
      <c r="GF58" s="59">
        <f t="shared" si="365"/>
        <v>0</v>
      </c>
      <c r="GG58" s="60">
        <f>+ES58*HG58</f>
        <v>0</v>
      </c>
      <c r="GH58" s="59">
        <f t="shared" si="366"/>
        <v>0</v>
      </c>
      <c r="GI58" s="55">
        <f>+ES58*HH58</f>
        <v>0</v>
      </c>
      <c r="GJ58" s="59">
        <f t="shared" si="367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90"/>
        <v>0.91</v>
      </c>
      <c r="GR58" s="55">
        <f t="shared" si="290"/>
        <v>0.89</v>
      </c>
      <c r="GS58" s="55">
        <f t="shared" si="290"/>
        <v>0.87</v>
      </c>
      <c r="GT58" s="55">
        <f t="shared" si="290"/>
        <v>0.85</v>
      </c>
      <c r="GU58" s="55">
        <f t="shared" si="290"/>
        <v>0.83</v>
      </c>
      <c r="GV58" s="55">
        <f t="shared" si="290"/>
        <v>0.80999999999999994</v>
      </c>
      <c r="GW58" s="55">
        <f t="shared" si="290"/>
        <v>0.78999999999999992</v>
      </c>
      <c r="GX58" s="55">
        <f t="shared" si="290"/>
        <v>0.76999999999999991</v>
      </c>
      <c r="GY58" s="55">
        <f t="shared" si="290"/>
        <v>0.74999999999999989</v>
      </c>
      <c r="GZ58" s="55">
        <f t="shared" si="290"/>
        <v>0.72999999999999987</v>
      </c>
      <c r="HA58" s="55">
        <f t="shared" si="290"/>
        <v>0.70999999999999985</v>
      </c>
      <c r="HB58" s="55">
        <f t="shared" si="290"/>
        <v>0.68999999999999984</v>
      </c>
      <c r="HC58" s="55">
        <f t="shared" si="290"/>
        <v>0.66999999999999982</v>
      </c>
      <c r="HD58" s="55">
        <f t="shared" si="290"/>
        <v>0.6499999999999998</v>
      </c>
      <c r="HE58" s="55">
        <f t="shared" si="290"/>
        <v>0.62999999999999978</v>
      </c>
      <c r="HF58" s="55">
        <f t="shared" si="290"/>
        <v>0.60999999999999976</v>
      </c>
      <c r="HG58" s="55">
        <f t="shared" si="290"/>
        <v>0.58999999999999975</v>
      </c>
      <c r="HH58" s="55">
        <f t="shared" si="290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f>TRUNC(183,-1)</f>
        <v>180</v>
      </c>
      <c r="E59" s="72">
        <f>TRUNC(+D59*3.3058,-1)</f>
        <v>590</v>
      </c>
      <c r="H59" s="55">
        <f t="shared" si="295"/>
        <v>198.00000000000003</v>
      </c>
      <c r="I59" s="55">
        <f t="shared" si="62"/>
        <v>198.00000000000003</v>
      </c>
      <c r="J59" s="59">
        <f t="shared" si="63"/>
        <v>654.54840000000013</v>
      </c>
      <c r="K59" s="55">
        <f t="shared" si="296"/>
        <v>192.06000000000003</v>
      </c>
      <c r="L59" s="59">
        <f t="shared" si="297"/>
        <v>634.91194800000017</v>
      </c>
      <c r="M59" s="55">
        <f t="shared" si="298"/>
        <v>188.10000000000002</v>
      </c>
      <c r="N59" s="59">
        <f t="shared" si="299"/>
        <v>621.82098000000008</v>
      </c>
      <c r="O59" s="55">
        <f>+I59*BF59</f>
        <v>184.14000000000004</v>
      </c>
      <c r="P59" s="59">
        <f t="shared" si="300"/>
        <v>608.7300120000001</v>
      </c>
      <c r="Q59" s="57">
        <f>+I59*BG59</f>
        <v>180.18000000000004</v>
      </c>
      <c r="R59" s="59">
        <f t="shared" si="301"/>
        <v>595.63904400000013</v>
      </c>
      <c r="S59" s="55">
        <f>+I59*BH59</f>
        <v>176.22000000000003</v>
      </c>
      <c r="T59" s="59">
        <f t="shared" si="302"/>
        <v>582.54807600000015</v>
      </c>
      <c r="U59" s="57">
        <f>+I59*BI59</f>
        <v>172.26000000000002</v>
      </c>
      <c r="V59" s="59">
        <f t="shared" si="303"/>
        <v>569.45710800000006</v>
      </c>
      <c r="W59" s="60">
        <f>+I59*BJ59</f>
        <v>168.3</v>
      </c>
      <c r="X59" s="59">
        <f t="shared" si="304"/>
        <v>556.36614000000009</v>
      </c>
      <c r="Y59" s="57">
        <f>+I59*BK59</f>
        <v>164.34</v>
      </c>
      <c r="Z59" s="59">
        <f t="shared" si="305"/>
        <v>543.275172</v>
      </c>
      <c r="AA59" s="55">
        <f>+I59*BL59</f>
        <v>160.38000000000002</v>
      </c>
      <c r="AB59" s="59">
        <f t="shared" si="306"/>
        <v>530.18420400000014</v>
      </c>
      <c r="AC59" s="60">
        <f>+I59*BM59</f>
        <v>156.42000000000002</v>
      </c>
      <c r="AD59" s="59">
        <f t="shared" si="307"/>
        <v>517.09323600000005</v>
      </c>
      <c r="AE59" s="60">
        <f>+I59*BN59</f>
        <v>152.46</v>
      </c>
      <c r="AF59" s="59">
        <f t="shared" si="308"/>
        <v>504.00226800000002</v>
      </c>
      <c r="AG59" s="60">
        <f>+I59*BO59</f>
        <v>148.5</v>
      </c>
      <c r="AH59" s="59">
        <f t="shared" si="309"/>
        <v>490.91129999999998</v>
      </c>
      <c r="AI59" s="55">
        <f>+I59*BP59</f>
        <v>144.54</v>
      </c>
      <c r="AJ59" s="59">
        <f t="shared" si="310"/>
        <v>477.82033200000001</v>
      </c>
      <c r="AK59" s="60">
        <f>+I59*BQ59</f>
        <v>140.57999999999998</v>
      </c>
      <c r="AL59" s="59">
        <f t="shared" si="311"/>
        <v>464.72936399999998</v>
      </c>
      <c r="AM59" s="60">
        <f>+I59*BR59</f>
        <v>136.61999999999998</v>
      </c>
      <c r="AN59" s="59">
        <f t="shared" si="312"/>
        <v>451.63839599999994</v>
      </c>
      <c r="AO59" s="60">
        <f>+I59*BS59</f>
        <v>132.66</v>
      </c>
      <c r="AP59" s="59">
        <f t="shared" si="313"/>
        <v>438.54742800000002</v>
      </c>
      <c r="AQ59" s="60">
        <f>+I59*BT59</f>
        <v>128.69999999999999</v>
      </c>
      <c r="AR59" s="59">
        <f t="shared" si="314"/>
        <v>425.45645999999999</v>
      </c>
      <c r="AS59" s="55">
        <f>+I59*BU59</f>
        <v>124.73999999999998</v>
      </c>
      <c r="AT59" s="59">
        <f t="shared" si="315"/>
        <v>412.36549199999996</v>
      </c>
      <c r="AU59" s="60">
        <f>+I59*BV59</f>
        <v>120.77999999999997</v>
      </c>
      <c r="AV59" s="59">
        <f t="shared" si="316"/>
        <v>399.27452399999993</v>
      </c>
      <c r="AW59" s="60">
        <f>+I59*BW59</f>
        <v>116.81999999999996</v>
      </c>
      <c r="AX59" s="59">
        <f t="shared" si="317"/>
        <v>386.1835559999999</v>
      </c>
      <c r="AY59" s="55">
        <f>+I59*BX59</f>
        <v>112.85999999999996</v>
      </c>
      <c r="AZ59" s="59">
        <f t="shared" si="318"/>
        <v>373.09258799999986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9"/>
        <v>0.91</v>
      </c>
      <c r="BH59" s="55">
        <f t="shared" si="319"/>
        <v>0.89</v>
      </c>
      <c r="BI59" s="55">
        <f t="shared" si="319"/>
        <v>0.87</v>
      </c>
      <c r="BJ59" s="55">
        <f t="shared" si="319"/>
        <v>0.85</v>
      </c>
      <c r="BK59" s="55">
        <f t="shared" si="319"/>
        <v>0.83</v>
      </c>
      <c r="BL59" s="55">
        <f t="shared" si="319"/>
        <v>0.80999999999999994</v>
      </c>
      <c r="BM59" s="55">
        <f t="shared" si="319"/>
        <v>0.78999999999999992</v>
      </c>
      <c r="BN59" s="55">
        <f t="shared" si="319"/>
        <v>0.76999999999999991</v>
      </c>
      <c r="BO59" s="55">
        <f t="shared" si="319"/>
        <v>0.74999999999999989</v>
      </c>
      <c r="BP59" s="55">
        <f t="shared" si="319"/>
        <v>0.72999999999999987</v>
      </c>
      <c r="BQ59" s="55">
        <f t="shared" si="319"/>
        <v>0.70999999999999985</v>
      </c>
      <c r="BR59" s="55">
        <f t="shared" si="319"/>
        <v>0.68999999999999984</v>
      </c>
      <c r="BS59" s="55">
        <f t="shared" si="319"/>
        <v>0.66999999999999982</v>
      </c>
      <c r="BT59" s="55">
        <f t="shared" si="319"/>
        <v>0.6499999999999998</v>
      </c>
      <c r="BU59" s="55">
        <f t="shared" si="319"/>
        <v>0.62999999999999978</v>
      </c>
      <c r="BV59" s="55">
        <f t="shared" si="319"/>
        <v>0.60999999999999976</v>
      </c>
      <c r="BW59" s="55">
        <f t="shared" si="319"/>
        <v>0.58999999999999975</v>
      </c>
      <c r="BX59" s="55">
        <f t="shared" si="319"/>
        <v>0.56999999999999973</v>
      </c>
      <c r="BZ59" s="55">
        <f t="shared" si="88"/>
        <v>180.18000000000004</v>
      </c>
      <c r="CA59" s="55">
        <f t="shared" si="89"/>
        <v>180.18000000000004</v>
      </c>
      <c r="CB59" s="59">
        <f t="shared" si="320"/>
        <v>595.63904400000013</v>
      </c>
      <c r="CC59" s="55">
        <f t="shared" si="321"/>
        <v>174.77460000000002</v>
      </c>
      <c r="CD59" s="59">
        <f t="shared" si="322"/>
        <v>577.76987268000005</v>
      </c>
      <c r="CE59" s="55">
        <f t="shared" si="323"/>
        <v>171.17100000000002</v>
      </c>
      <c r="CF59" s="59">
        <f t="shared" si="324"/>
        <v>565.85709180000003</v>
      </c>
      <c r="CG59" s="55">
        <f>+CA59*DX59</f>
        <v>167.56740000000005</v>
      </c>
      <c r="CH59" s="59">
        <f t="shared" si="325"/>
        <v>553.94431092000013</v>
      </c>
      <c r="CI59" s="57">
        <f>+CA59*DY59</f>
        <v>163.96380000000005</v>
      </c>
      <c r="CJ59" s="59">
        <f t="shared" si="326"/>
        <v>542.03153004000012</v>
      </c>
      <c r="CK59" s="55">
        <f>+CA59*DZ59</f>
        <v>160.36020000000002</v>
      </c>
      <c r="CL59" s="59">
        <f t="shared" si="327"/>
        <v>530.11874916000011</v>
      </c>
      <c r="CM59" s="57">
        <f>+CA59*EA59</f>
        <v>156.75660000000002</v>
      </c>
      <c r="CN59" s="59">
        <f t="shared" si="328"/>
        <v>518.20596828000009</v>
      </c>
      <c r="CO59" s="60">
        <f>+CA59*EB59</f>
        <v>153.15300000000002</v>
      </c>
      <c r="CP59" s="59">
        <f t="shared" si="329"/>
        <v>506.29318740000008</v>
      </c>
      <c r="CQ59" s="57">
        <f>+CA59*EC59</f>
        <v>149.54940000000002</v>
      </c>
      <c r="CR59" s="59">
        <f t="shared" si="330"/>
        <v>494.38040652000007</v>
      </c>
      <c r="CS59" s="55">
        <f>+CA59*ED59</f>
        <v>145.94580000000002</v>
      </c>
      <c r="CT59" s="59">
        <f t="shared" si="331"/>
        <v>482.46762564000005</v>
      </c>
      <c r="CU59" s="60">
        <f>+CA59*EE59</f>
        <v>142.34220000000002</v>
      </c>
      <c r="CV59" s="59">
        <f t="shared" si="332"/>
        <v>470.55484476000009</v>
      </c>
      <c r="CW59" s="60">
        <f>+CA59*EF59</f>
        <v>138.73860000000002</v>
      </c>
      <c r="CX59" s="59">
        <f t="shared" si="333"/>
        <v>458.64206388000008</v>
      </c>
      <c r="CY59" s="60">
        <f>+CA59*EG59</f>
        <v>135.13500000000002</v>
      </c>
      <c r="CZ59" s="59">
        <f t="shared" si="334"/>
        <v>446.72928300000007</v>
      </c>
      <c r="DA59" s="55">
        <f>+CA59*EH59</f>
        <v>131.53139999999999</v>
      </c>
      <c r="DB59" s="59">
        <f t="shared" si="335"/>
        <v>434.81650212</v>
      </c>
      <c r="DC59" s="60">
        <f>+CA59*EI59</f>
        <v>127.9278</v>
      </c>
      <c r="DD59" s="59">
        <f t="shared" si="336"/>
        <v>422.90372124000004</v>
      </c>
      <c r="DE59" s="60">
        <f>+CA59*EJ59</f>
        <v>124.32419999999999</v>
      </c>
      <c r="DF59" s="59">
        <f t="shared" si="337"/>
        <v>410.99094035999997</v>
      </c>
      <c r="DG59" s="60">
        <f>+CA59*EK59</f>
        <v>120.72059999999999</v>
      </c>
      <c r="DH59" s="59">
        <f t="shared" si="338"/>
        <v>399.07815947999995</v>
      </c>
      <c r="DI59" s="60">
        <f>+CA59*EL59</f>
        <v>117.11699999999999</v>
      </c>
      <c r="DJ59" s="59">
        <f t="shared" si="339"/>
        <v>387.1653786</v>
      </c>
      <c r="DK59" s="55">
        <f>+CA59*EM59</f>
        <v>113.51339999999999</v>
      </c>
      <c r="DL59" s="59">
        <f t="shared" si="340"/>
        <v>375.25259771999998</v>
      </c>
      <c r="DM59" s="60">
        <f>+CA59*EN59</f>
        <v>109.90979999999998</v>
      </c>
      <c r="DN59" s="59">
        <f t="shared" si="341"/>
        <v>363.33981683999991</v>
      </c>
      <c r="DO59" s="60">
        <f>+CA59*EO59</f>
        <v>106.30619999999998</v>
      </c>
      <c r="DP59" s="59">
        <f t="shared" si="342"/>
        <v>351.42703595999996</v>
      </c>
      <c r="DQ59" s="55">
        <f>+CA59*EP59</f>
        <v>102.70259999999998</v>
      </c>
      <c r="DR59" s="59">
        <f t="shared" si="343"/>
        <v>339.51425507999994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9"/>
        <v>0.91</v>
      </c>
      <c r="DZ59" s="55">
        <f t="shared" si="289"/>
        <v>0.89</v>
      </c>
      <c r="EA59" s="55">
        <f t="shared" si="289"/>
        <v>0.87</v>
      </c>
      <c r="EB59" s="55">
        <f t="shared" si="289"/>
        <v>0.85</v>
      </c>
      <c r="EC59" s="55">
        <f t="shared" si="289"/>
        <v>0.83</v>
      </c>
      <c r="ED59" s="55">
        <f t="shared" si="289"/>
        <v>0.80999999999999994</v>
      </c>
      <c r="EE59" s="55">
        <f t="shared" si="289"/>
        <v>0.78999999999999992</v>
      </c>
      <c r="EF59" s="55">
        <f t="shared" si="289"/>
        <v>0.76999999999999991</v>
      </c>
      <c r="EG59" s="55">
        <f t="shared" si="289"/>
        <v>0.74999999999999989</v>
      </c>
      <c r="EH59" s="55">
        <f t="shared" si="289"/>
        <v>0.72999999999999987</v>
      </c>
      <c r="EI59" s="55">
        <f t="shared" si="289"/>
        <v>0.70999999999999985</v>
      </c>
      <c r="EJ59" s="55">
        <f t="shared" si="289"/>
        <v>0.68999999999999984</v>
      </c>
      <c r="EK59" s="55">
        <f t="shared" si="289"/>
        <v>0.66999999999999982</v>
      </c>
      <c r="EL59" s="55">
        <f t="shared" si="289"/>
        <v>0.6499999999999998</v>
      </c>
      <c r="EM59" s="55">
        <f t="shared" si="289"/>
        <v>0.62999999999999978</v>
      </c>
      <c r="EN59" s="55">
        <f t="shared" si="289"/>
        <v>0.60999999999999976</v>
      </c>
      <c r="EO59" s="55">
        <f t="shared" si="289"/>
        <v>0.58999999999999975</v>
      </c>
      <c r="EP59" s="55">
        <f t="shared" si="289"/>
        <v>0.56999999999999973</v>
      </c>
      <c r="ER59" s="55">
        <f t="shared" si="142"/>
        <v>163.96380000000005</v>
      </c>
      <c r="ES59" s="55">
        <f t="shared" si="116"/>
        <v>163.96380000000005</v>
      </c>
      <c r="ET59" s="59">
        <f t="shared" si="344"/>
        <v>542.03153004000012</v>
      </c>
      <c r="EU59" s="55">
        <f t="shared" si="345"/>
        <v>159.04488600000005</v>
      </c>
      <c r="EV59" s="59">
        <f t="shared" si="346"/>
        <v>525.77058413880013</v>
      </c>
      <c r="EW59" s="55">
        <f t="shared" si="347"/>
        <v>155.76561000000004</v>
      </c>
      <c r="EX59" s="59">
        <f t="shared" si="348"/>
        <v>514.92995353800018</v>
      </c>
      <c r="EY59" s="55">
        <f>+ES59*GP59</f>
        <v>152.48633400000006</v>
      </c>
      <c r="EZ59" s="59">
        <f t="shared" si="349"/>
        <v>504.08932293720022</v>
      </c>
      <c r="FA59" s="57">
        <f>+ES59*GQ59</f>
        <v>149.20705800000005</v>
      </c>
      <c r="FB59" s="59">
        <f t="shared" si="350"/>
        <v>493.24869233640015</v>
      </c>
      <c r="FC59" s="55">
        <f>+ES59*GR59</f>
        <v>145.92778200000004</v>
      </c>
      <c r="FD59" s="59">
        <f t="shared" si="351"/>
        <v>482.40806173560014</v>
      </c>
      <c r="FE59" s="57">
        <f>+ES59*GS59</f>
        <v>142.64850600000005</v>
      </c>
      <c r="FF59" s="59">
        <f t="shared" si="352"/>
        <v>471.56743113480019</v>
      </c>
      <c r="FG59" s="60">
        <f>+ES59*GT59</f>
        <v>139.36923000000004</v>
      </c>
      <c r="FH59" s="59">
        <f t="shared" si="353"/>
        <v>460.72680053400018</v>
      </c>
      <c r="FI59" s="57">
        <f>+ES59*GU59</f>
        <v>136.08995400000003</v>
      </c>
      <c r="FJ59" s="59">
        <f t="shared" si="354"/>
        <v>449.88616993320011</v>
      </c>
      <c r="FK59" s="55">
        <f>+ES59*GV59</f>
        <v>132.81067800000002</v>
      </c>
      <c r="FL59" s="59">
        <f t="shared" si="355"/>
        <v>439.0455393324001</v>
      </c>
      <c r="FM59" s="60">
        <f>+ES59*GW59</f>
        <v>129.53140200000001</v>
      </c>
      <c r="FN59" s="59">
        <f t="shared" si="356"/>
        <v>428.20490873160003</v>
      </c>
      <c r="FO59" s="60">
        <f>+ES59*GX59</f>
        <v>126.25212600000002</v>
      </c>
      <c r="FP59" s="59">
        <f t="shared" si="357"/>
        <v>417.36427813080007</v>
      </c>
      <c r="FQ59" s="60">
        <f>+ES59*GY59</f>
        <v>122.97285000000002</v>
      </c>
      <c r="FR59" s="59">
        <f t="shared" si="358"/>
        <v>406.52364753000006</v>
      </c>
      <c r="FS59" s="55">
        <f>+ES59*GZ59</f>
        <v>119.69357400000001</v>
      </c>
      <c r="FT59" s="59">
        <f t="shared" si="359"/>
        <v>395.68301692920005</v>
      </c>
      <c r="FU59" s="60">
        <f>+ES59*HA59</f>
        <v>116.41429800000002</v>
      </c>
      <c r="FV59" s="59">
        <f t="shared" si="360"/>
        <v>384.84238632840004</v>
      </c>
      <c r="FW59" s="60">
        <f>+ES59*HB59</f>
        <v>113.13502200000001</v>
      </c>
      <c r="FX59" s="59">
        <f t="shared" si="361"/>
        <v>374.00175572760003</v>
      </c>
      <c r="FY59" s="60">
        <f>+ES59*HC59</f>
        <v>109.855746</v>
      </c>
      <c r="FZ59" s="59">
        <f t="shared" si="362"/>
        <v>363.16112512680002</v>
      </c>
      <c r="GA59" s="60">
        <f>+ES59*HD59</f>
        <v>106.57647</v>
      </c>
      <c r="GB59" s="59">
        <f t="shared" si="363"/>
        <v>352.320494526</v>
      </c>
      <c r="GC59" s="55">
        <f>+ES59*HE59</f>
        <v>103.29719399999999</v>
      </c>
      <c r="GD59" s="59">
        <f t="shared" si="364"/>
        <v>341.47986392519999</v>
      </c>
      <c r="GE59" s="60">
        <f>+ES59*HF59</f>
        <v>100.01791799999999</v>
      </c>
      <c r="GF59" s="59">
        <f t="shared" si="365"/>
        <v>330.63923332439998</v>
      </c>
      <c r="GG59" s="60">
        <f>+ES59*HG59</f>
        <v>96.738641999999984</v>
      </c>
      <c r="GH59" s="59">
        <f t="shared" si="366"/>
        <v>319.79860272359997</v>
      </c>
      <c r="GI59" s="55">
        <f>+ES59*HH59</f>
        <v>93.459365999999989</v>
      </c>
      <c r="GJ59" s="59">
        <f t="shared" si="367"/>
        <v>308.95797212279996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90"/>
        <v>0.91</v>
      </c>
      <c r="GR59" s="55">
        <f t="shared" si="290"/>
        <v>0.89</v>
      </c>
      <c r="GS59" s="55">
        <f t="shared" si="290"/>
        <v>0.87</v>
      </c>
      <c r="GT59" s="55">
        <f t="shared" si="290"/>
        <v>0.85</v>
      </c>
      <c r="GU59" s="55">
        <f t="shared" si="290"/>
        <v>0.83</v>
      </c>
      <c r="GV59" s="55">
        <f t="shared" si="290"/>
        <v>0.80999999999999994</v>
      </c>
      <c r="GW59" s="55">
        <f t="shared" si="290"/>
        <v>0.78999999999999992</v>
      </c>
      <c r="GX59" s="55">
        <f t="shared" si="290"/>
        <v>0.76999999999999991</v>
      </c>
      <c r="GY59" s="55">
        <f t="shared" si="290"/>
        <v>0.74999999999999989</v>
      </c>
      <c r="GZ59" s="55">
        <f t="shared" si="290"/>
        <v>0.72999999999999987</v>
      </c>
      <c r="HA59" s="55">
        <f t="shared" si="290"/>
        <v>0.70999999999999985</v>
      </c>
      <c r="HB59" s="55">
        <f t="shared" si="290"/>
        <v>0.68999999999999984</v>
      </c>
      <c r="HC59" s="55">
        <f t="shared" si="290"/>
        <v>0.66999999999999982</v>
      </c>
      <c r="HD59" s="55">
        <f t="shared" si="290"/>
        <v>0.6499999999999998</v>
      </c>
      <c r="HE59" s="55">
        <f t="shared" si="290"/>
        <v>0.62999999999999978</v>
      </c>
      <c r="HF59" s="55">
        <f t="shared" si="290"/>
        <v>0.60999999999999976</v>
      </c>
      <c r="HG59" s="55">
        <f t="shared" si="290"/>
        <v>0.58999999999999975</v>
      </c>
      <c r="HH59" s="55">
        <f t="shared" si="290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3160</v>
      </c>
      <c r="E60" s="73">
        <f>SUM(E57:E59)</f>
        <v>10440</v>
      </c>
      <c r="H60" s="55">
        <f t="shared" si="295"/>
        <v>3476.0000000000005</v>
      </c>
      <c r="I60" s="55">
        <f t="shared" si="62"/>
        <v>3476.0000000000005</v>
      </c>
      <c r="J60" s="59">
        <f t="shared" si="63"/>
        <v>11490.960800000003</v>
      </c>
      <c r="K60" s="55">
        <f t="shared" si="296"/>
        <v>3371.7200000000003</v>
      </c>
      <c r="L60" s="59">
        <f t="shared" si="297"/>
        <v>11146.231976000001</v>
      </c>
      <c r="M60" s="55">
        <f t="shared" si="298"/>
        <v>3302.2000000000003</v>
      </c>
      <c r="N60" s="59">
        <f t="shared" si="299"/>
        <v>10916.412760000001</v>
      </c>
      <c r="O60" s="55">
        <f>+I60*BF60</f>
        <v>3232.6800000000007</v>
      </c>
      <c r="P60" s="59">
        <f t="shared" si="300"/>
        <v>10686.593544000003</v>
      </c>
      <c r="Q60" s="57">
        <f>+I60*BG60</f>
        <v>3163.1600000000003</v>
      </c>
      <c r="R60" s="59">
        <f t="shared" si="301"/>
        <v>10456.774328000001</v>
      </c>
      <c r="S60" s="55">
        <f>+I60*BH60</f>
        <v>3093.6400000000003</v>
      </c>
      <c r="T60" s="59">
        <f t="shared" si="302"/>
        <v>10226.955112000001</v>
      </c>
      <c r="U60" s="57">
        <f>+I60*BI60</f>
        <v>3024.1200000000003</v>
      </c>
      <c r="V60" s="59">
        <f t="shared" si="303"/>
        <v>9997.1358960000016</v>
      </c>
      <c r="W60" s="60">
        <f>+I60*BJ60</f>
        <v>2954.6000000000004</v>
      </c>
      <c r="X60" s="59">
        <f t="shared" si="304"/>
        <v>9767.3166800000017</v>
      </c>
      <c r="Y60" s="57">
        <f>+I60*BK60</f>
        <v>2885.0800000000004</v>
      </c>
      <c r="Z60" s="59">
        <f t="shared" si="305"/>
        <v>9537.4974640000019</v>
      </c>
      <c r="AA60" s="55">
        <f>+I60*BL60</f>
        <v>2815.56</v>
      </c>
      <c r="AB60" s="59">
        <f t="shared" si="306"/>
        <v>9307.6782480000002</v>
      </c>
      <c r="AC60" s="60">
        <f>+I60*BM60</f>
        <v>2746.04</v>
      </c>
      <c r="AD60" s="59">
        <f t="shared" si="307"/>
        <v>9077.8590320000003</v>
      </c>
      <c r="AE60" s="60">
        <f>+I60*BN60</f>
        <v>2676.52</v>
      </c>
      <c r="AF60" s="59">
        <f t="shared" si="308"/>
        <v>8848.0398160000004</v>
      </c>
      <c r="AG60" s="60">
        <f>+I60*BO60</f>
        <v>2607</v>
      </c>
      <c r="AH60" s="59">
        <f t="shared" si="309"/>
        <v>8618.2206000000006</v>
      </c>
      <c r="AI60" s="55">
        <f>+I60*BP60</f>
        <v>2537.48</v>
      </c>
      <c r="AJ60" s="59">
        <f t="shared" si="310"/>
        <v>8388.4013840000007</v>
      </c>
      <c r="AK60" s="60">
        <f>+I60*BQ60</f>
        <v>2467.96</v>
      </c>
      <c r="AL60" s="59">
        <f t="shared" si="311"/>
        <v>8158.5821679999999</v>
      </c>
      <c r="AM60" s="60">
        <f>+I60*BR60</f>
        <v>2398.4399999999996</v>
      </c>
      <c r="AN60" s="59">
        <f t="shared" si="312"/>
        <v>7928.7629519999991</v>
      </c>
      <c r="AO60" s="60">
        <f>+I60*BS60</f>
        <v>2328.9199999999996</v>
      </c>
      <c r="AP60" s="59">
        <f t="shared" si="313"/>
        <v>7698.9437359999993</v>
      </c>
      <c r="AQ60" s="60">
        <f>+I60*BT60</f>
        <v>2259.3999999999996</v>
      </c>
      <c r="AR60" s="59">
        <f t="shared" si="314"/>
        <v>7469.1245199999994</v>
      </c>
      <c r="AS60" s="55">
        <f>+I60*BU60</f>
        <v>2189.8799999999997</v>
      </c>
      <c r="AT60" s="59">
        <f t="shared" si="315"/>
        <v>7239.3053039999986</v>
      </c>
      <c r="AU60" s="60">
        <f>+I60*BV60</f>
        <v>2120.3599999999997</v>
      </c>
      <c r="AV60" s="59">
        <f t="shared" si="316"/>
        <v>7009.4860879999987</v>
      </c>
      <c r="AW60" s="60">
        <f>+I60*BW60</f>
        <v>2050.8399999999992</v>
      </c>
      <c r="AX60" s="59">
        <f t="shared" si="317"/>
        <v>6779.666871999998</v>
      </c>
      <c r="AY60" s="55">
        <f>+I60*BX60</f>
        <v>1981.3199999999993</v>
      </c>
      <c r="AZ60" s="59">
        <f t="shared" si="318"/>
        <v>6549.8476559999981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9"/>
        <v>0.91</v>
      </c>
      <c r="BH60" s="55">
        <f t="shared" si="319"/>
        <v>0.89</v>
      </c>
      <c r="BI60" s="55">
        <f t="shared" si="319"/>
        <v>0.87</v>
      </c>
      <c r="BJ60" s="55">
        <f t="shared" si="319"/>
        <v>0.85</v>
      </c>
      <c r="BK60" s="55">
        <f t="shared" si="319"/>
        <v>0.83</v>
      </c>
      <c r="BL60" s="55">
        <f t="shared" si="319"/>
        <v>0.80999999999999994</v>
      </c>
      <c r="BM60" s="55">
        <f t="shared" si="319"/>
        <v>0.78999999999999992</v>
      </c>
      <c r="BN60" s="55">
        <f t="shared" si="319"/>
        <v>0.76999999999999991</v>
      </c>
      <c r="BO60" s="55">
        <f t="shared" si="319"/>
        <v>0.74999999999999989</v>
      </c>
      <c r="BP60" s="55">
        <f t="shared" si="319"/>
        <v>0.72999999999999987</v>
      </c>
      <c r="BQ60" s="55">
        <f t="shared" si="319"/>
        <v>0.70999999999999985</v>
      </c>
      <c r="BR60" s="55">
        <f t="shared" si="319"/>
        <v>0.68999999999999984</v>
      </c>
      <c r="BS60" s="55">
        <f t="shared" si="319"/>
        <v>0.66999999999999982</v>
      </c>
      <c r="BT60" s="55">
        <f t="shared" si="319"/>
        <v>0.6499999999999998</v>
      </c>
      <c r="BU60" s="55">
        <f t="shared" si="319"/>
        <v>0.62999999999999978</v>
      </c>
      <c r="BV60" s="55">
        <f t="shared" si="319"/>
        <v>0.60999999999999976</v>
      </c>
      <c r="BW60" s="55">
        <f t="shared" si="319"/>
        <v>0.58999999999999975</v>
      </c>
      <c r="BX60" s="55">
        <f t="shared" si="319"/>
        <v>0.56999999999999973</v>
      </c>
      <c r="BZ60" s="55">
        <f t="shared" si="88"/>
        <v>3163.1600000000003</v>
      </c>
      <c r="CA60" s="55">
        <f t="shared" si="89"/>
        <v>3163.1600000000003</v>
      </c>
      <c r="CB60" s="59">
        <f t="shared" si="320"/>
        <v>10456.774328000001</v>
      </c>
      <c r="CC60" s="55">
        <f t="shared" si="321"/>
        <v>3068.2652000000003</v>
      </c>
      <c r="CD60" s="59">
        <f t="shared" si="322"/>
        <v>10143.07109816</v>
      </c>
      <c r="CE60" s="55">
        <f t="shared" si="323"/>
        <v>3005.002</v>
      </c>
      <c r="CF60" s="59">
        <f t="shared" si="324"/>
        <v>9933.9356115999999</v>
      </c>
      <c r="CG60" s="55">
        <f>+CA60*DX60</f>
        <v>2941.7388000000005</v>
      </c>
      <c r="CH60" s="59">
        <f t="shared" si="325"/>
        <v>9724.8001250400011</v>
      </c>
      <c r="CI60" s="57">
        <f>+CA60*DY60</f>
        <v>2878.4756000000002</v>
      </c>
      <c r="CJ60" s="59">
        <f t="shared" si="326"/>
        <v>9515.6646384800006</v>
      </c>
      <c r="CK60" s="55">
        <f>+CA60*DZ60</f>
        <v>2815.2124000000003</v>
      </c>
      <c r="CL60" s="59">
        <f t="shared" si="327"/>
        <v>9306.5291519200018</v>
      </c>
      <c r="CM60" s="57">
        <f>+CA60*EA60</f>
        <v>2751.9492000000005</v>
      </c>
      <c r="CN60" s="59">
        <f t="shared" si="328"/>
        <v>9097.3936653600013</v>
      </c>
      <c r="CO60" s="60">
        <f>+CA60*EB60</f>
        <v>2688.6860000000001</v>
      </c>
      <c r="CP60" s="59">
        <f t="shared" si="329"/>
        <v>8888.2581788000007</v>
      </c>
      <c r="CQ60" s="57">
        <f>+CA60*EC60</f>
        <v>2625.4228000000003</v>
      </c>
      <c r="CR60" s="59">
        <f t="shared" si="330"/>
        <v>8679.1226922400019</v>
      </c>
      <c r="CS60" s="55">
        <f>+CA60*ED60</f>
        <v>2562.1596</v>
      </c>
      <c r="CT60" s="59">
        <f t="shared" si="331"/>
        <v>8469.9872056799995</v>
      </c>
      <c r="CU60" s="60">
        <f>+CA60*EE60</f>
        <v>2498.8964000000001</v>
      </c>
      <c r="CV60" s="59">
        <f t="shared" si="332"/>
        <v>8260.8517191200008</v>
      </c>
      <c r="CW60" s="60">
        <f>+CA60*EF60</f>
        <v>2435.6331999999998</v>
      </c>
      <c r="CX60" s="59">
        <f t="shared" si="333"/>
        <v>8051.7162325599993</v>
      </c>
      <c r="CY60" s="60">
        <f>+CA60*EG60</f>
        <v>2372.37</v>
      </c>
      <c r="CZ60" s="59">
        <f t="shared" si="334"/>
        <v>7842.5807459999996</v>
      </c>
      <c r="DA60" s="55">
        <f>+CA60*EH60</f>
        <v>2309.1068</v>
      </c>
      <c r="DB60" s="59">
        <f t="shared" si="335"/>
        <v>7633.44525944</v>
      </c>
      <c r="DC60" s="60">
        <f>+CA60*EI60</f>
        <v>2245.8435999999997</v>
      </c>
      <c r="DD60" s="59">
        <f t="shared" si="336"/>
        <v>7424.3097728799994</v>
      </c>
      <c r="DE60" s="60">
        <f>+CA60*EJ60</f>
        <v>2182.5803999999998</v>
      </c>
      <c r="DF60" s="59">
        <f t="shared" si="337"/>
        <v>7215.1742863199997</v>
      </c>
      <c r="DG60" s="60">
        <f>+CA60*EK60</f>
        <v>2119.3171999999995</v>
      </c>
      <c r="DH60" s="59">
        <f t="shared" si="338"/>
        <v>7006.0387997599983</v>
      </c>
      <c r="DI60" s="60">
        <f>+CA60*EL60</f>
        <v>2056.0539999999996</v>
      </c>
      <c r="DJ60" s="59">
        <f t="shared" si="339"/>
        <v>6796.9033131999986</v>
      </c>
      <c r="DK60" s="55">
        <f>+CA60*EM60</f>
        <v>1992.7907999999995</v>
      </c>
      <c r="DL60" s="59">
        <f t="shared" si="340"/>
        <v>6587.7678266399989</v>
      </c>
      <c r="DM60" s="60">
        <f>+CA60*EN60</f>
        <v>1929.5275999999994</v>
      </c>
      <c r="DN60" s="59">
        <f t="shared" si="341"/>
        <v>6378.6323400799984</v>
      </c>
      <c r="DO60" s="60">
        <f>+CA60*EO60</f>
        <v>1866.2643999999993</v>
      </c>
      <c r="DP60" s="59">
        <f t="shared" si="342"/>
        <v>6169.4968535199978</v>
      </c>
      <c r="DQ60" s="55">
        <f>+CA60*EP60</f>
        <v>1803.0011999999992</v>
      </c>
      <c r="DR60" s="59">
        <f t="shared" si="343"/>
        <v>5960.3613669599972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9"/>
        <v>0.91</v>
      </c>
      <c r="DZ60" s="55">
        <f t="shared" si="289"/>
        <v>0.89</v>
      </c>
      <c r="EA60" s="55">
        <f t="shared" si="289"/>
        <v>0.87</v>
      </c>
      <c r="EB60" s="55">
        <f t="shared" si="289"/>
        <v>0.85</v>
      </c>
      <c r="EC60" s="55">
        <f t="shared" si="289"/>
        <v>0.83</v>
      </c>
      <c r="ED60" s="55">
        <f t="shared" si="289"/>
        <v>0.80999999999999994</v>
      </c>
      <c r="EE60" s="55">
        <f t="shared" si="289"/>
        <v>0.78999999999999992</v>
      </c>
      <c r="EF60" s="55">
        <f t="shared" si="289"/>
        <v>0.76999999999999991</v>
      </c>
      <c r="EG60" s="55">
        <f t="shared" si="289"/>
        <v>0.74999999999999989</v>
      </c>
      <c r="EH60" s="55">
        <f t="shared" si="289"/>
        <v>0.72999999999999987</v>
      </c>
      <c r="EI60" s="55">
        <f t="shared" si="289"/>
        <v>0.70999999999999985</v>
      </c>
      <c r="EJ60" s="55">
        <f t="shared" si="289"/>
        <v>0.68999999999999984</v>
      </c>
      <c r="EK60" s="55">
        <f t="shared" si="289"/>
        <v>0.66999999999999982</v>
      </c>
      <c r="EL60" s="55">
        <f t="shared" si="289"/>
        <v>0.6499999999999998</v>
      </c>
      <c r="EM60" s="55">
        <f t="shared" si="289"/>
        <v>0.62999999999999978</v>
      </c>
      <c r="EN60" s="55">
        <f t="shared" si="289"/>
        <v>0.60999999999999976</v>
      </c>
      <c r="EO60" s="55">
        <f t="shared" si="289"/>
        <v>0.58999999999999975</v>
      </c>
      <c r="EP60" s="55">
        <f t="shared" si="289"/>
        <v>0.56999999999999973</v>
      </c>
      <c r="ER60" s="55">
        <f t="shared" si="142"/>
        <v>2878.4756000000002</v>
      </c>
      <c r="ES60" s="55">
        <f t="shared" si="116"/>
        <v>2878.4756000000002</v>
      </c>
      <c r="ET60" s="59">
        <f t="shared" si="344"/>
        <v>9515.6646384800006</v>
      </c>
      <c r="EU60" s="55">
        <f t="shared" si="345"/>
        <v>2792.1213320000002</v>
      </c>
      <c r="EV60" s="59">
        <f t="shared" si="346"/>
        <v>9230.1946993256006</v>
      </c>
      <c r="EW60" s="55">
        <f t="shared" si="347"/>
        <v>2734.5518200000001</v>
      </c>
      <c r="EX60" s="59">
        <f t="shared" si="348"/>
        <v>9039.881406556</v>
      </c>
      <c r="EY60" s="55">
        <f>+ES60*GP60</f>
        <v>2676.9823080000006</v>
      </c>
      <c r="EZ60" s="59">
        <f t="shared" si="349"/>
        <v>8849.5681137864012</v>
      </c>
      <c r="FA60" s="57">
        <f>+ES60*GQ60</f>
        <v>2619.4127960000001</v>
      </c>
      <c r="FB60" s="59">
        <f t="shared" si="350"/>
        <v>8659.2548210168006</v>
      </c>
      <c r="FC60" s="55">
        <f>+ES60*GR60</f>
        <v>2561.843284</v>
      </c>
      <c r="FD60" s="59">
        <f t="shared" si="351"/>
        <v>8468.9415282472</v>
      </c>
      <c r="FE60" s="57">
        <f>+ES60*GS60</f>
        <v>2504.273772</v>
      </c>
      <c r="FF60" s="59">
        <f t="shared" si="352"/>
        <v>8278.6282354775994</v>
      </c>
      <c r="FG60" s="60">
        <f>+ES60*GT60</f>
        <v>2446.70426</v>
      </c>
      <c r="FH60" s="59">
        <f t="shared" si="353"/>
        <v>8088.3149427079998</v>
      </c>
      <c r="FI60" s="57">
        <f>+ES60*GU60</f>
        <v>2389.1347479999999</v>
      </c>
      <c r="FJ60" s="59">
        <f t="shared" si="354"/>
        <v>7898.0016499384001</v>
      </c>
      <c r="FK60" s="55">
        <f>+ES60*GV60</f>
        <v>2331.5652359999999</v>
      </c>
      <c r="FL60" s="59">
        <f t="shared" si="355"/>
        <v>7707.6883571687995</v>
      </c>
      <c r="FM60" s="60">
        <f>+ES60*GW60</f>
        <v>2273.9957239999999</v>
      </c>
      <c r="FN60" s="59">
        <f t="shared" si="356"/>
        <v>7517.3750643991998</v>
      </c>
      <c r="FO60" s="60">
        <f>+ES60*GX60</f>
        <v>2216.4262119999999</v>
      </c>
      <c r="FP60" s="59">
        <f t="shared" si="357"/>
        <v>7327.0617716296001</v>
      </c>
      <c r="FQ60" s="60">
        <f>+ES60*GY60</f>
        <v>2158.8566999999998</v>
      </c>
      <c r="FR60" s="59">
        <f t="shared" si="358"/>
        <v>7136.7484788599995</v>
      </c>
      <c r="FS60" s="55">
        <f>+ES60*GZ60</f>
        <v>2101.2871879999998</v>
      </c>
      <c r="FT60" s="59">
        <f t="shared" si="359"/>
        <v>6946.4351860903998</v>
      </c>
      <c r="FU60" s="60">
        <f>+ES60*HA60</f>
        <v>2043.7176759999998</v>
      </c>
      <c r="FV60" s="59">
        <f t="shared" si="360"/>
        <v>6756.1218933207992</v>
      </c>
      <c r="FW60" s="60">
        <f>+ES60*HB60</f>
        <v>1986.1481639999997</v>
      </c>
      <c r="FX60" s="59">
        <f t="shared" si="361"/>
        <v>6565.8086005511996</v>
      </c>
      <c r="FY60" s="60">
        <f>+ES60*HC60</f>
        <v>1928.5786519999997</v>
      </c>
      <c r="FZ60" s="59">
        <f t="shared" si="362"/>
        <v>6375.495307781599</v>
      </c>
      <c r="GA60" s="60">
        <f>+ES60*HD60</f>
        <v>1871.0091399999997</v>
      </c>
      <c r="GB60" s="59">
        <f t="shared" si="363"/>
        <v>6185.1820150119993</v>
      </c>
      <c r="GC60" s="55">
        <f>+ES60*HE60</f>
        <v>1813.4396279999994</v>
      </c>
      <c r="GD60" s="59">
        <f t="shared" si="364"/>
        <v>5994.8687222423978</v>
      </c>
      <c r="GE60" s="60">
        <f>+ES60*HF60</f>
        <v>1755.8701159999994</v>
      </c>
      <c r="GF60" s="59">
        <f t="shared" si="365"/>
        <v>5804.5554294727981</v>
      </c>
      <c r="GG60" s="60">
        <f>+ES60*HG60</f>
        <v>1698.3006039999993</v>
      </c>
      <c r="GH60" s="59">
        <f t="shared" si="366"/>
        <v>5614.2421367031975</v>
      </c>
      <c r="GI60" s="55">
        <f>+ES60*HH60</f>
        <v>1640.7310919999993</v>
      </c>
      <c r="GJ60" s="59">
        <f t="shared" si="367"/>
        <v>5423.9288439335978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90"/>
        <v>0.91</v>
      </c>
      <c r="GR60" s="55">
        <f t="shared" si="290"/>
        <v>0.89</v>
      </c>
      <c r="GS60" s="55">
        <f t="shared" si="290"/>
        <v>0.87</v>
      </c>
      <c r="GT60" s="55">
        <f t="shared" si="290"/>
        <v>0.85</v>
      </c>
      <c r="GU60" s="55">
        <f t="shared" si="290"/>
        <v>0.83</v>
      </c>
      <c r="GV60" s="55">
        <f t="shared" si="290"/>
        <v>0.80999999999999994</v>
      </c>
      <c r="GW60" s="55">
        <f t="shared" si="290"/>
        <v>0.78999999999999992</v>
      </c>
      <c r="GX60" s="55">
        <f t="shared" si="290"/>
        <v>0.76999999999999991</v>
      </c>
      <c r="GY60" s="55">
        <f t="shared" si="290"/>
        <v>0.74999999999999989</v>
      </c>
      <c r="GZ60" s="55">
        <f t="shared" si="290"/>
        <v>0.72999999999999987</v>
      </c>
      <c r="HA60" s="55">
        <f t="shared" si="290"/>
        <v>0.70999999999999985</v>
      </c>
      <c r="HB60" s="55">
        <f t="shared" si="290"/>
        <v>0.68999999999999984</v>
      </c>
      <c r="HC60" s="55">
        <f t="shared" si="290"/>
        <v>0.66999999999999982</v>
      </c>
      <c r="HD60" s="55">
        <f t="shared" si="290"/>
        <v>0.6499999999999998</v>
      </c>
      <c r="HE60" s="55">
        <f t="shared" si="290"/>
        <v>0.62999999999999978</v>
      </c>
      <c r="HF60" s="55">
        <f t="shared" si="290"/>
        <v>0.60999999999999976</v>
      </c>
      <c r="HG60" s="55">
        <f t="shared" si="290"/>
        <v>0.58999999999999975</v>
      </c>
      <c r="HH60" s="55">
        <f t="shared" si="290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8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9">+DW61-0.02</f>
        <v>0.91</v>
      </c>
      <c r="DY61" s="61">
        <f t="shared" si="369"/>
        <v>0.89</v>
      </c>
      <c r="DZ61" s="61">
        <f t="shared" si="369"/>
        <v>0.87</v>
      </c>
      <c r="EA61" s="61">
        <f t="shared" si="369"/>
        <v>0.85</v>
      </c>
      <c r="EB61" s="61">
        <f t="shared" si="369"/>
        <v>0.83</v>
      </c>
      <c r="EC61" s="61">
        <f t="shared" si="369"/>
        <v>0.80999999999999994</v>
      </c>
      <c r="ED61" s="61">
        <f t="shared" si="369"/>
        <v>0.78999999999999992</v>
      </c>
      <c r="EE61" s="61">
        <f t="shared" si="369"/>
        <v>0.76999999999999991</v>
      </c>
      <c r="EF61" s="61">
        <f t="shared" si="369"/>
        <v>0.74999999999999989</v>
      </c>
      <c r="EG61" s="61">
        <f t="shared" si="369"/>
        <v>0.72999999999999987</v>
      </c>
      <c r="EH61" s="61">
        <f t="shared" si="369"/>
        <v>0.70999999999999985</v>
      </c>
      <c r="EI61" s="61">
        <f t="shared" si="369"/>
        <v>0.68999999999999984</v>
      </c>
      <c r="EJ61" s="61">
        <f t="shared" si="369"/>
        <v>0.66999999999999982</v>
      </c>
      <c r="EK61" s="61">
        <f t="shared" si="369"/>
        <v>0.6499999999999998</v>
      </c>
      <c r="EL61" s="61">
        <f t="shared" si="369"/>
        <v>0.62999999999999978</v>
      </c>
      <c r="EM61" s="61">
        <f t="shared" si="369"/>
        <v>0.60999999999999976</v>
      </c>
      <c r="EN61" s="61">
        <f t="shared" si="369"/>
        <v>0.58999999999999975</v>
      </c>
      <c r="EO61" s="61">
        <f t="shared" si="369"/>
        <v>0.56999999999999973</v>
      </c>
      <c r="EQ61" s="61">
        <f t="shared" ref="EQ61:EQ62" si="370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71">+GO61-0.02</f>
        <v>0.91</v>
      </c>
      <c r="GQ61" s="61">
        <f t="shared" si="371"/>
        <v>0.89</v>
      </c>
      <c r="GR61" s="61">
        <f t="shared" si="371"/>
        <v>0.87</v>
      </c>
      <c r="GS61" s="61">
        <f t="shared" si="371"/>
        <v>0.85</v>
      </c>
      <c r="GT61" s="61">
        <f t="shared" si="371"/>
        <v>0.83</v>
      </c>
      <c r="GU61" s="61">
        <f t="shared" si="371"/>
        <v>0.80999999999999994</v>
      </c>
      <c r="GV61" s="61">
        <f t="shared" si="371"/>
        <v>0.78999999999999992</v>
      </c>
      <c r="GW61" s="61">
        <f t="shared" si="371"/>
        <v>0.76999999999999991</v>
      </c>
      <c r="GX61" s="61">
        <f t="shared" si="371"/>
        <v>0.74999999999999989</v>
      </c>
      <c r="GY61" s="61">
        <f t="shared" si="371"/>
        <v>0.72999999999999987</v>
      </c>
      <c r="GZ61" s="61">
        <f t="shared" si="371"/>
        <v>0.70999999999999985</v>
      </c>
      <c r="HA61" s="61">
        <f t="shared" si="371"/>
        <v>0.68999999999999984</v>
      </c>
      <c r="HB61" s="61">
        <f t="shared" si="371"/>
        <v>0.66999999999999982</v>
      </c>
      <c r="HC61" s="61">
        <f t="shared" si="371"/>
        <v>0.6499999999999998</v>
      </c>
      <c r="HD61" s="61">
        <f t="shared" si="371"/>
        <v>0.62999999999999978</v>
      </c>
      <c r="HE61" s="61">
        <f t="shared" si="371"/>
        <v>0.60999999999999976</v>
      </c>
      <c r="HF61" s="61">
        <f t="shared" si="371"/>
        <v>0.58999999999999975</v>
      </c>
      <c r="HG61" s="61">
        <f t="shared" si="371"/>
        <v>0.56999999999999973</v>
      </c>
    </row>
    <row r="62" spans="1:216" s="64" customFormat="1" ht="17.25" thickBot="1" x14ac:dyDescent="0.35">
      <c r="B62" s="64" t="s">
        <v>296</v>
      </c>
      <c r="C62" s="64" t="s">
        <v>297</v>
      </c>
      <c r="D62" s="65" t="s">
        <v>271</v>
      </c>
      <c r="E62" s="65" t="s">
        <v>154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8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9"/>
        <v>0.91</v>
      </c>
      <c r="DY62" s="61">
        <f t="shared" si="369"/>
        <v>0.89</v>
      </c>
      <c r="DZ62" s="61">
        <f t="shared" si="369"/>
        <v>0.87</v>
      </c>
      <c r="EA62" s="61">
        <f t="shared" si="369"/>
        <v>0.85</v>
      </c>
      <c r="EB62" s="61">
        <f t="shared" si="369"/>
        <v>0.83</v>
      </c>
      <c r="EC62" s="61">
        <f t="shared" si="369"/>
        <v>0.80999999999999994</v>
      </c>
      <c r="ED62" s="61">
        <f t="shared" si="369"/>
        <v>0.78999999999999992</v>
      </c>
      <c r="EE62" s="61">
        <f t="shared" si="369"/>
        <v>0.76999999999999991</v>
      </c>
      <c r="EF62" s="61">
        <f t="shared" si="369"/>
        <v>0.74999999999999989</v>
      </c>
      <c r="EG62" s="61">
        <f t="shared" si="369"/>
        <v>0.72999999999999987</v>
      </c>
      <c r="EH62" s="61">
        <f t="shared" si="369"/>
        <v>0.70999999999999985</v>
      </c>
      <c r="EI62" s="61">
        <f t="shared" si="369"/>
        <v>0.68999999999999984</v>
      </c>
      <c r="EJ62" s="61">
        <f t="shared" si="369"/>
        <v>0.66999999999999982</v>
      </c>
      <c r="EK62" s="61">
        <f t="shared" si="369"/>
        <v>0.6499999999999998</v>
      </c>
      <c r="EL62" s="61">
        <f t="shared" si="369"/>
        <v>0.62999999999999978</v>
      </c>
      <c r="EM62" s="61">
        <f t="shared" si="369"/>
        <v>0.60999999999999976</v>
      </c>
      <c r="EN62" s="61">
        <f t="shared" si="369"/>
        <v>0.58999999999999975</v>
      </c>
      <c r="EO62" s="61">
        <f t="shared" si="369"/>
        <v>0.56999999999999973</v>
      </c>
      <c r="EQ62" s="61">
        <f t="shared" si="370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71"/>
        <v>0.91</v>
      </c>
      <c r="GQ62" s="61">
        <f t="shared" si="371"/>
        <v>0.89</v>
      </c>
      <c r="GR62" s="61">
        <f t="shared" si="371"/>
        <v>0.87</v>
      </c>
      <c r="GS62" s="61">
        <f t="shared" si="371"/>
        <v>0.85</v>
      </c>
      <c r="GT62" s="61">
        <f t="shared" si="371"/>
        <v>0.83</v>
      </c>
      <c r="GU62" s="61">
        <f t="shared" si="371"/>
        <v>0.80999999999999994</v>
      </c>
      <c r="GV62" s="61">
        <f t="shared" si="371"/>
        <v>0.78999999999999992</v>
      </c>
      <c r="GW62" s="61">
        <f t="shared" si="371"/>
        <v>0.76999999999999991</v>
      </c>
      <c r="GX62" s="61">
        <f t="shared" si="371"/>
        <v>0.74999999999999989</v>
      </c>
      <c r="GY62" s="61">
        <f t="shared" si="371"/>
        <v>0.72999999999999987</v>
      </c>
      <c r="GZ62" s="61">
        <f t="shared" si="371"/>
        <v>0.70999999999999985</v>
      </c>
      <c r="HA62" s="61">
        <f t="shared" si="371"/>
        <v>0.68999999999999984</v>
      </c>
      <c r="HB62" s="61">
        <f t="shared" si="371"/>
        <v>0.66999999999999982</v>
      </c>
      <c r="HC62" s="61">
        <f t="shared" si="371"/>
        <v>0.6499999999999998</v>
      </c>
      <c r="HD62" s="61">
        <f t="shared" si="371"/>
        <v>0.62999999999999978</v>
      </c>
      <c r="HE62" s="61">
        <f t="shared" si="371"/>
        <v>0.60999999999999976</v>
      </c>
      <c r="HF62" s="61">
        <f t="shared" si="371"/>
        <v>0.58999999999999975</v>
      </c>
      <c r="HG62" s="61">
        <f t="shared" si="371"/>
        <v>0.56999999999999973</v>
      </c>
    </row>
    <row r="63" spans="1:216" x14ac:dyDescent="0.3">
      <c r="A63" s="2">
        <v>1</v>
      </c>
      <c r="C63" s="38" t="s">
        <v>30</v>
      </c>
      <c r="D63" s="40">
        <f>TRUNC(7867,-1)</f>
        <v>7860</v>
      </c>
      <c r="E63" s="70">
        <f t="shared" ref="E63:E88" si="372">TRUNC(+D63*3.3058,-1)</f>
        <v>25980</v>
      </c>
      <c r="H63" s="55">
        <f t="shared" ref="H63:H89" si="373">+D63*1.1</f>
        <v>8646</v>
      </c>
      <c r="I63" s="55">
        <f t="shared" si="62"/>
        <v>8646</v>
      </c>
      <c r="J63" s="59">
        <f t="shared" si="63"/>
        <v>28581.946800000002</v>
      </c>
      <c r="K63" s="55">
        <f t="shared" ref="K63:K89" si="374">+I63*BD63</f>
        <v>8386.619999999999</v>
      </c>
      <c r="L63" s="59">
        <f t="shared" ref="L63:L89" si="375">+K63*3.3058</f>
        <v>27724.488395999997</v>
      </c>
      <c r="M63" s="55">
        <f t="shared" ref="M63:M89" si="376">+I63*BE63</f>
        <v>8213.6999999999989</v>
      </c>
      <c r="N63" s="59">
        <f t="shared" ref="N63:N89" si="377">+M63*3.3058</f>
        <v>27152.849459999998</v>
      </c>
      <c r="O63" s="55">
        <f t="shared" ref="O63:O89" si="378">+I63*BF63</f>
        <v>8040.7800000000007</v>
      </c>
      <c r="P63" s="59">
        <f t="shared" ref="P63:P89" si="379">+O63*3.3058</f>
        <v>26581.210524000002</v>
      </c>
      <c r="Q63" s="57">
        <f t="shared" ref="Q63:Q89" si="380">+I63*BG63</f>
        <v>7867.8600000000006</v>
      </c>
      <c r="R63" s="59">
        <f t="shared" ref="R63:R89" si="381">+Q63*3.3058</f>
        <v>26009.571588000003</v>
      </c>
      <c r="S63" s="55">
        <f t="shared" ref="S63:S89" si="382">+I63*BH63</f>
        <v>7694.9400000000005</v>
      </c>
      <c r="T63" s="59">
        <f t="shared" ref="T63:T89" si="383">+S63*3.3058</f>
        <v>25437.932652000003</v>
      </c>
      <c r="U63" s="57">
        <f t="shared" ref="U63:U89" si="384">+I63*BI63</f>
        <v>7522.0199999999995</v>
      </c>
      <c r="V63" s="59">
        <f t="shared" ref="V63:V89" si="385">+U63*3.3058</f>
        <v>24866.293716</v>
      </c>
      <c r="W63" s="60">
        <f t="shared" ref="W63:W89" si="386">+I63*BJ63</f>
        <v>7349.0999999999995</v>
      </c>
      <c r="X63" s="59">
        <f t="shared" ref="X63:X89" si="387">+W63*3.3058</f>
        <v>24294.654779999997</v>
      </c>
      <c r="Y63" s="57">
        <f t="shared" ref="Y63:Y89" si="388">+I63*BK63</f>
        <v>7176.1799999999994</v>
      </c>
      <c r="Z63" s="59">
        <f t="shared" ref="Z63:Z89" si="389">+Y63*3.3058</f>
        <v>23723.015843999998</v>
      </c>
      <c r="AA63" s="55">
        <f t="shared" ref="AA63:AA89" si="390">+I63*BL63</f>
        <v>7003.2599999999993</v>
      </c>
      <c r="AB63" s="59">
        <f t="shared" ref="AB63:AB89" si="391">+AA63*3.3058</f>
        <v>23151.376907999998</v>
      </c>
      <c r="AC63" s="60">
        <f t="shared" ref="AC63:AC89" si="392">+I63*BM63</f>
        <v>6830.3399999999992</v>
      </c>
      <c r="AD63" s="59">
        <f t="shared" ref="AD63:AD89" si="393">+AC63*3.3058</f>
        <v>22579.737971999999</v>
      </c>
      <c r="AE63" s="60">
        <f t="shared" ref="AE63:AE89" si="394">+I63*BN63</f>
        <v>6657.4199999999992</v>
      </c>
      <c r="AF63" s="59">
        <f t="shared" ref="AF63:AF89" si="395">+AE63*3.3058</f>
        <v>22008.099035999996</v>
      </c>
      <c r="AG63" s="60">
        <f t="shared" ref="AG63:AG89" si="396">+I63*BO63</f>
        <v>6484.4999999999991</v>
      </c>
      <c r="AH63" s="59">
        <f t="shared" ref="AH63:AH89" si="397">+AG63*3.3058</f>
        <v>21436.460099999997</v>
      </c>
      <c r="AI63" s="55">
        <f t="shared" ref="AI63:AI89" si="398">+I63*BP63</f>
        <v>6311.579999999999</v>
      </c>
      <c r="AJ63" s="59">
        <f t="shared" ref="AJ63:AJ89" si="399">+AI63*3.3058</f>
        <v>20864.821163999997</v>
      </c>
      <c r="AK63" s="60">
        <f t="shared" ref="AK63:AK89" si="400">+I63*BQ63</f>
        <v>6138.6599999999989</v>
      </c>
      <c r="AL63" s="59">
        <f t="shared" ref="AL63:AL89" si="401">+AK63*3.3058</f>
        <v>20293.182227999998</v>
      </c>
      <c r="AM63" s="60">
        <f t="shared" ref="AM63:AM89" si="402">+I63*BR63</f>
        <v>5965.7399999999989</v>
      </c>
      <c r="AN63" s="59">
        <f t="shared" ref="AN63:AN89" si="403">+AM63*3.3058</f>
        <v>19721.543291999998</v>
      </c>
      <c r="AO63" s="60">
        <f t="shared" ref="AO63:AO89" si="404">+I63*BS63</f>
        <v>5792.8199999999988</v>
      </c>
      <c r="AP63" s="59">
        <f t="shared" ref="AP63:AP89" si="405">+AO63*3.3058</f>
        <v>19149.904355999995</v>
      </c>
      <c r="AQ63" s="60">
        <f t="shared" ref="AQ63:AQ89" si="406">+I63*BT63</f>
        <v>5619.8999999999978</v>
      </c>
      <c r="AR63" s="59">
        <f t="shared" ref="AR63:AR89" si="407">+AQ63*3.3058</f>
        <v>18578.265419999992</v>
      </c>
      <c r="AS63" s="55">
        <f t="shared" ref="AS63:AS89" si="408">+I63*BU63</f>
        <v>5446.9799999999977</v>
      </c>
      <c r="AT63" s="59">
        <f t="shared" ref="AT63:AT89" si="409">+AS63*3.3058</f>
        <v>18006.626483999993</v>
      </c>
      <c r="AU63" s="60">
        <f t="shared" ref="AU63:AU89" si="410">+I63*BV63</f>
        <v>5274.0599999999977</v>
      </c>
      <c r="AV63" s="59">
        <f t="shared" ref="AV63:AV89" si="411">+AU63*3.3058</f>
        <v>17434.987547999994</v>
      </c>
      <c r="AW63" s="60">
        <f t="shared" ref="AW63:AW89" si="412">+I63*BW63</f>
        <v>5101.1399999999976</v>
      </c>
      <c r="AX63" s="59">
        <f t="shared" ref="AX63:AX89" si="413">+AW63*3.3058</f>
        <v>16863.348611999991</v>
      </c>
      <c r="AY63" s="55">
        <f t="shared" ref="AY63:AY89" si="414">+I63*BX63</f>
        <v>4928.2199999999975</v>
      </c>
      <c r="AZ63" s="59">
        <f t="shared" ref="AZ63:AZ89" si="415">+AY63*3.3058</f>
        <v>16291.709675999991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16">+BF63-0.02</f>
        <v>0.91</v>
      </c>
      <c r="BH63" s="55">
        <f t="shared" si="416"/>
        <v>0.89</v>
      </c>
      <c r="BI63" s="55">
        <f t="shared" si="416"/>
        <v>0.87</v>
      </c>
      <c r="BJ63" s="55">
        <f t="shared" si="416"/>
        <v>0.85</v>
      </c>
      <c r="BK63" s="55">
        <f t="shared" si="416"/>
        <v>0.83</v>
      </c>
      <c r="BL63" s="55">
        <f t="shared" si="416"/>
        <v>0.80999999999999994</v>
      </c>
      <c r="BM63" s="55">
        <f t="shared" si="416"/>
        <v>0.78999999999999992</v>
      </c>
      <c r="BN63" s="55">
        <f t="shared" si="416"/>
        <v>0.76999999999999991</v>
      </c>
      <c r="BO63" s="55">
        <f t="shared" si="416"/>
        <v>0.74999999999999989</v>
      </c>
      <c r="BP63" s="55">
        <f t="shared" si="416"/>
        <v>0.72999999999999987</v>
      </c>
      <c r="BQ63" s="55">
        <f t="shared" si="416"/>
        <v>0.70999999999999985</v>
      </c>
      <c r="BR63" s="55">
        <f t="shared" si="416"/>
        <v>0.68999999999999984</v>
      </c>
      <c r="BS63" s="55">
        <f t="shared" si="416"/>
        <v>0.66999999999999982</v>
      </c>
      <c r="BT63" s="55">
        <f t="shared" si="416"/>
        <v>0.6499999999999998</v>
      </c>
      <c r="BU63" s="55">
        <f t="shared" si="416"/>
        <v>0.62999999999999978</v>
      </c>
      <c r="BV63" s="55">
        <f t="shared" si="416"/>
        <v>0.60999999999999976</v>
      </c>
      <c r="BW63" s="55">
        <f t="shared" si="416"/>
        <v>0.58999999999999975</v>
      </c>
      <c r="BX63" s="55">
        <f t="shared" si="416"/>
        <v>0.56999999999999973</v>
      </c>
      <c r="BZ63" s="55">
        <f t="shared" si="88"/>
        <v>7867.8600000000006</v>
      </c>
      <c r="CA63" s="55">
        <f t="shared" si="89"/>
        <v>7867.8600000000006</v>
      </c>
      <c r="CB63" s="59">
        <f t="shared" ref="CB63:CB89" si="417">+CA63*3.3058</f>
        <v>26009.571588000003</v>
      </c>
      <c r="CC63" s="55">
        <f t="shared" ref="CC63:CC89" si="418">+CA63*DV63</f>
        <v>7631.8242</v>
      </c>
      <c r="CD63" s="59">
        <f t="shared" ref="CD63:CD89" si="419">+CC63*3.3058</f>
        <v>25229.284440359999</v>
      </c>
      <c r="CE63" s="55">
        <f t="shared" ref="CE63:CE89" si="420">+CA63*DW63</f>
        <v>7474.4670000000006</v>
      </c>
      <c r="CF63" s="59">
        <f t="shared" ref="CF63:CF89" si="421">+CE63*3.3058</f>
        <v>24709.093008600001</v>
      </c>
      <c r="CG63" s="55">
        <f t="shared" ref="CG63:CG89" si="422">+CA63*DX63</f>
        <v>7317.1098000000011</v>
      </c>
      <c r="CH63" s="59">
        <f t="shared" ref="CH63:CH89" si="423">+CG63*3.3058</f>
        <v>24188.901576840006</v>
      </c>
      <c r="CI63" s="57">
        <f t="shared" ref="CI63:CI89" si="424">+CA63*DY63</f>
        <v>7159.7526000000007</v>
      </c>
      <c r="CJ63" s="59">
        <f t="shared" ref="CJ63:CJ89" si="425">+CI63*3.3058</f>
        <v>23668.710145080004</v>
      </c>
      <c r="CK63" s="55">
        <f t="shared" ref="CK63:CK89" si="426">+CA63*DZ63</f>
        <v>7002.3954000000003</v>
      </c>
      <c r="CL63" s="59">
        <f t="shared" ref="CL63:CL89" si="427">+CK63*3.3058</f>
        <v>23148.518713320002</v>
      </c>
      <c r="CM63" s="57">
        <f t="shared" ref="CM63:CM89" si="428">+CA63*EA63</f>
        <v>6845.0382000000009</v>
      </c>
      <c r="CN63" s="59">
        <f t="shared" ref="CN63:CN89" si="429">+CM63*3.3058</f>
        <v>22628.327281560003</v>
      </c>
      <c r="CO63" s="60">
        <f t="shared" ref="CO63:CO89" si="430">+CA63*EB63</f>
        <v>6687.6810000000005</v>
      </c>
      <c r="CP63" s="59">
        <f t="shared" ref="CP63:CP89" si="431">+CO63*3.3058</f>
        <v>22108.135849800001</v>
      </c>
      <c r="CQ63" s="57">
        <f t="shared" ref="CQ63:CQ89" si="432">+CA63*EC63</f>
        <v>6530.3238000000001</v>
      </c>
      <c r="CR63" s="59">
        <f t="shared" ref="CR63:CR89" si="433">+CQ63*3.3058</f>
        <v>21587.944418040002</v>
      </c>
      <c r="CS63" s="55">
        <f t="shared" ref="CS63:CS89" si="434">+CA63*ED63</f>
        <v>6372.9665999999997</v>
      </c>
      <c r="CT63" s="59">
        <f t="shared" ref="CT63:CT89" si="435">+CS63*3.3058</f>
        <v>21067.75298628</v>
      </c>
      <c r="CU63" s="60">
        <f t="shared" ref="CU63:CU89" si="436">+CA63*EE63</f>
        <v>6215.6094000000003</v>
      </c>
      <c r="CV63" s="59">
        <f t="shared" ref="CV63:CV89" si="437">+CU63*3.3058</f>
        <v>20547.561554520002</v>
      </c>
      <c r="CW63" s="60">
        <f t="shared" ref="CW63:CW89" si="438">+CA63*EF63</f>
        <v>6058.2521999999999</v>
      </c>
      <c r="CX63" s="59">
        <f t="shared" ref="CX63:CX89" si="439">+CW63*3.3058</f>
        <v>20027.37012276</v>
      </c>
      <c r="CY63" s="60">
        <f t="shared" ref="CY63:CY89" si="440">+CA63*EG63</f>
        <v>5900.8949999999995</v>
      </c>
      <c r="CZ63" s="59">
        <f t="shared" ref="CZ63:CZ89" si="441">+CY63*3.3058</f>
        <v>19507.178690999997</v>
      </c>
      <c r="DA63" s="55">
        <f t="shared" ref="DA63:DA89" si="442">+CA63*EH63</f>
        <v>5743.5377999999992</v>
      </c>
      <c r="DB63" s="59">
        <f t="shared" ref="DB63:DB89" si="443">+DA63*3.3058</f>
        <v>18986.987259239999</v>
      </c>
      <c r="DC63" s="60">
        <f t="shared" ref="DC63:DC89" si="444">+CA63*EI63</f>
        <v>5586.1805999999997</v>
      </c>
      <c r="DD63" s="59">
        <f t="shared" ref="DD63:DD89" si="445">+DC63*3.3058</f>
        <v>18466.79582748</v>
      </c>
      <c r="DE63" s="60">
        <f t="shared" ref="DE63:DE89" si="446">+CA63*EJ63</f>
        <v>5428.8233999999993</v>
      </c>
      <c r="DF63" s="59">
        <f t="shared" ref="DF63:DF89" si="447">+DE63*3.3058</f>
        <v>17946.604395719998</v>
      </c>
      <c r="DG63" s="60">
        <f t="shared" ref="DG63:DG89" si="448">+CA63*EK63</f>
        <v>5271.4661999999989</v>
      </c>
      <c r="DH63" s="59">
        <f t="shared" ref="DH63:DH89" si="449">+DG63*3.3058</f>
        <v>17426.412963959996</v>
      </c>
      <c r="DI63" s="60">
        <f t="shared" ref="DI63:DI89" si="450">+CA63*EL63</f>
        <v>5114.1089999999986</v>
      </c>
      <c r="DJ63" s="59">
        <f t="shared" ref="DJ63:DJ89" si="451">+DI63*3.3058</f>
        <v>16906.221532199994</v>
      </c>
      <c r="DK63" s="55">
        <f t="shared" ref="DK63:DK89" si="452">+CA63*EM63</f>
        <v>4956.7517999999991</v>
      </c>
      <c r="DL63" s="59">
        <f t="shared" ref="DL63:DL89" si="453">+DK63*3.3058</f>
        <v>16386.030100439999</v>
      </c>
      <c r="DM63" s="60">
        <f t="shared" ref="DM63:DM89" si="454">+CA63*EN63</f>
        <v>4799.3945999999987</v>
      </c>
      <c r="DN63" s="59">
        <f t="shared" ref="DN63:DN89" si="455">+DM63*3.3058</f>
        <v>15865.838668679997</v>
      </c>
      <c r="DO63" s="60">
        <f t="shared" ref="DO63:DO89" si="456">+CA63*EO63</f>
        <v>4642.0373999999983</v>
      </c>
      <c r="DP63" s="59">
        <f t="shared" ref="DP63:DP89" si="457">+DO63*3.3058</f>
        <v>15345.647236919995</v>
      </c>
      <c r="DQ63" s="55">
        <f t="shared" ref="DQ63:DQ89" si="458">+CA63*EP63</f>
        <v>4484.680199999998</v>
      </c>
      <c r="DR63" s="59">
        <f t="shared" ref="DR63:DR89" si="459">+DQ63*3.3058</f>
        <v>14825.455805159994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9"/>
        <v>0.91</v>
      </c>
      <c r="DZ63" s="55">
        <f t="shared" si="289"/>
        <v>0.89</v>
      </c>
      <c r="EA63" s="55">
        <f t="shared" si="289"/>
        <v>0.87</v>
      </c>
      <c r="EB63" s="55">
        <f t="shared" ref="EB63:EP63" si="460">+EA63-0.02</f>
        <v>0.85</v>
      </c>
      <c r="EC63" s="55">
        <f t="shared" si="460"/>
        <v>0.83</v>
      </c>
      <c r="ED63" s="55">
        <f t="shared" si="460"/>
        <v>0.80999999999999994</v>
      </c>
      <c r="EE63" s="55">
        <f t="shared" si="460"/>
        <v>0.78999999999999992</v>
      </c>
      <c r="EF63" s="55">
        <f t="shared" si="460"/>
        <v>0.76999999999999991</v>
      </c>
      <c r="EG63" s="55">
        <f t="shared" si="460"/>
        <v>0.74999999999999989</v>
      </c>
      <c r="EH63" s="55">
        <f t="shared" si="460"/>
        <v>0.72999999999999987</v>
      </c>
      <c r="EI63" s="55">
        <f t="shared" si="460"/>
        <v>0.70999999999999985</v>
      </c>
      <c r="EJ63" s="55">
        <f t="shared" si="460"/>
        <v>0.68999999999999984</v>
      </c>
      <c r="EK63" s="55">
        <f t="shared" si="460"/>
        <v>0.66999999999999982</v>
      </c>
      <c r="EL63" s="55">
        <f t="shared" si="460"/>
        <v>0.6499999999999998</v>
      </c>
      <c r="EM63" s="55">
        <f t="shared" si="460"/>
        <v>0.62999999999999978</v>
      </c>
      <c r="EN63" s="55">
        <f t="shared" si="460"/>
        <v>0.60999999999999976</v>
      </c>
      <c r="EO63" s="55">
        <f t="shared" si="460"/>
        <v>0.58999999999999975</v>
      </c>
      <c r="EP63" s="55">
        <f t="shared" si="460"/>
        <v>0.56999999999999973</v>
      </c>
      <c r="ER63" s="55">
        <f t="shared" si="142"/>
        <v>7159.7526000000007</v>
      </c>
      <c r="ES63" s="55">
        <f t="shared" si="116"/>
        <v>7159.7526000000007</v>
      </c>
      <c r="ET63" s="59">
        <f t="shared" ref="ET63:ET89" si="461">+ES63*3.3058</f>
        <v>23668.710145080004</v>
      </c>
      <c r="EU63" s="55">
        <f t="shared" ref="EU63:EU89" si="462">+ES63*GN63</f>
        <v>6944.9600220000002</v>
      </c>
      <c r="EV63" s="59">
        <f t="shared" ref="EV63:EV89" si="463">+EU63*3.3058</f>
        <v>22958.648840727601</v>
      </c>
      <c r="EW63" s="55">
        <f t="shared" ref="EW63:EW89" si="464">+ES63*GO63</f>
        <v>6801.7649700000002</v>
      </c>
      <c r="EX63" s="59">
        <f t="shared" ref="EX63:EX89" si="465">+EW63*3.3058</f>
        <v>22485.274637826002</v>
      </c>
      <c r="EY63" s="55">
        <f t="shared" ref="EY63:EY89" si="466">+ES63*GP63</f>
        <v>6658.5699180000011</v>
      </c>
      <c r="EZ63" s="59">
        <f t="shared" ref="EZ63:EZ89" si="467">+EY63*3.3058</f>
        <v>22011.900434924402</v>
      </c>
      <c r="FA63" s="57">
        <f t="shared" ref="FA63:FA89" si="468">+ES63*GQ63</f>
        <v>6515.374866000001</v>
      </c>
      <c r="FB63" s="59">
        <f t="shared" ref="FB63:FB89" si="469">+FA63*3.3058</f>
        <v>21538.526232022803</v>
      </c>
      <c r="FC63" s="55">
        <f t="shared" ref="FC63:FC89" si="470">+ES63*GR63</f>
        <v>6372.179814000001</v>
      </c>
      <c r="FD63" s="59">
        <f t="shared" ref="FD63:FD89" si="471">+FC63*3.3058</f>
        <v>21065.152029121204</v>
      </c>
      <c r="FE63" s="57">
        <f t="shared" ref="FE63:FE89" si="472">+ES63*GS63</f>
        <v>6228.984762000001</v>
      </c>
      <c r="FF63" s="59">
        <f t="shared" ref="FF63:FF89" si="473">+FE63*3.3058</f>
        <v>20591.777826219604</v>
      </c>
      <c r="FG63" s="60">
        <f t="shared" ref="FG63:FG89" si="474">+ES63*GT63</f>
        <v>6085.78971</v>
      </c>
      <c r="FH63" s="59">
        <f t="shared" ref="FH63:FH89" si="475">+FG63*3.3058</f>
        <v>20118.403623318001</v>
      </c>
      <c r="FI63" s="57">
        <f t="shared" ref="FI63:FI89" si="476">+ES63*GU63</f>
        <v>5942.594658</v>
      </c>
      <c r="FJ63" s="59">
        <f t="shared" ref="FJ63:FJ89" si="477">+FI63*3.3058</f>
        <v>19645.029420416402</v>
      </c>
      <c r="FK63" s="55">
        <f t="shared" ref="FK63:FK89" si="478">+ES63*GV63</f>
        <v>5799.3996059999999</v>
      </c>
      <c r="FL63" s="59">
        <f t="shared" ref="FL63:FL89" si="479">+FK63*3.3058</f>
        <v>19171.655217514799</v>
      </c>
      <c r="FM63" s="60">
        <f t="shared" ref="FM63:FM89" si="480">+ES63*GW63</f>
        <v>5656.2045539999999</v>
      </c>
      <c r="FN63" s="59">
        <f t="shared" ref="FN63:FN89" si="481">+FM63*3.3058</f>
        <v>18698.2810146132</v>
      </c>
      <c r="FO63" s="60">
        <f t="shared" ref="FO63:FO89" si="482">+ES63*GX63</f>
        <v>5513.0095019999999</v>
      </c>
      <c r="FP63" s="59">
        <f t="shared" ref="FP63:FP89" si="483">+FO63*3.3058</f>
        <v>18224.9068117116</v>
      </c>
      <c r="FQ63" s="60">
        <f t="shared" ref="FQ63:FQ89" si="484">+ES63*GY63</f>
        <v>5369.8144499999999</v>
      </c>
      <c r="FR63" s="59">
        <f t="shared" ref="FR63:FR89" si="485">+FQ63*3.3058</f>
        <v>17751.532608810001</v>
      </c>
      <c r="FS63" s="55">
        <f t="shared" ref="FS63:FS89" si="486">+ES63*GZ63</f>
        <v>5226.6193979999998</v>
      </c>
      <c r="FT63" s="59">
        <f t="shared" ref="FT63:FT89" si="487">+FS63*3.3058</f>
        <v>17278.158405908398</v>
      </c>
      <c r="FU63" s="60">
        <f t="shared" ref="FU63:FU89" si="488">+ES63*HA63</f>
        <v>5083.4243459999998</v>
      </c>
      <c r="FV63" s="59">
        <f t="shared" ref="FV63:FV89" si="489">+FU63*3.3058</f>
        <v>16804.784203006799</v>
      </c>
      <c r="FW63" s="60">
        <f t="shared" ref="FW63:FW89" si="490">+ES63*HB63</f>
        <v>4940.2292939999998</v>
      </c>
      <c r="FX63" s="59">
        <f t="shared" ref="FX63:FX89" si="491">+FW63*3.3058</f>
        <v>16331.410000105199</v>
      </c>
      <c r="FY63" s="60">
        <f t="shared" ref="FY63:FY89" si="492">+ES63*HC63</f>
        <v>4797.0342419999988</v>
      </c>
      <c r="FZ63" s="59">
        <f t="shared" ref="FZ63:FZ89" si="493">+FY63*3.3058</f>
        <v>15858.035797203596</v>
      </c>
      <c r="GA63" s="60">
        <f t="shared" ref="GA63:GA89" si="494">+ES63*HD63</f>
        <v>4653.8391899999988</v>
      </c>
      <c r="GB63" s="59">
        <f t="shared" ref="GB63:GB89" si="495">+GA63*3.3058</f>
        <v>15384.661594301997</v>
      </c>
      <c r="GC63" s="55">
        <f t="shared" ref="GC63:GC89" si="496">+ES63*HE63</f>
        <v>4510.6441379999987</v>
      </c>
      <c r="GD63" s="59">
        <f t="shared" ref="GD63:GD89" si="497">+GC63*3.3058</f>
        <v>14911.287391400396</v>
      </c>
      <c r="GE63" s="60">
        <f t="shared" ref="GE63:GE89" si="498">+ES63*HF63</f>
        <v>4367.4490859999987</v>
      </c>
      <c r="GF63" s="59">
        <f t="shared" ref="GF63:GF89" si="499">+GE63*3.3058</f>
        <v>14437.913188498796</v>
      </c>
      <c r="GG63" s="60">
        <f t="shared" ref="GG63:GG89" si="500">+ES63*HG63</f>
        <v>4224.2540339999987</v>
      </c>
      <c r="GH63" s="59">
        <f t="shared" ref="GH63:GH89" si="501">+GG63*3.3058</f>
        <v>13964.538985597195</v>
      </c>
      <c r="GI63" s="55">
        <f t="shared" ref="GI63:GI89" si="502">+ES63*HH63</f>
        <v>4081.0589819999987</v>
      </c>
      <c r="GJ63" s="59">
        <f t="shared" ref="GJ63:GJ89" si="503">+GI63*3.3058</f>
        <v>13491.164782695596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90"/>
        <v>0.91</v>
      </c>
      <c r="GR63" s="55">
        <f t="shared" si="290"/>
        <v>0.89</v>
      </c>
      <c r="GS63" s="55">
        <f t="shared" si="290"/>
        <v>0.87</v>
      </c>
      <c r="GT63" s="55">
        <f t="shared" ref="GT63:HH63" si="504">+GS63-0.02</f>
        <v>0.85</v>
      </c>
      <c r="GU63" s="55">
        <f t="shared" si="504"/>
        <v>0.83</v>
      </c>
      <c r="GV63" s="55">
        <f t="shared" si="504"/>
        <v>0.80999999999999994</v>
      </c>
      <c r="GW63" s="55">
        <f t="shared" si="504"/>
        <v>0.78999999999999992</v>
      </c>
      <c r="GX63" s="55">
        <f t="shared" si="504"/>
        <v>0.76999999999999991</v>
      </c>
      <c r="GY63" s="55">
        <f t="shared" si="504"/>
        <v>0.74999999999999989</v>
      </c>
      <c r="GZ63" s="55">
        <f t="shared" si="504"/>
        <v>0.72999999999999987</v>
      </c>
      <c r="HA63" s="55">
        <f t="shared" si="504"/>
        <v>0.70999999999999985</v>
      </c>
      <c r="HB63" s="55">
        <f t="shared" si="504"/>
        <v>0.68999999999999984</v>
      </c>
      <c r="HC63" s="55">
        <f t="shared" si="504"/>
        <v>0.66999999999999982</v>
      </c>
      <c r="HD63" s="55">
        <f t="shared" si="504"/>
        <v>0.6499999999999998</v>
      </c>
      <c r="HE63" s="55">
        <f t="shared" si="504"/>
        <v>0.62999999999999978</v>
      </c>
      <c r="HF63" s="55">
        <f t="shared" si="504"/>
        <v>0.60999999999999976</v>
      </c>
      <c r="HG63" s="55">
        <f t="shared" si="504"/>
        <v>0.58999999999999975</v>
      </c>
      <c r="HH63" s="55">
        <f t="shared" si="504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1">
        <f t="shared" si="372"/>
        <v>0</v>
      </c>
      <c r="H64" s="55">
        <f t="shared" si="373"/>
        <v>0</v>
      </c>
      <c r="I64" s="55">
        <f t="shared" si="62"/>
        <v>0</v>
      </c>
      <c r="J64" s="59">
        <f t="shared" si="63"/>
        <v>0</v>
      </c>
      <c r="K64" s="55">
        <f t="shared" si="374"/>
        <v>0</v>
      </c>
      <c r="L64" s="59">
        <f t="shared" si="375"/>
        <v>0</v>
      </c>
      <c r="M64" s="55">
        <f t="shared" si="376"/>
        <v>0</v>
      </c>
      <c r="N64" s="59">
        <f t="shared" si="377"/>
        <v>0</v>
      </c>
      <c r="O64" s="55">
        <f t="shared" si="378"/>
        <v>0</v>
      </c>
      <c r="P64" s="59">
        <f t="shared" si="379"/>
        <v>0</v>
      </c>
      <c r="Q64" s="57">
        <f t="shared" si="380"/>
        <v>0</v>
      </c>
      <c r="R64" s="59">
        <f t="shared" si="381"/>
        <v>0</v>
      </c>
      <c r="S64" s="55">
        <f t="shared" si="382"/>
        <v>0</v>
      </c>
      <c r="T64" s="59">
        <f t="shared" si="383"/>
        <v>0</v>
      </c>
      <c r="U64" s="57">
        <f t="shared" si="384"/>
        <v>0</v>
      </c>
      <c r="V64" s="59">
        <f t="shared" si="385"/>
        <v>0</v>
      </c>
      <c r="W64" s="60">
        <f t="shared" si="386"/>
        <v>0</v>
      </c>
      <c r="X64" s="59">
        <f t="shared" si="387"/>
        <v>0</v>
      </c>
      <c r="Y64" s="57">
        <f t="shared" si="388"/>
        <v>0</v>
      </c>
      <c r="Z64" s="59">
        <f t="shared" si="389"/>
        <v>0</v>
      </c>
      <c r="AA64" s="55">
        <f t="shared" si="390"/>
        <v>0</v>
      </c>
      <c r="AB64" s="59">
        <f t="shared" si="391"/>
        <v>0</v>
      </c>
      <c r="AC64" s="60">
        <f t="shared" si="392"/>
        <v>0</v>
      </c>
      <c r="AD64" s="59">
        <f t="shared" si="393"/>
        <v>0</v>
      </c>
      <c r="AE64" s="60">
        <f t="shared" si="394"/>
        <v>0</v>
      </c>
      <c r="AF64" s="59">
        <f t="shared" si="395"/>
        <v>0</v>
      </c>
      <c r="AG64" s="60">
        <f t="shared" si="396"/>
        <v>0</v>
      </c>
      <c r="AH64" s="59">
        <f t="shared" si="397"/>
        <v>0</v>
      </c>
      <c r="AI64" s="55">
        <f t="shared" si="398"/>
        <v>0</v>
      </c>
      <c r="AJ64" s="59">
        <f t="shared" si="399"/>
        <v>0</v>
      </c>
      <c r="AK64" s="60">
        <f t="shared" si="400"/>
        <v>0</v>
      </c>
      <c r="AL64" s="59">
        <f t="shared" si="401"/>
        <v>0</v>
      </c>
      <c r="AM64" s="60">
        <f t="shared" si="402"/>
        <v>0</v>
      </c>
      <c r="AN64" s="59">
        <f t="shared" si="403"/>
        <v>0</v>
      </c>
      <c r="AO64" s="60">
        <f t="shared" si="404"/>
        <v>0</v>
      </c>
      <c r="AP64" s="59">
        <f t="shared" si="405"/>
        <v>0</v>
      </c>
      <c r="AQ64" s="60">
        <f t="shared" si="406"/>
        <v>0</v>
      </c>
      <c r="AR64" s="59">
        <f t="shared" si="407"/>
        <v>0</v>
      </c>
      <c r="AS64" s="55">
        <f t="shared" si="408"/>
        <v>0</v>
      </c>
      <c r="AT64" s="59">
        <f t="shared" si="409"/>
        <v>0</v>
      </c>
      <c r="AU64" s="60">
        <f t="shared" si="410"/>
        <v>0</v>
      </c>
      <c r="AV64" s="59">
        <f t="shared" si="411"/>
        <v>0</v>
      </c>
      <c r="AW64" s="60">
        <f t="shared" si="412"/>
        <v>0</v>
      </c>
      <c r="AX64" s="59">
        <f t="shared" si="413"/>
        <v>0</v>
      </c>
      <c r="AY64" s="55">
        <f t="shared" si="414"/>
        <v>0</v>
      </c>
      <c r="AZ64" s="59">
        <f t="shared" si="415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16"/>
        <v>0.91</v>
      </c>
      <c r="BH64" s="55">
        <f t="shared" si="416"/>
        <v>0.89</v>
      </c>
      <c r="BI64" s="55">
        <f t="shared" si="416"/>
        <v>0.87</v>
      </c>
      <c r="BJ64" s="55">
        <f t="shared" si="416"/>
        <v>0.85</v>
      </c>
      <c r="BK64" s="55">
        <f t="shared" si="416"/>
        <v>0.83</v>
      </c>
      <c r="BL64" s="55">
        <f t="shared" si="416"/>
        <v>0.80999999999999994</v>
      </c>
      <c r="BM64" s="55">
        <f t="shared" si="416"/>
        <v>0.78999999999999992</v>
      </c>
      <c r="BN64" s="55">
        <f t="shared" si="416"/>
        <v>0.76999999999999991</v>
      </c>
      <c r="BO64" s="55">
        <f t="shared" si="416"/>
        <v>0.74999999999999989</v>
      </c>
      <c r="BP64" s="55">
        <f t="shared" si="416"/>
        <v>0.72999999999999987</v>
      </c>
      <c r="BQ64" s="55">
        <f t="shared" si="416"/>
        <v>0.70999999999999985</v>
      </c>
      <c r="BR64" s="55">
        <f t="shared" si="416"/>
        <v>0.68999999999999984</v>
      </c>
      <c r="BS64" s="55">
        <f t="shared" si="416"/>
        <v>0.66999999999999982</v>
      </c>
      <c r="BT64" s="55">
        <f t="shared" si="416"/>
        <v>0.6499999999999998</v>
      </c>
      <c r="BU64" s="55">
        <f t="shared" si="416"/>
        <v>0.62999999999999978</v>
      </c>
      <c r="BV64" s="55">
        <f t="shared" si="416"/>
        <v>0.60999999999999976</v>
      </c>
      <c r="BW64" s="55">
        <f t="shared" si="416"/>
        <v>0.58999999999999975</v>
      </c>
      <c r="BX64" s="55">
        <f t="shared" si="416"/>
        <v>0.56999999999999973</v>
      </c>
      <c r="BZ64" s="55">
        <f t="shared" si="88"/>
        <v>0</v>
      </c>
      <c r="CA64" s="55">
        <f t="shared" si="89"/>
        <v>0</v>
      </c>
      <c r="CB64" s="59">
        <f t="shared" si="417"/>
        <v>0</v>
      </c>
      <c r="CC64" s="55">
        <f t="shared" si="418"/>
        <v>0</v>
      </c>
      <c r="CD64" s="59">
        <f t="shared" si="419"/>
        <v>0</v>
      </c>
      <c r="CE64" s="55">
        <f t="shared" si="420"/>
        <v>0</v>
      </c>
      <c r="CF64" s="59">
        <f t="shared" si="421"/>
        <v>0</v>
      </c>
      <c r="CG64" s="55">
        <f t="shared" si="422"/>
        <v>0</v>
      </c>
      <c r="CH64" s="59">
        <f t="shared" si="423"/>
        <v>0</v>
      </c>
      <c r="CI64" s="57">
        <f t="shared" si="424"/>
        <v>0</v>
      </c>
      <c r="CJ64" s="59">
        <f t="shared" si="425"/>
        <v>0</v>
      </c>
      <c r="CK64" s="55">
        <f t="shared" si="426"/>
        <v>0</v>
      </c>
      <c r="CL64" s="59">
        <f t="shared" si="427"/>
        <v>0</v>
      </c>
      <c r="CM64" s="57">
        <f t="shared" si="428"/>
        <v>0</v>
      </c>
      <c r="CN64" s="59">
        <f t="shared" si="429"/>
        <v>0</v>
      </c>
      <c r="CO64" s="60">
        <f t="shared" si="430"/>
        <v>0</v>
      </c>
      <c r="CP64" s="59">
        <f t="shared" si="431"/>
        <v>0</v>
      </c>
      <c r="CQ64" s="57">
        <f t="shared" si="432"/>
        <v>0</v>
      </c>
      <c r="CR64" s="59">
        <f t="shared" si="433"/>
        <v>0</v>
      </c>
      <c r="CS64" s="55">
        <f t="shared" si="434"/>
        <v>0</v>
      </c>
      <c r="CT64" s="59">
        <f t="shared" si="435"/>
        <v>0</v>
      </c>
      <c r="CU64" s="60">
        <f t="shared" si="436"/>
        <v>0</v>
      </c>
      <c r="CV64" s="59">
        <f t="shared" si="437"/>
        <v>0</v>
      </c>
      <c r="CW64" s="60">
        <f t="shared" si="438"/>
        <v>0</v>
      </c>
      <c r="CX64" s="59">
        <f t="shared" si="439"/>
        <v>0</v>
      </c>
      <c r="CY64" s="60">
        <f t="shared" si="440"/>
        <v>0</v>
      </c>
      <c r="CZ64" s="59">
        <f t="shared" si="441"/>
        <v>0</v>
      </c>
      <c r="DA64" s="55">
        <f t="shared" si="442"/>
        <v>0</v>
      </c>
      <c r="DB64" s="59">
        <f t="shared" si="443"/>
        <v>0</v>
      </c>
      <c r="DC64" s="60">
        <f t="shared" si="444"/>
        <v>0</v>
      </c>
      <c r="DD64" s="59">
        <f t="shared" si="445"/>
        <v>0</v>
      </c>
      <c r="DE64" s="60">
        <f t="shared" si="446"/>
        <v>0</v>
      </c>
      <c r="DF64" s="59">
        <f t="shared" si="447"/>
        <v>0</v>
      </c>
      <c r="DG64" s="60">
        <f t="shared" si="448"/>
        <v>0</v>
      </c>
      <c r="DH64" s="59">
        <f t="shared" si="449"/>
        <v>0</v>
      </c>
      <c r="DI64" s="60">
        <f t="shared" si="450"/>
        <v>0</v>
      </c>
      <c r="DJ64" s="59">
        <f t="shared" si="451"/>
        <v>0</v>
      </c>
      <c r="DK64" s="55">
        <f t="shared" si="452"/>
        <v>0</v>
      </c>
      <c r="DL64" s="59">
        <f t="shared" si="453"/>
        <v>0</v>
      </c>
      <c r="DM64" s="60">
        <f t="shared" si="454"/>
        <v>0</v>
      </c>
      <c r="DN64" s="59">
        <f t="shared" si="455"/>
        <v>0</v>
      </c>
      <c r="DO64" s="60">
        <f t="shared" si="456"/>
        <v>0</v>
      </c>
      <c r="DP64" s="59">
        <f t="shared" si="457"/>
        <v>0</v>
      </c>
      <c r="DQ64" s="55">
        <f t="shared" si="458"/>
        <v>0</v>
      </c>
      <c r="DR64" s="59">
        <f t="shared" si="459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505">+DX64-0.02</f>
        <v>0.91</v>
      </c>
      <c r="DZ64" s="55">
        <f t="shared" si="505"/>
        <v>0.89</v>
      </c>
      <c r="EA64" s="55">
        <f t="shared" si="505"/>
        <v>0.87</v>
      </c>
      <c r="EB64" s="55">
        <f t="shared" si="505"/>
        <v>0.85</v>
      </c>
      <c r="EC64" s="55">
        <f t="shared" si="505"/>
        <v>0.83</v>
      </c>
      <c r="ED64" s="55">
        <f t="shared" si="505"/>
        <v>0.80999999999999994</v>
      </c>
      <c r="EE64" s="55">
        <f t="shared" si="505"/>
        <v>0.78999999999999992</v>
      </c>
      <c r="EF64" s="55">
        <f t="shared" si="505"/>
        <v>0.76999999999999991</v>
      </c>
      <c r="EG64" s="55">
        <f t="shared" si="505"/>
        <v>0.74999999999999989</v>
      </c>
      <c r="EH64" s="55">
        <f t="shared" si="505"/>
        <v>0.72999999999999987</v>
      </c>
      <c r="EI64" s="55">
        <f t="shared" si="505"/>
        <v>0.70999999999999985</v>
      </c>
      <c r="EJ64" s="55">
        <f t="shared" si="505"/>
        <v>0.68999999999999984</v>
      </c>
      <c r="EK64" s="55">
        <f t="shared" si="505"/>
        <v>0.66999999999999982</v>
      </c>
      <c r="EL64" s="55">
        <f t="shared" si="505"/>
        <v>0.6499999999999998</v>
      </c>
      <c r="EM64" s="55">
        <f t="shared" si="505"/>
        <v>0.62999999999999978</v>
      </c>
      <c r="EN64" s="55">
        <f t="shared" si="505"/>
        <v>0.60999999999999976</v>
      </c>
      <c r="EO64" s="55">
        <f t="shared" si="505"/>
        <v>0.58999999999999975</v>
      </c>
      <c r="EP64" s="55">
        <f t="shared" si="505"/>
        <v>0.56999999999999973</v>
      </c>
      <c r="ER64" s="55">
        <f t="shared" si="142"/>
        <v>0</v>
      </c>
      <c r="ES64" s="55">
        <f t="shared" si="116"/>
        <v>0</v>
      </c>
      <c r="ET64" s="59">
        <f t="shared" si="461"/>
        <v>0</v>
      </c>
      <c r="EU64" s="55">
        <f t="shared" si="462"/>
        <v>0</v>
      </c>
      <c r="EV64" s="59">
        <f t="shared" si="463"/>
        <v>0</v>
      </c>
      <c r="EW64" s="55">
        <f t="shared" si="464"/>
        <v>0</v>
      </c>
      <c r="EX64" s="59">
        <f t="shared" si="465"/>
        <v>0</v>
      </c>
      <c r="EY64" s="55">
        <f t="shared" si="466"/>
        <v>0</v>
      </c>
      <c r="EZ64" s="59">
        <f t="shared" si="467"/>
        <v>0</v>
      </c>
      <c r="FA64" s="57">
        <f t="shared" si="468"/>
        <v>0</v>
      </c>
      <c r="FB64" s="59">
        <f t="shared" si="469"/>
        <v>0</v>
      </c>
      <c r="FC64" s="55">
        <f t="shared" si="470"/>
        <v>0</v>
      </c>
      <c r="FD64" s="59">
        <f t="shared" si="471"/>
        <v>0</v>
      </c>
      <c r="FE64" s="57">
        <f t="shared" si="472"/>
        <v>0</v>
      </c>
      <c r="FF64" s="59">
        <f t="shared" si="473"/>
        <v>0</v>
      </c>
      <c r="FG64" s="60">
        <f t="shared" si="474"/>
        <v>0</v>
      </c>
      <c r="FH64" s="59">
        <f t="shared" si="475"/>
        <v>0</v>
      </c>
      <c r="FI64" s="57">
        <f t="shared" si="476"/>
        <v>0</v>
      </c>
      <c r="FJ64" s="59">
        <f t="shared" si="477"/>
        <v>0</v>
      </c>
      <c r="FK64" s="55">
        <f t="shared" si="478"/>
        <v>0</v>
      </c>
      <c r="FL64" s="59">
        <f t="shared" si="479"/>
        <v>0</v>
      </c>
      <c r="FM64" s="60">
        <f t="shared" si="480"/>
        <v>0</v>
      </c>
      <c r="FN64" s="59">
        <f t="shared" si="481"/>
        <v>0</v>
      </c>
      <c r="FO64" s="60">
        <f t="shared" si="482"/>
        <v>0</v>
      </c>
      <c r="FP64" s="59">
        <f t="shared" si="483"/>
        <v>0</v>
      </c>
      <c r="FQ64" s="60">
        <f t="shared" si="484"/>
        <v>0</v>
      </c>
      <c r="FR64" s="59">
        <f t="shared" si="485"/>
        <v>0</v>
      </c>
      <c r="FS64" s="55">
        <f t="shared" si="486"/>
        <v>0</v>
      </c>
      <c r="FT64" s="59">
        <f t="shared" si="487"/>
        <v>0</v>
      </c>
      <c r="FU64" s="60">
        <f t="shared" si="488"/>
        <v>0</v>
      </c>
      <c r="FV64" s="59">
        <f t="shared" si="489"/>
        <v>0</v>
      </c>
      <c r="FW64" s="60">
        <f t="shared" si="490"/>
        <v>0</v>
      </c>
      <c r="FX64" s="59">
        <f t="shared" si="491"/>
        <v>0</v>
      </c>
      <c r="FY64" s="60">
        <f t="shared" si="492"/>
        <v>0</v>
      </c>
      <c r="FZ64" s="59">
        <f t="shared" si="493"/>
        <v>0</v>
      </c>
      <c r="GA64" s="60">
        <f t="shared" si="494"/>
        <v>0</v>
      </c>
      <c r="GB64" s="59">
        <f t="shared" si="495"/>
        <v>0</v>
      </c>
      <c r="GC64" s="55">
        <f t="shared" si="496"/>
        <v>0</v>
      </c>
      <c r="GD64" s="59">
        <f t="shared" si="497"/>
        <v>0</v>
      </c>
      <c r="GE64" s="60">
        <f t="shared" si="498"/>
        <v>0</v>
      </c>
      <c r="GF64" s="59">
        <f t="shared" si="499"/>
        <v>0</v>
      </c>
      <c r="GG64" s="60">
        <f t="shared" si="500"/>
        <v>0</v>
      </c>
      <c r="GH64" s="59">
        <f t="shared" si="501"/>
        <v>0</v>
      </c>
      <c r="GI64" s="55">
        <f t="shared" si="502"/>
        <v>0</v>
      </c>
      <c r="GJ64" s="59">
        <f t="shared" si="503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506">+GP64-0.02</f>
        <v>0.91</v>
      </c>
      <c r="GR64" s="55">
        <f t="shared" si="506"/>
        <v>0.89</v>
      </c>
      <c r="GS64" s="55">
        <f t="shared" si="506"/>
        <v>0.87</v>
      </c>
      <c r="GT64" s="55">
        <f t="shared" si="506"/>
        <v>0.85</v>
      </c>
      <c r="GU64" s="55">
        <f t="shared" si="506"/>
        <v>0.83</v>
      </c>
      <c r="GV64" s="55">
        <f t="shared" si="506"/>
        <v>0.80999999999999994</v>
      </c>
      <c r="GW64" s="55">
        <f t="shared" si="506"/>
        <v>0.78999999999999992</v>
      </c>
      <c r="GX64" s="55">
        <f t="shared" si="506"/>
        <v>0.76999999999999991</v>
      </c>
      <c r="GY64" s="55">
        <f t="shared" si="506"/>
        <v>0.74999999999999989</v>
      </c>
      <c r="GZ64" s="55">
        <f t="shared" si="506"/>
        <v>0.72999999999999987</v>
      </c>
      <c r="HA64" s="55">
        <f t="shared" si="506"/>
        <v>0.70999999999999985</v>
      </c>
      <c r="HB64" s="55">
        <f t="shared" si="506"/>
        <v>0.68999999999999984</v>
      </c>
      <c r="HC64" s="55">
        <f t="shared" si="506"/>
        <v>0.66999999999999982</v>
      </c>
      <c r="HD64" s="55">
        <f t="shared" si="506"/>
        <v>0.6499999999999998</v>
      </c>
      <c r="HE64" s="55">
        <f t="shared" si="506"/>
        <v>0.62999999999999978</v>
      </c>
      <c r="HF64" s="55">
        <f t="shared" si="506"/>
        <v>0.60999999999999976</v>
      </c>
      <c r="HG64" s="55">
        <f t="shared" si="506"/>
        <v>0.58999999999999975</v>
      </c>
      <c r="HH64" s="55">
        <f t="shared" si="506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71">
        <f t="shared" si="372"/>
        <v>0</v>
      </c>
      <c r="H65" s="55">
        <f t="shared" si="373"/>
        <v>0</v>
      </c>
      <c r="I65" s="55">
        <f t="shared" si="62"/>
        <v>0</v>
      </c>
      <c r="J65" s="59">
        <f t="shared" si="63"/>
        <v>0</v>
      </c>
      <c r="K65" s="55">
        <f t="shared" si="374"/>
        <v>0</v>
      </c>
      <c r="L65" s="59">
        <f t="shared" si="375"/>
        <v>0</v>
      </c>
      <c r="M65" s="55">
        <f t="shared" si="376"/>
        <v>0</v>
      </c>
      <c r="N65" s="59">
        <f t="shared" si="377"/>
        <v>0</v>
      </c>
      <c r="O65" s="55">
        <f t="shared" si="378"/>
        <v>0</v>
      </c>
      <c r="P65" s="59">
        <f t="shared" si="379"/>
        <v>0</v>
      </c>
      <c r="Q65" s="57">
        <f t="shared" si="380"/>
        <v>0</v>
      </c>
      <c r="R65" s="59">
        <f t="shared" si="381"/>
        <v>0</v>
      </c>
      <c r="S65" s="55">
        <f t="shared" si="382"/>
        <v>0</v>
      </c>
      <c r="T65" s="59">
        <f t="shared" si="383"/>
        <v>0</v>
      </c>
      <c r="U65" s="57">
        <f t="shared" si="384"/>
        <v>0</v>
      </c>
      <c r="V65" s="59">
        <f t="shared" si="385"/>
        <v>0</v>
      </c>
      <c r="W65" s="60">
        <f t="shared" si="386"/>
        <v>0</v>
      </c>
      <c r="X65" s="59">
        <f t="shared" si="387"/>
        <v>0</v>
      </c>
      <c r="Y65" s="57">
        <f t="shared" si="388"/>
        <v>0</v>
      </c>
      <c r="Z65" s="59">
        <f t="shared" si="389"/>
        <v>0</v>
      </c>
      <c r="AA65" s="55">
        <f t="shared" si="390"/>
        <v>0</v>
      </c>
      <c r="AB65" s="59">
        <f t="shared" si="391"/>
        <v>0</v>
      </c>
      <c r="AC65" s="60">
        <f t="shared" si="392"/>
        <v>0</v>
      </c>
      <c r="AD65" s="59">
        <f t="shared" si="393"/>
        <v>0</v>
      </c>
      <c r="AE65" s="60">
        <f t="shared" si="394"/>
        <v>0</v>
      </c>
      <c r="AF65" s="59">
        <f t="shared" si="395"/>
        <v>0</v>
      </c>
      <c r="AG65" s="60">
        <f t="shared" si="396"/>
        <v>0</v>
      </c>
      <c r="AH65" s="59">
        <f t="shared" si="397"/>
        <v>0</v>
      </c>
      <c r="AI65" s="55">
        <f t="shared" si="398"/>
        <v>0</v>
      </c>
      <c r="AJ65" s="59">
        <f t="shared" si="399"/>
        <v>0</v>
      </c>
      <c r="AK65" s="60">
        <f t="shared" si="400"/>
        <v>0</v>
      </c>
      <c r="AL65" s="59">
        <f t="shared" si="401"/>
        <v>0</v>
      </c>
      <c r="AM65" s="60">
        <f t="shared" si="402"/>
        <v>0</v>
      </c>
      <c r="AN65" s="59">
        <f t="shared" si="403"/>
        <v>0</v>
      </c>
      <c r="AO65" s="60">
        <f t="shared" si="404"/>
        <v>0</v>
      </c>
      <c r="AP65" s="59">
        <f t="shared" si="405"/>
        <v>0</v>
      </c>
      <c r="AQ65" s="60">
        <f t="shared" si="406"/>
        <v>0</v>
      </c>
      <c r="AR65" s="59">
        <f t="shared" si="407"/>
        <v>0</v>
      </c>
      <c r="AS65" s="55">
        <f t="shared" si="408"/>
        <v>0</v>
      </c>
      <c r="AT65" s="59">
        <f t="shared" si="409"/>
        <v>0</v>
      </c>
      <c r="AU65" s="60">
        <f t="shared" si="410"/>
        <v>0</v>
      </c>
      <c r="AV65" s="59">
        <f t="shared" si="411"/>
        <v>0</v>
      </c>
      <c r="AW65" s="60">
        <f t="shared" si="412"/>
        <v>0</v>
      </c>
      <c r="AX65" s="59">
        <f t="shared" si="413"/>
        <v>0</v>
      </c>
      <c r="AY65" s="55">
        <f t="shared" si="414"/>
        <v>0</v>
      </c>
      <c r="AZ65" s="59">
        <f t="shared" si="415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16"/>
        <v>0.91</v>
      </c>
      <c r="BH65" s="55">
        <f t="shared" si="416"/>
        <v>0.89</v>
      </c>
      <c r="BI65" s="55">
        <f t="shared" si="416"/>
        <v>0.87</v>
      </c>
      <c r="BJ65" s="55">
        <f t="shared" si="416"/>
        <v>0.85</v>
      </c>
      <c r="BK65" s="55">
        <f t="shared" si="416"/>
        <v>0.83</v>
      </c>
      <c r="BL65" s="55">
        <f t="shared" si="416"/>
        <v>0.80999999999999994</v>
      </c>
      <c r="BM65" s="55">
        <f t="shared" si="416"/>
        <v>0.78999999999999992</v>
      </c>
      <c r="BN65" s="55">
        <f t="shared" si="416"/>
        <v>0.76999999999999991</v>
      </c>
      <c r="BO65" s="55">
        <f t="shared" si="416"/>
        <v>0.74999999999999989</v>
      </c>
      <c r="BP65" s="55">
        <f t="shared" si="416"/>
        <v>0.72999999999999987</v>
      </c>
      <c r="BQ65" s="55">
        <f t="shared" si="416"/>
        <v>0.70999999999999985</v>
      </c>
      <c r="BR65" s="55">
        <f t="shared" si="416"/>
        <v>0.68999999999999984</v>
      </c>
      <c r="BS65" s="55">
        <f t="shared" si="416"/>
        <v>0.66999999999999982</v>
      </c>
      <c r="BT65" s="55">
        <f t="shared" si="416"/>
        <v>0.6499999999999998</v>
      </c>
      <c r="BU65" s="55">
        <f t="shared" si="416"/>
        <v>0.62999999999999978</v>
      </c>
      <c r="BV65" s="55">
        <f t="shared" si="416"/>
        <v>0.60999999999999976</v>
      </c>
      <c r="BW65" s="55">
        <f t="shared" si="416"/>
        <v>0.58999999999999975</v>
      </c>
      <c r="BX65" s="55">
        <f t="shared" si="416"/>
        <v>0.56999999999999973</v>
      </c>
      <c r="BZ65" s="55">
        <f t="shared" si="88"/>
        <v>0</v>
      </c>
      <c r="CA65" s="55">
        <f t="shared" si="89"/>
        <v>0</v>
      </c>
      <c r="CB65" s="59">
        <f t="shared" si="417"/>
        <v>0</v>
      </c>
      <c r="CC65" s="55">
        <f t="shared" si="418"/>
        <v>0</v>
      </c>
      <c r="CD65" s="59">
        <f t="shared" si="419"/>
        <v>0</v>
      </c>
      <c r="CE65" s="55">
        <f t="shared" si="420"/>
        <v>0</v>
      </c>
      <c r="CF65" s="59">
        <f t="shared" si="421"/>
        <v>0</v>
      </c>
      <c r="CG65" s="55">
        <f t="shared" si="422"/>
        <v>0</v>
      </c>
      <c r="CH65" s="59">
        <f t="shared" si="423"/>
        <v>0</v>
      </c>
      <c r="CI65" s="57">
        <f t="shared" si="424"/>
        <v>0</v>
      </c>
      <c r="CJ65" s="59">
        <f t="shared" si="425"/>
        <v>0</v>
      </c>
      <c r="CK65" s="55">
        <f t="shared" si="426"/>
        <v>0</v>
      </c>
      <c r="CL65" s="59">
        <f t="shared" si="427"/>
        <v>0</v>
      </c>
      <c r="CM65" s="57">
        <f t="shared" si="428"/>
        <v>0</v>
      </c>
      <c r="CN65" s="59">
        <f t="shared" si="429"/>
        <v>0</v>
      </c>
      <c r="CO65" s="60">
        <f t="shared" si="430"/>
        <v>0</v>
      </c>
      <c r="CP65" s="59">
        <f t="shared" si="431"/>
        <v>0</v>
      </c>
      <c r="CQ65" s="57">
        <f t="shared" si="432"/>
        <v>0</v>
      </c>
      <c r="CR65" s="59">
        <f t="shared" si="433"/>
        <v>0</v>
      </c>
      <c r="CS65" s="55">
        <f t="shared" si="434"/>
        <v>0</v>
      </c>
      <c r="CT65" s="59">
        <f t="shared" si="435"/>
        <v>0</v>
      </c>
      <c r="CU65" s="60">
        <f t="shared" si="436"/>
        <v>0</v>
      </c>
      <c r="CV65" s="59">
        <f t="shared" si="437"/>
        <v>0</v>
      </c>
      <c r="CW65" s="60">
        <f t="shared" si="438"/>
        <v>0</v>
      </c>
      <c r="CX65" s="59">
        <f t="shared" si="439"/>
        <v>0</v>
      </c>
      <c r="CY65" s="60">
        <f t="shared" si="440"/>
        <v>0</v>
      </c>
      <c r="CZ65" s="59">
        <f t="shared" si="441"/>
        <v>0</v>
      </c>
      <c r="DA65" s="55">
        <f t="shared" si="442"/>
        <v>0</v>
      </c>
      <c r="DB65" s="59">
        <f t="shared" si="443"/>
        <v>0</v>
      </c>
      <c r="DC65" s="60">
        <f t="shared" si="444"/>
        <v>0</v>
      </c>
      <c r="DD65" s="59">
        <f t="shared" si="445"/>
        <v>0</v>
      </c>
      <c r="DE65" s="60">
        <f t="shared" si="446"/>
        <v>0</v>
      </c>
      <c r="DF65" s="59">
        <f t="shared" si="447"/>
        <v>0</v>
      </c>
      <c r="DG65" s="60">
        <f t="shared" si="448"/>
        <v>0</v>
      </c>
      <c r="DH65" s="59">
        <f t="shared" si="449"/>
        <v>0</v>
      </c>
      <c r="DI65" s="60">
        <f t="shared" si="450"/>
        <v>0</v>
      </c>
      <c r="DJ65" s="59">
        <f t="shared" si="451"/>
        <v>0</v>
      </c>
      <c r="DK65" s="55">
        <f t="shared" si="452"/>
        <v>0</v>
      </c>
      <c r="DL65" s="59">
        <f t="shared" si="453"/>
        <v>0</v>
      </c>
      <c r="DM65" s="60">
        <f t="shared" si="454"/>
        <v>0</v>
      </c>
      <c r="DN65" s="59">
        <f t="shared" si="455"/>
        <v>0</v>
      </c>
      <c r="DO65" s="60">
        <f t="shared" si="456"/>
        <v>0</v>
      </c>
      <c r="DP65" s="59">
        <f t="shared" si="457"/>
        <v>0</v>
      </c>
      <c r="DQ65" s="55">
        <f t="shared" si="458"/>
        <v>0</v>
      </c>
      <c r="DR65" s="59">
        <f t="shared" si="459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505"/>
        <v>0.91</v>
      </c>
      <c r="DZ65" s="55">
        <f t="shared" si="505"/>
        <v>0.89</v>
      </c>
      <c r="EA65" s="55">
        <f t="shared" si="505"/>
        <v>0.87</v>
      </c>
      <c r="EB65" s="55">
        <f t="shared" si="505"/>
        <v>0.85</v>
      </c>
      <c r="EC65" s="55">
        <f t="shared" si="505"/>
        <v>0.83</v>
      </c>
      <c r="ED65" s="55">
        <f t="shared" si="505"/>
        <v>0.80999999999999994</v>
      </c>
      <c r="EE65" s="55">
        <f t="shared" si="505"/>
        <v>0.78999999999999992</v>
      </c>
      <c r="EF65" s="55">
        <f t="shared" si="505"/>
        <v>0.76999999999999991</v>
      </c>
      <c r="EG65" s="55">
        <f t="shared" si="505"/>
        <v>0.74999999999999989</v>
      </c>
      <c r="EH65" s="55">
        <f t="shared" si="505"/>
        <v>0.72999999999999987</v>
      </c>
      <c r="EI65" s="55">
        <f t="shared" si="505"/>
        <v>0.70999999999999985</v>
      </c>
      <c r="EJ65" s="55">
        <f t="shared" si="505"/>
        <v>0.68999999999999984</v>
      </c>
      <c r="EK65" s="55">
        <f t="shared" si="505"/>
        <v>0.66999999999999982</v>
      </c>
      <c r="EL65" s="55">
        <f t="shared" si="505"/>
        <v>0.6499999999999998</v>
      </c>
      <c r="EM65" s="55">
        <f t="shared" si="505"/>
        <v>0.62999999999999978</v>
      </c>
      <c r="EN65" s="55">
        <f t="shared" si="505"/>
        <v>0.60999999999999976</v>
      </c>
      <c r="EO65" s="55">
        <f t="shared" si="505"/>
        <v>0.58999999999999975</v>
      </c>
      <c r="EP65" s="55">
        <f t="shared" si="505"/>
        <v>0.56999999999999973</v>
      </c>
      <c r="ER65" s="55">
        <f t="shared" si="142"/>
        <v>0</v>
      </c>
      <c r="ES65" s="55">
        <f t="shared" si="116"/>
        <v>0</v>
      </c>
      <c r="ET65" s="59">
        <f t="shared" si="461"/>
        <v>0</v>
      </c>
      <c r="EU65" s="55">
        <f t="shared" si="462"/>
        <v>0</v>
      </c>
      <c r="EV65" s="59">
        <f t="shared" si="463"/>
        <v>0</v>
      </c>
      <c r="EW65" s="55">
        <f t="shared" si="464"/>
        <v>0</v>
      </c>
      <c r="EX65" s="59">
        <f t="shared" si="465"/>
        <v>0</v>
      </c>
      <c r="EY65" s="55">
        <f t="shared" si="466"/>
        <v>0</v>
      </c>
      <c r="EZ65" s="59">
        <f t="shared" si="467"/>
        <v>0</v>
      </c>
      <c r="FA65" s="57">
        <f t="shared" si="468"/>
        <v>0</v>
      </c>
      <c r="FB65" s="59">
        <f t="shared" si="469"/>
        <v>0</v>
      </c>
      <c r="FC65" s="55">
        <f t="shared" si="470"/>
        <v>0</v>
      </c>
      <c r="FD65" s="59">
        <f t="shared" si="471"/>
        <v>0</v>
      </c>
      <c r="FE65" s="57">
        <f t="shared" si="472"/>
        <v>0</v>
      </c>
      <c r="FF65" s="59">
        <f t="shared" si="473"/>
        <v>0</v>
      </c>
      <c r="FG65" s="60">
        <f t="shared" si="474"/>
        <v>0</v>
      </c>
      <c r="FH65" s="59">
        <f t="shared" si="475"/>
        <v>0</v>
      </c>
      <c r="FI65" s="57">
        <f t="shared" si="476"/>
        <v>0</v>
      </c>
      <c r="FJ65" s="59">
        <f t="shared" si="477"/>
        <v>0</v>
      </c>
      <c r="FK65" s="55">
        <f t="shared" si="478"/>
        <v>0</v>
      </c>
      <c r="FL65" s="59">
        <f t="shared" si="479"/>
        <v>0</v>
      </c>
      <c r="FM65" s="60">
        <f t="shared" si="480"/>
        <v>0</v>
      </c>
      <c r="FN65" s="59">
        <f t="shared" si="481"/>
        <v>0</v>
      </c>
      <c r="FO65" s="60">
        <f t="shared" si="482"/>
        <v>0</v>
      </c>
      <c r="FP65" s="59">
        <f t="shared" si="483"/>
        <v>0</v>
      </c>
      <c r="FQ65" s="60">
        <f t="shared" si="484"/>
        <v>0</v>
      </c>
      <c r="FR65" s="59">
        <f t="shared" si="485"/>
        <v>0</v>
      </c>
      <c r="FS65" s="55">
        <f t="shared" si="486"/>
        <v>0</v>
      </c>
      <c r="FT65" s="59">
        <f t="shared" si="487"/>
        <v>0</v>
      </c>
      <c r="FU65" s="60">
        <f t="shared" si="488"/>
        <v>0</v>
      </c>
      <c r="FV65" s="59">
        <f t="shared" si="489"/>
        <v>0</v>
      </c>
      <c r="FW65" s="60">
        <f t="shared" si="490"/>
        <v>0</v>
      </c>
      <c r="FX65" s="59">
        <f t="shared" si="491"/>
        <v>0</v>
      </c>
      <c r="FY65" s="60">
        <f t="shared" si="492"/>
        <v>0</v>
      </c>
      <c r="FZ65" s="59">
        <f t="shared" si="493"/>
        <v>0</v>
      </c>
      <c r="GA65" s="60">
        <f t="shared" si="494"/>
        <v>0</v>
      </c>
      <c r="GB65" s="59">
        <f t="shared" si="495"/>
        <v>0</v>
      </c>
      <c r="GC65" s="55">
        <f t="shared" si="496"/>
        <v>0</v>
      </c>
      <c r="GD65" s="59">
        <f t="shared" si="497"/>
        <v>0</v>
      </c>
      <c r="GE65" s="60">
        <f t="shared" si="498"/>
        <v>0</v>
      </c>
      <c r="GF65" s="59">
        <f t="shared" si="499"/>
        <v>0</v>
      </c>
      <c r="GG65" s="60">
        <f t="shared" si="500"/>
        <v>0</v>
      </c>
      <c r="GH65" s="59">
        <f t="shared" si="501"/>
        <v>0</v>
      </c>
      <c r="GI65" s="55">
        <f t="shared" si="502"/>
        <v>0</v>
      </c>
      <c r="GJ65" s="59">
        <f t="shared" si="503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506"/>
        <v>0.91</v>
      </c>
      <c r="GR65" s="55">
        <f t="shared" si="506"/>
        <v>0.89</v>
      </c>
      <c r="GS65" s="55">
        <f t="shared" si="506"/>
        <v>0.87</v>
      </c>
      <c r="GT65" s="55">
        <f t="shared" si="506"/>
        <v>0.85</v>
      </c>
      <c r="GU65" s="55">
        <f t="shared" si="506"/>
        <v>0.83</v>
      </c>
      <c r="GV65" s="55">
        <f t="shared" si="506"/>
        <v>0.80999999999999994</v>
      </c>
      <c r="GW65" s="55">
        <f t="shared" si="506"/>
        <v>0.78999999999999992</v>
      </c>
      <c r="GX65" s="55">
        <f t="shared" si="506"/>
        <v>0.76999999999999991</v>
      </c>
      <c r="GY65" s="55">
        <f t="shared" si="506"/>
        <v>0.74999999999999989</v>
      </c>
      <c r="GZ65" s="55">
        <f t="shared" si="506"/>
        <v>0.72999999999999987</v>
      </c>
      <c r="HA65" s="55">
        <f t="shared" si="506"/>
        <v>0.70999999999999985</v>
      </c>
      <c r="HB65" s="55">
        <f t="shared" si="506"/>
        <v>0.68999999999999984</v>
      </c>
      <c r="HC65" s="55">
        <f t="shared" si="506"/>
        <v>0.66999999999999982</v>
      </c>
      <c r="HD65" s="55">
        <f t="shared" si="506"/>
        <v>0.6499999999999998</v>
      </c>
      <c r="HE65" s="55">
        <f t="shared" si="506"/>
        <v>0.62999999999999978</v>
      </c>
      <c r="HF65" s="55">
        <f t="shared" si="506"/>
        <v>0.60999999999999976</v>
      </c>
      <c r="HG65" s="55">
        <f t="shared" si="506"/>
        <v>0.58999999999999975</v>
      </c>
      <c r="HH65" s="55">
        <f t="shared" si="506"/>
        <v>0.56999999999999973</v>
      </c>
    </row>
    <row r="66" spans="1:216" x14ac:dyDescent="0.3">
      <c r="A66" s="2">
        <v>4</v>
      </c>
      <c r="C66" s="38" t="s">
        <v>33</v>
      </c>
      <c r="D66" s="42">
        <f>TRUNC(4375,-1)</f>
        <v>4370</v>
      </c>
      <c r="E66" s="71">
        <f t="shared" si="372"/>
        <v>14440</v>
      </c>
      <c r="H66" s="55">
        <f t="shared" si="373"/>
        <v>4807</v>
      </c>
      <c r="I66" s="55">
        <f t="shared" si="62"/>
        <v>4807</v>
      </c>
      <c r="J66" s="59">
        <f t="shared" si="63"/>
        <v>15890.980600000001</v>
      </c>
      <c r="K66" s="55">
        <f t="shared" si="374"/>
        <v>4662.79</v>
      </c>
      <c r="L66" s="59">
        <f t="shared" si="375"/>
        <v>15414.251182</v>
      </c>
      <c r="M66" s="55">
        <f t="shared" si="376"/>
        <v>4566.6499999999996</v>
      </c>
      <c r="N66" s="59">
        <f t="shared" si="377"/>
        <v>15096.431569999999</v>
      </c>
      <c r="O66" s="55">
        <f t="shared" si="378"/>
        <v>4470.51</v>
      </c>
      <c r="P66" s="59">
        <f t="shared" si="379"/>
        <v>14778.611958000001</v>
      </c>
      <c r="Q66" s="57">
        <f t="shared" si="380"/>
        <v>4374.37</v>
      </c>
      <c r="R66" s="59">
        <f t="shared" si="381"/>
        <v>14460.792346</v>
      </c>
      <c r="S66" s="55">
        <f t="shared" si="382"/>
        <v>4278.2300000000005</v>
      </c>
      <c r="T66" s="59">
        <f t="shared" si="383"/>
        <v>14142.972734000003</v>
      </c>
      <c r="U66" s="57">
        <f t="shared" si="384"/>
        <v>4182.09</v>
      </c>
      <c r="V66" s="59">
        <f t="shared" si="385"/>
        <v>13825.153122000002</v>
      </c>
      <c r="W66" s="60">
        <f t="shared" si="386"/>
        <v>4085.95</v>
      </c>
      <c r="X66" s="59">
        <f t="shared" si="387"/>
        <v>13507.33351</v>
      </c>
      <c r="Y66" s="57">
        <f t="shared" si="388"/>
        <v>3989.81</v>
      </c>
      <c r="Z66" s="59">
        <f t="shared" si="389"/>
        <v>13189.513897999999</v>
      </c>
      <c r="AA66" s="55">
        <f t="shared" si="390"/>
        <v>3893.6699999999996</v>
      </c>
      <c r="AB66" s="59">
        <f t="shared" si="391"/>
        <v>12871.694286</v>
      </c>
      <c r="AC66" s="60">
        <f t="shared" si="392"/>
        <v>3797.5299999999997</v>
      </c>
      <c r="AD66" s="59">
        <f t="shared" si="393"/>
        <v>12553.874673999999</v>
      </c>
      <c r="AE66" s="60">
        <f t="shared" si="394"/>
        <v>3701.3899999999994</v>
      </c>
      <c r="AF66" s="59">
        <f t="shared" si="395"/>
        <v>12236.055061999998</v>
      </c>
      <c r="AG66" s="60">
        <f t="shared" si="396"/>
        <v>3605.2499999999995</v>
      </c>
      <c r="AH66" s="59">
        <f t="shared" si="397"/>
        <v>11918.235449999998</v>
      </c>
      <c r="AI66" s="55">
        <f t="shared" si="398"/>
        <v>3509.1099999999992</v>
      </c>
      <c r="AJ66" s="59">
        <f t="shared" si="399"/>
        <v>11600.415837999997</v>
      </c>
      <c r="AK66" s="60">
        <f t="shared" si="400"/>
        <v>3412.9699999999993</v>
      </c>
      <c r="AL66" s="59">
        <f t="shared" si="401"/>
        <v>11282.596225999998</v>
      </c>
      <c r="AM66" s="60">
        <f t="shared" si="402"/>
        <v>3316.829999999999</v>
      </c>
      <c r="AN66" s="59">
        <f t="shared" si="403"/>
        <v>10964.776613999997</v>
      </c>
      <c r="AO66" s="60">
        <f t="shared" si="404"/>
        <v>3220.6899999999991</v>
      </c>
      <c r="AP66" s="59">
        <f t="shared" si="405"/>
        <v>10646.957001999997</v>
      </c>
      <c r="AQ66" s="60">
        <f t="shared" si="406"/>
        <v>3124.5499999999988</v>
      </c>
      <c r="AR66" s="59">
        <f t="shared" si="407"/>
        <v>10329.137389999996</v>
      </c>
      <c r="AS66" s="55">
        <f t="shared" si="408"/>
        <v>3028.4099999999989</v>
      </c>
      <c r="AT66" s="59">
        <f t="shared" si="409"/>
        <v>10011.317777999997</v>
      </c>
      <c r="AU66" s="60">
        <f t="shared" si="410"/>
        <v>2932.2699999999991</v>
      </c>
      <c r="AV66" s="59">
        <f t="shared" si="411"/>
        <v>9693.4981659999976</v>
      </c>
      <c r="AW66" s="60">
        <f t="shared" si="412"/>
        <v>2836.1299999999987</v>
      </c>
      <c r="AX66" s="59">
        <f t="shared" si="413"/>
        <v>9375.6785539999964</v>
      </c>
      <c r="AY66" s="55">
        <f t="shared" si="414"/>
        <v>2739.9899999999989</v>
      </c>
      <c r="AZ66" s="59">
        <f t="shared" si="415"/>
        <v>9057.8589419999971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16"/>
        <v>0.91</v>
      </c>
      <c r="BH66" s="55">
        <f t="shared" si="416"/>
        <v>0.89</v>
      </c>
      <c r="BI66" s="55">
        <f t="shared" si="416"/>
        <v>0.87</v>
      </c>
      <c r="BJ66" s="55">
        <f t="shared" si="416"/>
        <v>0.85</v>
      </c>
      <c r="BK66" s="55">
        <f t="shared" si="416"/>
        <v>0.83</v>
      </c>
      <c r="BL66" s="55">
        <f t="shared" si="416"/>
        <v>0.80999999999999994</v>
      </c>
      <c r="BM66" s="55">
        <f t="shared" si="416"/>
        <v>0.78999999999999992</v>
      </c>
      <c r="BN66" s="55">
        <f t="shared" si="416"/>
        <v>0.76999999999999991</v>
      </c>
      <c r="BO66" s="55">
        <f t="shared" si="416"/>
        <v>0.74999999999999989</v>
      </c>
      <c r="BP66" s="55">
        <f t="shared" si="416"/>
        <v>0.72999999999999987</v>
      </c>
      <c r="BQ66" s="55">
        <f t="shared" si="416"/>
        <v>0.70999999999999985</v>
      </c>
      <c r="BR66" s="55">
        <f t="shared" si="416"/>
        <v>0.68999999999999984</v>
      </c>
      <c r="BS66" s="55">
        <f t="shared" si="416"/>
        <v>0.66999999999999982</v>
      </c>
      <c r="BT66" s="55">
        <f t="shared" si="416"/>
        <v>0.6499999999999998</v>
      </c>
      <c r="BU66" s="55">
        <f t="shared" si="416"/>
        <v>0.62999999999999978</v>
      </c>
      <c r="BV66" s="55">
        <f t="shared" si="416"/>
        <v>0.60999999999999976</v>
      </c>
      <c r="BW66" s="55">
        <f t="shared" si="416"/>
        <v>0.58999999999999975</v>
      </c>
      <c r="BX66" s="55">
        <f t="shared" si="416"/>
        <v>0.56999999999999973</v>
      </c>
      <c r="BZ66" s="55">
        <f t="shared" si="88"/>
        <v>4374.37</v>
      </c>
      <c r="CA66" s="55">
        <f t="shared" si="89"/>
        <v>4374.37</v>
      </c>
      <c r="CB66" s="59">
        <f t="shared" si="417"/>
        <v>14460.792346</v>
      </c>
      <c r="CC66" s="55">
        <f t="shared" si="418"/>
        <v>4243.1388999999999</v>
      </c>
      <c r="CD66" s="59">
        <f t="shared" si="419"/>
        <v>14026.96857562</v>
      </c>
      <c r="CE66" s="55">
        <f t="shared" si="420"/>
        <v>4155.6514999999999</v>
      </c>
      <c r="CF66" s="59">
        <f t="shared" si="421"/>
        <v>13737.752728699999</v>
      </c>
      <c r="CG66" s="55">
        <f t="shared" si="422"/>
        <v>4068.1641</v>
      </c>
      <c r="CH66" s="59">
        <f t="shared" si="423"/>
        <v>13448.536881780001</v>
      </c>
      <c r="CI66" s="57">
        <f t="shared" si="424"/>
        <v>3980.6767</v>
      </c>
      <c r="CJ66" s="59">
        <f t="shared" si="425"/>
        <v>13159.321034860001</v>
      </c>
      <c r="CK66" s="55">
        <f t="shared" si="426"/>
        <v>3893.1893</v>
      </c>
      <c r="CL66" s="59">
        <f t="shared" si="427"/>
        <v>12870.10518794</v>
      </c>
      <c r="CM66" s="57">
        <f t="shared" si="428"/>
        <v>3805.7019</v>
      </c>
      <c r="CN66" s="59">
        <f t="shared" si="429"/>
        <v>12580.88934102</v>
      </c>
      <c r="CO66" s="60">
        <f t="shared" si="430"/>
        <v>3718.2144999999996</v>
      </c>
      <c r="CP66" s="59">
        <f t="shared" si="431"/>
        <v>12291.6734941</v>
      </c>
      <c r="CQ66" s="57">
        <f t="shared" si="432"/>
        <v>3630.7270999999996</v>
      </c>
      <c r="CR66" s="59">
        <f t="shared" si="433"/>
        <v>12002.457647179999</v>
      </c>
      <c r="CS66" s="55">
        <f t="shared" si="434"/>
        <v>3543.2396999999996</v>
      </c>
      <c r="CT66" s="59">
        <f t="shared" si="435"/>
        <v>11713.241800259999</v>
      </c>
      <c r="CU66" s="60">
        <f t="shared" si="436"/>
        <v>3455.7522999999997</v>
      </c>
      <c r="CV66" s="59">
        <f t="shared" si="437"/>
        <v>11424.025953339999</v>
      </c>
      <c r="CW66" s="60">
        <f t="shared" si="438"/>
        <v>3368.2648999999997</v>
      </c>
      <c r="CX66" s="59">
        <f t="shared" si="439"/>
        <v>11134.81010642</v>
      </c>
      <c r="CY66" s="60">
        <f t="shared" si="440"/>
        <v>3280.7774999999992</v>
      </c>
      <c r="CZ66" s="59">
        <f t="shared" si="441"/>
        <v>10845.594259499998</v>
      </c>
      <c r="DA66" s="55">
        <f t="shared" si="442"/>
        <v>3193.2900999999993</v>
      </c>
      <c r="DB66" s="59">
        <f t="shared" si="443"/>
        <v>10556.378412579998</v>
      </c>
      <c r="DC66" s="60">
        <f t="shared" si="444"/>
        <v>3105.8026999999993</v>
      </c>
      <c r="DD66" s="59">
        <f t="shared" si="445"/>
        <v>10267.162565659997</v>
      </c>
      <c r="DE66" s="60">
        <f t="shared" si="446"/>
        <v>3018.3152999999993</v>
      </c>
      <c r="DF66" s="59">
        <f t="shared" si="447"/>
        <v>9977.9467187399987</v>
      </c>
      <c r="DG66" s="60">
        <f t="shared" si="448"/>
        <v>2930.8278999999993</v>
      </c>
      <c r="DH66" s="59">
        <f t="shared" si="449"/>
        <v>9688.7308718199984</v>
      </c>
      <c r="DI66" s="60">
        <f t="shared" si="450"/>
        <v>2843.3404999999989</v>
      </c>
      <c r="DJ66" s="59">
        <f t="shared" si="451"/>
        <v>9399.5150248999962</v>
      </c>
      <c r="DK66" s="55">
        <f t="shared" si="452"/>
        <v>2755.8530999999989</v>
      </c>
      <c r="DL66" s="59">
        <f t="shared" si="453"/>
        <v>9110.2991779799959</v>
      </c>
      <c r="DM66" s="60">
        <f t="shared" si="454"/>
        <v>2668.3656999999989</v>
      </c>
      <c r="DN66" s="59">
        <f t="shared" si="455"/>
        <v>8821.0833310599974</v>
      </c>
      <c r="DO66" s="60">
        <f t="shared" si="456"/>
        <v>2580.8782999999989</v>
      </c>
      <c r="DP66" s="59">
        <f t="shared" si="457"/>
        <v>8531.867484139997</v>
      </c>
      <c r="DQ66" s="55">
        <f t="shared" si="458"/>
        <v>2493.390899999999</v>
      </c>
      <c r="DR66" s="59">
        <f t="shared" si="459"/>
        <v>8242.6516372199967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505"/>
        <v>0.91</v>
      </c>
      <c r="DZ66" s="55">
        <f t="shared" si="505"/>
        <v>0.89</v>
      </c>
      <c r="EA66" s="55">
        <f t="shared" si="505"/>
        <v>0.87</v>
      </c>
      <c r="EB66" s="55">
        <f t="shared" si="505"/>
        <v>0.85</v>
      </c>
      <c r="EC66" s="55">
        <f t="shared" si="505"/>
        <v>0.83</v>
      </c>
      <c r="ED66" s="55">
        <f t="shared" si="505"/>
        <v>0.80999999999999994</v>
      </c>
      <c r="EE66" s="55">
        <f t="shared" si="505"/>
        <v>0.78999999999999992</v>
      </c>
      <c r="EF66" s="55">
        <f t="shared" si="505"/>
        <v>0.76999999999999991</v>
      </c>
      <c r="EG66" s="55">
        <f t="shared" si="505"/>
        <v>0.74999999999999989</v>
      </c>
      <c r="EH66" s="55">
        <f t="shared" si="505"/>
        <v>0.72999999999999987</v>
      </c>
      <c r="EI66" s="55">
        <f t="shared" si="505"/>
        <v>0.70999999999999985</v>
      </c>
      <c r="EJ66" s="55">
        <f t="shared" si="505"/>
        <v>0.68999999999999984</v>
      </c>
      <c r="EK66" s="55">
        <f t="shared" si="505"/>
        <v>0.66999999999999982</v>
      </c>
      <c r="EL66" s="55">
        <f t="shared" si="505"/>
        <v>0.6499999999999998</v>
      </c>
      <c r="EM66" s="55">
        <f t="shared" si="505"/>
        <v>0.62999999999999978</v>
      </c>
      <c r="EN66" s="55">
        <f t="shared" si="505"/>
        <v>0.60999999999999976</v>
      </c>
      <c r="EO66" s="55">
        <f t="shared" si="505"/>
        <v>0.58999999999999975</v>
      </c>
      <c r="EP66" s="55">
        <f t="shared" si="505"/>
        <v>0.56999999999999973</v>
      </c>
      <c r="ER66" s="55">
        <f t="shared" si="142"/>
        <v>3980.6767</v>
      </c>
      <c r="ES66" s="55">
        <f t="shared" si="116"/>
        <v>3980.6767</v>
      </c>
      <c r="ET66" s="59">
        <f t="shared" si="461"/>
        <v>13159.321034860001</v>
      </c>
      <c r="EU66" s="55">
        <f t="shared" si="462"/>
        <v>3861.2563989999999</v>
      </c>
      <c r="EV66" s="59">
        <f t="shared" si="463"/>
        <v>12764.541403814201</v>
      </c>
      <c r="EW66" s="55">
        <f t="shared" si="464"/>
        <v>3781.6428649999998</v>
      </c>
      <c r="EX66" s="59">
        <f t="shared" si="465"/>
        <v>12501.354983117</v>
      </c>
      <c r="EY66" s="55">
        <f t="shared" si="466"/>
        <v>3702.0293310000002</v>
      </c>
      <c r="EZ66" s="59">
        <f t="shared" si="467"/>
        <v>12238.168562419802</v>
      </c>
      <c r="FA66" s="57">
        <f t="shared" si="468"/>
        <v>3622.4157970000001</v>
      </c>
      <c r="FB66" s="59">
        <f t="shared" si="469"/>
        <v>11974.982141722601</v>
      </c>
      <c r="FC66" s="55">
        <f t="shared" si="470"/>
        <v>3542.802263</v>
      </c>
      <c r="FD66" s="59">
        <f t="shared" si="471"/>
        <v>11711.795721025401</v>
      </c>
      <c r="FE66" s="57">
        <f t="shared" si="472"/>
        <v>3463.188729</v>
      </c>
      <c r="FF66" s="59">
        <f t="shared" si="473"/>
        <v>11448.6093003282</v>
      </c>
      <c r="FG66" s="60">
        <f t="shared" si="474"/>
        <v>3383.5751949999999</v>
      </c>
      <c r="FH66" s="59">
        <f t="shared" si="475"/>
        <v>11185.422879631</v>
      </c>
      <c r="FI66" s="57">
        <f t="shared" si="476"/>
        <v>3303.9616609999998</v>
      </c>
      <c r="FJ66" s="59">
        <f t="shared" si="477"/>
        <v>10922.236458933799</v>
      </c>
      <c r="FK66" s="55">
        <f t="shared" si="478"/>
        <v>3224.3481269999997</v>
      </c>
      <c r="FL66" s="59">
        <f t="shared" si="479"/>
        <v>10659.050038236599</v>
      </c>
      <c r="FM66" s="60">
        <f t="shared" si="480"/>
        <v>3144.7345929999997</v>
      </c>
      <c r="FN66" s="59">
        <f t="shared" si="481"/>
        <v>10395.863617539399</v>
      </c>
      <c r="FO66" s="60">
        <f t="shared" si="482"/>
        <v>3065.1210589999996</v>
      </c>
      <c r="FP66" s="59">
        <f t="shared" si="483"/>
        <v>10132.677196842198</v>
      </c>
      <c r="FQ66" s="60">
        <f t="shared" si="484"/>
        <v>2985.5075249999995</v>
      </c>
      <c r="FR66" s="59">
        <f t="shared" si="485"/>
        <v>9869.4907761449995</v>
      </c>
      <c r="FS66" s="55">
        <f t="shared" si="486"/>
        <v>2905.8939909999995</v>
      </c>
      <c r="FT66" s="59">
        <f t="shared" si="487"/>
        <v>9606.304355447799</v>
      </c>
      <c r="FU66" s="60">
        <f t="shared" si="488"/>
        <v>2826.2804569999994</v>
      </c>
      <c r="FV66" s="59">
        <f t="shared" si="489"/>
        <v>9343.1179347505986</v>
      </c>
      <c r="FW66" s="60">
        <f t="shared" si="490"/>
        <v>2746.6669229999993</v>
      </c>
      <c r="FX66" s="59">
        <f t="shared" si="491"/>
        <v>9079.9315140533981</v>
      </c>
      <c r="FY66" s="60">
        <f t="shared" si="492"/>
        <v>2667.0533889999992</v>
      </c>
      <c r="FZ66" s="59">
        <f t="shared" si="493"/>
        <v>8816.7450933561977</v>
      </c>
      <c r="GA66" s="60">
        <f t="shared" si="494"/>
        <v>2587.4398549999992</v>
      </c>
      <c r="GB66" s="59">
        <f t="shared" si="495"/>
        <v>8553.5586726589972</v>
      </c>
      <c r="GC66" s="55">
        <f t="shared" si="496"/>
        <v>2507.8263209999991</v>
      </c>
      <c r="GD66" s="59">
        <f t="shared" si="497"/>
        <v>8290.3722519617968</v>
      </c>
      <c r="GE66" s="60">
        <f t="shared" si="498"/>
        <v>2428.212786999999</v>
      </c>
      <c r="GF66" s="59">
        <f t="shared" si="499"/>
        <v>8027.1858312645973</v>
      </c>
      <c r="GG66" s="60">
        <f t="shared" si="500"/>
        <v>2348.599252999999</v>
      </c>
      <c r="GH66" s="59">
        <f t="shared" si="501"/>
        <v>7763.9994105673968</v>
      </c>
      <c r="GI66" s="55">
        <f t="shared" si="502"/>
        <v>2268.9857189999989</v>
      </c>
      <c r="GJ66" s="59">
        <f t="shared" si="503"/>
        <v>7500.8129898701964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506"/>
        <v>0.91</v>
      </c>
      <c r="GR66" s="55">
        <f t="shared" si="506"/>
        <v>0.89</v>
      </c>
      <c r="GS66" s="55">
        <f t="shared" si="506"/>
        <v>0.87</v>
      </c>
      <c r="GT66" s="55">
        <f t="shared" si="506"/>
        <v>0.85</v>
      </c>
      <c r="GU66" s="55">
        <f t="shared" si="506"/>
        <v>0.83</v>
      </c>
      <c r="GV66" s="55">
        <f t="shared" si="506"/>
        <v>0.80999999999999994</v>
      </c>
      <c r="GW66" s="55">
        <f t="shared" si="506"/>
        <v>0.78999999999999992</v>
      </c>
      <c r="GX66" s="55">
        <f t="shared" si="506"/>
        <v>0.76999999999999991</v>
      </c>
      <c r="GY66" s="55">
        <f t="shared" si="506"/>
        <v>0.74999999999999989</v>
      </c>
      <c r="GZ66" s="55">
        <f t="shared" si="506"/>
        <v>0.72999999999999987</v>
      </c>
      <c r="HA66" s="55">
        <f t="shared" si="506"/>
        <v>0.70999999999999985</v>
      </c>
      <c r="HB66" s="55">
        <f t="shared" si="506"/>
        <v>0.68999999999999984</v>
      </c>
      <c r="HC66" s="55">
        <f t="shared" si="506"/>
        <v>0.66999999999999982</v>
      </c>
      <c r="HD66" s="55">
        <f t="shared" si="506"/>
        <v>0.6499999999999998</v>
      </c>
      <c r="HE66" s="55">
        <f t="shared" si="506"/>
        <v>0.62999999999999978</v>
      </c>
      <c r="HF66" s="55">
        <f t="shared" si="506"/>
        <v>0.60999999999999976</v>
      </c>
      <c r="HG66" s="55">
        <f t="shared" si="506"/>
        <v>0.58999999999999975</v>
      </c>
      <c r="HH66" s="55">
        <f t="shared" si="506"/>
        <v>0.56999999999999973</v>
      </c>
    </row>
    <row r="67" spans="1:216" x14ac:dyDescent="0.3">
      <c r="A67" s="2">
        <v>5</v>
      </c>
      <c r="C67" s="38" t="s">
        <v>34</v>
      </c>
      <c r="D67" s="42">
        <f>TRUNC(19369,-1)</f>
        <v>19360</v>
      </c>
      <c r="E67" s="71">
        <f t="shared" si="372"/>
        <v>64000</v>
      </c>
      <c r="H67" s="55">
        <f t="shared" si="373"/>
        <v>21296</v>
      </c>
      <c r="I67" s="55">
        <f t="shared" si="62"/>
        <v>21296</v>
      </c>
      <c r="J67" s="59">
        <f t="shared" si="63"/>
        <v>70400.316800000001</v>
      </c>
      <c r="K67" s="55">
        <f t="shared" si="374"/>
        <v>20657.12</v>
      </c>
      <c r="L67" s="59">
        <f t="shared" si="375"/>
        <v>68288.307295999999</v>
      </c>
      <c r="M67" s="55">
        <f t="shared" si="376"/>
        <v>20231.2</v>
      </c>
      <c r="N67" s="59">
        <f t="shared" si="377"/>
        <v>66880.300960000008</v>
      </c>
      <c r="O67" s="55">
        <f t="shared" si="378"/>
        <v>19805.280000000002</v>
      </c>
      <c r="P67" s="59">
        <f t="shared" si="379"/>
        <v>65472.294624000009</v>
      </c>
      <c r="Q67" s="57">
        <f t="shared" si="380"/>
        <v>19379.36</v>
      </c>
      <c r="R67" s="59">
        <f t="shared" si="381"/>
        <v>64064.288288000003</v>
      </c>
      <c r="S67" s="55">
        <f t="shared" si="382"/>
        <v>18953.439999999999</v>
      </c>
      <c r="T67" s="59">
        <f t="shared" si="383"/>
        <v>62656.281951999998</v>
      </c>
      <c r="U67" s="57">
        <f t="shared" si="384"/>
        <v>18527.52</v>
      </c>
      <c r="V67" s="59">
        <f t="shared" si="385"/>
        <v>61248.275616000006</v>
      </c>
      <c r="W67" s="60">
        <f t="shared" si="386"/>
        <v>18101.599999999999</v>
      </c>
      <c r="X67" s="59">
        <f t="shared" si="387"/>
        <v>59840.269279999993</v>
      </c>
      <c r="Y67" s="57">
        <f t="shared" si="388"/>
        <v>17675.68</v>
      </c>
      <c r="Z67" s="59">
        <f t="shared" si="389"/>
        <v>58432.262944000002</v>
      </c>
      <c r="AA67" s="55">
        <f t="shared" si="390"/>
        <v>17249.759999999998</v>
      </c>
      <c r="AB67" s="59">
        <f t="shared" si="391"/>
        <v>57024.256607999996</v>
      </c>
      <c r="AC67" s="60">
        <f t="shared" si="392"/>
        <v>16823.84</v>
      </c>
      <c r="AD67" s="59">
        <f t="shared" si="393"/>
        <v>55616.250272000005</v>
      </c>
      <c r="AE67" s="60">
        <f t="shared" si="394"/>
        <v>16397.919999999998</v>
      </c>
      <c r="AF67" s="59">
        <f t="shared" si="395"/>
        <v>54208.243935999999</v>
      </c>
      <c r="AG67" s="60">
        <f t="shared" si="396"/>
        <v>15971.999999999998</v>
      </c>
      <c r="AH67" s="59">
        <f t="shared" si="397"/>
        <v>52800.237599999993</v>
      </c>
      <c r="AI67" s="55">
        <f t="shared" si="398"/>
        <v>15546.079999999998</v>
      </c>
      <c r="AJ67" s="59">
        <f t="shared" si="399"/>
        <v>51392.231263999995</v>
      </c>
      <c r="AK67" s="60">
        <f t="shared" si="400"/>
        <v>15120.159999999996</v>
      </c>
      <c r="AL67" s="59">
        <f t="shared" si="401"/>
        <v>49984.224927999989</v>
      </c>
      <c r="AM67" s="60">
        <f t="shared" si="402"/>
        <v>14694.239999999996</v>
      </c>
      <c r="AN67" s="59">
        <f t="shared" si="403"/>
        <v>48576.21859199999</v>
      </c>
      <c r="AO67" s="60">
        <f t="shared" si="404"/>
        <v>14268.319999999996</v>
      </c>
      <c r="AP67" s="59">
        <f t="shared" si="405"/>
        <v>47168.212255999992</v>
      </c>
      <c r="AQ67" s="60">
        <f t="shared" si="406"/>
        <v>13842.399999999996</v>
      </c>
      <c r="AR67" s="59">
        <f t="shared" si="407"/>
        <v>45760.205919999986</v>
      </c>
      <c r="AS67" s="55">
        <f t="shared" si="408"/>
        <v>13416.479999999996</v>
      </c>
      <c r="AT67" s="59">
        <f t="shared" si="409"/>
        <v>44352.199583999987</v>
      </c>
      <c r="AU67" s="60">
        <f t="shared" si="410"/>
        <v>12990.559999999996</v>
      </c>
      <c r="AV67" s="59">
        <f t="shared" si="411"/>
        <v>42944.193247999989</v>
      </c>
      <c r="AW67" s="60">
        <f t="shared" si="412"/>
        <v>12564.639999999994</v>
      </c>
      <c r="AX67" s="59">
        <f t="shared" si="413"/>
        <v>41536.186911999983</v>
      </c>
      <c r="AY67" s="55">
        <f t="shared" si="414"/>
        <v>12138.719999999994</v>
      </c>
      <c r="AZ67" s="59">
        <f t="shared" si="415"/>
        <v>40128.180575999984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16"/>
        <v>0.91</v>
      </c>
      <c r="BH67" s="55">
        <f t="shared" si="416"/>
        <v>0.89</v>
      </c>
      <c r="BI67" s="55">
        <f t="shared" si="416"/>
        <v>0.87</v>
      </c>
      <c r="BJ67" s="55">
        <f t="shared" si="416"/>
        <v>0.85</v>
      </c>
      <c r="BK67" s="55">
        <f t="shared" si="416"/>
        <v>0.83</v>
      </c>
      <c r="BL67" s="55">
        <f t="shared" si="416"/>
        <v>0.80999999999999994</v>
      </c>
      <c r="BM67" s="55">
        <f t="shared" si="416"/>
        <v>0.78999999999999992</v>
      </c>
      <c r="BN67" s="55">
        <f t="shared" si="416"/>
        <v>0.76999999999999991</v>
      </c>
      <c r="BO67" s="55">
        <f t="shared" si="416"/>
        <v>0.74999999999999989</v>
      </c>
      <c r="BP67" s="55">
        <f t="shared" si="416"/>
        <v>0.72999999999999987</v>
      </c>
      <c r="BQ67" s="55">
        <f t="shared" si="416"/>
        <v>0.70999999999999985</v>
      </c>
      <c r="BR67" s="55">
        <f t="shared" si="416"/>
        <v>0.68999999999999984</v>
      </c>
      <c r="BS67" s="55">
        <f t="shared" si="416"/>
        <v>0.66999999999999982</v>
      </c>
      <c r="BT67" s="55">
        <f t="shared" si="416"/>
        <v>0.6499999999999998</v>
      </c>
      <c r="BU67" s="55">
        <f t="shared" si="416"/>
        <v>0.62999999999999978</v>
      </c>
      <c r="BV67" s="55">
        <f t="shared" si="416"/>
        <v>0.60999999999999976</v>
      </c>
      <c r="BW67" s="55">
        <f t="shared" si="416"/>
        <v>0.58999999999999975</v>
      </c>
      <c r="BX67" s="55">
        <f t="shared" si="416"/>
        <v>0.56999999999999973</v>
      </c>
      <c r="BZ67" s="55">
        <f t="shared" si="88"/>
        <v>19379.36</v>
      </c>
      <c r="CA67" s="55">
        <f t="shared" si="89"/>
        <v>19379.36</v>
      </c>
      <c r="CB67" s="59">
        <f t="shared" si="417"/>
        <v>64064.288288000003</v>
      </c>
      <c r="CC67" s="55">
        <f t="shared" si="418"/>
        <v>18797.979200000002</v>
      </c>
      <c r="CD67" s="59">
        <f t="shared" si="419"/>
        <v>62142.359639360009</v>
      </c>
      <c r="CE67" s="55">
        <f t="shared" si="420"/>
        <v>18410.392</v>
      </c>
      <c r="CF67" s="59">
        <f t="shared" si="421"/>
        <v>60861.073873599998</v>
      </c>
      <c r="CG67" s="55">
        <f t="shared" si="422"/>
        <v>18022.804800000002</v>
      </c>
      <c r="CH67" s="59">
        <f t="shared" si="423"/>
        <v>59579.78810784001</v>
      </c>
      <c r="CI67" s="57">
        <f t="shared" si="424"/>
        <v>17635.2176</v>
      </c>
      <c r="CJ67" s="59">
        <f t="shared" si="425"/>
        <v>58298.502342079999</v>
      </c>
      <c r="CK67" s="55">
        <f t="shared" si="426"/>
        <v>17247.630400000002</v>
      </c>
      <c r="CL67" s="59">
        <f t="shared" si="427"/>
        <v>57017.21657632001</v>
      </c>
      <c r="CM67" s="57">
        <f t="shared" si="428"/>
        <v>16860.0432</v>
      </c>
      <c r="CN67" s="59">
        <f t="shared" si="429"/>
        <v>55735.930810559999</v>
      </c>
      <c r="CO67" s="60">
        <f t="shared" si="430"/>
        <v>16472.455999999998</v>
      </c>
      <c r="CP67" s="59">
        <f t="shared" si="431"/>
        <v>54454.645044799996</v>
      </c>
      <c r="CQ67" s="57">
        <f t="shared" si="432"/>
        <v>16084.8688</v>
      </c>
      <c r="CR67" s="59">
        <f t="shared" si="433"/>
        <v>53173.35927904</v>
      </c>
      <c r="CS67" s="55">
        <f t="shared" si="434"/>
        <v>15697.2816</v>
      </c>
      <c r="CT67" s="59">
        <f t="shared" si="435"/>
        <v>51892.073513280004</v>
      </c>
      <c r="CU67" s="60">
        <f t="shared" si="436"/>
        <v>15309.694399999998</v>
      </c>
      <c r="CV67" s="59">
        <f t="shared" si="437"/>
        <v>50610.787747519993</v>
      </c>
      <c r="CW67" s="60">
        <f t="shared" si="438"/>
        <v>14922.107199999999</v>
      </c>
      <c r="CX67" s="59">
        <f t="shared" si="439"/>
        <v>49329.501981759997</v>
      </c>
      <c r="CY67" s="60">
        <f t="shared" si="440"/>
        <v>14534.519999999999</v>
      </c>
      <c r="CZ67" s="59">
        <f t="shared" si="441"/>
        <v>48048.216215999993</v>
      </c>
      <c r="DA67" s="55">
        <f t="shared" si="442"/>
        <v>14146.932799999999</v>
      </c>
      <c r="DB67" s="59">
        <f t="shared" si="443"/>
        <v>46766.930450239997</v>
      </c>
      <c r="DC67" s="60">
        <f t="shared" si="444"/>
        <v>13759.345599999997</v>
      </c>
      <c r="DD67" s="59">
        <f t="shared" si="445"/>
        <v>45485.644684479994</v>
      </c>
      <c r="DE67" s="60">
        <f t="shared" si="446"/>
        <v>13371.758399999997</v>
      </c>
      <c r="DF67" s="59">
        <f t="shared" si="447"/>
        <v>44204.35891871999</v>
      </c>
      <c r="DG67" s="60">
        <f t="shared" si="448"/>
        <v>12984.171199999997</v>
      </c>
      <c r="DH67" s="59">
        <f t="shared" si="449"/>
        <v>42923.073152959994</v>
      </c>
      <c r="DI67" s="60">
        <f t="shared" si="450"/>
        <v>12596.583999999997</v>
      </c>
      <c r="DJ67" s="59">
        <f t="shared" si="451"/>
        <v>41641.787387199991</v>
      </c>
      <c r="DK67" s="55">
        <f t="shared" si="452"/>
        <v>12208.996799999995</v>
      </c>
      <c r="DL67" s="59">
        <f t="shared" si="453"/>
        <v>40360.501621439988</v>
      </c>
      <c r="DM67" s="60">
        <f t="shared" si="454"/>
        <v>11821.409599999995</v>
      </c>
      <c r="DN67" s="59">
        <f t="shared" si="455"/>
        <v>39079.215855679984</v>
      </c>
      <c r="DO67" s="60">
        <f t="shared" si="456"/>
        <v>11433.822399999995</v>
      </c>
      <c r="DP67" s="59">
        <f t="shared" si="457"/>
        <v>37797.930089919988</v>
      </c>
      <c r="DQ67" s="55">
        <f t="shared" si="458"/>
        <v>11046.235199999996</v>
      </c>
      <c r="DR67" s="59">
        <f t="shared" si="459"/>
        <v>36516.644324159985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505"/>
        <v>0.91</v>
      </c>
      <c r="DZ67" s="55">
        <f t="shared" si="505"/>
        <v>0.89</v>
      </c>
      <c r="EA67" s="55">
        <f t="shared" si="505"/>
        <v>0.87</v>
      </c>
      <c r="EB67" s="55">
        <f t="shared" si="505"/>
        <v>0.85</v>
      </c>
      <c r="EC67" s="55">
        <f t="shared" si="505"/>
        <v>0.83</v>
      </c>
      <c r="ED67" s="55">
        <f t="shared" si="505"/>
        <v>0.80999999999999994</v>
      </c>
      <c r="EE67" s="55">
        <f t="shared" si="505"/>
        <v>0.78999999999999992</v>
      </c>
      <c r="EF67" s="55">
        <f t="shared" si="505"/>
        <v>0.76999999999999991</v>
      </c>
      <c r="EG67" s="55">
        <f t="shared" si="505"/>
        <v>0.74999999999999989</v>
      </c>
      <c r="EH67" s="55">
        <f t="shared" si="505"/>
        <v>0.72999999999999987</v>
      </c>
      <c r="EI67" s="55">
        <f t="shared" si="505"/>
        <v>0.70999999999999985</v>
      </c>
      <c r="EJ67" s="55">
        <f t="shared" si="505"/>
        <v>0.68999999999999984</v>
      </c>
      <c r="EK67" s="55">
        <f t="shared" si="505"/>
        <v>0.66999999999999982</v>
      </c>
      <c r="EL67" s="55">
        <f t="shared" si="505"/>
        <v>0.6499999999999998</v>
      </c>
      <c r="EM67" s="55">
        <f t="shared" si="505"/>
        <v>0.62999999999999978</v>
      </c>
      <c r="EN67" s="55">
        <f t="shared" si="505"/>
        <v>0.60999999999999976</v>
      </c>
      <c r="EO67" s="55">
        <f t="shared" si="505"/>
        <v>0.58999999999999975</v>
      </c>
      <c r="EP67" s="55">
        <f t="shared" si="505"/>
        <v>0.56999999999999973</v>
      </c>
      <c r="ER67" s="55">
        <f t="shared" si="142"/>
        <v>17635.2176</v>
      </c>
      <c r="ES67" s="55">
        <f t="shared" si="116"/>
        <v>17635.2176</v>
      </c>
      <c r="ET67" s="59">
        <f t="shared" si="461"/>
        <v>58298.502342079999</v>
      </c>
      <c r="EU67" s="55">
        <f t="shared" si="462"/>
        <v>17106.161071999999</v>
      </c>
      <c r="EV67" s="59">
        <f t="shared" si="463"/>
        <v>56549.547271817595</v>
      </c>
      <c r="EW67" s="55">
        <f t="shared" si="464"/>
        <v>16753.456719999998</v>
      </c>
      <c r="EX67" s="59">
        <f t="shared" si="465"/>
        <v>55383.577224975998</v>
      </c>
      <c r="EY67" s="55">
        <f t="shared" si="466"/>
        <v>16400.752368000001</v>
      </c>
      <c r="EZ67" s="59">
        <f t="shared" si="467"/>
        <v>54217.607178134407</v>
      </c>
      <c r="FA67" s="57">
        <f t="shared" si="468"/>
        <v>16048.048016000001</v>
      </c>
      <c r="FB67" s="59">
        <f t="shared" si="469"/>
        <v>53051.637131292802</v>
      </c>
      <c r="FC67" s="55">
        <f t="shared" si="470"/>
        <v>15695.343664</v>
      </c>
      <c r="FD67" s="59">
        <f t="shared" si="471"/>
        <v>51885.667084451205</v>
      </c>
      <c r="FE67" s="57">
        <f t="shared" si="472"/>
        <v>15342.639311999999</v>
      </c>
      <c r="FF67" s="59">
        <f t="shared" si="473"/>
        <v>50719.6970376096</v>
      </c>
      <c r="FG67" s="60">
        <f t="shared" si="474"/>
        <v>14989.934959999999</v>
      </c>
      <c r="FH67" s="59">
        <f t="shared" si="475"/>
        <v>49553.726990767995</v>
      </c>
      <c r="FI67" s="57">
        <f t="shared" si="476"/>
        <v>14637.230608</v>
      </c>
      <c r="FJ67" s="59">
        <f t="shared" si="477"/>
        <v>48387.756943926397</v>
      </c>
      <c r="FK67" s="55">
        <f t="shared" si="478"/>
        <v>14284.526255999999</v>
      </c>
      <c r="FL67" s="59">
        <f t="shared" si="479"/>
        <v>47221.786897084799</v>
      </c>
      <c r="FM67" s="60">
        <f t="shared" si="480"/>
        <v>13931.821903999999</v>
      </c>
      <c r="FN67" s="59">
        <f t="shared" si="481"/>
        <v>46055.816850243194</v>
      </c>
      <c r="FO67" s="60">
        <f t="shared" si="482"/>
        <v>13579.117551999998</v>
      </c>
      <c r="FP67" s="59">
        <f t="shared" si="483"/>
        <v>44889.846803401597</v>
      </c>
      <c r="FQ67" s="60">
        <f t="shared" si="484"/>
        <v>13226.413199999997</v>
      </c>
      <c r="FR67" s="59">
        <f t="shared" si="485"/>
        <v>43723.876756559992</v>
      </c>
      <c r="FS67" s="55">
        <f t="shared" si="486"/>
        <v>12873.708847999998</v>
      </c>
      <c r="FT67" s="59">
        <f t="shared" si="487"/>
        <v>42557.906709718394</v>
      </c>
      <c r="FU67" s="60">
        <f t="shared" si="488"/>
        <v>12521.004495999998</v>
      </c>
      <c r="FV67" s="59">
        <f t="shared" si="489"/>
        <v>41391.936662876797</v>
      </c>
      <c r="FW67" s="60">
        <f t="shared" si="490"/>
        <v>12168.300143999997</v>
      </c>
      <c r="FX67" s="59">
        <f t="shared" si="491"/>
        <v>40225.966616035192</v>
      </c>
      <c r="FY67" s="60">
        <f t="shared" si="492"/>
        <v>11815.595791999996</v>
      </c>
      <c r="FZ67" s="59">
        <f t="shared" si="493"/>
        <v>39059.996569193587</v>
      </c>
      <c r="GA67" s="60">
        <f t="shared" si="494"/>
        <v>11462.891439999996</v>
      </c>
      <c r="GB67" s="59">
        <f t="shared" si="495"/>
        <v>37894.026522351989</v>
      </c>
      <c r="GC67" s="55">
        <f t="shared" si="496"/>
        <v>11110.187087999997</v>
      </c>
      <c r="GD67" s="59">
        <f t="shared" si="497"/>
        <v>36728.056475510391</v>
      </c>
      <c r="GE67" s="60">
        <f t="shared" si="498"/>
        <v>10757.482735999996</v>
      </c>
      <c r="GF67" s="59">
        <f t="shared" si="499"/>
        <v>35562.086428668787</v>
      </c>
      <c r="GG67" s="60">
        <f t="shared" si="500"/>
        <v>10404.778383999996</v>
      </c>
      <c r="GH67" s="59">
        <f t="shared" si="501"/>
        <v>34396.116381827189</v>
      </c>
      <c r="GI67" s="55">
        <f t="shared" si="502"/>
        <v>10052.074031999995</v>
      </c>
      <c r="GJ67" s="59">
        <f t="shared" si="503"/>
        <v>33230.146334985584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506"/>
        <v>0.91</v>
      </c>
      <c r="GR67" s="55">
        <f t="shared" si="506"/>
        <v>0.89</v>
      </c>
      <c r="GS67" s="55">
        <f t="shared" si="506"/>
        <v>0.87</v>
      </c>
      <c r="GT67" s="55">
        <f t="shared" si="506"/>
        <v>0.85</v>
      </c>
      <c r="GU67" s="55">
        <f t="shared" si="506"/>
        <v>0.83</v>
      </c>
      <c r="GV67" s="55">
        <f t="shared" si="506"/>
        <v>0.80999999999999994</v>
      </c>
      <c r="GW67" s="55">
        <f t="shared" si="506"/>
        <v>0.78999999999999992</v>
      </c>
      <c r="GX67" s="55">
        <f t="shared" si="506"/>
        <v>0.76999999999999991</v>
      </c>
      <c r="GY67" s="55">
        <f t="shared" si="506"/>
        <v>0.74999999999999989</v>
      </c>
      <c r="GZ67" s="55">
        <f t="shared" si="506"/>
        <v>0.72999999999999987</v>
      </c>
      <c r="HA67" s="55">
        <f t="shared" si="506"/>
        <v>0.70999999999999985</v>
      </c>
      <c r="HB67" s="55">
        <f t="shared" si="506"/>
        <v>0.68999999999999984</v>
      </c>
      <c r="HC67" s="55">
        <f t="shared" si="506"/>
        <v>0.66999999999999982</v>
      </c>
      <c r="HD67" s="55">
        <f t="shared" si="506"/>
        <v>0.6499999999999998</v>
      </c>
      <c r="HE67" s="55">
        <f t="shared" si="506"/>
        <v>0.62999999999999978</v>
      </c>
      <c r="HF67" s="55">
        <f t="shared" si="506"/>
        <v>0.60999999999999976</v>
      </c>
      <c r="HG67" s="55">
        <f t="shared" si="506"/>
        <v>0.58999999999999975</v>
      </c>
      <c r="HH67" s="55">
        <f t="shared" si="506"/>
        <v>0.56999999999999973</v>
      </c>
    </row>
    <row r="68" spans="1:216" x14ac:dyDescent="0.3">
      <c r="A68" s="2">
        <v>6</v>
      </c>
      <c r="C68" s="38" t="s">
        <v>177</v>
      </c>
      <c r="D68" s="42">
        <v>0</v>
      </c>
      <c r="E68" s="71">
        <f t="shared" si="372"/>
        <v>0</v>
      </c>
      <c r="H68" s="55">
        <f t="shared" si="373"/>
        <v>0</v>
      </c>
      <c r="I68" s="55">
        <f t="shared" si="62"/>
        <v>0</v>
      </c>
      <c r="J68" s="59">
        <f t="shared" si="63"/>
        <v>0</v>
      </c>
      <c r="K68" s="55">
        <f t="shared" si="374"/>
        <v>0</v>
      </c>
      <c r="L68" s="59">
        <f t="shared" si="375"/>
        <v>0</v>
      </c>
      <c r="M68" s="55">
        <f t="shared" si="376"/>
        <v>0</v>
      </c>
      <c r="N68" s="59">
        <f t="shared" si="377"/>
        <v>0</v>
      </c>
      <c r="O68" s="55">
        <f t="shared" si="378"/>
        <v>0</v>
      </c>
      <c r="P68" s="59">
        <f t="shared" si="379"/>
        <v>0</v>
      </c>
      <c r="Q68" s="57">
        <f t="shared" si="380"/>
        <v>0</v>
      </c>
      <c r="R68" s="59">
        <f t="shared" si="381"/>
        <v>0</v>
      </c>
      <c r="S68" s="55">
        <f t="shared" si="382"/>
        <v>0</v>
      </c>
      <c r="T68" s="59">
        <f t="shared" si="383"/>
        <v>0</v>
      </c>
      <c r="U68" s="57">
        <f t="shared" si="384"/>
        <v>0</v>
      </c>
      <c r="V68" s="59">
        <f t="shared" si="385"/>
        <v>0</v>
      </c>
      <c r="W68" s="60">
        <f t="shared" si="386"/>
        <v>0</v>
      </c>
      <c r="X68" s="59">
        <f t="shared" si="387"/>
        <v>0</v>
      </c>
      <c r="Y68" s="57">
        <f t="shared" si="388"/>
        <v>0</v>
      </c>
      <c r="Z68" s="59">
        <f t="shared" si="389"/>
        <v>0</v>
      </c>
      <c r="AA68" s="55">
        <f t="shared" si="390"/>
        <v>0</v>
      </c>
      <c r="AB68" s="59">
        <f t="shared" si="391"/>
        <v>0</v>
      </c>
      <c r="AC68" s="60">
        <f t="shared" si="392"/>
        <v>0</v>
      </c>
      <c r="AD68" s="59">
        <f t="shared" si="393"/>
        <v>0</v>
      </c>
      <c r="AE68" s="60">
        <f t="shared" si="394"/>
        <v>0</v>
      </c>
      <c r="AF68" s="59">
        <f t="shared" si="395"/>
        <v>0</v>
      </c>
      <c r="AG68" s="60">
        <f t="shared" si="396"/>
        <v>0</v>
      </c>
      <c r="AH68" s="59">
        <f t="shared" si="397"/>
        <v>0</v>
      </c>
      <c r="AI68" s="55">
        <f t="shared" si="398"/>
        <v>0</v>
      </c>
      <c r="AJ68" s="59">
        <f t="shared" si="399"/>
        <v>0</v>
      </c>
      <c r="AK68" s="60">
        <f t="shared" si="400"/>
        <v>0</v>
      </c>
      <c r="AL68" s="59">
        <f t="shared" si="401"/>
        <v>0</v>
      </c>
      <c r="AM68" s="60">
        <f t="shared" si="402"/>
        <v>0</v>
      </c>
      <c r="AN68" s="59">
        <f t="shared" si="403"/>
        <v>0</v>
      </c>
      <c r="AO68" s="60">
        <f t="shared" si="404"/>
        <v>0</v>
      </c>
      <c r="AP68" s="59">
        <f t="shared" si="405"/>
        <v>0</v>
      </c>
      <c r="AQ68" s="60">
        <f t="shared" si="406"/>
        <v>0</v>
      </c>
      <c r="AR68" s="59">
        <f t="shared" si="407"/>
        <v>0</v>
      </c>
      <c r="AS68" s="55">
        <f t="shared" si="408"/>
        <v>0</v>
      </c>
      <c r="AT68" s="59">
        <f t="shared" si="409"/>
        <v>0</v>
      </c>
      <c r="AU68" s="60">
        <f t="shared" si="410"/>
        <v>0</v>
      </c>
      <c r="AV68" s="59">
        <f t="shared" si="411"/>
        <v>0</v>
      </c>
      <c r="AW68" s="60">
        <f t="shared" si="412"/>
        <v>0</v>
      </c>
      <c r="AX68" s="59">
        <f t="shared" si="413"/>
        <v>0</v>
      </c>
      <c r="AY68" s="55">
        <f t="shared" si="414"/>
        <v>0</v>
      </c>
      <c r="AZ68" s="59">
        <f t="shared" si="415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16"/>
        <v>0.91</v>
      </c>
      <c r="BH68" s="55">
        <f t="shared" si="416"/>
        <v>0.89</v>
      </c>
      <c r="BI68" s="55">
        <f t="shared" si="416"/>
        <v>0.87</v>
      </c>
      <c r="BJ68" s="55">
        <f t="shared" si="416"/>
        <v>0.85</v>
      </c>
      <c r="BK68" s="55">
        <f t="shared" si="416"/>
        <v>0.83</v>
      </c>
      <c r="BL68" s="55">
        <f t="shared" si="416"/>
        <v>0.80999999999999994</v>
      </c>
      <c r="BM68" s="55">
        <f t="shared" si="416"/>
        <v>0.78999999999999992</v>
      </c>
      <c r="BN68" s="55">
        <f t="shared" si="416"/>
        <v>0.76999999999999991</v>
      </c>
      <c r="BO68" s="55">
        <f t="shared" si="416"/>
        <v>0.74999999999999989</v>
      </c>
      <c r="BP68" s="55">
        <f t="shared" si="416"/>
        <v>0.72999999999999987</v>
      </c>
      <c r="BQ68" s="55">
        <f t="shared" si="416"/>
        <v>0.70999999999999985</v>
      </c>
      <c r="BR68" s="55">
        <f t="shared" si="416"/>
        <v>0.68999999999999984</v>
      </c>
      <c r="BS68" s="55">
        <f t="shared" si="416"/>
        <v>0.66999999999999982</v>
      </c>
      <c r="BT68" s="55">
        <f t="shared" si="416"/>
        <v>0.6499999999999998</v>
      </c>
      <c r="BU68" s="55">
        <f t="shared" si="416"/>
        <v>0.62999999999999978</v>
      </c>
      <c r="BV68" s="55">
        <f t="shared" si="416"/>
        <v>0.60999999999999976</v>
      </c>
      <c r="BW68" s="55">
        <f t="shared" si="416"/>
        <v>0.58999999999999975</v>
      </c>
      <c r="BX68" s="55">
        <f t="shared" si="416"/>
        <v>0.56999999999999973</v>
      </c>
      <c r="BZ68" s="55">
        <f t="shared" si="88"/>
        <v>0</v>
      </c>
      <c r="CA68" s="55">
        <f t="shared" si="89"/>
        <v>0</v>
      </c>
      <c r="CB68" s="59">
        <f t="shared" si="417"/>
        <v>0</v>
      </c>
      <c r="CC68" s="55">
        <f t="shared" si="418"/>
        <v>0</v>
      </c>
      <c r="CD68" s="59">
        <f t="shared" si="419"/>
        <v>0</v>
      </c>
      <c r="CE68" s="55">
        <f t="shared" si="420"/>
        <v>0</v>
      </c>
      <c r="CF68" s="59">
        <f t="shared" si="421"/>
        <v>0</v>
      </c>
      <c r="CG68" s="55">
        <f t="shared" si="422"/>
        <v>0</v>
      </c>
      <c r="CH68" s="59">
        <f t="shared" si="423"/>
        <v>0</v>
      </c>
      <c r="CI68" s="57">
        <f t="shared" si="424"/>
        <v>0</v>
      </c>
      <c r="CJ68" s="59">
        <f t="shared" si="425"/>
        <v>0</v>
      </c>
      <c r="CK68" s="55">
        <f t="shared" si="426"/>
        <v>0</v>
      </c>
      <c r="CL68" s="59">
        <f t="shared" si="427"/>
        <v>0</v>
      </c>
      <c r="CM68" s="57">
        <f t="shared" si="428"/>
        <v>0</v>
      </c>
      <c r="CN68" s="59">
        <f t="shared" si="429"/>
        <v>0</v>
      </c>
      <c r="CO68" s="60">
        <f t="shared" si="430"/>
        <v>0</v>
      </c>
      <c r="CP68" s="59">
        <f t="shared" si="431"/>
        <v>0</v>
      </c>
      <c r="CQ68" s="57">
        <f t="shared" si="432"/>
        <v>0</v>
      </c>
      <c r="CR68" s="59">
        <f t="shared" si="433"/>
        <v>0</v>
      </c>
      <c r="CS68" s="55">
        <f t="shared" si="434"/>
        <v>0</v>
      </c>
      <c r="CT68" s="59">
        <f t="shared" si="435"/>
        <v>0</v>
      </c>
      <c r="CU68" s="60">
        <f t="shared" si="436"/>
        <v>0</v>
      </c>
      <c r="CV68" s="59">
        <f t="shared" si="437"/>
        <v>0</v>
      </c>
      <c r="CW68" s="60">
        <f t="shared" si="438"/>
        <v>0</v>
      </c>
      <c r="CX68" s="59">
        <f t="shared" si="439"/>
        <v>0</v>
      </c>
      <c r="CY68" s="60">
        <f t="shared" si="440"/>
        <v>0</v>
      </c>
      <c r="CZ68" s="59">
        <f t="shared" si="441"/>
        <v>0</v>
      </c>
      <c r="DA68" s="55">
        <f t="shared" si="442"/>
        <v>0</v>
      </c>
      <c r="DB68" s="59">
        <f t="shared" si="443"/>
        <v>0</v>
      </c>
      <c r="DC68" s="60">
        <f t="shared" si="444"/>
        <v>0</v>
      </c>
      <c r="DD68" s="59">
        <f t="shared" si="445"/>
        <v>0</v>
      </c>
      <c r="DE68" s="60">
        <f t="shared" si="446"/>
        <v>0</v>
      </c>
      <c r="DF68" s="59">
        <f t="shared" si="447"/>
        <v>0</v>
      </c>
      <c r="DG68" s="60">
        <f t="shared" si="448"/>
        <v>0</v>
      </c>
      <c r="DH68" s="59">
        <f t="shared" si="449"/>
        <v>0</v>
      </c>
      <c r="DI68" s="60">
        <f t="shared" si="450"/>
        <v>0</v>
      </c>
      <c r="DJ68" s="59">
        <f t="shared" si="451"/>
        <v>0</v>
      </c>
      <c r="DK68" s="55">
        <f t="shared" si="452"/>
        <v>0</v>
      </c>
      <c r="DL68" s="59">
        <f t="shared" si="453"/>
        <v>0</v>
      </c>
      <c r="DM68" s="60">
        <f t="shared" si="454"/>
        <v>0</v>
      </c>
      <c r="DN68" s="59">
        <f t="shared" si="455"/>
        <v>0</v>
      </c>
      <c r="DO68" s="60">
        <f t="shared" si="456"/>
        <v>0</v>
      </c>
      <c r="DP68" s="59">
        <f t="shared" si="457"/>
        <v>0</v>
      </c>
      <c r="DQ68" s="55">
        <f t="shared" si="458"/>
        <v>0</v>
      </c>
      <c r="DR68" s="59">
        <f t="shared" si="459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505"/>
        <v>0.91</v>
      </c>
      <c r="DZ68" s="55">
        <f t="shared" si="505"/>
        <v>0.89</v>
      </c>
      <c r="EA68" s="55">
        <f t="shared" si="505"/>
        <v>0.87</v>
      </c>
      <c r="EB68" s="55">
        <f t="shared" si="505"/>
        <v>0.85</v>
      </c>
      <c r="EC68" s="55">
        <f t="shared" si="505"/>
        <v>0.83</v>
      </c>
      <c r="ED68" s="55">
        <f t="shared" si="505"/>
        <v>0.80999999999999994</v>
      </c>
      <c r="EE68" s="55">
        <f t="shared" si="505"/>
        <v>0.78999999999999992</v>
      </c>
      <c r="EF68" s="55">
        <f t="shared" si="505"/>
        <v>0.76999999999999991</v>
      </c>
      <c r="EG68" s="55">
        <f t="shared" si="505"/>
        <v>0.74999999999999989</v>
      </c>
      <c r="EH68" s="55">
        <f t="shared" si="505"/>
        <v>0.72999999999999987</v>
      </c>
      <c r="EI68" s="55">
        <f t="shared" si="505"/>
        <v>0.70999999999999985</v>
      </c>
      <c r="EJ68" s="55">
        <f t="shared" si="505"/>
        <v>0.68999999999999984</v>
      </c>
      <c r="EK68" s="55">
        <f t="shared" si="505"/>
        <v>0.66999999999999982</v>
      </c>
      <c r="EL68" s="55">
        <f t="shared" si="505"/>
        <v>0.6499999999999998</v>
      </c>
      <c r="EM68" s="55">
        <f t="shared" si="505"/>
        <v>0.62999999999999978</v>
      </c>
      <c r="EN68" s="55">
        <f t="shared" si="505"/>
        <v>0.60999999999999976</v>
      </c>
      <c r="EO68" s="55">
        <f t="shared" si="505"/>
        <v>0.58999999999999975</v>
      </c>
      <c r="EP68" s="55">
        <f t="shared" si="505"/>
        <v>0.56999999999999973</v>
      </c>
      <c r="ER68" s="55">
        <f t="shared" si="142"/>
        <v>0</v>
      </c>
      <c r="ES68" s="55">
        <f t="shared" si="116"/>
        <v>0</v>
      </c>
      <c r="ET68" s="59">
        <f t="shared" si="461"/>
        <v>0</v>
      </c>
      <c r="EU68" s="55">
        <f t="shared" si="462"/>
        <v>0</v>
      </c>
      <c r="EV68" s="59">
        <f t="shared" si="463"/>
        <v>0</v>
      </c>
      <c r="EW68" s="55">
        <f t="shared" si="464"/>
        <v>0</v>
      </c>
      <c r="EX68" s="59">
        <f t="shared" si="465"/>
        <v>0</v>
      </c>
      <c r="EY68" s="55">
        <f t="shared" si="466"/>
        <v>0</v>
      </c>
      <c r="EZ68" s="59">
        <f t="shared" si="467"/>
        <v>0</v>
      </c>
      <c r="FA68" s="57">
        <f t="shared" si="468"/>
        <v>0</v>
      </c>
      <c r="FB68" s="59">
        <f t="shared" si="469"/>
        <v>0</v>
      </c>
      <c r="FC68" s="55">
        <f t="shared" si="470"/>
        <v>0</v>
      </c>
      <c r="FD68" s="59">
        <f t="shared" si="471"/>
        <v>0</v>
      </c>
      <c r="FE68" s="57">
        <f t="shared" si="472"/>
        <v>0</v>
      </c>
      <c r="FF68" s="59">
        <f t="shared" si="473"/>
        <v>0</v>
      </c>
      <c r="FG68" s="60">
        <f t="shared" si="474"/>
        <v>0</v>
      </c>
      <c r="FH68" s="59">
        <f t="shared" si="475"/>
        <v>0</v>
      </c>
      <c r="FI68" s="57">
        <f t="shared" si="476"/>
        <v>0</v>
      </c>
      <c r="FJ68" s="59">
        <f t="shared" si="477"/>
        <v>0</v>
      </c>
      <c r="FK68" s="55">
        <f t="shared" si="478"/>
        <v>0</v>
      </c>
      <c r="FL68" s="59">
        <f t="shared" si="479"/>
        <v>0</v>
      </c>
      <c r="FM68" s="60">
        <f t="shared" si="480"/>
        <v>0</v>
      </c>
      <c r="FN68" s="59">
        <f t="shared" si="481"/>
        <v>0</v>
      </c>
      <c r="FO68" s="60">
        <f t="shared" si="482"/>
        <v>0</v>
      </c>
      <c r="FP68" s="59">
        <f t="shared" si="483"/>
        <v>0</v>
      </c>
      <c r="FQ68" s="60">
        <f t="shared" si="484"/>
        <v>0</v>
      </c>
      <c r="FR68" s="59">
        <f t="shared" si="485"/>
        <v>0</v>
      </c>
      <c r="FS68" s="55">
        <f t="shared" si="486"/>
        <v>0</v>
      </c>
      <c r="FT68" s="59">
        <f t="shared" si="487"/>
        <v>0</v>
      </c>
      <c r="FU68" s="60">
        <f t="shared" si="488"/>
        <v>0</v>
      </c>
      <c r="FV68" s="59">
        <f t="shared" si="489"/>
        <v>0</v>
      </c>
      <c r="FW68" s="60">
        <f t="shared" si="490"/>
        <v>0</v>
      </c>
      <c r="FX68" s="59">
        <f t="shared" si="491"/>
        <v>0</v>
      </c>
      <c r="FY68" s="60">
        <f t="shared" si="492"/>
        <v>0</v>
      </c>
      <c r="FZ68" s="59">
        <f t="shared" si="493"/>
        <v>0</v>
      </c>
      <c r="GA68" s="60">
        <f t="shared" si="494"/>
        <v>0</v>
      </c>
      <c r="GB68" s="59">
        <f t="shared" si="495"/>
        <v>0</v>
      </c>
      <c r="GC68" s="55">
        <f t="shared" si="496"/>
        <v>0</v>
      </c>
      <c r="GD68" s="59">
        <f t="shared" si="497"/>
        <v>0</v>
      </c>
      <c r="GE68" s="60">
        <f t="shared" si="498"/>
        <v>0</v>
      </c>
      <c r="GF68" s="59">
        <f t="shared" si="499"/>
        <v>0</v>
      </c>
      <c r="GG68" s="60">
        <f t="shared" si="500"/>
        <v>0</v>
      </c>
      <c r="GH68" s="59">
        <f t="shared" si="501"/>
        <v>0</v>
      </c>
      <c r="GI68" s="55">
        <f t="shared" si="502"/>
        <v>0</v>
      </c>
      <c r="GJ68" s="59">
        <f t="shared" si="503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506"/>
        <v>0.91</v>
      </c>
      <c r="GR68" s="55">
        <f t="shared" si="506"/>
        <v>0.89</v>
      </c>
      <c r="GS68" s="55">
        <f t="shared" si="506"/>
        <v>0.87</v>
      </c>
      <c r="GT68" s="55">
        <f t="shared" si="506"/>
        <v>0.85</v>
      </c>
      <c r="GU68" s="55">
        <f t="shared" si="506"/>
        <v>0.83</v>
      </c>
      <c r="GV68" s="55">
        <f t="shared" si="506"/>
        <v>0.80999999999999994</v>
      </c>
      <c r="GW68" s="55">
        <f t="shared" si="506"/>
        <v>0.78999999999999992</v>
      </c>
      <c r="GX68" s="55">
        <f t="shared" si="506"/>
        <v>0.76999999999999991</v>
      </c>
      <c r="GY68" s="55">
        <f t="shared" si="506"/>
        <v>0.74999999999999989</v>
      </c>
      <c r="GZ68" s="55">
        <f t="shared" si="506"/>
        <v>0.72999999999999987</v>
      </c>
      <c r="HA68" s="55">
        <f t="shared" si="506"/>
        <v>0.70999999999999985</v>
      </c>
      <c r="HB68" s="55">
        <f t="shared" si="506"/>
        <v>0.68999999999999984</v>
      </c>
      <c r="HC68" s="55">
        <f t="shared" si="506"/>
        <v>0.66999999999999982</v>
      </c>
      <c r="HD68" s="55">
        <f t="shared" si="506"/>
        <v>0.6499999999999998</v>
      </c>
      <c r="HE68" s="55">
        <f t="shared" si="506"/>
        <v>0.62999999999999978</v>
      </c>
      <c r="HF68" s="55">
        <f t="shared" si="506"/>
        <v>0.60999999999999976</v>
      </c>
      <c r="HG68" s="55">
        <f t="shared" si="506"/>
        <v>0.58999999999999975</v>
      </c>
      <c r="HH68" s="55">
        <f t="shared" si="506"/>
        <v>0.56999999999999973</v>
      </c>
    </row>
    <row r="69" spans="1:216" x14ac:dyDescent="0.3">
      <c r="A69" s="2">
        <v>7</v>
      </c>
      <c r="C69" s="38" t="s">
        <v>141</v>
      </c>
      <c r="D69" s="42">
        <f>TRUNC(265,-1)</f>
        <v>260</v>
      </c>
      <c r="E69" s="71">
        <f t="shared" si="372"/>
        <v>850</v>
      </c>
      <c r="H69" s="55">
        <f t="shared" si="373"/>
        <v>286</v>
      </c>
      <c r="I69" s="55">
        <f t="shared" si="62"/>
        <v>286</v>
      </c>
      <c r="J69" s="59">
        <f t="shared" si="63"/>
        <v>945.4588</v>
      </c>
      <c r="K69" s="55">
        <f t="shared" si="374"/>
        <v>277.42</v>
      </c>
      <c r="L69" s="59">
        <f t="shared" si="375"/>
        <v>917.09503600000005</v>
      </c>
      <c r="M69" s="55">
        <f t="shared" si="376"/>
        <v>271.7</v>
      </c>
      <c r="N69" s="59">
        <f t="shared" si="377"/>
        <v>898.18585999999993</v>
      </c>
      <c r="O69" s="55">
        <f t="shared" si="378"/>
        <v>265.98</v>
      </c>
      <c r="P69" s="59">
        <f t="shared" si="379"/>
        <v>879.27668400000005</v>
      </c>
      <c r="Q69" s="57">
        <f t="shared" si="380"/>
        <v>260.26</v>
      </c>
      <c r="R69" s="59">
        <f t="shared" si="381"/>
        <v>860.36750800000004</v>
      </c>
      <c r="S69" s="55">
        <f t="shared" si="382"/>
        <v>254.54</v>
      </c>
      <c r="T69" s="59">
        <f t="shared" si="383"/>
        <v>841.45833200000004</v>
      </c>
      <c r="U69" s="57">
        <f t="shared" si="384"/>
        <v>248.82</v>
      </c>
      <c r="V69" s="59">
        <f t="shared" si="385"/>
        <v>822.54915600000004</v>
      </c>
      <c r="W69" s="60">
        <f t="shared" si="386"/>
        <v>243.1</v>
      </c>
      <c r="X69" s="59">
        <f t="shared" si="387"/>
        <v>803.63998000000004</v>
      </c>
      <c r="Y69" s="57">
        <f t="shared" si="388"/>
        <v>237.38</v>
      </c>
      <c r="Z69" s="59">
        <f t="shared" si="389"/>
        <v>784.73080400000003</v>
      </c>
      <c r="AA69" s="55">
        <f t="shared" si="390"/>
        <v>231.66</v>
      </c>
      <c r="AB69" s="59">
        <f t="shared" si="391"/>
        <v>765.82162800000003</v>
      </c>
      <c r="AC69" s="60">
        <f t="shared" si="392"/>
        <v>225.93999999999997</v>
      </c>
      <c r="AD69" s="59">
        <f t="shared" si="393"/>
        <v>746.91245199999992</v>
      </c>
      <c r="AE69" s="60">
        <f t="shared" si="394"/>
        <v>220.21999999999997</v>
      </c>
      <c r="AF69" s="59">
        <f t="shared" si="395"/>
        <v>728.00327599999991</v>
      </c>
      <c r="AG69" s="60">
        <f t="shared" si="396"/>
        <v>214.49999999999997</v>
      </c>
      <c r="AH69" s="59">
        <f t="shared" si="397"/>
        <v>709.09409999999991</v>
      </c>
      <c r="AI69" s="55">
        <f t="shared" si="398"/>
        <v>208.77999999999997</v>
      </c>
      <c r="AJ69" s="59">
        <f t="shared" si="399"/>
        <v>690.18492399999991</v>
      </c>
      <c r="AK69" s="60">
        <f t="shared" si="400"/>
        <v>203.05999999999995</v>
      </c>
      <c r="AL69" s="59">
        <f t="shared" si="401"/>
        <v>671.27574799999979</v>
      </c>
      <c r="AM69" s="60">
        <f t="shared" si="402"/>
        <v>197.33999999999995</v>
      </c>
      <c r="AN69" s="59">
        <f t="shared" si="403"/>
        <v>652.36657199999979</v>
      </c>
      <c r="AO69" s="60">
        <f t="shared" si="404"/>
        <v>191.61999999999995</v>
      </c>
      <c r="AP69" s="59">
        <f t="shared" si="405"/>
        <v>633.45739599999979</v>
      </c>
      <c r="AQ69" s="60">
        <f t="shared" si="406"/>
        <v>185.89999999999995</v>
      </c>
      <c r="AR69" s="59">
        <f t="shared" si="407"/>
        <v>614.54821999999979</v>
      </c>
      <c r="AS69" s="55">
        <f t="shared" si="408"/>
        <v>180.17999999999995</v>
      </c>
      <c r="AT69" s="59">
        <f t="shared" si="409"/>
        <v>595.6390439999999</v>
      </c>
      <c r="AU69" s="60">
        <f t="shared" si="410"/>
        <v>174.45999999999992</v>
      </c>
      <c r="AV69" s="59">
        <f t="shared" si="411"/>
        <v>576.72986799999978</v>
      </c>
      <c r="AW69" s="60">
        <f t="shared" si="412"/>
        <v>168.73999999999992</v>
      </c>
      <c r="AX69" s="59">
        <f t="shared" si="413"/>
        <v>557.82069199999978</v>
      </c>
      <c r="AY69" s="55">
        <f t="shared" si="414"/>
        <v>163.01999999999992</v>
      </c>
      <c r="AZ69" s="59">
        <f t="shared" si="415"/>
        <v>538.91151599999978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16"/>
        <v>0.91</v>
      </c>
      <c r="BH69" s="55">
        <f t="shared" si="416"/>
        <v>0.89</v>
      </c>
      <c r="BI69" s="55">
        <f t="shared" si="416"/>
        <v>0.87</v>
      </c>
      <c r="BJ69" s="55">
        <f t="shared" si="416"/>
        <v>0.85</v>
      </c>
      <c r="BK69" s="55">
        <f t="shared" si="416"/>
        <v>0.83</v>
      </c>
      <c r="BL69" s="55">
        <f t="shared" si="416"/>
        <v>0.80999999999999994</v>
      </c>
      <c r="BM69" s="55">
        <f t="shared" si="416"/>
        <v>0.78999999999999992</v>
      </c>
      <c r="BN69" s="55">
        <f t="shared" si="416"/>
        <v>0.76999999999999991</v>
      </c>
      <c r="BO69" s="55">
        <f t="shared" si="416"/>
        <v>0.74999999999999989</v>
      </c>
      <c r="BP69" s="55">
        <f t="shared" si="416"/>
        <v>0.72999999999999987</v>
      </c>
      <c r="BQ69" s="55">
        <f t="shared" si="416"/>
        <v>0.70999999999999985</v>
      </c>
      <c r="BR69" s="55">
        <f t="shared" si="416"/>
        <v>0.68999999999999984</v>
      </c>
      <c r="BS69" s="55">
        <f t="shared" si="416"/>
        <v>0.66999999999999982</v>
      </c>
      <c r="BT69" s="55">
        <f t="shared" si="416"/>
        <v>0.6499999999999998</v>
      </c>
      <c r="BU69" s="55">
        <f t="shared" si="416"/>
        <v>0.62999999999999978</v>
      </c>
      <c r="BV69" s="55">
        <f t="shared" si="416"/>
        <v>0.60999999999999976</v>
      </c>
      <c r="BW69" s="55">
        <f t="shared" si="416"/>
        <v>0.58999999999999975</v>
      </c>
      <c r="BX69" s="55">
        <f t="shared" si="416"/>
        <v>0.56999999999999973</v>
      </c>
      <c r="BZ69" s="55">
        <f t="shared" si="88"/>
        <v>260.26</v>
      </c>
      <c r="CA69" s="55">
        <f t="shared" si="89"/>
        <v>260.26</v>
      </c>
      <c r="CB69" s="59">
        <f t="shared" si="417"/>
        <v>860.36750800000004</v>
      </c>
      <c r="CC69" s="55">
        <f t="shared" si="418"/>
        <v>252.45219999999998</v>
      </c>
      <c r="CD69" s="59">
        <f t="shared" si="419"/>
        <v>834.55648275999999</v>
      </c>
      <c r="CE69" s="55">
        <f t="shared" si="420"/>
        <v>247.24699999999999</v>
      </c>
      <c r="CF69" s="59">
        <f t="shared" si="421"/>
        <v>817.34913259999996</v>
      </c>
      <c r="CG69" s="55">
        <f t="shared" si="422"/>
        <v>242.04179999999999</v>
      </c>
      <c r="CH69" s="59">
        <f t="shared" si="423"/>
        <v>800.14178244000004</v>
      </c>
      <c r="CI69" s="57">
        <f t="shared" si="424"/>
        <v>236.8366</v>
      </c>
      <c r="CJ69" s="59">
        <f t="shared" si="425"/>
        <v>782.93443228000001</v>
      </c>
      <c r="CK69" s="55">
        <f t="shared" si="426"/>
        <v>231.63139999999999</v>
      </c>
      <c r="CL69" s="59">
        <f t="shared" si="427"/>
        <v>765.72708211999998</v>
      </c>
      <c r="CM69" s="57">
        <f t="shared" si="428"/>
        <v>226.42619999999999</v>
      </c>
      <c r="CN69" s="59">
        <f t="shared" si="429"/>
        <v>748.51973195999994</v>
      </c>
      <c r="CO69" s="60">
        <f t="shared" si="430"/>
        <v>221.22099999999998</v>
      </c>
      <c r="CP69" s="59">
        <f t="shared" si="431"/>
        <v>731.31238179999991</v>
      </c>
      <c r="CQ69" s="57">
        <f t="shared" si="432"/>
        <v>216.01579999999998</v>
      </c>
      <c r="CR69" s="59">
        <f t="shared" si="433"/>
        <v>714.10503163999999</v>
      </c>
      <c r="CS69" s="55">
        <f t="shared" si="434"/>
        <v>210.81059999999997</v>
      </c>
      <c r="CT69" s="59">
        <f t="shared" si="435"/>
        <v>696.89768147999985</v>
      </c>
      <c r="CU69" s="60">
        <f t="shared" si="436"/>
        <v>205.60539999999997</v>
      </c>
      <c r="CV69" s="59">
        <f t="shared" si="437"/>
        <v>679.69033131999993</v>
      </c>
      <c r="CW69" s="60">
        <f t="shared" si="438"/>
        <v>200.40019999999996</v>
      </c>
      <c r="CX69" s="59">
        <f t="shared" si="439"/>
        <v>662.48298115999989</v>
      </c>
      <c r="CY69" s="60">
        <f t="shared" si="440"/>
        <v>195.19499999999996</v>
      </c>
      <c r="CZ69" s="59">
        <f t="shared" si="441"/>
        <v>645.27563099999986</v>
      </c>
      <c r="DA69" s="55">
        <f t="shared" si="442"/>
        <v>189.98979999999997</v>
      </c>
      <c r="DB69" s="59">
        <f t="shared" si="443"/>
        <v>628.06828083999994</v>
      </c>
      <c r="DC69" s="60">
        <f t="shared" si="444"/>
        <v>184.78459999999995</v>
      </c>
      <c r="DD69" s="59">
        <f t="shared" si="445"/>
        <v>610.86093067999991</v>
      </c>
      <c r="DE69" s="60">
        <f t="shared" si="446"/>
        <v>179.57939999999996</v>
      </c>
      <c r="DF69" s="59">
        <f t="shared" si="447"/>
        <v>593.65358051999988</v>
      </c>
      <c r="DG69" s="60">
        <f t="shared" si="448"/>
        <v>174.37419999999995</v>
      </c>
      <c r="DH69" s="59">
        <f t="shared" si="449"/>
        <v>576.44623035999984</v>
      </c>
      <c r="DI69" s="60">
        <f t="shared" si="450"/>
        <v>169.16899999999995</v>
      </c>
      <c r="DJ69" s="59">
        <f t="shared" si="451"/>
        <v>559.23888019999981</v>
      </c>
      <c r="DK69" s="55">
        <f t="shared" si="452"/>
        <v>163.96379999999994</v>
      </c>
      <c r="DL69" s="59">
        <f t="shared" si="453"/>
        <v>542.03153003999978</v>
      </c>
      <c r="DM69" s="60">
        <f t="shared" si="454"/>
        <v>158.75859999999994</v>
      </c>
      <c r="DN69" s="59">
        <f t="shared" si="455"/>
        <v>524.82417987999986</v>
      </c>
      <c r="DO69" s="60">
        <f t="shared" si="456"/>
        <v>153.55339999999993</v>
      </c>
      <c r="DP69" s="59">
        <f t="shared" si="457"/>
        <v>507.61682971999977</v>
      </c>
      <c r="DQ69" s="55">
        <f t="shared" si="458"/>
        <v>148.34819999999993</v>
      </c>
      <c r="DR69" s="59">
        <f t="shared" si="459"/>
        <v>490.4094795599998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505"/>
        <v>0.91</v>
      </c>
      <c r="DZ69" s="55">
        <f t="shared" si="505"/>
        <v>0.89</v>
      </c>
      <c r="EA69" s="55">
        <f t="shared" si="505"/>
        <v>0.87</v>
      </c>
      <c r="EB69" s="55">
        <f t="shared" si="505"/>
        <v>0.85</v>
      </c>
      <c r="EC69" s="55">
        <f t="shared" si="505"/>
        <v>0.83</v>
      </c>
      <c r="ED69" s="55">
        <f t="shared" si="505"/>
        <v>0.80999999999999994</v>
      </c>
      <c r="EE69" s="55">
        <f t="shared" si="505"/>
        <v>0.78999999999999992</v>
      </c>
      <c r="EF69" s="55">
        <f t="shared" si="505"/>
        <v>0.76999999999999991</v>
      </c>
      <c r="EG69" s="55">
        <f t="shared" si="505"/>
        <v>0.74999999999999989</v>
      </c>
      <c r="EH69" s="55">
        <f t="shared" si="505"/>
        <v>0.72999999999999987</v>
      </c>
      <c r="EI69" s="55">
        <f t="shared" si="505"/>
        <v>0.70999999999999985</v>
      </c>
      <c r="EJ69" s="55">
        <f t="shared" si="505"/>
        <v>0.68999999999999984</v>
      </c>
      <c r="EK69" s="55">
        <f t="shared" si="505"/>
        <v>0.66999999999999982</v>
      </c>
      <c r="EL69" s="55">
        <f t="shared" si="505"/>
        <v>0.6499999999999998</v>
      </c>
      <c r="EM69" s="55">
        <f t="shared" si="505"/>
        <v>0.62999999999999978</v>
      </c>
      <c r="EN69" s="55">
        <f t="shared" si="505"/>
        <v>0.60999999999999976</v>
      </c>
      <c r="EO69" s="55">
        <f t="shared" si="505"/>
        <v>0.58999999999999975</v>
      </c>
      <c r="EP69" s="55">
        <f t="shared" si="505"/>
        <v>0.56999999999999973</v>
      </c>
      <c r="ER69" s="55">
        <f t="shared" si="142"/>
        <v>236.8366</v>
      </c>
      <c r="ES69" s="55">
        <f t="shared" si="116"/>
        <v>236.8366</v>
      </c>
      <c r="ET69" s="59">
        <f t="shared" si="461"/>
        <v>782.93443228000001</v>
      </c>
      <c r="EU69" s="55">
        <f t="shared" si="462"/>
        <v>229.73150200000001</v>
      </c>
      <c r="EV69" s="59">
        <f t="shared" si="463"/>
        <v>759.44639931160009</v>
      </c>
      <c r="EW69" s="55">
        <f t="shared" si="464"/>
        <v>224.99476999999999</v>
      </c>
      <c r="EX69" s="59">
        <f t="shared" si="465"/>
        <v>743.78771066599995</v>
      </c>
      <c r="EY69" s="55">
        <f t="shared" si="466"/>
        <v>220.25803800000003</v>
      </c>
      <c r="EZ69" s="59">
        <f t="shared" si="467"/>
        <v>728.12902202040016</v>
      </c>
      <c r="FA69" s="57">
        <f t="shared" si="468"/>
        <v>215.52130600000001</v>
      </c>
      <c r="FB69" s="59">
        <f t="shared" si="469"/>
        <v>712.47033337480002</v>
      </c>
      <c r="FC69" s="55">
        <f t="shared" si="470"/>
        <v>210.78457400000002</v>
      </c>
      <c r="FD69" s="59">
        <f t="shared" si="471"/>
        <v>696.81164472920011</v>
      </c>
      <c r="FE69" s="57">
        <f t="shared" si="472"/>
        <v>206.047842</v>
      </c>
      <c r="FF69" s="59">
        <f t="shared" si="473"/>
        <v>681.15295608359997</v>
      </c>
      <c r="FG69" s="60">
        <f t="shared" si="474"/>
        <v>201.31110999999999</v>
      </c>
      <c r="FH69" s="59">
        <f t="shared" si="475"/>
        <v>665.49426743799995</v>
      </c>
      <c r="FI69" s="57">
        <f t="shared" si="476"/>
        <v>196.574378</v>
      </c>
      <c r="FJ69" s="59">
        <f t="shared" si="477"/>
        <v>649.83557879240004</v>
      </c>
      <c r="FK69" s="55">
        <f t="shared" si="478"/>
        <v>191.83764599999998</v>
      </c>
      <c r="FL69" s="59">
        <f t="shared" si="479"/>
        <v>634.17689014679991</v>
      </c>
      <c r="FM69" s="60">
        <f t="shared" si="480"/>
        <v>187.10091399999999</v>
      </c>
      <c r="FN69" s="59">
        <f t="shared" si="481"/>
        <v>618.5182015012</v>
      </c>
      <c r="FO69" s="60">
        <f t="shared" si="482"/>
        <v>182.36418199999997</v>
      </c>
      <c r="FP69" s="59">
        <f t="shared" si="483"/>
        <v>602.85951285559997</v>
      </c>
      <c r="FQ69" s="60">
        <f t="shared" si="484"/>
        <v>177.62744999999998</v>
      </c>
      <c r="FR69" s="59">
        <f t="shared" si="485"/>
        <v>587.20082420999995</v>
      </c>
      <c r="FS69" s="55">
        <f t="shared" si="486"/>
        <v>172.89071799999996</v>
      </c>
      <c r="FT69" s="59">
        <f t="shared" si="487"/>
        <v>571.54213556439993</v>
      </c>
      <c r="FU69" s="60">
        <f t="shared" si="488"/>
        <v>168.15398599999997</v>
      </c>
      <c r="FV69" s="59">
        <f t="shared" si="489"/>
        <v>555.8834469187999</v>
      </c>
      <c r="FW69" s="60">
        <f t="shared" si="490"/>
        <v>163.41725399999996</v>
      </c>
      <c r="FX69" s="59">
        <f t="shared" si="491"/>
        <v>540.22475827319988</v>
      </c>
      <c r="FY69" s="60">
        <f t="shared" si="492"/>
        <v>158.68052199999997</v>
      </c>
      <c r="FZ69" s="59">
        <f t="shared" si="493"/>
        <v>524.56606962759986</v>
      </c>
      <c r="GA69" s="60">
        <f t="shared" si="494"/>
        <v>153.94378999999995</v>
      </c>
      <c r="GB69" s="59">
        <f t="shared" si="495"/>
        <v>508.90738098199984</v>
      </c>
      <c r="GC69" s="55">
        <f t="shared" si="496"/>
        <v>149.20705799999996</v>
      </c>
      <c r="GD69" s="59">
        <f t="shared" si="497"/>
        <v>493.24869233639987</v>
      </c>
      <c r="GE69" s="60">
        <f t="shared" si="498"/>
        <v>144.47032599999994</v>
      </c>
      <c r="GF69" s="59">
        <f t="shared" si="499"/>
        <v>477.59000369079985</v>
      </c>
      <c r="GG69" s="60">
        <f t="shared" si="500"/>
        <v>139.73359399999995</v>
      </c>
      <c r="GH69" s="59">
        <f t="shared" si="501"/>
        <v>461.93131504519988</v>
      </c>
      <c r="GI69" s="55">
        <f t="shared" si="502"/>
        <v>134.99686199999994</v>
      </c>
      <c r="GJ69" s="59">
        <f t="shared" si="503"/>
        <v>446.2726263995998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506"/>
        <v>0.91</v>
      </c>
      <c r="GR69" s="55">
        <f t="shared" si="506"/>
        <v>0.89</v>
      </c>
      <c r="GS69" s="55">
        <f t="shared" si="506"/>
        <v>0.87</v>
      </c>
      <c r="GT69" s="55">
        <f t="shared" si="506"/>
        <v>0.85</v>
      </c>
      <c r="GU69" s="55">
        <f t="shared" si="506"/>
        <v>0.83</v>
      </c>
      <c r="GV69" s="55">
        <f t="shared" si="506"/>
        <v>0.80999999999999994</v>
      </c>
      <c r="GW69" s="55">
        <f t="shared" si="506"/>
        <v>0.78999999999999992</v>
      </c>
      <c r="GX69" s="55">
        <f t="shared" si="506"/>
        <v>0.76999999999999991</v>
      </c>
      <c r="GY69" s="55">
        <f t="shared" si="506"/>
        <v>0.74999999999999989</v>
      </c>
      <c r="GZ69" s="55">
        <f t="shared" si="506"/>
        <v>0.72999999999999987</v>
      </c>
      <c r="HA69" s="55">
        <f t="shared" si="506"/>
        <v>0.70999999999999985</v>
      </c>
      <c r="HB69" s="55">
        <f t="shared" si="506"/>
        <v>0.68999999999999984</v>
      </c>
      <c r="HC69" s="55">
        <f t="shared" si="506"/>
        <v>0.66999999999999982</v>
      </c>
      <c r="HD69" s="55">
        <f t="shared" si="506"/>
        <v>0.6499999999999998</v>
      </c>
      <c r="HE69" s="55">
        <f t="shared" si="506"/>
        <v>0.62999999999999978</v>
      </c>
      <c r="HF69" s="55">
        <f t="shared" si="506"/>
        <v>0.60999999999999976</v>
      </c>
      <c r="HG69" s="55">
        <f t="shared" si="506"/>
        <v>0.58999999999999975</v>
      </c>
      <c r="HH69" s="55">
        <f t="shared" si="506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72"/>
        <v>0</v>
      </c>
      <c r="H70" s="55">
        <f t="shared" si="373"/>
        <v>0</v>
      </c>
      <c r="I70" s="55">
        <f t="shared" si="62"/>
        <v>0</v>
      </c>
      <c r="J70" s="59">
        <f t="shared" si="63"/>
        <v>0</v>
      </c>
      <c r="K70" s="55">
        <f t="shared" si="374"/>
        <v>0</v>
      </c>
      <c r="L70" s="59">
        <f t="shared" si="375"/>
        <v>0</v>
      </c>
      <c r="M70" s="55">
        <f t="shared" si="376"/>
        <v>0</v>
      </c>
      <c r="N70" s="59">
        <f t="shared" si="377"/>
        <v>0</v>
      </c>
      <c r="O70" s="55">
        <f t="shared" si="378"/>
        <v>0</v>
      </c>
      <c r="P70" s="59">
        <f t="shared" si="379"/>
        <v>0</v>
      </c>
      <c r="Q70" s="57">
        <f t="shared" si="380"/>
        <v>0</v>
      </c>
      <c r="R70" s="59">
        <f t="shared" si="381"/>
        <v>0</v>
      </c>
      <c r="S70" s="55">
        <f t="shared" si="382"/>
        <v>0</v>
      </c>
      <c r="T70" s="59">
        <f t="shared" si="383"/>
        <v>0</v>
      </c>
      <c r="U70" s="57">
        <f t="shared" si="384"/>
        <v>0</v>
      </c>
      <c r="V70" s="59">
        <f t="shared" si="385"/>
        <v>0</v>
      </c>
      <c r="W70" s="60">
        <f t="shared" si="386"/>
        <v>0</v>
      </c>
      <c r="X70" s="59">
        <f t="shared" si="387"/>
        <v>0</v>
      </c>
      <c r="Y70" s="57">
        <f t="shared" si="388"/>
        <v>0</v>
      </c>
      <c r="Z70" s="59">
        <f t="shared" si="389"/>
        <v>0</v>
      </c>
      <c r="AA70" s="55">
        <f t="shared" si="390"/>
        <v>0</v>
      </c>
      <c r="AB70" s="59">
        <f t="shared" si="391"/>
        <v>0</v>
      </c>
      <c r="AC70" s="60">
        <f t="shared" si="392"/>
        <v>0</v>
      </c>
      <c r="AD70" s="59">
        <f t="shared" si="393"/>
        <v>0</v>
      </c>
      <c r="AE70" s="60">
        <f t="shared" si="394"/>
        <v>0</v>
      </c>
      <c r="AF70" s="59">
        <f t="shared" si="395"/>
        <v>0</v>
      </c>
      <c r="AG70" s="60">
        <f t="shared" si="396"/>
        <v>0</v>
      </c>
      <c r="AH70" s="59">
        <f t="shared" si="397"/>
        <v>0</v>
      </c>
      <c r="AI70" s="55">
        <f t="shared" si="398"/>
        <v>0</v>
      </c>
      <c r="AJ70" s="59">
        <f t="shared" si="399"/>
        <v>0</v>
      </c>
      <c r="AK70" s="60">
        <f t="shared" si="400"/>
        <v>0</v>
      </c>
      <c r="AL70" s="59">
        <f t="shared" si="401"/>
        <v>0</v>
      </c>
      <c r="AM70" s="60">
        <f t="shared" si="402"/>
        <v>0</v>
      </c>
      <c r="AN70" s="59">
        <f t="shared" si="403"/>
        <v>0</v>
      </c>
      <c r="AO70" s="60">
        <f t="shared" si="404"/>
        <v>0</v>
      </c>
      <c r="AP70" s="59">
        <f t="shared" si="405"/>
        <v>0</v>
      </c>
      <c r="AQ70" s="60">
        <f t="shared" si="406"/>
        <v>0</v>
      </c>
      <c r="AR70" s="59">
        <f t="shared" si="407"/>
        <v>0</v>
      </c>
      <c r="AS70" s="55">
        <f t="shared" si="408"/>
        <v>0</v>
      </c>
      <c r="AT70" s="59">
        <f t="shared" si="409"/>
        <v>0</v>
      </c>
      <c r="AU70" s="60">
        <f t="shared" si="410"/>
        <v>0</v>
      </c>
      <c r="AV70" s="59">
        <f t="shared" si="411"/>
        <v>0</v>
      </c>
      <c r="AW70" s="60">
        <f t="shared" si="412"/>
        <v>0</v>
      </c>
      <c r="AX70" s="59">
        <f t="shared" si="413"/>
        <v>0</v>
      </c>
      <c r="AY70" s="55">
        <f t="shared" si="414"/>
        <v>0</v>
      </c>
      <c r="AZ70" s="59">
        <f t="shared" si="415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16"/>
        <v>0.91</v>
      </c>
      <c r="BH70" s="55">
        <f t="shared" si="416"/>
        <v>0.89</v>
      </c>
      <c r="BI70" s="55">
        <f t="shared" si="416"/>
        <v>0.87</v>
      </c>
      <c r="BJ70" s="55">
        <f t="shared" si="416"/>
        <v>0.85</v>
      </c>
      <c r="BK70" s="55">
        <f t="shared" si="416"/>
        <v>0.83</v>
      </c>
      <c r="BL70" s="55">
        <f t="shared" si="416"/>
        <v>0.80999999999999994</v>
      </c>
      <c r="BM70" s="55">
        <f t="shared" si="416"/>
        <v>0.78999999999999992</v>
      </c>
      <c r="BN70" s="55">
        <f t="shared" si="416"/>
        <v>0.76999999999999991</v>
      </c>
      <c r="BO70" s="55">
        <f t="shared" si="416"/>
        <v>0.74999999999999989</v>
      </c>
      <c r="BP70" s="55">
        <f t="shared" si="416"/>
        <v>0.72999999999999987</v>
      </c>
      <c r="BQ70" s="55">
        <f t="shared" si="416"/>
        <v>0.70999999999999985</v>
      </c>
      <c r="BR70" s="55">
        <f t="shared" si="416"/>
        <v>0.68999999999999984</v>
      </c>
      <c r="BS70" s="55">
        <f t="shared" si="416"/>
        <v>0.66999999999999982</v>
      </c>
      <c r="BT70" s="55">
        <f t="shared" si="416"/>
        <v>0.6499999999999998</v>
      </c>
      <c r="BU70" s="55">
        <f t="shared" si="416"/>
        <v>0.62999999999999978</v>
      </c>
      <c r="BV70" s="55">
        <f t="shared" si="416"/>
        <v>0.60999999999999976</v>
      </c>
      <c r="BW70" s="55">
        <f t="shared" si="416"/>
        <v>0.58999999999999975</v>
      </c>
      <c r="BX70" s="55">
        <f t="shared" si="416"/>
        <v>0.56999999999999973</v>
      </c>
      <c r="BZ70" s="55">
        <f t="shared" si="88"/>
        <v>0</v>
      </c>
      <c r="CA70" s="55">
        <f t="shared" si="89"/>
        <v>0</v>
      </c>
      <c r="CB70" s="59">
        <f t="shared" si="417"/>
        <v>0</v>
      </c>
      <c r="CC70" s="55">
        <f t="shared" si="418"/>
        <v>0</v>
      </c>
      <c r="CD70" s="59">
        <f t="shared" si="419"/>
        <v>0</v>
      </c>
      <c r="CE70" s="55">
        <f t="shared" si="420"/>
        <v>0</v>
      </c>
      <c r="CF70" s="59">
        <f t="shared" si="421"/>
        <v>0</v>
      </c>
      <c r="CG70" s="55">
        <f t="shared" si="422"/>
        <v>0</v>
      </c>
      <c r="CH70" s="59">
        <f t="shared" si="423"/>
        <v>0</v>
      </c>
      <c r="CI70" s="57">
        <f t="shared" si="424"/>
        <v>0</v>
      </c>
      <c r="CJ70" s="59">
        <f t="shared" si="425"/>
        <v>0</v>
      </c>
      <c r="CK70" s="55">
        <f t="shared" si="426"/>
        <v>0</v>
      </c>
      <c r="CL70" s="59">
        <f t="shared" si="427"/>
        <v>0</v>
      </c>
      <c r="CM70" s="57">
        <f t="shared" si="428"/>
        <v>0</v>
      </c>
      <c r="CN70" s="59">
        <f t="shared" si="429"/>
        <v>0</v>
      </c>
      <c r="CO70" s="60">
        <f t="shared" si="430"/>
        <v>0</v>
      </c>
      <c r="CP70" s="59">
        <f t="shared" si="431"/>
        <v>0</v>
      </c>
      <c r="CQ70" s="57">
        <f t="shared" si="432"/>
        <v>0</v>
      </c>
      <c r="CR70" s="59">
        <f t="shared" si="433"/>
        <v>0</v>
      </c>
      <c r="CS70" s="55">
        <f t="shared" si="434"/>
        <v>0</v>
      </c>
      <c r="CT70" s="59">
        <f t="shared" si="435"/>
        <v>0</v>
      </c>
      <c r="CU70" s="60">
        <f t="shared" si="436"/>
        <v>0</v>
      </c>
      <c r="CV70" s="59">
        <f t="shared" si="437"/>
        <v>0</v>
      </c>
      <c r="CW70" s="60">
        <f t="shared" si="438"/>
        <v>0</v>
      </c>
      <c r="CX70" s="59">
        <f t="shared" si="439"/>
        <v>0</v>
      </c>
      <c r="CY70" s="60">
        <f t="shared" si="440"/>
        <v>0</v>
      </c>
      <c r="CZ70" s="59">
        <f t="shared" si="441"/>
        <v>0</v>
      </c>
      <c r="DA70" s="55">
        <f t="shared" si="442"/>
        <v>0</v>
      </c>
      <c r="DB70" s="59">
        <f t="shared" si="443"/>
        <v>0</v>
      </c>
      <c r="DC70" s="60">
        <f t="shared" si="444"/>
        <v>0</v>
      </c>
      <c r="DD70" s="59">
        <f t="shared" si="445"/>
        <v>0</v>
      </c>
      <c r="DE70" s="60">
        <f t="shared" si="446"/>
        <v>0</v>
      </c>
      <c r="DF70" s="59">
        <f t="shared" si="447"/>
        <v>0</v>
      </c>
      <c r="DG70" s="60">
        <f t="shared" si="448"/>
        <v>0</v>
      </c>
      <c r="DH70" s="59">
        <f t="shared" si="449"/>
        <v>0</v>
      </c>
      <c r="DI70" s="60">
        <f t="shared" si="450"/>
        <v>0</v>
      </c>
      <c r="DJ70" s="59">
        <f t="shared" si="451"/>
        <v>0</v>
      </c>
      <c r="DK70" s="55">
        <f t="shared" si="452"/>
        <v>0</v>
      </c>
      <c r="DL70" s="59">
        <f t="shared" si="453"/>
        <v>0</v>
      </c>
      <c r="DM70" s="60">
        <f t="shared" si="454"/>
        <v>0</v>
      </c>
      <c r="DN70" s="59">
        <f t="shared" si="455"/>
        <v>0</v>
      </c>
      <c r="DO70" s="60">
        <f t="shared" si="456"/>
        <v>0</v>
      </c>
      <c r="DP70" s="59">
        <f t="shared" si="457"/>
        <v>0</v>
      </c>
      <c r="DQ70" s="55">
        <f t="shared" si="458"/>
        <v>0</v>
      </c>
      <c r="DR70" s="59">
        <f t="shared" si="459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505"/>
        <v>0.91</v>
      </c>
      <c r="DZ70" s="55">
        <f t="shared" si="505"/>
        <v>0.89</v>
      </c>
      <c r="EA70" s="55">
        <f t="shared" si="505"/>
        <v>0.87</v>
      </c>
      <c r="EB70" s="55">
        <f t="shared" si="505"/>
        <v>0.85</v>
      </c>
      <c r="EC70" s="55">
        <f t="shared" si="505"/>
        <v>0.83</v>
      </c>
      <c r="ED70" s="55">
        <f t="shared" si="505"/>
        <v>0.80999999999999994</v>
      </c>
      <c r="EE70" s="55">
        <f t="shared" si="505"/>
        <v>0.78999999999999992</v>
      </c>
      <c r="EF70" s="55">
        <f t="shared" si="505"/>
        <v>0.76999999999999991</v>
      </c>
      <c r="EG70" s="55">
        <f t="shared" si="505"/>
        <v>0.74999999999999989</v>
      </c>
      <c r="EH70" s="55">
        <f t="shared" si="505"/>
        <v>0.72999999999999987</v>
      </c>
      <c r="EI70" s="55">
        <f t="shared" si="505"/>
        <v>0.70999999999999985</v>
      </c>
      <c r="EJ70" s="55">
        <f t="shared" si="505"/>
        <v>0.68999999999999984</v>
      </c>
      <c r="EK70" s="55">
        <f t="shared" si="505"/>
        <v>0.66999999999999982</v>
      </c>
      <c r="EL70" s="55">
        <f t="shared" si="505"/>
        <v>0.6499999999999998</v>
      </c>
      <c r="EM70" s="55">
        <f t="shared" si="505"/>
        <v>0.62999999999999978</v>
      </c>
      <c r="EN70" s="55">
        <f t="shared" si="505"/>
        <v>0.60999999999999976</v>
      </c>
      <c r="EO70" s="55">
        <f t="shared" si="505"/>
        <v>0.58999999999999975</v>
      </c>
      <c r="EP70" s="55">
        <f t="shared" si="505"/>
        <v>0.56999999999999973</v>
      </c>
      <c r="ER70" s="55">
        <f t="shared" si="142"/>
        <v>0</v>
      </c>
      <c r="ES70" s="55">
        <f t="shared" si="116"/>
        <v>0</v>
      </c>
      <c r="ET70" s="59">
        <f t="shared" si="461"/>
        <v>0</v>
      </c>
      <c r="EU70" s="55">
        <f t="shared" si="462"/>
        <v>0</v>
      </c>
      <c r="EV70" s="59">
        <f t="shared" si="463"/>
        <v>0</v>
      </c>
      <c r="EW70" s="55">
        <f t="shared" si="464"/>
        <v>0</v>
      </c>
      <c r="EX70" s="59">
        <f t="shared" si="465"/>
        <v>0</v>
      </c>
      <c r="EY70" s="55">
        <f t="shared" si="466"/>
        <v>0</v>
      </c>
      <c r="EZ70" s="59">
        <f t="shared" si="467"/>
        <v>0</v>
      </c>
      <c r="FA70" s="57">
        <f t="shared" si="468"/>
        <v>0</v>
      </c>
      <c r="FB70" s="59">
        <f t="shared" si="469"/>
        <v>0</v>
      </c>
      <c r="FC70" s="55">
        <f t="shared" si="470"/>
        <v>0</v>
      </c>
      <c r="FD70" s="59">
        <f t="shared" si="471"/>
        <v>0</v>
      </c>
      <c r="FE70" s="57">
        <f t="shared" si="472"/>
        <v>0</v>
      </c>
      <c r="FF70" s="59">
        <f t="shared" si="473"/>
        <v>0</v>
      </c>
      <c r="FG70" s="60">
        <f t="shared" si="474"/>
        <v>0</v>
      </c>
      <c r="FH70" s="59">
        <f t="shared" si="475"/>
        <v>0</v>
      </c>
      <c r="FI70" s="57">
        <f t="shared" si="476"/>
        <v>0</v>
      </c>
      <c r="FJ70" s="59">
        <f t="shared" si="477"/>
        <v>0</v>
      </c>
      <c r="FK70" s="55">
        <f t="shared" si="478"/>
        <v>0</v>
      </c>
      <c r="FL70" s="59">
        <f t="shared" si="479"/>
        <v>0</v>
      </c>
      <c r="FM70" s="60">
        <f t="shared" si="480"/>
        <v>0</v>
      </c>
      <c r="FN70" s="59">
        <f t="shared" si="481"/>
        <v>0</v>
      </c>
      <c r="FO70" s="60">
        <f t="shared" si="482"/>
        <v>0</v>
      </c>
      <c r="FP70" s="59">
        <f t="shared" si="483"/>
        <v>0</v>
      </c>
      <c r="FQ70" s="60">
        <f t="shared" si="484"/>
        <v>0</v>
      </c>
      <c r="FR70" s="59">
        <f t="shared" si="485"/>
        <v>0</v>
      </c>
      <c r="FS70" s="55">
        <f t="shared" si="486"/>
        <v>0</v>
      </c>
      <c r="FT70" s="59">
        <f t="shared" si="487"/>
        <v>0</v>
      </c>
      <c r="FU70" s="60">
        <f t="shared" si="488"/>
        <v>0</v>
      </c>
      <c r="FV70" s="59">
        <f t="shared" si="489"/>
        <v>0</v>
      </c>
      <c r="FW70" s="60">
        <f t="shared" si="490"/>
        <v>0</v>
      </c>
      <c r="FX70" s="59">
        <f t="shared" si="491"/>
        <v>0</v>
      </c>
      <c r="FY70" s="60">
        <f t="shared" si="492"/>
        <v>0</v>
      </c>
      <c r="FZ70" s="59">
        <f t="shared" si="493"/>
        <v>0</v>
      </c>
      <c r="GA70" s="60">
        <f t="shared" si="494"/>
        <v>0</v>
      </c>
      <c r="GB70" s="59">
        <f t="shared" si="495"/>
        <v>0</v>
      </c>
      <c r="GC70" s="55">
        <f t="shared" si="496"/>
        <v>0</v>
      </c>
      <c r="GD70" s="59">
        <f t="shared" si="497"/>
        <v>0</v>
      </c>
      <c r="GE70" s="60">
        <f t="shared" si="498"/>
        <v>0</v>
      </c>
      <c r="GF70" s="59">
        <f t="shared" si="499"/>
        <v>0</v>
      </c>
      <c r="GG70" s="60">
        <f t="shared" si="500"/>
        <v>0</v>
      </c>
      <c r="GH70" s="59">
        <f t="shared" si="501"/>
        <v>0</v>
      </c>
      <c r="GI70" s="55">
        <f t="shared" si="502"/>
        <v>0</v>
      </c>
      <c r="GJ70" s="59">
        <f t="shared" si="503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506"/>
        <v>0.91</v>
      </c>
      <c r="GR70" s="55">
        <f t="shared" si="506"/>
        <v>0.89</v>
      </c>
      <c r="GS70" s="55">
        <f t="shared" si="506"/>
        <v>0.87</v>
      </c>
      <c r="GT70" s="55">
        <f t="shared" si="506"/>
        <v>0.85</v>
      </c>
      <c r="GU70" s="55">
        <f t="shared" si="506"/>
        <v>0.83</v>
      </c>
      <c r="GV70" s="55">
        <f t="shared" si="506"/>
        <v>0.80999999999999994</v>
      </c>
      <c r="GW70" s="55">
        <f t="shared" si="506"/>
        <v>0.78999999999999992</v>
      </c>
      <c r="GX70" s="55">
        <f t="shared" si="506"/>
        <v>0.76999999999999991</v>
      </c>
      <c r="GY70" s="55">
        <f t="shared" si="506"/>
        <v>0.74999999999999989</v>
      </c>
      <c r="GZ70" s="55">
        <f t="shared" si="506"/>
        <v>0.72999999999999987</v>
      </c>
      <c r="HA70" s="55">
        <f t="shared" si="506"/>
        <v>0.70999999999999985</v>
      </c>
      <c r="HB70" s="55">
        <f t="shared" si="506"/>
        <v>0.68999999999999984</v>
      </c>
      <c r="HC70" s="55">
        <f t="shared" si="506"/>
        <v>0.66999999999999982</v>
      </c>
      <c r="HD70" s="55">
        <f t="shared" si="506"/>
        <v>0.6499999999999998</v>
      </c>
      <c r="HE70" s="55">
        <f t="shared" si="506"/>
        <v>0.62999999999999978</v>
      </c>
      <c r="HF70" s="55">
        <f t="shared" si="506"/>
        <v>0.60999999999999976</v>
      </c>
      <c r="HG70" s="55">
        <f t="shared" si="506"/>
        <v>0.58999999999999975</v>
      </c>
      <c r="HH70" s="55">
        <f t="shared" si="506"/>
        <v>0.56999999999999973</v>
      </c>
    </row>
    <row r="71" spans="1:216" x14ac:dyDescent="0.3">
      <c r="A71" s="2">
        <v>9</v>
      </c>
      <c r="C71" s="38" t="s">
        <v>153</v>
      </c>
      <c r="D71" s="42">
        <v>0</v>
      </c>
      <c r="E71" s="71">
        <f t="shared" si="372"/>
        <v>0</v>
      </c>
      <c r="H71" s="55">
        <f t="shared" si="373"/>
        <v>0</v>
      </c>
      <c r="I71" s="55">
        <f t="shared" si="62"/>
        <v>0</v>
      </c>
      <c r="J71" s="59">
        <f t="shared" si="63"/>
        <v>0</v>
      </c>
      <c r="K71" s="55">
        <f t="shared" si="374"/>
        <v>0</v>
      </c>
      <c r="L71" s="59">
        <f t="shared" si="375"/>
        <v>0</v>
      </c>
      <c r="M71" s="55">
        <f t="shared" si="376"/>
        <v>0</v>
      </c>
      <c r="N71" s="59">
        <f t="shared" si="377"/>
        <v>0</v>
      </c>
      <c r="O71" s="55">
        <f t="shared" si="378"/>
        <v>0</v>
      </c>
      <c r="P71" s="59">
        <f t="shared" si="379"/>
        <v>0</v>
      </c>
      <c r="Q71" s="57">
        <f t="shared" si="380"/>
        <v>0</v>
      </c>
      <c r="R71" s="59">
        <f t="shared" si="381"/>
        <v>0</v>
      </c>
      <c r="S71" s="55">
        <f t="shared" si="382"/>
        <v>0</v>
      </c>
      <c r="T71" s="59">
        <f t="shared" si="383"/>
        <v>0</v>
      </c>
      <c r="U71" s="57">
        <f t="shared" si="384"/>
        <v>0</v>
      </c>
      <c r="V71" s="59">
        <f t="shared" si="385"/>
        <v>0</v>
      </c>
      <c r="W71" s="60">
        <f t="shared" si="386"/>
        <v>0</v>
      </c>
      <c r="X71" s="59">
        <f t="shared" si="387"/>
        <v>0</v>
      </c>
      <c r="Y71" s="57">
        <f t="shared" si="388"/>
        <v>0</v>
      </c>
      <c r="Z71" s="59">
        <f t="shared" si="389"/>
        <v>0</v>
      </c>
      <c r="AA71" s="55">
        <f t="shared" si="390"/>
        <v>0</v>
      </c>
      <c r="AB71" s="59">
        <f t="shared" si="391"/>
        <v>0</v>
      </c>
      <c r="AC71" s="60">
        <f t="shared" si="392"/>
        <v>0</v>
      </c>
      <c r="AD71" s="59">
        <f t="shared" si="393"/>
        <v>0</v>
      </c>
      <c r="AE71" s="60">
        <f t="shared" si="394"/>
        <v>0</v>
      </c>
      <c r="AF71" s="59">
        <f t="shared" si="395"/>
        <v>0</v>
      </c>
      <c r="AG71" s="60">
        <f t="shared" si="396"/>
        <v>0</v>
      </c>
      <c r="AH71" s="59">
        <f t="shared" si="397"/>
        <v>0</v>
      </c>
      <c r="AI71" s="55">
        <f t="shared" si="398"/>
        <v>0</v>
      </c>
      <c r="AJ71" s="59">
        <f t="shared" si="399"/>
        <v>0</v>
      </c>
      <c r="AK71" s="60">
        <f t="shared" si="400"/>
        <v>0</v>
      </c>
      <c r="AL71" s="59">
        <f t="shared" si="401"/>
        <v>0</v>
      </c>
      <c r="AM71" s="60">
        <f t="shared" si="402"/>
        <v>0</v>
      </c>
      <c r="AN71" s="59">
        <f t="shared" si="403"/>
        <v>0</v>
      </c>
      <c r="AO71" s="60">
        <f t="shared" si="404"/>
        <v>0</v>
      </c>
      <c r="AP71" s="59">
        <f t="shared" si="405"/>
        <v>0</v>
      </c>
      <c r="AQ71" s="60">
        <f t="shared" si="406"/>
        <v>0</v>
      </c>
      <c r="AR71" s="59">
        <f t="shared" si="407"/>
        <v>0</v>
      </c>
      <c r="AS71" s="55">
        <f t="shared" si="408"/>
        <v>0</v>
      </c>
      <c r="AT71" s="59">
        <f t="shared" si="409"/>
        <v>0</v>
      </c>
      <c r="AU71" s="60">
        <f t="shared" si="410"/>
        <v>0</v>
      </c>
      <c r="AV71" s="59">
        <f t="shared" si="411"/>
        <v>0</v>
      </c>
      <c r="AW71" s="60">
        <f t="shared" si="412"/>
        <v>0</v>
      </c>
      <c r="AX71" s="59">
        <f t="shared" si="413"/>
        <v>0</v>
      </c>
      <c r="AY71" s="55">
        <f t="shared" si="414"/>
        <v>0</v>
      </c>
      <c r="AZ71" s="59">
        <f t="shared" si="415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16"/>
        <v>0.91</v>
      </c>
      <c r="BH71" s="55">
        <f t="shared" si="416"/>
        <v>0.89</v>
      </c>
      <c r="BI71" s="55">
        <f t="shared" si="416"/>
        <v>0.87</v>
      </c>
      <c r="BJ71" s="55">
        <f t="shared" si="416"/>
        <v>0.85</v>
      </c>
      <c r="BK71" s="55">
        <f t="shared" si="416"/>
        <v>0.83</v>
      </c>
      <c r="BL71" s="55">
        <f t="shared" si="416"/>
        <v>0.80999999999999994</v>
      </c>
      <c r="BM71" s="55">
        <f t="shared" si="416"/>
        <v>0.78999999999999992</v>
      </c>
      <c r="BN71" s="55">
        <f t="shared" si="416"/>
        <v>0.76999999999999991</v>
      </c>
      <c r="BO71" s="55">
        <f t="shared" si="416"/>
        <v>0.74999999999999989</v>
      </c>
      <c r="BP71" s="55">
        <f t="shared" si="416"/>
        <v>0.72999999999999987</v>
      </c>
      <c r="BQ71" s="55">
        <f t="shared" si="416"/>
        <v>0.70999999999999985</v>
      </c>
      <c r="BR71" s="55">
        <f t="shared" si="416"/>
        <v>0.68999999999999984</v>
      </c>
      <c r="BS71" s="55">
        <f t="shared" si="416"/>
        <v>0.66999999999999982</v>
      </c>
      <c r="BT71" s="55">
        <f t="shared" si="416"/>
        <v>0.6499999999999998</v>
      </c>
      <c r="BU71" s="55">
        <f t="shared" si="416"/>
        <v>0.62999999999999978</v>
      </c>
      <c r="BV71" s="55">
        <f t="shared" si="416"/>
        <v>0.60999999999999976</v>
      </c>
      <c r="BW71" s="55">
        <f t="shared" si="416"/>
        <v>0.58999999999999975</v>
      </c>
      <c r="BX71" s="55">
        <f t="shared" si="416"/>
        <v>0.56999999999999973</v>
      </c>
      <c r="BZ71" s="55">
        <f t="shared" si="88"/>
        <v>0</v>
      </c>
      <c r="CA71" s="55">
        <f t="shared" si="89"/>
        <v>0</v>
      </c>
      <c r="CB71" s="59">
        <f t="shared" si="417"/>
        <v>0</v>
      </c>
      <c r="CC71" s="55">
        <f t="shared" si="418"/>
        <v>0</v>
      </c>
      <c r="CD71" s="59">
        <f t="shared" si="419"/>
        <v>0</v>
      </c>
      <c r="CE71" s="55">
        <f t="shared" si="420"/>
        <v>0</v>
      </c>
      <c r="CF71" s="59">
        <f t="shared" si="421"/>
        <v>0</v>
      </c>
      <c r="CG71" s="55">
        <f t="shared" si="422"/>
        <v>0</v>
      </c>
      <c r="CH71" s="59">
        <f t="shared" si="423"/>
        <v>0</v>
      </c>
      <c r="CI71" s="57">
        <f t="shared" si="424"/>
        <v>0</v>
      </c>
      <c r="CJ71" s="59">
        <f t="shared" si="425"/>
        <v>0</v>
      </c>
      <c r="CK71" s="55">
        <f t="shared" si="426"/>
        <v>0</v>
      </c>
      <c r="CL71" s="59">
        <f t="shared" si="427"/>
        <v>0</v>
      </c>
      <c r="CM71" s="57">
        <f t="shared" si="428"/>
        <v>0</v>
      </c>
      <c r="CN71" s="59">
        <f t="shared" si="429"/>
        <v>0</v>
      </c>
      <c r="CO71" s="60">
        <f t="shared" si="430"/>
        <v>0</v>
      </c>
      <c r="CP71" s="59">
        <f t="shared" si="431"/>
        <v>0</v>
      </c>
      <c r="CQ71" s="57">
        <f t="shared" si="432"/>
        <v>0</v>
      </c>
      <c r="CR71" s="59">
        <f t="shared" si="433"/>
        <v>0</v>
      </c>
      <c r="CS71" s="55">
        <f t="shared" si="434"/>
        <v>0</v>
      </c>
      <c r="CT71" s="59">
        <f t="shared" si="435"/>
        <v>0</v>
      </c>
      <c r="CU71" s="60">
        <f t="shared" si="436"/>
        <v>0</v>
      </c>
      <c r="CV71" s="59">
        <f t="shared" si="437"/>
        <v>0</v>
      </c>
      <c r="CW71" s="60">
        <f t="shared" si="438"/>
        <v>0</v>
      </c>
      <c r="CX71" s="59">
        <f t="shared" si="439"/>
        <v>0</v>
      </c>
      <c r="CY71" s="60">
        <f t="shared" si="440"/>
        <v>0</v>
      </c>
      <c r="CZ71" s="59">
        <f t="shared" si="441"/>
        <v>0</v>
      </c>
      <c r="DA71" s="55">
        <f t="shared" si="442"/>
        <v>0</v>
      </c>
      <c r="DB71" s="59">
        <f t="shared" si="443"/>
        <v>0</v>
      </c>
      <c r="DC71" s="60">
        <f t="shared" si="444"/>
        <v>0</v>
      </c>
      <c r="DD71" s="59">
        <f t="shared" si="445"/>
        <v>0</v>
      </c>
      <c r="DE71" s="60">
        <f t="shared" si="446"/>
        <v>0</v>
      </c>
      <c r="DF71" s="59">
        <f t="shared" si="447"/>
        <v>0</v>
      </c>
      <c r="DG71" s="60">
        <f t="shared" si="448"/>
        <v>0</v>
      </c>
      <c r="DH71" s="59">
        <f t="shared" si="449"/>
        <v>0</v>
      </c>
      <c r="DI71" s="60">
        <f t="shared" si="450"/>
        <v>0</v>
      </c>
      <c r="DJ71" s="59">
        <f t="shared" si="451"/>
        <v>0</v>
      </c>
      <c r="DK71" s="55">
        <f t="shared" si="452"/>
        <v>0</v>
      </c>
      <c r="DL71" s="59">
        <f t="shared" si="453"/>
        <v>0</v>
      </c>
      <c r="DM71" s="60">
        <f t="shared" si="454"/>
        <v>0</v>
      </c>
      <c r="DN71" s="59">
        <f t="shared" si="455"/>
        <v>0</v>
      </c>
      <c r="DO71" s="60">
        <f t="shared" si="456"/>
        <v>0</v>
      </c>
      <c r="DP71" s="59">
        <f t="shared" si="457"/>
        <v>0</v>
      </c>
      <c r="DQ71" s="55">
        <f t="shared" si="458"/>
        <v>0</v>
      </c>
      <c r="DR71" s="59">
        <f t="shared" si="459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505"/>
        <v>0.91</v>
      </c>
      <c r="DZ71" s="55">
        <f t="shared" si="505"/>
        <v>0.89</v>
      </c>
      <c r="EA71" s="55">
        <f t="shared" si="505"/>
        <v>0.87</v>
      </c>
      <c r="EB71" s="55">
        <f t="shared" si="505"/>
        <v>0.85</v>
      </c>
      <c r="EC71" s="55">
        <f t="shared" si="505"/>
        <v>0.83</v>
      </c>
      <c r="ED71" s="55">
        <f t="shared" si="505"/>
        <v>0.80999999999999994</v>
      </c>
      <c r="EE71" s="55">
        <f t="shared" si="505"/>
        <v>0.78999999999999992</v>
      </c>
      <c r="EF71" s="55">
        <f t="shared" si="505"/>
        <v>0.76999999999999991</v>
      </c>
      <c r="EG71" s="55">
        <f t="shared" si="505"/>
        <v>0.74999999999999989</v>
      </c>
      <c r="EH71" s="55">
        <f t="shared" si="505"/>
        <v>0.72999999999999987</v>
      </c>
      <c r="EI71" s="55">
        <f t="shared" si="505"/>
        <v>0.70999999999999985</v>
      </c>
      <c r="EJ71" s="55">
        <f t="shared" si="505"/>
        <v>0.68999999999999984</v>
      </c>
      <c r="EK71" s="55">
        <f t="shared" si="505"/>
        <v>0.66999999999999982</v>
      </c>
      <c r="EL71" s="55">
        <f t="shared" si="505"/>
        <v>0.6499999999999998</v>
      </c>
      <c r="EM71" s="55">
        <f t="shared" si="505"/>
        <v>0.62999999999999978</v>
      </c>
      <c r="EN71" s="55">
        <f t="shared" si="505"/>
        <v>0.60999999999999976</v>
      </c>
      <c r="EO71" s="55">
        <f t="shared" si="505"/>
        <v>0.58999999999999975</v>
      </c>
      <c r="EP71" s="55">
        <f t="shared" si="505"/>
        <v>0.56999999999999973</v>
      </c>
      <c r="ER71" s="55">
        <f t="shared" si="142"/>
        <v>0</v>
      </c>
      <c r="ES71" s="55">
        <f t="shared" si="116"/>
        <v>0</v>
      </c>
      <c r="ET71" s="59">
        <f t="shared" si="461"/>
        <v>0</v>
      </c>
      <c r="EU71" s="55">
        <f t="shared" si="462"/>
        <v>0</v>
      </c>
      <c r="EV71" s="59">
        <f t="shared" si="463"/>
        <v>0</v>
      </c>
      <c r="EW71" s="55">
        <f t="shared" si="464"/>
        <v>0</v>
      </c>
      <c r="EX71" s="59">
        <f t="shared" si="465"/>
        <v>0</v>
      </c>
      <c r="EY71" s="55">
        <f t="shared" si="466"/>
        <v>0</v>
      </c>
      <c r="EZ71" s="59">
        <f t="shared" si="467"/>
        <v>0</v>
      </c>
      <c r="FA71" s="57">
        <f t="shared" si="468"/>
        <v>0</v>
      </c>
      <c r="FB71" s="59">
        <f t="shared" si="469"/>
        <v>0</v>
      </c>
      <c r="FC71" s="55">
        <f t="shared" si="470"/>
        <v>0</v>
      </c>
      <c r="FD71" s="59">
        <f t="shared" si="471"/>
        <v>0</v>
      </c>
      <c r="FE71" s="57">
        <f t="shared" si="472"/>
        <v>0</v>
      </c>
      <c r="FF71" s="59">
        <f t="shared" si="473"/>
        <v>0</v>
      </c>
      <c r="FG71" s="60">
        <f t="shared" si="474"/>
        <v>0</v>
      </c>
      <c r="FH71" s="59">
        <f t="shared" si="475"/>
        <v>0</v>
      </c>
      <c r="FI71" s="57">
        <f t="shared" si="476"/>
        <v>0</v>
      </c>
      <c r="FJ71" s="59">
        <f t="shared" si="477"/>
        <v>0</v>
      </c>
      <c r="FK71" s="55">
        <f t="shared" si="478"/>
        <v>0</v>
      </c>
      <c r="FL71" s="59">
        <f t="shared" si="479"/>
        <v>0</v>
      </c>
      <c r="FM71" s="60">
        <f t="shared" si="480"/>
        <v>0</v>
      </c>
      <c r="FN71" s="59">
        <f t="shared" si="481"/>
        <v>0</v>
      </c>
      <c r="FO71" s="60">
        <f t="shared" si="482"/>
        <v>0</v>
      </c>
      <c r="FP71" s="59">
        <f t="shared" si="483"/>
        <v>0</v>
      </c>
      <c r="FQ71" s="60">
        <f t="shared" si="484"/>
        <v>0</v>
      </c>
      <c r="FR71" s="59">
        <f t="shared" si="485"/>
        <v>0</v>
      </c>
      <c r="FS71" s="55">
        <f t="shared" si="486"/>
        <v>0</v>
      </c>
      <c r="FT71" s="59">
        <f t="shared" si="487"/>
        <v>0</v>
      </c>
      <c r="FU71" s="60">
        <f t="shared" si="488"/>
        <v>0</v>
      </c>
      <c r="FV71" s="59">
        <f t="shared" si="489"/>
        <v>0</v>
      </c>
      <c r="FW71" s="60">
        <f t="shared" si="490"/>
        <v>0</v>
      </c>
      <c r="FX71" s="59">
        <f t="shared" si="491"/>
        <v>0</v>
      </c>
      <c r="FY71" s="60">
        <f t="shared" si="492"/>
        <v>0</v>
      </c>
      <c r="FZ71" s="59">
        <f t="shared" si="493"/>
        <v>0</v>
      </c>
      <c r="GA71" s="60">
        <f t="shared" si="494"/>
        <v>0</v>
      </c>
      <c r="GB71" s="59">
        <f t="shared" si="495"/>
        <v>0</v>
      </c>
      <c r="GC71" s="55">
        <f t="shared" si="496"/>
        <v>0</v>
      </c>
      <c r="GD71" s="59">
        <f t="shared" si="497"/>
        <v>0</v>
      </c>
      <c r="GE71" s="60">
        <f t="shared" si="498"/>
        <v>0</v>
      </c>
      <c r="GF71" s="59">
        <f t="shared" si="499"/>
        <v>0</v>
      </c>
      <c r="GG71" s="60">
        <f t="shared" si="500"/>
        <v>0</v>
      </c>
      <c r="GH71" s="59">
        <f t="shared" si="501"/>
        <v>0</v>
      </c>
      <c r="GI71" s="55">
        <f t="shared" si="502"/>
        <v>0</v>
      </c>
      <c r="GJ71" s="59">
        <f t="shared" si="503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506"/>
        <v>0.91</v>
      </c>
      <c r="GR71" s="55">
        <f t="shared" si="506"/>
        <v>0.89</v>
      </c>
      <c r="GS71" s="55">
        <f t="shared" si="506"/>
        <v>0.87</v>
      </c>
      <c r="GT71" s="55">
        <f t="shared" si="506"/>
        <v>0.85</v>
      </c>
      <c r="GU71" s="55">
        <f t="shared" si="506"/>
        <v>0.83</v>
      </c>
      <c r="GV71" s="55">
        <f t="shared" si="506"/>
        <v>0.80999999999999994</v>
      </c>
      <c r="GW71" s="55">
        <f t="shared" si="506"/>
        <v>0.78999999999999992</v>
      </c>
      <c r="GX71" s="55">
        <f t="shared" si="506"/>
        <v>0.76999999999999991</v>
      </c>
      <c r="GY71" s="55">
        <f t="shared" si="506"/>
        <v>0.74999999999999989</v>
      </c>
      <c r="GZ71" s="55">
        <f t="shared" si="506"/>
        <v>0.72999999999999987</v>
      </c>
      <c r="HA71" s="55">
        <f t="shared" si="506"/>
        <v>0.70999999999999985</v>
      </c>
      <c r="HB71" s="55">
        <f t="shared" si="506"/>
        <v>0.68999999999999984</v>
      </c>
      <c r="HC71" s="55">
        <f t="shared" si="506"/>
        <v>0.66999999999999982</v>
      </c>
      <c r="HD71" s="55">
        <f t="shared" si="506"/>
        <v>0.6499999999999998</v>
      </c>
      <c r="HE71" s="55">
        <f t="shared" si="506"/>
        <v>0.62999999999999978</v>
      </c>
      <c r="HF71" s="55">
        <f t="shared" si="506"/>
        <v>0.60999999999999976</v>
      </c>
      <c r="HG71" s="55">
        <f t="shared" si="506"/>
        <v>0.58999999999999975</v>
      </c>
      <c r="HH71" s="55">
        <f t="shared" si="506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72"/>
        <v>0</v>
      </c>
      <c r="H72" s="55">
        <f t="shared" si="373"/>
        <v>0</v>
      </c>
      <c r="I72" s="55">
        <f t="shared" si="62"/>
        <v>0</v>
      </c>
      <c r="J72" s="59">
        <f t="shared" si="63"/>
        <v>0</v>
      </c>
      <c r="K72" s="55">
        <f t="shared" si="374"/>
        <v>0</v>
      </c>
      <c r="L72" s="59">
        <f t="shared" si="375"/>
        <v>0</v>
      </c>
      <c r="M72" s="55">
        <f t="shared" si="376"/>
        <v>0</v>
      </c>
      <c r="N72" s="59">
        <f t="shared" si="377"/>
        <v>0</v>
      </c>
      <c r="O72" s="55">
        <f t="shared" si="378"/>
        <v>0</v>
      </c>
      <c r="P72" s="59">
        <f t="shared" si="379"/>
        <v>0</v>
      </c>
      <c r="Q72" s="57">
        <f t="shared" si="380"/>
        <v>0</v>
      </c>
      <c r="R72" s="59">
        <f t="shared" si="381"/>
        <v>0</v>
      </c>
      <c r="S72" s="55">
        <f t="shared" si="382"/>
        <v>0</v>
      </c>
      <c r="T72" s="59">
        <f t="shared" si="383"/>
        <v>0</v>
      </c>
      <c r="U72" s="57">
        <f t="shared" si="384"/>
        <v>0</v>
      </c>
      <c r="V72" s="59">
        <f t="shared" si="385"/>
        <v>0</v>
      </c>
      <c r="W72" s="60">
        <f t="shared" si="386"/>
        <v>0</v>
      </c>
      <c r="X72" s="59">
        <f t="shared" si="387"/>
        <v>0</v>
      </c>
      <c r="Y72" s="57">
        <f t="shared" si="388"/>
        <v>0</v>
      </c>
      <c r="Z72" s="59">
        <f t="shared" si="389"/>
        <v>0</v>
      </c>
      <c r="AA72" s="55">
        <f t="shared" si="390"/>
        <v>0</v>
      </c>
      <c r="AB72" s="59">
        <f t="shared" si="391"/>
        <v>0</v>
      </c>
      <c r="AC72" s="60">
        <f t="shared" si="392"/>
        <v>0</v>
      </c>
      <c r="AD72" s="59">
        <f t="shared" si="393"/>
        <v>0</v>
      </c>
      <c r="AE72" s="60">
        <f t="shared" si="394"/>
        <v>0</v>
      </c>
      <c r="AF72" s="59">
        <f t="shared" si="395"/>
        <v>0</v>
      </c>
      <c r="AG72" s="60">
        <f t="shared" si="396"/>
        <v>0</v>
      </c>
      <c r="AH72" s="59">
        <f t="shared" si="397"/>
        <v>0</v>
      </c>
      <c r="AI72" s="55">
        <f t="shared" si="398"/>
        <v>0</v>
      </c>
      <c r="AJ72" s="59">
        <f t="shared" si="399"/>
        <v>0</v>
      </c>
      <c r="AK72" s="60">
        <f t="shared" si="400"/>
        <v>0</v>
      </c>
      <c r="AL72" s="59">
        <f t="shared" si="401"/>
        <v>0</v>
      </c>
      <c r="AM72" s="60">
        <f t="shared" si="402"/>
        <v>0</v>
      </c>
      <c r="AN72" s="59">
        <f t="shared" si="403"/>
        <v>0</v>
      </c>
      <c r="AO72" s="60">
        <f t="shared" si="404"/>
        <v>0</v>
      </c>
      <c r="AP72" s="59">
        <f t="shared" si="405"/>
        <v>0</v>
      </c>
      <c r="AQ72" s="60">
        <f t="shared" si="406"/>
        <v>0</v>
      </c>
      <c r="AR72" s="59">
        <f t="shared" si="407"/>
        <v>0</v>
      </c>
      <c r="AS72" s="55">
        <f t="shared" si="408"/>
        <v>0</v>
      </c>
      <c r="AT72" s="59">
        <f t="shared" si="409"/>
        <v>0</v>
      </c>
      <c r="AU72" s="60">
        <f t="shared" si="410"/>
        <v>0</v>
      </c>
      <c r="AV72" s="59">
        <f t="shared" si="411"/>
        <v>0</v>
      </c>
      <c r="AW72" s="60">
        <f t="shared" si="412"/>
        <v>0</v>
      </c>
      <c r="AX72" s="59">
        <f t="shared" si="413"/>
        <v>0</v>
      </c>
      <c r="AY72" s="55">
        <f t="shared" si="414"/>
        <v>0</v>
      </c>
      <c r="AZ72" s="59">
        <f t="shared" si="415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16"/>
        <v>0.91</v>
      </c>
      <c r="BH72" s="55">
        <f t="shared" si="416"/>
        <v>0.89</v>
      </c>
      <c r="BI72" s="55">
        <f t="shared" si="416"/>
        <v>0.87</v>
      </c>
      <c r="BJ72" s="55">
        <f t="shared" si="416"/>
        <v>0.85</v>
      </c>
      <c r="BK72" s="55">
        <f t="shared" si="416"/>
        <v>0.83</v>
      </c>
      <c r="BL72" s="55">
        <f t="shared" si="416"/>
        <v>0.80999999999999994</v>
      </c>
      <c r="BM72" s="55">
        <f t="shared" si="416"/>
        <v>0.78999999999999992</v>
      </c>
      <c r="BN72" s="55">
        <f t="shared" si="416"/>
        <v>0.76999999999999991</v>
      </c>
      <c r="BO72" s="55">
        <f t="shared" si="416"/>
        <v>0.74999999999999989</v>
      </c>
      <c r="BP72" s="55">
        <f t="shared" si="416"/>
        <v>0.72999999999999987</v>
      </c>
      <c r="BQ72" s="55">
        <f t="shared" si="416"/>
        <v>0.70999999999999985</v>
      </c>
      <c r="BR72" s="55">
        <f t="shared" si="416"/>
        <v>0.68999999999999984</v>
      </c>
      <c r="BS72" s="55">
        <f t="shared" si="416"/>
        <v>0.66999999999999982</v>
      </c>
      <c r="BT72" s="55">
        <f t="shared" si="416"/>
        <v>0.6499999999999998</v>
      </c>
      <c r="BU72" s="55">
        <f t="shared" si="416"/>
        <v>0.62999999999999978</v>
      </c>
      <c r="BV72" s="55">
        <f t="shared" si="416"/>
        <v>0.60999999999999976</v>
      </c>
      <c r="BW72" s="55">
        <f t="shared" si="416"/>
        <v>0.58999999999999975</v>
      </c>
      <c r="BX72" s="55">
        <f t="shared" si="416"/>
        <v>0.56999999999999973</v>
      </c>
      <c r="BZ72" s="55">
        <f t="shared" si="88"/>
        <v>0</v>
      </c>
      <c r="CA72" s="55">
        <f t="shared" si="89"/>
        <v>0</v>
      </c>
      <c r="CB72" s="59">
        <f t="shared" si="417"/>
        <v>0</v>
      </c>
      <c r="CC72" s="55">
        <f t="shared" si="418"/>
        <v>0</v>
      </c>
      <c r="CD72" s="59">
        <f t="shared" si="419"/>
        <v>0</v>
      </c>
      <c r="CE72" s="55">
        <f t="shared" si="420"/>
        <v>0</v>
      </c>
      <c r="CF72" s="59">
        <f t="shared" si="421"/>
        <v>0</v>
      </c>
      <c r="CG72" s="55">
        <f t="shared" si="422"/>
        <v>0</v>
      </c>
      <c r="CH72" s="59">
        <f t="shared" si="423"/>
        <v>0</v>
      </c>
      <c r="CI72" s="57">
        <f t="shared" si="424"/>
        <v>0</v>
      </c>
      <c r="CJ72" s="59">
        <f t="shared" si="425"/>
        <v>0</v>
      </c>
      <c r="CK72" s="55">
        <f t="shared" si="426"/>
        <v>0</v>
      </c>
      <c r="CL72" s="59">
        <f t="shared" si="427"/>
        <v>0</v>
      </c>
      <c r="CM72" s="57">
        <f t="shared" si="428"/>
        <v>0</v>
      </c>
      <c r="CN72" s="59">
        <f t="shared" si="429"/>
        <v>0</v>
      </c>
      <c r="CO72" s="60">
        <f t="shared" si="430"/>
        <v>0</v>
      </c>
      <c r="CP72" s="59">
        <f t="shared" si="431"/>
        <v>0</v>
      </c>
      <c r="CQ72" s="57">
        <f t="shared" si="432"/>
        <v>0</v>
      </c>
      <c r="CR72" s="59">
        <f t="shared" si="433"/>
        <v>0</v>
      </c>
      <c r="CS72" s="55">
        <f t="shared" si="434"/>
        <v>0</v>
      </c>
      <c r="CT72" s="59">
        <f t="shared" si="435"/>
        <v>0</v>
      </c>
      <c r="CU72" s="60">
        <f t="shared" si="436"/>
        <v>0</v>
      </c>
      <c r="CV72" s="59">
        <f t="shared" si="437"/>
        <v>0</v>
      </c>
      <c r="CW72" s="60">
        <f t="shared" si="438"/>
        <v>0</v>
      </c>
      <c r="CX72" s="59">
        <f t="shared" si="439"/>
        <v>0</v>
      </c>
      <c r="CY72" s="60">
        <f t="shared" si="440"/>
        <v>0</v>
      </c>
      <c r="CZ72" s="59">
        <f t="shared" si="441"/>
        <v>0</v>
      </c>
      <c r="DA72" s="55">
        <f t="shared" si="442"/>
        <v>0</v>
      </c>
      <c r="DB72" s="59">
        <f t="shared" si="443"/>
        <v>0</v>
      </c>
      <c r="DC72" s="60">
        <f t="shared" si="444"/>
        <v>0</v>
      </c>
      <c r="DD72" s="59">
        <f t="shared" si="445"/>
        <v>0</v>
      </c>
      <c r="DE72" s="60">
        <f t="shared" si="446"/>
        <v>0</v>
      </c>
      <c r="DF72" s="59">
        <f t="shared" si="447"/>
        <v>0</v>
      </c>
      <c r="DG72" s="60">
        <f t="shared" si="448"/>
        <v>0</v>
      </c>
      <c r="DH72" s="59">
        <f t="shared" si="449"/>
        <v>0</v>
      </c>
      <c r="DI72" s="60">
        <f t="shared" si="450"/>
        <v>0</v>
      </c>
      <c r="DJ72" s="59">
        <f t="shared" si="451"/>
        <v>0</v>
      </c>
      <c r="DK72" s="55">
        <f t="shared" si="452"/>
        <v>0</v>
      </c>
      <c r="DL72" s="59">
        <f t="shared" si="453"/>
        <v>0</v>
      </c>
      <c r="DM72" s="60">
        <f t="shared" si="454"/>
        <v>0</v>
      </c>
      <c r="DN72" s="59">
        <f t="shared" si="455"/>
        <v>0</v>
      </c>
      <c r="DO72" s="60">
        <f t="shared" si="456"/>
        <v>0</v>
      </c>
      <c r="DP72" s="59">
        <f t="shared" si="457"/>
        <v>0</v>
      </c>
      <c r="DQ72" s="55">
        <f t="shared" si="458"/>
        <v>0</v>
      </c>
      <c r="DR72" s="59">
        <f t="shared" si="459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505"/>
        <v>0.91</v>
      </c>
      <c r="DZ72" s="55">
        <f t="shared" si="505"/>
        <v>0.89</v>
      </c>
      <c r="EA72" s="55">
        <f t="shared" si="505"/>
        <v>0.87</v>
      </c>
      <c r="EB72" s="55">
        <f t="shared" si="505"/>
        <v>0.85</v>
      </c>
      <c r="EC72" s="55">
        <f t="shared" si="505"/>
        <v>0.83</v>
      </c>
      <c r="ED72" s="55">
        <f t="shared" si="505"/>
        <v>0.80999999999999994</v>
      </c>
      <c r="EE72" s="55">
        <f t="shared" si="505"/>
        <v>0.78999999999999992</v>
      </c>
      <c r="EF72" s="55">
        <f t="shared" si="505"/>
        <v>0.76999999999999991</v>
      </c>
      <c r="EG72" s="55">
        <f t="shared" si="505"/>
        <v>0.74999999999999989</v>
      </c>
      <c r="EH72" s="55">
        <f t="shared" si="505"/>
        <v>0.72999999999999987</v>
      </c>
      <c r="EI72" s="55">
        <f t="shared" si="505"/>
        <v>0.70999999999999985</v>
      </c>
      <c r="EJ72" s="55">
        <f t="shared" si="505"/>
        <v>0.68999999999999984</v>
      </c>
      <c r="EK72" s="55">
        <f t="shared" si="505"/>
        <v>0.66999999999999982</v>
      </c>
      <c r="EL72" s="55">
        <f t="shared" si="505"/>
        <v>0.6499999999999998</v>
      </c>
      <c r="EM72" s="55">
        <f t="shared" si="505"/>
        <v>0.62999999999999978</v>
      </c>
      <c r="EN72" s="55">
        <f t="shared" si="505"/>
        <v>0.60999999999999976</v>
      </c>
      <c r="EO72" s="55">
        <f t="shared" si="505"/>
        <v>0.58999999999999975</v>
      </c>
      <c r="EP72" s="55">
        <f t="shared" si="505"/>
        <v>0.56999999999999973</v>
      </c>
      <c r="ER72" s="55">
        <f t="shared" si="142"/>
        <v>0</v>
      </c>
      <c r="ES72" s="55">
        <f t="shared" si="116"/>
        <v>0</v>
      </c>
      <c r="ET72" s="59">
        <f t="shared" si="461"/>
        <v>0</v>
      </c>
      <c r="EU72" s="55">
        <f t="shared" si="462"/>
        <v>0</v>
      </c>
      <c r="EV72" s="59">
        <f t="shared" si="463"/>
        <v>0</v>
      </c>
      <c r="EW72" s="55">
        <f t="shared" si="464"/>
        <v>0</v>
      </c>
      <c r="EX72" s="59">
        <f t="shared" si="465"/>
        <v>0</v>
      </c>
      <c r="EY72" s="55">
        <f t="shared" si="466"/>
        <v>0</v>
      </c>
      <c r="EZ72" s="59">
        <f t="shared" si="467"/>
        <v>0</v>
      </c>
      <c r="FA72" s="57">
        <f t="shared" si="468"/>
        <v>0</v>
      </c>
      <c r="FB72" s="59">
        <f t="shared" si="469"/>
        <v>0</v>
      </c>
      <c r="FC72" s="55">
        <f t="shared" si="470"/>
        <v>0</v>
      </c>
      <c r="FD72" s="59">
        <f t="shared" si="471"/>
        <v>0</v>
      </c>
      <c r="FE72" s="57">
        <f t="shared" si="472"/>
        <v>0</v>
      </c>
      <c r="FF72" s="59">
        <f t="shared" si="473"/>
        <v>0</v>
      </c>
      <c r="FG72" s="60">
        <f t="shared" si="474"/>
        <v>0</v>
      </c>
      <c r="FH72" s="59">
        <f t="shared" si="475"/>
        <v>0</v>
      </c>
      <c r="FI72" s="57">
        <f t="shared" si="476"/>
        <v>0</v>
      </c>
      <c r="FJ72" s="59">
        <f t="shared" si="477"/>
        <v>0</v>
      </c>
      <c r="FK72" s="55">
        <f t="shared" si="478"/>
        <v>0</v>
      </c>
      <c r="FL72" s="59">
        <f t="shared" si="479"/>
        <v>0</v>
      </c>
      <c r="FM72" s="60">
        <f t="shared" si="480"/>
        <v>0</v>
      </c>
      <c r="FN72" s="59">
        <f t="shared" si="481"/>
        <v>0</v>
      </c>
      <c r="FO72" s="60">
        <f t="shared" si="482"/>
        <v>0</v>
      </c>
      <c r="FP72" s="59">
        <f t="shared" si="483"/>
        <v>0</v>
      </c>
      <c r="FQ72" s="60">
        <f t="shared" si="484"/>
        <v>0</v>
      </c>
      <c r="FR72" s="59">
        <f t="shared" si="485"/>
        <v>0</v>
      </c>
      <c r="FS72" s="55">
        <f t="shared" si="486"/>
        <v>0</v>
      </c>
      <c r="FT72" s="59">
        <f t="shared" si="487"/>
        <v>0</v>
      </c>
      <c r="FU72" s="60">
        <f t="shared" si="488"/>
        <v>0</v>
      </c>
      <c r="FV72" s="59">
        <f t="shared" si="489"/>
        <v>0</v>
      </c>
      <c r="FW72" s="60">
        <f t="shared" si="490"/>
        <v>0</v>
      </c>
      <c r="FX72" s="59">
        <f t="shared" si="491"/>
        <v>0</v>
      </c>
      <c r="FY72" s="60">
        <f t="shared" si="492"/>
        <v>0</v>
      </c>
      <c r="FZ72" s="59">
        <f t="shared" si="493"/>
        <v>0</v>
      </c>
      <c r="GA72" s="60">
        <f t="shared" si="494"/>
        <v>0</v>
      </c>
      <c r="GB72" s="59">
        <f t="shared" si="495"/>
        <v>0</v>
      </c>
      <c r="GC72" s="55">
        <f t="shared" si="496"/>
        <v>0</v>
      </c>
      <c r="GD72" s="59">
        <f t="shared" si="497"/>
        <v>0</v>
      </c>
      <c r="GE72" s="60">
        <f t="shared" si="498"/>
        <v>0</v>
      </c>
      <c r="GF72" s="59">
        <f t="shared" si="499"/>
        <v>0</v>
      </c>
      <c r="GG72" s="60">
        <f t="shared" si="500"/>
        <v>0</v>
      </c>
      <c r="GH72" s="59">
        <f t="shared" si="501"/>
        <v>0</v>
      </c>
      <c r="GI72" s="55">
        <f t="shared" si="502"/>
        <v>0</v>
      </c>
      <c r="GJ72" s="59">
        <f t="shared" si="503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506"/>
        <v>0.91</v>
      </c>
      <c r="GR72" s="55">
        <f t="shared" si="506"/>
        <v>0.89</v>
      </c>
      <c r="GS72" s="55">
        <f t="shared" si="506"/>
        <v>0.87</v>
      </c>
      <c r="GT72" s="55">
        <f t="shared" si="506"/>
        <v>0.85</v>
      </c>
      <c r="GU72" s="55">
        <f t="shared" si="506"/>
        <v>0.83</v>
      </c>
      <c r="GV72" s="55">
        <f t="shared" si="506"/>
        <v>0.80999999999999994</v>
      </c>
      <c r="GW72" s="55">
        <f t="shared" si="506"/>
        <v>0.78999999999999992</v>
      </c>
      <c r="GX72" s="55">
        <f t="shared" si="506"/>
        <v>0.76999999999999991</v>
      </c>
      <c r="GY72" s="55">
        <f t="shared" si="506"/>
        <v>0.74999999999999989</v>
      </c>
      <c r="GZ72" s="55">
        <f t="shared" si="506"/>
        <v>0.72999999999999987</v>
      </c>
      <c r="HA72" s="55">
        <f t="shared" si="506"/>
        <v>0.70999999999999985</v>
      </c>
      <c r="HB72" s="55">
        <f t="shared" si="506"/>
        <v>0.68999999999999984</v>
      </c>
      <c r="HC72" s="55">
        <f t="shared" si="506"/>
        <v>0.66999999999999982</v>
      </c>
      <c r="HD72" s="55">
        <f t="shared" si="506"/>
        <v>0.6499999999999998</v>
      </c>
      <c r="HE72" s="55">
        <f t="shared" si="506"/>
        <v>0.62999999999999978</v>
      </c>
      <c r="HF72" s="55">
        <f t="shared" si="506"/>
        <v>0.60999999999999976</v>
      </c>
      <c r="HG72" s="55">
        <f t="shared" si="506"/>
        <v>0.58999999999999975</v>
      </c>
      <c r="HH72" s="55">
        <f t="shared" si="506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72"/>
        <v>0</v>
      </c>
      <c r="H73" s="55">
        <f t="shared" si="373"/>
        <v>0</v>
      </c>
      <c r="I73" s="55">
        <f t="shared" si="62"/>
        <v>0</v>
      </c>
      <c r="J73" s="59">
        <f t="shared" si="63"/>
        <v>0</v>
      </c>
      <c r="K73" s="55">
        <f t="shared" si="374"/>
        <v>0</v>
      </c>
      <c r="L73" s="59">
        <f t="shared" si="375"/>
        <v>0</v>
      </c>
      <c r="M73" s="55">
        <f t="shared" si="376"/>
        <v>0</v>
      </c>
      <c r="N73" s="59">
        <f t="shared" si="377"/>
        <v>0</v>
      </c>
      <c r="O73" s="55">
        <f t="shared" si="378"/>
        <v>0</v>
      </c>
      <c r="P73" s="59">
        <f t="shared" si="379"/>
        <v>0</v>
      </c>
      <c r="Q73" s="57">
        <f t="shared" si="380"/>
        <v>0</v>
      </c>
      <c r="R73" s="59">
        <f t="shared" si="381"/>
        <v>0</v>
      </c>
      <c r="S73" s="55">
        <f t="shared" si="382"/>
        <v>0</v>
      </c>
      <c r="T73" s="59">
        <f t="shared" si="383"/>
        <v>0</v>
      </c>
      <c r="U73" s="57">
        <f t="shared" si="384"/>
        <v>0</v>
      </c>
      <c r="V73" s="59">
        <f t="shared" si="385"/>
        <v>0</v>
      </c>
      <c r="W73" s="60">
        <f t="shared" si="386"/>
        <v>0</v>
      </c>
      <c r="X73" s="59">
        <f t="shared" si="387"/>
        <v>0</v>
      </c>
      <c r="Y73" s="57">
        <f t="shared" si="388"/>
        <v>0</v>
      </c>
      <c r="Z73" s="59">
        <f t="shared" si="389"/>
        <v>0</v>
      </c>
      <c r="AA73" s="55">
        <f t="shared" si="390"/>
        <v>0</v>
      </c>
      <c r="AB73" s="59">
        <f t="shared" si="391"/>
        <v>0</v>
      </c>
      <c r="AC73" s="60">
        <f t="shared" si="392"/>
        <v>0</v>
      </c>
      <c r="AD73" s="59">
        <f t="shared" si="393"/>
        <v>0</v>
      </c>
      <c r="AE73" s="60">
        <f t="shared" si="394"/>
        <v>0</v>
      </c>
      <c r="AF73" s="59">
        <f t="shared" si="395"/>
        <v>0</v>
      </c>
      <c r="AG73" s="60">
        <f t="shared" si="396"/>
        <v>0</v>
      </c>
      <c r="AH73" s="59">
        <f t="shared" si="397"/>
        <v>0</v>
      </c>
      <c r="AI73" s="55">
        <f t="shared" si="398"/>
        <v>0</v>
      </c>
      <c r="AJ73" s="59">
        <f t="shared" si="399"/>
        <v>0</v>
      </c>
      <c r="AK73" s="60">
        <f t="shared" si="400"/>
        <v>0</v>
      </c>
      <c r="AL73" s="59">
        <f t="shared" si="401"/>
        <v>0</v>
      </c>
      <c r="AM73" s="60">
        <f t="shared" si="402"/>
        <v>0</v>
      </c>
      <c r="AN73" s="59">
        <f t="shared" si="403"/>
        <v>0</v>
      </c>
      <c r="AO73" s="60">
        <f t="shared" si="404"/>
        <v>0</v>
      </c>
      <c r="AP73" s="59">
        <f t="shared" si="405"/>
        <v>0</v>
      </c>
      <c r="AQ73" s="60">
        <f t="shared" si="406"/>
        <v>0</v>
      </c>
      <c r="AR73" s="59">
        <f t="shared" si="407"/>
        <v>0</v>
      </c>
      <c r="AS73" s="55">
        <f t="shared" si="408"/>
        <v>0</v>
      </c>
      <c r="AT73" s="59">
        <f t="shared" si="409"/>
        <v>0</v>
      </c>
      <c r="AU73" s="60">
        <f t="shared" si="410"/>
        <v>0</v>
      </c>
      <c r="AV73" s="59">
        <f t="shared" si="411"/>
        <v>0</v>
      </c>
      <c r="AW73" s="60">
        <f t="shared" si="412"/>
        <v>0</v>
      </c>
      <c r="AX73" s="59">
        <f t="shared" si="413"/>
        <v>0</v>
      </c>
      <c r="AY73" s="55">
        <f t="shared" si="414"/>
        <v>0</v>
      </c>
      <c r="AZ73" s="59">
        <f t="shared" si="415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16"/>
        <v>0.91</v>
      </c>
      <c r="BH73" s="55">
        <f t="shared" si="416"/>
        <v>0.89</v>
      </c>
      <c r="BI73" s="55">
        <f t="shared" si="416"/>
        <v>0.87</v>
      </c>
      <c r="BJ73" s="55">
        <f t="shared" si="416"/>
        <v>0.85</v>
      </c>
      <c r="BK73" s="55">
        <f t="shared" si="416"/>
        <v>0.83</v>
      </c>
      <c r="BL73" s="55">
        <f t="shared" si="416"/>
        <v>0.80999999999999994</v>
      </c>
      <c r="BM73" s="55">
        <f t="shared" si="416"/>
        <v>0.78999999999999992</v>
      </c>
      <c r="BN73" s="55">
        <f t="shared" si="416"/>
        <v>0.76999999999999991</v>
      </c>
      <c r="BO73" s="55">
        <f t="shared" si="416"/>
        <v>0.74999999999999989</v>
      </c>
      <c r="BP73" s="55">
        <f t="shared" si="416"/>
        <v>0.72999999999999987</v>
      </c>
      <c r="BQ73" s="55">
        <f t="shared" si="416"/>
        <v>0.70999999999999985</v>
      </c>
      <c r="BR73" s="55">
        <f t="shared" si="416"/>
        <v>0.68999999999999984</v>
      </c>
      <c r="BS73" s="55">
        <f t="shared" si="416"/>
        <v>0.66999999999999982</v>
      </c>
      <c r="BT73" s="55">
        <f t="shared" si="416"/>
        <v>0.6499999999999998</v>
      </c>
      <c r="BU73" s="55">
        <f t="shared" si="416"/>
        <v>0.62999999999999978</v>
      </c>
      <c r="BV73" s="55">
        <f t="shared" si="416"/>
        <v>0.60999999999999976</v>
      </c>
      <c r="BW73" s="55">
        <f t="shared" si="416"/>
        <v>0.58999999999999975</v>
      </c>
      <c r="BX73" s="55">
        <f t="shared" si="416"/>
        <v>0.56999999999999973</v>
      </c>
      <c r="BZ73" s="55">
        <f t="shared" si="88"/>
        <v>0</v>
      </c>
      <c r="CA73" s="55">
        <f t="shared" si="89"/>
        <v>0</v>
      </c>
      <c r="CB73" s="59">
        <f t="shared" si="417"/>
        <v>0</v>
      </c>
      <c r="CC73" s="55">
        <f t="shared" si="418"/>
        <v>0</v>
      </c>
      <c r="CD73" s="59">
        <f t="shared" si="419"/>
        <v>0</v>
      </c>
      <c r="CE73" s="55">
        <f t="shared" si="420"/>
        <v>0</v>
      </c>
      <c r="CF73" s="59">
        <f t="shared" si="421"/>
        <v>0</v>
      </c>
      <c r="CG73" s="55">
        <f t="shared" si="422"/>
        <v>0</v>
      </c>
      <c r="CH73" s="59">
        <f t="shared" si="423"/>
        <v>0</v>
      </c>
      <c r="CI73" s="57">
        <f t="shared" si="424"/>
        <v>0</v>
      </c>
      <c r="CJ73" s="59">
        <f t="shared" si="425"/>
        <v>0</v>
      </c>
      <c r="CK73" s="55">
        <f t="shared" si="426"/>
        <v>0</v>
      </c>
      <c r="CL73" s="59">
        <f t="shared" si="427"/>
        <v>0</v>
      </c>
      <c r="CM73" s="57">
        <f t="shared" si="428"/>
        <v>0</v>
      </c>
      <c r="CN73" s="59">
        <f t="shared" si="429"/>
        <v>0</v>
      </c>
      <c r="CO73" s="60">
        <f t="shared" si="430"/>
        <v>0</v>
      </c>
      <c r="CP73" s="59">
        <f t="shared" si="431"/>
        <v>0</v>
      </c>
      <c r="CQ73" s="57">
        <f t="shared" si="432"/>
        <v>0</v>
      </c>
      <c r="CR73" s="59">
        <f t="shared" si="433"/>
        <v>0</v>
      </c>
      <c r="CS73" s="55">
        <f t="shared" si="434"/>
        <v>0</v>
      </c>
      <c r="CT73" s="59">
        <f t="shared" si="435"/>
        <v>0</v>
      </c>
      <c r="CU73" s="60">
        <f t="shared" si="436"/>
        <v>0</v>
      </c>
      <c r="CV73" s="59">
        <f t="shared" si="437"/>
        <v>0</v>
      </c>
      <c r="CW73" s="60">
        <f t="shared" si="438"/>
        <v>0</v>
      </c>
      <c r="CX73" s="59">
        <f t="shared" si="439"/>
        <v>0</v>
      </c>
      <c r="CY73" s="60">
        <f t="shared" si="440"/>
        <v>0</v>
      </c>
      <c r="CZ73" s="59">
        <f t="shared" si="441"/>
        <v>0</v>
      </c>
      <c r="DA73" s="55">
        <f t="shared" si="442"/>
        <v>0</v>
      </c>
      <c r="DB73" s="59">
        <f t="shared" si="443"/>
        <v>0</v>
      </c>
      <c r="DC73" s="60">
        <f t="shared" si="444"/>
        <v>0</v>
      </c>
      <c r="DD73" s="59">
        <f t="shared" si="445"/>
        <v>0</v>
      </c>
      <c r="DE73" s="60">
        <f t="shared" si="446"/>
        <v>0</v>
      </c>
      <c r="DF73" s="59">
        <f t="shared" si="447"/>
        <v>0</v>
      </c>
      <c r="DG73" s="60">
        <f t="shared" si="448"/>
        <v>0</v>
      </c>
      <c r="DH73" s="59">
        <f t="shared" si="449"/>
        <v>0</v>
      </c>
      <c r="DI73" s="60">
        <f t="shared" si="450"/>
        <v>0</v>
      </c>
      <c r="DJ73" s="59">
        <f t="shared" si="451"/>
        <v>0</v>
      </c>
      <c r="DK73" s="55">
        <f t="shared" si="452"/>
        <v>0</v>
      </c>
      <c r="DL73" s="59">
        <f t="shared" si="453"/>
        <v>0</v>
      </c>
      <c r="DM73" s="60">
        <f t="shared" si="454"/>
        <v>0</v>
      </c>
      <c r="DN73" s="59">
        <f t="shared" si="455"/>
        <v>0</v>
      </c>
      <c r="DO73" s="60">
        <f t="shared" si="456"/>
        <v>0</v>
      </c>
      <c r="DP73" s="59">
        <f t="shared" si="457"/>
        <v>0</v>
      </c>
      <c r="DQ73" s="55">
        <f t="shared" si="458"/>
        <v>0</v>
      </c>
      <c r="DR73" s="59">
        <f t="shared" si="459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505"/>
        <v>0.91</v>
      </c>
      <c r="DZ73" s="55">
        <f t="shared" si="505"/>
        <v>0.89</v>
      </c>
      <c r="EA73" s="55">
        <f t="shared" si="505"/>
        <v>0.87</v>
      </c>
      <c r="EB73" s="55">
        <f t="shared" si="505"/>
        <v>0.85</v>
      </c>
      <c r="EC73" s="55">
        <f t="shared" si="505"/>
        <v>0.83</v>
      </c>
      <c r="ED73" s="55">
        <f t="shared" si="505"/>
        <v>0.80999999999999994</v>
      </c>
      <c r="EE73" s="55">
        <f t="shared" si="505"/>
        <v>0.78999999999999992</v>
      </c>
      <c r="EF73" s="55">
        <f t="shared" si="505"/>
        <v>0.76999999999999991</v>
      </c>
      <c r="EG73" s="55">
        <f t="shared" si="505"/>
        <v>0.74999999999999989</v>
      </c>
      <c r="EH73" s="55">
        <f t="shared" si="505"/>
        <v>0.72999999999999987</v>
      </c>
      <c r="EI73" s="55">
        <f t="shared" si="505"/>
        <v>0.70999999999999985</v>
      </c>
      <c r="EJ73" s="55">
        <f t="shared" si="505"/>
        <v>0.68999999999999984</v>
      </c>
      <c r="EK73" s="55">
        <f t="shared" si="505"/>
        <v>0.66999999999999982</v>
      </c>
      <c r="EL73" s="55">
        <f t="shared" si="505"/>
        <v>0.6499999999999998</v>
      </c>
      <c r="EM73" s="55">
        <f t="shared" si="505"/>
        <v>0.62999999999999978</v>
      </c>
      <c r="EN73" s="55">
        <f t="shared" si="505"/>
        <v>0.60999999999999976</v>
      </c>
      <c r="EO73" s="55">
        <f t="shared" si="505"/>
        <v>0.58999999999999975</v>
      </c>
      <c r="EP73" s="55">
        <f t="shared" si="505"/>
        <v>0.56999999999999973</v>
      </c>
      <c r="ER73" s="55">
        <f t="shared" si="142"/>
        <v>0</v>
      </c>
      <c r="ES73" s="55">
        <f t="shared" si="116"/>
        <v>0</v>
      </c>
      <c r="ET73" s="59">
        <f t="shared" si="461"/>
        <v>0</v>
      </c>
      <c r="EU73" s="55">
        <f t="shared" si="462"/>
        <v>0</v>
      </c>
      <c r="EV73" s="59">
        <f t="shared" si="463"/>
        <v>0</v>
      </c>
      <c r="EW73" s="55">
        <f t="shared" si="464"/>
        <v>0</v>
      </c>
      <c r="EX73" s="59">
        <f t="shared" si="465"/>
        <v>0</v>
      </c>
      <c r="EY73" s="55">
        <f t="shared" si="466"/>
        <v>0</v>
      </c>
      <c r="EZ73" s="59">
        <f t="shared" si="467"/>
        <v>0</v>
      </c>
      <c r="FA73" s="57">
        <f t="shared" si="468"/>
        <v>0</v>
      </c>
      <c r="FB73" s="59">
        <f t="shared" si="469"/>
        <v>0</v>
      </c>
      <c r="FC73" s="55">
        <f t="shared" si="470"/>
        <v>0</v>
      </c>
      <c r="FD73" s="59">
        <f t="shared" si="471"/>
        <v>0</v>
      </c>
      <c r="FE73" s="57">
        <f t="shared" si="472"/>
        <v>0</v>
      </c>
      <c r="FF73" s="59">
        <f t="shared" si="473"/>
        <v>0</v>
      </c>
      <c r="FG73" s="60">
        <f t="shared" si="474"/>
        <v>0</v>
      </c>
      <c r="FH73" s="59">
        <f t="shared" si="475"/>
        <v>0</v>
      </c>
      <c r="FI73" s="57">
        <f t="shared" si="476"/>
        <v>0</v>
      </c>
      <c r="FJ73" s="59">
        <f t="shared" si="477"/>
        <v>0</v>
      </c>
      <c r="FK73" s="55">
        <f t="shared" si="478"/>
        <v>0</v>
      </c>
      <c r="FL73" s="59">
        <f t="shared" si="479"/>
        <v>0</v>
      </c>
      <c r="FM73" s="60">
        <f t="shared" si="480"/>
        <v>0</v>
      </c>
      <c r="FN73" s="59">
        <f t="shared" si="481"/>
        <v>0</v>
      </c>
      <c r="FO73" s="60">
        <f t="shared" si="482"/>
        <v>0</v>
      </c>
      <c r="FP73" s="59">
        <f t="shared" si="483"/>
        <v>0</v>
      </c>
      <c r="FQ73" s="60">
        <f t="shared" si="484"/>
        <v>0</v>
      </c>
      <c r="FR73" s="59">
        <f t="shared" si="485"/>
        <v>0</v>
      </c>
      <c r="FS73" s="55">
        <f t="shared" si="486"/>
        <v>0</v>
      </c>
      <c r="FT73" s="59">
        <f t="shared" si="487"/>
        <v>0</v>
      </c>
      <c r="FU73" s="60">
        <f t="shared" si="488"/>
        <v>0</v>
      </c>
      <c r="FV73" s="59">
        <f t="shared" si="489"/>
        <v>0</v>
      </c>
      <c r="FW73" s="60">
        <f t="shared" si="490"/>
        <v>0</v>
      </c>
      <c r="FX73" s="59">
        <f t="shared" si="491"/>
        <v>0</v>
      </c>
      <c r="FY73" s="60">
        <f t="shared" si="492"/>
        <v>0</v>
      </c>
      <c r="FZ73" s="59">
        <f t="shared" si="493"/>
        <v>0</v>
      </c>
      <c r="GA73" s="60">
        <f t="shared" si="494"/>
        <v>0</v>
      </c>
      <c r="GB73" s="59">
        <f t="shared" si="495"/>
        <v>0</v>
      </c>
      <c r="GC73" s="55">
        <f t="shared" si="496"/>
        <v>0</v>
      </c>
      <c r="GD73" s="59">
        <f t="shared" si="497"/>
        <v>0</v>
      </c>
      <c r="GE73" s="60">
        <f t="shared" si="498"/>
        <v>0</v>
      </c>
      <c r="GF73" s="59">
        <f t="shared" si="499"/>
        <v>0</v>
      </c>
      <c r="GG73" s="60">
        <f t="shared" si="500"/>
        <v>0</v>
      </c>
      <c r="GH73" s="59">
        <f t="shared" si="501"/>
        <v>0</v>
      </c>
      <c r="GI73" s="55">
        <f t="shared" si="502"/>
        <v>0</v>
      </c>
      <c r="GJ73" s="59">
        <f t="shared" si="503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506"/>
        <v>0.91</v>
      </c>
      <c r="GR73" s="55">
        <f t="shared" si="506"/>
        <v>0.89</v>
      </c>
      <c r="GS73" s="55">
        <f t="shared" si="506"/>
        <v>0.87</v>
      </c>
      <c r="GT73" s="55">
        <f t="shared" si="506"/>
        <v>0.85</v>
      </c>
      <c r="GU73" s="55">
        <f t="shared" si="506"/>
        <v>0.83</v>
      </c>
      <c r="GV73" s="55">
        <f t="shared" si="506"/>
        <v>0.80999999999999994</v>
      </c>
      <c r="GW73" s="55">
        <f t="shared" si="506"/>
        <v>0.78999999999999992</v>
      </c>
      <c r="GX73" s="55">
        <f t="shared" si="506"/>
        <v>0.76999999999999991</v>
      </c>
      <c r="GY73" s="55">
        <f t="shared" si="506"/>
        <v>0.74999999999999989</v>
      </c>
      <c r="GZ73" s="55">
        <f t="shared" si="506"/>
        <v>0.72999999999999987</v>
      </c>
      <c r="HA73" s="55">
        <f t="shared" si="506"/>
        <v>0.70999999999999985</v>
      </c>
      <c r="HB73" s="55">
        <f t="shared" si="506"/>
        <v>0.68999999999999984</v>
      </c>
      <c r="HC73" s="55">
        <f t="shared" si="506"/>
        <v>0.66999999999999982</v>
      </c>
      <c r="HD73" s="55">
        <f t="shared" si="506"/>
        <v>0.6499999999999998</v>
      </c>
      <c r="HE73" s="55">
        <f t="shared" si="506"/>
        <v>0.62999999999999978</v>
      </c>
      <c r="HF73" s="55">
        <f t="shared" si="506"/>
        <v>0.60999999999999976</v>
      </c>
      <c r="HG73" s="55">
        <f t="shared" si="506"/>
        <v>0.58999999999999975</v>
      </c>
      <c r="HH73" s="55">
        <f t="shared" si="506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72"/>
        <v>0</v>
      </c>
      <c r="H74" s="55">
        <f t="shared" si="373"/>
        <v>0</v>
      </c>
      <c r="I74" s="55">
        <f t="shared" si="62"/>
        <v>0</v>
      </c>
      <c r="J74" s="59">
        <f t="shared" si="63"/>
        <v>0</v>
      </c>
      <c r="K74" s="55">
        <f t="shared" si="374"/>
        <v>0</v>
      </c>
      <c r="L74" s="59">
        <f t="shared" si="375"/>
        <v>0</v>
      </c>
      <c r="M74" s="55">
        <f t="shared" si="376"/>
        <v>0</v>
      </c>
      <c r="N74" s="59">
        <f t="shared" si="377"/>
        <v>0</v>
      </c>
      <c r="O74" s="55">
        <f t="shared" si="378"/>
        <v>0</v>
      </c>
      <c r="P74" s="59">
        <f t="shared" si="379"/>
        <v>0</v>
      </c>
      <c r="Q74" s="57">
        <f t="shared" si="380"/>
        <v>0</v>
      </c>
      <c r="R74" s="59">
        <f t="shared" si="381"/>
        <v>0</v>
      </c>
      <c r="S74" s="55">
        <f t="shared" si="382"/>
        <v>0</v>
      </c>
      <c r="T74" s="59">
        <f t="shared" si="383"/>
        <v>0</v>
      </c>
      <c r="U74" s="57">
        <f t="shared" si="384"/>
        <v>0</v>
      </c>
      <c r="V74" s="59">
        <f t="shared" si="385"/>
        <v>0</v>
      </c>
      <c r="W74" s="60">
        <f t="shared" si="386"/>
        <v>0</v>
      </c>
      <c r="X74" s="59">
        <f t="shared" si="387"/>
        <v>0</v>
      </c>
      <c r="Y74" s="57">
        <f t="shared" si="388"/>
        <v>0</v>
      </c>
      <c r="Z74" s="59">
        <f t="shared" si="389"/>
        <v>0</v>
      </c>
      <c r="AA74" s="55">
        <f t="shared" si="390"/>
        <v>0</v>
      </c>
      <c r="AB74" s="59">
        <f t="shared" si="391"/>
        <v>0</v>
      </c>
      <c r="AC74" s="60">
        <f t="shared" si="392"/>
        <v>0</v>
      </c>
      <c r="AD74" s="59">
        <f t="shared" si="393"/>
        <v>0</v>
      </c>
      <c r="AE74" s="60">
        <f t="shared" si="394"/>
        <v>0</v>
      </c>
      <c r="AF74" s="59">
        <f t="shared" si="395"/>
        <v>0</v>
      </c>
      <c r="AG74" s="60">
        <f t="shared" si="396"/>
        <v>0</v>
      </c>
      <c r="AH74" s="59">
        <f t="shared" si="397"/>
        <v>0</v>
      </c>
      <c r="AI74" s="55">
        <f t="shared" si="398"/>
        <v>0</v>
      </c>
      <c r="AJ74" s="59">
        <f t="shared" si="399"/>
        <v>0</v>
      </c>
      <c r="AK74" s="60">
        <f t="shared" si="400"/>
        <v>0</v>
      </c>
      <c r="AL74" s="59">
        <f t="shared" si="401"/>
        <v>0</v>
      </c>
      <c r="AM74" s="60">
        <f t="shared" si="402"/>
        <v>0</v>
      </c>
      <c r="AN74" s="59">
        <f t="shared" si="403"/>
        <v>0</v>
      </c>
      <c r="AO74" s="60">
        <f t="shared" si="404"/>
        <v>0</v>
      </c>
      <c r="AP74" s="59">
        <f t="shared" si="405"/>
        <v>0</v>
      </c>
      <c r="AQ74" s="60">
        <f t="shared" si="406"/>
        <v>0</v>
      </c>
      <c r="AR74" s="59">
        <f t="shared" si="407"/>
        <v>0</v>
      </c>
      <c r="AS74" s="55">
        <f t="shared" si="408"/>
        <v>0</v>
      </c>
      <c r="AT74" s="59">
        <f t="shared" si="409"/>
        <v>0</v>
      </c>
      <c r="AU74" s="60">
        <f t="shared" si="410"/>
        <v>0</v>
      </c>
      <c r="AV74" s="59">
        <f t="shared" si="411"/>
        <v>0</v>
      </c>
      <c r="AW74" s="60">
        <f t="shared" si="412"/>
        <v>0</v>
      </c>
      <c r="AX74" s="59">
        <f t="shared" si="413"/>
        <v>0</v>
      </c>
      <c r="AY74" s="55">
        <f t="shared" si="414"/>
        <v>0</v>
      </c>
      <c r="AZ74" s="59">
        <f t="shared" si="415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16"/>
        <v>0.91</v>
      </c>
      <c r="BH74" s="55">
        <f t="shared" si="416"/>
        <v>0.89</v>
      </c>
      <c r="BI74" s="55">
        <f t="shared" si="416"/>
        <v>0.87</v>
      </c>
      <c r="BJ74" s="55">
        <f t="shared" si="416"/>
        <v>0.85</v>
      </c>
      <c r="BK74" s="55">
        <f t="shared" si="416"/>
        <v>0.83</v>
      </c>
      <c r="BL74" s="55">
        <f t="shared" si="416"/>
        <v>0.80999999999999994</v>
      </c>
      <c r="BM74" s="55">
        <f t="shared" si="416"/>
        <v>0.78999999999999992</v>
      </c>
      <c r="BN74" s="55">
        <f t="shared" si="416"/>
        <v>0.76999999999999991</v>
      </c>
      <c r="BO74" s="55">
        <f t="shared" si="416"/>
        <v>0.74999999999999989</v>
      </c>
      <c r="BP74" s="55">
        <f t="shared" si="416"/>
        <v>0.72999999999999987</v>
      </c>
      <c r="BQ74" s="55">
        <f t="shared" si="416"/>
        <v>0.70999999999999985</v>
      </c>
      <c r="BR74" s="55">
        <f t="shared" si="416"/>
        <v>0.68999999999999984</v>
      </c>
      <c r="BS74" s="55">
        <f t="shared" si="416"/>
        <v>0.66999999999999982</v>
      </c>
      <c r="BT74" s="55">
        <f t="shared" si="416"/>
        <v>0.6499999999999998</v>
      </c>
      <c r="BU74" s="55">
        <f t="shared" si="416"/>
        <v>0.62999999999999978</v>
      </c>
      <c r="BV74" s="55">
        <f t="shared" si="416"/>
        <v>0.60999999999999976</v>
      </c>
      <c r="BW74" s="55">
        <f t="shared" si="416"/>
        <v>0.58999999999999975</v>
      </c>
      <c r="BX74" s="55">
        <f t="shared" si="416"/>
        <v>0.56999999999999973</v>
      </c>
      <c r="BZ74" s="55">
        <f t="shared" si="88"/>
        <v>0</v>
      </c>
      <c r="CA74" s="55">
        <f t="shared" si="89"/>
        <v>0</v>
      </c>
      <c r="CB74" s="59">
        <f t="shared" si="417"/>
        <v>0</v>
      </c>
      <c r="CC74" s="55">
        <f t="shared" si="418"/>
        <v>0</v>
      </c>
      <c r="CD74" s="59">
        <f t="shared" si="419"/>
        <v>0</v>
      </c>
      <c r="CE74" s="55">
        <f t="shared" si="420"/>
        <v>0</v>
      </c>
      <c r="CF74" s="59">
        <f t="shared" si="421"/>
        <v>0</v>
      </c>
      <c r="CG74" s="55">
        <f t="shared" si="422"/>
        <v>0</v>
      </c>
      <c r="CH74" s="59">
        <f t="shared" si="423"/>
        <v>0</v>
      </c>
      <c r="CI74" s="57">
        <f t="shared" si="424"/>
        <v>0</v>
      </c>
      <c r="CJ74" s="59">
        <f t="shared" si="425"/>
        <v>0</v>
      </c>
      <c r="CK74" s="55">
        <f t="shared" si="426"/>
        <v>0</v>
      </c>
      <c r="CL74" s="59">
        <f t="shared" si="427"/>
        <v>0</v>
      </c>
      <c r="CM74" s="57">
        <f t="shared" si="428"/>
        <v>0</v>
      </c>
      <c r="CN74" s="59">
        <f t="shared" si="429"/>
        <v>0</v>
      </c>
      <c r="CO74" s="60">
        <f t="shared" si="430"/>
        <v>0</v>
      </c>
      <c r="CP74" s="59">
        <f t="shared" si="431"/>
        <v>0</v>
      </c>
      <c r="CQ74" s="57">
        <f t="shared" si="432"/>
        <v>0</v>
      </c>
      <c r="CR74" s="59">
        <f t="shared" si="433"/>
        <v>0</v>
      </c>
      <c r="CS74" s="55">
        <f t="shared" si="434"/>
        <v>0</v>
      </c>
      <c r="CT74" s="59">
        <f t="shared" si="435"/>
        <v>0</v>
      </c>
      <c r="CU74" s="60">
        <f t="shared" si="436"/>
        <v>0</v>
      </c>
      <c r="CV74" s="59">
        <f t="shared" si="437"/>
        <v>0</v>
      </c>
      <c r="CW74" s="60">
        <f t="shared" si="438"/>
        <v>0</v>
      </c>
      <c r="CX74" s="59">
        <f t="shared" si="439"/>
        <v>0</v>
      </c>
      <c r="CY74" s="60">
        <f t="shared" si="440"/>
        <v>0</v>
      </c>
      <c r="CZ74" s="59">
        <f t="shared" si="441"/>
        <v>0</v>
      </c>
      <c r="DA74" s="55">
        <f t="shared" si="442"/>
        <v>0</v>
      </c>
      <c r="DB74" s="59">
        <f t="shared" si="443"/>
        <v>0</v>
      </c>
      <c r="DC74" s="60">
        <f t="shared" si="444"/>
        <v>0</v>
      </c>
      <c r="DD74" s="59">
        <f t="shared" si="445"/>
        <v>0</v>
      </c>
      <c r="DE74" s="60">
        <f t="shared" si="446"/>
        <v>0</v>
      </c>
      <c r="DF74" s="59">
        <f t="shared" si="447"/>
        <v>0</v>
      </c>
      <c r="DG74" s="60">
        <f t="shared" si="448"/>
        <v>0</v>
      </c>
      <c r="DH74" s="59">
        <f t="shared" si="449"/>
        <v>0</v>
      </c>
      <c r="DI74" s="60">
        <f t="shared" si="450"/>
        <v>0</v>
      </c>
      <c r="DJ74" s="59">
        <f t="shared" si="451"/>
        <v>0</v>
      </c>
      <c r="DK74" s="55">
        <f t="shared" si="452"/>
        <v>0</v>
      </c>
      <c r="DL74" s="59">
        <f t="shared" si="453"/>
        <v>0</v>
      </c>
      <c r="DM74" s="60">
        <f t="shared" si="454"/>
        <v>0</v>
      </c>
      <c r="DN74" s="59">
        <f t="shared" si="455"/>
        <v>0</v>
      </c>
      <c r="DO74" s="60">
        <f t="shared" si="456"/>
        <v>0</v>
      </c>
      <c r="DP74" s="59">
        <f t="shared" si="457"/>
        <v>0</v>
      </c>
      <c r="DQ74" s="55">
        <f t="shared" si="458"/>
        <v>0</v>
      </c>
      <c r="DR74" s="59">
        <f t="shared" si="459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505"/>
        <v>0.91</v>
      </c>
      <c r="DZ74" s="55">
        <f t="shared" si="505"/>
        <v>0.89</v>
      </c>
      <c r="EA74" s="55">
        <f t="shared" si="505"/>
        <v>0.87</v>
      </c>
      <c r="EB74" s="55">
        <f t="shared" si="505"/>
        <v>0.85</v>
      </c>
      <c r="EC74" s="55">
        <f t="shared" si="505"/>
        <v>0.83</v>
      </c>
      <c r="ED74" s="55">
        <f t="shared" si="505"/>
        <v>0.80999999999999994</v>
      </c>
      <c r="EE74" s="55">
        <f t="shared" si="505"/>
        <v>0.78999999999999992</v>
      </c>
      <c r="EF74" s="55">
        <f t="shared" si="505"/>
        <v>0.76999999999999991</v>
      </c>
      <c r="EG74" s="55">
        <f t="shared" si="505"/>
        <v>0.74999999999999989</v>
      </c>
      <c r="EH74" s="55">
        <f t="shared" si="505"/>
        <v>0.72999999999999987</v>
      </c>
      <c r="EI74" s="55">
        <f t="shared" si="505"/>
        <v>0.70999999999999985</v>
      </c>
      <c r="EJ74" s="55">
        <f t="shared" si="505"/>
        <v>0.68999999999999984</v>
      </c>
      <c r="EK74" s="55">
        <f t="shared" si="505"/>
        <v>0.66999999999999982</v>
      </c>
      <c r="EL74" s="55">
        <f t="shared" si="505"/>
        <v>0.6499999999999998</v>
      </c>
      <c r="EM74" s="55">
        <f t="shared" si="505"/>
        <v>0.62999999999999978</v>
      </c>
      <c r="EN74" s="55">
        <f t="shared" si="505"/>
        <v>0.60999999999999976</v>
      </c>
      <c r="EO74" s="55">
        <f t="shared" si="505"/>
        <v>0.58999999999999975</v>
      </c>
      <c r="EP74" s="55">
        <f t="shared" si="505"/>
        <v>0.56999999999999973</v>
      </c>
      <c r="ER74" s="55">
        <f t="shared" si="142"/>
        <v>0</v>
      </c>
      <c r="ES74" s="55">
        <f t="shared" si="116"/>
        <v>0</v>
      </c>
      <c r="ET74" s="59">
        <f t="shared" si="461"/>
        <v>0</v>
      </c>
      <c r="EU74" s="55">
        <f t="shared" si="462"/>
        <v>0</v>
      </c>
      <c r="EV74" s="59">
        <f t="shared" si="463"/>
        <v>0</v>
      </c>
      <c r="EW74" s="55">
        <f t="shared" si="464"/>
        <v>0</v>
      </c>
      <c r="EX74" s="59">
        <f t="shared" si="465"/>
        <v>0</v>
      </c>
      <c r="EY74" s="55">
        <f t="shared" si="466"/>
        <v>0</v>
      </c>
      <c r="EZ74" s="59">
        <f t="shared" si="467"/>
        <v>0</v>
      </c>
      <c r="FA74" s="57">
        <f t="shared" si="468"/>
        <v>0</v>
      </c>
      <c r="FB74" s="59">
        <f t="shared" si="469"/>
        <v>0</v>
      </c>
      <c r="FC74" s="55">
        <f t="shared" si="470"/>
        <v>0</v>
      </c>
      <c r="FD74" s="59">
        <f t="shared" si="471"/>
        <v>0</v>
      </c>
      <c r="FE74" s="57">
        <f t="shared" si="472"/>
        <v>0</v>
      </c>
      <c r="FF74" s="59">
        <f t="shared" si="473"/>
        <v>0</v>
      </c>
      <c r="FG74" s="60">
        <f t="shared" si="474"/>
        <v>0</v>
      </c>
      <c r="FH74" s="59">
        <f t="shared" si="475"/>
        <v>0</v>
      </c>
      <c r="FI74" s="57">
        <f t="shared" si="476"/>
        <v>0</v>
      </c>
      <c r="FJ74" s="59">
        <f t="shared" si="477"/>
        <v>0</v>
      </c>
      <c r="FK74" s="55">
        <f t="shared" si="478"/>
        <v>0</v>
      </c>
      <c r="FL74" s="59">
        <f t="shared" si="479"/>
        <v>0</v>
      </c>
      <c r="FM74" s="60">
        <f t="shared" si="480"/>
        <v>0</v>
      </c>
      <c r="FN74" s="59">
        <f t="shared" si="481"/>
        <v>0</v>
      </c>
      <c r="FO74" s="60">
        <f t="shared" si="482"/>
        <v>0</v>
      </c>
      <c r="FP74" s="59">
        <f t="shared" si="483"/>
        <v>0</v>
      </c>
      <c r="FQ74" s="60">
        <f t="shared" si="484"/>
        <v>0</v>
      </c>
      <c r="FR74" s="59">
        <f t="shared" si="485"/>
        <v>0</v>
      </c>
      <c r="FS74" s="55">
        <f t="shared" si="486"/>
        <v>0</v>
      </c>
      <c r="FT74" s="59">
        <f t="shared" si="487"/>
        <v>0</v>
      </c>
      <c r="FU74" s="60">
        <f t="shared" si="488"/>
        <v>0</v>
      </c>
      <c r="FV74" s="59">
        <f t="shared" si="489"/>
        <v>0</v>
      </c>
      <c r="FW74" s="60">
        <f t="shared" si="490"/>
        <v>0</v>
      </c>
      <c r="FX74" s="59">
        <f t="shared" si="491"/>
        <v>0</v>
      </c>
      <c r="FY74" s="60">
        <f t="shared" si="492"/>
        <v>0</v>
      </c>
      <c r="FZ74" s="59">
        <f t="shared" si="493"/>
        <v>0</v>
      </c>
      <c r="GA74" s="60">
        <f t="shared" si="494"/>
        <v>0</v>
      </c>
      <c r="GB74" s="59">
        <f t="shared" si="495"/>
        <v>0</v>
      </c>
      <c r="GC74" s="55">
        <f t="shared" si="496"/>
        <v>0</v>
      </c>
      <c r="GD74" s="59">
        <f t="shared" si="497"/>
        <v>0</v>
      </c>
      <c r="GE74" s="60">
        <f t="shared" si="498"/>
        <v>0</v>
      </c>
      <c r="GF74" s="59">
        <f t="shared" si="499"/>
        <v>0</v>
      </c>
      <c r="GG74" s="60">
        <f t="shared" si="500"/>
        <v>0</v>
      </c>
      <c r="GH74" s="59">
        <f t="shared" si="501"/>
        <v>0</v>
      </c>
      <c r="GI74" s="55">
        <f t="shared" si="502"/>
        <v>0</v>
      </c>
      <c r="GJ74" s="59">
        <f t="shared" si="503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506"/>
        <v>0.91</v>
      </c>
      <c r="GR74" s="55">
        <f t="shared" si="506"/>
        <v>0.89</v>
      </c>
      <c r="GS74" s="55">
        <f t="shared" si="506"/>
        <v>0.87</v>
      </c>
      <c r="GT74" s="55">
        <f t="shared" si="506"/>
        <v>0.85</v>
      </c>
      <c r="GU74" s="55">
        <f t="shared" si="506"/>
        <v>0.83</v>
      </c>
      <c r="GV74" s="55">
        <f t="shared" si="506"/>
        <v>0.80999999999999994</v>
      </c>
      <c r="GW74" s="55">
        <f t="shared" si="506"/>
        <v>0.78999999999999992</v>
      </c>
      <c r="GX74" s="55">
        <f t="shared" si="506"/>
        <v>0.76999999999999991</v>
      </c>
      <c r="GY74" s="55">
        <f t="shared" si="506"/>
        <v>0.74999999999999989</v>
      </c>
      <c r="GZ74" s="55">
        <f t="shared" si="506"/>
        <v>0.72999999999999987</v>
      </c>
      <c r="HA74" s="55">
        <f t="shared" si="506"/>
        <v>0.70999999999999985</v>
      </c>
      <c r="HB74" s="55">
        <f t="shared" si="506"/>
        <v>0.68999999999999984</v>
      </c>
      <c r="HC74" s="55">
        <f t="shared" si="506"/>
        <v>0.66999999999999982</v>
      </c>
      <c r="HD74" s="55">
        <f t="shared" si="506"/>
        <v>0.6499999999999998</v>
      </c>
      <c r="HE74" s="55">
        <f t="shared" si="506"/>
        <v>0.62999999999999978</v>
      </c>
      <c r="HF74" s="55">
        <f t="shared" si="506"/>
        <v>0.60999999999999976</v>
      </c>
      <c r="HG74" s="55">
        <f t="shared" si="506"/>
        <v>0.58999999999999975</v>
      </c>
      <c r="HH74" s="55">
        <f t="shared" si="506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72"/>
        <v>0</v>
      </c>
      <c r="H75" s="55">
        <f t="shared" si="373"/>
        <v>0</v>
      </c>
      <c r="I75" s="55">
        <f t="shared" si="62"/>
        <v>0</v>
      </c>
      <c r="J75" s="59">
        <f t="shared" si="63"/>
        <v>0</v>
      </c>
      <c r="K75" s="55">
        <f t="shared" si="374"/>
        <v>0</v>
      </c>
      <c r="L75" s="59">
        <f t="shared" si="375"/>
        <v>0</v>
      </c>
      <c r="M75" s="55">
        <f t="shared" si="376"/>
        <v>0</v>
      </c>
      <c r="N75" s="59">
        <f t="shared" si="377"/>
        <v>0</v>
      </c>
      <c r="O75" s="55">
        <f t="shared" si="378"/>
        <v>0</v>
      </c>
      <c r="P75" s="59">
        <f t="shared" si="379"/>
        <v>0</v>
      </c>
      <c r="Q75" s="57">
        <f t="shared" si="380"/>
        <v>0</v>
      </c>
      <c r="R75" s="59">
        <f t="shared" si="381"/>
        <v>0</v>
      </c>
      <c r="S75" s="55">
        <f t="shared" si="382"/>
        <v>0</v>
      </c>
      <c r="T75" s="59">
        <f t="shared" si="383"/>
        <v>0</v>
      </c>
      <c r="U75" s="57">
        <f t="shared" si="384"/>
        <v>0</v>
      </c>
      <c r="V75" s="59">
        <f t="shared" si="385"/>
        <v>0</v>
      </c>
      <c r="W75" s="60">
        <f t="shared" si="386"/>
        <v>0</v>
      </c>
      <c r="X75" s="59">
        <f t="shared" si="387"/>
        <v>0</v>
      </c>
      <c r="Y75" s="57">
        <f t="shared" si="388"/>
        <v>0</v>
      </c>
      <c r="Z75" s="59">
        <f t="shared" si="389"/>
        <v>0</v>
      </c>
      <c r="AA75" s="55">
        <f t="shared" si="390"/>
        <v>0</v>
      </c>
      <c r="AB75" s="59">
        <f t="shared" si="391"/>
        <v>0</v>
      </c>
      <c r="AC75" s="60">
        <f t="shared" si="392"/>
        <v>0</v>
      </c>
      <c r="AD75" s="59">
        <f t="shared" si="393"/>
        <v>0</v>
      </c>
      <c r="AE75" s="60">
        <f t="shared" si="394"/>
        <v>0</v>
      </c>
      <c r="AF75" s="59">
        <f t="shared" si="395"/>
        <v>0</v>
      </c>
      <c r="AG75" s="60">
        <f t="shared" si="396"/>
        <v>0</v>
      </c>
      <c r="AH75" s="59">
        <f t="shared" si="397"/>
        <v>0</v>
      </c>
      <c r="AI75" s="55">
        <f t="shared" si="398"/>
        <v>0</v>
      </c>
      <c r="AJ75" s="59">
        <f t="shared" si="399"/>
        <v>0</v>
      </c>
      <c r="AK75" s="60">
        <f t="shared" si="400"/>
        <v>0</v>
      </c>
      <c r="AL75" s="59">
        <f t="shared" si="401"/>
        <v>0</v>
      </c>
      <c r="AM75" s="60">
        <f t="shared" si="402"/>
        <v>0</v>
      </c>
      <c r="AN75" s="59">
        <f t="shared" si="403"/>
        <v>0</v>
      </c>
      <c r="AO75" s="60">
        <f t="shared" si="404"/>
        <v>0</v>
      </c>
      <c r="AP75" s="59">
        <f t="shared" si="405"/>
        <v>0</v>
      </c>
      <c r="AQ75" s="60">
        <f t="shared" si="406"/>
        <v>0</v>
      </c>
      <c r="AR75" s="59">
        <f t="shared" si="407"/>
        <v>0</v>
      </c>
      <c r="AS75" s="55">
        <f t="shared" si="408"/>
        <v>0</v>
      </c>
      <c r="AT75" s="59">
        <f t="shared" si="409"/>
        <v>0</v>
      </c>
      <c r="AU75" s="60">
        <f t="shared" si="410"/>
        <v>0</v>
      </c>
      <c r="AV75" s="59">
        <f t="shared" si="411"/>
        <v>0</v>
      </c>
      <c r="AW75" s="60">
        <f t="shared" si="412"/>
        <v>0</v>
      </c>
      <c r="AX75" s="59">
        <f t="shared" si="413"/>
        <v>0</v>
      </c>
      <c r="AY75" s="55">
        <f t="shared" si="414"/>
        <v>0</v>
      </c>
      <c r="AZ75" s="59">
        <f t="shared" si="415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16"/>
        <v>0.91</v>
      </c>
      <c r="BH75" s="55">
        <f t="shared" si="416"/>
        <v>0.89</v>
      </c>
      <c r="BI75" s="55">
        <f t="shared" si="416"/>
        <v>0.87</v>
      </c>
      <c r="BJ75" s="55">
        <f t="shared" si="416"/>
        <v>0.85</v>
      </c>
      <c r="BK75" s="55">
        <f t="shared" si="416"/>
        <v>0.83</v>
      </c>
      <c r="BL75" s="55">
        <f t="shared" si="416"/>
        <v>0.80999999999999994</v>
      </c>
      <c r="BM75" s="55">
        <f t="shared" si="416"/>
        <v>0.78999999999999992</v>
      </c>
      <c r="BN75" s="55">
        <f t="shared" si="416"/>
        <v>0.76999999999999991</v>
      </c>
      <c r="BO75" s="55">
        <f t="shared" si="416"/>
        <v>0.74999999999999989</v>
      </c>
      <c r="BP75" s="55">
        <f t="shared" si="416"/>
        <v>0.72999999999999987</v>
      </c>
      <c r="BQ75" s="55">
        <f t="shared" si="416"/>
        <v>0.70999999999999985</v>
      </c>
      <c r="BR75" s="55">
        <f t="shared" si="416"/>
        <v>0.68999999999999984</v>
      </c>
      <c r="BS75" s="55">
        <f t="shared" si="416"/>
        <v>0.66999999999999982</v>
      </c>
      <c r="BT75" s="55">
        <f t="shared" si="416"/>
        <v>0.6499999999999998</v>
      </c>
      <c r="BU75" s="55">
        <f t="shared" si="416"/>
        <v>0.62999999999999978</v>
      </c>
      <c r="BV75" s="55">
        <f t="shared" si="416"/>
        <v>0.60999999999999976</v>
      </c>
      <c r="BW75" s="55">
        <f t="shared" si="416"/>
        <v>0.58999999999999975</v>
      </c>
      <c r="BX75" s="55">
        <f t="shared" si="416"/>
        <v>0.56999999999999973</v>
      </c>
      <c r="BZ75" s="55">
        <f t="shared" si="88"/>
        <v>0</v>
      </c>
      <c r="CA75" s="55">
        <f t="shared" si="89"/>
        <v>0</v>
      </c>
      <c r="CB75" s="59">
        <f t="shared" si="417"/>
        <v>0</v>
      </c>
      <c r="CC75" s="55">
        <f t="shared" si="418"/>
        <v>0</v>
      </c>
      <c r="CD75" s="59">
        <f t="shared" si="419"/>
        <v>0</v>
      </c>
      <c r="CE75" s="55">
        <f t="shared" si="420"/>
        <v>0</v>
      </c>
      <c r="CF75" s="59">
        <f t="shared" si="421"/>
        <v>0</v>
      </c>
      <c r="CG75" s="55">
        <f t="shared" si="422"/>
        <v>0</v>
      </c>
      <c r="CH75" s="59">
        <f t="shared" si="423"/>
        <v>0</v>
      </c>
      <c r="CI75" s="57">
        <f t="shared" si="424"/>
        <v>0</v>
      </c>
      <c r="CJ75" s="59">
        <f t="shared" si="425"/>
        <v>0</v>
      </c>
      <c r="CK75" s="55">
        <f t="shared" si="426"/>
        <v>0</v>
      </c>
      <c r="CL75" s="59">
        <f t="shared" si="427"/>
        <v>0</v>
      </c>
      <c r="CM75" s="57">
        <f t="shared" si="428"/>
        <v>0</v>
      </c>
      <c r="CN75" s="59">
        <f t="shared" si="429"/>
        <v>0</v>
      </c>
      <c r="CO75" s="60">
        <f t="shared" si="430"/>
        <v>0</v>
      </c>
      <c r="CP75" s="59">
        <f t="shared" si="431"/>
        <v>0</v>
      </c>
      <c r="CQ75" s="57">
        <f t="shared" si="432"/>
        <v>0</v>
      </c>
      <c r="CR75" s="59">
        <f t="shared" si="433"/>
        <v>0</v>
      </c>
      <c r="CS75" s="55">
        <f t="shared" si="434"/>
        <v>0</v>
      </c>
      <c r="CT75" s="59">
        <f t="shared" si="435"/>
        <v>0</v>
      </c>
      <c r="CU75" s="60">
        <f t="shared" si="436"/>
        <v>0</v>
      </c>
      <c r="CV75" s="59">
        <f t="shared" si="437"/>
        <v>0</v>
      </c>
      <c r="CW75" s="60">
        <f t="shared" si="438"/>
        <v>0</v>
      </c>
      <c r="CX75" s="59">
        <f t="shared" si="439"/>
        <v>0</v>
      </c>
      <c r="CY75" s="60">
        <f t="shared" si="440"/>
        <v>0</v>
      </c>
      <c r="CZ75" s="59">
        <f t="shared" si="441"/>
        <v>0</v>
      </c>
      <c r="DA75" s="55">
        <f t="shared" si="442"/>
        <v>0</v>
      </c>
      <c r="DB75" s="59">
        <f t="shared" si="443"/>
        <v>0</v>
      </c>
      <c r="DC75" s="60">
        <f t="shared" si="444"/>
        <v>0</v>
      </c>
      <c r="DD75" s="59">
        <f t="shared" si="445"/>
        <v>0</v>
      </c>
      <c r="DE75" s="60">
        <f t="shared" si="446"/>
        <v>0</v>
      </c>
      <c r="DF75" s="59">
        <f t="shared" si="447"/>
        <v>0</v>
      </c>
      <c r="DG75" s="60">
        <f t="shared" si="448"/>
        <v>0</v>
      </c>
      <c r="DH75" s="59">
        <f t="shared" si="449"/>
        <v>0</v>
      </c>
      <c r="DI75" s="60">
        <f t="shared" si="450"/>
        <v>0</v>
      </c>
      <c r="DJ75" s="59">
        <f t="shared" si="451"/>
        <v>0</v>
      </c>
      <c r="DK75" s="55">
        <f t="shared" si="452"/>
        <v>0</v>
      </c>
      <c r="DL75" s="59">
        <f t="shared" si="453"/>
        <v>0</v>
      </c>
      <c r="DM75" s="60">
        <f t="shared" si="454"/>
        <v>0</v>
      </c>
      <c r="DN75" s="59">
        <f t="shared" si="455"/>
        <v>0</v>
      </c>
      <c r="DO75" s="60">
        <f t="shared" si="456"/>
        <v>0</v>
      </c>
      <c r="DP75" s="59">
        <f t="shared" si="457"/>
        <v>0</v>
      </c>
      <c r="DQ75" s="55">
        <f t="shared" si="458"/>
        <v>0</v>
      </c>
      <c r="DR75" s="59">
        <f t="shared" si="459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505"/>
        <v>0.91</v>
      </c>
      <c r="DZ75" s="55">
        <f t="shared" si="505"/>
        <v>0.89</v>
      </c>
      <c r="EA75" s="55">
        <f t="shared" si="505"/>
        <v>0.87</v>
      </c>
      <c r="EB75" s="55">
        <f t="shared" si="505"/>
        <v>0.85</v>
      </c>
      <c r="EC75" s="55">
        <f t="shared" si="505"/>
        <v>0.83</v>
      </c>
      <c r="ED75" s="55">
        <f t="shared" si="505"/>
        <v>0.80999999999999994</v>
      </c>
      <c r="EE75" s="55">
        <f t="shared" si="505"/>
        <v>0.78999999999999992</v>
      </c>
      <c r="EF75" s="55">
        <f t="shared" si="505"/>
        <v>0.76999999999999991</v>
      </c>
      <c r="EG75" s="55">
        <f t="shared" si="505"/>
        <v>0.74999999999999989</v>
      </c>
      <c r="EH75" s="55">
        <f t="shared" si="505"/>
        <v>0.72999999999999987</v>
      </c>
      <c r="EI75" s="55">
        <f t="shared" si="505"/>
        <v>0.70999999999999985</v>
      </c>
      <c r="EJ75" s="55">
        <f t="shared" si="505"/>
        <v>0.68999999999999984</v>
      </c>
      <c r="EK75" s="55">
        <f t="shared" si="505"/>
        <v>0.66999999999999982</v>
      </c>
      <c r="EL75" s="55">
        <f t="shared" si="505"/>
        <v>0.6499999999999998</v>
      </c>
      <c r="EM75" s="55">
        <f t="shared" si="505"/>
        <v>0.62999999999999978</v>
      </c>
      <c r="EN75" s="55">
        <f t="shared" si="505"/>
        <v>0.60999999999999976</v>
      </c>
      <c r="EO75" s="55">
        <f t="shared" si="505"/>
        <v>0.58999999999999975</v>
      </c>
      <c r="EP75" s="55">
        <f t="shared" si="505"/>
        <v>0.56999999999999973</v>
      </c>
      <c r="ER75" s="55">
        <f t="shared" si="142"/>
        <v>0</v>
      </c>
      <c r="ES75" s="55">
        <f t="shared" si="116"/>
        <v>0</v>
      </c>
      <c r="ET75" s="59">
        <f t="shared" si="461"/>
        <v>0</v>
      </c>
      <c r="EU75" s="55">
        <f t="shared" si="462"/>
        <v>0</v>
      </c>
      <c r="EV75" s="59">
        <f t="shared" si="463"/>
        <v>0</v>
      </c>
      <c r="EW75" s="55">
        <f t="shared" si="464"/>
        <v>0</v>
      </c>
      <c r="EX75" s="59">
        <f t="shared" si="465"/>
        <v>0</v>
      </c>
      <c r="EY75" s="55">
        <f t="shared" si="466"/>
        <v>0</v>
      </c>
      <c r="EZ75" s="59">
        <f t="shared" si="467"/>
        <v>0</v>
      </c>
      <c r="FA75" s="57">
        <f t="shared" si="468"/>
        <v>0</v>
      </c>
      <c r="FB75" s="59">
        <f t="shared" si="469"/>
        <v>0</v>
      </c>
      <c r="FC75" s="55">
        <f t="shared" si="470"/>
        <v>0</v>
      </c>
      <c r="FD75" s="59">
        <f t="shared" si="471"/>
        <v>0</v>
      </c>
      <c r="FE75" s="57">
        <f t="shared" si="472"/>
        <v>0</v>
      </c>
      <c r="FF75" s="59">
        <f t="shared" si="473"/>
        <v>0</v>
      </c>
      <c r="FG75" s="60">
        <f t="shared" si="474"/>
        <v>0</v>
      </c>
      <c r="FH75" s="59">
        <f t="shared" si="475"/>
        <v>0</v>
      </c>
      <c r="FI75" s="57">
        <f t="shared" si="476"/>
        <v>0</v>
      </c>
      <c r="FJ75" s="59">
        <f t="shared" si="477"/>
        <v>0</v>
      </c>
      <c r="FK75" s="55">
        <f t="shared" si="478"/>
        <v>0</v>
      </c>
      <c r="FL75" s="59">
        <f t="shared" si="479"/>
        <v>0</v>
      </c>
      <c r="FM75" s="60">
        <f t="shared" si="480"/>
        <v>0</v>
      </c>
      <c r="FN75" s="59">
        <f t="shared" si="481"/>
        <v>0</v>
      </c>
      <c r="FO75" s="60">
        <f t="shared" si="482"/>
        <v>0</v>
      </c>
      <c r="FP75" s="59">
        <f t="shared" si="483"/>
        <v>0</v>
      </c>
      <c r="FQ75" s="60">
        <f t="shared" si="484"/>
        <v>0</v>
      </c>
      <c r="FR75" s="59">
        <f t="shared" si="485"/>
        <v>0</v>
      </c>
      <c r="FS75" s="55">
        <f t="shared" si="486"/>
        <v>0</v>
      </c>
      <c r="FT75" s="59">
        <f t="shared" si="487"/>
        <v>0</v>
      </c>
      <c r="FU75" s="60">
        <f t="shared" si="488"/>
        <v>0</v>
      </c>
      <c r="FV75" s="59">
        <f t="shared" si="489"/>
        <v>0</v>
      </c>
      <c r="FW75" s="60">
        <f t="shared" si="490"/>
        <v>0</v>
      </c>
      <c r="FX75" s="59">
        <f t="shared" si="491"/>
        <v>0</v>
      </c>
      <c r="FY75" s="60">
        <f t="shared" si="492"/>
        <v>0</v>
      </c>
      <c r="FZ75" s="59">
        <f t="shared" si="493"/>
        <v>0</v>
      </c>
      <c r="GA75" s="60">
        <f t="shared" si="494"/>
        <v>0</v>
      </c>
      <c r="GB75" s="59">
        <f t="shared" si="495"/>
        <v>0</v>
      </c>
      <c r="GC75" s="55">
        <f t="shared" si="496"/>
        <v>0</v>
      </c>
      <c r="GD75" s="59">
        <f t="shared" si="497"/>
        <v>0</v>
      </c>
      <c r="GE75" s="60">
        <f t="shared" si="498"/>
        <v>0</v>
      </c>
      <c r="GF75" s="59">
        <f t="shared" si="499"/>
        <v>0</v>
      </c>
      <c r="GG75" s="60">
        <f t="shared" si="500"/>
        <v>0</v>
      </c>
      <c r="GH75" s="59">
        <f t="shared" si="501"/>
        <v>0</v>
      </c>
      <c r="GI75" s="55">
        <f t="shared" si="502"/>
        <v>0</v>
      </c>
      <c r="GJ75" s="59">
        <f t="shared" si="503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506"/>
        <v>0.91</v>
      </c>
      <c r="GR75" s="55">
        <f t="shared" si="506"/>
        <v>0.89</v>
      </c>
      <c r="GS75" s="55">
        <f t="shared" si="506"/>
        <v>0.87</v>
      </c>
      <c r="GT75" s="55">
        <f t="shared" si="506"/>
        <v>0.85</v>
      </c>
      <c r="GU75" s="55">
        <f t="shared" si="506"/>
        <v>0.83</v>
      </c>
      <c r="GV75" s="55">
        <f t="shared" si="506"/>
        <v>0.80999999999999994</v>
      </c>
      <c r="GW75" s="55">
        <f t="shared" si="506"/>
        <v>0.78999999999999992</v>
      </c>
      <c r="GX75" s="55">
        <f t="shared" si="506"/>
        <v>0.76999999999999991</v>
      </c>
      <c r="GY75" s="55">
        <f t="shared" si="506"/>
        <v>0.74999999999999989</v>
      </c>
      <c r="GZ75" s="55">
        <f t="shared" si="506"/>
        <v>0.72999999999999987</v>
      </c>
      <c r="HA75" s="55">
        <f t="shared" si="506"/>
        <v>0.70999999999999985</v>
      </c>
      <c r="HB75" s="55">
        <f t="shared" si="506"/>
        <v>0.68999999999999984</v>
      </c>
      <c r="HC75" s="55">
        <f t="shared" si="506"/>
        <v>0.66999999999999982</v>
      </c>
      <c r="HD75" s="55">
        <f t="shared" si="506"/>
        <v>0.6499999999999998</v>
      </c>
      <c r="HE75" s="55">
        <f t="shared" si="506"/>
        <v>0.62999999999999978</v>
      </c>
      <c r="HF75" s="55">
        <f t="shared" si="506"/>
        <v>0.60999999999999976</v>
      </c>
      <c r="HG75" s="55">
        <f t="shared" si="506"/>
        <v>0.58999999999999975</v>
      </c>
      <c r="HH75" s="55">
        <f t="shared" si="506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72"/>
        <v>0</v>
      </c>
      <c r="H76" s="55">
        <f t="shared" si="373"/>
        <v>0</v>
      </c>
      <c r="I76" s="55">
        <f t="shared" si="62"/>
        <v>0</v>
      </c>
      <c r="J76" s="59">
        <f t="shared" si="63"/>
        <v>0</v>
      </c>
      <c r="K76" s="55">
        <f t="shared" si="374"/>
        <v>0</v>
      </c>
      <c r="L76" s="59">
        <f t="shared" si="375"/>
        <v>0</v>
      </c>
      <c r="M76" s="55">
        <f t="shared" si="376"/>
        <v>0</v>
      </c>
      <c r="N76" s="59">
        <f t="shared" si="377"/>
        <v>0</v>
      </c>
      <c r="O76" s="55">
        <f t="shared" si="378"/>
        <v>0</v>
      </c>
      <c r="P76" s="59">
        <f t="shared" si="379"/>
        <v>0</v>
      </c>
      <c r="Q76" s="57">
        <f t="shared" si="380"/>
        <v>0</v>
      </c>
      <c r="R76" s="59">
        <f t="shared" si="381"/>
        <v>0</v>
      </c>
      <c r="S76" s="55">
        <f t="shared" si="382"/>
        <v>0</v>
      </c>
      <c r="T76" s="59">
        <f t="shared" si="383"/>
        <v>0</v>
      </c>
      <c r="U76" s="57">
        <f t="shared" si="384"/>
        <v>0</v>
      </c>
      <c r="V76" s="59">
        <f t="shared" si="385"/>
        <v>0</v>
      </c>
      <c r="W76" s="60">
        <f t="shared" si="386"/>
        <v>0</v>
      </c>
      <c r="X76" s="59">
        <f t="shared" si="387"/>
        <v>0</v>
      </c>
      <c r="Y76" s="57">
        <f t="shared" si="388"/>
        <v>0</v>
      </c>
      <c r="Z76" s="59">
        <f t="shared" si="389"/>
        <v>0</v>
      </c>
      <c r="AA76" s="55">
        <f t="shared" si="390"/>
        <v>0</v>
      </c>
      <c r="AB76" s="59">
        <f t="shared" si="391"/>
        <v>0</v>
      </c>
      <c r="AC76" s="60">
        <f t="shared" si="392"/>
        <v>0</v>
      </c>
      <c r="AD76" s="59">
        <f t="shared" si="393"/>
        <v>0</v>
      </c>
      <c r="AE76" s="60">
        <f t="shared" si="394"/>
        <v>0</v>
      </c>
      <c r="AF76" s="59">
        <f t="shared" si="395"/>
        <v>0</v>
      </c>
      <c r="AG76" s="60">
        <f t="shared" si="396"/>
        <v>0</v>
      </c>
      <c r="AH76" s="59">
        <f t="shared" si="397"/>
        <v>0</v>
      </c>
      <c r="AI76" s="55">
        <f t="shared" si="398"/>
        <v>0</v>
      </c>
      <c r="AJ76" s="59">
        <f t="shared" si="399"/>
        <v>0</v>
      </c>
      <c r="AK76" s="60">
        <f t="shared" si="400"/>
        <v>0</v>
      </c>
      <c r="AL76" s="59">
        <f t="shared" si="401"/>
        <v>0</v>
      </c>
      <c r="AM76" s="60">
        <f t="shared" si="402"/>
        <v>0</v>
      </c>
      <c r="AN76" s="59">
        <f t="shared" si="403"/>
        <v>0</v>
      </c>
      <c r="AO76" s="60">
        <f t="shared" si="404"/>
        <v>0</v>
      </c>
      <c r="AP76" s="59">
        <f t="shared" si="405"/>
        <v>0</v>
      </c>
      <c r="AQ76" s="60">
        <f t="shared" si="406"/>
        <v>0</v>
      </c>
      <c r="AR76" s="59">
        <f t="shared" si="407"/>
        <v>0</v>
      </c>
      <c r="AS76" s="55">
        <f t="shared" si="408"/>
        <v>0</v>
      </c>
      <c r="AT76" s="59">
        <f t="shared" si="409"/>
        <v>0</v>
      </c>
      <c r="AU76" s="60">
        <f t="shared" si="410"/>
        <v>0</v>
      </c>
      <c r="AV76" s="59">
        <f t="shared" si="411"/>
        <v>0</v>
      </c>
      <c r="AW76" s="60">
        <f t="shared" si="412"/>
        <v>0</v>
      </c>
      <c r="AX76" s="59">
        <f t="shared" si="413"/>
        <v>0</v>
      </c>
      <c r="AY76" s="55">
        <f t="shared" si="414"/>
        <v>0</v>
      </c>
      <c r="AZ76" s="59">
        <f t="shared" si="415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16"/>
        <v>0.91</v>
      </c>
      <c r="BH76" s="55">
        <f t="shared" si="416"/>
        <v>0.89</v>
      </c>
      <c r="BI76" s="55">
        <f t="shared" si="416"/>
        <v>0.87</v>
      </c>
      <c r="BJ76" s="55">
        <f t="shared" si="416"/>
        <v>0.85</v>
      </c>
      <c r="BK76" s="55">
        <f t="shared" si="416"/>
        <v>0.83</v>
      </c>
      <c r="BL76" s="55">
        <f t="shared" si="416"/>
        <v>0.80999999999999994</v>
      </c>
      <c r="BM76" s="55">
        <f t="shared" si="416"/>
        <v>0.78999999999999992</v>
      </c>
      <c r="BN76" s="55">
        <f t="shared" si="416"/>
        <v>0.76999999999999991</v>
      </c>
      <c r="BO76" s="55">
        <f t="shared" si="416"/>
        <v>0.74999999999999989</v>
      </c>
      <c r="BP76" s="55">
        <f t="shared" si="416"/>
        <v>0.72999999999999987</v>
      </c>
      <c r="BQ76" s="55">
        <f t="shared" si="416"/>
        <v>0.70999999999999985</v>
      </c>
      <c r="BR76" s="55">
        <f t="shared" si="416"/>
        <v>0.68999999999999984</v>
      </c>
      <c r="BS76" s="55">
        <f t="shared" si="416"/>
        <v>0.66999999999999982</v>
      </c>
      <c r="BT76" s="55">
        <f t="shared" si="416"/>
        <v>0.6499999999999998</v>
      </c>
      <c r="BU76" s="55">
        <f t="shared" si="416"/>
        <v>0.62999999999999978</v>
      </c>
      <c r="BV76" s="55">
        <f t="shared" si="416"/>
        <v>0.60999999999999976</v>
      </c>
      <c r="BW76" s="55">
        <f t="shared" si="416"/>
        <v>0.58999999999999975</v>
      </c>
      <c r="BX76" s="55">
        <f t="shared" si="416"/>
        <v>0.56999999999999973</v>
      </c>
      <c r="BZ76" s="55">
        <f t="shared" si="88"/>
        <v>0</v>
      </c>
      <c r="CA76" s="55">
        <f t="shared" si="89"/>
        <v>0</v>
      </c>
      <c r="CB76" s="59">
        <f t="shared" si="417"/>
        <v>0</v>
      </c>
      <c r="CC76" s="55">
        <f t="shared" si="418"/>
        <v>0</v>
      </c>
      <c r="CD76" s="59">
        <f t="shared" si="419"/>
        <v>0</v>
      </c>
      <c r="CE76" s="55">
        <f t="shared" si="420"/>
        <v>0</v>
      </c>
      <c r="CF76" s="59">
        <f t="shared" si="421"/>
        <v>0</v>
      </c>
      <c r="CG76" s="55">
        <f t="shared" si="422"/>
        <v>0</v>
      </c>
      <c r="CH76" s="59">
        <f t="shared" si="423"/>
        <v>0</v>
      </c>
      <c r="CI76" s="57">
        <f t="shared" si="424"/>
        <v>0</v>
      </c>
      <c r="CJ76" s="59">
        <f t="shared" si="425"/>
        <v>0</v>
      </c>
      <c r="CK76" s="55">
        <f t="shared" si="426"/>
        <v>0</v>
      </c>
      <c r="CL76" s="59">
        <f t="shared" si="427"/>
        <v>0</v>
      </c>
      <c r="CM76" s="57">
        <f t="shared" si="428"/>
        <v>0</v>
      </c>
      <c r="CN76" s="59">
        <f t="shared" si="429"/>
        <v>0</v>
      </c>
      <c r="CO76" s="60">
        <f t="shared" si="430"/>
        <v>0</v>
      </c>
      <c r="CP76" s="59">
        <f t="shared" si="431"/>
        <v>0</v>
      </c>
      <c r="CQ76" s="57">
        <f t="shared" si="432"/>
        <v>0</v>
      </c>
      <c r="CR76" s="59">
        <f t="shared" si="433"/>
        <v>0</v>
      </c>
      <c r="CS76" s="55">
        <f t="shared" si="434"/>
        <v>0</v>
      </c>
      <c r="CT76" s="59">
        <f t="shared" si="435"/>
        <v>0</v>
      </c>
      <c r="CU76" s="60">
        <f t="shared" si="436"/>
        <v>0</v>
      </c>
      <c r="CV76" s="59">
        <f t="shared" si="437"/>
        <v>0</v>
      </c>
      <c r="CW76" s="60">
        <f t="shared" si="438"/>
        <v>0</v>
      </c>
      <c r="CX76" s="59">
        <f t="shared" si="439"/>
        <v>0</v>
      </c>
      <c r="CY76" s="60">
        <f t="shared" si="440"/>
        <v>0</v>
      </c>
      <c r="CZ76" s="59">
        <f t="shared" si="441"/>
        <v>0</v>
      </c>
      <c r="DA76" s="55">
        <f t="shared" si="442"/>
        <v>0</v>
      </c>
      <c r="DB76" s="59">
        <f t="shared" si="443"/>
        <v>0</v>
      </c>
      <c r="DC76" s="60">
        <f t="shared" si="444"/>
        <v>0</v>
      </c>
      <c r="DD76" s="59">
        <f t="shared" si="445"/>
        <v>0</v>
      </c>
      <c r="DE76" s="60">
        <f t="shared" si="446"/>
        <v>0</v>
      </c>
      <c r="DF76" s="59">
        <f t="shared" si="447"/>
        <v>0</v>
      </c>
      <c r="DG76" s="60">
        <f t="shared" si="448"/>
        <v>0</v>
      </c>
      <c r="DH76" s="59">
        <f t="shared" si="449"/>
        <v>0</v>
      </c>
      <c r="DI76" s="60">
        <f t="shared" si="450"/>
        <v>0</v>
      </c>
      <c r="DJ76" s="59">
        <f t="shared" si="451"/>
        <v>0</v>
      </c>
      <c r="DK76" s="55">
        <f t="shared" si="452"/>
        <v>0</v>
      </c>
      <c r="DL76" s="59">
        <f t="shared" si="453"/>
        <v>0</v>
      </c>
      <c r="DM76" s="60">
        <f t="shared" si="454"/>
        <v>0</v>
      </c>
      <c r="DN76" s="59">
        <f t="shared" si="455"/>
        <v>0</v>
      </c>
      <c r="DO76" s="60">
        <f t="shared" si="456"/>
        <v>0</v>
      </c>
      <c r="DP76" s="59">
        <f t="shared" si="457"/>
        <v>0</v>
      </c>
      <c r="DQ76" s="55">
        <f t="shared" si="458"/>
        <v>0</v>
      </c>
      <c r="DR76" s="59">
        <f t="shared" si="459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505"/>
        <v>0.91</v>
      </c>
      <c r="DZ76" s="55">
        <f t="shared" si="505"/>
        <v>0.89</v>
      </c>
      <c r="EA76" s="55">
        <f t="shared" si="505"/>
        <v>0.87</v>
      </c>
      <c r="EB76" s="55">
        <f t="shared" si="505"/>
        <v>0.85</v>
      </c>
      <c r="EC76" s="55">
        <f t="shared" si="505"/>
        <v>0.83</v>
      </c>
      <c r="ED76" s="55">
        <f t="shared" si="505"/>
        <v>0.80999999999999994</v>
      </c>
      <c r="EE76" s="55">
        <f t="shared" si="505"/>
        <v>0.78999999999999992</v>
      </c>
      <c r="EF76" s="55">
        <f t="shared" si="505"/>
        <v>0.76999999999999991</v>
      </c>
      <c r="EG76" s="55">
        <f t="shared" si="505"/>
        <v>0.74999999999999989</v>
      </c>
      <c r="EH76" s="55">
        <f t="shared" si="505"/>
        <v>0.72999999999999987</v>
      </c>
      <c r="EI76" s="55">
        <f t="shared" si="505"/>
        <v>0.70999999999999985</v>
      </c>
      <c r="EJ76" s="55">
        <f t="shared" si="505"/>
        <v>0.68999999999999984</v>
      </c>
      <c r="EK76" s="55">
        <f t="shared" si="505"/>
        <v>0.66999999999999982</v>
      </c>
      <c r="EL76" s="55">
        <f t="shared" si="505"/>
        <v>0.6499999999999998</v>
      </c>
      <c r="EM76" s="55">
        <f t="shared" si="505"/>
        <v>0.62999999999999978</v>
      </c>
      <c r="EN76" s="55">
        <f t="shared" si="505"/>
        <v>0.60999999999999976</v>
      </c>
      <c r="EO76" s="55">
        <f t="shared" si="505"/>
        <v>0.58999999999999975</v>
      </c>
      <c r="EP76" s="55">
        <f t="shared" si="505"/>
        <v>0.56999999999999973</v>
      </c>
      <c r="ER76" s="55">
        <f t="shared" si="142"/>
        <v>0</v>
      </c>
      <c r="ES76" s="55">
        <f t="shared" si="116"/>
        <v>0</v>
      </c>
      <c r="ET76" s="59">
        <f t="shared" si="461"/>
        <v>0</v>
      </c>
      <c r="EU76" s="55">
        <f t="shared" si="462"/>
        <v>0</v>
      </c>
      <c r="EV76" s="59">
        <f t="shared" si="463"/>
        <v>0</v>
      </c>
      <c r="EW76" s="55">
        <f t="shared" si="464"/>
        <v>0</v>
      </c>
      <c r="EX76" s="59">
        <f t="shared" si="465"/>
        <v>0</v>
      </c>
      <c r="EY76" s="55">
        <f t="shared" si="466"/>
        <v>0</v>
      </c>
      <c r="EZ76" s="59">
        <f t="shared" si="467"/>
        <v>0</v>
      </c>
      <c r="FA76" s="57">
        <f t="shared" si="468"/>
        <v>0</v>
      </c>
      <c r="FB76" s="59">
        <f t="shared" si="469"/>
        <v>0</v>
      </c>
      <c r="FC76" s="55">
        <f t="shared" si="470"/>
        <v>0</v>
      </c>
      <c r="FD76" s="59">
        <f t="shared" si="471"/>
        <v>0</v>
      </c>
      <c r="FE76" s="57">
        <f t="shared" si="472"/>
        <v>0</v>
      </c>
      <c r="FF76" s="59">
        <f t="shared" si="473"/>
        <v>0</v>
      </c>
      <c r="FG76" s="60">
        <f t="shared" si="474"/>
        <v>0</v>
      </c>
      <c r="FH76" s="59">
        <f t="shared" si="475"/>
        <v>0</v>
      </c>
      <c r="FI76" s="57">
        <f t="shared" si="476"/>
        <v>0</v>
      </c>
      <c r="FJ76" s="59">
        <f t="shared" si="477"/>
        <v>0</v>
      </c>
      <c r="FK76" s="55">
        <f t="shared" si="478"/>
        <v>0</v>
      </c>
      <c r="FL76" s="59">
        <f t="shared" si="479"/>
        <v>0</v>
      </c>
      <c r="FM76" s="60">
        <f t="shared" si="480"/>
        <v>0</v>
      </c>
      <c r="FN76" s="59">
        <f t="shared" si="481"/>
        <v>0</v>
      </c>
      <c r="FO76" s="60">
        <f t="shared" si="482"/>
        <v>0</v>
      </c>
      <c r="FP76" s="59">
        <f t="shared" si="483"/>
        <v>0</v>
      </c>
      <c r="FQ76" s="60">
        <f t="shared" si="484"/>
        <v>0</v>
      </c>
      <c r="FR76" s="59">
        <f t="shared" si="485"/>
        <v>0</v>
      </c>
      <c r="FS76" s="55">
        <f t="shared" si="486"/>
        <v>0</v>
      </c>
      <c r="FT76" s="59">
        <f t="shared" si="487"/>
        <v>0</v>
      </c>
      <c r="FU76" s="60">
        <f t="shared" si="488"/>
        <v>0</v>
      </c>
      <c r="FV76" s="59">
        <f t="shared" si="489"/>
        <v>0</v>
      </c>
      <c r="FW76" s="60">
        <f t="shared" si="490"/>
        <v>0</v>
      </c>
      <c r="FX76" s="59">
        <f t="shared" si="491"/>
        <v>0</v>
      </c>
      <c r="FY76" s="60">
        <f t="shared" si="492"/>
        <v>0</v>
      </c>
      <c r="FZ76" s="59">
        <f t="shared" si="493"/>
        <v>0</v>
      </c>
      <c r="GA76" s="60">
        <f t="shared" si="494"/>
        <v>0</v>
      </c>
      <c r="GB76" s="59">
        <f t="shared" si="495"/>
        <v>0</v>
      </c>
      <c r="GC76" s="55">
        <f t="shared" si="496"/>
        <v>0</v>
      </c>
      <c r="GD76" s="59">
        <f t="shared" si="497"/>
        <v>0</v>
      </c>
      <c r="GE76" s="60">
        <f t="shared" si="498"/>
        <v>0</v>
      </c>
      <c r="GF76" s="59">
        <f t="shared" si="499"/>
        <v>0</v>
      </c>
      <c r="GG76" s="60">
        <f t="shared" si="500"/>
        <v>0</v>
      </c>
      <c r="GH76" s="59">
        <f t="shared" si="501"/>
        <v>0</v>
      </c>
      <c r="GI76" s="55">
        <f t="shared" si="502"/>
        <v>0</v>
      </c>
      <c r="GJ76" s="59">
        <f t="shared" si="503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506"/>
        <v>0.91</v>
      </c>
      <c r="GR76" s="55">
        <f t="shared" si="506"/>
        <v>0.89</v>
      </c>
      <c r="GS76" s="55">
        <f t="shared" si="506"/>
        <v>0.87</v>
      </c>
      <c r="GT76" s="55">
        <f t="shared" si="506"/>
        <v>0.85</v>
      </c>
      <c r="GU76" s="55">
        <f t="shared" si="506"/>
        <v>0.83</v>
      </c>
      <c r="GV76" s="55">
        <f t="shared" si="506"/>
        <v>0.80999999999999994</v>
      </c>
      <c r="GW76" s="55">
        <f t="shared" si="506"/>
        <v>0.78999999999999992</v>
      </c>
      <c r="GX76" s="55">
        <f t="shared" si="506"/>
        <v>0.76999999999999991</v>
      </c>
      <c r="GY76" s="55">
        <f t="shared" si="506"/>
        <v>0.74999999999999989</v>
      </c>
      <c r="GZ76" s="55">
        <f t="shared" si="506"/>
        <v>0.72999999999999987</v>
      </c>
      <c r="HA76" s="55">
        <f t="shared" si="506"/>
        <v>0.70999999999999985</v>
      </c>
      <c r="HB76" s="55">
        <f t="shared" si="506"/>
        <v>0.68999999999999984</v>
      </c>
      <c r="HC76" s="55">
        <f t="shared" si="506"/>
        <v>0.66999999999999982</v>
      </c>
      <c r="HD76" s="55">
        <f t="shared" si="506"/>
        <v>0.6499999999999998</v>
      </c>
      <c r="HE76" s="55">
        <f t="shared" si="506"/>
        <v>0.62999999999999978</v>
      </c>
      <c r="HF76" s="55">
        <f t="shared" si="506"/>
        <v>0.60999999999999976</v>
      </c>
      <c r="HG76" s="55">
        <f t="shared" si="506"/>
        <v>0.58999999999999975</v>
      </c>
      <c r="HH76" s="55">
        <f t="shared" si="506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72"/>
        <v>0</v>
      </c>
      <c r="H77" s="55">
        <f t="shared" si="373"/>
        <v>0</v>
      </c>
      <c r="I77" s="55">
        <f t="shared" si="62"/>
        <v>0</v>
      </c>
      <c r="J77" s="59">
        <f t="shared" si="63"/>
        <v>0</v>
      </c>
      <c r="K77" s="55">
        <f t="shared" si="374"/>
        <v>0</v>
      </c>
      <c r="L77" s="59">
        <f t="shared" si="375"/>
        <v>0</v>
      </c>
      <c r="M77" s="55">
        <f t="shared" si="376"/>
        <v>0</v>
      </c>
      <c r="N77" s="59">
        <f t="shared" si="377"/>
        <v>0</v>
      </c>
      <c r="O77" s="55">
        <f t="shared" si="378"/>
        <v>0</v>
      </c>
      <c r="P77" s="59">
        <f t="shared" si="379"/>
        <v>0</v>
      </c>
      <c r="Q77" s="57">
        <f t="shared" si="380"/>
        <v>0</v>
      </c>
      <c r="R77" s="59">
        <f t="shared" si="381"/>
        <v>0</v>
      </c>
      <c r="S77" s="55">
        <f t="shared" si="382"/>
        <v>0</v>
      </c>
      <c r="T77" s="59">
        <f t="shared" si="383"/>
        <v>0</v>
      </c>
      <c r="U77" s="57">
        <f t="shared" si="384"/>
        <v>0</v>
      </c>
      <c r="V77" s="59">
        <f t="shared" si="385"/>
        <v>0</v>
      </c>
      <c r="W77" s="60">
        <f t="shared" si="386"/>
        <v>0</v>
      </c>
      <c r="X77" s="59">
        <f t="shared" si="387"/>
        <v>0</v>
      </c>
      <c r="Y77" s="57">
        <f t="shared" si="388"/>
        <v>0</v>
      </c>
      <c r="Z77" s="59">
        <f t="shared" si="389"/>
        <v>0</v>
      </c>
      <c r="AA77" s="55">
        <f t="shared" si="390"/>
        <v>0</v>
      </c>
      <c r="AB77" s="59">
        <f t="shared" si="391"/>
        <v>0</v>
      </c>
      <c r="AC77" s="60">
        <f t="shared" si="392"/>
        <v>0</v>
      </c>
      <c r="AD77" s="59">
        <f t="shared" si="393"/>
        <v>0</v>
      </c>
      <c r="AE77" s="60">
        <f t="shared" si="394"/>
        <v>0</v>
      </c>
      <c r="AF77" s="59">
        <f t="shared" si="395"/>
        <v>0</v>
      </c>
      <c r="AG77" s="60">
        <f t="shared" si="396"/>
        <v>0</v>
      </c>
      <c r="AH77" s="59">
        <f t="shared" si="397"/>
        <v>0</v>
      </c>
      <c r="AI77" s="55">
        <f t="shared" si="398"/>
        <v>0</v>
      </c>
      <c r="AJ77" s="59">
        <f t="shared" si="399"/>
        <v>0</v>
      </c>
      <c r="AK77" s="60">
        <f t="shared" si="400"/>
        <v>0</v>
      </c>
      <c r="AL77" s="59">
        <f t="shared" si="401"/>
        <v>0</v>
      </c>
      <c r="AM77" s="60">
        <f t="shared" si="402"/>
        <v>0</v>
      </c>
      <c r="AN77" s="59">
        <f t="shared" si="403"/>
        <v>0</v>
      </c>
      <c r="AO77" s="60">
        <f t="shared" si="404"/>
        <v>0</v>
      </c>
      <c r="AP77" s="59">
        <f t="shared" si="405"/>
        <v>0</v>
      </c>
      <c r="AQ77" s="60">
        <f t="shared" si="406"/>
        <v>0</v>
      </c>
      <c r="AR77" s="59">
        <f t="shared" si="407"/>
        <v>0</v>
      </c>
      <c r="AS77" s="55">
        <f t="shared" si="408"/>
        <v>0</v>
      </c>
      <c r="AT77" s="59">
        <f t="shared" si="409"/>
        <v>0</v>
      </c>
      <c r="AU77" s="60">
        <f t="shared" si="410"/>
        <v>0</v>
      </c>
      <c r="AV77" s="59">
        <f t="shared" si="411"/>
        <v>0</v>
      </c>
      <c r="AW77" s="60">
        <f t="shared" si="412"/>
        <v>0</v>
      </c>
      <c r="AX77" s="59">
        <f t="shared" si="413"/>
        <v>0</v>
      </c>
      <c r="AY77" s="55">
        <f t="shared" si="414"/>
        <v>0</v>
      </c>
      <c r="AZ77" s="59">
        <f t="shared" si="415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16"/>
        <v>0.91</v>
      </c>
      <c r="BH77" s="55">
        <f t="shared" si="416"/>
        <v>0.89</v>
      </c>
      <c r="BI77" s="55">
        <f t="shared" si="416"/>
        <v>0.87</v>
      </c>
      <c r="BJ77" s="55">
        <f t="shared" ref="BJ77:BX77" si="507">+BI77-0.02</f>
        <v>0.85</v>
      </c>
      <c r="BK77" s="55">
        <f t="shared" si="507"/>
        <v>0.83</v>
      </c>
      <c r="BL77" s="55">
        <f t="shared" si="507"/>
        <v>0.80999999999999994</v>
      </c>
      <c r="BM77" s="55">
        <f t="shared" si="507"/>
        <v>0.78999999999999992</v>
      </c>
      <c r="BN77" s="55">
        <f t="shared" si="507"/>
        <v>0.76999999999999991</v>
      </c>
      <c r="BO77" s="55">
        <f t="shared" si="507"/>
        <v>0.74999999999999989</v>
      </c>
      <c r="BP77" s="55">
        <f t="shared" si="507"/>
        <v>0.72999999999999987</v>
      </c>
      <c r="BQ77" s="55">
        <f t="shared" si="507"/>
        <v>0.70999999999999985</v>
      </c>
      <c r="BR77" s="55">
        <f t="shared" si="507"/>
        <v>0.68999999999999984</v>
      </c>
      <c r="BS77" s="55">
        <f t="shared" si="507"/>
        <v>0.66999999999999982</v>
      </c>
      <c r="BT77" s="55">
        <f t="shared" si="507"/>
        <v>0.6499999999999998</v>
      </c>
      <c r="BU77" s="55">
        <f t="shared" si="507"/>
        <v>0.62999999999999978</v>
      </c>
      <c r="BV77" s="55">
        <f t="shared" si="507"/>
        <v>0.60999999999999976</v>
      </c>
      <c r="BW77" s="55">
        <f t="shared" si="507"/>
        <v>0.58999999999999975</v>
      </c>
      <c r="BX77" s="55">
        <f t="shared" si="507"/>
        <v>0.56999999999999973</v>
      </c>
      <c r="BZ77" s="55">
        <f t="shared" si="88"/>
        <v>0</v>
      </c>
      <c r="CA77" s="55">
        <f t="shared" si="89"/>
        <v>0</v>
      </c>
      <c r="CB77" s="59">
        <f t="shared" si="417"/>
        <v>0</v>
      </c>
      <c r="CC77" s="55">
        <f t="shared" si="418"/>
        <v>0</v>
      </c>
      <c r="CD77" s="59">
        <f t="shared" si="419"/>
        <v>0</v>
      </c>
      <c r="CE77" s="55">
        <f t="shared" si="420"/>
        <v>0</v>
      </c>
      <c r="CF77" s="59">
        <f t="shared" si="421"/>
        <v>0</v>
      </c>
      <c r="CG77" s="55">
        <f t="shared" si="422"/>
        <v>0</v>
      </c>
      <c r="CH77" s="59">
        <f t="shared" si="423"/>
        <v>0</v>
      </c>
      <c r="CI77" s="57">
        <f t="shared" si="424"/>
        <v>0</v>
      </c>
      <c r="CJ77" s="59">
        <f t="shared" si="425"/>
        <v>0</v>
      </c>
      <c r="CK77" s="55">
        <f t="shared" si="426"/>
        <v>0</v>
      </c>
      <c r="CL77" s="59">
        <f t="shared" si="427"/>
        <v>0</v>
      </c>
      <c r="CM77" s="57">
        <f t="shared" si="428"/>
        <v>0</v>
      </c>
      <c r="CN77" s="59">
        <f t="shared" si="429"/>
        <v>0</v>
      </c>
      <c r="CO77" s="60">
        <f t="shared" si="430"/>
        <v>0</v>
      </c>
      <c r="CP77" s="59">
        <f t="shared" si="431"/>
        <v>0</v>
      </c>
      <c r="CQ77" s="57">
        <f t="shared" si="432"/>
        <v>0</v>
      </c>
      <c r="CR77" s="59">
        <f t="shared" si="433"/>
        <v>0</v>
      </c>
      <c r="CS77" s="55">
        <f t="shared" si="434"/>
        <v>0</v>
      </c>
      <c r="CT77" s="59">
        <f t="shared" si="435"/>
        <v>0</v>
      </c>
      <c r="CU77" s="60">
        <f t="shared" si="436"/>
        <v>0</v>
      </c>
      <c r="CV77" s="59">
        <f t="shared" si="437"/>
        <v>0</v>
      </c>
      <c r="CW77" s="60">
        <f t="shared" si="438"/>
        <v>0</v>
      </c>
      <c r="CX77" s="59">
        <f t="shared" si="439"/>
        <v>0</v>
      </c>
      <c r="CY77" s="60">
        <f t="shared" si="440"/>
        <v>0</v>
      </c>
      <c r="CZ77" s="59">
        <f t="shared" si="441"/>
        <v>0</v>
      </c>
      <c r="DA77" s="55">
        <f t="shared" si="442"/>
        <v>0</v>
      </c>
      <c r="DB77" s="59">
        <f t="shared" si="443"/>
        <v>0</v>
      </c>
      <c r="DC77" s="60">
        <f t="shared" si="444"/>
        <v>0</v>
      </c>
      <c r="DD77" s="59">
        <f t="shared" si="445"/>
        <v>0</v>
      </c>
      <c r="DE77" s="60">
        <f t="shared" si="446"/>
        <v>0</v>
      </c>
      <c r="DF77" s="59">
        <f t="shared" si="447"/>
        <v>0</v>
      </c>
      <c r="DG77" s="60">
        <f t="shared" si="448"/>
        <v>0</v>
      </c>
      <c r="DH77" s="59">
        <f t="shared" si="449"/>
        <v>0</v>
      </c>
      <c r="DI77" s="60">
        <f t="shared" si="450"/>
        <v>0</v>
      </c>
      <c r="DJ77" s="59">
        <f t="shared" si="451"/>
        <v>0</v>
      </c>
      <c r="DK77" s="55">
        <f t="shared" si="452"/>
        <v>0</v>
      </c>
      <c r="DL77" s="59">
        <f t="shared" si="453"/>
        <v>0</v>
      </c>
      <c r="DM77" s="60">
        <f t="shared" si="454"/>
        <v>0</v>
      </c>
      <c r="DN77" s="59">
        <f t="shared" si="455"/>
        <v>0</v>
      </c>
      <c r="DO77" s="60">
        <f t="shared" si="456"/>
        <v>0</v>
      </c>
      <c r="DP77" s="59">
        <f t="shared" si="457"/>
        <v>0</v>
      </c>
      <c r="DQ77" s="55">
        <f t="shared" si="458"/>
        <v>0</v>
      </c>
      <c r="DR77" s="59">
        <f t="shared" si="459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505"/>
        <v>0.91</v>
      </c>
      <c r="DZ77" s="55">
        <f t="shared" si="505"/>
        <v>0.89</v>
      </c>
      <c r="EA77" s="55">
        <f t="shared" si="505"/>
        <v>0.87</v>
      </c>
      <c r="EB77" s="55">
        <f t="shared" si="505"/>
        <v>0.85</v>
      </c>
      <c r="EC77" s="55">
        <f t="shared" si="505"/>
        <v>0.83</v>
      </c>
      <c r="ED77" s="55">
        <f t="shared" si="505"/>
        <v>0.80999999999999994</v>
      </c>
      <c r="EE77" s="55">
        <f t="shared" si="505"/>
        <v>0.78999999999999992</v>
      </c>
      <c r="EF77" s="55">
        <f t="shared" si="505"/>
        <v>0.76999999999999991</v>
      </c>
      <c r="EG77" s="55">
        <f t="shared" si="505"/>
        <v>0.74999999999999989</v>
      </c>
      <c r="EH77" s="55">
        <f t="shared" si="505"/>
        <v>0.72999999999999987</v>
      </c>
      <c r="EI77" s="55">
        <f t="shared" si="505"/>
        <v>0.70999999999999985</v>
      </c>
      <c r="EJ77" s="55">
        <f t="shared" si="505"/>
        <v>0.68999999999999984</v>
      </c>
      <c r="EK77" s="55">
        <f t="shared" si="505"/>
        <v>0.66999999999999982</v>
      </c>
      <c r="EL77" s="55">
        <f t="shared" si="505"/>
        <v>0.6499999999999998</v>
      </c>
      <c r="EM77" s="55">
        <f t="shared" si="505"/>
        <v>0.62999999999999978</v>
      </c>
      <c r="EN77" s="55">
        <f t="shared" si="505"/>
        <v>0.60999999999999976</v>
      </c>
      <c r="EO77" s="55">
        <f t="shared" si="505"/>
        <v>0.58999999999999975</v>
      </c>
      <c r="EP77" s="55">
        <f t="shared" si="505"/>
        <v>0.56999999999999973</v>
      </c>
      <c r="ER77" s="55">
        <f t="shared" si="142"/>
        <v>0</v>
      </c>
      <c r="ES77" s="55">
        <f t="shared" si="116"/>
        <v>0</v>
      </c>
      <c r="ET77" s="59">
        <f t="shared" si="461"/>
        <v>0</v>
      </c>
      <c r="EU77" s="55">
        <f t="shared" si="462"/>
        <v>0</v>
      </c>
      <c r="EV77" s="59">
        <f t="shared" si="463"/>
        <v>0</v>
      </c>
      <c r="EW77" s="55">
        <f t="shared" si="464"/>
        <v>0</v>
      </c>
      <c r="EX77" s="59">
        <f t="shared" si="465"/>
        <v>0</v>
      </c>
      <c r="EY77" s="55">
        <f t="shared" si="466"/>
        <v>0</v>
      </c>
      <c r="EZ77" s="59">
        <f t="shared" si="467"/>
        <v>0</v>
      </c>
      <c r="FA77" s="57">
        <f t="shared" si="468"/>
        <v>0</v>
      </c>
      <c r="FB77" s="59">
        <f t="shared" si="469"/>
        <v>0</v>
      </c>
      <c r="FC77" s="55">
        <f t="shared" si="470"/>
        <v>0</v>
      </c>
      <c r="FD77" s="59">
        <f t="shared" si="471"/>
        <v>0</v>
      </c>
      <c r="FE77" s="57">
        <f t="shared" si="472"/>
        <v>0</v>
      </c>
      <c r="FF77" s="59">
        <f t="shared" si="473"/>
        <v>0</v>
      </c>
      <c r="FG77" s="60">
        <f t="shared" si="474"/>
        <v>0</v>
      </c>
      <c r="FH77" s="59">
        <f t="shared" si="475"/>
        <v>0</v>
      </c>
      <c r="FI77" s="57">
        <f t="shared" si="476"/>
        <v>0</v>
      </c>
      <c r="FJ77" s="59">
        <f t="shared" si="477"/>
        <v>0</v>
      </c>
      <c r="FK77" s="55">
        <f t="shared" si="478"/>
        <v>0</v>
      </c>
      <c r="FL77" s="59">
        <f t="shared" si="479"/>
        <v>0</v>
      </c>
      <c r="FM77" s="60">
        <f t="shared" si="480"/>
        <v>0</v>
      </c>
      <c r="FN77" s="59">
        <f t="shared" si="481"/>
        <v>0</v>
      </c>
      <c r="FO77" s="60">
        <f t="shared" si="482"/>
        <v>0</v>
      </c>
      <c r="FP77" s="59">
        <f t="shared" si="483"/>
        <v>0</v>
      </c>
      <c r="FQ77" s="60">
        <f t="shared" si="484"/>
        <v>0</v>
      </c>
      <c r="FR77" s="59">
        <f t="shared" si="485"/>
        <v>0</v>
      </c>
      <c r="FS77" s="55">
        <f t="shared" si="486"/>
        <v>0</v>
      </c>
      <c r="FT77" s="59">
        <f t="shared" si="487"/>
        <v>0</v>
      </c>
      <c r="FU77" s="60">
        <f t="shared" si="488"/>
        <v>0</v>
      </c>
      <c r="FV77" s="59">
        <f t="shared" si="489"/>
        <v>0</v>
      </c>
      <c r="FW77" s="60">
        <f t="shared" si="490"/>
        <v>0</v>
      </c>
      <c r="FX77" s="59">
        <f t="shared" si="491"/>
        <v>0</v>
      </c>
      <c r="FY77" s="60">
        <f t="shared" si="492"/>
        <v>0</v>
      </c>
      <c r="FZ77" s="59">
        <f t="shared" si="493"/>
        <v>0</v>
      </c>
      <c r="GA77" s="60">
        <f t="shared" si="494"/>
        <v>0</v>
      </c>
      <c r="GB77" s="59">
        <f t="shared" si="495"/>
        <v>0</v>
      </c>
      <c r="GC77" s="55">
        <f t="shared" si="496"/>
        <v>0</v>
      </c>
      <c r="GD77" s="59">
        <f t="shared" si="497"/>
        <v>0</v>
      </c>
      <c r="GE77" s="60">
        <f t="shared" si="498"/>
        <v>0</v>
      </c>
      <c r="GF77" s="59">
        <f t="shared" si="499"/>
        <v>0</v>
      </c>
      <c r="GG77" s="60">
        <f t="shared" si="500"/>
        <v>0</v>
      </c>
      <c r="GH77" s="59">
        <f t="shared" si="501"/>
        <v>0</v>
      </c>
      <c r="GI77" s="55">
        <f t="shared" si="502"/>
        <v>0</v>
      </c>
      <c r="GJ77" s="59">
        <f t="shared" si="503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506"/>
        <v>0.91</v>
      </c>
      <c r="GR77" s="55">
        <f t="shared" si="506"/>
        <v>0.89</v>
      </c>
      <c r="GS77" s="55">
        <f t="shared" si="506"/>
        <v>0.87</v>
      </c>
      <c r="GT77" s="55">
        <f t="shared" si="506"/>
        <v>0.85</v>
      </c>
      <c r="GU77" s="55">
        <f t="shared" si="506"/>
        <v>0.83</v>
      </c>
      <c r="GV77" s="55">
        <f t="shared" si="506"/>
        <v>0.80999999999999994</v>
      </c>
      <c r="GW77" s="55">
        <f t="shared" si="506"/>
        <v>0.78999999999999992</v>
      </c>
      <c r="GX77" s="55">
        <f t="shared" si="506"/>
        <v>0.76999999999999991</v>
      </c>
      <c r="GY77" s="55">
        <f t="shared" si="506"/>
        <v>0.74999999999999989</v>
      </c>
      <c r="GZ77" s="55">
        <f t="shared" si="506"/>
        <v>0.72999999999999987</v>
      </c>
      <c r="HA77" s="55">
        <f t="shared" si="506"/>
        <v>0.70999999999999985</v>
      </c>
      <c r="HB77" s="55">
        <f t="shared" si="506"/>
        <v>0.68999999999999984</v>
      </c>
      <c r="HC77" s="55">
        <f t="shared" si="506"/>
        <v>0.66999999999999982</v>
      </c>
      <c r="HD77" s="55">
        <f t="shared" si="506"/>
        <v>0.6499999999999998</v>
      </c>
      <c r="HE77" s="55">
        <f t="shared" si="506"/>
        <v>0.62999999999999978</v>
      </c>
      <c r="HF77" s="55">
        <f t="shared" si="506"/>
        <v>0.60999999999999976</v>
      </c>
      <c r="HG77" s="55">
        <f t="shared" si="506"/>
        <v>0.58999999999999975</v>
      </c>
      <c r="HH77" s="55">
        <f t="shared" si="506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72"/>
        <v>0</v>
      </c>
      <c r="H78" s="55">
        <f t="shared" si="373"/>
        <v>0</v>
      </c>
      <c r="I78" s="55">
        <f t="shared" si="62"/>
        <v>0</v>
      </c>
      <c r="J78" s="59">
        <f t="shared" si="63"/>
        <v>0</v>
      </c>
      <c r="K78" s="55">
        <f t="shared" si="374"/>
        <v>0</v>
      </c>
      <c r="L78" s="59">
        <f t="shared" si="375"/>
        <v>0</v>
      </c>
      <c r="M78" s="55">
        <f t="shared" si="376"/>
        <v>0</v>
      </c>
      <c r="N78" s="59">
        <f t="shared" si="377"/>
        <v>0</v>
      </c>
      <c r="O78" s="55">
        <f t="shared" si="378"/>
        <v>0</v>
      </c>
      <c r="P78" s="59">
        <f t="shared" si="379"/>
        <v>0</v>
      </c>
      <c r="Q78" s="57">
        <f t="shared" si="380"/>
        <v>0</v>
      </c>
      <c r="R78" s="59">
        <f t="shared" si="381"/>
        <v>0</v>
      </c>
      <c r="S78" s="55">
        <f t="shared" si="382"/>
        <v>0</v>
      </c>
      <c r="T78" s="59">
        <f t="shared" si="383"/>
        <v>0</v>
      </c>
      <c r="U78" s="57">
        <f t="shared" si="384"/>
        <v>0</v>
      </c>
      <c r="V78" s="59">
        <f t="shared" si="385"/>
        <v>0</v>
      </c>
      <c r="W78" s="60">
        <f t="shared" si="386"/>
        <v>0</v>
      </c>
      <c r="X78" s="59">
        <f t="shared" si="387"/>
        <v>0</v>
      </c>
      <c r="Y78" s="57">
        <f t="shared" si="388"/>
        <v>0</v>
      </c>
      <c r="Z78" s="59">
        <f t="shared" si="389"/>
        <v>0</v>
      </c>
      <c r="AA78" s="55">
        <f t="shared" si="390"/>
        <v>0</v>
      </c>
      <c r="AB78" s="59">
        <f t="shared" si="391"/>
        <v>0</v>
      </c>
      <c r="AC78" s="60">
        <f t="shared" si="392"/>
        <v>0</v>
      </c>
      <c r="AD78" s="59">
        <f t="shared" si="393"/>
        <v>0</v>
      </c>
      <c r="AE78" s="60">
        <f t="shared" si="394"/>
        <v>0</v>
      </c>
      <c r="AF78" s="59">
        <f t="shared" si="395"/>
        <v>0</v>
      </c>
      <c r="AG78" s="60">
        <f t="shared" si="396"/>
        <v>0</v>
      </c>
      <c r="AH78" s="59">
        <f t="shared" si="397"/>
        <v>0</v>
      </c>
      <c r="AI78" s="55">
        <f t="shared" si="398"/>
        <v>0</v>
      </c>
      <c r="AJ78" s="59">
        <f t="shared" si="399"/>
        <v>0</v>
      </c>
      <c r="AK78" s="60">
        <f t="shared" si="400"/>
        <v>0</v>
      </c>
      <c r="AL78" s="59">
        <f t="shared" si="401"/>
        <v>0</v>
      </c>
      <c r="AM78" s="60">
        <f t="shared" si="402"/>
        <v>0</v>
      </c>
      <c r="AN78" s="59">
        <f t="shared" si="403"/>
        <v>0</v>
      </c>
      <c r="AO78" s="60">
        <f t="shared" si="404"/>
        <v>0</v>
      </c>
      <c r="AP78" s="59">
        <f t="shared" si="405"/>
        <v>0</v>
      </c>
      <c r="AQ78" s="60">
        <f t="shared" si="406"/>
        <v>0</v>
      </c>
      <c r="AR78" s="59">
        <f t="shared" si="407"/>
        <v>0</v>
      </c>
      <c r="AS78" s="55">
        <f t="shared" si="408"/>
        <v>0</v>
      </c>
      <c r="AT78" s="59">
        <f t="shared" si="409"/>
        <v>0</v>
      </c>
      <c r="AU78" s="60">
        <f t="shared" si="410"/>
        <v>0</v>
      </c>
      <c r="AV78" s="59">
        <f t="shared" si="411"/>
        <v>0</v>
      </c>
      <c r="AW78" s="60">
        <f t="shared" si="412"/>
        <v>0</v>
      </c>
      <c r="AX78" s="59">
        <f t="shared" si="413"/>
        <v>0</v>
      </c>
      <c r="AY78" s="55">
        <f t="shared" si="414"/>
        <v>0</v>
      </c>
      <c r="AZ78" s="59">
        <f t="shared" si="415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8">+BF78-0.02</f>
        <v>0.91</v>
      </c>
      <c r="BH78" s="55">
        <f t="shared" si="508"/>
        <v>0.89</v>
      </c>
      <c r="BI78" s="55">
        <f t="shared" si="508"/>
        <v>0.87</v>
      </c>
      <c r="BJ78" s="55">
        <f t="shared" si="508"/>
        <v>0.85</v>
      </c>
      <c r="BK78" s="55">
        <f t="shared" si="508"/>
        <v>0.83</v>
      </c>
      <c r="BL78" s="55">
        <f t="shared" si="508"/>
        <v>0.80999999999999994</v>
      </c>
      <c r="BM78" s="55">
        <f t="shared" si="508"/>
        <v>0.78999999999999992</v>
      </c>
      <c r="BN78" s="55">
        <f t="shared" si="508"/>
        <v>0.76999999999999991</v>
      </c>
      <c r="BO78" s="55">
        <f t="shared" si="508"/>
        <v>0.74999999999999989</v>
      </c>
      <c r="BP78" s="55">
        <f t="shared" si="508"/>
        <v>0.72999999999999987</v>
      </c>
      <c r="BQ78" s="55">
        <f t="shared" si="508"/>
        <v>0.70999999999999985</v>
      </c>
      <c r="BR78" s="55">
        <f t="shared" si="508"/>
        <v>0.68999999999999984</v>
      </c>
      <c r="BS78" s="55">
        <f t="shared" si="508"/>
        <v>0.66999999999999982</v>
      </c>
      <c r="BT78" s="55">
        <f t="shared" si="508"/>
        <v>0.6499999999999998</v>
      </c>
      <c r="BU78" s="55">
        <f t="shared" si="508"/>
        <v>0.62999999999999978</v>
      </c>
      <c r="BV78" s="55">
        <f t="shared" si="508"/>
        <v>0.60999999999999976</v>
      </c>
      <c r="BW78" s="55">
        <f t="shared" si="508"/>
        <v>0.58999999999999975</v>
      </c>
      <c r="BX78" s="55">
        <f t="shared" si="508"/>
        <v>0.56999999999999973</v>
      </c>
      <c r="BZ78" s="55">
        <f t="shared" si="88"/>
        <v>0</v>
      </c>
      <c r="CA78" s="55">
        <f t="shared" si="89"/>
        <v>0</v>
      </c>
      <c r="CB78" s="59">
        <f t="shared" si="417"/>
        <v>0</v>
      </c>
      <c r="CC78" s="55">
        <f t="shared" si="418"/>
        <v>0</v>
      </c>
      <c r="CD78" s="59">
        <f t="shared" si="419"/>
        <v>0</v>
      </c>
      <c r="CE78" s="55">
        <f t="shared" si="420"/>
        <v>0</v>
      </c>
      <c r="CF78" s="59">
        <f t="shared" si="421"/>
        <v>0</v>
      </c>
      <c r="CG78" s="55">
        <f t="shared" si="422"/>
        <v>0</v>
      </c>
      <c r="CH78" s="59">
        <f t="shared" si="423"/>
        <v>0</v>
      </c>
      <c r="CI78" s="57">
        <f t="shared" si="424"/>
        <v>0</v>
      </c>
      <c r="CJ78" s="59">
        <f t="shared" si="425"/>
        <v>0</v>
      </c>
      <c r="CK78" s="55">
        <f t="shared" si="426"/>
        <v>0</v>
      </c>
      <c r="CL78" s="59">
        <f t="shared" si="427"/>
        <v>0</v>
      </c>
      <c r="CM78" s="57">
        <f t="shared" si="428"/>
        <v>0</v>
      </c>
      <c r="CN78" s="59">
        <f t="shared" si="429"/>
        <v>0</v>
      </c>
      <c r="CO78" s="60">
        <f t="shared" si="430"/>
        <v>0</v>
      </c>
      <c r="CP78" s="59">
        <f t="shared" si="431"/>
        <v>0</v>
      </c>
      <c r="CQ78" s="57">
        <f t="shared" si="432"/>
        <v>0</v>
      </c>
      <c r="CR78" s="59">
        <f t="shared" si="433"/>
        <v>0</v>
      </c>
      <c r="CS78" s="55">
        <f t="shared" si="434"/>
        <v>0</v>
      </c>
      <c r="CT78" s="59">
        <f t="shared" si="435"/>
        <v>0</v>
      </c>
      <c r="CU78" s="60">
        <f t="shared" si="436"/>
        <v>0</v>
      </c>
      <c r="CV78" s="59">
        <f t="shared" si="437"/>
        <v>0</v>
      </c>
      <c r="CW78" s="60">
        <f t="shared" si="438"/>
        <v>0</v>
      </c>
      <c r="CX78" s="59">
        <f t="shared" si="439"/>
        <v>0</v>
      </c>
      <c r="CY78" s="60">
        <f t="shared" si="440"/>
        <v>0</v>
      </c>
      <c r="CZ78" s="59">
        <f t="shared" si="441"/>
        <v>0</v>
      </c>
      <c r="DA78" s="55">
        <f t="shared" si="442"/>
        <v>0</v>
      </c>
      <c r="DB78" s="59">
        <f t="shared" si="443"/>
        <v>0</v>
      </c>
      <c r="DC78" s="60">
        <f t="shared" si="444"/>
        <v>0</v>
      </c>
      <c r="DD78" s="59">
        <f t="shared" si="445"/>
        <v>0</v>
      </c>
      <c r="DE78" s="60">
        <f t="shared" si="446"/>
        <v>0</v>
      </c>
      <c r="DF78" s="59">
        <f t="shared" si="447"/>
        <v>0</v>
      </c>
      <c r="DG78" s="60">
        <f t="shared" si="448"/>
        <v>0</v>
      </c>
      <c r="DH78" s="59">
        <f t="shared" si="449"/>
        <v>0</v>
      </c>
      <c r="DI78" s="60">
        <f t="shared" si="450"/>
        <v>0</v>
      </c>
      <c r="DJ78" s="59">
        <f t="shared" si="451"/>
        <v>0</v>
      </c>
      <c r="DK78" s="55">
        <f t="shared" si="452"/>
        <v>0</v>
      </c>
      <c r="DL78" s="59">
        <f t="shared" si="453"/>
        <v>0</v>
      </c>
      <c r="DM78" s="60">
        <f t="shared" si="454"/>
        <v>0</v>
      </c>
      <c r="DN78" s="59">
        <f t="shared" si="455"/>
        <v>0</v>
      </c>
      <c r="DO78" s="60">
        <f t="shared" si="456"/>
        <v>0</v>
      </c>
      <c r="DP78" s="59">
        <f t="shared" si="457"/>
        <v>0</v>
      </c>
      <c r="DQ78" s="55">
        <f t="shared" si="458"/>
        <v>0</v>
      </c>
      <c r="DR78" s="59">
        <f t="shared" si="459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505"/>
        <v>0.91</v>
      </c>
      <c r="DZ78" s="55">
        <f t="shared" si="505"/>
        <v>0.89</v>
      </c>
      <c r="EA78" s="55">
        <f t="shared" si="505"/>
        <v>0.87</v>
      </c>
      <c r="EB78" s="55">
        <f t="shared" ref="EB78:EP78" si="509">+EA78-0.02</f>
        <v>0.85</v>
      </c>
      <c r="EC78" s="55">
        <f t="shared" si="509"/>
        <v>0.83</v>
      </c>
      <c r="ED78" s="55">
        <f t="shared" si="509"/>
        <v>0.80999999999999994</v>
      </c>
      <c r="EE78" s="55">
        <f t="shared" si="509"/>
        <v>0.78999999999999992</v>
      </c>
      <c r="EF78" s="55">
        <f t="shared" si="509"/>
        <v>0.76999999999999991</v>
      </c>
      <c r="EG78" s="55">
        <f t="shared" si="509"/>
        <v>0.74999999999999989</v>
      </c>
      <c r="EH78" s="55">
        <f t="shared" si="509"/>
        <v>0.72999999999999987</v>
      </c>
      <c r="EI78" s="55">
        <f t="shared" si="509"/>
        <v>0.70999999999999985</v>
      </c>
      <c r="EJ78" s="55">
        <f t="shared" si="509"/>
        <v>0.68999999999999984</v>
      </c>
      <c r="EK78" s="55">
        <f t="shared" si="509"/>
        <v>0.66999999999999982</v>
      </c>
      <c r="EL78" s="55">
        <f t="shared" si="509"/>
        <v>0.6499999999999998</v>
      </c>
      <c r="EM78" s="55">
        <f t="shared" si="509"/>
        <v>0.62999999999999978</v>
      </c>
      <c r="EN78" s="55">
        <f t="shared" si="509"/>
        <v>0.60999999999999976</v>
      </c>
      <c r="EO78" s="55">
        <f t="shared" si="509"/>
        <v>0.58999999999999975</v>
      </c>
      <c r="EP78" s="55">
        <f t="shared" si="509"/>
        <v>0.56999999999999973</v>
      </c>
      <c r="ER78" s="55">
        <f t="shared" si="142"/>
        <v>0</v>
      </c>
      <c r="ES78" s="55">
        <f t="shared" si="116"/>
        <v>0</v>
      </c>
      <c r="ET78" s="59">
        <f t="shared" si="461"/>
        <v>0</v>
      </c>
      <c r="EU78" s="55">
        <f t="shared" si="462"/>
        <v>0</v>
      </c>
      <c r="EV78" s="59">
        <f t="shared" si="463"/>
        <v>0</v>
      </c>
      <c r="EW78" s="55">
        <f t="shared" si="464"/>
        <v>0</v>
      </c>
      <c r="EX78" s="59">
        <f t="shared" si="465"/>
        <v>0</v>
      </c>
      <c r="EY78" s="55">
        <f t="shared" si="466"/>
        <v>0</v>
      </c>
      <c r="EZ78" s="59">
        <f t="shared" si="467"/>
        <v>0</v>
      </c>
      <c r="FA78" s="57">
        <f t="shared" si="468"/>
        <v>0</v>
      </c>
      <c r="FB78" s="59">
        <f t="shared" si="469"/>
        <v>0</v>
      </c>
      <c r="FC78" s="55">
        <f t="shared" si="470"/>
        <v>0</v>
      </c>
      <c r="FD78" s="59">
        <f t="shared" si="471"/>
        <v>0</v>
      </c>
      <c r="FE78" s="57">
        <f t="shared" si="472"/>
        <v>0</v>
      </c>
      <c r="FF78" s="59">
        <f t="shared" si="473"/>
        <v>0</v>
      </c>
      <c r="FG78" s="60">
        <f t="shared" si="474"/>
        <v>0</v>
      </c>
      <c r="FH78" s="59">
        <f t="shared" si="475"/>
        <v>0</v>
      </c>
      <c r="FI78" s="57">
        <f t="shared" si="476"/>
        <v>0</v>
      </c>
      <c r="FJ78" s="59">
        <f t="shared" si="477"/>
        <v>0</v>
      </c>
      <c r="FK78" s="55">
        <f t="shared" si="478"/>
        <v>0</v>
      </c>
      <c r="FL78" s="59">
        <f t="shared" si="479"/>
        <v>0</v>
      </c>
      <c r="FM78" s="60">
        <f t="shared" si="480"/>
        <v>0</v>
      </c>
      <c r="FN78" s="59">
        <f t="shared" si="481"/>
        <v>0</v>
      </c>
      <c r="FO78" s="60">
        <f t="shared" si="482"/>
        <v>0</v>
      </c>
      <c r="FP78" s="59">
        <f t="shared" si="483"/>
        <v>0</v>
      </c>
      <c r="FQ78" s="60">
        <f t="shared" si="484"/>
        <v>0</v>
      </c>
      <c r="FR78" s="59">
        <f t="shared" si="485"/>
        <v>0</v>
      </c>
      <c r="FS78" s="55">
        <f t="shared" si="486"/>
        <v>0</v>
      </c>
      <c r="FT78" s="59">
        <f t="shared" si="487"/>
        <v>0</v>
      </c>
      <c r="FU78" s="60">
        <f t="shared" si="488"/>
        <v>0</v>
      </c>
      <c r="FV78" s="59">
        <f t="shared" si="489"/>
        <v>0</v>
      </c>
      <c r="FW78" s="60">
        <f t="shared" si="490"/>
        <v>0</v>
      </c>
      <c r="FX78" s="59">
        <f t="shared" si="491"/>
        <v>0</v>
      </c>
      <c r="FY78" s="60">
        <f t="shared" si="492"/>
        <v>0</v>
      </c>
      <c r="FZ78" s="59">
        <f t="shared" si="493"/>
        <v>0</v>
      </c>
      <c r="GA78" s="60">
        <f t="shared" si="494"/>
        <v>0</v>
      </c>
      <c r="GB78" s="59">
        <f t="shared" si="495"/>
        <v>0</v>
      </c>
      <c r="GC78" s="55">
        <f t="shared" si="496"/>
        <v>0</v>
      </c>
      <c r="GD78" s="59">
        <f t="shared" si="497"/>
        <v>0</v>
      </c>
      <c r="GE78" s="60">
        <f t="shared" si="498"/>
        <v>0</v>
      </c>
      <c r="GF78" s="59">
        <f t="shared" si="499"/>
        <v>0</v>
      </c>
      <c r="GG78" s="60">
        <f t="shared" si="500"/>
        <v>0</v>
      </c>
      <c r="GH78" s="59">
        <f t="shared" si="501"/>
        <v>0</v>
      </c>
      <c r="GI78" s="55">
        <f t="shared" si="502"/>
        <v>0</v>
      </c>
      <c r="GJ78" s="59">
        <f t="shared" si="503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506"/>
        <v>0.91</v>
      </c>
      <c r="GR78" s="55">
        <f t="shared" si="506"/>
        <v>0.89</v>
      </c>
      <c r="GS78" s="55">
        <f t="shared" si="506"/>
        <v>0.87</v>
      </c>
      <c r="GT78" s="55">
        <f t="shared" ref="GT78:HH78" si="510">+GS78-0.02</f>
        <v>0.85</v>
      </c>
      <c r="GU78" s="55">
        <f t="shared" si="510"/>
        <v>0.83</v>
      </c>
      <c r="GV78" s="55">
        <f t="shared" si="510"/>
        <v>0.80999999999999994</v>
      </c>
      <c r="GW78" s="55">
        <f t="shared" si="510"/>
        <v>0.78999999999999992</v>
      </c>
      <c r="GX78" s="55">
        <f t="shared" si="510"/>
        <v>0.76999999999999991</v>
      </c>
      <c r="GY78" s="55">
        <f t="shared" si="510"/>
        <v>0.74999999999999989</v>
      </c>
      <c r="GZ78" s="55">
        <f t="shared" si="510"/>
        <v>0.72999999999999987</v>
      </c>
      <c r="HA78" s="55">
        <f t="shared" si="510"/>
        <v>0.70999999999999985</v>
      </c>
      <c r="HB78" s="55">
        <f t="shared" si="510"/>
        <v>0.68999999999999984</v>
      </c>
      <c r="HC78" s="55">
        <f t="shared" si="510"/>
        <v>0.66999999999999982</v>
      </c>
      <c r="HD78" s="55">
        <f t="shared" si="510"/>
        <v>0.6499999999999998</v>
      </c>
      <c r="HE78" s="55">
        <f t="shared" si="510"/>
        <v>0.62999999999999978</v>
      </c>
      <c r="HF78" s="55">
        <f t="shared" si="510"/>
        <v>0.60999999999999976</v>
      </c>
      <c r="HG78" s="55">
        <f t="shared" si="510"/>
        <v>0.58999999999999975</v>
      </c>
      <c r="HH78" s="55">
        <f t="shared" si="510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72"/>
        <v>0</v>
      </c>
      <c r="H79" s="55">
        <f t="shared" si="373"/>
        <v>0</v>
      </c>
      <c r="I79" s="55">
        <f t="shared" si="62"/>
        <v>0</v>
      </c>
      <c r="J79" s="59">
        <f t="shared" si="63"/>
        <v>0</v>
      </c>
      <c r="K79" s="55">
        <f t="shared" si="374"/>
        <v>0</v>
      </c>
      <c r="L79" s="59">
        <f t="shared" si="375"/>
        <v>0</v>
      </c>
      <c r="M79" s="55">
        <f t="shared" si="376"/>
        <v>0</v>
      </c>
      <c r="N79" s="59">
        <f t="shared" si="377"/>
        <v>0</v>
      </c>
      <c r="O79" s="55">
        <f t="shared" si="378"/>
        <v>0</v>
      </c>
      <c r="P79" s="59">
        <f t="shared" si="379"/>
        <v>0</v>
      </c>
      <c r="Q79" s="57">
        <f t="shared" si="380"/>
        <v>0</v>
      </c>
      <c r="R79" s="59">
        <f t="shared" si="381"/>
        <v>0</v>
      </c>
      <c r="S79" s="55">
        <f t="shared" si="382"/>
        <v>0</v>
      </c>
      <c r="T79" s="59">
        <f t="shared" si="383"/>
        <v>0</v>
      </c>
      <c r="U79" s="57">
        <f t="shared" si="384"/>
        <v>0</v>
      </c>
      <c r="V79" s="59">
        <f t="shared" si="385"/>
        <v>0</v>
      </c>
      <c r="W79" s="60">
        <f t="shared" si="386"/>
        <v>0</v>
      </c>
      <c r="X79" s="59">
        <f t="shared" si="387"/>
        <v>0</v>
      </c>
      <c r="Y79" s="57">
        <f t="shared" si="388"/>
        <v>0</v>
      </c>
      <c r="Z79" s="59">
        <f t="shared" si="389"/>
        <v>0</v>
      </c>
      <c r="AA79" s="55">
        <f t="shared" si="390"/>
        <v>0</v>
      </c>
      <c r="AB79" s="59">
        <f t="shared" si="391"/>
        <v>0</v>
      </c>
      <c r="AC79" s="60">
        <f t="shared" si="392"/>
        <v>0</v>
      </c>
      <c r="AD79" s="59">
        <f t="shared" si="393"/>
        <v>0</v>
      </c>
      <c r="AE79" s="60">
        <f t="shared" si="394"/>
        <v>0</v>
      </c>
      <c r="AF79" s="59">
        <f t="shared" si="395"/>
        <v>0</v>
      </c>
      <c r="AG79" s="60">
        <f t="shared" si="396"/>
        <v>0</v>
      </c>
      <c r="AH79" s="59">
        <f t="shared" si="397"/>
        <v>0</v>
      </c>
      <c r="AI79" s="55">
        <f t="shared" si="398"/>
        <v>0</v>
      </c>
      <c r="AJ79" s="59">
        <f t="shared" si="399"/>
        <v>0</v>
      </c>
      <c r="AK79" s="60">
        <f t="shared" si="400"/>
        <v>0</v>
      </c>
      <c r="AL79" s="59">
        <f t="shared" si="401"/>
        <v>0</v>
      </c>
      <c r="AM79" s="60">
        <f t="shared" si="402"/>
        <v>0</v>
      </c>
      <c r="AN79" s="59">
        <f t="shared" si="403"/>
        <v>0</v>
      </c>
      <c r="AO79" s="60">
        <f t="shared" si="404"/>
        <v>0</v>
      </c>
      <c r="AP79" s="59">
        <f t="shared" si="405"/>
        <v>0</v>
      </c>
      <c r="AQ79" s="60">
        <f t="shared" si="406"/>
        <v>0</v>
      </c>
      <c r="AR79" s="59">
        <f t="shared" si="407"/>
        <v>0</v>
      </c>
      <c r="AS79" s="55">
        <f t="shared" si="408"/>
        <v>0</v>
      </c>
      <c r="AT79" s="59">
        <f t="shared" si="409"/>
        <v>0</v>
      </c>
      <c r="AU79" s="60">
        <f t="shared" si="410"/>
        <v>0</v>
      </c>
      <c r="AV79" s="59">
        <f t="shared" si="411"/>
        <v>0</v>
      </c>
      <c r="AW79" s="60">
        <f t="shared" si="412"/>
        <v>0</v>
      </c>
      <c r="AX79" s="59">
        <f t="shared" si="413"/>
        <v>0</v>
      </c>
      <c r="AY79" s="55">
        <f t="shared" si="414"/>
        <v>0</v>
      </c>
      <c r="AZ79" s="59">
        <f t="shared" si="415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8"/>
        <v>0.91</v>
      </c>
      <c r="BH79" s="55">
        <f t="shared" si="508"/>
        <v>0.89</v>
      </c>
      <c r="BI79" s="55">
        <f t="shared" si="508"/>
        <v>0.87</v>
      </c>
      <c r="BJ79" s="55">
        <f t="shared" si="508"/>
        <v>0.85</v>
      </c>
      <c r="BK79" s="55">
        <f t="shared" si="508"/>
        <v>0.83</v>
      </c>
      <c r="BL79" s="55">
        <f t="shared" si="508"/>
        <v>0.80999999999999994</v>
      </c>
      <c r="BM79" s="55">
        <f t="shared" si="508"/>
        <v>0.78999999999999992</v>
      </c>
      <c r="BN79" s="55">
        <f t="shared" si="508"/>
        <v>0.76999999999999991</v>
      </c>
      <c r="BO79" s="55">
        <f t="shared" si="508"/>
        <v>0.74999999999999989</v>
      </c>
      <c r="BP79" s="55">
        <f t="shared" si="508"/>
        <v>0.72999999999999987</v>
      </c>
      <c r="BQ79" s="55">
        <f t="shared" si="508"/>
        <v>0.70999999999999985</v>
      </c>
      <c r="BR79" s="55">
        <f t="shared" si="508"/>
        <v>0.68999999999999984</v>
      </c>
      <c r="BS79" s="55">
        <f t="shared" si="508"/>
        <v>0.66999999999999982</v>
      </c>
      <c r="BT79" s="55">
        <f t="shared" si="508"/>
        <v>0.6499999999999998</v>
      </c>
      <c r="BU79" s="55">
        <f t="shared" si="508"/>
        <v>0.62999999999999978</v>
      </c>
      <c r="BV79" s="55">
        <f t="shared" si="508"/>
        <v>0.60999999999999976</v>
      </c>
      <c r="BW79" s="55">
        <f t="shared" si="508"/>
        <v>0.58999999999999975</v>
      </c>
      <c r="BX79" s="55">
        <f t="shared" si="508"/>
        <v>0.56999999999999973</v>
      </c>
      <c r="BZ79" s="55">
        <f t="shared" si="88"/>
        <v>0</v>
      </c>
      <c r="CA79" s="55">
        <f t="shared" si="89"/>
        <v>0</v>
      </c>
      <c r="CB79" s="59">
        <f t="shared" si="417"/>
        <v>0</v>
      </c>
      <c r="CC79" s="55">
        <f t="shared" si="418"/>
        <v>0</v>
      </c>
      <c r="CD79" s="59">
        <f t="shared" si="419"/>
        <v>0</v>
      </c>
      <c r="CE79" s="55">
        <f t="shared" si="420"/>
        <v>0</v>
      </c>
      <c r="CF79" s="59">
        <f t="shared" si="421"/>
        <v>0</v>
      </c>
      <c r="CG79" s="55">
        <f t="shared" si="422"/>
        <v>0</v>
      </c>
      <c r="CH79" s="59">
        <f t="shared" si="423"/>
        <v>0</v>
      </c>
      <c r="CI79" s="57">
        <f t="shared" si="424"/>
        <v>0</v>
      </c>
      <c r="CJ79" s="59">
        <f t="shared" si="425"/>
        <v>0</v>
      </c>
      <c r="CK79" s="55">
        <f t="shared" si="426"/>
        <v>0</v>
      </c>
      <c r="CL79" s="59">
        <f t="shared" si="427"/>
        <v>0</v>
      </c>
      <c r="CM79" s="57">
        <f t="shared" si="428"/>
        <v>0</v>
      </c>
      <c r="CN79" s="59">
        <f t="shared" si="429"/>
        <v>0</v>
      </c>
      <c r="CO79" s="60">
        <f t="shared" si="430"/>
        <v>0</v>
      </c>
      <c r="CP79" s="59">
        <f t="shared" si="431"/>
        <v>0</v>
      </c>
      <c r="CQ79" s="57">
        <f t="shared" si="432"/>
        <v>0</v>
      </c>
      <c r="CR79" s="59">
        <f t="shared" si="433"/>
        <v>0</v>
      </c>
      <c r="CS79" s="55">
        <f t="shared" si="434"/>
        <v>0</v>
      </c>
      <c r="CT79" s="59">
        <f t="shared" si="435"/>
        <v>0</v>
      </c>
      <c r="CU79" s="60">
        <f t="shared" si="436"/>
        <v>0</v>
      </c>
      <c r="CV79" s="59">
        <f t="shared" si="437"/>
        <v>0</v>
      </c>
      <c r="CW79" s="60">
        <f t="shared" si="438"/>
        <v>0</v>
      </c>
      <c r="CX79" s="59">
        <f t="shared" si="439"/>
        <v>0</v>
      </c>
      <c r="CY79" s="60">
        <f t="shared" si="440"/>
        <v>0</v>
      </c>
      <c r="CZ79" s="59">
        <f t="shared" si="441"/>
        <v>0</v>
      </c>
      <c r="DA79" s="55">
        <f t="shared" si="442"/>
        <v>0</v>
      </c>
      <c r="DB79" s="59">
        <f t="shared" si="443"/>
        <v>0</v>
      </c>
      <c r="DC79" s="60">
        <f t="shared" si="444"/>
        <v>0</v>
      </c>
      <c r="DD79" s="59">
        <f t="shared" si="445"/>
        <v>0</v>
      </c>
      <c r="DE79" s="60">
        <f t="shared" si="446"/>
        <v>0</v>
      </c>
      <c r="DF79" s="59">
        <f t="shared" si="447"/>
        <v>0</v>
      </c>
      <c r="DG79" s="60">
        <f t="shared" si="448"/>
        <v>0</v>
      </c>
      <c r="DH79" s="59">
        <f t="shared" si="449"/>
        <v>0</v>
      </c>
      <c r="DI79" s="60">
        <f t="shared" si="450"/>
        <v>0</v>
      </c>
      <c r="DJ79" s="59">
        <f t="shared" si="451"/>
        <v>0</v>
      </c>
      <c r="DK79" s="55">
        <f t="shared" si="452"/>
        <v>0</v>
      </c>
      <c r="DL79" s="59">
        <f t="shared" si="453"/>
        <v>0</v>
      </c>
      <c r="DM79" s="60">
        <f t="shared" si="454"/>
        <v>0</v>
      </c>
      <c r="DN79" s="59">
        <f t="shared" si="455"/>
        <v>0</v>
      </c>
      <c r="DO79" s="60">
        <f t="shared" si="456"/>
        <v>0</v>
      </c>
      <c r="DP79" s="59">
        <f t="shared" si="457"/>
        <v>0</v>
      </c>
      <c r="DQ79" s="55">
        <f t="shared" si="458"/>
        <v>0</v>
      </c>
      <c r="DR79" s="59">
        <f t="shared" si="459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11">+DX79-0.02</f>
        <v>0.91</v>
      </c>
      <c r="DZ79" s="55">
        <f t="shared" si="511"/>
        <v>0.89</v>
      </c>
      <c r="EA79" s="55">
        <f t="shared" si="511"/>
        <v>0.87</v>
      </c>
      <c r="EB79" s="55">
        <f t="shared" si="511"/>
        <v>0.85</v>
      </c>
      <c r="EC79" s="55">
        <f t="shared" si="511"/>
        <v>0.83</v>
      </c>
      <c r="ED79" s="55">
        <f t="shared" si="511"/>
        <v>0.80999999999999994</v>
      </c>
      <c r="EE79" s="55">
        <f t="shared" si="511"/>
        <v>0.78999999999999992</v>
      </c>
      <c r="EF79" s="55">
        <f t="shared" si="511"/>
        <v>0.76999999999999991</v>
      </c>
      <c r="EG79" s="55">
        <f t="shared" si="511"/>
        <v>0.74999999999999989</v>
      </c>
      <c r="EH79" s="55">
        <f t="shared" si="511"/>
        <v>0.72999999999999987</v>
      </c>
      <c r="EI79" s="55">
        <f t="shared" si="511"/>
        <v>0.70999999999999985</v>
      </c>
      <c r="EJ79" s="55">
        <f t="shared" si="511"/>
        <v>0.68999999999999984</v>
      </c>
      <c r="EK79" s="55">
        <f t="shared" si="511"/>
        <v>0.66999999999999982</v>
      </c>
      <c r="EL79" s="55">
        <f t="shared" si="511"/>
        <v>0.6499999999999998</v>
      </c>
      <c r="EM79" s="55">
        <f t="shared" si="511"/>
        <v>0.62999999999999978</v>
      </c>
      <c r="EN79" s="55">
        <f t="shared" si="511"/>
        <v>0.60999999999999976</v>
      </c>
      <c r="EO79" s="55">
        <f t="shared" si="511"/>
        <v>0.58999999999999975</v>
      </c>
      <c r="EP79" s="55">
        <f t="shared" si="511"/>
        <v>0.56999999999999973</v>
      </c>
      <c r="ER79" s="55">
        <f t="shared" si="142"/>
        <v>0</v>
      </c>
      <c r="ES79" s="55">
        <f t="shared" si="116"/>
        <v>0</v>
      </c>
      <c r="ET79" s="59">
        <f t="shared" si="461"/>
        <v>0</v>
      </c>
      <c r="EU79" s="55">
        <f t="shared" si="462"/>
        <v>0</v>
      </c>
      <c r="EV79" s="59">
        <f t="shared" si="463"/>
        <v>0</v>
      </c>
      <c r="EW79" s="55">
        <f t="shared" si="464"/>
        <v>0</v>
      </c>
      <c r="EX79" s="59">
        <f t="shared" si="465"/>
        <v>0</v>
      </c>
      <c r="EY79" s="55">
        <f t="shared" si="466"/>
        <v>0</v>
      </c>
      <c r="EZ79" s="59">
        <f t="shared" si="467"/>
        <v>0</v>
      </c>
      <c r="FA79" s="57">
        <f t="shared" si="468"/>
        <v>0</v>
      </c>
      <c r="FB79" s="59">
        <f t="shared" si="469"/>
        <v>0</v>
      </c>
      <c r="FC79" s="55">
        <f t="shared" si="470"/>
        <v>0</v>
      </c>
      <c r="FD79" s="59">
        <f t="shared" si="471"/>
        <v>0</v>
      </c>
      <c r="FE79" s="57">
        <f t="shared" si="472"/>
        <v>0</v>
      </c>
      <c r="FF79" s="59">
        <f t="shared" si="473"/>
        <v>0</v>
      </c>
      <c r="FG79" s="60">
        <f t="shared" si="474"/>
        <v>0</v>
      </c>
      <c r="FH79" s="59">
        <f t="shared" si="475"/>
        <v>0</v>
      </c>
      <c r="FI79" s="57">
        <f t="shared" si="476"/>
        <v>0</v>
      </c>
      <c r="FJ79" s="59">
        <f t="shared" si="477"/>
        <v>0</v>
      </c>
      <c r="FK79" s="55">
        <f t="shared" si="478"/>
        <v>0</v>
      </c>
      <c r="FL79" s="59">
        <f t="shared" si="479"/>
        <v>0</v>
      </c>
      <c r="FM79" s="60">
        <f t="shared" si="480"/>
        <v>0</v>
      </c>
      <c r="FN79" s="59">
        <f t="shared" si="481"/>
        <v>0</v>
      </c>
      <c r="FO79" s="60">
        <f t="shared" si="482"/>
        <v>0</v>
      </c>
      <c r="FP79" s="59">
        <f t="shared" si="483"/>
        <v>0</v>
      </c>
      <c r="FQ79" s="60">
        <f t="shared" si="484"/>
        <v>0</v>
      </c>
      <c r="FR79" s="59">
        <f t="shared" si="485"/>
        <v>0</v>
      </c>
      <c r="FS79" s="55">
        <f t="shared" si="486"/>
        <v>0</v>
      </c>
      <c r="FT79" s="59">
        <f t="shared" si="487"/>
        <v>0</v>
      </c>
      <c r="FU79" s="60">
        <f t="shared" si="488"/>
        <v>0</v>
      </c>
      <c r="FV79" s="59">
        <f t="shared" si="489"/>
        <v>0</v>
      </c>
      <c r="FW79" s="60">
        <f t="shared" si="490"/>
        <v>0</v>
      </c>
      <c r="FX79" s="59">
        <f t="shared" si="491"/>
        <v>0</v>
      </c>
      <c r="FY79" s="60">
        <f t="shared" si="492"/>
        <v>0</v>
      </c>
      <c r="FZ79" s="59">
        <f t="shared" si="493"/>
        <v>0</v>
      </c>
      <c r="GA79" s="60">
        <f t="shared" si="494"/>
        <v>0</v>
      </c>
      <c r="GB79" s="59">
        <f t="shared" si="495"/>
        <v>0</v>
      </c>
      <c r="GC79" s="55">
        <f t="shared" si="496"/>
        <v>0</v>
      </c>
      <c r="GD79" s="59">
        <f t="shared" si="497"/>
        <v>0</v>
      </c>
      <c r="GE79" s="60">
        <f t="shared" si="498"/>
        <v>0</v>
      </c>
      <c r="GF79" s="59">
        <f t="shared" si="499"/>
        <v>0</v>
      </c>
      <c r="GG79" s="60">
        <f t="shared" si="500"/>
        <v>0</v>
      </c>
      <c r="GH79" s="59">
        <f t="shared" si="501"/>
        <v>0</v>
      </c>
      <c r="GI79" s="55">
        <f t="shared" si="502"/>
        <v>0</v>
      </c>
      <c r="GJ79" s="59">
        <f t="shared" si="503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12">+GP79-0.02</f>
        <v>0.91</v>
      </c>
      <c r="GR79" s="55">
        <f t="shared" si="512"/>
        <v>0.89</v>
      </c>
      <c r="GS79" s="55">
        <f t="shared" si="512"/>
        <v>0.87</v>
      </c>
      <c r="GT79" s="55">
        <f t="shared" si="512"/>
        <v>0.85</v>
      </c>
      <c r="GU79" s="55">
        <f t="shared" si="512"/>
        <v>0.83</v>
      </c>
      <c r="GV79" s="55">
        <f t="shared" si="512"/>
        <v>0.80999999999999994</v>
      </c>
      <c r="GW79" s="55">
        <f t="shared" si="512"/>
        <v>0.78999999999999992</v>
      </c>
      <c r="GX79" s="55">
        <f t="shared" si="512"/>
        <v>0.76999999999999991</v>
      </c>
      <c r="GY79" s="55">
        <f t="shared" si="512"/>
        <v>0.74999999999999989</v>
      </c>
      <c r="GZ79" s="55">
        <f t="shared" si="512"/>
        <v>0.72999999999999987</v>
      </c>
      <c r="HA79" s="55">
        <f t="shared" si="512"/>
        <v>0.70999999999999985</v>
      </c>
      <c r="HB79" s="55">
        <f t="shared" si="512"/>
        <v>0.68999999999999984</v>
      </c>
      <c r="HC79" s="55">
        <f t="shared" si="512"/>
        <v>0.66999999999999982</v>
      </c>
      <c r="HD79" s="55">
        <f t="shared" si="512"/>
        <v>0.6499999999999998</v>
      </c>
      <c r="HE79" s="55">
        <f t="shared" si="512"/>
        <v>0.62999999999999978</v>
      </c>
      <c r="HF79" s="55">
        <f t="shared" si="512"/>
        <v>0.60999999999999976</v>
      </c>
      <c r="HG79" s="55">
        <f t="shared" si="512"/>
        <v>0.58999999999999975</v>
      </c>
      <c r="HH79" s="55">
        <f t="shared" si="512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72"/>
        <v>0</v>
      </c>
      <c r="H80" s="55">
        <f t="shared" si="373"/>
        <v>0</v>
      </c>
      <c r="I80" s="55">
        <f t="shared" si="62"/>
        <v>0</v>
      </c>
      <c r="J80" s="59">
        <f t="shared" si="63"/>
        <v>0</v>
      </c>
      <c r="K80" s="55">
        <f t="shared" si="374"/>
        <v>0</v>
      </c>
      <c r="L80" s="59">
        <f t="shared" si="375"/>
        <v>0</v>
      </c>
      <c r="M80" s="55">
        <f t="shared" si="376"/>
        <v>0</v>
      </c>
      <c r="N80" s="59">
        <f t="shared" si="377"/>
        <v>0</v>
      </c>
      <c r="O80" s="55">
        <f t="shared" si="378"/>
        <v>0</v>
      </c>
      <c r="P80" s="59">
        <f t="shared" si="379"/>
        <v>0</v>
      </c>
      <c r="Q80" s="57">
        <f t="shared" si="380"/>
        <v>0</v>
      </c>
      <c r="R80" s="59">
        <f t="shared" si="381"/>
        <v>0</v>
      </c>
      <c r="S80" s="55">
        <f t="shared" si="382"/>
        <v>0</v>
      </c>
      <c r="T80" s="59">
        <f t="shared" si="383"/>
        <v>0</v>
      </c>
      <c r="U80" s="57">
        <f t="shared" si="384"/>
        <v>0</v>
      </c>
      <c r="V80" s="59">
        <f t="shared" si="385"/>
        <v>0</v>
      </c>
      <c r="W80" s="60">
        <f t="shared" si="386"/>
        <v>0</v>
      </c>
      <c r="X80" s="59">
        <f t="shared" si="387"/>
        <v>0</v>
      </c>
      <c r="Y80" s="57">
        <f t="shared" si="388"/>
        <v>0</v>
      </c>
      <c r="Z80" s="59">
        <f t="shared" si="389"/>
        <v>0</v>
      </c>
      <c r="AA80" s="55">
        <f t="shared" si="390"/>
        <v>0</v>
      </c>
      <c r="AB80" s="59">
        <f t="shared" si="391"/>
        <v>0</v>
      </c>
      <c r="AC80" s="60">
        <f t="shared" si="392"/>
        <v>0</v>
      </c>
      <c r="AD80" s="59">
        <f t="shared" si="393"/>
        <v>0</v>
      </c>
      <c r="AE80" s="60">
        <f t="shared" si="394"/>
        <v>0</v>
      </c>
      <c r="AF80" s="59">
        <f t="shared" si="395"/>
        <v>0</v>
      </c>
      <c r="AG80" s="60">
        <f t="shared" si="396"/>
        <v>0</v>
      </c>
      <c r="AH80" s="59">
        <f t="shared" si="397"/>
        <v>0</v>
      </c>
      <c r="AI80" s="55">
        <f t="shared" si="398"/>
        <v>0</v>
      </c>
      <c r="AJ80" s="59">
        <f t="shared" si="399"/>
        <v>0</v>
      </c>
      <c r="AK80" s="60">
        <f t="shared" si="400"/>
        <v>0</v>
      </c>
      <c r="AL80" s="59">
        <f t="shared" si="401"/>
        <v>0</v>
      </c>
      <c r="AM80" s="60">
        <f t="shared" si="402"/>
        <v>0</v>
      </c>
      <c r="AN80" s="59">
        <f t="shared" si="403"/>
        <v>0</v>
      </c>
      <c r="AO80" s="60">
        <f t="shared" si="404"/>
        <v>0</v>
      </c>
      <c r="AP80" s="59">
        <f t="shared" si="405"/>
        <v>0</v>
      </c>
      <c r="AQ80" s="60">
        <f t="shared" si="406"/>
        <v>0</v>
      </c>
      <c r="AR80" s="59">
        <f t="shared" si="407"/>
        <v>0</v>
      </c>
      <c r="AS80" s="55">
        <f t="shared" si="408"/>
        <v>0</v>
      </c>
      <c r="AT80" s="59">
        <f t="shared" si="409"/>
        <v>0</v>
      </c>
      <c r="AU80" s="60">
        <f t="shared" si="410"/>
        <v>0</v>
      </c>
      <c r="AV80" s="59">
        <f t="shared" si="411"/>
        <v>0</v>
      </c>
      <c r="AW80" s="60">
        <f t="shared" si="412"/>
        <v>0</v>
      </c>
      <c r="AX80" s="59">
        <f t="shared" si="413"/>
        <v>0</v>
      </c>
      <c r="AY80" s="55">
        <f t="shared" si="414"/>
        <v>0</v>
      </c>
      <c r="AZ80" s="59">
        <f t="shared" si="415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8"/>
        <v>0.91</v>
      </c>
      <c r="BH80" s="55">
        <f t="shared" si="508"/>
        <v>0.89</v>
      </c>
      <c r="BI80" s="55">
        <f t="shared" si="508"/>
        <v>0.87</v>
      </c>
      <c r="BJ80" s="55">
        <f t="shared" si="508"/>
        <v>0.85</v>
      </c>
      <c r="BK80" s="55">
        <f t="shared" si="508"/>
        <v>0.83</v>
      </c>
      <c r="BL80" s="55">
        <f t="shared" si="508"/>
        <v>0.80999999999999994</v>
      </c>
      <c r="BM80" s="55">
        <f t="shared" si="508"/>
        <v>0.78999999999999992</v>
      </c>
      <c r="BN80" s="55">
        <f t="shared" si="508"/>
        <v>0.76999999999999991</v>
      </c>
      <c r="BO80" s="55">
        <f t="shared" si="508"/>
        <v>0.74999999999999989</v>
      </c>
      <c r="BP80" s="55">
        <f t="shared" si="508"/>
        <v>0.72999999999999987</v>
      </c>
      <c r="BQ80" s="55">
        <f t="shared" si="508"/>
        <v>0.70999999999999985</v>
      </c>
      <c r="BR80" s="55">
        <f t="shared" si="508"/>
        <v>0.68999999999999984</v>
      </c>
      <c r="BS80" s="55">
        <f t="shared" si="508"/>
        <v>0.66999999999999982</v>
      </c>
      <c r="BT80" s="55">
        <f t="shared" si="508"/>
        <v>0.6499999999999998</v>
      </c>
      <c r="BU80" s="55">
        <f t="shared" si="508"/>
        <v>0.62999999999999978</v>
      </c>
      <c r="BV80" s="55">
        <f t="shared" si="508"/>
        <v>0.60999999999999976</v>
      </c>
      <c r="BW80" s="55">
        <f t="shared" si="508"/>
        <v>0.58999999999999975</v>
      </c>
      <c r="BX80" s="55">
        <f t="shared" si="508"/>
        <v>0.56999999999999973</v>
      </c>
      <c r="BZ80" s="55">
        <f t="shared" si="88"/>
        <v>0</v>
      </c>
      <c r="CA80" s="55">
        <f t="shared" si="89"/>
        <v>0</v>
      </c>
      <c r="CB80" s="59">
        <f t="shared" si="417"/>
        <v>0</v>
      </c>
      <c r="CC80" s="55">
        <f t="shared" si="418"/>
        <v>0</v>
      </c>
      <c r="CD80" s="59">
        <f t="shared" si="419"/>
        <v>0</v>
      </c>
      <c r="CE80" s="55">
        <f t="shared" si="420"/>
        <v>0</v>
      </c>
      <c r="CF80" s="59">
        <f t="shared" si="421"/>
        <v>0</v>
      </c>
      <c r="CG80" s="55">
        <f t="shared" si="422"/>
        <v>0</v>
      </c>
      <c r="CH80" s="59">
        <f t="shared" si="423"/>
        <v>0</v>
      </c>
      <c r="CI80" s="57">
        <f t="shared" si="424"/>
        <v>0</v>
      </c>
      <c r="CJ80" s="59">
        <f t="shared" si="425"/>
        <v>0</v>
      </c>
      <c r="CK80" s="55">
        <f t="shared" si="426"/>
        <v>0</v>
      </c>
      <c r="CL80" s="59">
        <f t="shared" si="427"/>
        <v>0</v>
      </c>
      <c r="CM80" s="57">
        <f t="shared" si="428"/>
        <v>0</v>
      </c>
      <c r="CN80" s="59">
        <f t="shared" si="429"/>
        <v>0</v>
      </c>
      <c r="CO80" s="60">
        <f t="shared" si="430"/>
        <v>0</v>
      </c>
      <c r="CP80" s="59">
        <f t="shared" si="431"/>
        <v>0</v>
      </c>
      <c r="CQ80" s="57">
        <f t="shared" si="432"/>
        <v>0</v>
      </c>
      <c r="CR80" s="59">
        <f t="shared" si="433"/>
        <v>0</v>
      </c>
      <c r="CS80" s="55">
        <f t="shared" si="434"/>
        <v>0</v>
      </c>
      <c r="CT80" s="59">
        <f t="shared" si="435"/>
        <v>0</v>
      </c>
      <c r="CU80" s="60">
        <f t="shared" si="436"/>
        <v>0</v>
      </c>
      <c r="CV80" s="59">
        <f t="shared" si="437"/>
        <v>0</v>
      </c>
      <c r="CW80" s="60">
        <f t="shared" si="438"/>
        <v>0</v>
      </c>
      <c r="CX80" s="59">
        <f t="shared" si="439"/>
        <v>0</v>
      </c>
      <c r="CY80" s="60">
        <f t="shared" si="440"/>
        <v>0</v>
      </c>
      <c r="CZ80" s="59">
        <f t="shared" si="441"/>
        <v>0</v>
      </c>
      <c r="DA80" s="55">
        <f t="shared" si="442"/>
        <v>0</v>
      </c>
      <c r="DB80" s="59">
        <f t="shared" si="443"/>
        <v>0</v>
      </c>
      <c r="DC80" s="60">
        <f t="shared" si="444"/>
        <v>0</v>
      </c>
      <c r="DD80" s="59">
        <f t="shared" si="445"/>
        <v>0</v>
      </c>
      <c r="DE80" s="60">
        <f t="shared" si="446"/>
        <v>0</v>
      </c>
      <c r="DF80" s="59">
        <f t="shared" si="447"/>
        <v>0</v>
      </c>
      <c r="DG80" s="60">
        <f t="shared" si="448"/>
        <v>0</v>
      </c>
      <c r="DH80" s="59">
        <f t="shared" si="449"/>
        <v>0</v>
      </c>
      <c r="DI80" s="60">
        <f t="shared" si="450"/>
        <v>0</v>
      </c>
      <c r="DJ80" s="59">
        <f t="shared" si="451"/>
        <v>0</v>
      </c>
      <c r="DK80" s="55">
        <f t="shared" si="452"/>
        <v>0</v>
      </c>
      <c r="DL80" s="59">
        <f t="shared" si="453"/>
        <v>0</v>
      </c>
      <c r="DM80" s="60">
        <f t="shared" si="454"/>
        <v>0</v>
      </c>
      <c r="DN80" s="59">
        <f t="shared" si="455"/>
        <v>0</v>
      </c>
      <c r="DO80" s="60">
        <f t="shared" si="456"/>
        <v>0</v>
      </c>
      <c r="DP80" s="59">
        <f t="shared" si="457"/>
        <v>0</v>
      </c>
      <c r="DQ80" s="55">
        <f t="shared" si="458"/>
        <v>0</v>
      </c>
      <c r="DR80" s="59">
        <f t="shared" si="459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11"/>
        <v>0.91</v>
      </c>
      <c r="DZ80" s="55">
        <f t="shared" si="511"/>
        <v>0.89</v>
      </c>
      <c r="EA80" s="55">
        <f t="shared" si="511"/>
        <v>0.87</v>
      </c>
      <c r="EB80" s="55">
        <f t="shared" si="511"/>
        <v>0.85</v>
      </c>
      <c r="EC80" s="55">
        <f t="shared" si="511"/>
        <v>0.83</v>
      </c>
      <c r="ED80" s="55">
        <f t="shared" si="511"/>
        <v>0.80999999999999994</v>
      </c>
      <c r="EE80" s="55">
        <f t="shared" si="511"/>
        <v>0.78999999999999992</v>
      </c>
      <c r="EF80" s="55">
        <f t="shared" si="511"/>
        <v>0.76999999999999991</v>
      </c>
      <c r="EG80" s="55">
        <f t="shared" si="511"/>
        <v>0.74999999999999989</v>
      </c>
      <c r="EH80" s="55">
        <f t="shared" si="511"/>
        <v>0.72999999999999987</v>
      </c>
      <c r="EI80" s="55">
        <f t="shared" si="511"/>
        <v>0.70999999999999985</v>
      </c>
      <c r="EJ80" s="55">
        <f t="shared" si="511"/>
        <v>0.68999999999999984</v>
      </c>
      <c r="EK80" s="55">
        <f t="shared" si="511"/>
        <v>0.66999999999999982</v>
      </c>
      <c r="EL80" s="55">
        <f t="shared" si="511"/>
        <v>0.6499999999999998</v>
      </c>
      <c r="EM80" s="55">
        <f t="shared" si="511"/>
        <v>0.62999999999999978</v>
      </c>
      <c r="EN80" s="55">
        <f t="shared" si="511"/>
        <v>0.60999999999999976</v>
      </c>
      <c r="EO80" s="55">
        <f t="shared" si="511"/>
        <v>0.58999999999999975</v>
      </c>
      <c r="EP80" s="55">
        <f t="shared" si="511"/>
        <v>0.56999999999999973</v>
      </c>
      <c r="ER80" s="55">
        <f t="shared" si="142"/>
        <v>0</v>
      </c>
      <c r="ES80" s="55">
        <f t="shared" si="116"/>
        <v>0</v>
      </c>
      <c r="ET80" s="59">
        <f t="shared" si="461"/>
        <v>0</v>
      </c>
      <c r="EU80" s="55">
        <f t="shared" si="462"/>
        <v>0</v>
      </c>
      <c r="EV80" s="59">
        <f t="shared" si="463"/>
        <v>0</v>
      </c>
      <c r="EW80" s="55">
        <f t="shared" si="464"/>
        <v>0</v>
      </c>
      <c r="EX80" s="59">
        <f t="shared" si="465"/>
        <v>0</v>
      </c>
      <c r="EY80" s="55">
        <f t="shared" si="466"/>
        <v>0</v>
      </c>
      <c r="EZ80" s="59">
        <f t="shared" si="467"/>
        <v>0</v>
      </c>
      <c r="FA80" s="57">
        <f t="shared" si="468"/>
        <v>0</v>
      </c>
      <c r="FB80" s="59">
        <f t="shared" si="469"/>
        <v>0</v>
      </c>
      <c r="FC80" s="55">
        <f t="shared" si="470"/>
        <v>0</v>
      </c>
      <c r="FD80" s="59">
        <f t="shared" si="471"/>
        <v>0</v>
      </c>
      <c r="FE80" s="57">
        <f t="shared" si="472"/>
        <v>0</v>
      </c>
      <c r="FF80" s="59">
        <f t="shared" si="473"/>
        <v>0</v>
      </c>
      <c r="FG80" s="60">
        <f t="shared" si="474"/>
        <v>0</v>
      </c>
      <c r="FH80" s="59">
        <f t="shared" si="475"/>
        <v>0</v>
      </c>
      <c r="FI80" s="57">
        <f t="shared" si="476"/>
        <v>0</v>
      </c>
      <c r="FJ80" s="59">
        <f t="shared" si="477"/>
        <v>0</v>
      </c>
      <c r="FK80" s="55">
        <f t="shared" si="478"/>
        <v>0</v>
      </c>
      <c r="FL80" s="59">
        <f t="shared" si="479"/>
        <v>0</v>
      </c>
      <c r="FM80" s="60">
        <f t="shared" si="480"/>
        <v>0</v>
      </c>
      <c r="FN80" s="59">
        <f t="shared" si="481"/>
        <v>0</v>
      </c>
      <c r="FO80" s="60">
        <f t="shared" si="482"/>
        <v>0</v>
      </c>
      <c r="FP80" s="59">
        <f t="shared" si="483"/>
        <v>0</v>
      </c>
      <c r="FQ80" s="60">
        <f t="shared" si="484"/>
        <v>0</v>
      </c>
      <c r="FR80" s="59">
        <f t="shared" si="485"/>
        <v>0</v>
      </c>
      <c r="FS80" s="55">
        <f t="shared" si="486"/>
        <v>0</v>
      </c>
      <c r="FT80" s="59">
        <f t="shared" si="487"/>
        <v>0</v>
      </c>
      <c r="FU80" s="60">
        <f t="shared" si="488"/>
        <v>0</v>
      </c>
      <c r="FV80" s="59">
        <f t="shared" si="489"/>
        <v>0</v>
      </c>
      <c r="FW80" s="60">
        <f t="shared" si="490"/>
        <v>0</v>
      </c>
      <c r="FX80" s="59">
        <f t="shared" si="491"/>
        <v>0</v>
      </c>
      <c r="FY80" s="60">
        <f t="shared" si="492"/>
        <v>0</v>
      </c>
      <c r="FZ80" s="59">
        <f t="shared" si="493"/>
        <v>0</v>
      </c>
      <c r="GA80" s="60">
        <f t="shared" si="494"/>
        <v>0</v>
      </c>
      <c r="GB80" s="59">
        <f t="shared" si="495"/>
        <v>0</v>
      </c>
      <c r="GC80" s="55">
        <f t="shared" si="496"/>
        <v>0</v>
      </c>
      <c r="GD80" s="59">
        <f t="shared" si="497"/>
        <v>0</v>
      </c>
      <c r="GE80" s="60">
        <f t="shared" si="498"/>
        <v>0</v>
      </c>
      <c r="GF80" s="59">
        <f t="shared" si="499"/>
        <v>0</v>
      </c>
      <c r="GG80" s="60">
        <f t="shared" si="500"/>
        <v>0</v>
      </c>
      <c r="GH80" s="59">
        <f t="shared" si="501"/>
        <v>0</v>
      </c>
      <c r="GI80" s="55">
        <f t="shared" si="502"/>
        <v>0</v>
      </c>
      <c r="GJ80" s="59">
        <f t="shared" si="503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12"/>
        <v>0.91</v>
      </c>
      <c r="GR80" s="55">
        <f t="shared" si="512"/>
        <v>0.89</v>
      </c>
      <c r="GS80" s="55">
        <f t="shared" si="512"/>
        <v>0.87</v>
      </c>
      <c r="GT80" s="55">
        <f t="shared" si="512"/>
        <v>0.85</v>
      </c>
      <c r="GU80" s="55">
        <f t="shared" si="512"/>
        <v>0.83</v>
      </c>
      <c r="GV80" s="55">
        <f t="shared" si="512"/>
        <v>0.80999999999999994</v>
      </c>
      <c r="GW80" s="55">
        <f t="shared" si="512"/>
        <v>0.78999999999999992</v>
      </c>
      <c r="GX80" s="55">
        <f t="shared" si="512"/>
        <v>0.76999999999999991</v>
      </c>
      <c r="GY80" s="55">
        <f t="shared" si="512"/>
        <v>0.74999999999999989</v>
      </c>
      <c r="GZ80" s="55">
        <f t="shared" si="512"/>
        <v>0.72999999999999987</v>
      </c>
      <c r="HA80" s="55">
        <f t="shared" si="512"/>
        <v>0.70999999999999985</v>
      </c>
      <c r="HB80" s="55">
        <f t="shared" si="512"/>
        <v>0.68999999999999984</v>
      </c>
      <c r="HC80" s="55">
        <f t="shared" si="512"/>
        <v>0.66999999999999982</v>
      </c>
      <c r="HD80" s="55">
        <f t="shared" si="512"/>
        <v>0.6499999999999998</v>
      </c>
      <c r="HE80" s="55">
        <f t="shared" si="512"/>
        <v>0.62999999999999978</v>
      </c>
      <c r="HF80" s="55">
        <f t="shared" si="512"/>
        <v>0.60999999999999976</v>
      </c>
      <c r="HG80" s="55">
        <f t="shared" si="512"/>
        <v>0.58999999999999975</v>
      </c>
      <c r="HH80" s="55">
        <f t="shared" si="512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72"/>
        <v>0</v>
      </c>
      <c r="H81" s="55">
        <f t="shared" si="373"/>
        <v>0</v>
      </c>
      <c r="I81" s="55">
        <f t="shared" si="62"/>
        <v>0</v>
      </c>
      <c r="J81" s="59">
        <f t="shared" si="63"/>
        <v>0</v>
      </c>
      <c r="K81" s="55">
        <f t="shared" si="374"/>
        <v>0</v>
      </c>
      <c r="L81" s="59">
        <f t="shared" si="375"/>
        <v>0</v>
      </c>
      <c r="M81" s="55">
        <f t="shared" si="376"/>
        <v>0</v>
      </c>
      <c r="N81" s="59">
        <f t="shared" si="377"/>
        <v>0</v>
      </c>
      <c r="O81" s="55">
        <f t="shared" si="378"/>
        <v>0</v>
      </c>
      <c r="P81" s="59">
        <f t="shared" si="379"/>
        <v>0</v>
      </c>
      <c r="Q81" s="57">
        <f t="shared" si="380"/>
        <v>0</v>
      </c>
      <c r="R81" s="59">
        <f t="shared" si="381"/>
        <v>0</v>
      </c>
      <c r="S81" s="55">
        <f t="shared" si="382"/>
        <v>0</v>
      </c>
      <c r="T81" s="59">
        <f t="shared" si="383"/>
        <v>0</v>
      </c>
      <c r="U81" s="57">
        <f t="shared" si="384"/>
        <v>0</v>
      </c>
      <c r="V81" s="59">
        <f t="shared" si="385"/>
        <v>0</v>
      </c>
      <c r="W81" s="60">
        <f t="shared" si="386"/>
        <v>0</v>
      </c>
      <c r="X81" s="59">
        <f t="shared" si="387"/>
        <v>0</v>
      </c>
      <c r="Y81" s="57">
        <f t="shared" si="388"/>
        <v>0</v>
      </c>
      <c r="Z81" s="59">
        <f t="shared" si="389"/>
        <v>0</v>
      </c>
      <c r="AA81" s="55">
        <f t="shared" si="390"/>
        <v>0</v>
      </c>
      <c r="AB81" s="59">
        <f t="shared" si="391"/>
        <v>0</v>
      </c>
      <c r="AC81" s="60">
        <f t="shared" si="392"/>
        <v>0</v>
      </c>
      <c r="AD81" s="59">
        <f t="shared" si="393"/>
        <v>0</v>
      </c>
      <c r="AE81" s="60">
        <f t="shared" si="394"/>
        <v>0</v>
      </c>
      <c r="AF81" s="59">
        <f t="shared" si="395"/>
        <v>0</v>
      </c>
      <c r="AG81" s="60">
        <f t="shared" si="396"/>
        <v>0</v>
      </c>
      <c r="AH81" s="59">
        <f t="shared" si="397"/>
        <v>0</v>
      </c>
      <c r="AI81" s="55">
        <f t="shared" si="398"/>
        <v>0</v>
      </c>
      <c r="AJ81" s="59">
        <f t="shared" si="399"/>
        <v>0</v>
      </c>
      <c r="AK81" s="60">
        <f t="shared" si="400"/>
        <v>0</v>
      </c>
      <c r="AL81" s="59">
        <f t="shared" si="401"/>
        <v>0</v>
      </c>
      <c r="AM81" s="60">
        <f t="shared" si="402"/>
        <v>0</v>
      </c>
      <c r="AN81" s="59">
        <f t="shared" si="403"/>
        <v>0</v>
      </c>
      <c r="AO81" s="60">
        <f t="shared" si="404"/>
        <v>0</v>
      </c>
      <c r="AP81" s="59">
        <f t="shared" si="405"/>
        <v>0</v>
      </c>
      <c r="AQ81" s="60">
        <f t="shared" si="406"/>
        <v>0</v>
      </c>
      <c r="AR81" s="59">
        <f t="shared" si="407"/>
        <v>0</v>
      </c>
      <c r="AS81" s="55">
        <f t="shared" si="408"/>
        <v>0</v>
      </c>
      <c r="AT81" s="59">
        <f t="shared" si="409"/>
        <v>0</v>
      </c>
      <c r="AU81" s="60">
        <f t="shared" si="410"/>
        <v>0</v>
      </c>
      <c r="AV81" s="59">
        <f t="shared" si="411"/>
        <v>0</v>
      </c>
      <c r="AW81" s="60">
        <f t="shared" si="412"/>
        <v>0</v>
      </c>
      <c r="AX81" s="59">
        <f t="shared" si="413"/>
        <v>0</v>
      </c>
      <c r="AY81" s="55">
        <f t="shared" si="414"/>
        <v>0</v>
      </c>
      <c r="AZ81" s="59">
        <f t="shared" si="415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8"/>
        <v>0.91</v>
      </c>
      <c r="BH81" s="55">
        <f t="shared" si="508"/>
        <v>0.89</v>
      </c>
      <c r="BI81" s="55">
        <f t="shared" si="508"/>
        <v>0.87</v>
      </c>
      <c r="BJ81" s="55">
        <f t="shared" si="508"/>
        <v>0.85</v>
      </c>
      <c r="BK81" s="55">
        <f t="shared" si="508"/>
        <v>0.83</v>
      </c>
      <c r="BL81" s="55">
        <f t="shared" si="508"/>
        <v>0.80999999999999994</v>
      </c>
      <c r="BM81" s="55">
        <f t="shared" si="508"/>
        <v>0.78999999999999992</v>
      </c>
      <c r="BN81" s="55">
        <f t="shared" si="508"/>
        <v>0.76999999999999991</v>
      </c>
      <c r="BO81" s="55">
        <f t="shared" si="508"/>
        <v>0.74999999999999989</v>
      </c>
      <c r="BP81" s="55">
        <f t="shared" si="508"/>
        <v>0.72999999999999987</v>
      </c>
      <c r="BQ81" s="55">
        <f t="shared" si="508"/>
        <v>0.70999999999999985</v>
      </c>
      <c r="BR81" s="55">
        <f t="shared" si="508"/>
        <v>0.68999999999999984</v>
      </c>
      <c r="BS81" s="55">
        <f t="shared" si="508"/>
        <v>0.66999999999999982</v>
      </c>
      <c r="BT81" s="55">
        <f t="shared" si="508"/>
        <v>0.6499999999999998</v>
      </c>
      <c r="BU81" s="55">
        <f t="shared" si="508"/>
        <v>0.62999999999999978</v>
      </c>
      <c r="BV81" s="55">
        <f t="shared" si="508"/>
        <v>0.60999999999999976</v>
      </c>
      <c r="BW81" s="55">
        <f t="shared" si="508"/>
        <v>0.58999999999999975</v>
      </c>
      <c r="BX81" s="55">
        <f t="shared" si="508"/>
        <v>0.56999999999999973</v>
      </c>
      <c r="BZ81" s="55">
        <f t="shared" si="88"/>
        <v>0</v>
      </c>
      <c r="CA81" s="55">
        <f t="shared" si="89"/>
        <v>0</v>
      </c>
      <c r="CB81" s="59">
        <f t="shared" si="417"/>
        <v>0</v>
      </c>
      <c r="CC81" s="55">
        <f t="shared" si="418"/>
        <v>0</v>
      </c>
      <c r="CD81" s="59">
        <f t="shared" si="419"/>
        <v>0</v>
      </c>
      <c r="CE81" s="55">
        <f t="shared" si="420"/>
        <v>0</v>
      </c>
      <c r="CF81" s="59">
        <f t="shared" si="421"/>
        <v>0</v>
      </c>
      <c r="CG81" s="55">
        <f t="shared" si="422"/>
        <v>0</v>
      </c>
      <c r="CH81" s="59">
        <f t="shared" si="423"/>
        <v>0</v>
      </c>
      <c r="CI81" s="57">
        <f t="shared" si="424"/>
        <v>0</v>
      </c>
      <c r="CJ81" s="59">
        <f t="shared" si="425"/>
        <v>0</v>
      </c>
      <c r="CK81" s="55">
        <f t="shared" si="426"/>
        <v>0</v>
      </c>
      <c r="CL81" s="59">
        <f t="shared" si="427"/>
        <v>0</v>
      </c>
      <c r="CM81" s="57">
        <f t="shared" si="428"/>
        <v>0</v>
      </c>
      <c r="CN81" s="59">
        <f t="shared" si="429"/>
        <v>0</v>
      </c>
      <c r="CO81" s="60">
        <f t="shared" si="430"/>
        <v>0</v>
      </c>
      <c r="CP81" s="59">
        <f t="shared" si="431"/>
        <v>0</v>
      </c>
      <c r="CQ81" s="57">
        <f t="shared" si="432"/>
        <v>0</v>
      </c>
      <c r="CR81" s="59">
        <f t="shared" si="433"/>
        <v>0</v>
      </c>
      <c r="CS81" s="55">
        <f t="shared" si="434"/>
        <v>0</v>
      </c>
      <c r="CT81" s="59">
        <f t="shared" si="435"/>
        <v>0</v>
      </c>
      <c r="CU81" s="60">
        <f t="shared" si="436"/>
        <v>0</v>
      </c>
      <c r="CV81" s="59">
        <f t="shared" si="437"/>
        <v>0</v>
      </c>
      <c r="CW81" s="60">
        <f t="shared" si="438"/>
        <v>0</v>
      </c>
      <c r="CX81" s="59">
        <f t="shared" si="439"/>
        <v>0</v>
      </c>
      <c r="CY81" s="60">
        <f t="shared" si="440"/>
        <v>0</v>
      </c>
      <c r="CZ81" s="59">
        <f t="shared" si="441"/>
        <v>0</v>
      </c>
      <c r="DA81" s="55">
        <f t="shared" si="442"/>
        <v>0</v>
      </c>
      <c r="DB81" s="59">
        <f t="shared" si="443"/>
        <v>0</v>
      </c>
      <c r="DC81" s="60">
        <f t="shared" si="444"/>
        <v>0</v>
      </c>
      <c r="DD81" s="59">
        <f t="shared" si="445"/>
        <v>0</v>
      </c>
      <c r="DE81" s="60">
        <f t="shared" si="446"/>
        <v>0</v>
      </c>
      <c r="DF81" s="59">
        <f t="shared" si="447"/>
        <v>0</v>
      </c>
      <c r="DG81" s="60">
        <f t="shared" si="448"/>
        <v>0</v>
      </c>
      <c r="DH81" s="59">
        <f t="shared" si="449"/>
        <v>0</v>
      </c>
      <c r="DI81" s="60">
        <f t="shared" si="450"/>
        <v>0</v>
      </c>
      <c r="DJ81" s="59">
        <f t="shared" si="451"/>
        <v>0</v>
      </c>
      <c r="DK81" s="55">
        <f t="shared" si="452"/>
        <v>0</v>
      </c>
      <c r="DL81" s="59">
        <f t="shared" si="453"/>
        <v>0</v>
      </c>
      <c r="DM81" s="60">
        <f t="shared" si="454"/>
        <v>0</v>
      </c>
      <c r="DN81" s="59">
        <f t="shared" si="455"/>
        <v>0</v>
      </c>
      <c r="DO81" s="60">
        <f t="shared" si="456"/>
        <v>0</v>
      </c>
      <c r="DP81" s="59">
        <f t="shared" si="457"/>
        <v>0</v>
      </c>
      <c r="DQ81" s="55">
        <f t="shared" si="458"/>
        <v>0</v>
      </c>
      <c r="DR81" s="59">
        <f t="shared" si="459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11"/>
        <v>0.91</v>
      </c>
      <c r="DZ81" s="55">
        <f t="shared" si="511"/>
        <v>0.89</v>
      </c>
      <c r="EA81" s="55">
        <f t="shared" si="511"/>
        <v>0.87</v>
      </c>
      <c r="EB81" s="55">
        <f t="shared" si="511"/>
        <v>0.85</v>
      </c>
      <c r="EC81" s="55">
        <f t="shared" si="511"/>
        <v>0.83</v>
      </c>
      <c r="ED81" s="55">
        <f t="shared" si="511"/>
        <v>0.80999999999999994</v>
      </c>
      <c r="EE81" s="55">
        <f t="shared" si="511"/>
        <v>0.78999999999999992</v>
      </c>
      <c r="EF81" s="55">
        <f t="shared" si="511"/>
        <v>0.76999999999999991</v>
      </c>
      <c r="EG81" s="55">
        <f t="shared" si="511"/>
        <v>0.74999999999999989</v>
      </c>
      <c r="EH81" s="55">
        <f t="shared" si="511"/>
        <v>0.72999999999999987</v>
      </c>
      <c r="EI81" s="55">
        <f t="shared" si="511"/>
        <v>0.70999999999999985</v>
      </c>
      <c r="EJ81" s="55">
        <f t="shared" si="511"/>
        <v>0.68999999999999984</v>
      </c>
      <c r="EK81" s="55">
        <f t="shared" si="511"/>
        <v>0.66999999999999982</v>
      </c>
      <c r="EL81" s="55">
        <f t="shared" si="511"/>
        <v>0.6499999999999998</v>
      </c>
      <c r="EM81" s="55">
        <f t="shared" si="511"/>
        <v>0.62999999999999978</v>
      </c>
      <c r="EN81" s="55">
        <f t="shared" si="511"/>
        <v>0.60999999999999976</v>
      </c>
      <c r="EO81" s="55">
        <f t="shared" si="511"/>
        <v>0.58999999999999975</v>
      </c>
      <c r="EP81" s="55">
        <f t="shared" si="511"/>
        <v>0.56999999999999973</v>
      </c>
      <c r="ER81" s="55">
        <f t="shared" si="142"/>
        <v>0</v>
      </c>
      <c r="ES81" s="55">
        <f t="shared" si="116"/>
        <v>0</v>
      </c>
      <c r="ET81" s="59">
        <f t="shared" si="461"/>
        <v>0</v>
      </c>
      <c r="EU81" s="55">
        <f t="shared" si="462"/>
        <v>0</v>
      </c>
      <c r="EV81" s="59">
        <f t="shared" si="463"/>
        <v>0</v>
      </c>
      <c r="EW81" s="55">
        <f t="shared" si="464"/>
        <v>0</v>
      </c>
      <c r="EX81" s="59">
        <f t="shared" si="465"/>
        <v>0</v>
      </c>
      <c r="EY81" s="55">
        <f t="shared" si="466"/>
        <v>0</v>
      </c>
      <c r="EZ81" s="59">
        <f t="shared" si="467"/>
        <v>0</v>
      </c>
      <c r="FA81" s="57">
        <f t="shared" si="468"/>
        <v>0</v>
      </c>
      <c r="FB81" s="59">
        <f t="shared" si="469"/>
        <v>0</v>
      </c>
      <c r="FC81" s="55">
        <f t="shared" si="470"/>
        <v>0</v>
      </c>
      <c r="FD81" s="59">
        <f t="shared" si="471"/>
        <v>0</v>
      </c>
      <c r="FE81" s="57">
        <f t="shared" si="472"/>
        <v>0</v>
      </c>
      <c r="FF81" s="59">
        <f t="shared" si="473"/>
        <v>0</v>
      </c>
      <c r="FG81" s="60">
        <f t="shared" si="474"/>
        <v>0</v>
      </c>
      <c r="FH81" s="59">
        <f t="shared" si="475"/>
        <v>0</v>
      </c>
      <c r="FI81" s="57">
        <f t="shared" si="476"/>
        <v>0</v>
      </c>
      <c r="FJ81" s="59">
        <f t="shared" si="477"/>
        <v>0</v>
      </c>
      <c r="FK81" s="55">
        <f t="shared" si="478"/>
        <v>0</v>
      </c>
      <c r="FL81" s="59">
        <f t="shared" si="479"/>
        <v>0</v>
      </c>
      <c r="FM81" s="60">
        <f t="shared" si="480"/>
        <v>0</v>
      </c>
      <c r="FN81" s="59">
        <f t="shared" si="481"/>
        <v>0</v>
      </c>
      <c r="FO81" s="60">
        <f t="shared" si="482"/>
        <v>0</v>
      </c>
      <c r="FP81" s="59">
        <f t="shared" si="483"/>
        <v>0</v>
      </c>
      <c r="FQ81" s="60">
        <f t="shared" si="484"/>
        <v>0</v>
      </c>
      <c r="FR81" s="59">
        <f t="shared" si="485"/>
        <v>0</v>
      </c>
      <c r="FS81" s="55">
        <f t="shared" si="486"/>
        <v>0</v>
      </c>
      <c r="FT81" s="59">
        <f t="shared" si="487"/>
        <v>0</v>
      </c>
      <c r="FU81" s="60">
        <f t="shared" si="488"/>
        <v>0</v>
      </c>
      <c r="FV81" s="59">
        <f t="shared" si="489"/>
        <v>0</v>
      </c>
      <c r="FW81" s="60">
        <f t="shared" si="490"/>
        <v>0</v>
      </c>
      <c r="FX81" s="59">
        <f t="shared" si="491"/>
        <v>0</v>
      </c>
      <c r="FY81" s="60">
        <f t="shared" si="492"/>
        <v>0</v>
      </c>
      <c r="FZ81" s="59">
        <f t="shared" si="493"/>
        <v>0</v>
      </c>
      <c r="GA81" s="60">
        <f t="shared" si="494"/>
        <v>0</v>
      </c>
      <c r="GB81" s="59">
        <f t="shared" si="495"/>
        <v>0</v>
      </c>
      <c r="GC81" s="55">
        <f t="shared" si="496"/>
        <v>0</v>
      </c>
      <c r="GD81" s="59">
        <f t="shared" si="497"/>
        <v>0</v>
      </c>
      <c r="GE81" s="60">
        <f t="shared" si="498"/>
        <v>0</v>
      </c>
      <c r="GF81" s="59">
        <f t="shared" si="499"/>
        <v>0</v>
      </c>
      <c r="GG81" s="60">
        <f t="shared" si="500"/>
        <v>0</v>
      </c>
      <c r="GH81" s="59">
        <f t="shared" si="501"/>
        <v>0</v>
      </c>
      <c r="GI81" s="55">
        <f t="shared" si="502"/>
        <v>0</v>
      </c>
      <c r="GJ81" s="59">
        <f t="shared" si="503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12"/>
        <v>0.91</v>
      </c>
      <c r="GR81" s="55">
        <f t="shared" si="512"/>
        <v>0.89</v>
      </c>
      <c r="GS81" s="55">
        <f t="shared" si="512"/>
        <v>0.87</v>
      </c>
      <c r="GT81" s="55">
        <f t="shared" si="512"/>
        <v>0.85</v>
      </c>
      <c r="GU81" s="55">
        <f t="shared" si="512"/>
        <v>0.83</v>
      </c>
      <c r="GV81" s="55">
        <f t="shared" si="512"/>
        <v>0.80999999999999994</v>
      </c>
      <c r="GW81" s="55">
        <f t="shared" si="512"/>
        <v>0.78999999999999992</v>
      </c>
      <c r="GX81" s="55">
        <f t="shared" si="512"/>
        <v>0.76999999999999991</v>
      </c>
      <c r="GY81" s="55">
        <f t="shared" si="512"/>
        <v>0.74999999999999989</v>
      </c>
      <c r="GZ81" s="55">
        <f t="shared" si="512"/>
        <v>0.72999999999999987</v>
      </c>
      <c r="HA81" s="55">
        <f t="shared" si="512"/>
        <v>0.70999999999999985</v>
      </c>
      <c r="HB81" s="55">
        <f t="shared" si="512"/>
        <v>0.68999999999999984</v>
      </c>
      <c r="HC81" s="55">
        <f t="shared" si="512"/>
        <v>0.66999999999999982</v>
      </c>
      <c r="HD81" s="55">
        <f t="shared" si="512"/>
        <v>0.6499999999999998</v>
      </c>
      <c r="HE81" s="55">
        <f t="shared" si="512"/>
        <v>0.62999999999999978</v>
      </c>
      <c r="HF81" s="55">
        <f t="shared" si="512"/>
        <v>0.60999999999999976</v>
      </c>
      <c r="HG81" s="55">
        <f t="shared" si="512"/>
        <v>0.58999999999999975</v>
      </c>
      <c r="HH81" s="55">
        <f t="shared" si="512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72"/>
        <v>0</v>
      </c>
      <c r="H82" s="55">
        <f t="shared" si="373"/>
        <v>0</v>
      </c>
      <c r="I82" s="55">
        <f t="shared" si="62"/>
        <v>0</v>
      </c>
      <c r="J82" s="59">
        <f t="shared" si="63"/>
        <v>0</v>
      </c>
      <c r="K82" s="55">
        <f t="shared" si="374"/>
        <v>0</v>
      </c>
      <c r="L82" s="59">
        <f t="shared" si="375"/>
        <v>0</v>
      </c>
      <c r="M82" s="55">
        <f t="shared" si="376"/>
        <v>0</v>
      </c>
      <c r="N82" s="59">
        <f t="shared" si="377"/>
        <v>0</v>
      </c>
      <c r="O82" s="55">
        <f t="shared" si="378"/>
        <v>0</v>
      </c>
      <c r="P82" s="59">
        <f t="shared" si="379"/>
        <v>0</v>
      </c>
      <c r="Q82" s="57">
        <f t="shared" si="380"/>
        <v>0</v>
      </c>
      <c r="R82" s="59">
        <f t="shared" si="381"/>
        <v>0</v>
      </c>
      <c r="S82" s="55">
        <f t="shared" si="382"/>
        <v>0</v>
      </c>
      <c r="T82" s="59">
        <f t="shared" si="383"/>
        <v>0</v>
      </c>
      <c r="U82" s="57">
        <f t="shared" si="384"/>
        <v>0</v>
      </c>
      <c r="V82" s="59">
        <f t="shared" si="385"/>
        <v>0</v>
      </c>
      <c r="W82" s="60">
        <f t="shared" si="386"/>
        <v>0</v>
      </c>
      <c r="X82" s="59">
        <f t="shared" si="387"/>
        <v>0</v>
      </c>
      <c r="Y82" s="57">
        <f t="shared" si="388"/>
        <v>0</v>
      </c>
      <c r="Z82" s="59">
        <f t="shared" si="389"/>
        <v>0</v>
      </c>
      <c r="AA82" s="55">
        <f t="shared" si="390"/>
        <v>0</v>
      </c>
      <c r="AB82" s="59">
        <f t="shared" si="391"/>
        <v>0</v>
      </c>
      <c r="AC82" s="60">
        <f t="shared" si="392"/>
        <v>0</v>
      </c>
      <c r="AD82" s="59">
        <f t="shared" si="393"/>
        <v>0</v>
      </c>
      <c r="AE82" s="60">
        <f t="shared" si="394"/>
        <v>0</v>
      </c>
      <c r="AF82" s="59">
        <f t="shared" si="395"/>
        <v>0</v>
      </c>
      <c r="AG82" s="60">
        <f t="shared" si="396"/>
        <v>0</v>
      </c>
      <c r="AH82" s="59">
        <f t="shared" si="397"/>
        <v>0</v>
      </c>
      <c r="AI82" s="55">
        <f t="shared" si="398"/>
        <v>0</v>
      </c>
      <c r="AJ82" s="59">
        <f t="shared" si="399"/>
        <v>0</v>
      </c>
      <c r="AK82" s="60">
        <f t="shared" si="400"/>
        <v>0</v>
      </c>
      <c r="AL82" s="59">
        <f t="shared" si="401"/>
        <v>0</v>
      </c>
      <c r="AM82" s="60">
        <f t="shared" si="402"/>
        <v>0</v>
      </c>
      <c r="AN82" s="59">
        <f t="shared" si="403"/>
        <v>0</v>
      </c>
      <c r="AO82" s="60">
        <f t="shared" si="404"/>
        <v>0</v>
      </c>
      <c r="AP82" s="59">
        <f t="shared" si="405"/>
        <v>0</v>
      </c>
      <c r="AQ82" s="60">
        <f t="shared" si="406"/>
        <v>0</v>
      </c>
      <c r="AR82" s="59">
        <f t="shared" si="407"/>
        <v>0</v>
      </c>
      <c r="AS82" s="55">
        <f t="shared" si="408"/>
        <v>0</v>
      </c>
      <c r="AT82" s="59">
        <f t="shared" si="409"/>
        <v>0</v>
      </c>
      <c r="AU82" s="60">
        <f t="shared" si="410"/>
        <v>0</v>
      </c>
      <c r="AV82" s="59">
        <f t="shared" si="411"/>
        <v>0</v>
      </c>
      <c r="AW82" s="60">
        <f t="shared" si="412"/>
        <v>0</v>
      </c>
      <c r="AX82" s="59">
        <f t="shared" si="413"/>
        <v>0</v>
      </c>
      <c r="AY82" s="55">
        <f t="shared" si="414"/>
        <v>0</v>
      </c>
      <c r="AZ82" s="59">
        <f t="shared" si="415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8"/>
        <v>0.91</v>
      </c>
      <c r="BH82" s="55">
        <f t="shared" si="508"/>
        <v>0.89</v>
      </c>
      <c r="BI82" s="55">
        <f t="shared" si="508"/>
        <v>0.87</v>
      </c>
      <c r="BJ82" s="55">
        <f t="shared" si="508"/>
        <v>0.85</v>
      </c>
      <c r="BK82" s="55">
        <f t="shared" si="508"/>
        <v>0.83</v>
      </c>
      <c r="BL82" s="55">
        <f t="shared" si="508"/>
        <v>0.80999999999999994</v>
      </c>
      <c r="BM82" s="55">
        <f t="shared" si="508"/>
        <v>0.78999999999999992</v>
      </c>
      <c r="BN82" s="55">
        <f t="shared" si="508"/>
        <v>0.76999999999999991</v>
      </c>
      <c r="BO82" s="55">
        <f t="shared" si="508"/>
        <v>0.74999999999999989</v>
      </c>
      <c r="BP82" s="55">
        <f t="shared" si="508"/>
        <v>0.72999999999999987</v>
      </c>
      <c r="BQ82" s="55">
        <f t="shared" si="508"/>
        <v>0.70999999999999985</v>
      </c>
      <c r="BR82" s="55">
        <f t="shared" si="508"/>
        <v>0.68999999999999984</v>
      </c>
      <c r="BS82" s="55">
        <f t="shared" si="508"/>
        <v>0.66999999999999982</v>
      </c>
      <c r="BT82" s="55">
        <f t="shared" si="508"/>
        <v>0.6499999999999998</v>
      </c>
      <c r="BU82" s="55">
        <f t="shared" si="508"/>
        <v>0.62999999999999978</v>
      </c>
      <c r="BV82" s="55">
        <f t="shared" si="508"/>
        <v>0.60999999999999976</v>
      </c>
      <c r="BW82" s="55">
        <f t="shared" si="508"/>
        <v>0.58999999999999975</v>
      </c>
      <c r="BX82" s="55">
        <f t="shared" si="508"/>
        <v>0.56999999999999973</v>
      </c>
      <c r="BZ82" s="55">
        <f t="shared" si="88"/>
        <v>0</v>
      </c>
      <c r="CA82" s="55">
        <f t="shared" si="89"/>
        <v>0</v>
      </c>
      <c r="CB82" s="59">
        <f t="shared" si="417"/>
        <v>0</v>
      </c>
      <c r="CC82" s="55">
        <f t="shared" si="418"/>
        <v>0</v>
      </c>
      <c r="CD82" s="59">
        <f t="shared" si="419"/>
        <v>0</v>
      </c>
      <c r="CE82" s="55">
        <f t="shared" si="420"/>
        <v>0</v>
      </c>
      <c r="CF82" s="59">
        <f t="shared" si="421"/>
        <v>0</v>
      </c>
      <c r="CG82" s="55">
        <f t="shared" si="422"/>
        <v>0</v>
      </c>
      <c r="CH82" s="59">
        <f t="shared" si="423"/>
        <v>0</v>
      </c>
      <c r="CI82" s="57">
        <f t="shared" si="424"/>
        <v>0</v>
      </c>
      <c r="CJ82" s="59">
        <f t="shared" si="425"/>
        <v>0</v>
      </c>
      <c r="CK82" s="55">
        <f t="shared" si="426"/>
        <v>0</v>
      </c>
      <c r="CL82" s="59">
        <f t="shared" si="427"/>
        <v>0</v>
      </c>
      <c r="CM82" s="57">
        <f t="shared" si="428"/>
        <v>0</v>
      </c>
      <c r="CN82" s="59">
        <f t="shared" si="429"/>
        <v>0</v>
      </c>
      <c r="CO82" s="60">
        <f t="shared" si="430"/>
        <v>0</v>
      </c>
      <c r="CP82" s="59">
        <f t="shared" si="431"/>
        <v>0</v>
      </c>
      <c r="CQ82" s="57">
        <f t="shared" si="432"/>
        <v>0</v>
      </c>
      <c r="CR82" s="59">
        <f t="shared" si="433"/>
        <v>0</v>
      </c>
      <c r="CS82" s="55">
        <f t="shared" si="434"/>
        <v>0</v>
      </c>
      <c r="CT82" s="59">
        <f t="shared" si="435"/>
        <v>0</v>
      </c>
      <c r="CU82" s="60">
        <f t="shared" si="436"/>
        <v>0</v>
      </c>
      <c r="CV82" s="59">
        <f t="shared" si="437"/>
        <v>0</v>
      </c>
      <c r="CW82" s="60">
        <f t="shared" si="438"/>
        <v>0</v>
      </c>
      <c r="CX82" s="59">
        <f t="shared" si="439"/>
        <v>0</v>
      </c>
      <c r="CY82" s="60">
        <f t="shared" si="440"/>
        <v>0</v>
      </c>
      <c r="CZ82" s="59">
        <f t="shared" si="441"/>
        <v>0</v>
      </c>
      <c r="DA82" s="55">
        <f t="shared" si="442"/>
        <v>0</v>
      </c>
      <c r="DB82" s="59">
        <f t="shared" si="443"/>
        <v>0</v>
      </c>
      <c r="DC82" s="60">
        <f t="shared" si="444"/>
        <v>0</v>
      </c>
      <c r="DD82" s="59">
        <f t="shared" si="445"/>
        <v>0</v>
      </c>
      <c r="DE82" s="60">
        <f t="shared" si="446"/>
        <v>0</v>
      </c>
      <c r="DF82" s="59">
        <f t="shared" si="447"/>
        <v>0</v>
      </c>
      <c r="DG82" s="60">
        <f t="shared" si="448"/>
        <v>0</v>
      </c>
      <c r="DH82" s="59">
        <f t="shared" si="449"/>
        <v>0</v>
      </c>
      <c r="DI82" s="60">
        <f t="shared" si="450"/>
        <v>0</v>
      </c>
      <c r="DJ82" s="59">
        <f t="shared" si="451"/>
        <v>0</v>
      </c>
      <c r="DK82" s="55">
        <f t="shared" si="452"/>
        <v>0</v>
      </c>
      <c r="DL82" s="59">
        <f t="shared" si="453"/>
        <v>0</v>
      </c>
      <c r="DM82" s="60">
        <f t="shared" si="454"/>
        <v>0</v>
      </c>
      <c r="DN82" s="59">
        <f t="shared" si="455"/>
        <v>0</v>
      </c>
      <c r="DO82" s="60">
        <f t="shared" si="456"/>
        <v>0</v>
      </c>
      <c r="DP82" s="59">
        <f t="shared" si="457"/>
        <v>0</v>
      </c>
      <c r="DQ82" s="55">
        <f t="shared" si="458"/>
        <v>0</v>
      </c>
      <c r="DR82" s="59">
        <f t="shared" si="459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11"/>
        <v>0.91</v>
      </c>
      <c r="DZ82" s="55">
        <f t="shared" si="511"/>
        <v>0.89</v>
      </c>
      <c r="EA82" s="55">
        <f t="shared" si="511"/>
        <v>0.87</v>
      </c>
      <c r="EB82" s="55">
        <f t="shared" si="511"/>
        <v>0.85</v>
      </c>
      <c r="EC82" s="55">
        <f t="shared" si="511"/>
        <v>0.83</v>
      </c>
      <c r="ED82" s="55">
        <f t="shared" si="511"/>
        <v>0.80999999999999994</v>
      </c>
      <c r="EE82" s="55">
        <f t="shared" si="511"/>
        <v>0.78999999999999992</v>
      </c>
      <c r="EF82" s="55">
        <f t="shared" si="511"/>
        <v>0.76999999999999991</v>
      </c>
      <c r="EG82" s="55">
        <f t="shared" si="511"/>
        <v>0.74999999999999989</v>
      </c>
      <c r="EH82" s="55">
        <f t="shared" si="511"/>
        <v>0.72999999999999987</v>
      </c>
      <c r="EI82" s="55">
        <f t="shared" si="511"/>
        <v>0.70999999999999985</v>
      </c>
      <c r="EJ82" s="55">
        <f t="shared" si="511"/>
        <v>0.68999999999999984</v>
      </c>
      <c r="EK82" s="55">
        <f t="shared" si="511"/>
        <v>0.66999999999999982</v>
      </c>
      <c r="EL82" s="55">
        <f t="shared" si="511"/>
        <v>0.6499999999999998</v>
      </c>
      <c r="EM82" s="55">
        <f t="shared" si="511"/>
        <v>0.62999999999999978</v>
      </c>
      <c r="EN82" s="55">
        <f t="shared" si="511"/>
        <v>0.60999999999999976</v>
      </c>
      <c r="EO82" s="55">
        <f t="shared" si="511"/>
        <v>0.58999999999999975</v>
      </c>
      <c r="EP82" s="55">
        <f t="shared" si="511"/>
        <v>0.56999999999999973</v>
      </c>
      <c r="ER82" s="55">
        <f t="shared" si="142"/>
        <v>0</v>
      </c>
      <c r="ES82" s="55">
        <f t="shared" si="116"/>
        <v>0</v>
      </c>
      <c r="ET82" s="59">
        <f t="shared" si="461"/>
        <v>0</v>
      </c>
      <c r="EU82" s="55">
        <f t="shared" si="462"/>
        <v>0</v>
      </c>
      <c r="EV82" s="59">
        <f t="shared" si="463"/>
        <v>0</v>
      </c>
      <c r="EW82" s="55">
        <f t="shared" si="464"/>
        <v>0</v>
      </c>
      <c r="EX82" s="59">
        <f t="shared" si="465"/>
        <v>0</v>
      </c>
      <c r="EY82" s="55">
        <f t="shared" si="466"/>
        <v>0</v>
      </c>
      <c r="EZ82" s="59">
        <f t="shared" si="467"/>
        <v>0</v>
      </c>
      <c r="FA82" s="57">
        <f t="shared" si="468"/>
        <v>0</v>
      </c>
      <c r="FB82" s="59">
        <f t="shared" si="469"/>
        <v>0</v>
      </c>
      <c r="FC82" s="55">
        <f t="shared" si="470"/>
        <v>0</v>
      </c>
      <c r="FD82" s="59">
        <f t="shared" si="471"/>
        <v>0</v>
      </c>
      <c r="FE82" s="57">
        <f t="shared" si="472"/>
        <v>0</v>
      </c>
      <c r="FF82" s="59">
        <f t="shared" si="473"/>
        <v>0</v>
      </c>
      <c r="FG82" s="60">
        <f t="shared" si="474"/>
        <v>0</v>
      </c>
      <c r="FH82" s="59">
        <f t="shared" si="475"/>
        <v>0</v>
      </c>
      <c r="FI82" s="57">
        <f t="shared" si="476"/>
        <v>0</v>
      </c>
      <c r="FJ82" s="59">
        <f t="shared" si="477"/>
        <v>0</v>
      </c>
      <c r="FK82" s="55">
        <f t="shared" si="478"/>
        <v>0</v>
      </c>
      <c r="FL82" s="59">
        <f t="shared" si="479"/>
        <v>0</v>
      </c>
      <c r="FM82" s="60">
        <f t="shared" si="480"/>
        <v>0</v>
      </c>
      <c r="FN82" s="59">
        <f t="shared" si="481"/>
        <v>0</v>
      </c>
      <c r="FO82" s="60">
        <f t="shared" si="482"/>
        <v>0</v>
      </c>
      <c r="FP82" s="59">
        <f t="shared" si="483"/>
        <v>0</v>
      </c>
      <c r="FQ82" s="60">
        <f t="shared" si="484"/>
        <v>0</v>
      </c>
      <c r="FR82" s="59">
        <f t="shared" si="485"/>
        <v>0</v>
      </c>
      <c r="FS82" s="55">
        <f t="shared" si="486"/>
        <v>0</v>
      </c>
      <c r="FT82" s="59">
        <f t="shared" si="487"/>
        <v>0</v>
      </c>
      <c r="FU82" s="60">
        <f t="shared" si="488"/>
        <v>0</v>
      </c>
      <c r="FV82" s="59">
        <f t="shared" si="489"/>
        <v>0</v>
      </c>
      <c r="FW82" s="60">
        <f t="shared" si="490"/>
        <v>0</v>
      </c>
      <c r="FX82" s="59">
        <f t="shared" si="491"/>
        <v>0</v>
      </c>
      <c r="FY82" s="60">
        <f t="shared" si="492"/>
        <v>0</v>
      </c>
      <c r="FZ82" s="59">
        <f t="shared" si="493"/>
        <v>0</v>
      </c>
      <c r="GA82" s="60">
        <f t="shared" si="494"/>
        <v>0</v>
      </c>
      <c r="GB82" s="59">
        <f t="shared" si="495"/>
        <v>0</v>
      </c>
      <c r="GC82" s="55">
        <f t="shared" si="496"/>
        <v>0</v>
      </c>
      <c r="GD82" s="59">
        <f t="shared" si="497"/>
        <v>0</v>
      </c>
      <c r="GE82" s="60">
        <f t="shared" si="498"/>
        <v>0</v>
      </c>
      <c r="GF82" s="59">
        <f t="shared" si="499"/>
        <v>0</v>
      </c>
      <c r="GG82" s="60">
        <f t="shared" si="500"/>
        <v>0</v>
      </c>
      <c r="GH82" s="59">
        <f t="shared" si="501"/>
        <v>0</v>
      </c>
      <c r="GI82" s="55">
        <f t="shared" si="502"/>
        <v>0</v>
      </c>
      <c r="GJ82" s="59">
        <f t="shared" si="503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12"/>
        <v>0.91</v>
      </c>
      <c r="GR82" s="55">
        <f t="shared" si="512"/>
        <v>0.89</v>
      </c>
      <c r="GS82" s="55">
        <f t="shared" si="512"/>
        <v>0.87</v>
      </c>
      <c r="GT82" s="55">
        <f t="shared" si="512"/>
        <v>0.85</v>
      </c>
      <c r="GU82" s="55">
        <f t="shared" si="512"/>
        <v>0.83</v>
      </c>
      <c r="GV82" s="55">
        <f t="shared" si="512"/>
        <v>0.80999999999999994</v>
      </c>
      <c r="GW82" s="55">
        <f t="shared" si="512"/>
        <v>0.78999999999999992</v>
      </c>
      <c r="GX82" s="55">
        <f t="shared" si="512"/>
        <v>0.76999999999999991</v>
      </c>
      <c r="GY82" s="55">
        <f t="shared" si="512"/>
        <v>0.74999999999999989</v>
      </c>
      <c r="GZ82" s="55">
        <f t="shared" si="512"/>
        <v>0.72999999999999987</v>
      </c>
      <c r="HA82" s="55">
        <f t="shared" si="512"/>
        <v>0.70999999999999985</v>
      </c>
      <c r="HB82" s="55">
        <f t="shared" si="512"/>
        <v>0.68999999999999984</v>
      </c>
      <c r="HC82" s="55">
        <f t="shared" si="512"/>
        <v>0.66999999999999982</v>
      </c>
      <c r="HD82" s="55">
        <f t="shared" si="512"/>
        <v>0.6499999999999998</v>
      </c>
      <c r="HE82" s="55">
        <f t="shared" si="512"/>
        <v>0.62999999999999978</v>
      </c>
      <c r="HF82" s="55">
        <f t="shared" si="512"/>
        <v>0.60999999999999976</v>
      </c>
      <c r="HG82" s="55">
        <f t="shared" si="512"/>
        <v>0.58999999999999975</v>
      </c>
      <c r="HH82" s="55">
        <f t="shared" si="512"/>
        <v>0.56999999999999973</v>
      </c>
    </row>
    <row r="83" spans="1:216" x14ac:dyDescent="0.3">
      <c r="A83" s="2">
        <v>21</v>
      </c>
      <c r="C83" s="38" t="s">
        <v>35</v>
      </c>
      <c r="D83" s="42">
        <f>TRUNC(8852,-1)</f>
        <v>8850</v>
      </c>
      <c r="E83" s="71">
        <f t="shared" si="372"/>
        <v>29250</v>
      </c>
      <c r="H83" s="55">
        <f t="shared" si="373"/>
        <v>9735</v>
      </c>
      <c r="I83" s="55">
        <f t="shared" si="62"/>
        <v>9735</v>
      </c>
      <c r="J83" s="59">
        <f t="shared" si="63"/>
        <v>32181.963</v>
      </c>
      <c r="K83" s="55">
        <f t="shared" si="374"/>
        <v>9442.9499999999989</v>
      </c>
      <c r="L83" s="59">
        <f t="shared" si="375"/>
        <v>31216.504109999998</v>
      </c>
      <c r="M83" s="55">
        <f t="shared" si="376"/>
        <v>9248.25</v>
      </c>
      <c r="N83" s="59">
        <f t="shared" si="377"/>
        <v>30572.864850000002</v>
      </c>
      <c r="O83" s="55">
        <f t="shared" si="378"/>
        <v>9053.5500000000011</v>
      </c>
      <c r="P83" s="59">
        <f t="shared" si="379"/>
        <v>29929.225590000005</v>
      </c>
      <c r="Q83" s="57">
        <f t="shared" si="380"/>
        <v>8858.85</v>
      </c>
      <c r="R83" s="59">
        <f t="shared" si="381"/>
        <v>29285.586330000002</v>
      </c>
      <c r="S83" s="55">
        <f t="shared" si="382"/>
        <v>8664.15</v>
      </c>
      <c r="T83" s="59">
        <f t="shared" si="383"/>
        <v>28641.947069999998</v>
      </c>
      <c r="U83" s="57">
        <f t="shared" si="384"/>
        <v>8469.4500000000007</v>
      </c>
      <c r="V83" s="59">
        <f t="shared" si="385"/>
        <v>27998.307810000002</v>
      </c>
      <c r="W83" s="60">
        <f t="shared" si="386"/>
        <v>8274.75</v>
      </c>
      <c r="X83" s="59">
        <f t="shared" si="387"/>
        <v>27354.668550000002</v>
      </c>
      <c r="Y83" s="57">
        <f t="shared" si="388"/>
        <v>8080.0499999999993</v>
      </c>
      <c r="Z83" s="59">
        <f t="shared" si="389"/>
        <v>26711.029289999999</v>
      </c>
      <c r="AA83" s="55">
        <f t="shared" si="390"/>
        <v>7885.3499999999995</v>
      </c>
      <c r="AB83" s="59">
        <f t="shared" si="391"/>
        <v>26067.390029999999</v>
      </c>
      <c r="AC83" s="60">
        <f t="shared" si="392"/>
        <v>7690.65</v>
      </c>
      <c r="AD83" s="59">
        <f t="shared" si="393"/>
        <v>25423.750769999999</v>
      </c>
      <c r="AE83" s="60">
        <f t="shared" si="394"/>
        <v>7495.9499999999989</v>
      </c>
      <c r="AF83" s="59">
        <f t="shared" si="395"/>
        <v>24780.111509999995</v>
      </c>
      <c r="AG83" s="60">
        <f t="shared" si="396"/>
        <v>7301.2499999999991</v>
      </c>
      <c r="AH83" s="59">
        <f t="shared" si="397"/>
        <v>24136.472249999999</v>
      </c>
      <c r="AI83" s="55">
        <f t="shared" si="398"/>
        <v>7106.5499999999984</v>
      </c>
      <c r="AJ83" s="59">
        <f t="shared" si="399"/>
        <v>23492.832989999995</v>
      </c>
      <c r="AK83" s="60">
        <f t="shared" si="400"/>
        <v>6911.8499999999985</v>
      </c>
      <c r="AL83" s="59">
        <f t="shared" si="401"/>
        <v>22849.193729999995</v>
      </c>
      <c r="AM83" s="60">
        <f t="shared" si="402"/>
        <v>6717.1499999999987</v>
      </c>
      <c r="AN83" s="59">
        <f t="shared" si="403"/>
        <v>22205.554469999995</v>
      </c>
      <c r="AO83" s="60">
        <f t="shared" si="404"/>
        <v>6522.449999999998</v>
      </c>
      <c r="AP83" s="59">
        <f t="shared" si="405"/>
        <v>21561.915209999996</v>
      </c>
      <c r="AQ83" s="60">
        <f t="shared" si="406"/>
        <v>6327.7499999999982</v>
      </c>
      <c r="AR83" s="59">
        <f t="shared" si="407"/>
        <v>20918.275949999996</v>
      </c>
      <c r="AS83" s="55">
        <f t="shared" si="408"/>
        <v>6133.0499999999975</v>
      </c>
      <c r="AT83" s="59">
        <f t="shared" si="409"/>
        <v>20274.636689999992</v>
      </c>
      <c r="AU83" s="60">
        <f t="shared" si="410"/>
        <v>5938.3499999999976</v>
      </c>
      <c r="AV83" s="59">
        <f t="shared" si="411"/>
        <v>19630.997429999992</v>
      </c>
      <c r="AW83" s="60">
        <f t="shared" si="412"/>
        <v>5743.6499999999978</v>
      </c>
      <c r="AX83" s="59">
        <f t="shared" si="413"/>
        <v>18987.358169999992</v>
      </c>
      <c r="AY83" s="55">
        <f t="shared" si="414"/>
        <v>5548.9499999999971</v>
      </c>
      <c r="AZ83" s="59">
        <f t="shared" si="415"/>
        <v>18343.718909999992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8"/>
        <v>0.91</v>
      </c>
      <c r="BH83" s="55">
        <f t="shared" si="508"/>
        <v>0.89</v>
      </c>
      <c r="BI83" s="55">
        <f t="shared" si="508"/>
        <v>0.87</v>
      </c>
      <c r="BJ83" s="55">
        <f t="shared" si="508"/>
        <v>0.85</v>
      </c>
      <c r="BK83" s="55">
        <f t="shared" si="508"/>
        <v>0.83</v>
      </c>
      <c r="BL83" s="55">
        <f t="shared" si="508"/>
        <v>0.80999999999999994</v>
      </c>
      <c r="BM83" s="55">
        <f t="shared" si="508"/>
        <v>0.78999999999999992</v>
      </c>
      <c r="BN83" s="55">
        <f t="shared" si="508"/>
        <v>0.76999999999999991</v>
      </c>
      <c r="BO83" s="55">
        <f t="shared" si="508"/>
        <v>0.74999999999999989</v>
      </c>
      <c r="BP83" s="55">
        <f t="shared" si="508"/>
        <v>0.72999999999999987</v>
      </c>
      <c r="BQ83" s="55">
        <f t="shared" si="508"/>
        <v>0.70999999999999985</v>
      </c>
      <c r="BR83" s="55">
        <f t="shared" si="508"/>
        <v>0.68999999999999984</v>
      </c>
      <c r="BS83" s="55">
        <f t="shared" si="508"/>
        <v>0.66999999999999982</v>
      </c>
      <c r="BT83" s="55">
        <f t="shared" si="508"/>
        <v>0.6499999999999998</v>
      </c>
      <c r="BU83" s="55">
        <f t="shared" si="508"/>
        <v>0.62999999999999978</v>
      </c>
      <c r="BV83" s="55">
        <f t="shared" si="508"/>
        <v>0.60999999999999976</v>
      </c>
      <c r="BW83" s="55">
        <f t="shared" si="508"/>
        <v>0.58999999999999975</v>
      </c>
      <c r="BX83" s="55">
        <f t="shared" si="508"/>
        <v>0.56999999999999973</v>
      </c>
      <c r="BZ83" s="55">
        <f t="shared" si="88"/>
        <v>8858.85</v>
      </c>
      <c r="CA83" s="55">
        <f t="shared" si="89"/>
        <v>8858.85</v>
      </c>
      <c r="CB83" s="59">
        <f t="shared" si="417"/>
        <v>29285.586330000002</v>
      </c>
      <c r="CC83" s="55">
        <f t="shared" si="418"/>
        <v>8593.0845000000008</v>
      </c>
      <c r="CD83" s="59">
        <f t="shared" si="419"/>
        <v>28407.018740100004</v>
      </c>
      <c r="CE83" s="55">
        <f t="shared" si="420"/>
        <v>8415.9074999999993</v>
      </c>
      <c r="CF83" s="59">
        <f t="shared" si="421"/>
        <v>27821.307013499998</v>
      </c>
      <c r="CG83" s="55">
        <f t="shared" si="422"/>
        <v>8238.7305000000015</v>
      </c>
      <c r="CH83" s="59">
        <f t="shared" si="423"/>
        <v>27235.595286900007</v>
      </c>
      <c r="CI83" s="57">
        <f t="shared" si="424"/>
        <v>8061.5535000000009</v>
      </c>
      <c r="CJ83" s="59">
        <f t="shared" si="425"/>
        <v>26649.883560300004</v>
      </c>
      <c r="CK83" s="55">
        <f t="shared" si="426"/>
        <v>7884.3765000000003</v>
      </c>
      <c r="CL83" s="59">
        <f t="shared" si="427"/>
        <v>26064.171833700002</v>
      </c>
      <c r="CM83" s="57">
        <f t="shared" si="428"/>
        <v>7707.1995000000006</v>
      </c>
      <c r="CN83" s="59">
        <f t="shared" si="429"/>
        <v>25478.460107100003</v>
      </c>
      <c r="CO83" s="60">
        <f t="shared" si="430"/>
        <v>7530.0225</v>
      </c>
      <c r="CP83" s="59">
        <f t="shared" si="431"/>
        <v>24892.748380500001</v>
      </c>
      <c r="CQ83" s="57">
        <f t="shared" si="432"/>
        <v>7352.8455000000004</v>
      </c>
      <c r="CR83" s="59">
        <f t="shared" si="433"/>
        <v>24307.036653900002</v>
      </c>
      <c r="CS83" s="55">
        <f t="shared" si="434"/>
        <v>7175.6684999999998</v>
      </c>
      <c r="CT83" s="59">
        <f t="shared" si="435"/>
        <v>23721.3249273</v>
      </c>
      <c r="CU83" s="60">
        <f t="shared" si="436"/>
        <v>6998.4914999999992</v>
      </c>
      <c r="CV83" s="59">
        <f t="shared" si="437"/>
        <v>23135.613200699998</v>
      </c>
      <c r="CW83" s="60">
        <f t="shared" si="438"/>
        <v>6821.3144999999995</v>
      </c>
      <c r="CX83" s="59">
        <f t="shared" si="439"/>
        <v>22549.901474099999</v>
      </c>
      <c r="CY83" s="60">
        <f t="shared" si="440"/>
        <v>6644.1374999999989</v>
      </c>
      <c r="CZ83" s="59">
        <f t="shared" si="441"/>
        <v>21964.189747499997</v>
      </c>
      <c r="DA83" s="55">
        <f t="shared" si="442"/>
        <v>6466.9604999999992</v>
      </c>
      <c r="DB83" s="59">
        <f t="shared" si="443"/>
        <v>21378.478020899998</v>
      </c>
      <c r="DC83" s="60">
        <f t="shared" si="444"/>
        <v>6289.7834999999986</v>
      </c>
      <c r="DD83" s="59">
        <f t="shared" si="445"/>
        <v>20792.766294299996</v>
      </c>
      <c r="DE83" s="60">
        <f t="shared" si="446"/>
        <v>6112.606499999999</v>
      </c>
      <c r="DF83" s="59">
        <f t="shared" si="447"/>
        <v>20207.054567699997</v>
      </c>
      <c r="DG83" s="60">
        <f t="shared" si="448"/>
        <v>5935.4294999999984</v>
      </c>
      <c r="DH83" s="59">
        <f t="shared" si="449"/>
        <v>19621.342841099995</v>
      </c>
      <c r="DI83" s="60">
        <f t="shared" si="450"/>
        <v>5758.2524999999987</v>
      </c>
      <c r="DJ83" s="59">
        <f t="shared" si="451"/>
        <v>19035.631114499996</v>
      </c>
      <c r="DK83" s="55">
        <f t="shared" si="452"/>
        <v>5581.0754999999981</v>
      </c>
      <c r="DL83" s="59">
        <f t="shared" si="453"/>
        <v>18449.919387899994</v>
      </c>
      <c r="DM83" s="60">
        <f t="shared" si="454"/>
        <v>5403.8984999999984</v>
      </c>
      <c r="DN83" s="59">
        <f t="shared" si="455"/>
        <v>17864.207661299995</v>
      </c>
      <c r="DO83" s="60">
        <f t="shared" si="456"/>
        <v>5226.7214999999978</v>
      </c>
      <c r="DP83" s="59">
        <f t="shared" si="457"/>
        <v>17278.495934699993</v>
      </c>
      <c r="DQ83" s="55">
        <f t="shared" si="458"/>
        <v>5049.5444999999982</v>
      </c>
      <c r="DR83" s="59">
        <f t="shared" si="459"/>
        <v>16692.784208099994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11"/>
        <v>0.91</v>
      </c>
      <c r="DZ83" s="55">
        <f t="shared" si="511"/>
        <v>0.89</v>
      </c>
      <c r="EA83" s="55">
        <f t="shared" si="511"/>
        <v>0.87</v>
      </c>
      <c r="EB83" s="55">
        <f t="shared" si="511"/>
        <v>0.85</v>
      </c>
      <c r="EC83" s="55">
        <f t="shared" si="511"/>
        <v>0.83</v>
      </c>
      <c r="ED83" s="55">
        <f t="shared" si="511"/>
        <v>0.80999999999999994</v>
      </c>
      <c r="EE83" s="55">
        <f t="shared" si="511"/>
        <v>0.78999999999999992</v>
      </c>
      <c r="EF83" s="55">
        <f t="shared" si="511"/>
        <v>0.76999999999999991</v>
      </c>
      <c r="EG83" s="55">
        <f t="shared" si="511"/>
        <v>0.74999999999999989</v>
      </c>
      <c r="EH83" s="55">
        <f t="shared" si="511"/>
        <v>0.72999999999999987</v>
      </c>
      <c r="EI83" s="55">
        <f t="shared" si="511"/>
        <v>0.70999999999999985</v>
      </c>
      <c r="EJ83" s="55">
        <f t="shared" si="511"/>
        <v>0.68999999999999984</v>
      </c>
      <c r="EK83" s="55">
        <f t="shared" si="511"/>
        <v>0.66999999999999982</v>
      </c>
      <c r="EL83" s="55">
        <f t="shared" si="511"/>
        <v>0.6499999999999998</v>
      </c>
      <c r="EM83" s="55">
        <f t="shared" si="511"/>
        <v>0.62999999999999978</v>
      </c>
      <c r="EN83" s="55">
        <f t="shared" si="511"/>
        <v>0.60999999999999976</v>
      </c>
      <c r="EO83" s="55">
        <f t="shared" si="511"/>
        <v>0.58999999999999975</v>
      </c>
      <c r="EP83" s="55">
        <f t="shared" si="511"/>
        <v>0.56999999999999973</v>
      </c>
      <c r="ER83" s="55">
        <f t="shared" si="142"/>
        <v>8061.5535000000009</v>
      </c>
      <c r="ES83" s="55">
        <f t="shared" si="116"/>
        <v>8061.5535000000009</v>
      </c>
      <c r="ET83" s="59">
        <f t="shared" si="461"/>
        <v>26649.883560300004</v>
      </c>
      <c r="EU83" s="55">
        <f t="shared" si="462"/>
        <v>7819.7068950000003</v>
      </c>
      <c r="EV83" s="59">
        <f t="shared" si="463"/>
        <v>25850.387053491002</v>
      </c>
      <c r="EW83" s="55">
        <f t="shared" si="464"/>
        <v>7658.4758250000004</v>
      </c>
      <c r="EX83" s="59">
        <f t="shared" si="465"/>
        <v>25317.389382285</v>
      </c>
      <c r="EY83" s="55">
        <f t="shared" si="466"/>
        <v>7497.2447550000015</v>
      </c>
      <c r="EZ83" s="59">
        <f t="shared" si="467"/>
        <v>24784.391711079006</v>
      </c>
      <c r="FA83" s="57">
        <f t="shared" si="468"/>
        <v>7336.0136850000008</v>
      </c>
      <c r="FB83" s="59">
        <f t="shared" si="469"/>
        <v>24251.394039873005</v>
      </c>
      <c r="FC83" s="55">
        <f t="shared" si="470"/>
        <v>7174.782615000001</v>
      </c>
      <c r="FD83" s="59">
        <f t="shared" si="471"/>
        <v>23718.396368667003</v>
      </c>
      <c r="FE83" s="57">
        <f t="shared" si="472"/>
        <v>7013.5515450000012</v>
      </c>
      <c r="FF83" s="59">
        <f t="shared" si="473"/>
        <v>23185.398697461005</v>
      </c>
      <c r="FG83" s="60">
        <f t="shared" si="474"/>
        <v>6852.3204750000004</v>
      </c>
      <c r="FH83" s="59">
        <f t="shared" si="475"/>
        <v>22652.401026255004</v>
      </c>
      <c r="FI83" s="57">
        <f t="shared" si="476"/>
        <v>6691.0894050000006</v>
      </c>
      <c r="FJ83" s="59">
        <f t="shared" si="477"/>
        <v>22119.403355049002</v>
      </c>
      <c r="FK83" s="55">
        <f t="shared" si="478"/>
        <v>6529.8583349999999</v>
      </c>
      <c r="FL83" s="59">
        <f t="shared" si="479"/>
        <v>21586.405683843001</v>
      </c>
      <c r="FM83" s="60">
        <f t="shared" si="480"/>
        <v>6368.6272650000001</v>
      </c>
      <c r="FN83" s="59">
        <f t="shared" si="481"/>
        <v>21053.408012636999</v>
      </c>
      <c r="FO83" s="60">
        <f t="shared" si="482"/>
        <v>6207.3961950000003</v>
      </c>
      <c r="FP83" s="59">
        <f t="shared" si="483"/>
        <v>20520.410341431001</v>
      </c>
      <c r="FQ83" s="60">
        <f t="shared" si="484"/>
        <v>6046.1651249999995</v>
      </c>
      <c r="FR83" s="59">
        <f t="shared" si="485"/>
        <v>19987.412670225</v>
      </c>
      <c r="FS83" s="55">
        <f t="shared" si="486"/>
        <v>5884.9340549999997</v>
      </c>
      <c r="FT83" s="59">
        <f t="shared" si="487"/>
        <v>19454.414999018998</v>
      </c>
      <c r="FU83" s="60">
        <f t="shared" si="488"/>
        <v>5723.7029849999999</v>
      </c>
      <c r="FV83" s="59">
        <f t="shared" si="489"/>
        <v>18921.417327813</v>
      </c>
      <c r="FW83" s="60">
        <f t="shared" si="490"/>
        <v>5562.4719149999992</v>
      </c>
      <c r="FX83" s="59">
        <f t="shared" si="491"/>
        <v>18388.419656606999</v>
      </c>
      <c r="FY83" s="60">
        <f t="shared" si="492"/>
        <v>5401.2408449999994</v>
      </c>
      <c r="FZ83" s="59">
        <f t="shared" si="493"/>
        <v>17855.421985400997</v>
      </c>
      <c r="GA83" s="60">
        <f t="shared" si="494"/>
        <v>5240.0097749999986</v>
      </c>
      <c r="GB83" s="59">
        <f t="shared" si="495"/>
        <v>17322.424314194996</v>
      </c>
      <c r="GC83" s="55">
        <f t="shared" si="496"/>
        <v>5078.7787049999988</v>
      </c>
      <c r="GD83" s="59">
        <f t="shared" si="497"/>
        <v>16789.426642988998</v>
      </c>
      <c r="GE83" s="60">
        <f t="shared" si="498"/>
        <v>4917.547634999999</v>
      </c>
      <c r="GF83" s="59">
        <f t="shared" si="499"/>
        <v>16256.428971782998</v>
      </c>
      <c r="GG83" s="60">
        <f t="shared" si="500"/>
        <v>4756.3165649999983</v>
      </c>
      <c r="GH83" s="59">
        <f t="shared" si="501"/>
        <v>15723.431300576995</v>
      </c>
      <c r="GI83" s="55">
        <f t="shared" si="502"/>
        <v>4595.0854949999984</v>
      </c>
      <c r="GJ83" s="59">
        <f t="shared" si="503"/>
        <v>15190.433629370995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12"/>
        <v>0.91</v>
      </c>
      <c r="GR83" s="55">
        <f t="shared" si="512"/>
        <v>0.89</v>
      </c>
      <c r="GS83" s="55">
        <f t="shared" si="512"/>
        <v>0.87</v>
      </c>
      <c r="GT83" s="55">
        <f t="shared" si="512"/>
        <v>0.85</v>
      </c>
      <c r="GU83" s="55">
        <f t="shared" si="512"/>
        <v>0.83</v>
      </c>
      <c r="GV83" s="55">
        <f t="shared" si="512"/>
        <v>0.80999999999999994</v>
      </c>
      <c r="GW83" s="55">
        <f t="shared" si="512"/>
        <v>0.78999999999999992</v>
      </c>
      <c r="GX83" s="55">
        <f t="shared" si="512"/>
        <v>0.76999999999999991</v>
      </c>
      <c r="GY83" s="55">
        <f t="shared" si="512"/>
        <v>0.74999999999999989</v>
      </c>
      <c r="GZ83" s="55">
        <f t="shared" si="512"/>
        <v>0.72999999999999987</v>
      </c>
      <c r="HA83" s="55">
        <f t="shared" si="512"/>
        <v>0.70999999999999985</v>
      </c>
      <c r="HB83" s="55">
        <f t="shared" si="512"/>
        <v>0.68999999999999984</v>
      </c>
      <c r="HC83" s="55">
        <f t="shared" si="512"/>
        <v>0.66999999999999982</v>
      </c>
      <c r="HD83" s="55">
        <f t="shared" si="512"/>
        <v>0.6499999999999998</v>
      </c>
      <c r="HE83" s="55">
        <f t="shared" si="512"/>
        <v>0.62999999999999978</v>
      </c>
      <c r="HF83" s="55">
        <f t="shared" si="512"/>
        <v>0.60999999999999976</v>
      </c>
      <c r="HG83" s="55">
        <f t="shared" si="512"/>
        <v>0.58999999999999975</v>
      </c>
      <c r="HH83" s="55">
        <f t="shared" si="512"/>
        <v>0.56999999999999973</v>
      </c>
    </row>
    <row r="84" spans="1:216" x14ac:dyDescent="0.3">
      <c r="A84" s="2">
        <v>22</v>
      </c>
      <c r="C84" s="38" t="s">
        <v>36</v>
      </c>
      <c r="D84" s="42">
        <f>TRUNC(289,-1)</f>
        <v>280</v>
      </c>
      <c r="E84" s="71">
        <f t="shared" si="372"/>
        <v>920</v>
      </c>
      <c r="H84" s="55">
        <f t="shared" si="373"/>
        <v>308</v>
      </c>
      <c r="I84" s="55">
        <f t="shared" ref="I84:I147" si="513">+H84</f>
        <v>308</v>
      </c>
      <c r="J84" s="59">
        <f t="shared" ref="J84:J147" si="514">+I84*3.3058</f>
        <v>1018.1864</v>
      </c>
      <c r="K84" s="55">
        <f t="shared" si="374"/>
        <v>298.76</v>
      </c>
      <c r="L84" s="59">
        <f t="shared" si="375"/>
        <v>987.64080799999999</v>
      </c>
      <c r="M84" s="55">
        <f t="shared" si="376"/>
        <v>292.59999999999997</v>
      </c>
      <c r="N84" s="59">
        <f t="shared" si="377"/>
        <v>967.27707999999996</v>
      </c>
      <c r="O84" s="55">
        <f t="shared" si="378"/>
        <v>286.44</v>
      </c>
      <c r="P84" s="59">
        <f t="shared" si="379"/>
        <v>946.91335200000003</v>
      </c>
      <c r="Q84" s="57">
        <f t="shared" si="380"/>
        <v>280.28000000000003</v>
      </c>
      <c r="R84" s="59">
        <f t="shared" si="381"/>
        <v>926.54962400000011</v>
      </c>
      <c r="S84" s="55">
        <f t="shared" si="382"/>
        <v>274.12</v>
      </c>
      <c r="T84" s="59">
        <f t="shared" si="383"/>
        <v>906.18589600000007</v>
      </c>
      <c r="U84" s="57">
        <f t="shared" si="384"/>
        <v>267.95999999999998</v>
      </c>
      <c r="V84" s="59">
        <f t="shared" si="385"/>
        <v>885.82216799999992</v>
      </c>
      <c r="W84" s="60">
        <f t="shared" si="386"/>
        <v>261.8</v>
      </c>
      <c r="X84" s="59">
        <f t="shared" si="387"/>
        <v>865.45844000000011</v>
      </c>
      <c r="Y84" s="57">
        <f t="shared" si="388"/>
        <v>255.64</v>
      </c>
      <c r="Z84" s="59">
        <f t="shared" si="389"/>
        <v>845.09471199999996</v>
      </c>
      <c r="AA84" s="55">
        <f t="shared" si="390"/>
        <v>249.48</v>
      </c>
      <c r="AB84" s="59">
        <f t="shared" si="391"/>
        <v>824.73098400000003</v>
      </c>
      <c r="AC84" s="60">
        <f t="shared" si="392"/>
        <v>243.31999999999996</v>
      </c>
      <c r="AD84" s="59">
        <f t="shared" si="393"/>
        <v>804.36725599999988</v>
      </c>
      <c r="AE84" s="60">
        <f t="shared" si="394"/>
        <v>237.15999999999997</v>
      </c>
      <c r="AF84" s="59">
        <f t="shared" si="395"/>
        <v>784.00352799999996</v>
      </c>
      <c r="AG84" s="60">
        <f t="shared" si="396"/>
        <v>230.99999999999997</v>
      </c>
      <c r="AH84" s="59">
        <f t="shared" si="397"/>
        <v>763.63979999999992</v>
      </c>
      <c r="AI84" s="55">
        <f t="shared" si="398"/>
        <v>224.83999999999995</v>
      </c>
      <c r="AJ84" s="59">
        <f t="shared" si="399"/>
        <v>743.27607199999989</v>
      </c>
      <c r="AK84" s="60">
        <f t="shared" si="400"/>
        <v>218.67999999999995</v>
      </c>
      <c r="AL84" s="59">
        <f t="shared" si="401"/>
        <v>722.91234399999985</v>
      </c>
      <c r="AM84" s="60">
        <f t="shared" si="402"/>
        <v>212.51999999999995</v>
      </c>
      <c r="AN84" s="59">
        <f t="shared" si="403"/>
        <v>702.54861599999981</v>
      </c>
      <c r="AO84" s="60">
        <f t="shared" si="404"/>
        <v>206.35999999999996</v>
      </c>
      <c r="AP84" s="59">
        <f t="shared" si="405"/>
        <v>682.18488799999989</v>
      </c>
      <c r="AQ84" s="60">
        <f t="shared" si="406"/>
        <v>200.19999999999993</v>
      </c>
      <c r="AR84" s="59">
        <f t="shared" si="407"/>
        <v>661.82115999999974</v>
      </c>
      <c r="AS84" s="55">
        <f t="shared" si="408"/>
        <v>194.03999999999994</v>
      </c>
      <c r="AT84" s="59">
        <f t="shared" si="409"/>
        <v>641.45743199999981</v>
      </c>
      <c r="AU84" s="60">
        <f t="shared" si="410"/>
        <v>187.87999999999994</v>
      </c>
      <c r="AV84" s="59">
        <f t="shared" si="411"/>
        <v>621.09370399999978</v>
      </c>
      <c r="AW84" s="60">
        <f t="shared" si="412"/>
        <v>181.71999999999991</v>
      </c>
      <c r="AX84" s="59">
        <f t="shared" si="413"/>
        <v>600.72997599999974</v>
      </c>
      <c r="AY84" s="55">
        <f t="shared" si="414"/>
        <v>175.55999999999992</v>
      </c>
      <c r="AZ84" s="59">
        <f t="shared" si="415"/>
        <v>580.3662479999997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8"/>
        <v>0.91</v>
      </c>
      <c r="BH84" s="55">
        <f t="shared" si="508"/>
        <v>0.89</v>
      </c>
      <c r="BI84" s="55">
        <f t="shared" si="508"/>
        <v>0.87</v>
      </c>
      <c r="BJ84" s="55">
        <f t="shared" si="508"/>
        <v>0.85</v>
      </c>
      <c r="BK84" s="55">
        <f t="shared" si="508"/>
        <v>0.83</v>
      </c>
      <c r="BL84" s="55">
        <f t="shared" si="508"/>
        <v>0.80999999999999994</v>
      </c>
      <c r="BM84" s="55">
        <f t="shared" si="508"/>
        <v>0.78999999999999992</v>
      </c>
      <c r="BN84" s="55">
        <f t="shared" si="508"/>
        <v>0.76999999999999991</v>
      </c>
      <c r="BO84" s="55">
        <f t="shared" si="508"/>
        <v>0.74999999999999989</v>
      </c>
      <c r="BP84" s="55">
        <f t="shared" si="508"/>
        <v>0.72999999999999987</v>
      </c>
      <c r="BQ84" s="55">
        <f t="shared" si="508"/>
        <v>0.70999999999999985</v>
      </c>
      <c r="BR84" s="55">
        <f t="shared" si="508"/>
        <v>0.68999999999999984</v>
      </c>
      <c r="BS84" s="55">
        <f t="shared" si="508"/>
        <v>0.66999999999999982</v>
      </c>
      <c r="BT84" s="55">
        <f t="shared" si="508"/>
        <v>0.6499999999999998</v>
      </c>
      <c r="BU84" s="55">
        <f t="shared" si="508"/>
        <v>0.62999999999999978</v>
      </c>
      <c r="BV84" s="55">
        <f t="shared" si="508"/>
        <v>0.60999999999999976</v>
      </c>
      <c r="BW84" s="55">
        <f t="shared" si="508"/>
        <v>0.58999999999999975</v>
      </c>
      <c r="BX84" s="55">
        <f t="shared" si="508"/>
        <v>0.56999999999999973</v>
      </c>
      <c r="BZ84" s="55">
        <f t="shared" ref="BZ84:BZ147" si="515">+H84*0.91</f>
        <v>280.28000000000003</v>
      </c>
      <c r="CA84" s="55">
        <f t="shared" ref="CA84:CA147" si="516">+BZ84</f>
        <v>280.28000000000003</v>
      </c>
      <c r="CB84" s="59">
        <f t="shared" si="417"/>
        <v>926.54962400000011</v>
      </c>
      <c r="CC84" s="55">
        <f t="shared" si="418"/>
        <v>271.8716</v>
      </c>
      <c r="CD84" s="59">
        <f t="shared" si="419"/>
        <v>898.75313528000004</v>
      </c>
      <c r="CE84" s="55">
        <f t="shared" si="420"/>
        <v>266.26600000000002</v>
      </c>
      <c r="CF84" s="59">
        <f t="shared" si="421"/>
        <v>880.22214280000003</v>
      </c>
      <c r="CG84" s="55">
        <f t="shared" si="422"/>
        <v>260.66040000000004</v>
      </c>
      <c r="CH84" s="59">
        <f t="shared" si="423"/>
        <v>861.69115032000013</v>
      </c>
      <c r="CI84" s="57">
        <f t="shared" si="424"/>
        <v>255.05480000000003</v>
      </c>
      <c r="CJ84" s="59">
        <f t="shared" si="425"/>
        <v>843.16015784000012</v>
      </c>
      <c r="CK84" s="55">
        <f t="shared" si="426"/>
        <v>249.44920000000002</v>
      </c>
      <c r="CL84" s="59">
        <f t="shared" si="427"/>
        <v>824.62916536000012</v>
      </c>
      <c r="CM84" s="57">
        <f t="shared" si="428"/>
        <v>243.84360000000004</v>
      </c>
      <c r="CN84" s="59">
        <f t="shared" si="429"/>
        <v>806.09817288000011</v>
      </c>
      <c r="CO84" s="60">
        <f t="shared" si="430"/>
        <v>238.23800000000003</v>
      </c>
      <c r="CP84" s="59">
        <f t="shared" si="431"/>
        <v>787.5671804000001</v>
      </c>
      <c r="CQ84" s="57">
        <f t="shared" si="432"/>
        <v>232.63240000000002</v>
      </c>
      <c r="CR84" s="59">
        <f t="shared" si="433"/>
        <v>769.03618792000009</v>
      </c>
      <c r="CS84" s="55">
        <f t="shared" si="434"/>
        <v>227.02680000000001</v>
      </c>
      <c r="CT84" s="59">
        <f t="shared" si="435"/>
        <v>750.50519544000008</v>
      </c>
      <c r="CU84" s="60">
        <f t="shared" si="436"/>
        <v>221.4212</v>
      </c>
      <c r="CV84" s="59">
        <f t="shared" si="437"/>
        <v>731.97420295999996</v>
      </c>
      <c r="CW84" s="60">
        <f t="shared" si="438"/>
        <v>215.81559999999999</v>
      </c>
      <c r="CX84" s="59">
        <f t="shared" si="439"/>
        <v>713.44321047999995</v>
      </c>
      <c r="CY84" s="60">
        <f t="shared" si="440"/>
        <v>210.20999999999998</v>
      </c>
      <c r="CZ84" s="59">
        <f t="shared" si="441"/>
        <v>694.91221799999994</v>
      </c>
      <c r="DA84" s="55">
        <f t="shared" si="442"/>
        <v>204.6044</v>
      </c>
      <c r="DB84" s="59">
        <f t="shared" si="443"/>
        <v>676.38122552000004</v>
      </c>
      <c r="DC84" s="60">
        <f t="shared" si="444"/>
        <v>198.99879999999999</v>
      </c>
      <c r="DD84" s="59">
        <f t="shared" si="445"/>
        <v>657.85023303999992</v>
      </c>
      <c r="DE84" s="60">
        <f t="shared" si="446"/>
        <v>193.39319999999998</v>
      </c>
      <c r="DF84" s="59">
        <f t="shared" si="447"/>
        <v>639.31924055999991</v>
      </c>
      <c r="DG84" s="60">
        <f t="shared" si="448"/>
        <v>187.78759999999997</v>
      </c>
      <c r="DH84" s="59">
        <f t="shared" si="449"/>
        <v>620.7882480799999</v>
      </c>
      <c r="DI84" s="60">
        <f t="shared" si="450"/>
        <v>182.18199999999996</v>
      </c>
      <c r="DJ84" s="59">
        <f t="shared" si="451"/>
        <v>602.25725559999989</v>
      </c>
      <c r="DK84" s="55">
        <f t="shared" si="452"/>
        <v>176.57639999999995</v>
      </c>
      <c r="DL84" s="59">
        <f t="shared" si="453"/>
        <v>583.72626311999989</v>
      </c>
      <c r="DM84" s="60">
        <f t="shared" si="454"/>
        <v>170.97079999999994</v>
      </c>
      <c r="DN84" s="59">
        <f t="shared" si="455"/>
        <v>565.19527063999976</v>
      </c>
      <c r="DO84" s="60">
        <f t="shared" si="456"/>
        <v>165.36519999999996</v>
      </c>
      <c r="DP84" s="59">
        <f t="shared" si="457"/>
        <v>546.66427815999987</v>
      </c>
      <c r="DQ84" s="55">
        <f t="shared" si="458"/>
        <v>159.75959999999995</v>
      </c>
      <c r="DR84" s="59">
        <f t="shared" si="459"/>
        <v>528.13328567999986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11"/>
        <v>0.91</v>
      </c>
      <c r="DZ84" s="55">
        <f t="shared" si="511"/>
        <v>0.89</v>
      </c>
      <c r="EA84" s="55">
        <f t="shared" si="511"/>
        <v>0.87</v>
      </c>
      <c r="EB84" s="55">
        <f t="shared" si="511"/>
        <v>0.85</v>
      </c>
      <c r="EC84" s="55">
        <f t="shared" si="511"/>
        <v>0.83</v>
      </c>
      <c r="ED84" s="55">
        <f t="shared" si="511"/>
        <v>0.80999999999999994</v>
      </c>
      <c r="EE84" s="55">
        <f t="shared" si="511"/>
        <v>0.78999999999999992</v>
      </c>
      <c r="EF84" s="55">
        <f t="shared" si="511"/>
        <v>0.76999999999999991</v>
      </c>
      <c r="EG84" s="55">
        <f t="shared" si="511"/>
        <v>0.74999999999999989</v>
      </c>
      <c r="EH84" s="55">
        <f t="shared" si="511"/>
        <v>0.72999999999999987</v>
      </c>
      <c r="EI84" s="55">
        <f t="shared" si="511"/>
        <v>0.70999999999999985</v>
      </c>
      <c r="EJ84" s="55">
        <f t="shared" si="511"/>
        <v>0.68999999999999984</v>
      </c>
      <c r="EK84" s="55">
        <f t="shared" si="511"/>
        <v>0.66999999999999982</v>
      </c>
      <c r="EL84" s="55">
        <f t="shared" si="511"/>
        <v>0.6499999999999998</v>
      </c>
      <c r="EM84" s="55">
        <f t="shared" si="511"/>
        <v>0.62999999999999978</v>
      </c>
      <c r="EN84" s="55">
        <f t="shared" si="511"/>
        <v>0.60999999999999976</v>
      </c>
      <c r="EO84" s="55">
        <f t="shared" si="511"/>
        <v>0.58999999999999975</v>
      </c>
      <c r="EP84" s="55">
        <f t="shared" si="511"/>
        <v>0.56999999999999973</v>
      </c>
      <c r="ER84" s="55">
        <f t="shared" si="142"/>
        <v>255.05480000000003</v>
      </c>
      <c r="ES84" s="55">
        <f t="shared" ref="ES84:ES147" si="517">+ER84</f>
        <v>255.05480000000003</v>
      </c>
      <c r="ET84" s="59">
        <f t="shared" si="461"/>
        <v>843.16015784000012</v>
      </c>
      <c r="EU84" s="55">
        <f t="shared" si="462"/>
        <v>247.40315600000002</v>
      </c>
      <c r="EV84" s="59">
        <f t="shared" si="463"/>
        <v>817.86535310480008</v>
      </c>
      <c r="EW84" s="55">
        <f t="shared" si="464"/>
        <v>242.30206000000001</v>
      </c>
      <c r="EX84" s="59">
        <f t="shared" si="465"/>
        <v>801.00214994800001</v>
      </c>
      <c r="EY84" s="55">
        <f t="shared" si="466"/>
        <v>237.20096400000003</v>
      </c>
      <c r="EZ84" s="59">
        <f t="shared" si="467"/>
        <v>784.13894679120006</v>
      </c>
      <c r="FA84" s="57">
        <f t="shared" si="468"/>
        <v>232.09986800000004</v>
      </c>
      <c r="FB84" s="59">
        <f t="shared" si="469"/>
        <v>767.27574363440021</v>
      </c>
      <c r="FC84" s="55">
        <f t="shared" si="470"/>
        <v>226.99877200000003</v>
      </c>
      <c r="FD84" s="59">
        <f t="shared" si="471"/>
        <v>750.41254047760015</v>
      </c>
      <c r="FE84" s="57">
        <f t="shared" si="472"/>
        <v>221.89767600000002</v>
      </c>
      <c r="FF84" s="59">
        <f t="shared" si="473"/>
        <v>733.54933732080008</v>
      </c>
      <c r="FG84" s="60">
        <f t="shared" si="474"/>
        <v>216.79658000000001</v>
      </c>
      <c r="FH84" s="59">
        <f t="shared" si="475"/>
        <v>716.68613416400001</v>
      </c>
      <c r="FI84" s="57">
        <f t="shared" si="476"/>
        <v>211.69548400000002</v>
      </c>
      <c r="FJ84" s="59">
        <f t="shared" si="477"/>
        <v>699.82293100720005</v>
      </c>
      <c r="FK84" s="55">
        <f t="shared" si="478"/>
        <v>206.59438800000001</v>
      </c>
      <c r="FL84" s="59">
        <f t="shared" si="479"/>
        <v>682.9597278504001</v>
      </c>
      <c r="FM84" s="60">
        <f t="shared" si="480"/>
        <v>201.493292</v>
      </c>
      <c r="FN84" s="59">
        <f t="shared" si="481"/>
        <v>666.09652469360003</v>
      </c>
      <c r="FO84" s="60">
        <f t="shared" si="482"/>
        <v>196.39219599999998</v>
      </c>
      <c r="FP84" s="59">
        <f t="shared" si="483"/>
        <v>649.23332153679996</v>
      </c>
      <c r="FQ84" s="60">
        <f t="shared" si="484"/>
        <v>191.2911</v>
      </c>
      <c r="FR84" s="59">
        <f t="shared" si="485"/>
        <v>632.37011838000001</v>
      </c>
      <c r="FS84" s="55">
        <f t="shared" si="486"/>
        <v>186.19000399999999</v>
      </c>
      <c r="FT84" s="59">
        <f t="shared" si="487"/>
        <v>615.50691522319994</v>
      </c>
      <c r="FU84" s="60">
        <f t="shared" si="488"/>
        <v>181.08890799999998</v>
      </c>
      <c r="FV84" s="59">
        <f t="shared" si="489"/>
        <v>598.64371206639998</v>
      </c>
      <c r="FW84" s="60">
        <f t="shared" si="490"/>
        <v>175.98781199999999</v>
      </c>
      <c r="FX84" s="59">
        <f t="shared" si="491"/>
        <v>581.78050890960003</v>
      </c>
      <c r="FY84" s="60">
        <f t="shared" si="492"/>
        <v>170.88671599999998</v>
      </c>
      <c r="FZ84" s="59">
        <f t="shared" si="493"/>
        <v>564.91730575279996</v>
      </c>
      <c r="GA84" s="60">
        <f t="shared" si="494"/>
        <v>165.78561999999997</v>
      </c>
      <c r="GB84" s="59">
        <f t="shared" si="495"/>
        <v>548.05410259599989</v>
      </c>
      <c r="GC84" s="55">
        <f t="shared" si="496"/>
        <v>160.68452399999995</v>
      </c>
      <c r="GD84" s="59">
        <f t="shared" si="497"/>
        <v>531.19089943919982</v>
      </c>
      <c r="GE84" s="60">
        <f t="shared" si="498"/>
        <v>155.58342799999997</v>
      </c>
      <c r="GF84" s="59">
        <f t="shared" si="499"/>
        <v>514.32769628239987</v>
      </c>
      <c r="GG84" s="60">
        <f t="shared" si="500"/>
        <v>150.48233199999996</v>
      </c>
      <c r="GH84" s="59">
        <f t="shared" si="501"/>
        <v>497.46449312559986</v>
      </c>
      <c r="GI84" s="55">
        <f t="shared" si="502"/>
        <v>145.38123599999994</v>
      </c>
      <c r="GJ84" s="59">
        <f t="shared" si="503"/>
        <v>480.60128996879985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12"/>
        <v>0.91</v>
      </c>
      <c r="GR84" s="55">
        <f t="shared" si="512"/>
        <v>0.89</v>
      </c>
      <c r="GS84" s="55">
        <f t="shared" si="512"/>
        <v>0.87</v>
      </c>
      <c r="GT84" s="55">
        <f t="shared" si="512"/>
        <v>0.85</v>
      </c>
      <c r="GU84" s="55">
        <f t="shared" si="512"/>
        <v>0.83</v>
      </c>
      <c r="GV84" s="55">
        <f t="shared" si="512"/>
        <v>0.80999999999999994</v>
      </c>
      <c r="GW84" s="55">
        <f t="shared" si="512"/>
        <v>0.78999999999999992</v>
      </c>
      <c r="GX84" s="55">
        <f t="shared" si="512"/>
        <v>0.76999999999999991</v>
      </c>
      <c r="GY84" s="55">
        <f t="shared" si="512"/>
        <v>0.74999999999999989</v>
      </c>
      <c r="GZ84" s="55">
        <f t="shared" si="512"/>
        <v>0.72999999999999987</v>
      </c>
      <c r="HA84" s="55">
        <f t="shared" si="512"/>
        <v>0.70999999999999985</v>
      </c>
      <c r="HB84" s="55">
        <f t="shared" si="512"/>
        <v>0.68999999999999984</v>
      </c>
      <c r="HC84" s="55">
        <f t="shared" si="512"/>
        <v>0.66999999999999982</v>
      </c>
      <c r="HD84" s="55">
        <f t="shared" si="512"/>
        <v>0.6499999999999998</v>
      </c>
      <c r="HE84" s="55">
        <f t="shared" si="512"/>
        <v>0.62999999999999978</v>
      </c>
      <c r="HF84" s="55">
        <f t="shared" si="512"/>
        <v>0.60999999999999976</v>
      </c>
      <c r="HG84" s="55">
        <f t="shared" si="512"/>
        <v>0.58999999999999975</v>
      </c>
      <c r="HH84" s="55">
        <f t="shared" si="512"/>
        <v>0.56999999999999973</v>
      </c>
    </row>
    <row r="85" spans="1:216" x14ac:dyDescent="0.3">
      <c r="A85" s="2">
        <v>23</v>
      </c>
      <c r="C85" s="38" t="s">
        <v>37</v>
      </c>
      <c r="D85" s="42">
        <f>TRUNC(4017,-1)</f>
        <v>4010</v>
      </c>
      <c r="E85" s="71">
        <f t="shared" si="372"/>
        <v>13250</v>
      </c>
      <c r="H85" s="55">
        <f t="shared" si="373"/>
        <v>4411</v>
      </c>
      <c r="I85" s="55">
        <f t="shared" si="513"/>
        <v>4411</v>
      </c>
      <c r="J85" s="59">
        <f t="shared" si="514"/>
        <v>14581.8838</v>
      </c>
      <c r="K85" s="55">
        <f t="shared" si="374"/>
        <v>4278.67</v>
      </c>
      <c r="L85" s="59">
        <f t="shared" si="375"/>
        <v>14144.427286</v>
      </c>
      <c r="M85" s="55">
        <f t="shared" si="376"/>
        <v>4190.45</v>
      </c>
      <c r="N85" s="59">
        <f t="shared" si="377"/>
        <v>13852.78961</v>
      </c>
      <c r="O85" s="55">
        <f t="shared" si="378"/>
        <v>4102.2300000000005</v>
      </c>
      <c r="P85" s="59">
        <f t="shared" si="379"/>
        <v>13561.151934000001</v>
      </c>
      <c r="Q85" s="57">
        <f t="shared" si="380"/>
        <v>4014.01</v>
      </c>
      <c r="R85" s="59">
        <f t="shared" si="381"/>
        <v>13269.514258000001</v>
      </c>
      <c r="S85" s="55">
        <f t="shared" si="382"/>
        <v>3925.79</v>
      </c>
      <c r="T85" s="59">
        <f t="shared" si="383"/>
        <v>12977.876582000001</v>
      </c>
      <c r="U85" s="57">
        <f t="shared" si="384"/>
        <v>3837.57</v>
      </c>
      <c r="V85" s="59">
        <f t="shared" si="385"/>
        <v>12686.238906</v>
      </c>
      <c r="W85" s="60">
        <f t="shared" si="386"/>
        <v>3749.35</v>
      </c>
      <c r="X85" s="59">
        <f t="shared" si="387"/>
        <v>12394.60123</v>
      </c>
      <c r="Y85" s="57">
        <f t="shared" si="388"/>
        <v>3661.1299999999997</v>
      </c>
      <c r="Z85" s="59">
        <f t="shared" si="389"/>
        <v>12102.963554</v>
      </c>
      <c r="AA85" s="55">
        <f t="shared" si="390"/>
        <v>3572.91</v>
      </c>
      <c r="AB85" s="59">
        <f t="shared" si="391"/>
        <v>11811.325878</v>
      </c>
      <c r="AC85" s="60">
        <f t="shared" si="392"/>
        <v>3484.6899999999996</v>
      </c>
      <c r="AD85" s="59">
        <f t="shared" si="393"/>
        <v>11519.688201999999</v>
      </c>
      <c r="AE85" s="60">
        <f t="shared" si="394"/>
        <v>3396.47</v>
      </c>
      <c r="AF85" s="59">
        <f t="shared" si="395"/>
        <v>11228.050525999999</v>
      </c>
      <c r="AG85" s="60">
        <f t="shared" si="396"/>
        <v>3308.2499999999995</v>
      </c>
      <c r="AH85" s="59">
        <f t="shared" si="397"/>
        <v>10936.412849999999</v>
      </c>
      <c r="AI85" s="55">
        <f t="shared" si="398"/>
        <v>3220.0299999999993</v>
      </c>
      <c r="AJ85" s="59">
        <f t="shared" si="399"/>
        <v>10644.775173999999</v>
      </c>
      <c r="AK85" s="60">
        <f t="shared" si="400"/>
        <v>3131.8099999999995</v>
      </c>
      <c r="AL85" s="59">
        <f t="shared" si="401"/>
        <v>10353.137497999998</v>
      </c>
      <c r="AM85" s="60">
        <f t="shared" si="402"/>
        <v>3043.5899999999992</v>
      </c>
      <c r="AN85" s="59">
        <f t="shared" si="403"/>
        <v>10061.499821999998</v>
      </c>
      <c r="AO85" s="60">
        <f t="shared" si="404"/>
        <v>2955.369999999999</v>
      </c>
      <c r="AP85" s="59">
        <f t="shared" si="405"/>
        <v>9769.8621459999977</v>
      </c>
      <c r="AQ85" s="60">
        <f t="shared" si="406"/>
        <v>2867.1499999999992</v>
      </c>
      <c r="AR85" s="59">
        <f t="shared" si="407"/>
        <v>9478.2244699999974</v>
      </c>
      <c r="AS85" s="55">
        <f t="shared" si="408"/>
        <v>2778.9299999999989</v>
      </c>
      <c r="AT85" s="59">
        <f t="shared" si="409"/>
        <v>9186.5867939999971</v>
      </c>
      <c r="AU85" s="60">
        <f t="shared" si="410"/>
        <v>2690.7099999999991</v>
      </c>
      <c r="AV85" s="59">
        <f t="shared" si="411"/>
        <v>8894.9491179999968</v>
      </c>
      <c r="AW85" s="60">
        <f t="shared" si="412"/>
        <v>2602.4899999999989</v>
      </c>
      <c r="AX85" s="59">
        <f t="shared" si="413"/>
        <v>8603.3114419999965</v>
      </c>
      <c r="AY85" s="55">
        <f t="shared" si="414"/>
        <v>2514.2699999999986</v>
      </c>
      <c r="AZ85" s="59">
        <f t="shared" si="415"/>
        <v>8311.6737659999962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8"/>
        <v>0.91</v>
      </c>
      <c r="BH85" s="55">
        <f t="shared" si="508"/>
        <v>0.89</v>
      </c>
      <c r="BI85" s="55">
        <f t="shared" si="508"/>
        <v>0.87</v>
      </c>
      <c r="BJ85" s="55">
        <f t="shared" si="508"/>
        <v>0.85</v>
      </c>
      <c r="BK85" s="55">
        <f t="shared" si="508"/>
        <v>0.83</v>
      </c>
      <c r="BL85" s="55">
        <f t="shared" si="508"/>
        <v>0.80999999999999994</v>
      </c>
      <c r="BM85" s="55">
        <f t="shared" si="508"/>
        <v>0.78999999999999992</v>
      </c>
      <c r="BN85" s="55">
        <f t="shared" si="508"/>
        <v>0.76999999999999991</v>
      </c>
      <c r="BO85" s="55">
        <f t="shared" si="508"/>
        <v>0.74999999999999989</v>
      </c>
      <c r="BP85" s="55">
        <f t="shared" si="508"/>
        <v>0.72999999999999987</v>
      </c>
      <c r="BQ85" s="55">
        <f t="shared" si="508"/>
        <v>0.70999999999999985</v>
      </c>
      <c r="BR85" s="55">
        <f t="shared" si="508"/>
        <v>0.68999999999999984</v>
      </c>
      <c r="BS85" s="55">
        <f t="shared" si="508"/>
        <v>0.66999999999999982</v>
      </c>
      <c r="BT85" s="55">
        <f t="shared" si="508"/>
        <v>0.6499999999999998</v>
      </c>
      <c r="BU85" s="55">
        <f t="shared" si="508"/>
        <v>0.62999999999999978</v>
      </c>
      <c r="BV85" s="55">
        <f t="shared" si="508"/>
        <v>0.60999999999999976</v>
      </c>
      <c r="BW85" s="55">
        <f t="shared" si="508"/>
        <v>0.58999999999999975</v>
      </c>
      <c r="BX85" s="55">
        <f t="shared" si="508"/>
        <v>0.56999999999999973</v>
      </c>
      <c r="BZ85" s="55">
        <f t="shared" si="515"/>
        <v>4014.01</v>
      </c>
      <c r="CA85" s="55">
        <f t="shared" si="516"/>
        <v>4014.01</v>
      </c>
      <c r="CB85" s="59">
        <f t="shared" si="417"/>
        <v>13269.514258000001</v>
      </c>
      <c r="CC85" s="55">
        <f t="shared" si="418"/>
        <v>3893.5897</v>
      </c>
      <c r="CD85" s="59">
        <f t="shared" si="419"/>
        <v>12871.42883026</v>
      </c>
      <c r="CE85" s="55">
        <f t="shared" si="420"/>
        <v>3813.3094999999998</v>
      </c>
      <c r="CF85" s="59">
        <f t="shared" si="421"/>
        <v>12606.0385451</v>
      </c>
      <c r="CG85" s="55">
        <f t="shared" si="422"/>
        <v>3733.0293000000006</v>
      </c>
      <c r="CH85" s="59">
        <f t="shared" si="423"/>
        <v>12340.648259940002</v>
      </c>
      <c r="CI85" s="57">
        <f t="shared" si="424"/>
        <v>3652.7491000000005</v>
      </c>
      <c r="CJ85" s="59">
        <f t="shared" si="425"/>
        <v>12075.257974780001</v>
      </c>
      <c r="CK85" s="55">
        <f t="shared" si="426"/>
        <v>3572.4689000000003</v>
      </c>
      <c r="CL85" s="59">
        <f t="shared" si="427"/>
        <v>11809.867689620001</v>
      </c>
      <c r="CM85" s="57">
        <f t="shared" si="428"/>
        <v>3492.1887000000002</v>
      </c>
      <c r="CN85" s="59">
        <f t="shared" si="429"/>
        <v>11544.47740446</v>
      </c>
      <c r="CO85" s="60">
        <f t="shared" si="430"/>
        <v>3411.9085</v>
      </c>
      <c r="CP85" s="59">
        <f t="shared" si="431"/>
        <v>11279.0871193</v>
      </c>
      <c r="CQ85" s="57">
        <f t="shared" si="432"/>
        <v>3331.6282999999999</v>
      </c>
      <c r="CR85" s="59">
        <f t="shared" si="433"/>
        <v>11013.696834140001</v>
      </c>
      <c r="CS85" s="55">
        <f t="shared" si="434"/>
        <v>3251.3481000000002</v>
      </c>
      <c r="CT85" s="59">
        <f t="shared" si="435"/>
        <v>10748.306548980001</v>
      </c>
      <c r="CU85" s="60">
        <f t="shared" si="436"/>
        <v>3171.0679</v>
      </c>
      <c r="CV85" s="59">
        <f t="shared" si="437"/>
        <v>10482.91626382</v>
      </c>
      <c r="CW85" s="60">
        <f t="shared" si="438"/>
        <v>3090.7876999999999</v>
      </c>
      <c r="CX85" s="59">
        <f t="shared" si="439"/>
        <v>10217.52597866</v>
      </c>
      <c r="CY85" s="60">
        <f t="shared" si="440"/>
        <v>3010.5074999999997</v>
      </c>
      <c r="CZ85" s="59">
        <f t="shared" si="441"/>
        <v>9952.1356934999985</v>
      </c>
      <c r="DA85" s="55">
        <f t="shared" si="442"/>
        <v>2930.2272999999996</v>
      </c>
      <c r="DB85" s="59">
        <f t="shared" si="443"/>
        <v>9686.7454083399989</v>
      </c>
      <c r="DC85" s="60">
        <f t="shared" si="444"/>
        <v>2849.9470999999994</v>
      </c>
      <c r="DD85" s="59">
        <f t="shared" si="445"/>
        <v>9421.3551231799975</v>
      </c>
      <c r="DE85" s="60">
        <f t="shared" si="446"/>
        <v>2769.6668999999997</v>
      </c>
      <c r="DF85" s="59">
        <f t="shared" si="447"/>
        <v>9155.9648380199997</v>
      </c>
      <c r="DG85" s="60">
        <f t="shared" si="448"/>
        <v>2689.3866999999996</v>
      </c>
      <c r="DH85" s="59">
        <f t="shared" si="449"/>
        <v>8890.5745528599982</v>
      </c>
      <c r="DI85" s="60">
        <f t="shared" si="450"/>
        <v>2609.1064999999994</v>
      </c>
      <c r="DJ85" s="59">
        <f t="shared" si="451"/>
        <v>8625.1842676999986</v>
      </c>
      <c r="DK85" s="55">
        <f t="shared" si="452"/>
        <v>2528.8262999999993</v>
      </c>
      <c r="DL85" s="59">
        <f t="shared" si="453"/>
        <v>8359.7939825399972</v>
      </c>
      <c r="DM85" s="60">
        <f t="shared" si="454"/>
        <v>2448.5460999999991</v>
      </c>
      <c r="DN85" s="59">
        <f t="shared" si="455"/>
        <v>8094.4036973799975</v>
      </c>
      <c r="DO85" s="60">
        <f t="shared" si="456"/>
        <v>2368.265899999999</v>
      </c>
      <c r="DP85" s="59">
        <f t="shared" si="457"/>
        <v>7829.013412219997</v>
      </c>
      <c r="DQ85" s="55">
        <f t="shared" si="458"/>
        <v>2287.9856999999988</v>
      </c>
      <c r="DR85" s="59">
        <f t="shared" si="459"/>
        <v>7563.6231270599965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11"/>
        <v>0.91</v>
      </c>
      <c r="DZ85" s="55">
        <f t="shared" si="511"/>
        <v>0.89</v>
      </c>
      <c r="EA85" s="55">
        <f t="shared" si="511"/>
        <v>0.87</v>
      </c>
      <c r="EB85" s="55">
        <f t="shared" si="511"/>
        <v>0.85</v>
      </c>
      <c r="EC85" s="55">
        <f t="shared" si="511"/>
        <v>0.83</v>
      </c>
      <c r="ED85" s="55">
        <f t="shared" si="511"/>
        <v>0.80999999999999994</v>
      </c>
      <c r="EE85" s="55">
        <f t="shared" si="511"/>
        <v>0.78999999999999992</v>
      </c>
      <c r="EF85" s="55">
        <f t="shared" si="511"/>
        <v>0.76999999999999991</v>
      </c>
      <c r="EG85" s="55">
        <f t="shared" si="511"/>
        <v>0.74999999999999989</v>
      </c>
      <c r="EH85" s="55">
        <f t="shared" si="511"/>
        <v>0.72999999999999987</v>
      </c>
      <c r="EI85" s="55">
        <f t="shared" si="511"/>
        <v>0.70999999999999985</v>
      </c>
      <c r="EJ85" s="55">
        <f t="shared" si="511"/>
        <v>0.68999999999999984</v>
      </c>
      <c r="EK85" s="55">
        <f t="shared" si="511"/>
        <v>0.66999999999999982</v>
      </c>
      <c r="EL85" s="55">
        <f t="shared" si="511"/>
        <v>0.6499999999999998</v>
      </c>
      <c r="EM85" s="55">
        <f t="shared" si="511"/>
        <v>0.62999999999999978</v>
      </c>
      <c r="EN85" s="55">
        <f t="shared" si="511"/>
        <v>0.60999999999999976</v>
      </c>
      <c r="EO85" s="55">
        <f t="shared" si="511"/>
        <v>0.58999999999999975</v>
      </c>
      <c r="EP85" s="55">
        <f t="shared" si="511"/>
        <v>0.56999999999999973</v>
      </c>
      <c r="ER85" s="55">
        <f t="shared" si="142"/>
        <v>3652.7491000000005</v>
      </c>
      <c r="ES85" s="55">
        <f t="shared" si="517"/>
        <v>3652.7491000000005</v>
      </c>
      <c r="ET85" s="59">
        <f t="shared" si="461"/>
        <v>12075.257974780001</v>
      </c>
      <c r="EU85" s="55">
        <f t="shared" si="462"/>
        <v>3543.1666270000005</v>
      </c>
      <c r="EV85" s="59">
        <f t="shared" si="463"/>
        <v>11713.000235536601</v>
      </c>
      <c r="EW85" s="55">
        <f t="shared" si="464"/>
        <v>3470.1116450000004</v>
      </c>
      <c r="EX85" s="59">
        <f t="shared" si="465"/>
        <v>11471.495076041001</v>
      </c>
      <c r="EY85" s="55">
        <f t="shared" si="466"/>
        <v>3397.0566630000008</v>
      </c>
      <c r="EZ85" s="59">
        <f t="shared" si="467"/>
        <v>11229.989916545403</v>
      </c>
      <c r="FA85" s="57">
        <f t="shared" si="468"/>
        <v>3324.0016810000006</v>
      </c>
      <c r="FB85" s="59">
        <f t="shared" si="469"/>
        <v>10988.484757049802</v>
      </c>
      <c r="FC85" s="55">
        <f t="shared" si="470"/>
        <v>3250.9466990000005</v>
      </c>
      <c r="FD85" s="59">
        <f t="shared" si="471"/>
        <v>10746.979597554202</v>
      </c>
      <c r="FE85" s="57">
        <f t="shared" si="472"/>
        <v>3177.8917170000004</v>
      </c>
      <c r="FF85" s="59">
        <f t="shared" si="473"/>
        <v>10505.474438058602</v>
      </c>
      <c r="FG85" s="60">
        <f t="shared" si="474"/>
        <v>3104.8367350000003</v>
      </c>
      <c r="FH85" s="59">
        <f t="shared" si="475"/>
        <v>10263.969278563001</v>
      </c>
      <c r="FI85" s="57">
        <f t="shared" si="476"/>
        <v>3031.7817530000002</v>
      </c>
      <c r="FJ85" s="59">
        <f t="shared" si="477"/>
        <v>10022.464119067401</v>
      </c>
      <c r="FK85" s="55">
        <f t="shared" si="478"/>
        <v>2958.7267710000001</v>
      </c>
      <c r="FL85" s="59">
        <f t="shared" si="479"/>
        <v>9780.9589595718007</v>
      </c>
      <c r="FM85" s="60">
        <f t="shared" si="480"/>
        <v>2885.671789</v>
      </c>
      <c r="FN85" s="59">
        <f t="shared" si="481"/>
        <v>9539.4538000762004</v>
      </c>
      <c r="FO85" s="60">
        <f t="shared" si="482"/>
        <v>2812.6168069999999</v>
      </c>
      <c r="FP85" s="59">
        <f t="shared" si="483"/>
        <v>9297.9486405806001</v>
      </c>
      <c r="FQ85" s="60">
        <f t="shared" si="484"/>
        <v>2739.5618249999998</v>
      </c>
      <c r="FR85" s="59">
        <f t="shared" si="485"/>
        <v>9056.4434810849998</v>
      </c>
      <c r="FS85" s="55">
        <f t="shared" si="486"/>
        <v>2666.5068429999997</v>
      </c>
      <c r="FT85" s="59">
        <f t="shared" si="487"/>
        <v>8814.9383215893995</v>
      </c>
      <c r="FU85" s="60">
        <f t="shared" si="488"/>
        <v>2593.451861</v>
      </c>
      <c r="FV85" s="59">
        <f t="shared" si="489"/>
        <v>8573.433162093801</v>
      </c>
      <c r="FW85" s="60">
        <f t="shared" si="490"/>
        <v>2520.3968789999999</v>
      </c>
      <c r="FX85" s="59">
        <f t="shared" si="491"/>
        <v>8331.9280025982007</v>
      </c>
      <c r="FY85" s="60">
        <f t="shared" si="492"/>
        <v>2447.3418969999998</v>
      </c>
      <c r="FZ85" s="59">
        <f t="shared" si="493"/>
        <v>8090.4228431025995</v>
      </c>
      <c r="GA85" s="60">
        <f t="shared" si="494"/>
        <v>2374.2869149999997</v>
      </c>
      <c r="GB85" s="59">
        <f t="shared" si="495"/>
        <v>7848.9176836069992</v>
      </c>
      <c r="GC85" s="55">
        <f t="shared" si="496"/>
        <v>2301.2319329999996</v>
      </c>
      <c r="GD85" s="59">
        <f t="shared" si="497"/>
        <v>7607.4125241113989</v>
      </c>
      <c r="GE85" s="60">
        <f t="shared" si="498"/>
        <v>2228.1769509999995</v>
      </c>
      <c r="GF85" s="59">
        <f t="shared" si="499"/>
        <v>7365.9073646157985</v>
      </c>
      <c r="GG85" s="60">
        <f t="shared" si="500"/>
        <v>2155.1219689999994</v>
      </c>
      <c r="GH85" s="59">
        <f t="shared" si="501"/>
        <v>7124.4022051201982</v>
      </c>
      <c r="GI85" s="55">
        <f t="shared" si="502"/>
        <v>2082.0669869999992</v>
      </c>
      <c r="GJ85" s="59">
        <f t="shared" si="503"/>
        <v>6882.8970456245979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12"/>
        <v>0.91</v>
      </c>
      <c r="GR85" s="55">
        <f t="shared" si="512"/>
        <v>0.89</v>
      </c>
      <c r="GS85" s="55">
        <f t="shared" si="512"/>
        <v>0.87</v>
      </c>
      <c r="GT85" s="55">
        <f t="shared" si="512"/>
        <v>0.85</v>
      </c>
      <c r="GU85" s="55">
        <f t="shared" si="512"/>
        <v>0.83</v>
      </c>
      <c r="GV85" s="55">
        <f t="shared" si="512"/>
        <v>0.80999999999999994</v>
      </c>
      <c r="GW85" s="55">
        <f t="shared" si="512"/>
        <v>0.78999999999999992</v>
      </c>
      <c r="GX85" s="55">
        <f t="shared" si="512"/>
        <v>0.76999999999999991</v>
      </c>
      <c r="GY85" s="55">
        <f t="shared" si="512"/>
        <v>0.74999999999999989</v>
      </c>
      <c r="GZ85" s="55">
        <f t="shared" si="512"/>
        <v>0.72999999999999987</v>
      </c>
      <c r="HA85" s="55">
        <f t="shared" si="512"/>
        <v>0.70999999999999985</v>
      </c>
      <c r="HB85" s="55">
        <f t="shared" si="512"/>
        <v>0.68999999999999984</v>
      </c>
      <c r="HC85" s="55">
        <f t="shared" si="512"/>
        <v>0.66999999999999982</v>
      </c>
      <c r="HD85" s="55">
        <f t="shared" si="512"/>
        <v>0.6499999999999998</v>
      </c>
      <c r="HE85" s="55">
        <f t="shared" si="512"/>
        <v>0.62999999999999978</v>
      </c>
      <c r="HF85" s="55">
        <f t="shared" si="512"/>
        <v>0.60999999999999976</v>
      </c>
      <c r="HG85" s="55">
        <f t="shared" si="512"/>
        <v>0.58999999999999975</v>
      </c>
      <c r="HH85" s="55">
        <f t="shared" si="512"/>
        <v>0.56999999999999973</v>
      </c>
    </row>
    <row r="86" spans="1:216" x14ac:dyDescent="0.3">
      <c r="A86" s="2">
        <v>24</v>
      </c>
      <c r="C86" s="38" t="s">
        <v>38</v>
      </c>
      <c r="D86" s="42">
        <f>TRUNC(11292,-1)</f>
        <v>11290</v>
      </c>
      <c r="E86" s="71">
        <f t="shared" si="372"/>
        <v>37320</v>
      </c>
      <c r="H86" s="55">
        <f t="shared" si="373"/>
        <v>12419.000000000002</v>
      </c>
      <c r="I86" s="55">
        <f t="shared" si="513"/>
        <v>12419.000000000002</v>
      </c>
      <c r="J86" s="59">
        <f t="shared" si="514"/>
        <v>41054.730200000005</v>
      </c>
      <c r="K86" s="55">
        <f t="shared" si="374"/>
        <v>12046.430000000002</v>
      </c>
      <c r="L86" s="59">
        <f t="shared" si="375"/>
        <v>39823.088294000008</v>
      </c>
      <c r="M86" s="55">
        <f t="shared" si="376"/>
        <v>11798.050000000001</v>
      </c>
      <c r="N86" s="59">
        <f t="shared" si="377"/>
        <v>39001.993690000003</v>
      </c>
      <c r="O86" s="55">
        <f t="shared" si="378"/>
        <v>11549.670000000002</v>
      </c>
      <c r="P86" s="59">
        <f t="shared" si="379"/>
        <v>38180.899086000005</v>
      </c>
      <c r="Q86" s="57">
        <f t="shared" si="380"/>
        <v>11301.290000000003</v>
      </c>
      <c r="R86" s="59">
        <f t="shared" si="381"/>
        <v>37359.804482000007</v>
      </c>
      <c r="S86" s="55">
        <f t="shared" si="382"/>
        <v>11052.910000000002</v>
      </c>
      <c r="T86" s="59">
        <f t="shared" si="383"/>
        <v>36538.709878000009</v>
      </c>
      <c r="U86" s="57">
        <f t="shared" si="384"/>
        <v>10804.53</v>
      </c>
      <c r="V86" s="59">
        <f t="shared" si="385"/>
        <v>35717.615274000003</v>
      </c>
      <c r="W86" s="60">
        <f t="shared" si="386"/>
        <v>10556.150000000001</v>
      </c>
      <c r="X86" s="59">
        <f t="shared" si="387"/>
        <v>34896.520670000005</v>
      </c>
      <c r="Y86" s="57">
        <f t="shared" si="388"/>
        <v>10307.77</v>
      </c>
      <c r="Z86" s="59">
        <f t="shared" si="389"/>
        <v>34075.426066</v>
      </c>
      <c r="AA86" s="55">
        <f t="shared" si="390"/>
        <v>10059.390000000001</v>
      </c>
      <c r="AB86" s="59">
        <f t="shared" si="391"/>
        <v>33254.331462000002</v>
      </c>
      <c r="AC86" s="60">
        <f t="shared" si="392"/>
        <v>9811.01</v>
      </c>
      <c r="AD86" s="59">
        <f t="shared" si="393"/>
        <v>32433.236858</v>
      </c>
      <c r="AE86" s="60">
        <f t="shared" si="394"/>
        <v>9562.630000000001</v>
      </c>
      <c r="AF86" s="59">
        <f t="shared" si="395"/>
        <v>31612.142254000006</v>
      </c>
      <c r="AG86" s="60">
        <f t="shared" si="396"/>
        <v>9314.25</v>
      </c>
      <c r="AH86" s="59">
        <f t="shared" si="397"/>
        <v>30791.04765</v>
      </c>
      <c r="AI86" s="55">
        <f t="shared" si="398"/>
        <v>9065.869999999999</v>
      </c>
      <c r="AJ86" s="59">
        <f t="shared" si="399"/>
        <v>29969.953045999999</v>
      </c>
      <c r="AK86" s="60">
        <f t="shared" si="400"/>
        <v>8817.49</v>
      </c>
      <c r="AL86" s="59">
        <f t="shared" si="401"/>
        <v>29148.858442000001</v>
      </c>
      <c r="AM86" s="60">
        <f t="shared" si="402"/>
        <v>8569.1099999999988</v>
      </c>
      <c r="AN86" s="59">
        <f t="shared" si="403"/>
        <v>28327.763837999995</v>
      </c>
      <c r="AO86" s="60">
        <f t="shared" si="404"/>
        <v>8320.73</v>
      </c>
      <c r="AP86" s="59">
        <f t="shared" si="405"/>
        <v>27506.669234000001</v>
      </c>
      <c r="AQ86" s="60">
        <f t="shared" si="406"/>
        <v>8072.3499999999985</v>
      </c>
      <c r="AR86" s="59">
        <f t="shared" si="407"/>
        <v>26685.574629999996</v>
      </c>
      <c r="AS86" s="55">
        <f t="shared" si="408"/>
        <v>7823.9699999999984</v>
      </c>
      <c r="AT86" s="59">
        <f t="shared" si="409"/>
        <v>25864.480025999994</v>
      </c>
      <c r="AU86" s="60">
        <f t="shared" si="410"/>
        <v>7575.5899999999983</v>
      </c>
      <c r="AV86" s="59">
        <f t="shared" si="411"/>
        <v>25043.385421999996</v>
      </c>
      <c r="AW86" s="60">
        <f t="shared" si="412"/>
        <v>7327.2099999999982</v>
      </c>
      <c r="AX86" s="59">
        <f t="shared" si="413"/>
        <v>24222.290817999994</v>
      </c>
      <c r="AY86" s="55">
        <f t="shared" si="414"/>
        <v>7078.8299999999981</v>
      </c>
      <c r="AZ86" s="59">
        <f t="shared" si="415"/>
        <v>23401.196213999996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8"/>
        <v>0.91</v>
      </c>
      <c r="BH86" s="55">
        <f t="shared" si="508"/>
        <v>0.89</v>
      </c>
      <c r="BI86" s="55">
        <f t="shared" si="508"/>
        <v>0.87</v>
      </c>
      <c r="BJ86" s="55">
        <f t="shared" si="508"/>
        <v>0.85</v>
      </c>
      <c r="BK86" s="55">
        <f t="shared" si="508"/>
        <v>0.83</v>
      </c>
      <c r="BL86" s="55">
        <f t="shared" si="508"/>
        <v>0.80999999999999994</v>
      </c>
      <c r="BM86" s="55">
        <f t="shared" si="508"/>
        <v>0.78999999999999992</v>
      </c>
      <c r="BN86" s="55">
        <f t="shared" si="508"/>
        <v>0.76999999999999991</v>
      </c>
      <c r="BO86" s="55">
        <f t="shared" si="508"/>
        <v>0.74999999999999989</v>
      </c>
      <c r="BP86" s="55">
        <f t="shared" si="508"/>
        <v>0.72999999999999987</v>
      </c>
      <c r="BQ86" s="55">
        <f t="shared" si="508"/>
        <v>0.70999999999999985</v>
      </c>
      <c r="BR86" s="55">
        <f t="shared" si="508"/>
        <v>0.68999999999999984</v>
      </c>
      <c r="BS86" s="55">
        <f t="shared" si="508"/>
        <v>0.66999999999999982</v>
      </c>
      <c r="BT86" s="55">
        <f t="shared" si="508"/>
        <v>0.6499999999999998</v>
      </c>
      <c r="BU86" s="55">
        <f t="shared" si="508"/>
        <v>0.62999999999999978</v>
      </c>
      <c r="BV86" s="55">
        <f t="shared" si="508"/>
        <v>0.60999999999999976</v>
      </c>
      <c r="BW86" s="55">
        <f t="shared" si="508"/>
        <v>0.58999999999999975</v>
      </c>
      <c r="BX86" s="55">
        <f t="shared" si="508"/>
        <v>0.56999999999999973</v>
      </c>
      <c r="BZ86" s="55">
        <f t="shared" si="515"/>
        <v>11301.290000000003</v>
      </c>
      <c r="CA86" s="55">
        <f t="shared" si="516"/>
        <v>11301.290000000003</v>
      </c>
      <c r="CB86" s="59">
        <f t="shared" si="417"/>
        <v>37359.804482000007</v>
      </c>
      <c r="CC86" s="55">
        <f t="shared" si="418"/>
        <v>10962.251300000002</v>
      </c>
      <c r="CD86" s="59">
        <f t="shared" si="419"/>
        <v>36239.010347540003</v>
      </c>
      <c r="CE86" s="55">
        <f t="shared" si="420"/>
        <v>10736.225500000002</v>
      </c>
      <c r="CF86" s="59">
        <f t="shared" si="421"/>
        <v>35491.814257900005</v>
      </c>
      <c r="CG86" s="55">
        <f t="shared" si="422"/>
        <v>10510.199700000003</v>
      </c>
      <c r="CH86" s="59">
        <f t="shared" si="423"/>
        <v>34744.618168260007</v>
      </c>
      <c r="CI86" s="57">
        <f t="shared" si="424"/>
        <v>10284.173900000003</v>
      </c>
      <c r="CJ86" s="59">
        <f t="shared" si="425"/>
        <v>33997.422078620009</v>
      </c>
      <c r="CK86" s="55">
        <f t="shared" si="426"/>
        <v>10058.148100000002</v>
      </c>
      <c r="CL86" s="59">
        <f t="shared" si="427"/>
        <v>33250.225988980004</v>
      </c>
      <c r="CM86" s="57">
        <f t="shared" si="428"/>
        <v>9832.1223000000027</v>
      </c>
      <c r="CN86" s="59">
        <f t="shared" si="429"/>
        <v>32503.02989934001</v>
      </c>
      <c r="CO86" s="60">
        <f t="shared" si="430"/>
        <v>9606.0965000000015</v>
      </c>
      <c r="CP86" s="59">
        <f t="shared" si="431"/>
        <v>31755.833809700005</v>
      </c>
      <c r="CQ86" s="57">
        <f t="shared" si="432"/>
        <v>9380.070700000002</v>
      </c>
      <c r="CR86" s="59">
        <f t="shared" si="433"/>
        <v>31008.637720060007</v>
      </c>
      <c r="CS86" s="55">
        <f t="shared" si="434"/>
        <v>9154.0449000000008</v>
      </c>
      <c r="CT86" s="59">
        <f t="shared" si="435"/>
        <v>30261.441630420002</v>
      </c>
      <c r="CU86" s="60">
        <f t="shared" si="436"/>
        <v>8928.0191000000013</v>
      </c>
      <c r="CV86" s="59">
        <f t="shared" si="437"/>
        <v>29514.245540780004</v>
      </c>
      <c r="CW86" s="60">
        <f t="shared" si="438"/>
        <v>8701.9933000000019</v>
      </c>
      <c r="CX86" s="59">
        <f t="shared" si="439"/>
        <v>28767.049451140007</v>
      </c>
      <c r="CY86" s="60">
        <f t="shared" si="440"/>
        <v>8475.9675000000007</v>
      </c>
      <c r="CZ86" s="59">
        <f t="shared" si="441"/>
        <v>28019.853361500001</v>
      </c>
      <c r="DA86" s="55">
        <f t="shared" si="442"/>
        <v>8249.9417000000012</v>
      </c>
      <c r="DB86" s="59">
        <f t="shared" si="443"/>
        <v>27272.657271860004</v>
      </c>
      <c r="DC86" s="60">
        <f t="shared" si="444"/>
        <v>8023.9159</v>
      </c>
      <c r="DD86" s="59">
        <f t="shared" si="445"/>
        <v>26525.461182220002</v>
      </c>
      <c r="DE86" s="60">
        <f t="shared" si="446"/>
        <v>7797.8900999999996</v>
      </c>
      <c r="DF86" s="59">
        <f t="shared" si="447"/>
        <v>25778.265092580001</v>
      </c>
      <c r="DG86" s="60">
        <f t="shared" si="448"/>
        <v>7571.8643000000002</v>
      </c>
      <c r="DH86" s="59">
        <f t="shared" si="449"/>
        <v>25031.069002939999</v>
      </c>
      <c r="DI86" s="60">
        <f t="shared" si="450"/>
        <v>7345.8384999999998</v>
      </c>
      <c r="DJ86" s="59">
        <f t="shared" si="451"/>
        <v>24283.872913300002</v>
      </c>
      <c r="DK86" s="55">
        <f t="shared" si="452"/>
        <v>7119.8126999999995</v>
      </c>
      <c r="DL86" s="59">
        <f t="shared" si="453"/>
        <v>23536.67682366</v>
      </c>
      <c r="DM86" s="60">
        <f t="shared" si="454"/>
        <v>6893.7868999999992</v>
      </c>
      <c r="DN86" s="59">
        <f t="shared" si="455"/>
        <v>22789.480734019999</v>
      </c>
      <c r="DO86" s="60">
        <f t="shared" si="456"/>
        <v>6667.7610999999988</v>
      </c>
      <c r="DP86" s="59">
        <f t="shared" si="457"/>
        <v>22042.284644379997</v>
      </c>
      <c r="DQ86" s="55">
        <f t="shared" si="458"/>
        <v>6441.7352999999985</v>
      </c>
      <c r="DR86" s="59">
        <f t="shared" si="459"/>
        <v>21295.088554739996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11"/>
        <v>0.91</v>
      </c>
      <c r="DZ86" s="55">
        <f t="shared" si="511"/>
        <v>0.89</v>
      </c>
      <c r="EA86" s="55">
        <f t="shared" si="511"/>
        <v>0.87</v>
      </c>
      <c r="EB86" s="55">
        <f t="shared" si="511"/>
        <v>0.85</v>
      </c>
      <c r="EC86" s="55">
        <f t="shared" si="511"/>
        <v>0.83</v>
      </c>
      <c r="ED86" s="55">
        <f t="shared" si="511"/>
        <v>0.80999999999999994</v>
      </c>
      <c r="EE86" s="55">
        <f t="shared" si="511"/>
        <v>0.78999999999999992</v>
      </c>
      <c r="EF86" s="55">
        <f t="shared" si="511"/>
        <v>0.76999999999999991</v>
      </c>
      <c r="EG86" s="55">
        <f t="shared" si="511"/>
        <v>0.74999999999999989</v>
      </c>
      <c r="EH86" s="55">
        <f t="shared" si="511"/>
        <v>0.72999999999999987</v>
      </c>
      <c r="EI86" s="55">
        <f t="shared" si="511"/>
        <v>0.70999999999999985</v>
      </c>
      <c r="EJ86" s="55">
        <f t="shared" si="511"/>
        <v>0.68999999999999984</v>
      </c>
      <c r="EK86" s="55">
        <f t="shared" si="511"/>
        <v>0.66999999999999982</v>
      </c>
      <c r="EL86" s="55">
        <f t="shared" si="511"/>
        <v>0.6499999999999998</v>
      </c>
      <c r="EM86" s="55">
        <f t="shared" si="511"/>
        <v>0.62999999999999978</v>
      </c>
      <c r="EN86" s="55">
        <f t="shared" si="511"/>
        <v>0.60999999999999976</v>
      </c>
      <c r="EO86" s="55">
        <f t="shared" si="511"/>
        <v>0.58999999999999975</v>
      </c>
      <c r="EP86" s="55">
        <f t="shared" si="511"/>
        <v>0.56999999999999973</v>
      </c>
      <c r="ER86" s="55">
        <f t="shared" si="142"/>
        <v>10284.173900000003</v>
      </c>
      <c r="ES86" s="55">
        <f t="shared" si="517"/>
        <v>10284.173900000003</v>
      </c>
      <c r="ET86" s="59">
        <f t="shared" si="461"/>
        <v>33997.422078620009</v>
      </c>
      <c r="EU86" s="55">
        <f t="shared" si="462"/>
        <v>9975.6486830000031</v>
      </c>
      <c r="EV86" s="59">
        <f t="shared" si="463"/>
        <v>32977.499416261409</v>
      </c>
      <c r="EW86" s="55">
        <f t="shared" si="464"/>
        <v>9769.9652050000022</v>
      </c>
      <c r="EX86" s="59">
        <f t="shared" si="465"/>
        <v>32297.550974689009</v>
      </c>
      <c r="EY86" s="55">
        <f t="shared" si="466"/>
        <v>9564.2817270000032</v>
      </c>
      <c r="EZ86" s="59">
        <f t="shared" si="467"/>
        <v>31617.602533116613</v>
      </c>
      <c r="FA86" s="57">
        <f t="shared" si="468"/>
        <v>9358.5982490000042</v>
      </c>
      <c r="FB86" s="59">
        <f t="shared" si="469"/>
        <v>30937.654091544213</v>
      </c>
      <c r="FC86" s="55">
        <f t="shared" si="470"/>
        <v>9152.9147710000034</v>
      </c>
      <c r="FD86" s="59">
        <f t="shared" si="471"/>
        <v>30257.705649971813</v>
      </c>
      <c r="FE86" s="57">
        <f t="shared" si="472"/>
        <v>8947.2312930000026</v>
      </c>
      <c r="FF86" s="59">
        <f t="shared" si="473"/>
        <v>29577.757208399409</v>
      </c>
      <c r="FG86" s="60">
        <f t="shared" si="474"/>
        <v>8741.5478150000035</v>
      </c>
      <c r="FH86" s="59">
        <f t="shared" si="475"/>
        <v>28897.808766827013</v>
      </c>
      <c r="FI86" s="57">
        <f t="shared" si="476"/>
        <v>8535.8643370000027</v>
      </c>
      <c r="FJ86" s="59">
        <f t="shared" si="477"/>
        <v>28217.860325254609</v>
      </c>
      <c r="FK86" s="55">
        <f t="shared" si="478"/>
        <v>8330.1808590000019</v>
      </c>
      <c r="FL86" s="59">
        <f t="shared" si="479"/>
        <v>27537.911883682205</v>
      </c>
      <c r="FM86" s="60">
        <f t="shared" si="480"/>
        <v>8124.497381000002</v>
      </c>
      <c r="FN86" s="59">
        <f t="shared" si="481"/>
        <v>26857.963442109805</v>
      </c>
      <c r="FO86" s="60">
        <f t="shared" si="482"/>
        <v>7918.813903000002</v>
      </c>
      <c r="FP86" s="59">
        <f t="shared" si="483"/>
        <v>26178.015000537409</v>
      </c>
      <c r="FQ86" s="60">
        <f t="shared" si="484"/>
        <v>7713.1304250000012</v>
      </c>
      <c r="FR86" s="59">
        <f t="shared" si="485"/>
        <v>25498.066558965005</v>
      </c>
      <c r="FS86" s="55">
        <f t="shared" si="486"/>
        <v>7507.4469470000013</v>
      </c>
      <c r="FT86" s="59">
        <f t="shared" si="487"/>
        <v>24818.118117392605</v>
      </c>
      <c r="FU86" s="60">
        <f t="shared" si="488"/>
        <v>7301.7634690000014</v>
      </c>
      <c r="FV86" s="59">
        <f t="shared" si="489"/>
        <v>24138.169675820205</v>
      </c>
      <c r="FW86" s="60">
        <f t="shared" si="490"/>
        <v>7096.0799910000005</v>
      </c>
      <c r="FX86" s="59">
        <f t="shared" si="491"/>
        <v>23458.221234247801</v>
      </c>
      <c r="FY86" s="60">
        <f t="shared" si="492"/>
        <v>6890.3965130000006</v>
      </c>
      <c r="FZ86" s="59">
        <f t="shared" si="493"/>
        <v>22778.272792675401</v>
      </c>
      <c r="GA86" s="60">
        <f t="shared" si="494"/>
        <v>6684.7130349999998</v>
      </c>
      <c r="GB86" s="59">
        <f t="shared" si="495"/>
        <v>22098.324351103001</v>
      </c>
      <c r="GC86" s="55">
        <f t="shared" si="496"/>
        <v>6479.0295569999998</v>
      </c>
      <c r="GD86" s="59">
        <f t="shared" si="497"/>
        <v>21418.375909530601</v>
      </c>
      <c r="GE86" s="60">
        <f t="shared" si="498"/>
        <v>6273.3460789999999</v>
      </c>
      <c r="GF86" s="59">
        <f t="shared" si="499"/>
        <v>20738.427467958201</v>
      </c>
      <c r="GG86" s="60">
        <f t="shared" si="500"/>
        <v>6067.6626009999991</v>
      </c>
      <c r="GH86" s="59">
        <f t="shared" si="501"/>
        <v>20058.479026385798</v>
      </c>
      <c r="GI86" s="55">
        <f t="shared" si="502"/>
        <v>5861.9791229999992</v>
      </c>
      <c r="GJ86" s="59">
        <f t="shared" si="503"/>
        <v>19378.530584813398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12"/>
        <v>0.91</v>
      </c>
      <c r="GR86" s="55">
        <f t="shared" si="512"/>
        <v>0.89</v>
      </c>
      <c r="GS86" s="55">
        <f t="shared" si="512"/>
        <v>0.87</v>
      </c>
      <c r="GT86" s="55">
        <f t="shared" si="512"/>
        <v>0.85</v>
      </c>
      <c r="GU86" s="55">
        <f t="shared" si="512"/>
        <v>0.83</v>
      </c>
      <c r="GV86" s="55">
        <f t="shared" si="512"/>
        <v>0.80999999999999994</v>
      </c>
      <c r="GW86" s="55">
        <f t="shared" si="512"/>
        <v>0.78999999999999992</v>
      </c>
      <c r="GX86" s="55">
        <f t="shared" si="512"/>
        <v>0.76999999999999991</v>
      </c>
      <c r="GY86" s="55">
        <f t="shared" si="512"/>
        <v>0.74999999999999989</v>
      </c>
      <c r="GZ86" s="55">
        <f t="shared" si="512"/>
        <v>0.72999999999999987</v>
      </c>
      <c r="HA86" s="55">
        <f t="shared" si="512"/>
        <v>0.70999999999999985</v>
      </c>
      <c r="HB86" s="55">
        <f t="shared" si="512"/>
        <v>0.68999999999999984</v>
      </c>
      <c r="HC86" s="55">
        <f t="shared" si="512"/>
        <v>0.66999999999999982</v>
      </c>
      <c r="HD86" s="55">
        <f t="shared" si="512"/>
        <v>0.6499999999999998</v>
      </c>
      <c r="HE86" s="55">
        <f t="shared" si="512"/>
        <v>0.62999999999999978</v>
      </c>
      <c r="HF86" s="55">
        <f t="shared" si="512"/>
        <v>0.60999999999999976</v>
      </c>
      <c r="HG86" s="55">
        <f t="shared" si="512"/>
        <v>0.58999999999999975</v>
      </c>
      <c r="HH86" s="55">
        <f t="shared" si="512"/>
        <v>0.56999999999999973</v>
      </c>
    </row>
    <row r="87" spans="1:216" x14ac:dyDescent="0.3">
      <c r="A87" s="2">
        <v>25</v>
      </c>
      <c r="C87" s="38" t="s">
        <v>149</v>
      </c>
      <c r="D87" s="42">
        <f>TRUNC(97323,-1)</f>
        <v>97320</v>
      </c>
      <c r="E87" s="71">
        <f t="shared" si="372"/>
        <v>321720</v>
      </c>
      <c r="H87" s="55">
        <f t="shared" si="373"/>
        <v>107052.00000000001</v>
      </c>
      <c r="I87" s="55">
        <f t="shared" si="513"/>
        <v>107052.00000000001</v>
      </c>
      <c r="J87" s="59">
        <f t="shared" si="514"/>
        <v>353892.50160000008</v>
      </c>
      <c r="K87" s="55">
        <f t="shared" si="374"/>
        <v>103840.44000000002</v>
      </c>
      <c r="L87" s="59">
        <f t="shared" si="375"/>
        <v>343275.72655200004</v>
      </c>
      <c r="M87" s="55">
        <f t="shared" si="376"/>
        <v>101699.40000000001</v>
      </c>
      <c r="N87" s="59">
        <f t="shared" si="377"/>
        <v>336197.87652000005</v>
      </c>
      <c r="O87" s="55">
        <f t="shared" si="378"/>
        <v>99558.360000000015</v>
      </c>
      <c r="P87" s="59">
        <f t="shared" si="379"/>
        <v>329120.02648800006</v>
      </c>
      <c r="Q87" s="57">
        <f t="shared" si="380"/>
        <v>97417.320000000022</v>
      </c>
      <c r="R87" s="59">
        <f t="shared" si="381"/>
        <v>322042.17645600007</v>
      </c>
      <c r="S87" s="55">
        <f t="shared" si="382"/>
        <v>95276.280000000013</v>
      </c>
      <c r="T87" s="59">
        <f t="shared" si="383"/>
        <v>314964.32642400003</v>
      </c>
      <c r="U87" s="57">
        <f t="shared" si="384"/>
        <v>93135.24</v>
      </c>
      <c r="V87" s="59">
        <f t="shared" si="385"/>
        <v>307886.47639200004</v>
      </c>
      <c r="W87" s="60">
        <f t="shared" si="386"/>
        <v>90994.200000000012</v>
      </c>
      <c r="X87" s="59">
        <f t="shared" si="387"/>
        <v>300808.62636000005</v>
      </c>
      <c r="Y87" s="57">
        <f t="shared" si="388"/>
        <v>88853.16</v>
      </c>
      <c r="Z87" s="59">
        <f t="shared" si="389"/>
        <v>293730.77632800001</v>
      </c>
      <c r="AA87" s="55">
        <f t="shared" si="390"/>
        <v>86712.12000000001</v>
      </c>
      <c r="AB87" s="59">
        <f t="shared" si="391"/>
        <v>286652.92629600002</v>
      </c>
      <c r="AC87" s="60">
        <f t="shared" si="392"/>
        <v>84571.08</v>
      </c>
      <c r="AD87" s="59">
        <f t="shared" si="393"/>
        <v>279575.07626400003</v>
      </c>
      <c r="AE87" s="60">
        <f t="shared" si="394"/>
        <v>82430.040000000008</v>
      </c>
      <c r="AF87" s="59">
        <f t="shared" si="395"/>
        <v>272497.22623200004</v>
      </c>
      <c r="AG87" s="60">
        <f t="shared" si="396"/>
        <v>80289</v>
      </c>
      <c r="AH87" s="59">
        <f t="shared" si="397"/>
        <v>265419.3762</v>
      </c>
      <c r="AI87" s="55">
        <f t="shared" si="398"/>
        <v>78147.959999999992</v>
      </c>
      <c r="AJ87" s="59">
        <f t="shared" si="399"/>
        <v>258341.52616799998</v>
      </c>
      <c r="AK87" s="60">
        <f t="shared" si="400"/>
        <v>76006.92</v>
      </c>
      <c r="AL87" s="59">
        <f t="shared" si="401"/>
        <v>251263.67613599999</v>
      </c>
      <c r="AM87" s="60">
        <f t="shared" si="402"/>
        <v>73865.87999999999</v>
      </c>
      <c r="AN87" s="59">
        <f t="shared" si="403"/>
        <v>244185.82610399998</v>
      </c>
      <c r="AO87" s="60">
        <f t="shared" si="404"/>
        <v>71724.84</v>
      </c>
      <c r="AP87" s="59">
        <f t="shared" si="405"/>
        <v>237107.97607199999</v>
      </c>
      <c r="AQ87" s="60">
        <f t="shared" si="406"/>
        <v>69583.799999999988</v>
      </c>
      <c r="AR87" s="59">
        <f t="shared" si="407"/>
        <v>230030.12603999997</v>
      </c>
      <c r="AS87" s="55">
        <f t="shared" si="408"/>
        <v>67442.75999999998</v>
      </c>
      <c r="AT87" s="59">
        <f t="shared" si="409"/>
        <v>222952.27600799993</v>
      </c>
      <c r="AU87" s="60">
        <f t="shared" si="410"/>
        <v>65301.719999999987</v>
      </c>
      <c r="AV87" s="59">
        <f t="shared" si="411"/>
        <v>215874.42597599997</v>
      </c>
      <c r="AW87" s="60">
        <f t="shared" si="412"/>
        <v>63160.679999999978</v>
      </c>
      <c r="AX87" s="59">
        <f t="shared" si="413"/>
        <v>208796.57594399992</v>
      </c>
      <c r="AY87" s="55">
        <f t="shared" si="414"/>
        <v>61019.639999999978</v>
      </c>
      <c r="AZ87" s="59">
        <f t="shared" si="415"/>
        <v>201718.72591199994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8"/>
        <v>0.91</v>
      </c>
      <c r="BH87" s="55">
        <f t="shared" si="508"/>
        <v>0.89</v>
      </c>
      <c r="BI87" s="55">
        <f t="shared" si="508"/>
        <v>0.87</v>
      </c>
      <c r="BJ87" s="55">
        <f t="shared" si="508"/>
        <v>0.85</v>
      </c>
      <c r="BK87" s="55">
        <f t="shared" si="508"/>
        <v>0.83</v>
      </c>
      <c r="BL87" s="55">
        <f t="shared" si="508"/>
        <v>0.80999999999999994</v>
      </c>
      <c r="BM87" s="55">
        <f t="shared" si="508"/>
        <v>0.78999999999999992</v>
      </c>
      <c r="BN87" s="55">
        <f t="shared" si="508"/>
        <v>0.76999999999999991</v>
      </c>
      <c r="BO87" s="55">
        <f t="shared" si="508"/>
        <v>0.74999999999999989</v>
      </c>
      <c r="BP87" s="55">
        <f t="shared" si="508"/>
        <v>0.72999999999999987</v>
      </c>
      <c r="BQ87" s="55">
        <f t="shared" si="508"/>
        <v>0.70999999999999985</v>
      </c>
      <c r="BR87" s="55">
        <f t="shared" si="508"/>
        <v>0.68999999999999984</v>
      </c>
      <c r="BS87" s="55">
        <f t="shared" si="508"/>
        <v>0.66999999999999982</v>
      </c>
      <c r="BT87" s="55">
        <f t="shared" si="508"/>
        <v>0.6499999999999998</v>
      </c>
      <c r="BU87" s="55">
        <f t="shared" si="508"/>
        <v>0.62999999999999978</v>
      </c>
      <c r="BV87" s="55">
        <f t="shared" si="508"/>
        <v>0.60999999999999976</v>
      </c>
      <c r="BW87" s="55">
        <f t="shared" si="508"/>
        <v>0.58999999999999975</v>
      </c>
      <c r="BX87" s="55">
        <f t="shared" si="508"/>
        <v>0.56999999999999973</v>
      </c>
      <c r="BZ87" s="55">
        <f t="shared" si="515"/>
        <v>97417.320000000022</v>
      </c>
      <c r="CA87" s="55">
        <f t="shared" si="516"/>
        <v>97417.320000000022</v>
      </c>
      <c r="CB87" s="59">
        <f t="shared" si="417"/>
        <v>322042.17645600007</v>
      </c>
      <c r="CC87" s="55">
        <f t="shared" si="418"/>
        <v>94494.800400000022</v>
      </c>
      <c r="CD87" s="59">
        <f t="shared" si="419"/>
        <v>312380.91116232006</v>
      </c>
      <c r="CE87" s="55">
        <f t="shared" si="420"/>
        <v>92546.454000000012</v>
      </c>
      <c r="CF87" s="59">
        <f t="shared" si="421"/>
        <v>305940.06763320003</v>
      </c>
      <c r="CG87" s="55">
        <f t="shared" si="422"/>
        <v>90598.107600000018</v>
      </c>
      <c r="CH87" s="59">
        <f t="shared" si="423"/>
        <v>299499.22410408006</v>
      </c>
      <c r="CI87" s="57">
        <f t="shared" si="424"/>
        <v>88649.761200000023</v>
      </c>
      <c r="CJ87" s="59">
        <f t="shared" si="425"/>
        <v>293058.38057496009</v>
      </c>
      <c r="CK87" s="55">
        <f t="shared" si="426"/>
        <v>86701.414800000013</v>
      </c>
      <c r="CL87" s="59">
        <f t="shared" si="427"/>
        <v>286617.53704584006</v>
      </c>
      <c r="CM87" s="57">
        <f t="shared" si="428"/>
        <v>84753.068400000018</v>
      </c>
      <c r="CN87" s="59">
        <f t="shared" si="429"/>
        <v>280176.69351672009</v>
      </c>
      <c r="CO87" s="60">
        <f t="shared" si="430"/>
        <v>82804.722000000023</v>
      </c>
      <c r="CP87" s="59">
        <f t="shared" si="431"/>
        <v>273735.84998760006</v>
      </c>
      <c r="CQ87" s="57">
        <f t="shared" si="432"/>
        <v>80856.375600000014</v>
      </c>
      <c r="CR87" s="59">
        <f t="shared" si="433"/>
        <v>267295.00645848003</v>
      </c>
      <c r="CS87" s="55">
        <f t="shared" si="434"/>
        <v>78908.029200000019</v>
      </c>
      <c r="CT87" s="59">
        <f t="shared" si="435"/>
        <v>260854.16292936006</v>
      </c>
      <c r="CU87" s="60">
        <f t="shared" si="436"/>
        <v>76959.68280000001</v>
      </c>
      <c r="CV87" s="59">
        <f t="shared" si="437"/>
        <v>254413.31940024003</v>
      </c>
      <c r="CW87" s="60">
        <f t="shared" si="438"/>
        <v>75011.336400000015</v>
      </c>
      <c r="CX87" s="59">
        <f t="shared" si="439"/>
        <v>247972.47587112006</v>
      </c>
      <c r="CY87" s="60">
        <f t="shared" si="440"/>
        <v>73062.990000000005</v>
      </c>
      <c r="CZ87" s="59">
        <f t="shared" si="441"/>
        <v>241531.63234200003</v>
      </c>
      <c r="DA87" s="55">
        <f t="shared" si="442"/>
        <v>71114.64360000001</v>
      </c>
      <c r="DB87" s="59">
        <f t="shared" si="443"/>
        <v>235090.78881288003</v>
      </c>
      <c r="DC87" s="60">
        <f t="shared" si="444"/>
        <v>69166.297200000001</v>
      </c>
      <c r="DD87" s="59">
        <f t="shared" si="445"/>
        <v>228649.94528376</v>
      </c>
      <c r="DE87" s="60">
        <f t="shared" si="446"/>
        <v>67217.950800000006</v>
      </c>
      <c r="DF87" s="59">
        <f t="shared" si="447"/>
        <v>222209.10175464003</v>
      </c>
      <c r="DG87" s="60">
        <f t="shared" si="448"/>
        <v>65269.604399999997</v>
      </c>
      <c r="DH87" s="59">
        <f t="shared" si="449"/>
        <v>215768.25822552</v>
      </c>
      <c r="DI87" s="60">
        <f t="shared" si="450"/>
        <v>63321.257999999994</v>
      </c>
      <c r="DJ87" s="59">
        <f t="shared" si="451"/>
        <v>209327.4146964</v>
      </c>
      <c r="DK87" s="55">
        <f t="shared" si="452"/>
        <v>61372.911599999992</v>
      </c>
      <c r="DL87" s="59">
        <f t="shared" si="453"/>
        <v>202886.57116727997</v>
      </c>
      <c r="DM87" s="60">
        <f t="shared" si="454"/>
        <v>59424.56519999999</v>
      </c>
      <c r="DN87" s="59">
        <f t="shared" si="455"/>
        <v>196445.72763815997</v>
      </c>
      <c r="DO87" s="60">
        <f t="shared" si="456"/>
        <v>57476.218799999988</v>
      </c>
      <c r="DP87" s="59">
        <f t="shared" si="457"/>
        <v>190004.88410903997</v>
      </c>
      <c r="DQ87" s="55">
        <f t="shared" si="458"/>
        <v>55527.872399999986</v>
      </c>
      <c r="DR87" s="59">
        <f t="shared" si="459"/>
        <v>183564.04057991997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11"/>
        <v>0.91</v>
      </c>
      <c r="DZ87" s="55">
        <f t="shared" si="511"/>
        <v>0.89</v>
      </c>
      <c r="EA87" s="55">
        <f t="shared" si="511"/>
        <v>0.87</v>
      </c>
      <c r="EB87" s="55">
        <f t="shared" si="511"/>
        <v>0.85</v>
      </c>
      <c r="EC87" s="55">
        <f t="shared" si="511"/>
        <v>0.83</v>
      </c>
      <c r="ED87" s="55">
        <f t="shared" si="511"/>
        <v>0.80999999999999994</v>
      </c>
      <c r="EE87" s="55">
        <f t="shared" si="511"/>
        <v>0.78999999999999992</v>
      </c>
      <c r="EF87" s="55">
        <f t="shared" si="511"/>
        <v>0.76999999999999991</v>
      </c>
      <c r="EG87" s="55">
        <f t="shared" si="511"/>
        <v>0.74999999999999989</v>
      </c>
      <c r="EH87" s="55">
        <f t="shared" si="511"/>
        <v>0.72999999999999987</v>
      </c>
      <c r="EI87" s="55">
        <f t="shared" si="511"/>
        <v>0.70999999999999985</v>
      </c>
      <c r="EJ87" s="55">
        <f t="shared" si="511"/>
        <v>0.68999999999999984</v>
      </c>
      <c r="EK87" s="55">
        <f t="shared" si="511"/>
        <v>0.66999999999999982</v>
      </c>
      <c r="EL87" s="55">
        <f t="shared" si="511"/>
        <v>0.6499999999999998</v>
      </c>
      <c r="EM87" s="55">
        <f t="shared" si="511"/>
        <v>0.62999999999999978</v>
      </c>
      <c r="EN87" s="55">
        <f t="shared" si="511"/>
        <v>0.60999999999999976</v>
      </c>
      <c r="EO87" s="55">
        <f t="shared" si="511"/>
        <v>0.58999999999999975</v>
      </c>
      <c r="EP87" s="55">
        <f t="shared" si="511"/>
        <v>0.56999999999999973</v>
      </c>
      <c r="ER87" s="55">
        <f t="shared" si="142"/>
        <v>88649.761200000023</v>
      </c>
      <c r="ES87" s="55">
        <f t="shared" si="517"/>
        <v>88649.761200000023</v>
      </c>
      <c r="ET87" s="59">
        <f t="shared" si="461"/>
        <v>293058.38057496009</v>
      </c>
      <c r="EU87" s="55">
        <f t="shared" si="462"/>
        <v>85990.268364000018</v>
      </c>
      <c r="EV87" s="59">
        <f t="shared" si="463"/>
        <v>284266.62915771129</v>
      </c>
      <c r="EW87" s="55">
        <f t="shared" si="464"/>
        <v>84217.273140000019</v>
      </c>
      <c r="EX87" s="59">
        <f t="shared" si="465"/>
        <v>278405.46154621209</v>
      </c>
      <c r="EY87" s="55">
        <f t="shared" si="466"/>
        <v>82444.277916000021</v>
      </c>
      <c r="EZ87" s="59">
        <f t="shared" si="467"/>
        <v>272544.29393471288</v>
      </c>
      <c r="FA87" s="57">
        <f t="shared" si="468"/>
        <v>80671.282692000023</v>
      </c>
      <c r="FB87" s="59">
        <f t="shared" si="469"/>
        <v>266683.12632321368</v>
      </c>
      <c r="FC87" s="55">
        <f t="shared" si="470"/>
        <v>78898.287468000024</v>
      </c>
      <c r="FD87" s="59">
        <f t="shared" si="471"/>
        <v>260821.95871171448</v>
      </c>
      <c r="FE87" s="57">
        <f t="shared" si="472"/>
        <v>77125.292244000026</v>
      </c>
      <c r="FF87" s="59">
        <f t="shared" si="473"/>
        <v>254960.79110021528</v>
      </c>
      <c r="FG87" s="60">
        <f t="shared" si="474"/>
        <v>75352.297020000013</v>
      </c>
      <c r="FH87" s="59">
        <f t="shared" si="475"/>
        <v>249099.62348871605</v>
      </c>
      <c r="FI87" s="57">
        <f t="shared" si="476"/>
        <v>73579.301796000014</v>
      </c>
      <c r="FJ87" s="59">
        <f t="shared" si="477"/>
        <v>243238.45587721685</v>
      </c>
      <c r="FK87" s="55">
        <f t="shared" si="478"/>
        <v>71806.306572000016</v>
      </c>
      <c r="FL87" s="59">
        <f t="shared" si="479"/>
        <v>237377.28826571765</v>
      </c>
      <c r="FM87" s="60">
        <f t="shared" si="480"/>
        <v>70033.311348000017</v>
      </c>
      <c r="FN87" s="59">
        <f t="shared" si="481"/>
        <v>231516.12065421845</v>
      </c>
      <c r="FO87" s="60">
        <f t="shared" si="482"/>
        <v>68260.316124000004</v>
      </c>
      <c r="FP87" s="59">
        <f t="shared" si="483"/>
        <v>225654.95304271922</v>
      </c>
      <c r="FQ87" s="60">
        <f t="shared" si="484"/>
        <v>66487.320900000006</v>
      </c>
      <c r="FR87" s="59">
        <f t="shared" si="485"/>
        <v>219793.78543122002</v>
      </c>
      <c r="FS87" s="55">
        <f t="shared" si="486"/>
        <v>64714.325676000008</v>
      </c>
      <c r="FT87" s="59">
        <f t="shared" si="487"/>
        <v>213932.61781972082</v>
      </c>
      <c r="FU87" s="60">
        <f t="shared" si="488"/>
        <v>62941.330452000002</v>
      </c>
      <c r="FV87" s="59">
        <f t="shared" si="489"/>
        <v>208071.45020822162</v>
      </c>
      <c r="FW87" s="60">
        <f t="shared" si="490"/>
        <v>61168.335228000004</v>
      </c>
      <c r="FX87" s="59">
        <f t="shared" si="491"/>
        <v>202210.28259672242</v>
      </c>
      <c r="FY87" s="60">
        <f t="shared" si="492"/>
        <v>59395.340003999998</v>
      </c>
      <c r="FZ87" s="59">
        <f t="shared" si="493"/>
        <v>196349.11498522319</v>
      </c>
      <c r="GA87" s="60">
        <f t="shared" si="494"/>
        <v>57622.344779999999</v>
      </c>
      <c r="GB87" s="59">
        <f t="shared" si="495"/>
        <v>190487.94737372399</v>
      </c>
      <c r="GC87" s="55">
        <f t="shared" si="496"/>
        <v>55849.349555999994</v>
      </c>
      <c r="GD87" s="59">
        <f t="shared" si="497"/>
        <v>184626.77976222479</v>
      </c>
      <c r="GE87" s="60">
        <f t="shared" si="498"/>
        <v>54076.354331999995</v>
      </c>
      <c r="GF87" s="59">
        <f t="shared" si="499"/>
        <v>178765.61215072559</v>
      </c>
      <c r="GG87" s="60">
        <f t="shared" si="500"/>
        <v>52303.35910799999</v>
      </c>
      <c r="GH87" s="59">
        <f t="shared" si="501"/>
        <v>172904.44453922636</v>
      </c>
      <c r="GI87" s="55">
        <f t="shared" si="502"/>
        <v>50530.363883999991</v>
      </c>
      <c r="GJ87" s="59">
        <f t="shared" si="503"/>
        <v>167043.27692772719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12"/>
        <v>0.91</v>
      </c>
      <c r="GR87" s="55">
        <f t="shared" si="512"/>
        <v>0.89</v>
      </c>
      <c r="GS87" s="55">
        <f t="shared" si="512"/>
        <v>0.87</v>
      </c>
      <c r="GT87" s="55">
        <f t="shared" si="512"/>
        <v>0.85</v>
      </c>
      <c r="GU87" s="55">
        <f t="shared" si="512"/>
        <v>0.83</v>
      </c>
      <c r="GV87" s="55">
        <f t="shared" si="512"/>
        <v>0.80999999999999994</v>
      </c>
      <c r="GW87" s="55">
        <f t="shared" si="512"/>
        <v>0.78999999999999992</v>
      </c>
      <c r="GX87" s="55">
        <f t="shared" si="512"/>
        <v>0.76999999999999991</v>
      </c>
      <c r="GY87" s="55">
        <f t="shared" si="512"/>
        <v>0.74999999999999989</v>
      </c>
      <c r="GZ87" s="55">
        <f t="shared" si="512"/>
        <v>0.72999999999999987</v>
      </c>
      <c r="HA87" s="55">
        <f t="shared" si="512"/>
        <v>0.70999999999999985</v>
      </c>
      <c r="HB87" s="55">
        <f t="shared" si="512"/>
        <v>0.68999999999999984</v>
      </c>
      <c r="HC87" s="55">
        <f t="shared" si="512"/>
        <v>0.66999999999999982</v>
      </c>
      <c r="HD87" s="55">
        <f t="shared" si="512"/>
        <v>0.6499999999999998</v>
      </c>
      <c r="HE87" s="55">
        <f t="shared" si="512"/>
        <v>0.62999999999999978</v>
      </c>
      <c r="HF87" s="55">
        <f t="shared" si="512"/>
        <v>0.60999999999999976</v>
      </c>
      <c r="HG87" s="55">
        <f t="shared" si="512"/>
        <v>0.58999999999999975</v>
      </c>
      <c r="HH87" s="55">
        <f t="shared" si="512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TRUNC(2073+38419+20427,-1)</f>
        <v>60910</v>
      </c>
      <c r="E88" s="72">
        <f t="shared" si="372"/>
        <v>201350</v>
      </c>
      <c r="F88" s="2" t="s">
        <v>310</v>
      </c>
      <c r="H88" s="55">
        <f t="shared" si="373"/>
        <v>67001</v>
      </c>
      <c r="I88" s="55">
        <f t="shared" si="513"/>
        <v>67001</v>
      </c>
      <c r="J88" s="59">
        <f t="shared" si="514"/>
        <v>221491.90580000001</v>
      </c>
      <c r="K88" s="55">
        <f t="shared" si="374"/>
        <v>64990.97</v>
      </c>
      <c r="L88" s="59">
        <f t="shared" si="375"/>
        <v>214847.14862600001</v>
      </c>
      <c r="M88" s="55">
        <f t="shared" si="376"/>
        <v>63650.95</v>
      </c>
      <c r="N88" s="59">
        <f t="shared" si="377"/>
        <v>210417.31050999998</v>
      </c>
      <c r="O88" s="55">
        <f t="shared" si="378"/>
        <v>62310.93</v>
      </c>
      <c r="P88" s="59">
        <f t="shared" si="379"/>
        <v>205987.47239400001</v>
      </c>
      <c r="Q88" s="57">
        <f t="shared" si="380"/>
        <v>60970.91</v>
      </c>
      <c r="R88" s="59">
        <f t="shared" si="381"/>
        <v>201557.63427800001</v>
      </c>
      <c r="S88" s="55">
        <f t="shared" si="382"/>
        <v>59630.89</v>
      </c>
      <c r="T88" s="59">
        <f t="shared" si="383"/>
        <v>197127.79616200001</v>
      </c>
      <c r="U88" s="57">
        <f t="shared" si="384"/>
        <v>58290.87</v>
      </c>
      <c r="V88" s="59">
        <f t="shared" si="385"/>
        <v>192697.95804600001</v>
      </c>
      <c r="W88" s="60">
        <f t="shared" si="386"/>
        <v>56950.85</v>
      </c>
      <c r="X88" s="59">
        <f t="shared" si="387"/>
        <v>188268.11992999999</v>
      </c>
      <c r="Y88" s="57">
        <f t="shared" si="388"/>
        <v>55610.829999999994</v>
      </c>
      <c r="Z88" s="59">
        <f t="shared" si="389"/>
        <v>183838.28181399999</v>
      </c>
      <c r="AA88" s="55">
        <f t="shared" si="390"/>
        <v>54270.81</v>
      </c>
      <c r="AB88" s="59">
        <f t="shared" si="391"/>
        <v>179408.44369799999</v>
      </c>
      <c r="AC88" s="60">
        <f t="shared" si="392"/>
        <v>52930.789999999994</v>
      </c>
      <c r="AD88" s="59">
        <f t="shared" si="393"/>
        <v>174978.60558199999</v>
      </c>
      <c r="AE88" s="60">
        <f t="shared" si="394"/>
        <v>51590.77</v>
      </c>
      <c r="AF88" s="59">
        <f t="shared" si="395"/>
        <v>170548.76746599999</v>
      </c>
      <c r="AG88" s="60">
        <f t="shared" si="396"/>
        <v>50250.749999999993</v>
      </c>
      <c r="AH88" s="59">
        <f t="shared" si="397"/>
        <v>166118.92934999999</v>
      </c>
      <c r="AI88" s="55">
        <f t="shared" si="398"/>
        <v>48910.729999999989</v>
      </c>
      <c r="AJ88" s="59">
        <f t="shared" si="399"/>
        <v>161689.09123399996</v>
      </c>
      <c r="AK88" s="60">
        <f t="shared" si="400"/>
        <v>47570.709999999992</v>
      </c>
      <c r="AL88" s="59">
        <f t="shared" si="401"/>
        <v>157259.25311799996</v>
      </c>
      <c r="AM88" s="60">
        <f t="shared" si="402"/>
        <v>46230.689999999988</v>
      </c>
      <c r="AN88" s="59">
        <f t="shared" si="403"/>
        <v>152829.41500199997</v>
      </c>
      <c r="AO88" s="60">
        <f t="shared" si="404"/>
        <v>44890.669999999991</v>
      </c>
      <c r="AP88" s="59">
        <f t="shared" si="405"/>
        <v>148399.57688599997</v>
      </c>
      <c r="AQ88" s="60">
        <f t="shared" si="406"/>
        <v>43550.649999999987</v>
      </c>
      <c r="AR88" s="59">
        <f t="shared" si="407"/>
        <v>143969.73876999997</v>
      </c>
      <c r="AS88" s="55">
        <f t="shared" si="408"/>
        <v>42210.629999999983</v>
      </c>
      <c r="AT88" s="59">
        <f t="shared" si="409"/>
        <v>139539.90065399994</v>
      </c>
      <c r="AU88" s="60">
        <f t="shared" si="410"/>
        <v>40870.609999999986</v>
      </c>
      <c r="AV88" s="59">
        <f t="shared" si="411"/>
        <v>135110.06253799997</v>
      </c>
      <c r="AW88" s="60">
        <f t="shared" si="412"/>
        <v>39530.589999999982</v>
      </c>
      <c r="AX88" s="59">
        <f t="shared" si="413"/>
        <v>130680.22442199994</v>
      </c>
      <c r="AY88" s="55">
        <f t="shared" si="414"/>
        <v>38190.569999999985</v>
      </c>
      <c r="AZ88" s="59">
        <f t="shared" si="415"/>
        <v>126250.38630599996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8"/>
        <v>0.91</v>
      </c>
      <c r="BH88" s="55">
        <f t="shared" si="508"/>
        <v>0.89</v>
      </c>
      <c r="BI88" s="55">
        <f t="shared" si="508"/>
        <v>0.87</v>
      </c>
      <c r="BJ88" s="55">
        <f t="shared" si="508"/>
        <v>0.85</v>
      </c>
      <c r="BK88" s="55">
        <f t="shared" si="508"/>
        <v>0.83</v>
      </c>
      <c r="BL88" s="55">
        <f t="shared" si="508"/>
        <v>0.80999999999999994</v>
      </c>
      <c r="BM88" s="55">
        <f t="shared" si="508"/>
        <v>0.78999999999999992</v>
      </c>
      <c r="BN88" s="55">
        <f t="shared" si="508"/>
        <v>0.76999999999999991</v>
      </c>
      <c r="BO88" s="55">
        <f t="shared" si="508"/>
        <v>0.74999999999999989</v>
      </c>
      <c r="BP88" s="55">
        <f t="shared" si="508"/>
        <v>0.72999999999999987</v>
      </c>
      <c r="BQ88" s="55">
        <f t="shared" si="508"/>
        <v>0.70999999999999985</v>
      </c>
      <c r="BR88" s="55">
        <f t="shared" si="508"/>
        <v>0.68999999999999984</v>
      </c>
      <c r="BS88" s="55">
        <f t="shared" si="508"/>
        <v>0.66999999999999982</v>
      </c>
      <c r="BT88" s="55">
        <f t="shared" si="508"/>
        <v>0.6499999999999998</v>
      </c>
      <c r="BU88" s="55">
        <f t="shared" si="508"/>
        <v>0.62999999999999978</v>
      </c>
      <c r="BV88" s="55">
        <f t="shared" si="508"/>
        <v>0.60999999999999976</v>
      </c>
      <c r="BW88" s="55">
        <f t="shared" si="508"/>
        <v>0.58999999999999975</v>
      </c>
      <c r="BX88" s="55">
        <f t="shared" si="508"/>
        <v>0.56999999999999973</v>
      </c>
      <c r="BZ88" s="55">
        <f t="shared" si="515"/>
        <v>60970.91</v>
      </c>
      <c r="CA88" s="55">
        <f t="shared" si="516"/>
        <v>60970.91</v>
      </c>
      <c r="CB88" s="59">
        <f t="shared" si="417"/>
        <v>201557.63427800001</v>
      </c>
      <c r="CC88" s="55">
        <f t="shared" si="418"/>
        <v>59141.782700000003</v>
      </c>
      <c r="CD88" s="59">
        <f t="shared" si="419"/>
        <v>195510.90524966002</v>
      </c>
      <c r="CE88" s="55">
        <f t="shared" si="420"/>
        <v>57922.364500000003</v>
      </c>
      <c r="CF88" s="59">
        <f t="shared" si="421"/>
        <v>191479.75256410002</v>
      </c>
      <c r="CG88" s="55">
        <f t="shared" si="422"/>
        <v>56702.946300000003</v>
      </c>
      <c r="CH88" s="59">
        <f t="shared" si="423"/>
        <v>187448.59987854</v>
      </c>
      <c r="CI88" s="57">
        <f t="shared" si="424"/>
        <v>55483.528100000003</v>
      </c>
      <c r="CJ88" s="59">
        <f t="shared" si="425"/>
        <v>183417.44719298001</v>
      </c>
      <c r="CK88" s="55">
        <f t="shared" si="426"/>
        <v>54264.109900000003</v>
      </c>
      <c r="CL88" s="59">
        <f t="shared" si="427"/>
        <v>179386.29450742001</v>
      </c>
      <c r="CM88" s="57">
        <f t="shared" si="428"/>
        <v>53044.691700000003</v>
      </c>
      <c r="CN88" s="59">
        <f t="shared" si="429"/>
        <v>175355.14182186002</v>
      </c>
      <c r="CO88" s="60">
        <f t="shared" si="430"/>
        <v>51825.273500000003</v>
      </c>
      <c r="CP88" s="59">
        <f t="shared" si="431"/>
        <v>171323.98913630002</v>
      </c>
      <c r="CQ88" s="57">
        <f t="shared" si="432"/>
        <v>50605.855300000003</v>
      </c>
      <c r="CR88" s="59">
        <f t="shared" si="433"/>
        <v>167292.83645074003</v>
      </c>
      <c r="CS88" s="55">
        <f t="shared" si="434"/>
        <v>49386.437100000003</v>
      </c>
      <c r="CT88" s="59">
        <f t="shared" si="435"/>
        <v>163261.68376518</v>
      </c>
      <c r="CU88" s="60">
        <f t="shared" si="436"/>
        <v>48167.018899999995</v>
      </c>
      <c r="CV88" s="59">
        <f t="shared" si="437"/>
        <v>159230.53107961998</v>
      </c>
      <c r="CW88" s="60">
        <f t="shared" si="438"/>
        <v>46947.600699999995</v>
      </c>
      <c r="CX88" s="59">
        <f t="shared" si="439"/>
        <v>155199.37839405998</v>
      </c>
      <c r="CY88" s="60">
        <f t="shared" si="440"/>
        <v>45728.182499999995</v>
      </c>
      <c r="CZ88" s="59">
        <f t="shared" si="441"/>
        <v>151168.22570849999</v>
      </c>
      <c r="DA88" s="55">
        <f t="shared" si="442"/>
        <v>44508.764299999995</v>
      </c>
      <c r="DB88" s="59">
        <f t="shared" si="443"/>
        <v>147137.07302293999</v>
      </c>
      <c r="DC88" s="60">
        <f t="shared" si="444"/>
        <v>43289.346099999995</v>
      </c>
      <c r="DD88" s="59">
        <f t="shared" si="445"/>
        <v>143105.92033738</v>
      </c>
      <c r="DE88" s="60">
        <f t="shared" si="446"/>
        <v>42069.927899999995</v>
      </c>
      <c r="DF88" s="59">
        <f t="shared" si="447"/>
        <v>139074.76765181997</v>
      </c>
      <c r="DG88" s="60">
        <f t="shared" si="448"/>
        <v>40850.509699999988</v>
      </c>
      <c r="DH88" s="59">
        <f t="shared" si="449"/>
        <v>135043.61496625995</v>
      </c>
      <c r="DI88" s="60">
        <f t="shared" si="450"/>
        <v>39631.091499999988</v>
      </c>
      <c r="DJ88" s="59">
        <f t="shared" si="451"/>
        <v>131012.46228069997</v>
      </c>
      <c r="DK88" s="55">
        <f t="shared" si="452"/>
        <v>38411.673299999988</v>
      </c>
      <c r="DL88" s="59">
        <f t="shared" si="453"/>
        <v>126981.30959513996</v>
      </c>
      <c r="DM88" s="60">
        <f t="shared" si="454"/>
        <v>37192.255099999988</v>
      </c>
      <c r="DN88" s="59">
        <f t="shared" si="455"/>
        <v>122950.15690957996</v>
      </c>
      <c r="DO88" s="60">
        <f t="shared" si="456"/>
        <v>35972.836899999988</v>
      </c>
      <c r="DP88" s="59">
        <f t="shared" si="457"/>
        <v>118919.00422401995</v>
      </c>
      <c r="DQ88" s="55">
        <f t="shared" si="458"/>
        <v>34753.418699999987</v>
      </c>
      <c r="DR88" s="59">
        <f t="shared" si="459"/>
        <v>114887.85153845996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11"/>
        <v>0.91</v>
      </c>
      <c r="DZ88" s="55">
        <f t="shared" si="511"/>
        <v>0.89</v>
      </c>
      <c r="EA88" s="55">
        <f t="shared" si="511"/>
        <v>0.87</v>
      </c>
      <c r="EB88" s="55">
        <f t="shared" si="511"/>
        <v>0.85</v>
      </c>
      <c r="EC88" s="55">
        <f t="shared" si="511"/>
        <v>0.83</v>
      </c>
      <c r="ED88" s="55">
        <f t="shared" si="511"/>
        <v>0.80999999999999994</v>
      </c>
      <c r="EE88" s="55">
        <f t="shared" si="511"/>
        <v>0.78999999999999992</v>
      </c>
      <c r="EF88" s="55">
        <f t="shared" si="511"/>
        <v>0.76999999999999991</v>
      </c>
      <c r="EG88" s="55">
        <f t="shared" si="511"/>
        <v>0.74999999999999989</v>
      </c>
      <c r="EH88" s="55">
        <f t="shared" si="511"/>
        <v>0.72999999999999987</v>
      </c>
      <c r="EI88" s="55">
        <f t="shared" si="511"/>
        <v>0.70999999999999985</v>
      </c>
      <c r="EJ88" s="55">
        <f t="shared" si="511"/>
        <v>0.68999999999999984</v>
      </c>
      <c r="EK88" s="55">
        <f t="shared" si="511"/>
        <v>0.66999999999999982</v>
      </c>
      <c r="EL88" s="55">
        <f t="shared" si="511"/>
        <v>0.6499999999999998</v>
      </c>
      <c r="EM88" s="55">
        <f t="shared" si="511"/>
        <v>0.62999999999999978</v>
      </c>
      <c r="EN88" s="55">
        <f t="shared" si="511"/>
        <v>0.60999999999999976</v>
      </c>
      <c r="EO88" s="55">
        <f t="shared" si="511"/>
        <v>0.58999999999999975</v>
      </c>
      <c r="EP88" s="55">
        <f t="shared" si="511"/>
        <v>0.56999999999999973</v>
      </c>
      <c r="ER88" s="55">
        <f t="shared" si="142"/>
        <v>55483.528100000003</v>
      </c>
      <c r="ES88" s="55">
        <f t="shared" si="517"/>
        <v>55483.528100000003</v>
      </c>
      <c r="ET88" s="59">
        <f t="shared" si="461"/>
        <v>183417.44719298001</v>
      </c>
      <c r="EU88" s="55">
        <f t="shared" si="462"/>
        <v>53819.022257000004</v>
      </c>
      <c r="EV88" s="59">
        <f t="shared" si="463"/>
        <v>177914.92377719062</v>
      </c>
      <c r="EW88" s="55">
        <f t="shared" si="464"/>
        <v>52709.351694999998</v>
      </c>
      <c r="EX88" s="59">
        <f t="shared" si="465"/>
        <v>174246.57483333099</v>
      </c>
      <c r="EY88" s="55">
        <f t="shared" si="466"/>
        <v>51599.681133000006</v>
      </c>
      <c r="EZ88" s="59">
        <f t="shared" si="467"/>
        <v>170578.22588947142</v>
      </c>
      <c r="FA88" s="57">
        <f t="shared" si="468"/>
        <v>50490.010571000006</v>
      </c>
      <c r="FB88" s="59">
        <f t="shared" si="469"/>
        <v>166909.87694561182</v>
      </c>
      <c r="FC88" s="55">
        <f t="shared" si="470"/>
        <v>49380.340009000007</v>
      </c>
      <c r="FD88" s="59">
        <f t="shared" si="471"/>
        <v>163241.52800175222</v>
      </c>
      <c r="FE88" s="57">
        <f t="shared" si="472"/>
        <v>48270.669447</v>
      </c>
      <c r="FF88" s="59">
        <f t="shared" si="473"/>
        <v>159573.17905789262</v>
      </c>
      <c r="FG88" s="60">
        <f t="shared" si="474"/>
        <v>47160.998885000001</v>
      </c>
      <c r="FH88" s="59">
        <f t="shared" si="475"/>
        <v>155904.83011403301</v>
      </c>
      <c r="FI88" s="57">
        <f t="shared" si="476"/>
        <v>46051.328323000002</v>
      </c>
      <c r="FJ88" s="59">
        <f t="shared" si="477"/>
        <v>152236.48117017341</v>
      </c>
      <c r="FK88" s="55">
        <f t="shared" si="478"/>
        <v>44941.657761000002</v>
      </c>
      <c r="FL88" s="59">
        <f t="shared" si="479"/>
        <v>148568.13222631381</v>
      </c>
      <c r="FM88" s="60">
        <f t="shared" si="480"/>
        <v>43831.987198999996</v>
      </c>
      <c r="FN88" s="59">
        <f t="shared" si="481"/>
        <v>144899.78328245418</v>
      </c>
      <c r="FO88" s="60">
        <f t="shared" si="482"/>
        <v>42722.316636999996</v>
      </c>
      <c r="FP88" s="59">
        <f t="shared" si="483"/>
        <v>141231.43433859458</v>
      </c>
      <c r="FQ88" s="60">
        <f t="shared" si="484"/>
        <v>41612.646074999997</v>
      </c>
      <c r="FR88" s="59">
        <f t="shared" si="485"/>
        <v>137563.08539473498</v>
      </c>
      <c r="FS88" s="55">
        <f t="shared" si="486"/>
        <v>40502.975512999998</v>
      </c>
      <c r="FT88" s="59">
        <f t="shared" si="487"/>
        <v>133894.73645087538</v>
      </c>
      <c r="FU88" s="60">
        <f t="shared" si="488"/>
        <v>39393.304950999991</v>
      </c>
      <c r="FV88" s="59">
        <f t="shared" si="489"/>
        <v>130226.38750701577</v>
      </c>
      <c r="FW88" s="60">
        <f t="shared" si="490"/>
        <v>38283.634388999992</v>
      </c>
      <c r="FX88" s="59">
        <f t="shared" si="491"/>
        <v>126558.03856315618</v>
      </c>
      <c r="FY88" s="60">
        <f t="shared" si="492"/>
        <v>37173.963826999992</v>
      </c>
      <c r="FZ88" s="59">
        <f t="shared" si="493"/>
        <v>122889.68961929658</v>
      </c>
      <c r="GA88" s="60">
        <f t="shared" si="494"/>
        <v>36064.293264999993</v>
      </c>
      <c r="GB88" s="59">
        <f t="shared" si="495"/>
        <v>119221.34067543698</v>
      </c>
      <c r="GC88" s="55">
        <f t="shared" si="496"/>
        <v>34954.622702999986</v>
      </c>
      <c r="GD88" s="59">
        <f t="shared" si="497"/>
        <v>115552.99173157736</v>
      </c>
      <c r="GE88" s="60">
        <f t="shared" si="498"/>
        <v>33844.952140999987</v>
      </c>
      <c r="GF88" s="59">
        <f t="shared" si="499"/>
        <v>111884.64278771776</v>
      </c>
      <c r="GG88" s="60">
        <f t="shared" si="500"/>
        <v>32735.281578999988</v>
      </c>
      <c r="GH88" s="59">
        <f t="shared" si="501"/>
        <v>108216.29384385816</v>
      </c>
      <c r="GI88" s="55">
        <f t="shared" si="502"/>
        <v>31625.611016999988</v>
      </c>
      <c r="GJ88" s="59">
        <f t="shared" si="503"/>
        <v>104547.94489999856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12"/>
        <v>0.91</v>
      </c>
      <c r="GR88" s="55">
        <f t="shared" si="512"/>
        <v>0.89</v>
      </c>
      <c r="GS88" s="55">
        <f t="shared" si="512"/>
        <v>0.87</v>
      </c>
      <c r="GT88" s="55">
        <f t="shared" si="512"/>
        <v>0.85</v>
      </c>
      <c r="GU88" s="55">
        <f t="shared" si="512"/>
        <v>0.83</v>
      </c>
      <c r="GV88" s="55">
        <f t="shared" si="512"/>
        <v>0.80999999999999994</v>
      </c>
      <c r="GW88" s="55">
        <f t="shared" si="512"/>
        <v>0.78999999999999992</v>
      </c>
      <c r="GX88" s="55">
        <f t="shared" si="512"/>
        <v>0.76999999999999991</v>
      </c>
      <c r="GY88" s="55">
        <f t="shared" si="512"/>
        <v>0.74999999999999989</v>
      </c>
      <c r="GZ88" s="55">
        <f t="shared" si="512"/>
        <v>0.72999999999999987</v>
      </c>
      <c r="HA88" s="55">
        <f t="shared" si="512"/>
        <v>0.70999999999999985</v>
      </c>
      <c r="HB88" s="55">
        <f t="shared" si="512"/>
        <v>0.68999999999999984</v>
      </c>
      <c r="HC88" s="55">
        <f t="shared" si="512"/>
        <v>0.66999999999999982</v>
      </c>
      <c r="HD88" s="55">
        <f t="shared" si="512"/>
        <v>0.6499999999999998</v>
      </c>
      <c r="HE88" s="55">
        <f t="shared" si="512"/>
        <v>0.62999999999999978</v>
      </c>
      <c r="HF88" s="55">
        <f t="shared" si="512"/>
        <v>0.60999999999999976</v>
      </c>
      <c r="HG88" s="55">
        <f t="shared" si="512"/>
        <v>0.58999999999999975</v>
      </c>
      <c r="HH88" s="55">
        <f t="shared" si="512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214510</v>
      </c>
      <c r="E89" s="39">
        <f>SUM(E63:E88)</f>
        <v>709080</v>
      </c>
      <c r="H89" s="55">
        <f t="shared" si="373"/>
        <v>235961.00000000003</v>
      </c>
      <c r="I89" s="55">
        <f t="shared" si="513"/>
        <v>235961.00000000003</v>
      </c>
      <c r="J89" s="59">
        <f t="shared" si="514"/>
        <v>780039.87380000006</v>
      </c>
      <c r="K89" s="55">
        <f t="shared" si="374"/>
        <v>228882.17</v>
      </c>
      <c r="L89" s="59">
        <f t="shared" si="375"/>
        <v>756638.67758600006</v>
      </c>
      <c r="M89" s="55">
        <f t="shared" si="376"/>
        <v>224162.95</v>
      </c>
      <c r="N89" s="59">
        <f t="shared" si="377"/>
        <v>741037.88011000003</v>
      </c>
      <c r="O89" s="55">
        <f t="shared" si="378"/>
        <v>219443.73000000004</v>
      </c>
      <c r="P89" s="59">
        <f t="shared" si="379"/>
        <v>725437.08263400011</v>
      </c>
      <c r="Q89" s="57">
        <f t="shared" si="380"/>
        <v>214724.51000000004</v>
      </c>
      <c r="R89" s="59">
        <f t="shared" si="381"/>
        <v>709836.28515800019</v>
      </c>
      <c r="S89" s="55">
        <f t="shared" si="382"/>
        <v>210005.29000000004</v>
      </c>
      <c r="T89" s="59">
        <f t="shared" si="383"/>
        <v>694235.48768200015</v>
      </c>
      <c r="U89" s="57">
        <f t="shared" si="384"/>
        <v>205286.07000000004</v>
      </c>
      <c r="V89" s="59">
        <f t="shared" si="385"/>
        <v>678634.69020600012</v>
      </c>
      <c r="W89" s="60">
        <f t="shared" si="386"/>
        <v>200566.85</v>
      </c>
      <c r="X89" s="59">
        <f t="shared" si="387"/>
        <v>663033.89273000008</v>
      </c>
      <c r="Y89" s="57">
        <f t="shared" si="388"/>
        <v>195847.63</v>
      </c>
      <c r="Z89" s="59">
        <f t="shared" si="389"/>
        <v>647433.09525400004</v>
      </c>
      <c r="AA89" s="55">
        <f t="shared" si="390"/>
        <v>191128.41</v>
      </c>
      <c r="AB89" s="59">
        <f t="shared" si="391"/>
        <v>631832.29777800001</v>
      </c>
      <c r="AC89" s="60">
        <f t="shared" si="392"/>
        <v>186409.19</v>
      </c>
      <c r="AD89" s="59">
        <f t="shared" si="393"/>
        <v>616231.50030199997</v>
      </c>
      <c r="AE89" s="60">
        <f t="shared" si="394"/>
        <v>181689.97</v>
      </c>
      <c r="AF89" s="59">
        <f t="shared" si="395"/>
        <v>600630.70282600005</v>
      </c>
      <c r="AG89" s="60">
        <f t="shared" si="396"/>
        <v>176970.75</v>
      </c>
      <c r="AH89" s="59">
        <f t="shared" si="397"/>
        <v>585029.90535000002</v>
      </c>
      <c r="AI89" s="55">
        <f t="shared" si="398"/>
        <v>172251.53</v>
      </c>
      <c r="AJ89" s="59">
        <f t="shared" si="399"/>
        <v>569429.10787399998</v>
      </c>
      <c r="AK89" s="60">
        <f t="shared" si="400"/>
        <v>167532.31</v>
      </c>
      <c r="AL89" s="59">
        <f t="shared" si="401"/>
        <v>553828.31039800006</v>
      </c>
      <c r="AM89" s="60">
        <f t="shared" si="402"/>
        <v>162813.08999999997</v>
      </c>
      <c r="AN89" s="59">
        <f t="shared" si="403"/>
        <v>538227.51292199991</v>
      </c>
      <c r="AO89" s="60">
        <f t="shared" si="404"/>
        <v>158093.86999999997</v>
      </c>
      <c r="AP89" s="59">
        <f t="shared" si="405"/>
        <v>522626.71544599987</v>
      </c>
      <c r="AQ89" s="60">
        <f t="shared" si="406"/>
        <v>153374.64999999997</v>
      </c>
      <c r="AR89" s="59">
        <f t="shared" si="407"/>
        <v>507025.91796999989</v>
      </c>
      <c r="AS89" s="55">
        <f t="shared" si="408"/>
        <v>148655.42999999996</v>
      </c>
      <c r="AT89" s="59">
        <f t="shared" si="409"/>
        <v>491425.12049399992</v>
      </c>
      <c r="AU89" s="60">
        <f t="shared" si="410"/>
        <v>143936.20999999996</v>
      </c>
      <c r="AV89" s="59">
        <f t="shared" si="411"/>
        <v>475824.32301799988</v>
      </c>
      <c r="AW89" s="60">
        <f t="shared" si="412"/>
        <v>139216.98999999996</v>
      </c>
      <c r="AX89" s="59">
        <f t="shared" si="413"/>
        <v>460223.5255419999</v>
      </c>
      <c r="AY89" s="55">
        <f t="shared" si="414"/>
        <v>134497.76999999996</v>
      </c>
      <c r="AZ89" s="59">
        <f t="shared" si="415"/>
        <v>444622.72806599987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8"/>
        <v>0.91</v>
      </c>
      <c r="BH89" s="55">
        <f t="shared" si="508"/>
        <v>0.89</v>
      </c>
      <c r="BI89" s="55">
        <f t="shared" si="508"/>
        <v>0.87</v>
      </c>
      <c r="BJ89" s="55">
        <f t="shared" si="508"/>
        <v>0.85</v>
      </c>
      <c r="BK89" s="55">
        <f t="shared" si="508"/>
        <v>0.83</v>
      </c>
      <c r="BL89" s="55">
        <f t="shared" si="508"/>
        <v>0.80999999999999994</v>
      </c>
      <c r="BM89" s="55">
        <f t="shared" si="508"/>
        <v>0.78999999999999992</v>
      </c>
      <c r="BN89" s="55">
        <f t="shared" si="508"/>
        <v>0.76999999999999991</v>
      </c>
      <c r="BO89" s="55">
        <f t="shared" si="508"/>
        <v>0.74999999999999989</v>
      </c>
      <c r="BP89" s="55">
        <f t="shared" si="508"/>
        <v>0.72999999999999987</v>
      </c>
      <c r="BQ89" s="55">
        <f t="shared" si="508"/>
        <v>0.70999999999999985</v>
      </c>
      <c r="BR89" s="55">
        <f t="shared" si="508"/>
        <v>0.68999999999999984</v>
      </c>
      <c r="BS89" s="55">
        <f t="shared" si="508"/>
        <v>0.66999999999999982</v>
      </c>
      <c r="BT89" s="55">
        <f t="shared" si="508"/>
        <v>0.6499999999999998</v>
      </c>
      <c r="BU89" s="55">
        <f t="shared" si="508"/>
        <v>0.62999999999999978</v>
      </c>
      <c r="BV89" s="55">
        <f t="shared" si="508"/>
        <v>0.60999999999999976</v>
      </c>
      <c r="BW89" s="55">
        <f t="shared" si="508"/>
        <v>0.58999999999999975</v>
      </c>
      <c r="BX89" s="55">
        <f t="shared" si="508"/>
        <v>0.56999999999999973</v>
      </c>
      <c r="BZ89" s="55">
        <f t="shared" si="515"/>
        <v>214724.51000000004</v>
      </c>
      <c r="CA89" s="55">
        <f t="shared" si="516"/>
        <v>214724.51000000004</v>
      </c>
      <c r="CB89" s="59">
        <f t="shared" si="417"/>
        <v>709836.28515800019</v>
      </c>
      <c r="CC89" s="55">
        <f t="shared" si="418"/>
        <v>208282.77470000004</v>
      </c>
      <c r="CD89" s="59">
        <f t="shared" si="419"/>
        <v>688541.19660326012</v>
      </c>
      <c r="CE89" s="55">
        <f t="shared" si="420"/>
        <v>203988.28450000004</v>
      </c>
      <c r="CF89" s="59">
        <f t="shared" si="421"/>
        <v>674344.47090010019</v>
      </c>
      <c r="CG89" s="55">
        <f t="shared" si="422"/>
        <v>199693.79430000004</v>
      </c>
      <c r="CH89" s="59">
        <f t="shared" si="423"/>
        <v>660147.74519694014</v>
      </c>
      <c r="CI89" s="57">
        <f t="shared" si="424"/>
        <v>195399.30410000004</v>
      </c>
      <c r="CJ89" s="59">
        <f t="shared" si="425"/>
        <v>645951.0194937801</v>
      </c>
      <c r="CK89" s="55">
        <f t="shared" si="426"/>
        <v>191104.81390000004</v>
      </c>
      <c r="CL89" s="59">
        <f t="shared" si="427"/>
        <v>631754.29379062017</v>
      </c>
      <c r="CM89" s="57">
        <f t="shared" si="428"/>
        <v>186810.32370000004</v>
      </c>
      <c r="CN89" s="59">
        <f t="shared" si="429"/>
        <v>617557.56808746012</v>
      </c>
      <c r="CO89" s="60">
        <f t="shared" si="430"/>
        <v>182515.83350000004</v>
      </c>
      <c r="CP89" s="59">
        <f t="shared" si="431"/>
        <v>603360.84238430008</v>
      </c>
      <c r="CQ89" s="57">
        <f t="shared" si="432"/>
        <v>178221.34330000004</v>
      </c>
      <c r="CR89" s="59">
        <f t="shared" si="433"/>
        <v>589164.11668114015</v>
      </c>
      <c r="CS89" s="55">
        <f t="shared" si="434"/>
        <v>173926.85310000001</v>
      </c>
      <c r="CT89" s="59">
        <f t="shared" si="435"/>
        <v>574967.39097797999</v>
      </c>
      <c r="CU89" s="60">
        <f t="shared" si="436"/>
        <v>169632.36290000001</v>
      </c>
      <c r="CV89" s="59">
        <f t="shared" si="437"/>
        <v>560770.66527482006</v>
      </c>
      <c r="CW89" s="60">
        <f t="shared" si="438"/>
        <v>165337.87270000001</v>
      </c>
      <c r="CX89" s="59">
        <f t="shared" si="439"/>
        <v>546573.93957166001</v>
      </c>
      <c r="CY89" s="60">
        <f t="shared" si="440"/>
        <v>161043.38250000001</v>
      </c>
      <c r="CZ89" s="59">
        <f t="shared" si="441"/>
        <v>532377.21386850008</v>
      </c>
      <c r="DA89" s="55">
        <f t="shared" si="442"/>
        <v>156748.89230000001</v>
      </c>
      <c r="DB89" s="59">
        <f t="shared" si="443"/>
        <v>518180.48816534004</v>
      </c>
      <c r="DC89" s="60">
        <f t="shared" si="444"/>
        <v>152454.40210000001</v>
      </c>
      <c r="DD89" s="59">
        <f t="shared" si="445"/>
        <v>503983.76246218005</v>
      </c>
      <c r="DE89" s="60">
        <f t="shared" si="446"/>
        <v>148159.91189999998</v>
      </c>
      <c r="DF89" s="59">
        <f t="shared" si="447"/>
        <v>489787.03675901995</v>
      </c>
      <c r="DG89" s="60">
        <f t="shared" si="448"/>
        <v>143865.42169999998</v>
      </c>
      <c r="DH89" s="59">
        <f t="shared" si="449"/>
        <v>475590.31105585996</v>
      </c>
      <c r="DI89" s="60">
        <f t="shared" si="450"/>
        <v>139570.93149999998</v>
      </c>
      <c r="DJ89" s="59">
        <f t="shared" si="451"/>
        <v>461393.58535269991</v>
      </c>
      <c r="DK89" s="55">
        <f t="shared" si="452"/>
        <v>135276.44129999998</v>
      </c>
      <c r="DL89" s="59">
        <f t="shared" si="453"/>
        <v>447196.85964953993</v>
      </c>
      <c r="DM89" s="60">
        <f t="shared" si="454"/>
        <v>130981.95109999998</v>
      </c>
      <c r="DN89" s="59">
        <f t="shared" si="455"/>
        <v>433000.13394637994</v>
      </c>
      <c r="DO89" s="60">
        <f t="shared" si="456"/>
        <v>126687.46089999996</v>
      </c>
      <c r="DP89" s="59">
        <f t="shared" si="457"/>
        <v>418803.40824321989</v>
      </c>
      <c r="DQ89" s="55">
        <f t="shared" si="458"/>
        <v>122392.97069999996</v>
      </c>
      <c r="DR89" s="59">
        <f t="shared" si="459"/>
        <v>404606.6825400599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11"/>
        <v>0.91</v>
      </c>
      <c r="DZ89" s="55">
        <f t="shared" si="511"/>
        <v>0.89</v>
      </c>
      <c r="EA89" s="55">
        <f t="shared" si="511"/>
        <v>0.87</v>
      </c>
      <c r="EB89" s="55">
        <f t="shared" si="511"/>
        <v>0.85</v>
      </c>
      <c r="EC89" s="55">
        <f t="shared" si="511"/>
        <v>0.83</v>
      </c>
      <c r="ED89" s="55">
        <f t="shared" si="511"/>
        <v>0.80999999999999994</v>
      </c>
      <c r="EE89" s="55">
        <f t="shared" si="511"/>
        <v>0.78999999999999992</v>
      </c>
      <c r="EF89" s="55">
        <f t="shared" si="511"/>
        <v>0.76999999999999991</v>
      </c>
      <c r="EG89" s="55">
        <f t="shared" si="511"/>
        <v>0.74999999999999989</v>
      </c>
      <c r="EH89" s="55">
        <f t="shared" si="511"/>
        <v>0.72999999999999987</v>
      </c>
      <c r="EI89" s="55">
        <f t="shared" si="511"/>
        <v>0.70999999999999985</v>
      </c>
      <c r="EJ89" s="55">
        <f t="shared" si="511"/>
        <v>0.68999999999999984</v>
      </c>
      <c r="EK89" s="55">
        <f t="shared" si="511"/>
        <v>0.66999999999999982</v>
      </c>
      <c r="EL89" s="55">
        <f t="shared" si="511"/>
        <v>0.6499999999999998</v>
      </c>
      <c r="EM89" s="55">
        <f t="shared" si="511"/>
        <v>0.62999999999999978</v>
      </c>
      <c r="EN89" s="55">
        <f t="shared" si="511"/>
        <v>0.60999999999999976</v>
      </c>
      <c r="EO89" s="55">
        <f t="shared" si="511"/>
        <v>0.58999999999999975</v>
      </c>
      <c r="EP89" s="55">
        <f t="shared" si="511"/>
        <v>0.56999999999999973</v>
      </c>
      <c r="ER89" s="55">
        <f t="shared" si="142"/>
        <v>195399.30410000004</v>
      </c>
      <c r="ES89" s="55">
        <f t="shared" si="517"/>
        <v>195399.30410000004</v>
      </c>
      <c r="ET89" s="59">
        <f t="shared" si="461"/>
        <v>645951.0194937801</v>
      </c>
      <c r="EU89" s="55">
        <f t="shared" si="462"/>
        <v>189537.32497700004</v>
      </c>
      <c r="EV89" s="59">
        <f t="shared" si="463"/>
        <v>626572.48890896677</v>
      </c>
      <c r="EW89" s="55">
        <f t="shared" si="464"/>
        <v>185629.33889500002</v>
      </c>
      <c r="EX89" s="59">
        <f t="shared" si="465"/>
        <v>613653.46851909114</v>
      </c>
      <c r="EY89" s="55">
        <f t="shared" si="466"/>
        <v>181721.35281300003</v>
      </c>
      <c r="EZ89" s="59">
        <f t="shared" si="467"/>
        <v>600734.44812921551</v>
      </c>
      <c r="FA89" s="57">
        <f t="shared" si="468"/>
        <v>177813.36673100005</v>
      </c>
      <c r="FB89" s="59">
        <f t="shared" si="469"/>
        <v>587815.42773934</v>
      </c>
      <c r="FC89" s="55">
        <f t="shared" si="470"/>
        <v>173905.38064900003</v>
      </c>
      <c r="FD89" s="59">
        <f t="shared" si="471"/>
        <v>574896.40734946425</v>
      </c>
      <c r="FE89" s="57">
        <f t="shared" si="472"/>
        <v>169997.39456700004</v>
      </c>
      <c r="FF89" s="59">
        <f t="shared" si="473"/>
        <v>561977.38695958874</v>
      </c>
      <c r="FG89" s="60">
        <f t="shared" si="474"/>
        <v>166089.40848500002</v>
      </c>
      <c r="FH89" s="59">
        <f t="shared" si="475"/>
        <v>549058.36656971311</v>
      </c>
      <c r="FI89" s="57">
        <f t="shared" si="476"/>
        <v>162181.42240300003</v>
      </c>
      <c r="FJ89" s="59">
        <f t="shared" si="477"/>
        <v>536139.34617983748</v>
      </c>
      <c r="FK89" s="55">
        <f t="shared" si="478"/>
        <v>158273.43632100002</v>
      </c>
      <c r="FL89" s="59">
        <f t="shared" si="479"/>
        <v>523220.32578996185</v>
      </c>
      <c r="FM89" s="60">
        <f t="shared" si="480"/>
        <v>154365.45023900003</v>
      </c>
      <c r="FN89" s="59">
        <f t="shared" si="481"/>
        <v>510301.30540008628</v>
      </c>
      <c r="FO89" s="60">
        <f t="shared" si="482"/>
        <v>150457.46415700001</v>
      </c>
      <c r="FP89" s="59">
        <f t="shared" si="483"/>
        <v>497382.28501021065</v>
      </c>
      <c r="FQ89" s="60">
        <f t="shared" si="484"/>
        <v>146549.47807500002</v>
      </c>
      <c r="FR89" s="59">
        <f t="shared" si="485"/>
        <v>484463.26462033507</v>
      </c>
      <c r="FS89" s="55">
        <f t="shared" si="486"/>
        <v>142641.491993</v>
      </c>
      <c r="FT89" s="59">
        <f t="shared" si="487"/>
        <v>471544.24423045944</v>
      </c>
      <c r="FU89" s="60">
        <f t="shared" si="488"/>
        <v>138733.50591099999</v>
      </c>
      <c r="FV89" s="59">
        <f t="shared" si="489"/>
        <v>458625.22384058376</v>
      </c>
      <c r="FW89" s="60">
        <f t="shared" si="490"/>
        <v>134825.519829</v>
      </c>
      <c r="FX89" s="59">
        <f t="shared" si="491"/>
        <v>445706.20345070818</v>
      </c>
      <c r="FY89" s="60">
        <f t="shared" si="492"/>
        <v>130917.53374699999</v>
      </c>
      <c r="FZ89" s="59">
        <f t="shared" si="493"/>
        <v>432787.18306083261</v>
      </c>
      <c r="GA89" s="60">
        <f t="shared" si="494"/>
        <v>127009.54766499999</v>
      </c>
      <c r="GB89" s="59">
        <f t="shared" si="495"/>
        <v>419868.16267095698</v>
      </c>
      <c r="GC89" s="55">
        <f t="shared" si="496"/>
        <v>123101.56158299999</v>
      </c>
      <c r="GD89" s="59">
        <f t="shared" si="497"/>
        <v>406949.14228108135</v>
      </c>
      <c r="GE89" s="60">
        <f t="shared" si="498"/>
        <v>119193.57550099997</v>
      </c>
      <c r="GF89" s="59">
        <f t="shared" si="499"/>
        <v>394030.12189120572</v>
      </c>
      <c r="GG89" s="60">
        <f t="shared" si="500"/>
        <v>115285.58941899997</v>
      </c>
      <c r="GH89" s="59">
        <f t="shared" si="501"/>
        <v>381111.10150133009</v>
      </c>
      <c r="GI89" s="55">
        <f t="shared" si="502"/>
        <v>111377.60333699996</v>
      </c>
      <c r="GJ89" s="59">
        <f t="shared" si="503"/>
        <v>368192.08111145446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12"/>
        <v>0.91</v>
      </c>
      <c r="GR89" s="55">
        <f t="shared" si="512"/>
        <v>0.89</v>
      </c>
      <c r="GS89" s="55">
        <f t="shared" si="512"/>
        <v>0.87</v>
      </c>
      <c r="GT89" s="55">
        <f t="shared" si="512"/>
        <v>0.85</v>
      </c>
      <c r="GU89" s="55">
        <f t="shared" si="512"/>
        <v>0.83</v>
      </c>
      <c r="GV89" s="55">
        <f t="shared" si="512"/>
        <v>0.80999999999999994</v>
      </c>
      <c r="GW89" s="55">
        <f t="shared" si="512"/>
        <v>0.78999999999999992</v>
      </c>
      <c r="GX89" s="55">
        <f t="shared" si="512"/>
        <v>0.76999999999999991</v>
      </c>
      <c r="GY89" s="55">
        <f t="shared" si="512"/>
        <v>0.74999999999999989</v>
      </c>
      <c r="GZ89" s="55">
        <f t="shared" si="512"/>
        <v>0.72999999999999987</v>
      </c>
      <c r="HA89" s="55">
        <f t="shared" si="512"/>
        <v>0.70999999999999985</v>
      </c>
      <c r="HB89" s="55">
        <f t="shared" si="512"/>
        <v>0.68999999999999984</v>
      </c>
      <c r="HC89" s="55">
        <f t="shared" si="512"/>
        <v>0.66999999999999982</v>
      </c>
      <c r="HD89" s="55">
        <f t="shared" si="512"/>
        <v>0.6499999999999998</v>
      </c>
      <c r="HE89" s="55">
        <f t="shared" si="512"/>
        <v>0.62999999999999978</v>
      </c>
      <c r="HF89" s="55">
        <f t="shared" si="512"/>
        <v>0.60999999999999976</v>
      </c>
      <c r="HG89" s="55">
        <f t="shared" si="512"/>
        <v>0.58999999999999975</v>
      </c>
      <c r="HH89" s="55">
        <f t="shared" si="512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8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9">+DW90-0.02</f>
        <v>0.91</v>
      </c>
      <c r="DY90" s="61">
        <f t="shared" si="519"/>
        <v>0.89</v>
      </c>
      <c r="DZ90" s="61">
        <f t="shared" si="519"/>
        <v>0.87</v>
      </c>
      <c r="EA90" s="61">
        <f t="shared" si="519"/>
        <v>0.85</v>
      </c>
      <c r="EB90" s="61">
        <f t="shared" si="519"/>
        <v>0.83</v>
      </c>
      <c r="EC90" s="61">
        <f t="shared" si="519"/>
        <v>0.80999999999999994</v>
      </c>
      <c r="ED90" s="61">
        <f t="shared" si="519"/>
        <v>0.78999999999999992</v>
      </c>
      <c r="EE90" s="61">
        <f t="shared" si="519"/>
        <v>0.76999999999999991</v>
      </c>
      <c r="EF90" s="61">
        <f t="shared" si="519"/>
        <v>0.74999999999999989</v>
      </c>
      <c r="EG90" s="61">
        <f t="shared" si="519"/>
        <v>0.72999999999999987</v>
      </c>
      <c r="EH90" s="61">
        <f t="shared" si="519"/>
        <v>0.70999999999999985</v>
      </c>
      <c r="EI90" s="61">
        <f t="shared" si="519"/>
        <v>0.68999999999999984</v>
      </c>
      <c r="EJ90" s="61">
        <f t="shared" si="519"/>
        <v>0.66999999999999982</v>
      </c>
      <c r="EK90" s="61">
        <f t="shared" si="519"/>
        <v>0.6499999999999998</v>
      </c>
      <c r="EL90" s="61">
        <f t="shared" si="519"/>
        <v>0.62999999999999978</v>
      </c>
      <c r="EM90" s="61">
        <f t="shared" si="519"/>
        <v>0.60999999999999976</v>
      </c>
      <c r="EN90" s="61">
        <f t="shared" si="519"/>
        <v>0.58999999999999975</v>
      </c>
      <c r="EO90" s="61">
        <f t="shared" si="519"/>
        <v>0.56999999999999973</v>
      </c>
      <c r="EQ90" s="61">
        <f t="shared" ref="EQ90:EQ91" si="520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21">+GO90-0.02</f>
        <v>0.91</v>
      </c>
      <c r="GQ90" s="61">
        <f t="shared" si="521"/>
        <v>0.89</v>
      </c>
      <c r="GR90" s="61">
        <f t="shared" si="521"/>
        <v>0.87</v>
      </c>
      <c r="GS90" s="61">
        <f t="shared" si="521"/>
        <v>0.85</v>
      </c>
      <c r="GT90" s="61">
        <f t="shared" si="521"/>
        <v>0.83</v>
      </c>
      <c r="GU90" s="61">
        <f t="shared" si="521"/>
        <v>0.80999999999999994</v>
      </c>
      <c r="GV90" s="61">
        <f t="shared" si="521"/>
        <v>0.78999999999999992</v>
      </c>
      <c r="GW90" s="61">
        <f t="shared" si="521"/>
        <v>0.76999999999999991</v>
      </c>
      <c r="GX90" s="61">
        <f t="shared" si="521"/>
        <v>0.74999999999999989</v>
      </c>
      <c r="GY90" s="61">
        <f t="shared" si="521"/>
        <v>0.72999999999999987</v>
      </c>
      <c r="GZ90" s="61">
        <f t="shared" si="521"/>
        <v>0.70999999999999985</v>
      </c>
      <c r="HA90" s="61">
        <f t="shared" si="521"/>
        <v>0.68999999999999984</v>
      </c>
      <c r="HB90" s="61">
        <f t="shared" si="521"/>
        <v>0.66999999999999982</v>
      </c>
      <c r="HC90" s="61">
        <f t="shared" si="521"/>
        <v>0.6499999999999998</v>
      </c>
      <c r="HD90" s="61">
        <f t="shared" si="521"/>
        <v>0.62999999999999978</v>
      </c>
      <c r="HE90" s="61">
        <f t="shared" si="521"/>
        <v>0.60999999999999976</v>
      </c>
      <c r="HF90" s="61">
        <f t="shared" si="521"/>
        <v>0.58999999999999975</v>
      </c>
      <c r="HG90" s="61">
        <f t="shared" si="521"/>
        <v>0.56999999999999973</v>
      </c>
    </row>
    <row r="91" spans="1:216" s="64" customFormat="1" ht="17.25" thickBot="1" x14ac:dyDescent="0.35">
      <c r="B91" s="64" t="s">
        <v>298</v>
      </c>
      <c r="C91" s="64" t="s">
        <v>297</v>
      </c>
      <c r="D91" s="65" t="s">
        <v>271</v>
      </c>
      <c r="E91" s="65" t="s">
        <v>154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8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9"/>
        <v>0.91</v>
      </c>
      <c r="DY91" s="61">
        <f t="shared" si="519"/>
        <v>0.89</v>
      </c>
      <c r="DZ91" s="61">
        <f t="shared" si="519"/>
        <v>0.87</v>
      </c>
      <c r="EA91" s="61">
        <f t="shared" si="519"/>
        <v>0.85</v>
      </c>
      <c r="EB91" s="61">
        <f t="shared" si="519"/>
        <v>0.83</v>
      </c>
      <c r="EC91" s="61">
        <f t="shared" si="519"/>
        <v>0.80999999999999994</v>
      </c>
      <c r="ED91" s="61">
        <f t="shared" si="519"/>
        <v>0.78999999999999992</v>
      </c>
      <c r="EE91" s="61">
        <f t="shared" si="519"/>
        <v>0.76999999999999991</v>
      </c>
      <c r="EF91" s="61">
        <f t="shared" si="519"/>
        <v>0.74999999999999989</v>
      </c>
      <c r="EG91" s="61">
        <f t="shared" si="519"/>
        <v>0.72999999999999987</v>
      </c>
      <c r="EH91" s="61">
        <f t="shared" si="519"/>
        <v>0.70999999999999985</v>
      </c>
      <c r="EI91" s="61">
        <f t="shared" si="519"/>
        <v>0.68999999999999984</v>
      </c>
      <c r="EJ91" s="61">
        <f t="shared" si="519"/>
        <v>0.66999999999999982</v>
      </c>
      <c r="EK91" s="61">
        <f t="shared" si="519"/>
        <v>0.6499999999999998</v>
      </c>
      <c r="EL91" s="61">
        <f t="shared" si="519"/>
        <v>0.62999999999999978</v>
      </c>
      <c r="EM91" s="61">
        <f t="shared" si="519"/>
        <v>0.60999999999999976</v>
      </c>
      <c r="EN91" s="61">
        <f t="shared" si="519"/>
        <v>0.58999999999999975</v>
      </c>
      <c r="EO91" s="61">
        <f t="shared" si="519"/>
        <v>0.56999999999999973</v>
      </c>
      <c r="EQ91" s="61">
        <f t="shared" si="520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21"/>
        <v>0.91</v>
      </c>
      <c r="GQ91" s="61">
        <f t="shared" si="521"/>
        <v>0.89</v>
      </c>
      <c r="GR91" s="61">
        <f t="shared" si="521"/>
        <v>0.87</v>
      </c>
      <c r="GS91" s="61">
        <f t="shared" si="521"/>
        <v>0.85</v>
      </c>
      <c r="GT91" s="61">
        <f t="shared" si="521"/>
        <v>0.83</v>
      </c>
      <c r="GU91" s="61">
        <f t="shared" si="521"/>
        <v>0.80999999999999994</v>
      </c>
      <c r="GV91" s="61">
        <f t="shared" si="521"/>
        <v>0.78999999999999992</v>
      </c>
      <c r="GW91" s="61">
        <f t="shared" si="521"/>
        <v>0.76999999999999991</v>
      </c>
      <c r="GX91" s="61">
        <f t="shared" si="521"/>
        <v>0.74999999999999989</v>
      </c>
      <c r="GY91" s="61">
        <f t="shared" si="521"/>
        <v>0.72999999999999987</v>
      </c>
      <c r="GZ91" s="61">
        <f t="shared" si="521"/>
        <v>0.70999999999999985</v>
      </c>
      <c r="HA91" s="61">
        <f t="shared" si="521"/>
        <v>0.68999999999999984</v>
      </c>
      <c r="HB91" s="61">
        <f t="shared" si="521"/>
        <v>0.66999999999999982</v>
      </c>
      <c r="HC91" s="61">
        <f t="shared" si="521"/>
        <v>0.6499999999999998</v>
      </c>
      <c r="HD91" s="61">
        <f t="shared" si="521"/>
        <v>0.62999999999999978</v>
      </c>
      <c r="HE91" s="61">
        <f t="shared" si="521"/>
        <v>0.60999999999999976</v>
      </c>
      <c r="HF91" s="61">
        <f t="shared" si="521"/>
        <v>0.58999999999999975</v>
      </c>
      <c r="HG91" s="61">
        <f t="shared" si="521"/>
        <v>0.56999999999999973</v>
      </c>
    </row>
    <row r="92" spans="1:216" x14ac:dyDescent="0.3">
      <c r="A92" s="2">
        <v>1</v>
      </c>
      <c r="C92" s="38" t="s">
        <v>39</v>
      </c>
      <c r="D92" s="40">
        <v>12810</v>
      </c>
      <c r="E92" s="70">
        <f t="shared" ref="E92:E112" si="522">TRUNC(+D92*3.3058,-1)</f>
        <v>42340</v>
      </c>
      <c r="H92" s="55">
        <f t="shared" ref="H92:H113" si="523">+D92*1.1</f>
        <v>14091.000000000002</v>
      </c>
      <c r="I92" s="55">
        <f t="shared" si="513"/>
        <v>14091.000000000002</v>
      </c>
      <c r="J92" s="59">
        <f t="shared" si="514"/>
        <v>46582.027800000003</v>
      </c>
      <c r="K92" s="55">
        <f t="shared" ref="K92:K113" si="524">+I92*BD92</f>
        <v>13668.270000000002</v>
      </c>
      <c r="L92" s="59">
        <f t="shared" ref="L92:L113" si="525">+K92*3.3058</f>
        <v>45184.566966000006</v>
      </c>
      <c r="M92" s="55">
        <f t="shared" ref="M92:M113" si="526">+I92*BE92</f>
        <v>13386.45</v>
      </c>
      <c r="N92" s="59">
        <f t="shared" ref="N92:N113" si="527">+M92*3.3058</f>
        <v>44252.92641</v>
      </c>
      <c r="O92" s="55">
        <f t="shared" ref="O92:O113" si="528">+I92*BF92</f>
        <v>13104.630000000003</v>
      </c>
      <c r="P92" s="59">
        <f t="shared" ref="P92:P113" si="529">+O92*3.3058</f>
        <v>43321.285854000009</v>
      </c>
      <c r="Q92" s="57">
        <f t="shared" ref="Q92:Q113" si="530">+I92*BG92</f>
        <v>12822.810000000001</v>
      </c>
      <c r="R92" s="59">
        <f t="shared" ref="R92:R113" si="531">+Q92*3.3058</f>
        <v>42389.645298000003</v>
      </c>
      <c r="S92" s="55">
        <f t="shared" ref="S92:S113" si="532">+I92*BH92</f>
        <v>12540.990000000002</v>
      </c>
      <c r="T92" s="59">
        <f t="shared" ref="T92:T113" si="533">+S92*3.3058</f>
        <v>41458.004742000005</v>
      </c>
      <c r="U92" s="57">
        <f t="shared" ref="U92:U113" si="534">+I92*BI92</f>
        <v>12259.170000000002</v>
      </c>
      <c r="V92" s="59">
        <f t="shared" ref="V92:V113" si="535">+U92*3.3058</f>
        <v>40526.364186000006</v>
      </c>
      <c r="W92" s="60">
        <f t="shared" ref="W92:W113" si="536">+I92*BJ92</f>
        <v>11977.35</v>
      </c>
      <c r="X92" s="59">
        <f t="shared" ref="X92:X113" si="537">+W92*3.3058</f>
        <v>39594.72363</v>
      </c>
      <c r="Y92" s="57">
        <f t="shared" ref="Y92:Y113" si="538">+I92*BK92</f>
        <v>11695.53</v>
      </c>
      <c r="Z92" s="59">
        <f t="shared" ref="Z92:Z113" si="539">+Y92*3.3058</f>
        <v>38663.083074000002</v>
      </c>
      <c r="AA92" s="55">
        <f t="shared" ref="AA92:AA113" si="540">+I92*BL92</f>
        <v>11413.710000000001</v>
      </c>
      <c r="AB92" s="59">
        <f t="shared" ref="AB92:AB113" si="541">+AA92*3.3058</f>
        <v>37731.442518000003</v>
      </c>
      <c r="AC92" s="60">
        <f t="shared" ref="AC92:AC113" si="542">+I92*BM92</f>
        <v>11131.890000000001</v>
      </c>
      <c r="AD92" s="59">
        <f t="shared" ref="AD92:AD113" si="543">+AC92*3.3058</f>
        <v>36799.801962000005</v>
      </c>
      <c r="AE92" s="60">
        <f t="shared" ref="AE92:AE113" si="544">+I92*BN92</f>
        <v>10850.07</v>
      </c>
      <c r="AF92" s="59">
        <f t="shared" ref="AF92:AF113" si="545">+AE92*3.3058</f>
        <v>35868.161405999999</v>
      </c>
      <c r="AG92" s="60">
        <f t="shared" ref="AG92:AG113" si="546">+I92*BO92</f>
        <v>10568.25</v>
      </c>
      <c r="AH92" s="59">
        <f t="shared" ref="AH92:AH113" si="547">+AG92*3.3058</f>
        <v>34936.520850000001</v>
      </c>
      <c r="AI92" s="55">
        <f t="shared" ref="AI92:AI113" si="548">+I92*BP92</f>
        <v>10286.43</v>
      </c>
      <c r="AJ92" s="59">
        <f t="shared" ref="AJ92:AJ113" si="549">+AI92*3.3058</f>
        <v>34004.880294000002</v>
      </c>
      <c r="AK92" s="60">
        <f t="shared" ref="AK92:AK113" si="550">+I92*BQ92</f>
        <v>10004.609999999999</v>
      </c>
      <c r="AL92" s="59">
        <f t="shared" ref="AL92:AL113" si="551">+AK92*3.3058</f>
        <v>33073.239737999997</v>
      </c>
      <c r="AM92" s="60">
        <f t="shared" ref="AM92:AM113" si="552">+I92*BR92</f>
        <v>9722.7899999999991</v>
      </c>
      <c r="AN92" s="59">
        <f t="shared" ref="AN92:AN113" si="553">+AM92*3.3058</f>
        <v>32141.599181999998</v>
      </c>
      <c r="AO92" s="60">
        <f t="shared" ref="AO92:AO113" si="554">+I92*BS92</f>
        <v>9440.9699999999993</v>
      </c>
      <c r="AP92" s="59">
        <f t="shared" ref="AP92:AP113" si="555">+AO92*3.3058</f>
        <v>31209.958626</v>
      </c>
      <c r="AQ92" s="60">
        <f t="shared" ref="AQ92:AQ113" si="556">+I92*BT92</f>
        <v>9159.1499999999978</v>
      </c>
      <c r="AR92" s="59">
        <f t="shared" ref="AR92:AR113" si="557">+AQ92*3.3058</f>
        <v>30278.318069999994</v>
      </c>
      <c r="AS92" s="55">
        <f t="shared" ref="AS92:AS113" si="558">+I92*BU92</f>
        <v>8877.3299999999981</v>
      </c>
      <c r="AT92" s="59">
        <f t="shared" ref="AT92:AT113" si="559">+AS92*3.3058</f>
        <v>29346.677513999995</v>
      </c>
      <c r="AU92" s="60">
        <f t="shared" ref="AU92:AU113" si="560">+I92*BV92</f>
        <v>8595.5099999999984</v>
      </c>
      <c r="AV92" s="59">
        <f t="shared" ref="AV92:AV113" si="561">+AU92*3.3058</f>
        <v>28415.036957999997</v>
      </c>
      <c r="AW92" s="60">
        <f t="shared" ref="AW92:AW113" si="562">+I92*BW92</f>
        <v>8313.6899999999969</v>
      </c>
      <c r="AX92" s="59">
        <f t="shared" ref="AX92:AX113" si="563">+AW92*3.3058</f>
        <v>27483.396401999991</v>
      </c>
      <c r="AY92" s="55">
        <f t="shared" ref="AY92:AY113" si="564">+I92*BX92</f>
        <v>8031.8699999999972</v>
      </c>
      <c r="AZ92" s="59">
        <f t="shared" ref="AZ92:AZ113" si="565">+AY92*3.3058</f>
        <v>26551.755845999993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66">+BF92-0.02</f>
        <v>0.91</v>
      </c>
      <c r="BH92" s="55">
        <f t="shared" si="566"/>
        <v>0.89</v>
      </c>
      <c r="BI92" s="55">
        <f t="shared" si="566"/>
        <v>0.87</v>
      </c>
      <c r="BJ92" s="55">
        <f t="shared" si="566"/>
        <v>0.85</v>
      </c>
      <c r="BK92" s="55">
        <f t="shared" si="566"/>
        <v>0.83</v>
      </c>
      <c r="BL92" s="55">
        <f t="shared" si="566"/>
        <v>0.80999999999999994</v>
      </c>
      <c r="BM92" s="55">
        <f t="shared" si="566"/>
        <v>0.78999999999999992</v>
      </c>
      <c r="BN92" s="55">
        <f t="shared" si="566"/>
        <v>0.76999999999999991</v>
      </c>
      <c r="BO92" s="55">
        <f t="shared" si="566"/>
        <v>0.74999999999999989</v>
      </c>
      <c r="BP92" s="55">
        <f t="shared" si="566"/>
        <v>0.72999999999999987</v>
      </c>
      <c r="BQ92" s="55">
        <f t="shared" si="566"/>
        <v>0.70999999999999985</v>
      </c>
      <c r="BR92" s="55">
        <f t="shared" si="566"/>
        <v>0.68999999999999984</v>
      </c>
      <c r="BS92" s="55">
        <f t="shared" si="566"/>
        <v>0.66999999999999982</v>
      </c>
      <c r="BT92" s="55">
        <f t="shared" si="566"/>
        <v>0.6499999999999998</v>
      </c>
      <c r="BU92" s="55">
        <f t="shared" si="566"/>
        <v>0.62999999999999978</v>
      </c>
      <c r="BV92" s="55">
        <f t="shared" si="566"/>
        <v>0.60999999999999976</v>
      </c>
      <c r="BW92" s="55">
        <f t="shared" si="566"/>
        <v>0.58999999999999975</v>
      </c>
      <c r="BX92" s="55">
        <f t="shared" si="566"/>
        <v>0.56999999999999973</v>
      </c>
      <c r="BZ92" s="55">
        <f t="shared" si="515"/>
        <v>12822.810000000001</v>
      </c>
      <c r="CA92" s="55">
        <f t="shared" si="516"/>
        <v>12822.810000000001</v>
      </c>
      <c r="CB92" s="59">
        <f t="shared" ref="CB92:CB113" si="567">+CA92*3.3058</f>
        <v>42389.645298000003</v>
      </c>
      <c r="CC92" s="55">
        <f t="shared" ref="CC92:CC113" si="568">+CA92*DV92</f>
        <v>12438.125700000001</v>
      </c>
      <c r="CD92" s="59">
        <f t="shared" ref="CD92:CD113" si="569">+CC92*3.3058</f>
        <v>41117.955939060004</v>
      </c>
      <c r="CE92" s="55">
        <f t="shared" ref="CE92:CE113" si="570">+CA92*DW92</f>
        <v>12181.6695</v>
      </c>
      <c r="CF92" s="59">
        <f t="shared" ref="CF92:CF113" si="571">+CE92*3.3058</f>
        <v>40270.163033099998</v>
      </c>
      <c r="CG92" s="55">
        <f t="shared" ref="CG92:CG113" si="572">+CA92*DX92</f>
        <v>11925.213300000001</v>
      </c>
      <c r="CH92" s="59">
        <f t="shared" ref="CH92:CH113" si="573">+CG92*3.3058</f>
        <v>39422.370127140006</v>
      </c>
      <c r="CI92" s="57">
        <f t="shared" ref="CI92:CI113" si="574">+CA92*DY92</f>
        <v>11668.757100000001</v>
      </c>
      <c r="CJ92" s="59">
        <f t="shared" ref="CJ92:CJ113" si="575">+CI92*3.3058</f>
        <v>38574.577221180007</v>
      </c>
      <c r="CK92" s="55">
        <f t="shared" ref="CK92:CK113" si="576">+CA92*DZ92</f>
        <v>11412.300900000002</v>
      </c>
      <c r="CL92" s="59">
        <f t="shared" ref="CL92:CL113" si="577">+CK92*3.3058</f>
        <v>37726.784315220008</v>
      </c>
      <c r="CM92" s="57">
        <f t="shared" ref="CM92:CM113" si="578">+CA92*EA92</f>
        <v>11155.844700000001</v>
      </c>
      <c r="CN92" s="59">
        <f t="shared" ref="CN92:CN113" si="579">+CM92*3.3058</f>
        <v>36878.991409260008</v>
      </c>
      <c r="CO92" s="60">
        <f t="shared" ref="CO92:CO113" si="580">+CA92*EB92</f>
        <v>10899.388500000001</v>
      </c>
      <c r="CP92" s="59">
        <f t="shared" ref="CP92:CP113" si="581">+CO92*3.3058</f>
        <v>36031.198503300002</v>
      </c>
      <c r="CQ92" s="57">
        <f t="shared" ref="CQ92:CQ113" si="582">+CA92*EC92</f>
        <v>10642.9323</v>
      </c>
      <c r="CR92" s="59">
        <f t="shared" ref="CR92:CR113" si="583">+CQ92*3.3058</f>
        <v>35183.405597340003</v>
      </c>
      <c r="CS92" s="55">
        <f t="shared" ref="CS92:CS113" si="584">+CA92*ED92</f>
        <v>10386.4761</v>
      </c>
      <c r="CT92" s="59">
        <f t="shared" ref="CT92:CT113" si="585">+CS92*3.3058</f>
        <v>34335.612691380004</v>
      </c>
      <c r="CU92" s="60">
        <f t="shared" ref="CU92:CU113" si="586">+CA92*EE92</f>
        <v>10130.019899999999</v>
      </c>
      <c r="CV92" s="59">
        <f t="shared" ref="CV92:CV113" si="587">+CU92*3.3058</f>
        <v>33487.819785419997</v>
      </c>
      <c r="CW92" s="60">
        <f t="shared" ref="CW92:CW113" si="588">+CA92*EF92</f>
        <v>9873.5637000000006</v>
      </c>
      <c r="CX92" s="59">
        <f t="shared" ref="CX92:CX113" si="589">+CW92*3.3058</f>
        <v>32640.026879460002</v>
      </c>
      <c r="CY92" s="60">
        <f t="shared" ref="CY92:CY113" si="590">+CA92*EG92</f>
        <v>9617.1075000000001</v>
      </c>
      <c r="CZ92" s="59">
        <f t="shared" ref="CZ92:CZ113" si="591">+CY92*3.3058</f>
        <v>31792.233973500002</v>
      </c>
      <c r="DA92" s="55">
        <f t="shared" ref="DA92:DA113" si="592">+CA92*EH92</f>
        <v>9360.6512999999995</v>
      </c>
      <c r="DB92" s="59">
        <f t="shared" ref="DB92:DB113" si="593">+DA92*3.3058</f>
        <v>30944.441067539999</v>
      </c>
      <c r="DC92" s="60">
        <f t="shared" ref="DC92:DC113" si="594">+CA92*EI92</f>
        <v>9104.195099999999</v>
      </c>
      <c r="DD92" s="59">
        <f t="shared" ref="DD92:DD113" si="595">+DC92*3.3058</f>
        <v>30096.648161579997</v>
      </c>
      <c r="DE92" s="60">
        <f t="shared" ref="DE92:DE113" si="596">+CA92*EJ92</f>
        <v>8847.7388999999985</v>
      </c>
      <c r="DF92" s="59">
        <f t="shared" ref="DF92:DF113" si="597">+DE92*3.3058</f>
        <v>29248.855255619994</v>
      </c>
      <c r="DG92" s="60">
        <f t="shared" ref="DG92:DG113" si="598">+CA92*EK92</f>
        <v>8591.2826999999979</v>
      </c>
      <c r="DH92" s="59">
        <f t="shared" ref="DH92:DH113" si="599">+DG92*3.3058</f>
        <v>28401.062349659995</v>
      </c>
      <c r="DI92" s="60">
        <f t="shared" ref="DI92:DI113" si="600">+CA92*EL92</f>
        <v>8334.8264999999974</v>
      </c>
      <c r="DJ92" s="59">
        <f t="shared" ref="DJ92:DJ113" si="601">+DI92*3.3058</f>
        <v>27553.269443699992</v>
      </c>
      <c r="DK92" s="55">
        <f t="shared" ref="DK92:DK113" si="602">+CA92*EM92</f>
        <v>8078.3702999999978</v>
      </c>
      <c r="DL92" s="59">
        <f t="shared" ref="DL92:DL113" si="603">+DK92*3.3058</f>
        <v>26705.476537739993</v>
      </c>
      <c r="DM92" s="60">
        <f t="shared" ref="DM92:DM113" si="604">+CA92*EN92</f>
        <v>7821.9140999999981</v>
      </c>
      <c r="DN92" s="59">
        <f t="shared" ref="DN92:DN113" si="605">+DM92*3.3058</f>
        <v>25857.683631779993</v>
      </c>
      <c r="DO92" s="60">
        <f t="shared" ref="DO92:DO113" si="606">+CA92*EO92</f>
        <v>7565.4578999999976</v>
      </c>
      <c r="DP92" s="59">
        <f t="shared" ref="DP92:DP113" si="607">+DO92*3.3058</f>
        <v>25009.890725819994</v>
      </c>
      <c r="DQ92" s="55">
        <f t="shared" ref="DQ92:DQ113" si="608">+CA92*EP92</f>
        <v>7309.0016999999971</v>
      </c>
      <c r="DR92" s="59">
        <f t="shared" ref="DR92:DR113" si="609">+DQ92*3.3058</f>
        <v>24162.097819859991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11"/>
        <v>0.91</v>
      </c>
      <c r="DZ92" s="55">
        <f t="shared" si="511"/>
        <v>0.89</v>
      </c>
      <c r="EA92" s="55">
        <f t="shared" si="511"/>
        <v>0.87</v>
      </c>
      <c r="EB92" s="55">
        <f t="shared" si="511"/>
        <v>0.85</v>
      </c>
      <c r="EC92" s="55">
        <f t="shared" si="511"/>
        <v>0.83</v>
      </c>
      <c r="ED92" s="55">
        <f t="shared" si="511"/>
        <v>0.80999999999999994</v>
      </c>
      <c r="EE92" s="55">
        <f t="shared" si="511"/>
        <v>0.78999999999999992</v>
      </c>
      <c r="EF92" s="55">
        <f t="shared" si="511"/>
        <v>0.76999999999999991</v>
      </c>
      <c r="EG92" s="55">
        <f t="shared" si="511"/>
        <v>0.74999999999999989</v>
      </c>
      <c r="EH92" s="55">
        <f t="shared" si="511"/>
        <v>0.72999999999999987</v>
      </c>
      <c r="EI92" s="55">
        <f t="shared" si="511"/>
        <v>0.70999999999999985</v>
      </c>
      <c r="EJ92" s="55">
        <f t="shared" si="511"/>
        <v>0.68999999999999984</v>
      </c>
      <c r="EK92" s="55">
        <f t="shared" si="511"/>
        <v>0.66999999999999982</v>
      </c>
      <c r="EL92" s="55">
        <f t="shared" si="511"/>
        <v>0.6499999999999998</v>
      </c>
      <c r="EM92" s="55">
        <f t="shared" si="511"/>
        <v>0.62999999999999978</v>
      </c>
      <c r="EN92" s="55">
        <f t="shared" si="511"/>
        <v>0.60999999999999976</v>
      </c>
      <c r="EO92" s="55">
        <f t="shared" si="511"/>
        <v>0.58999999999999975</v>
      </c>
      <c r="EP92" s="55">
        <f t="shared" si="511"/>
        <v>0.56999999999999973</v>
      </c>
      <c r="ER92" s="55">
        <f t="shared" si="142"/>
        <v>11668.757100000001</v>
      </c>
      <c r="ES92" s="55">
        <f t="shared" si="517"/>
        <v>11668.757100000001</v>
      </c>
      <c r="ET92" s="59">
        <f t="shared" ref="ET92:ET113" si="610">+ES92*3.3058</f>
        <v>38574.577221180007</v>
      </c>
      <c r="EU92" s="55">
        <f t="shared" ref="EU92:EU113" si="611">+ES92*GN92</f>
        <v>11318.694387</v>
      </c>
      <c r="EV92" s="59">
        <f t="shared" ref="EV92:EV113" si="612">+EU92*3.3058</f>
        <v>37417.339904544599</v>
      </c>
      <c r="EW92" s="55">
        <f t="shared" ref="EW92:EW113" si="613">+ES92*GO92</f>
        <v>11085.319245000001</v>
      </c>
      <c r="EX92" s="59">
        <f t="shared" ref="EX92:EX113" si="614">+EW92*3.3058</f>
        <v>36645.848360121003</v>
      </c>
      <c r="EY92" s="55">
        <f t="shared" ref="EY92:EY113" si="615">+ES92*GP92</f>
        <v>10851.944103000002</v>
      </c>
      <c r="EZ92" s="59">
        <f t="shared" ref="EZ92:EZ113" si="616">+EY92*3.3058</f>
        <v>35874.356815697407</v>
      </c>
      <c r="FA92" s="57">
        <f t="shared" ref="FA92:FA113" si="617">+ES92*GQ92</f>
        <v>10618.568961000001</v>
      </c>
      <c r="FB92" s="59">
        <f t="shared" ref="FB92:FB113" si="618">+FA92*3.3058</f>
        <v>35102.865271273804</v>
      </c>
      <c r="FC92" s="55">
        <f t="shared" ref="FC92:FC113" si="619">+ES92*GR92</f>
        <v>10385.193819</v>
      </c>
      <c r="FD92" s="59">
        <f t="shared" ref="FD92:FD113" si="620">+FC92*3.3058</f>
        <v>34331.373726850201</v>
      </c>
      <c r="FE92" s="57">
        <f t="shared" ref="FE92:FE113" si="621">+ES92*GS92</f>
        <v>10151.818677000001</v>
      </c>
      <c r="FF92" s="59">
        <f t="shared" ref="FF92:FF113" si="622">+FE92*3.3058</f>
        <v>33559.882182426605</v>
      </c>
      <c r="FG92" s="60">
        <f t="shared" ref="FG92:FG113" si="623">+ES92*GT92</f>
        <v>9918.4435350000003</v>
      </c>
      <c r="FH92" s="59">
        <f t="shared" ref="FH92:FH113" si="624">+FG92*3.3058</f>
        <v>32788.390638003002</v>
      </c>
      <c r="FI92" s="57">
        <f t="shared" ref="FI92:FI113" si="625">+ES92*GU92</f>
        <v>9685.0683929999996</v>
      </c>
      <c r="FJ92" s="59">
        <f t="shared" ref="FJ92:FJ113" si="626">+FI92*3.3058</f>
        <v>32016.899093579399</v>
      </c>
      <c r="FK92" s="55">
        <f t="shared" ref="FK92:FK113" si="627">+ES92*GV92</f>
        <v>9451.6932510000006</v>
      </c>
      <c r="FL92" s="59">
        <f t="shared" ref="FL92:FL113" si="628">+FK92*3.3058</f>
        <v>31245.407549155803</v>
      </c>
      <c r="FM92" s="60">
        <f t="shared" ref="FM92:FM113" si="629">+ES92*GW92</f>
        <v>9218.3181089999998</v>
      </c>
      <c r="FN92" s="59">
        <f t="shared" ref="FN92:FN113" si="630">+FM92*3.3058</f>
        <v>30473.9160047322</v>
      </c>
      <c r="FO92" s="60">
        <f t="shared" ref="FO92:FO113" si="631">+ES92*GX92</f>
        <v>8984.942966999999</v>
      </c>
      <c r="FP92" s="59">
        <f t="shared" ref="FP92:FP113" si="632">+FO92*3.3058</f>
        <v>29702.424460308597</v>
      </c>
      <c r="FQ92" s="60">
        <f t="shared" ref="FQ92:FQ113" si="633">+ES92*GY92</f>
        <v>8751.5678250000001</v>
      </c>
      <c r="FR92" s="59">
        <f t="shared" ref="FR92:FR113" si="634">+FQ92*3.3058</f>
        <v>28930.932915885001</v>
      </c>
      <c r="FS92" s="55">
        <f t="shared" ref="FS92:FS113" si="635">+ES92*GZ92</f>
        <v>8518.1926829999993</v>
      </c>
      <c r="FT92" s="59">
        <f t="shared" ref="FT92:FT113" si="636">+FS92*3.3058</f>
        <v>28159.441371461398</v>
      </c>
      <c r="FU92" s="60">
        <f t="shared" ref="FU92:FU113" si="637">+ES92*HA92</f>
        <v>8284.8175409999985</v>
      </c>
      <c r="FV92" s="59">
        <f t="shared" ref="FV92:FV113" si="638">+FU92*3.3058</f>
        <v>27387.949827037795</v>
      </c>
      <c r="FW92" s="60">
        <f t="shared" ref="FW92:FW113" si="639">+ES92*HB92</f>
        <v>8051.4423989999987</v>
      </c>
      <c r="FX92" s="59">
        <f t="shared" ref="FX92:FX113" si="640">+FW92*3.3058</f>
        <v>26616.458282614196</v>
      </c>
      <c r="FY92" s="60">
        <f t="shared" ref="FY92:FY113" si="641">+ES92*HC92</f>
        <v>7818.0672569999988</v>
      </c>
      <c r="FZ92" s="59">
        <f t="shared" ref="FZ92:FZ113" si="642">+FY92*3.3058</f>
        <v>25844.966738190597</v>
      </c>
      <c r="GA92" s="60">
        <f t="shared" ref="GA92:GA113" si="643">+ES92*HD92</f>
        <v>7584.692114999998</v>
      </c>
      <c r="GB92" s="59">
        <f t="shared" ref="GB92:GB113" si="644">+GA92*3.3058</f>
        <v>25073.475193766993</v>
      </c>
      <c r="GC92" s="55">
        <f t="shared" ref="GC92:GC113" si="645">+ES92*HE92</f>
        <v>7351.3169729999981</v>
      </c>
      <c r="GD92" s="59">
        <f t="shared" ref="GD92:GD113" si="646">+GC92*3.3058</f>
        <v>24301.983649343394</v>
      </c>
      <c r="GE92" s="60">
        <f t="shared" ref="GE92:GE113" si="647">+ES92*HF92</f>
        <v>7117.9418309999974</v>
      </c>
      <c r="GF92" s="59">
        <f t="shared" ref="GF92:GF113" si="648">+GE92*3.3058</f>
        <v>23530.492104919791</v>
      </c>
      <c r="GG92" s="60">
        <f t="shared" ref="GG92:GG113" si="649">+ES92*HG92</f>
        <v>6884.5666889999975</v>
      </c>
      <c r="GH92" s="59">
        <f t="shared" ref="GH92:GH113" si="650">+GG92*3.3058</f>
        <v>22759.000560496192</v>
      </c>
      <c r="GI92" s="55">
        <f t="shared" ref="GI92:GI113" si="651">+ES92*HH92</f>
        <v>6651.1915469999976</v>
      </c>
      <c r="GJ92" s="59">
        <f t="shared" ref="GJ92:GJ113" si="652">+GI92*3.3058</f>
        <v>21987.509016072592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12"/>
        <v>0.91</v>
      </c>
      <c r="GR92" s="55">
        <f t="shared" si="512"/>
        <v>0.89</v>
      </c>
      <c r="GS92" s="55">
        <f t="shared" si="512"/>
        <v>0.87</v>
      </c>
      <c r="GT92" s="55">
        <f t="shared" si="512"/>
        <v>0.85</v>
      </c>
      <c r="GU92" s="55">
        <f t="shared" si="512"/>
        <v>0.83</v>
      </c>
      <c r="GV92" s="55">
        <f t="shared" si="512"/>
        <v>0.80999999999999994</v>
      </c>
      <c r="GW92" s="55">
        <f t="shared" si="512"/>
        <v>0.78999999999999992</v>
      </c>
      <c r="GX92" s="55">
        <f t="shared" si="512"/>
        <v>0.76999999999999991</v>
      </c>
      <c r="GY92" s="55">
        <f t="shared" si="512"/>
        <v>0.74999999999999989</v>
      </c>
      <c r="GZ92" s="55">
        <f t="shared" si="512"/>
        <v>0.72999999999999987</v>
      </c>
      <c r="HA92" s="55">
        <f t="shared" si="512"/>
        <v>0.70999999999999985</v>
      </c>
      <c r="HB92" s="55">
        <f t="shared" si="512"/>
        <v>0.68999999999999984</v>
      </c>
      <c r="HC92" s="55">
        <f t="shared" si="512"/>
        <v>0.66999999999999982</v>
      </c>
      <c r="HD92" s="55">
        <f t="shared" si="512"/>
        <v>0.6499999999999998</v>
      </c>
      <c r="HE92" s="55">
        <f t="shared" si="512"/>
        <v>0.62999999999999978</v>
      </c>
      <c r="HF92" s="55">
        <f t="shared" si="512"/>
        <v>0.60999999999999976</v>
      </c>
      <c r="HG92" s="55">
        <f t="shared" si="512"/>
        <v>0.58999999999999975</v>
      </c>
      <c r="HH92" s="55">
        <f t="shared" si="512"/>
        <v>0.56999999999999973</v>
      </c>
    </row>
    <row r="93" spans="1:216" x14ac:dyDescent="0.3">
      <c r="A93" s="2">
        <v>2</v>
      </c>
      <c r="C93" s="38" t="s">
        <v>40</v>
      </c>
      <c r="D93" s="42">
        <f>TRUNC(6864,-1)</f>
        <v>6860</v>
      </c>
      <c r="E93" s="71">
        <f t="shared" si="522"/>
        <v>22670</v>
      </c>
      <c r="H93" s="55">
        <f t="shared" si="523"/>
        <v>7546.0000000000009</v>
      </c>
      <c r="I93" s="55">
        <f t="shared" si="513"/>
        <v>7546.0000000000009</v>
      </c>
      <c r="J93" s="59">
        <f t="shared" si="514"/>
        <v>24945.566800000004</v>
      </c>
      <c r="K93" s="55">
        <f t="shared" si="524"/>
        <v>7319.6200000000008</v>
      </c>
      <c r="L93" s="59">
        <f t="shared" si="525"/>
        <v>24197.199796000004</v>
      </c>
      <c r="M93" s="55">
        <f t="shared" si="526"/>
        <v>7168.7000000000007</v>
      </c>
      <c r="N93" s="59">
        <f t="shared" si="527"/>
        <v>23698.288460000003</v>
      </c>
      <c r="O93" s="55">
        <f t="shared" si="528"/>
        <v>7017.7800000000016</v>
      </c>
      <c r="P93" s="59">
        <f t="shared" si="529"/>
        <v>23199.377124000006</v>
      </c>
      <c r="Q93" s="57">
        <f t="shared" si="530"/>
        <v>6866.8600000000015</v>
      </c>
      <c r="R93" s="59">
        <f t="shared" si="531"/>
        <v>22700.465788000005</v>
      </c>
      <c r="S93" s="55">
        <f t="shared" si="532"/>
        <v>6715.9400000000005</v>
      </c>
      <c r="T93" s="59">
        <f t="shared" si="533"/>
        <v>22201.554452000004</v>
      </c>
      <c r="U93" s="57">
        <f t="shared" si="534"/>
        <v>6565.02</v>
      </c>
      <c r="V93" s="59">
        <f t="shared" si="535"/>
        <v>21702.643116000003</v>
      </c>
      <c r="W93" s="60">
        <f t="shared" si="536"/>
        <v>6414.1</v>
      </c>
      <c r="X93" s="59">
        <f t="shared" si="537"/>
        <v>21203.731780000002</v>
      </c>
      <c r="Y93" s="57">
        <f t="shared" si="538"/>
        <v>6263.18</v>
      </c>
      <c r="Z93" s="59">
        <f t="shared" si="539"/>
        <v>20704.820444000001</v>
      </c>
      <c r="AA93" s="55">
        <f t="shared" si="540"/>
        <v>6112.26</v>
      </c>
      <c r="AB93" s="59">
        <f t="shared" si="541"/>
        <v>20205.909108</v>
      </c>
      <c r="AC93" s="60">
        <f t="shared" si="542"/>
        <v>5961.34</v>
      </c>
      <c r="AD93" s="59">
        <f t="shared" si="543"/>
        <v>19706.997772000002</v>
      </c>
      <c r="AE93" s="60">
        <f t="shared" si="544"/>
        <v>5810.42</v>
      </c>
      <c r="AF93" s="59">
        <f t="shared" si="545"/>
        <v>19208.086436000001</v>
      </c>
      <c r="AG93" s="60">
        <f t="shared" si="546"/>
        <v>5659.5</v>
      </c>
      <c r="AH93" s="59">
        <f t="shared" si="547"/>
        <v>18709.1751</v>
      </c>
      <c r="AI93" s="55">
        <f t="shared" si="548"/>
        <v>5508.58</v>
      </c>
      <c r="AJ93" s="59">
        <f t="shared" si="549"/>
        <v>18210.263763999999</v>
      </c>
      <c r="AK93" s="60">
        <f t="shared" si="550"/>
        <v>5357.66</v>
      </c>
      <c r="AL93" s="59">
        <f t="shared" si="551"/>
        <v>17711.352427999998</v>
      </c>
      <c r="AM93" s="60">
        <f t="shared" si="552"/>
        <v>5206.74</v>
      </c>
      <c r="AN93" s="59">
        <f t="shared" si="553"/>
        <v>17212.441092000001</v>
      </c>
      <c r="AO93" s="60">
        <f t="shared" si="554"/>
        <v>5055.8199999999988</v>
      </c>
      <c r="AP93" s="59">
        <f t="shared" si="555"/>
        <v>16713.529755999996</v>
      </c>
      <c r="AQ93" s="60">
        <f t="shared" si="556"/>
        <v>4904.8999999999987</v>
      </c>
      <c r="AR93" s="59">
        <f t="shared" si="557"/>
        <v>16214.618419999995</v>
      </c>
      <c r="AS93" s="55">
        <f t="shared" si="558"/>
        <v>4753.9799999999987</v>
      </c>
      <c r="AT93" s="59">
        <f t="shared" si="559"/>
        <v>15715.707083999996</v>
      </c>
      <c r="AU93" s="60">
        <f t="shared" si="560"/>
        <v>4603.0599999999986</v>
      </c>
      <c r="AV93" s="59">
        <f t="shared" si="561"/>
        <v>15216.795747999995</v>
      </c>
      <c r="AW93" s="60">
        <f t="shared" si="562"/>
        <v>4452.1399999999985</v>
      </c>
      <c r="AX93" s="59">
        <f t="shared" si="563"/>
        <v>14717.884411999996</v>
      </c>
      <c r="AY93" s="55">
        <f t="shared" si="564"/>
        <v>4301.2199999999984</v>
      </c>
      <c r="AZ93" s="59">
        <f t="shared" si="565"/>
        <v>14218.973075999995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66"/>
        <v>0.91</v>
      </c>
      <c r="BH93" s="55">
        <f t="shared" si="566"/>
        <v>0.89</v>
      </c>
      <c r="BI93" s="55">
        <f t="shared" si="566"/>
        <v>0.87</v>
      </c>
      <c r="BJ93" s="55">
        <f t="shared" si="566"/>
        <v>0.85</v>
      </c>
      <c r="BK93" s="55">
        <f t="shared" si="566"/>
        <v>0.83</v>
      </c>
      <c r="BL93" s="55">
        <f t="shared" si="566"/>
        <v>0.80999999999999994</v>
      </c>
      <c r="BM93" s="55">
        <f t="shared" si="566"/>
        <v>0.78999999999999992</v>
      </c>
      <c r="BN93" s="55">
        <f t="shared" si="566"/>
        <v>0.76999999999999991</v>
      </c>
      <c r="BO93" s="55">
        <f t="shared" si="566"/>
        <v>0.74999999999999989</v>
      </c>
      <c r="BP93" s="55">
        <f t="shared" si="566"/>
        <v>0.72999999999999987</v>
      </c>
      <c r="BQ93" s="55">
        <f t="shared" si="566"/>
        <v>0.70999999999999985</v>
      </c>
      <c r="BR93" s="55">
        <f t="shared" si="566"/>
        <v>0.68999999999999984</v>
      </c>
      <c r="BS93" s="55">
        <f t="shared" si="566"/>
        <v>0.66999999999999982</v>
      </c>
      <c r="BT93" s="55">
        <f t="shared" si="566"/>
        <v>0.6499999999999998</v>
      </c>
      <c r="BU93" s="55">
        <f t="shared" si="566"/>
        <v>0.62999999999999978</v>
      </c>
      <c r="BV93" s="55">
        <f t="shared" si="566"/>
        <v>0.60999999999999976</v>
      </c>
      <c r="BW93" s="55">
        <f t="shared" si="566"/>
        <v>0.58999999999999975</v>
      </c>
      <c r="BX93" s="55">
        <f t="shared" si="566"/>
        <v>0.56999999999999973</v>
      </c>
      <c r="BZ93" s="55">
        <f t="shared" si="515"/>
        <v>6866.8600000000015</v>
      </c>
      <c r="CA93" s="55">
        <f t="shared" si="516"/>
        <v>6866.8600000000015</v>
      </c>
      <c r="CB93" s="59">
        <f t="shared" si="567"/>
        <v>22700.465788000005</v>
      </c>
      <c r="CC93" s="55">
        <f t="shared" si="568"/>
        <v>6660.8542000000016</v>
      </c>
      <c r="CD93" s="59">
        <f t="shared" si="569"/>
        <v>22019.451814360007</v>
      </c>
      <c r="CE93" s="55">
        <f t="shared" si="570"/>
        <v>6523.5170000000007</v>
      </c>
      <c r="CF93" s="59">
        <f t="shared" si="571"/>
        <v>21565.442498600001</v>
      </c>
      <c r="CG93" s="55">
        <f t="shared" si="572"/>
        <v>6386.1798000000017</v>
      </c>
      <c r="CH93" s="59">
        <f t="shared" si="573"/>
        <v>21111.433182840006</v>
      </c>
      <c r="CI93" s="57">
        <f t="shared" si="574"/>
        <v>6248.8426000000018</v>
      </c>
      <c r="CJ93" s="59">
        <f t="shared" si="575"/>
        <v>20657.423867080008</v>
      </c>
      <c r="CK93" s="55">
        <f t="shared" si="576"/>
        <v>6111.5054000000018</v>
      </c>
      <c r="CL93" s="59">
        <f t="shared" si="577"/>
        <v>20203.414551320006</v>
      </c>
      <c r="CM93" s="57">
        <f t="shared" si="578"/>
        <v>5974.168200000001</v>
      </c>
      <c r="CN93" s="59">
        <f t="shared" si="579"/>
        <v>19749.405235560003</v>
      </c>
      <c r="CO93" s="60">
        <f t="shared" si="580"/>
        <v>5836.831000000001</v>
      </c>
      <c r="CP93" s="59">
        <f t="shared" si="581"/>
        <v>19295.395919800005</v>
      </c>
      <c r="CQ93" s="57">
        <f t="shared" si="582"/>
        <v>5699.4938000000011</v>
      </c>
      <c r="CR93" s="59">
        <f t="shared" si="583"/>
        <v>18841.386604040003</v>
      </c>
      <c r="CS93" s="55">
        <f t="shared" si="584"/>
        <v>5562.1566000000012</v>
      </c>
      <c r="CT93" s="59">
        <f t="shared" si="585"/>
        <v>18387.377288280004</v>
      </c>
      <c r="CU93" s="60">
        <f t="shared" si="586"/>
        <v>5424.8194000000003</v>
      </c>
      <c r="CV93" s="59">
        <f t="shared" si="587"/>
        <v>17933.367972520002</v>
      </c>
      <c r="CW93" s="60">
        <f t="shared" si="588"/>
        <v>5287.4822000000004</v>
      </c>
      <c r="CX93" s="59">
        <f t="shared" si="589"/>
        <v>17479.358656760003</v>
      </c>
      <c r="CY93" s="60">
        <f t="shared" si="590"/>
        <v>5150.1450000000004</v>
      </c>
      <c r="CZ93" s="59">
        <f t="shared" si="591"/>
        <v>17025.349341000001</v>
      </c>
      <c r="DA93" s="55">
        <f t="shared" si="592"/>
        <v>5012.8078000000005</v>
      </c>
      <c r="DB93" s="59">
        <f t="shared" si="593"/>
        <v>16571.340025240002</v>
      </c>
      <c r="DC93" s="60">
        <f t="shared" si="594"/>
        <v>4875.4705999999996</v>
      </c>
      <c r="DD93" s="59">
        <f t="shared" si="595"/>
        <v>16117.330709479998</v>
      </c>
      <c r="DE93" s="60">
        <f t="shared" si="596"/>
        <v>4738.1333999999997</v>
      </c>
      <c r="DF93" s="59">
        <f t="shared" si="597"/>
        <v>15663.32139372</v>
      </c>
      <c r="DG93" s="60">
        <f t="shared" si="598"/>
        <v>4600.7961999999998</v>
      </c>
      <c r="DH93" s="59">
        <f t="shared" si="599"/>
        <v>15209.312077959999</v>
      </c>
      <c r="DI93" s="60">
        <f t="shared" si="600"/>
        <v>4463.4589999999998</v>
      </c>
      <c r="DJ93" s="59">
        <f t="shared" si="601"/>
        <v>14755.302762199999</v>
      </c>
      <c r="DK93" s="55">
        <f t="shared" si="602"/>
        <v>4326.1217999999999</v>
      </c>
      <c r="DL93" s="59">
        <f t="shared" si="603"/>
        <v>14301.29344644</v>
      </c>
      <c r="DM93" s="60">
        <f t="shared" si="604"/>
        <v>4188.784599999999</v>
      </c>
      <c r="DN93" s="59">
        <f t="shared" si="605"/>
        <v>13847.284130679996</v>
      </c>
      <c r="DO93" s="60">
        <f t="shared" si="606"/>
        <v>4051.4473999999991</v>
      </c>
      <c r="DP93" s="59">
        <f t="shared" si="607"/>
        <v>13393.274814919998</v>
      </c>
      <c r="DQ93" s="55">
        <f t="shared" si="608"/>
        <v>3914.1101999999992</v>
      </c>
      <c r="DR93" s="59">
        <f t="shared" si="609"/>
        <v>12939.265499159997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11"/>
        <v>0.91</v>
      </c>
      <c r="DZ93" s="55">
        <f t="shared" si="511"/>
        <v>0.89</v>
      </c>
      <c r="EA93" s="55">
        <f t="shared" si="511"/>
        <v>0.87</v>
      </c>
      <c r="EB93" s="55">
        <f t="shared" ref="EB93:EP93" si="653">+EA93-0.02</f>
        <v>0.85</v>
      </c>
      <c r="EC93" s="55">
        <f t="shared" si="653"/>
        <v>0.83</v>
      </c>
      <c r="ED93" s="55">
        <f t="shared" si="653"/>
        <v>0.80999999999999994</v>
      </c>
      <c r="EE93" s="55">
        <f t="shared" si="653"/>
        <v>0.78999999999999992</v>
      </c>
      <c r="EF93" s="55">
        <f t="shared" si="653"/>
        <v>0.76999999999999991</v>
      </c>
      <c r="EG93" s="55">
        <f t="shared" si="653"/>
        <v>0.74999999999999989</v>
      </c>
      <c r="EH93" s="55">
        <f t="shared" si="653"/>
        <v>0.72999999999999987</v>
      </c>
      <c r="EI93" s="55">
        <f t="shared" si="653"/>
        <v>0.70999999999999985</v>
      </c>
      <c r="EJ93" s="55">
        <f t="shared" si="653"/>
        <v>0.68999999999999984</v>
      </c>
      <c r="EK93" s="55">
        <f t="shared" si="653"/>
        <v>0.66999999999999982</v>
      </c>
      <c r="EL93" s="55">
        <f t="shared" si="653"/>
        <v>0.6499999999999998</v>
      </c>
      <c r="EM93" s="55">
        <f t="shared" si="653"/>
        <v>0.62999999999999978</v>
      </c>
      <c r="EN93" s="55">
        <f t="shared" si="653"/>
        <v>0.60999999999999976</v>
      </c>
      <c r="EO93" s="55">
        <f t="shared" si="653"/>
        <v>0.58999999999999975</v>
      </c>
      <c r="EP93" s="55">
        <f t="shared" si="653"/>
        <v>0.56999999999999973</v>
      </c>
      <c r="ER93" s="55">
        <f t="shared" si="142"/>
        <v>6248.8426000000018</v>
      </c>
      <c r="ES93" s="55">
        <f t="shared" si="517"/>
        <v>6248.8426000000018</v>
      </c>
      <c r="ET93" s="59">
        <f t="shared" si="610"/>
        <v>20657.423867080008</v>
      </c>
      <c r="EU93" s="55">
        <f t="shared" si="611"/>
        <v>6061.3773220000012</v>
      </c>
      <c r="EV93" s="59">
        <f t="shared" si="612"/>
        <v>20037.701151067606</v>
      </c>
      <c r="EW93" s="55">
        <f t="shared" si="613"/>
        <v>5936.4004700000014</v>
      </c>
      <c r="EX93" s="59">
        <f t="shared" si="614"/>
        <v>19624.552673726004</v>
      </c>
      <c r="EY93" s="55">
        <f t="shared" si="615"/>
        <v>5811.4236180000016</v>
      </c>
      <c r="EZ93" s="59">
        <f t="shared" si="616"/>
        <v>19211.404196384407</v>
      </c>
      <c r="FA93" s="57">
        <f t="shared" si="617"/>
        <v>5686.4467660000018</v>
      </c>
      <c r="FB93" s="59">
        <f t="shared" si="618"/>
        <v>18798.255719042805</v>
      </c>
      <c r="FC93" s="55">
        <f t="shared" si="619"/>
        <v>5561.4699140000021</v>
      </c>
      <c r="FD93" s="59">
        <f t="shared" si="620"/>
        <v>18385.107241701207</v>
      </c>
      <c r="FE93" s="57">
        <f t="shared" si="621"/>
        <v>5436.4930620000014</v>
      </c>
      <c r="FF93" s="59">
        <f t="shared" si="622"/>
        <v>17971.958764359606</v>
      </c>
      <c r="FG93" s="60">
        <f t="shared" si="623"/>
        <v>5311.5162100000016</v>
      </c>
      <c r="FH93" s="59">
        <f t="shared" si="624"/>
        <v>17558.810287018005</v>
      </c>
      <c r="FI93" s="57">
        <f t="shared" si="625"/>
        <v>5186.5393580000009</v>
      </c>
      <c r="FJ93" s="59">
        <f t="shared" si="626"/>
        <v>17145.661809676403</v>
      </c>
      <c r="FK93" s="55">
        <f t="shared" si="627"/>
        <v>5061.5625060000011</v>
      </c>
      <c r="FL93" s="59">
        <f t="shared" si="628"/>
        <v>16732.513332334805</v>
      </c>
      <c r="FM93" s="60">
        <f t="shared" si="629"/>
        <v>4936.5856540000013</v>
      </c>
      <c r="FN93" s="59">
        <f t="shared" si="630"/>
        <v>16319.364854993204</v>
      </c>
      <c r="FO93" s="60">
        <f t="shared" si="631"/>
        <v>4811.6088020000007</v>
      </c>
      <c r="FP93" s="59">
        <f t="shared" si="632"/>
        <v>15906.216377651603</v>
      </c>
      <c r="FQ93" s="60">
        <f t="shared" si="633"/>
        <v>4686.6319500000009</v>
      </c>
      <c r="FR93" s="59">
        <f t="shared" si="634"/>
        <v>15493.067900310003</v>
      </c>
      <c r="FS93" s="55">
        <f t="shared" si="635"/>
        <v>4561.6550980000002</v>
      </c>
      <c r="FT93" s="59">
        <f t="shared" si="636"/>
        <v>15079.919422968402</v>
      </c>
      <c r="FU93" s="60">
        <f t="shared" si="637"/>
        <v>4436.6782460000004</v>
      </c>
      <c r="FV93" s="59">
        <f t="shared" si="638"/>
        <v>14666.770945626802</v>
      </c>
      <c r="FW93" s="60">
        <f t="shared" si="639"/>
        <v>4311.7013940000006</v>
      </c>
      <c r="FX93" s="59">
        <f t="shared" si="640"/>
        <v>14253.622468285203</v>
      </c>
      <c r="FY93" s="60">
        <f t="shared" si="641"/>
        <v>4186.7245419999999</v>
      </c>
      <c r="FZ93" s="59">
        <f t="shared" si="642"/>
        <v>13840.473990943599</v>
      </c>
      <c r="GA93" s="60">
        <f t="shared" si="643"/>
        <v>4061.7476899999997</v>
      </c>
      <c r="GB93" s="59">
        <f t="shared" si="644"/>
        <v>13427.325513602</v>
      </c>
      <c r="GC93" s="55">
        <f t="shared" si="645"/>
        <v>3936.7708379999999</v>
      </c>
      <c r="GD93" s="59">
        <f t="shared" si="646"/>
        <v>13014.1770362604</v>
      </c>
      <c r="GE93" s="60">
        <f t="shared" si="647"/>
        <v>3811.7939859999997</v>
      </c>
      <c r="GF93" s="59">
        <f t="shared" si="648"/>
        <v>12601.028558918799</v>
      </c>
      <c r="GG93" s="60">
        <f t="shared" si="649"/>
        <v>3686.8171339999994</v>
      </c>
      <c r="GH93" s="59">
        <f t="shared" si="650"/>
        <v>12187.880081577199</v>
      </c>
      <c r="GI93" s="55">
        <f t="shared" si="651"/>
        <v>3561.8402819999992</v>
      </c>
      <c r="GJ93" s="59">
        <f t="shared" si="652"/>
        <v>11774.731604235598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12"/>
        <v>0.91</v>
      </c>
      <c r="GR93" s="55">
        <f t="shared" si="512"/>
        <v>0.89</v>
      </c>
      <c r="GS93" s="55">
        <f t="shared" si="512"/>
        <v>0.87</v>
      </c>
      <c r="GT93" s="55">
        <f t="shared" ref="GT93:HH93" si="654">+GS93-0.02</f>
        <v>0.85</v>
      </c>
      <c r="GU93" s="55">
        <f t="shared" si="654"/>
        <v>0.83</v>
      </c>
      <c r="GV93" s="55">
        <f t="shared" si="654"/>
        <v>0.80999999999999994</v>
      </c>
      <c r="GW93" s="55">
        <f t="shared" si="654"/>
        <v>0.78999999999999992</v>
      </c>
      <c r="GX93" s="55">
        <f t="shared" si="654"/>
        <v>0.76999999999999991</v>
      </c>
      <c r="GY93" s="55">
        <f t="shared" si="654"/>
        <v>0.74999999999999989</v>
      </c>
      <c r="GZ93" s="55">
        <f t="shared" si="654"/>
        <v>0.72999999999999987</v>
      </c>
      <c r="HA93" s="55">
        <f t="shared" si="654"/>
        <v>0.70999999999999985</v>
      </c>
      <c r="HB93" s="55">
        <f t="shared" si="654"/>
        <v>0.68999999999999984</v>
      </c>
      <c r="HC93" s="55">
        <f t="shared" si="654"/>
        <v>0.66999999999999982</v>
      </c>
      <c r="HD93" s="55">
        <f t="shared" si="654"/>
        <v>0.6499999999999998</v>
      </c>
      <c r="HE93" s="55">
        <f t="shared" si="654"/>
        <v>0.62999999999999978</v>
      </c>
      <c r="HF93" s="55">
        <f t="shared" si="654"/>
        <v>0.60999999999999976</v>
      </c>
      <c r="HG93" s="55">
        <f t="shared" si="654"/>
        <v>0.58999999999999975</v>
      </c>
      <c r="HH93" s="55">
        <f t="shared" si="654"/>
        <v>0.56999999999999973</v>
      </c>
    </row>
    <row r="94" spans="1:216" x14ac:dyDescent="0.3">
      <c r="A94" s="2">
        <v>3</v>
      </c>
      <c r="C94" s="38" t="s">
        <v>41</v>
      </c>
      <c r="D94" s="42">
        <f>TRUNC(27247,-1)</f>
        <v>27240</v>
      </c>
      <c r="E94" s="71">
        <f t="shared" si="522"/>
        <v>90040</v>
      </c>
      <c r="H94" s="55">
        <f t="shared" si="523"/>
        <v>29964.000000000004</v>
      </c>
      <c r="I94" s="55">
        <f t="shared" si="513"/>
        <v>29964.000000000004</v>
      </c>
      <c r="J94" s="59">
        <f t="shared" si="514"/>
        <v>99054.991200000019</v>
      </c>
      <c r="K94" s="55">
        <f t="shared" si="524"/>
        <v>29065.08</v>
      </c>
      <c r="L94" s="59">
        <f t="shared" si="525"/>
        <v>96083.341464000012</v>
      </c>
      <c r="M94" s="55">
        <f t="shared" si="526"/>
        <v>28465.800000000003</v>
      </c>
      <c r="N94" s="59">
        <f t="shared" si="527"/>
        <v>94102.241640000007</v>
      </c>
      <c r="O94" s="55">
        <f t="shared" si="528"/>
        <v>27866.520000000004</v>
      </c>
      <c r="P94" s="59">
        <f t="shared" si="529"/>
        <v>92121.141816000018</v>
      </c>
      <c r="Q94" s="57">
        <f t="shared" si="530"/>
        <v>27267.240000000005</v>
      </c>
      <c r="R94" s="59">
        <f t="shared" si="531"/>
        <v>90140.041992000013</v>
      </c>
      <c r="S94" s="55">
        <f t="shared" si="532"/>
        <v>26667.960000000003</v>
      </c>
      <c r="T94" s="59">
        <f t="shared" si="533"/>
        <v>88158.942168000009</v>
      </c>
      <c r="U94" s="57">
        <f t="shared" si="534"/>
        <v>26068.680000000004</v>
      </c>
      <c r="V94" s="59">
        <f t="shared" si="535"/>
        <v>86177.842344000019</v>
      </c>
      <c r="W94" s="60">
        <f t="shared" si="536"/>
        <v>25469.4</v>
      </c>
      <c r="X94" s="59">
        <f t="shared" si="537"/>
        <v>84196.74252</v>
      </c>
      <c r="Y94" s="57">
        <f t="shared" si="538"/>
        <v>24870.120000000003</v>
      </c>
      <c r="Z94" s="59">
        <f t="shared" si="539"/>
        <v>82215.64269600001</v>
      </c>
      <c r="AA94" s="55">
        <f t="shared" si="540"/>
        <v>24270.84</v>
      </c>
      <c r="AB94" s="59">
        <f t="shared" si="541"/>
        <v>80234.542872000005</v>
      </c>
      <c r="AC94" s="60">
        <f t="shared" si="542"/>
        <v>23671.56</v>
      </c>
      <c r="AD94" s="59">
        <f t="shared" si="543"/>
        <v>78253.443048000001</v>
      </c>
      <c r="AE94" s="60">
        <f t="shared" si="544"/>
        <v>23072.28</v>
      </c>
      <c r="AF94" s="59">
        <f t="shared" si="545"/>
        <v>76272.343223999997</v>
      </c>
      <c r="AG94" s="60">
        <f t="shared" si="546"/>
        <v>22473</v>
      </c>
      <c r="AH94" s="59">
        <f t="shared" si="547"/>
        <v>74291.243400000007</v>
      </c>
      <c r="AI94" s="55">
        <f t="shared" si="548"/>
        <v>21873.719999999998</v>
      </c>
      <c r="AJ94" s="59">
        <f t="shared" si="549"/>
        <v>72310.143575999988</v>
      </c>
      <c r="AK94" s="60">
        <f t="shared" si="550"/>
        <v>21274.44</v>
      </c>
      <c r="AL94" s="59">
        <f t="shared" si="551"/>
        <v>70329.043751999998</v>
      </c>
      <c r="AM94" s="60">
        <f t="shared" si="552"/>
        <v>20675.159999999996</v>
      </c>
      <c r="AN94" s="59">
        <f t="shared" si="553"/>
        <v>68347.943927999993</v>
      </c>
      <c r="AO94" s="60">
        <f t="shared" si="554"/>
        <v>20075.879999999997</v>
      </c>
      <c r="AP94" s="59">
        <f t="shared" si="555"/>
        <v>66366.844103999989</v>
      </c>
      <c r="AQ94" s="60">
        <f t="shared" si="556"/>
        <v>19476.599999999995</v>
      </c>
      <c r="AR94" s="59">
        <f t="shared" si="557"/>
        <v>64385.744279999984</v>
      </c>
      <c r="AS94" s="55">
        <f t="shared" si="558"/>
        <v>18877.319999999996</v>
      </c>
      <c r="AT94" s="59">
        <f t="shared" si="559"/>
        <v>62404.644455999987</v>
      </c>
      <c r="AU94" s="60">
        <f t="shared" si="560"/>
        <v>18278.039999999994</v>
      </c>
      <c r="AV94" s="59">
        <f t="shared" si="561"/>
        <v>60423.544631999983</v>
      </c>
      <c r="AW94" s="60">
        <f t="shared" si="562"/>
        <v>17678.759999999995</v>
      </c>
      <c r="AX94" s="59">
        <f t="shared" si="563"/>
        <v>58442.444807999986</v>
      </c>
      <c r="AY94" s="55">
        <f t="shared" si="564"/>
        <v>17079.479999999992</v>
      </c>
      <c r="AZ94" s="59">
        <f t="shared" si="565"/>
        <v>56461.344983999974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66"/>
        <v>0.91</v>
      </c>
      <c r="BH94" s="55">
        <f t="shared" si="566"/>
        <v>0.89</v>
      </c>
      <c r="BI94" s="55">
        <f t="shared" si="566"/>
        <v>0.87</v>
      </c>
      <c r="BJ94" s="55">
        <f t="shared" si="566"/>
        <v>0.85</v>
      </c>
      <c r="BK94" s="55">
        <f t="shared" si="566"/>
        <v>0.83</v>
      </c>
      <c r="BL94" s="55">
        <f t="shared" si="566"/>
        <v>0.80999999999999994</v>
      </c>
      <c r="BM94" s="55">
        <f t="shared" si="566"/>
        <v>0.78999999999999992</v>
      </c>
      <c r="BN94" s="55">
        <f t="shared" si="566"/>
        <v>0.76999999999999991</v>
      </c>
      <c r="BO94" s="55">
        <f t="shared" si="566"/>
        <v>0.74999999999999989</v>
      </c>
      <c r="BP94" s="55">
        <f t="shared" si="566"/>
        <v>0.72999999999999987</v>
      </c>
      <c r="BQ94" s="55">
        <f t="shared" si="566"/>
        <v>0.70999999999999985</v>
      </c>
      <c r="BR94" s="55">
        <f t="shared" si="566"/>
        <v>0.68999999999999984</v>
      </c>
      <c r="BS94" s="55">
        <f t="shared" si="566"/>
        <v>0.66999999999999982</v>
      </c>
      <c r="BT94" s="55">
        <f t="shared" si="566"/>
        <v>0.6499999999999998</v>
      </c>
      <c r="BU94" s="55">
        <f t="shared" si="566"/>
        <v>0.62999999999999978</v>
      </c>
      <c r="BV94" s="55">
        <f t="shared" si="566"/>
        <v>0.60999999999999976</v>
      </c>
      <c r="BW94" s="55">
        <f t="shared" si="566"/>
        <v>0.58999999999999975</v>
      </c>
      <c r="BX94" s="55">
        <f t="shared" si="566"/>
        <v>0.56999999999999973</v>
      </c>
      <c r="BZ94" s="55">
        <f t="shared" si="515"/>
        <v>27267.240000000005</v>
      </c>
      <c r="CA94" s="55">
        <f t="shared" si="516"/>
        <v>27267.240000000005</v>
      </c>
      <c r="CB94" s="59">
        <f t="shared" si="567"/>
        <v>90140.041992000013</v>
      </c>
      <c r="CC94" s="55">
        <f t="shared" si="568"/>
        <v>26449.222800000003</v>
      </c>
      <c r="CD94" s="59">
        <f t="shared" si="569"/>
        <v>87435.840732240016</v>
      </c>
      <c r="CE94" s="55">
        <f t="shared" si="570"/>
        <v>25903.878000000004</v>
      </c>
      <c r="CF94" s="59">
        <f t="shared" si="571"/>
        <v>85633.039892400018</v>
      </c>
      <c r="CG94" s="55">
        <f t="shared" si="572"/>
        <v>25358.533200000005</v>
      </c>
      <c r="CH94" s="59">
        <f t="shared" si="573"/>
        <v>83830.23905256002</v>
      </c>
      <c r="CI94" s="57">
        <f t="shared" si="574"/>
        <v>24813.188400000006</v>
      </c>
      <c r="CJ94" s="59">
        <f t="shared" si="575"/>
        <v>82027.438212720022</v>
      </c>
      <c r="CK94" s="55">
        <f t="shared" si="576"/>
        <v>24267.843600000004</v>
      </c>
      <c r="CL94" s="59">
        <f t="shared" si="577"/>
        <v>80224.63737288001</v>
      </c>
      <c r="CM94" s="57">
        <f t="shared" si="578"/>
        <v>23722.498800000005</v>
      </c>
      <c r="CN94" s="59">
        <f t="shared" si="579"/>
        <v>78421.836533040012</v>
      </c>
      <c r="CO94" s="60">
        <f t="shared" si="580"/>
        <v>23177.154000000002</v>
      </c>
      <c r="CP94" s="59">
        <f t="shared" si="581"/>
        <v>76619.035693200014</v>
      </c>
      <c r="CQ94" s="57">
        <f t="shared" si="582"/>
        <v>22631.809200000003</v>
      </c>
      <c r="CR94" s="59">
        <f t="shared" si="583"/>
        <v>74816.234853360016</v>
      </c>
      <c r="CS94" s="55">
        <f t="shared" si="584"/>
        <v>22086.464400000004</v>
      </c>
      <c r="CT94" s="59">
        <f t="shared" si="585"/>
        <v>73013.434013520018</v>
      </c>
      <c r="CU94" s="60">
        <f t="shared" si="586"/>
        <v>21541.119600000002</v>
      </c>
      <c r="CV94" s="59">
        <f t="shared" si="587"/>
        <v>71210.633173680006</v>
      </c>
      <c r="CW94" s="60">
        <f t="shared" si="588"/>
        <v>20995.774800000003</v>
      </c>
      <c r="CX94" s="59">
        <f t="shared" si="589"/>
        <v>69407.832333840008</v>
      </c>
      <c r="CY94" s="60">
        <f t="shared" si="590"/>
        <v>20450.43</v>
      </c>
      <c r="CZ94" s="59">
        <f t="shared" si="591"/>
        <v>67605.031493999995</v>
      </c>
      <c r="DA94" s="55">
        <f t="shared" si="592"/>
        <v>19905.085200000001</v>
      </c>
      <c r="DB94" s="59">
        <f t="shared" si="593"/>
        <v>65802.230654160012</v>
      </c>
      <c r="DC94" s="60">
        <f t="shared" si="594"/>
        <v>19359.740399999999</v>
      </c>
      <c r="DD94" s="59">
        <f t="shared" si="595"/>
        <v>63999.429814319999</v>
      </c>
      <c r="DE94" s="60">
        <f t="shared" si="596"/>
        <v>18814.3956</v>
      </c>
      <c r="DF94" s="59">
        <f t="shared" si="597"/>
        <v>62196.628974480001</v>
      </c>
      <c r="DG94" s="60">
        <f t="shared" si="598"/>
        <v>18269.050799999997</v>
      </c>
      <c r="DH94" s="59">
        <f t="shared" si="599"/>
        <v>60393.828134639989</v>
      </c>
      <c r="DI94" s="60">
        <f t="shared" si="600"/>
        <v>17723.705999999998</v>
      </c>
      <c r="DJ94" s="59">
        <f t="shared" si="601"/>
        <v>58591.027294799998</v>
      </c>
      <c r="DK94" s="55">
        <f t="shared" si="602"/>
        <v>17178.361199999996</v>
      </c>
      <c r="DL94" s="59">
        <f t="shared" si="603"/>
        <v>56788.226454959986</v>
      </c>
      <c r="DM94" s="60">
        <f t="shared" si="604"/>
        <v>16633.016399999997</v>
      </c>
      <c r="DN94" s="59">
        <f t="shared" si="605"/>
        <v>54985.425615119988</v>
      </c>
      <c r="DO94" s="60">
        <f t="shared" si="606"/>
        <v>16087.671599999996</v>
      </c>
      <c r="DP94" s="59">
        <f t="shared" si="607"/>
        <v>53182.62477527999</v>
      </c>
      <c r="DQ94" s="55">
        <f t="shared" si="608"/>
        <v>15542.326799999995</v>
      </c>
      <c r="DR94" s="59">
        <f t="shared" si="609"/>
        <v>51379.823935439985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55">+DX94-0.02</f>
        <v>0.91</v>
      </c>
      <c r="DZ94" s="55">
        <f t="shared" si="655"/>
        <v>0.89</v>
      </c>
      <c r="EA94" s="55">
        <f t="shared" si="655"/>
        <v>0.87</v>
      </c>
      <c r="EB94" s="55">
        <f t="shared" si="655"/>
        <v>0.85</v>
      </c>
      <c r="EC94" s="55">
        <f t="shared" si="655"/>
        <v>0.83</v>
      </c>
      <c r="ED94" s="55">
        <f t="shared" si="655"/>
        <v>0.80999999999999994</v>
      </c>
      <c r="EE94" s="55">
        <f t="shared" si="655"/>
        <v>0.78999999999999992</v>
      </c>
      <c r="EF94" s="55">
        <f t="shared" si="655"/>
        <v>0.76999999999999991</v>
      </c>
      <c r="EG94" s="55">
        <f t="shared" si="655"/>
        <v>0.74999999999999989</v>
      </c>
      <c r="EH94" s="55">
        <f t="shared" si="655"/>
        <v>0.72999999999999987</v>
      </c>
      <c r="EI94" s="55">
        <f t="shared" si="655"/>
        <v>0.70999999999999985</v>
      </c>
      <c r="EJ94" s="55">
        <f t="shared" si="655"/>
        <v>0.68999999999999984</v>
      </c>
      <c r="EK94" s="55">
        <f t="shared" si="655"/>
        <v>0.66999999999999982</v>
      </c>
      <c r="EL94" s="55">
        <f t="shared" si="655"/>
        <v>0.6499999999999998</v>
      </c>
      <c r="EM94" s="55">
        <f t="shared" si="655"/>
        <v>0.62999999999999978</v>
      </c>
      <c r="EN94" s="55">
        <f t="shared" si="655"/>
        <v>0.60999999999999976</v>
      </c>
      <c r="EO94" s="55">
        <f t="shared" si="655"/>
        <v>0.58999999999999975</v>
      </c>
      <c r="EP94" s="55">
        <f t="shared" si="655"/>
        <v>0.56999999999999973</v>
      </c>
      <c r="ER94" s="55">
        <f t="shared" ref="ER94:ER155" si="656">+BZ94*0.91</f>
        <v>24813.188400000006</v>
      </c>
      <c r="ES94" s="55">
        <f t="shared" si="517"/>
        <v>24813.188400000006</v>
      </c>
      <c r="ET94" s="59">
        <f t="shared" si="610"/>
        <v>82027.438212720022</v>
      </c>
      <c r="EU94" s="55">
        <f t="shared" si="611"/>
        <v>24068.792748000007</v>
      </c>
      <c r="EV94" s="59">
        <f t="shared" si="612"/>
        <v>79566.615066338432</v>
      </c>
      <c r="EW94" s="55">
        <f t="shared" si="613"/>
        <v>23572.528980000006</v>
      </c>
      <c r="EX94" s="59">
        <f t="shared" si="614"/>
        <v>77926.066302084029</v>
      </c>
      <c r="EY94" s="55">
        <f t="shared" si="615"/>
        <v>23076.265212000006</v>
      </c>
      <c r="EZ94" s="59">
        <f t="shared" si="616"/>
        <v>76285.517537829626</v>
      </c>
      <c r="FA94" s="57">
        <f t="shared" si="617"/>
        <v>22580.001444000005</v>
      </c>
      <c r="FB94" s="59">
        <f t="shared" si="618"/>
        <v>74644.968773575223</v>
      </c>
      <c r="FC94" s="55">
        <f t="shared" si="619"/>
        <v>22083.737676000004</v>
      </c>
      <c r="FD94" s="59">
        <f t="shared" si="620"/>
        <v>73004.42000932082</v>
      </c>
      <c r="FE94" s="57">
        <f t="shared" si="621"/>
        <v>21587.473908000007</v>
      </c>
      <c r="FF94" s="59">
        <f t="shared" si="622"/>
        <v>71363.871245066432</v>
      </c>
      <c r="FG94" s="60">
        <f t="shared" si="623"/>
        <v>21091.210140000007</v>
      </c>
      <c r="FH94" s="59">
        <f t="shared" si="624"/>
        <v>69723.322480812029</v>
      </c>
      <c r="FI94" s="57">
        <f t="shared" si="625"/>
        <v>20594.946372000006</v>
      </c>
      <c r="FJ94" s="59">
        <f t="shared" si="626"/>
        <v>68082.773716557625</v>
      </c>
      <c r="FK94" s="55">
        <f t="shared" si="627"/>
        <v>20098.682604000005</v>
      </c>
      <c r="FL94" s="59">
        <f t="shared" si="628"/>
        <v>66442.224952303222</v>
      </c>
      <c r="FM94" s="60">
        <f t="shared" si="629"/>
        <v>19602.418836000004</v>
      </c>
      <c r="FN94" s="59">
        <f t="shared" si="630"/>
        <v>64801.676188048819</v>
      </c>
      <c r="FO94" s="60">
        <f t="shared" si="631"/>
        <v>19106.155068000004</v>
      </c>
      <c r="FP94" s="59">
        <f t="shared" si="632"/>
        <v>63161.127423794416</v>
      </c>
      <c r="FQ94" s="60">
        <f t="shared" si="633"/>
        <v>18609.891300000003</v>
      </c>
      <c r="FR94" s="59">
        <f t="shared" si="634"/>
        <v>61520.578659540013</v>
      </c>
      <c r="FS94" s="55">
        <f t="shared" si="635"/>
        <v>18113.627532000002</v>
      </c>
      <c r="FT94" s="59">
        <f t="shared" si="636"/>
        <v>59880.02989528561</v>
      </c>
      <c r="FU94" s="60">
        <f t="shared" si="637"/>
        <v>17617.363764000002</v>
      </c>
      <c r="FV94" s="59">
        <f t="shared" si="638"/>
        <v>58239.481131031207</v>
      </c>
      <c r="FW94" s="60">
        <f t="shared" si="639"/>
        <v>17121.099996000001</v>
      </c>
      <c r="FX94" s="59">
        <f t="shared" si="640"/>
        <v>56598.932366776804</v>
      </c>
      <c r="FY94" s="60">
        <f t="shared" si="641"/>
        <v>16624.836228</v>
      </c>
      <c r="FZ94" s="59">
        <f t="shared" si="642"/>
        <v>54958.383602522401</v>
      </c>
      <c r="GA94" s="60">
        <f t="shared" si="643"/>
        <v>16128.572459999999</v>
      </c>
      <c r="GB94" s="59">
        <f t="shared" si="644"/>
        <v>53317.834838267998</v>
      </c>
      <c r="GC94" s="55">
        <f t="shared" si="645"/>
        <v>15632.308691999999</v>
      </c>
      <c r="GD94" s="59">
        <f t="shared" si="646"/>
        <v>51677.286074013595</v>
      </c>
      <c r="GE94" s="60">
        <f t="shared" si="647"/>
        <v>15136.044923999998</v>
      </c>
      <c r="GF94" s="59">
        <f t="shared" si="648"/>
        <v>50036.737309759192</v>
      </c>
      <c r="GG94" s="60">
        <f t="shared" si="649"/>
        <v>14639.781155999997</v>
      </c>
      <c r="GH94" s="59">
        <f t="shared" si="650"/>
        <v>48396.188545504789</v>
      </c>
      <c r="GI94" s="55">
        <f t="shared" si="651"/>
        <v>14143.517387999997</v>
      </c>
      <c r="GJ94" s="59">
        <f t="shared" si="652"/>
        <v>46755.639781250393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57">+GP94-0.02</f>
        <v>0.91</v>
      </c>
      <c r="GR94" s="55">
        <f t="shared" si="657"/>
        <v>0.89</v>
      </c>
      <c r="GS94" s="55">
        <f t="shared" si="657"/>
        <v>0.87</v>
      </c>
      <c r="GT94" s="55">
        <f t="shared" si="657"/>
        <v>0.85</v>
      </c>
      <c r="GU94" s="55">
        <f t="shared" si="657"/>
        <v>0.83</v>
      </c>
      <c r="GV94" s="55">
        <f t="shared" si="657"/>
        <v>0.80999999999999994</v>
      </c>
      <c r="GW94" s="55">
        <f t="shared" si="657"/>
        <v>0.78999999999999992</v>
      </c>
      <c r="GX94" s="55">
        <f t="shared" si="657"/>
        <v>0.76999999999999991</v>
      </c>
      <c r="GY94" s="55">
        <f t="shared" si="657"/>
        <v>0.74999999999999989</v>
      </c>
      <c r="GZ94" s="55">
        <f t="shared" si="657"/>
        <v>0.72999999999999987</v>
      </c>
      <c r="HA94" s="55">
        <f t="shared" si="657"/>
        <v>0.70999999999999985</v>
      </c>
      <c r="HB94" s="55">
        <f t="shared" si="657"/>
        <v>0.68999999999999984</v>
      </c>
      <c r="HC94" s="55">
        <f t="shared" si="657"/>
        <v>0.66999999999999982</v>
      </c>
      <c r="HD94" s="55">
        <f t="shared" si="657"/>
        <v>0.6499999999999998</v>
      </c>
      <c r="HE94" s="55">
        <f t="shared" si="657"/>
        <v>0.62999999999999978</v>
      </c>
      <c r="HF94" s="55">
        <f t="shared" si="657"/>
        <v>0.60999999999999976</v>
      </c>
      <c r="HG94" s="55">
        <f t="shared" si="657"/>
        <v>0.58999999999999975</v>
      </c>
      <c r="HH94" s="55">
        <f t="shared" si="657"/>
        <v>0.56999999999999973</v>
      </c>
    </row>
    <row r="95" spans="1:216" x14ac:dyDescent="0.3">
      <c r="A95" s="2">
        <v>4</v>
      </c>
      <c r="C95" s="38" t="s">
        <v>42</v>
      </c>
      <c r="D95" s="42">
        <v>650</v>
      </c>
      <c r="E95" s="71">
        <f t="shared" si="522"/>
        <v>2140</v>
      </c>
      <c r="H95" s="55">
        <f t="shared" si="523"/>
        <v>715.00000000000011</v>
      </c>
      <c r="I95" s="55">
        <f t="shared" si="513"/>
        <v>715.00000000000011</v>
      </c>
      <c r="J95" s="59">
        <f t="shared" si="514"/>
        <v>2363.6470000000004</v>
      </c>
      <c r="K95" s="55">
        <f t="shared" si="524"/>
        <v>693.55000000000007</v>
      </c>
      <c r="L95" s="59">
        <f t="shared" si="525"/>
        <v>2292.7375900000002</v>
      </c>
      <c r="M95" s="55">
        <f t="shared" si="526"/>
        <v>679.25000000000011</v>
      </c>
      <c r="N95" s="59">
        <f t="shared" si="527"/>
        <v>2245.4646500000003</v>
      </c>
      <c r="O95" s="55">
        <f t="shared" si="528"/>
        <v>664.95000000000016</v>
      </c>
      <c r="P95" s="59">
        <f t="shared" si="529"/>
        <v>2198.1917100000005</v>
      </c>
      <c r="Q95" s="57">
        <f t="shared" si="530"/>
        <v>650.65000000000009</v>
      </c>
      <c r="R95" s="59">
        <f t="shared" si="531"/>
        <v>2150.9187700000002</v>
      </c>
      <c r="S95" s="55">
        <f t="shared" si="532"/>
        <v>636.35000000000014</v>
      </c>
      <c r="T95" s="59">
        <f t="shared" si="533"/>
        <v>2103.6458300000004</v>
      </c>
      <c r="U95" s="57">
        <f t="shared" si="534"/>
        <v>622.05000000000007</v>
      </c>
      <c r="V95" s="59">
        <f t="shared" si="535"/>
        <v>2056.3728900000001</v>
      </c>
      <c r="W95" s="60">
        <f t="shared" si="536"/>
        <v>607.75000000000011</v>
      </c>
      <c r="X95" s="59">
        <f t="shared" si="537"/>
        <v>2009.0999500000005</v>
      </c>
      <c r="Y95" s="57">
        <f t="shared" si="538"/>
        <v>593.45000000000005</v>
      </c>
      <c r="Z95" s="59">
        <f t="shared" si="539"/>
        <v>1961.8270100000002</v>
      </c>
      <c r="AA95" s="55">
        <f t="shared" si="540"/>
        <v>579.15000000000009</v>
      </c>
      <c r="AB95" s="59">
        <f t="shared" si="541"/>
        <v>1914.5540700000004</v>
      </c>
      <c r="AC95" s="60">
        <f t="shared" si="542"/>
        <v>564.85</v>
      </c>
      <c r="AD95" s="59">
        <f t="shared" si="543"/>
        <v>1867.2811300000001</v>
      </c>
      <c r="AE95" s="60">
        <f t="shared" si="544"/>
        <v>550.55000000000007</v>
      </c>
      <c r="AF95" s="59">
        <f t="shared" si="545"/>
        <v>1820.0081900000002</v>
      </c>
      <c r="AG95" s="60">
        <f t="shared" si="546"/>
        <v>536.25</v>
      </c>
      <c r="AH95" s="59">
        <f t="shared" si="547"/>
        <v>1772.73525</v>
      </c>
      <c r="AI95" s="55">
        <f t="shared" si="548"/>
        <v>521.95000000000005</v>
      </c>
      <c r="AJ95" s="59">
        <f t="shared" si="549"/>
        <v>1725.4623100000001</v>
      </c>
      <c r="AK95" s="60">
        <f t="shared" si="550"/>
        <v>507.65</v>
      </c>
      <c r="AL95" s="59">
        <f t="shared" si="551"/>
        <v>1678.1893700000001</v>
      </c>
      <c r="AM95" s="60">
        <f t="shared" si="552"/>
        <v>493.34999999999997</v>
      </c>
      <c r="AN95" s="59">
        <f t="shared" si="553"/>
        <v>1630.91643</v>
      </c>
      <c r="AO95" s="60">
        <f t="shared" si="554"/>
        <v>479.04999999999995</v>
      </c>
      <c r="AP95" s="59">
        <f t="shared" si="555"/>
        <v>1583.6434899999999</v>
      </c>
      <c r="AQ95" s="60">
        <f t="shared" si="556"/>
        <v>464.74999999999994</v>
      </c>
      <c r="AR95" s="59">
        <f t="shared" si="557"/>
        <v>1536.3705499999999</v>
      </c>
      <c r="AS95" s="55">
        <f t="shared" si="558"/>
        <v>450.44999999999993</v>
      </c>
      <c r="AT95" s="59">
        <f t="shared" si="559"/>
        <v>1489.0976099999998</v>
      </c>
      <c r="AU95" s="60">
        <f t="shared" si="560"/>
        <v>436.14999999999992</v>
      </c>
      <c r="AV95" s="59">
        <f t="shared" si="561"/>
        <v>1441.8246699999997</v>
      </c>
      <c r="AW95" s="60">
        <f t="shared" si="562"/>
        <v>421.84999999999991</v>
      </c>
      <c r="AX95" s="59">
        <f t="shared" si="563"/>
        <v>1394.5517299999997</v>
      </c>
      <c r="AY95" s="55">
        <f t="shared" si="564"/>
        <v>407.5499999999999</v>
      </c>
      <c r="AZ95" s="59">
        <f t="shared" si="565"/>
        <v>1347.2787899999996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66"/>
        <v>0.91</v>
      </c>
      <c r="BH95" s="55">
        <f t="shared" si="566"/>
        <v>0.89</v>
      </c>
      <c r="BI95" s="55">
        <f t="shared" si="566"/>
        <v>0.87</v>
      </c>
      <c r="BJ95" s="55">
        <f t="shared" si="566"/>
        <v>0.85</v>
      </c>
      <c r="BK95" s="55">
        <f t="shared" si="566"/>
        <v>0.83</v>
      </c>
      <c r="BL95" s="55">
        <f t="shared" si="566"/>
        <v>0.80999999999999994</v>
      </c>
      <c r="BM95" s="55">
        <f t="shared" si="566"/>
        <v>0.78999999999999992</v>
      </c>
      <c r="BN95" s="55">
        <f t="shared" si="566"/>
        <v>0.76999999999999991</v>
      </c>
      <c r="BO95" s="55">
        <f t="shared" si="566"/>
        <v>0.74999999999999989</v>
      </c>
      <c r="BP95" s="55">
        <f t="shared" si="566"/>
        <v>0.72999999999999987</v>
      </c>
      <c r="BQ95" s="55">
        <f t="shared" si="566"/>
        <v>0.70999999999999985</v>
      </c>
      <c r="BR95" s="55">
        <f t="shared" si="566"/>
        <v>0.68999999999999984</v>
      </c>
      <c r="BS95" s="55">
        <f t="shared" si="566"/>
        <v>0.66999999999999982</v>
      </c>
      <c r="BT95" s="55">
        <f t="shared" si="566"/>
        <v>0.6499999999999998</v>
      </c>
      <c r="BU95" s="55">
        <f t="shared" si="566"/>
        <v>0.62999999999999978</v>
      </c>
      <c r="BV95" s="55">
        <f t="shared" si="566"/>
        <v>0.60999999999999976</v>
      </c>
      <c r="BW95" s="55">
        <f t="shared" si="566"/>
        <v>0.58999999999999975</v>
      </c>
      <c r="BX95" s="55">
        <f t="shared" si="566"/>
        <v>0.56999999999999973</v>
      </c>
      <c r="BZ95" s="55">
        <f t="shared" si="515"/>
        <v>650.65000000000009</v>
      </c>
      <c r="CA95" s="55">
        <f t="shared" si="516"/>
        <v>650.65000000000009</v>
      </c>
      <c r="CB95" s="59">
        <f t="shared" si="567"/>
        <v>2150.9187700000002</v>
      </c>
      <c r="CC95" s="55">
        <f t="shared" si="568"/>
        <v>631.1305000000001</v>
      </c>
      <c r="CD95" s="59">
        <f t="shared" si="569"/>
        <v>2086.3912069000003</v>
      </c>
      <c r="CE95" s="55">
        <f t="shared" si="570"/>
        <v>618.11750000000006</v>
      </c>
      <c r="CF95" s="59">
        <f t="shared" si="571"/>
        <v>2043.3728315000003</v>
      </c>
      <c r="CG95" s="55">
        <f t="shared" si="572"/>
        <v>605.10450000000014</v>
      </c>
      <c r="CH95" s="59">
        <f t="shared" si="573"/>
        <v>2000.3544561000006</v>
      </c>
      <c r="CI95" s="57">
        <f t="shared" si="574"/>
        <v>592.09150000000011</v>
      </c>
      <c r="CJ95" s="59">
        <f t="shared" si="575"/>
        <v>1957.3360807000004</v>
      </c>
      <c r="CK95" s="55">
        <f t="shared" si="576"/>
        <v>579.07850000000008</v>
      </c>
      <c r="CL95" s="59">
        <f t="shared" si="577"/>
        <v>1914.3177053000004</v>
      </c>
      <c r="CM95" s="57">
        <f t="shared" si="578"/>
        <v>566.06550000000004</v>
      </c>
      <c r="CN95" s="59">
        <f t="shared" si="579"/>
        <v>1871.2993299000002</v>
      </c>
      <c r="CO95" s="60">
        <f t="shared" si="580"/>
        <v>553.05250000000001</v>
      </c>
      <c r="CP95" s="59">
        <f t="shared" si="581"/>
        <v>1828.2809545</v>
      </c>
      <c r="CQ95" s="57">
        <f t="shared" si="582"/>
        <v>540.03950000000009</v>
      </c>
      <c r="CR95" s="59">
        <f t="shared" si="583"/>
        <v>1785.2625791000003</v>
      </c>
      <c r="CS95" s="55">
        <f t="shared" si="584"/>
        <v>527.02650000000006</v>
      </c>
      <c r="CT95" s="59">
        <f t="shared" si="585"/>
        <v>1742.2442037000003</v>
      </c>
      <c r="CU95" s="60">
        <f t="shared" si="586"/>
        <v>514.01350000000002</v>
      </c>
      <c r="CV95" s="59">
        <f t="shared" si="587"/>
        <v>1699.2258283000001</v>
      </c>
      <c r="CW95" s="60">
        <f t="shared" si="588"/>
        <v>501.00049999999999</v>
      </c>
      <c r="CX95" s="59">
        <f t="shared" si="589"/>
        <v>1656.2074528999999</v>
      </c>
      <c r="CY95" s="60">
        <f t="shared" si="590"/>
        <v>487.98750000000001</v>
      </c>
      <c r="CZ95" s="59">
        <f t="shared" si="591"/>
        <v>1613.1890775000002</v>
      </c>
      <c r="DA95" s="55">
        <f t="shared" si="592"/>
        <v>474.97449999999998</v>
      </c>
      <c r="DB95" s="59">
        <f t="shared" si="593"/>
        <v>1570.1707021</v>
      </c>
      <c r="DC95" s="60">
        <f t="shared" si="594"/>
        <v>461.96149999999994</v>
      </c>
      <c r="DD95" s="59">
        <f t="shared" si="595"/>
        <v>1527.1523266999998</v>
      </c>
      <c r="DE95" s="60">
        <f t="shared" si="596"/>
        <v>448.94849999999997</v>
      </c>
      <c r="DF95" s="59">
        <f t="shared" si="597"/>
        <v>1484.1339513</v>
      </c>
      <c r="DG95" s="60">
        <f t="shared" si="598"/>
        <v>435.93549999999993</v>
      </c>
      <c r="DH95" s="59">
        <f t="shared" si="599"/>
        <v>1441.1155758999998</v>
      </c>
      <c r="DI95" s="60">
        <f t="shared" si="600"/>
        <v>422.92249999999996</v>
      </c>
      <c r="DJ95" s="59">
        <f t="shared" si="601"/>
        <v>1398.0972004999999</v>
      </c>
      <c r="DK95" s="55">
        <f t="shared" si="602"/>
        <v>409.90949999999992</v>
      </c>
      <c r="DL95" s="59">
        <f t="shared" si="603"/>
        <v>1355.0788250999997</v>
      </c>
      <c r="DM95" s="60">
        <f t="shared" si="604"/>
        <v>396.89649999999989</v>
      </c>
      <c r="DN95" s="59">
        <f t="shared" si="605"/>
        <v>1312.0604496999997</v>
      </c>
      <c r="DO95" s="60">
        <f t="shared" si="606"/>
        <v>383.88349999999991</v>
      </c>
      <c r="DP95" s="59">
        <f t="shared" si="607"/>
        <v>1269.0420742999997</v>
      </c>
      <c r="DQ95" s="55">
        <f t="shared" si="608"/>
        <v>370.87049999999988</v>
      </c>
      <c r="DR95" s="59">
        <f t="shared" si="609"/>
        <v>1226.0236988999995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55"/>
        <v>0.91</v>
      </c>
      <c r="DZ95" s="55">
        <f t="shared" si="655"/>
        <v>0.89</v>
      </c>
      <c r="EA95" s="55">
        <f t="shared" si="655"/>
        <v>0.87</v>
      </c>
      <c r="EB95" s="55">
        <f t="shared" si="655"/>
        <v>0.85</v>
      </c>
      <c r="EC95" s="55">
        <f t="shared" si="655"/>
        <v>0.83</v>
      </c>
      <c r="ED95" s="55">
        <f t="shared" si="655"/>
        <v>0.80999999999999994</v>
      </c>
      <c r="EE95" s="55">
        <f t="shared" si="655"/>
        <v>0.78999999999999992</v>
      </c>
      <c r="EF95" s="55">
        <f t="shared" si="655"/>
        <v>0.76999999999999991</v>
      </c>
      <c r="EG95" s="55">
        <f t="shared" si="655"/>
        <v>0.74999999999999989</v>
      </c>
      <c r="EH95" s="55">
        <f t="shared" si="655"/>
        <v>0.72999999999999987</v>
      </c>
      <c r="EI95" s="55">
        <f t="shared" si="655"/>
        <v>0.70999999999999985</v>
      </c>
      <c r="EJ95" s="55">
        <f t="shared" si="655"/>
        <v>0.68999999999999984</v>
      </c>
      <c r="EK95" s="55">
        <f t="shared" si="655"/>
        <v>0.66999999999999982</v>
      </c>
      <c r="EL95" s="55">
        <f t="shared" si="655"/>
        <v>0.6499999999999998</v>
      </c>
      <c r="EM95" s="55">
        <f t="shared" si="655"/>
        <v>0.62999999999999978</v>
      </c>
      <c r="EN95" s="55">
        <f t="shared" si="655"/>
        <v>0.60999999999999976</v>
      </c>
      <c r="EO95" s="55">
        <f t="shared" si="655"/>
        <v>0.58999999999999975</v>
      </c>
      <c r="EP95" s="55">
        <f t="shared" si="655"/>
        <v>0.56999999999999973</v>
      </c>
      <c r="ER95" s="55">
        <f t="shared" si="656"/>
        <v>592.09150000000011</v>
      </c>
      <c r="ES95" s="55">
        <f t="shared" si="517"/>
        <v>592.09150000000011</v>
      </c>
      <c r="ET95" s="59">
        <f t="shared" si="610"/>
        <v>1957.3360807000004</v>
      </c>
      <c r="EU95" s="55">
        <f t="shared" si="611"/>
        <v>574.32875500000011</v>
      </c>
      <c r="EV95" s="59">
        <f t="shared" si="612"/>
        <v>1898.6159982790005</v>
      </c>
      <c r="EW95" s="55">
        <f t="shared" si="613"/>
        <v>562.48692500000004</v>
      </c>
      <c r="EX95" s="59">
        <f t="shared" si="614"/>
        <v>1859.4692766650003</v>
      </c>
      <c r="EY95" s="55">
        <f t="shared" si="615"/>
        <v>550.64509500000008</v>
      </c>
      <c r="EZ95" s="59">
        <f t="shared" si="616"/>
        <v>1820.3225550510003</v>
      </c>
      <c r="FA95" s="57">
        <f t="shared" si="617"/>
        <v>538.80326500000012</v>
      </c>
      <c r="FB95" s="59">
        <f t="shared" si="618"/>
        <v>1781.1758334370004</v>
      </c>
      <c r="FC95" s="55">
        <f t="shared" si="619"/>
        <v>526.96143500000005</v>
      </c>
      <c r="FD95" s="59">
        <f t="shared" si="620"/>
        <v>1742.0291118230002</v>
      </c>
      <c r="FE95" s="57">
        <f t="shared" si="621"/>
        <v>515.11960500000009</v>
      </c>
      <c r="FF95" s="59">
        <f t="shared" si="622"/>
        <v>1702.8823902090003</v>
      </c>
      <c r="FG95" s="60">
        <f t="shared" si="623"/>
        <v>503.27777500000008</v>
      </c>
      <c r="FH95" s="59">
        <f t="shared" si="624"/>
        <v>1663.7356685950003</v>
      </c>
      <c r="FI95" s="57">
        <f t="shared" si="625"/>
        <v>491.43594500000006</v>
      </c>
      <c r="FJ95" s="59">
        <f t="shared" si="626"/>
        <v>1624.5889469810002</v>
      </c>
      <c r="FK95" s="55">
        <f t="shared" si="627"/>
        <v>479.59411500000004</v>
      </c>
      <c r="FL95" s="59">
        <f t="shared" si="628"/>
        <v>1585.4422253670002</v>
      </c>
      <c r="FM95" s="60">
        <f t="shared" si="629"/>
        <v>467.75228500000003</v>
      </c>
      <c r="FN95" s="59">
        <f t="shared" si="630"/>
        <v>1546.295503753</v>
      </c>
      <c r="FO95" s="60">
        <f t="shared" si="631"/>
        <v>455.91045500000001</v>
      </c>
      <c r="FP95" s="59">
        <f t="shared" si="632"/>
        <v>1507.1487821390001</v>
      </c>
      <c r="FQ95" s="60">
        <f t="shared" si="633"/>
        <v>444.068625</v>
      </c>
      <c r="FR95" s="59">
        <f t="shared" si="634"/>
        <v>1468.0020605249999</v>
      </c>
      <c r="FS95" s="55">
        <f t="shared" si="635"/>
        <v>432.22679499999998</v>
      </c>
      <c r="FT95" s="59">
        <f t="shared" si="636"/>
        <v>1428.855338911</v>
      </c>
      <c r="FU95" s="60">
        <f t="shared" si="637"/>
        <v>420.38496499999997</v>
      </c>
      <c r="FV95" s="59">
        <f t="shared" si="638"/>
        <v>1389.7086172969998</v>
      </c>
      <c r="FW95" s="60">
        <f t="shared" si="639"/>
        <v>408.54313500000001</v>
      </c>
      <c r="FX95" s="59">
        <f t="shared" si="640"/>
        <v>1350.5618956830001</v>
      </c>
      <c r="FY95" s="60">
        <f t="shared" si="641"/>
        <v>396.70130499999999</v>
      </c>
      <c r="FZ95" s="59">
        <f t="shared" si="642"/>
        <v>1311.4151740689999</v>
      </c>
      <c r="GA95" s="60">
        <f t="shared" si="643"/>
        <v>384.85947499999997</v>
      </c>
      <c r="GB95" s="59">
        <f t="shared" si="644"/>
        <v>1272.268452455</v>
      </c>
      <c r="GC95" s="55">
        <f t="shared" si="645"/>
        <v>373.01764499999996</v>
      </c>
      <c r="GD95" s="59">
        <f t="shared" si="646"/>
        <v>1233.1217308409998</v>
      </c>
      <c r="GE95" s="60">
        <f t="shared" si="647"/>
        <v>361.17581499999994</v>
      </c>
      <c r="GF95" s="59">
        <f t="shared" si="648"/>
        <v>1193.9750092269999</v>
      </c>
      <c r="GG95" s="60">
        <f t="shared" si="649"/>
        <v>349.33398499999993</v>
      </c>
      <c r="GH95" s="59">
        <f t="shared" si="650"/>
        <v>1154.8282876129997</v>
      </c>
      <c r="GI95" s="55">
        <f t="shared" si="651"/>
        <v>337.49215499999991</v>
      </c>
      <c r="GJ95" s="59">
        <f t="shared" si="652"/>
        <v>1115.6815659989998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57"/>
        <v>0.91</v>
      </c>
      <c r="GR95" s="55">
        <f t="shared" si="657"/>
        <v>0.89</v>
      </c>
      <c r="GS95" s="55">
        <f t="shared" si="657"/>
        <v>0.87</v>
      </c>
      <c r="GT95" s="55">
        <f t="shared" si="657"/>
        <v>0.85</v>
      </c>
      <c r="GU95" s="55">
        <f t="shared" si="657"/>
        <v>0.83</v>
      </c>
      <c r="GV95" s="55">
        <f t="shared" si="657"/>
        <v>0.80999999999999994</v>
      </c>
      <c r="GW95" s="55">
        <f t="shared" si="657"/>
        <v>0.78999999999999992</v>
      </c>
      <c r="GX95" s="55">
        <f t="shared" si="657"/>
        <v>0.76999999999999991</v>
      </c>
      <c r="GY95" s="55">
        <f t="shared" si="657"/>
        <v>0.74999999999999989</v>
      </c>
      <c r="GZ95" s="55">
        <f t="shared" si="657"/>
        <v>0.72999999999999987</v>
      </c>
      <c r="HA95" s="55">
        <f t="shared" si="657"/>
        <v>0.70999999999999985</v>
      </c>
      <c r="HB95" s="55">
        <f t="shared" si="657"/>
        <v>0.68999999999999984</v>
      </c>
      <c r="HC95" s="55">
        <f t="shared" si="657"/>
        <v>0.66999999999999982</v>
      </c>
      <c r="HD95" s="55">
        <f t="shared" si="657"/>
        <v>0.6499999999999998</v>
      </c>
      <c r="HE95" s="55">
        <f t="shared" si="657"/>
        <v>0.62999999999999978</v>
      </c>
      <c r="HF95" s="55">
        <f t="shared" si="657"/>
        <v>0.60999999999999976</v>
      </c>
      <c r="HG95" s="55">
        <f t="shared" si="657"/>
        <v>0.58999999999999975</v>
      </c>
      <c r="HH95" s="55">
        <f t="shared" si="657"/>
        <v>0.56999999999999973</v>
      </c>
    </row>
    <row r="96" spans="1:216" x14ac:dyDescent="0.3">
      <c r="A96" s="2">
        <v>5</v>
      </c>
      <c r="C96" s="38" t="s">
        <v>43</v>
      </c>
      <c r="D96" s="42">
        <f>TRUNC(18878,-1)</f>
        <v>18870</v>
      </c>
      <c r="E96" s="71">
        <f t="shared" si="522"/>
        <v>62380</v>
      </c>
      <c r="H96" s="55">
        <f t="shared" si="523"/>
        <v>20757</v>
      </c>
      <c r="I96" s="55">
        <f t="shared" si="513"/>
        <v>20757</v>
      </c>
      <c r="J96" s="59">
        <f t="shared" si="514"/>
        <v>68618.490600000005</v>
      </c>
      <c r="K96" s="55">
        <f t="shared" si="524"/>
        <v>20134.29</v>
      </c>
      <c r="L96" s="59">
        <f t="shared" si="525"/>
        <v>66559.935882000005</v>
      </c>
      <c r="M96" s="55">
        <f t="shared" si="526"/>
        <v>19719.149999999998</v>
      </c>
      <c r="N96" s="59">
        <f t="shared" si="527"/>
        <v>65187.566069999993</v>
      </c>
      <c r="O96" s="55">
        <f t="shared" si="528"/>
        <v>19304.010000000002</v>
      </c>
      <c r="P96" s="59">
        <f t="shared" si="529"/>
        <v>63815.196258000011</v>
      </c>
      <c r="Q96" s="57">
        <f t="shared" si="530"/>
        <v>18888.87</v>
      </c>
      <c r="R96" s="59">
        <f t="shared" si="531"/>
        <v>62442.826445999999</v>
      </c>
      <c r="S96" s="55">
        <f t="shared" si="532"/>
        <v>18473.73</v>
      </c>
      <c r="T96" s="59">
        <f t="shared" si="533"/>
        <v>61070.456634000002</v>
      </c>
      <c r="U96" s="57">
        <f t="shared" si="534"/>
        <v>18058.59</v>
      </c>
      <c r="V96" s="59">
        <f t="shared" si="535"/>
        <v>59698.086822000005</v>
      </c>
      <c r="W96" s="60">
        <f t="shared" si="536"/>
        <v>17643.45</v>
      </c>
      <c r="X96" s="59">
        <f t="shared" si="537"/>
        <v>58325.71701</v>
      </c>
      <c r="Y96" s="57">
        <f t="shared" si="538"/>
        <v>17228.309999999998</v>
      </c>
      <c r="Z96" s="59">
        <f t="shared" si="539"/>
        <v>56953.347197999996</v>
      </c>
      <c r="AA96" s="55">
        <f t="shared" si="540"/>
        <v>16813.169999999998</v>
      </c>
      <c r="AB96" s="59">
        <f t="shared" si="541"/>
        <v>55580.977385999999</v>
      </c>
      <c r="AC96" s="60">
        <f t="shared" si="542"/>
        <v>16398.03</v>
      </c>
      <c r="AD96" s="59">
        <f t="shared" si="543"/>
        <v>54208.607573999994</v>
      </c>
      <c r="AE96" s="60">
        <f t="shared" si="544"/>
        <v>15982.889999999998</v>
      </c>
      <c r="AF96" s="59">
        <f t="shared" si="545"/>
        <v>52836.23776199999</v>
      </c>
      <c r="AG96" s="60">
        <f t="shared" si="546"/>
        <v>15567.749999999998</v>
      </c>
      <c r="AH96" s="59">
        <f t="shared" si="547"/>
        <v>51463.867949999993</v>
      </c>
      <c r="AI96" s="55">
        <f t="shared" si="548"/>
        <v>15152.609999999997</v>
      </c>
      <c r="AJ96" s="59">
        <f t="shared" si="549"/>
        <v>50091.498137999988</v>
      </c>
      <c r="AK96" s="60">
        <f t="shared" si="550"/>
        <v>14737.469999999998</v>
      </c>
      <c r="AL96" s="59">
        <f t="shared" si="551"/>
        <v>48719.128325999991</v>
      </c>
      <c r="AM96" s="60">
        <f t="shared" si="552"/>
        <v>14322.329999999996</v>
      </c>
      <c r="AN96" s="59">
        <f t="shared" si="553"/>
        <v>47346.758513999986</v>
      </c>
      <c r="AO96" s="60">
        <f t="shared" si="554"/>
        <v>13907.189999999997</v>
      </c>
      <c r="AP96" s="59">
        <f t="shared" si="555"/>
        <v>45974.388701999989</v>
      </c>
      <c r="AQ96" s="60">
        <f t="shared" si="556"/>
        <v>13492.049999999996</v>
      </c>
      <c r="AR96" s="59">
        <f t="shared" si="557"/>
        <v>44602.018889999985</v>
      </c>
      <c r="AS96" s="55">
        <f t="shared" si="558"/>
        <v>13076.909999999996</v>
      </c>
      <c r="AT96" s="59">
        <f t="shared" si="559"/>
        <v>43229.649077999988</v>
      </c>
      <c r="AU96" s="60">
        <f t="shared" si="560"/>
        <v>12661.769999999995</v>
      </c>
      <c r="AV96" s="59">
        <f t="shared" si="561"/>
        <v>41857.279265999983</v>
      </c>
      <c r="AW96" s="60">
        <f t="shared" si="562"/>
        <v>12246.629999999996</v>
      </c>
      <c r="AX96" s="59">
        <f t="shared" si="563"/>
        <v>40484.909453999986</v>
      </c>
      <c r="AY96" s="55">
        <f t="shared" si="564"/>
        <v>11831.489999999994</v>
      </c>
      <c r="AZ96" s="59">
        <f t="shared" si="565"/>
        <v>39112.539641999982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66"/>
        <v>0.91</v>
      </c>
      <c r="BH96" s="55">
        <f t="shared" si="566"/>
        <v>0.89</v>
      </c>
      <c r="BI96" s="55">
        <f t="shared" si="566"/>
        <v>0.87</v>
      </c>
      <c r="BJ96" s="55">
        <f t="shared" si="566"/>
        <v>0.85</v>
      </c>
      <c r="BK96" s="55">
        <f t="shared" si="566"/>
        <v>0.83</v>
      </c>
      <c r="BL96" s="55">
        <f t="shared" si="566"/>
        <v>0.80999999999999994</v>
      </c>
      <c r="BM96" s="55">
        <f t="shared" si="566"/>
        <v>0.78999999999999992</v>
      </c>
      <c r="BN96" s="55">
        <f t="shared" si="566"/>
        <v>0.76999999999999991</v>
      </c>
      <c r="BO96" s="55">
        <f t="shared" si="566"/>
        <v>0.74999999999999989</v>
      </c>
      <c r="BP96" s="55">
        <f t="shared" si="566"/>
        <v>0.72999999999999987</v>
      </c>
      <c r="BQ96" s="55">
        <f t="shared" si="566"/>
        <v>0.70999999999999985</v>
      </c>
      <c r="BR96" s="55">
        <f t="shared" si="566"/>
        <v>0.68999999999999984</v>
      </c>
      <c r="BS96" s="55">
        <f t="shared" si="566"/>
        <v>0.66999999999999982</v>
      </c>
      <c r="BT96" s="55">
        <f t="shared" si="566"/>
        <v>0.6499999999999998</v>
      </c>
      <c r="BU96" s="55">
        <f t="shared" si="566"/>
        <v>0.62999999999999978</v>
      </c>
      <c r="BV96" s="55">
        <f t="shared" si="566"/>
        <v>0.60999999999999976</v>
      </c>
      <c r="BW96" s="55">
        <f t="shared" si="566"/>
        <v>0.58999999999999975</v>
      </c>
      <c r="BX96" s="55">
        <f t="shared" si="566"/>
        <v>0.56999999999999973</v>
      </c>
      <c r="BZ96" s="55">
        <f t="shared" si="515"/>
        <v>18888.87</v>
      </c>
      <c r="CA96" s="55">
        <f t="shared" si="516"/>
        <v>18888.87</v>
      </c>
      <c r="CB96" s="59">
        <f t="shared" si="567"/>
        <v>62442.826445999999</v>
      </c>
      <c r="CC96" s="55">
        <f t="shared" si="568"/>
        <v>18322.203899999997</v>
      </c>
      <c r="CD96" s="59">
        <f t="shared" si="569"/>
        <v>60569.541652619992</v>
      </c>
      <c r="CE96" s="55">
        <f t="shared" si="570"/>
        <v>17944.426499999998</v>
      </c>
      <c r="CF96" s="59">
        <f t="shared" si="571"/>
        <v>59320.685123699994</v>
      </c>
      <c r="CG96" s="55">
        <f t="shared" si="572"/>
        <v>17566.649099999999</v>
      </c>
      <c r="CH96" s="59">
        <f t="shared" si="573"/>
        <v>58071.828594779996</v>
      </c>
      <c r="CI96" s="57">
        <f t="shared" si="574"/>
        <v>17188.8717</v>
      </c>
      <c r="CJ96" s="59">
        <f t="shared" si="575"/>
        <v>56822.972065859998</v>
      </c>
      <c r="CK96" s="55">
        <f t="shared" si="576"/>
        <v>16811.094300000001</v>
      </c>
      <c r="CL96" s="59">
        <f t="shared" si="577"/>
        <v>55574.11553694</v>
      </c>
      <c r="CM96" s="57">
        <f t="shared" si="578"/>
        <v>16433.316899999998</v>
      </c>
      <c r="CN96" s="59">
        <f t="shared" si="579"/>
        <v>54325.259008019995</v>
      </c>
      <c r="CO96" s="60">
        <f t="shared" si="580"/>
        <v>16055.539499999999</v>
      </c>
      <c r="CP96" s="59">
        <f t="shared" si="581"/>
        <v>53076.402479099997</v>
      </c>
      <c r="CQ96" s="57">
        <f t="shared" si="582"/>
        <v>15677.762099999998</v>
      </c>
      <c r="CR96" s="59">
        <f t="shared" si="583"/>
        <v>51827.545950179992</v>
      </c>
      <c r="CS96" s="55">
        <f t="shared" si="584"/>
        <v>15299.984699999997</v>
      </c>
      <c r="CT96" s="59">
        <f t="shared" si="585"/>
        <v>50578.689421259995</v>
      </c>
      <c r="CU96" s="60">
        <f t="shared" si="586"/>
        <v>14922.207299999998</v>
      </c>
      <c r="CV96" s="59">
        <f t="shared" si="587"/>
        <v>49329.832892339997</v>
      </c>
      <c r="CW96" s="60">
        <f t="shared" si="588"/>
        <v>14544.429899999997</v>
      </c>
      <c r="CX96" s="59">
        <f t="shared" si="589"/>
        <v>48080.976363419992</v>
      </c>
      <c r="CY96" s="60">
        <f t="shared" si="590"/>
        <v>14166.652499999997</v>
      </c>
      <c r="CZ96" s="59">
        <f t="shared" si="591"/>
        <v>46832.119834499987</v>
      </c>
      <c r="DA96" s="55">
        <f t="shared" si="592"/>
        <v>13788.875099999997</v>
      </c>
      <c r="DB96" s="59">
        <f t="shared" si="593"/>
        <v>45583.263305579996</v>
      </c>
      <c r="DC96" s="60">
        <f t="shared" si="594"/>
        <v>13411.097699999997</v>
      </c>
      <c r="DD96" s="59">
        <f t="shared" si="595"/>
        <v>44334.406776659991</v>
      </c>
      <c r="DE96" s="60">
        <f t="shared" si="596"/>
        <v>13033.320299999996</v>
      </c>
      <c r="DF96" s="59">
        <f t="shared" si="597"/>
        <v>43085.550247739986</v>
      </c>
      <c r="DG96" s="60">
        <f t="shared" si="598"/>
        <v>12655.542899999997</v>
      </c>
      <c r="DH96" s="59">
        <f t="shared" si="599"/>
        <v>41836.693718819988</v>
      </c>
      <c r="DI96" s="60">
        <f t="shared" si="600"/>
        <v>12277.765499999996</v>
      </c>
      <c r="DJ96" s="59">
        <f t="shared" si="601"/>
        <v>40587.83718989999</v>
      </c>
      <c r="DK96" s="55">
        <f t="shared" si="602"/>
        <v>11899.988099999995</v>
      </c>
      <c r="DL96" s="59">
        <f t="shared" si="603"/>
        <v>39338.980660979985</v>
      </c>
      <c r="DM96" s="60">
        <f t="shared" si="604"/>
        <v>11522.210699999994</v>
      </c>
      <c r="DN96" s="59">
        <f t="shared" si="605"/>
        <v>38090.12413205998</v>
      </c>
      <c r="DO96" s="60">
        <f t="shared" si="606"/>
        <v>11144.433299999995</v>
      </c>
      <c r="DP96" s="59">
        <f t="shared" si="607"/>
        <v>36841.267603139982</v>
      </c>
      <c r="DQ96" s="55">
        <f t="shared" si="608"/>
        <v>10766.655899999994</v>
      </c>
      <c r="DR96" s="59">
        <f t="shared" si="609"/>
        <v>35592.411074219985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55"/>
        <v>0.91</v>
      </c>
      <c r="DZ96" s="55">
        <f t="shared" si="655"/>
        <v>0.89</v>
      </c>
      <c r="EA96" s="55">
        <f t="shared" si="655"/>
        <v>0.87</v>
      </c>
      <c r="EB96" s="55">
        <f t="shared" si="655"/>
        <v>0.85</v>
      </c>
      <c r="EC96" s="55">
        <f t="shared" si="655"/>
        <v>0.83</v>
      </c>
      <c r="ED96" s="55">
        <f t="shared" si="655"/>
        <v>0.80999999999999994</v>
      </c>
      <c r="EE96" s="55">
        <f t="shared" si="655"/>
        <v>0.78999999999999992</v>
      </c>
      <c r="EF96" s="55">
        <f t="shared" si="655"/>
        <v>0.76999999999999991</v>
      </c>
      <c r="EG96" s="55">
        <f t="shared" si="655"/>
        <v>0.74999999999999989</v>
      </c>
      <c r="EH96" s="55">
        <f t="shared" si="655"/>
        <v>0.72999999999999987</v>
      </c>
      <c r="EI96" s="55">
        <f t="shared" si="655"/>
        <v>0.70999999999999985</v>
      </c>
      <c r="EJ96" s="55">
        <f t="shared" si="655"/>
        <v>0.68999999999999984</v>
      </c>
      <c r="EK96" s="55">
        <f t="shared" si="655"/>
        <v>0.66999999999999982</v>
      </c>
      <c r="EL96" s="55">
        <f t="shared" si="655"/>
        <v>0.6499999999999998</v>
      </c>
      <c r="EM96" s="55">
        <f t="shared" si="655"/>
        <v>0.62999999999999978</v>
      </c>
      <c r="EN96" s="55">
        <f t="shared" si="655"/>
        <v>0.60999999999999976</v>
      </c>
      <c r="EO96" s="55">
        <f t="shared" si="655"/>
        <v>0.58999999999999975</v>
      </c>
      <c r="EP96" s="55">
        <f t="shared" si="655"/>
        <v>0.56999999999999973</v>
      </c>
      <c r="ER96" s="55">
        <f t="shared" si="656"/>
        <v>17188.8717</v>
      </c>
      <c r="ES96" s="55">
        <f t="shared" si="517"/>
        <v>17188.8717</v>
      </c>
      <c r="ET96" s="59">
        <f t="shared" si="610"/>
        <v>56822.972065859998</v>
      </c>
      <c r="EU96" s="55">
        <f t="shared" si="611"/>
        <v>16673.205548999998</v>
      </c>
      <c r="EV96" s="59">
        <f t="shared" si="612"/>
        <v>55118.282903884196</v>
      </c>
      <c r="EW96" s="55">
        <f t="shared" si="613"/>
        <v>16329.428114999999</v>
      </c>
      <c r="EX96" s="59">
        <f t="shared" si="614"/>
        <v>53981.823462566994</v>
      </c>
      <c r="EY96" s="55">
        <f t="shared" si="615"/>
        <v>15985.650681000001</v>
      </c>
      <c r="EZ96" s="59">
        <f t="shared" si="616"/>
        <v>52845.364021249807</v>
      </c>
      <c r="FA96" s="57">
        <f t="shared" si="617"/>
        <v>15641.873247</v>
      </c>
      <c r="FB96" s="59">
        <f t="shared" si="618"/>
        <v>51708.904579932598</v>
      </c>
      <c r="FC96" s="55">
        <f t="shared" si="619"/>
        <v>15298.095813</v>
      </c>
      <c r="FD96" s="59">
        <f t="shared" si="620"/>
        <v>50572.445138615403</v>
      </c>
      <c r="FE96" s="57">
        <f t="shared" si="621"/>
        <v>14954.318379</v>
      </c>
      <c r="FF96" s="59">
        <f t="shared" si="622"/>
        <v>49435.985697298202</v>
      </c>
      <c r="FG96" s="60">
        <f t="shared" si="623"/>
        <v>14610.540944999999</v>
      </c>
      <c r="FH96" s="59">
        <f t="shared" si="624"/>
        <v>48299.526255981</v>
      </c>
      <c r="FI96" s="57">
        <f t="shared" si="625"/>
        <v>14266.763510999999</v>
      </c>
      <c r="FJ96" s="59">
        <f t="shared" si="626"/>
        <v>47163.066814663798</v>
      </c>
      <c r="FK96" s="55">
        <f t="shared" si="627"/>
        <v>13922.986077</v>
      </c>
      <c r="FL96" s="59">
        <f t="shared" si="628"/>
        <v>46026.607373346596</v>
      </c>
      <c r="FM96" s="60">
        <f t="shared" si="629"/>
        <v>13579.208642999998</v>
      </c>
      <c r="FN96" s="59">
        <f t="shared" si="630"/>
        <v>44890.147932029395</v>
      </c>
      <c r="FO96" s="60">
        <f t="shared" si="631"/>
        <v>13235.431208999998</v>
      </c>
      <c r="FP96" s="59">
        <f t="shared" si="632"/>
        <v>43753.688490712193</v>
      </c>
      <c r="FQ96" s="60">
        <f t="shared" si="633"/>
        <v>12891.653774999997</v>
      </c>
      <c r="FR96" s="59">
        <f t="shared" si="634"/>
        <v>42617.229049394991</v>
      </c>
      <c r="FS96" s="55">
        <f t="shared" si="635"/>
        <v>12547.876340999997</v>
      </c>
      <c r="FT96" s="59">
        <f t="shared" si="636"/>
        <v>41480.76960807779</v>
      </c>
      <c r="FU96" s="60">
        <f t="shared" si="637"/>
        <v>12204.098906999998</v>
      </c>
      <c r="FV96" s="59">
        <f t="shared" si="638"/>
        <v>40344.310166760595</v>
      </c>
      <c r="FW96" s="60">
        <f t="shared" si="639"/>
        <v>11860.321472999996</v>
      </c>
      <c r="FX96" s="59">
        <f t="shared" si="640"/>
        <v>39207.850725443386</v>
      </c>
      <c r="FY96" s="60">
        <f t="shared" si="641"/>
        <v>11516.544038999997</v>
      </c>
      <c r="FZ96" s="59">
        <f t="shared" si="642"/>
        <v>38071.391284126192</v>
      </c>
      <c r="GA96" s="60">
        <f t="shared" si="643"/>
        <v>11172.766604999997</v>
      </c>
      <c r="GB96" s="59">
        <f t="shared" si="644"/>
        <v>36934.93184280899</v>
      </c>
      <c r="GC96" s="55">
        <f t="shared" si="645"/>
        <v>10828.989170999996</v>
      </c>
      <c r="GD96" s="59">
        <f t="shared" si="646"/>
        <v>35798.472401491788</v>
      </c>
      <c r="GE96" s="60">
        <f t="shared" si="647"/>
        <v>10485.211736999996</v>
      </c>
      <c r="GF96" s="59">
        <f t="shared" si="648"/>
        <v>34662.012960174587</v>
      </c>
      <c r="GG96" s="60">
        <f t="shared" si="649"/>
        <v>10141.434302999996</v>
      </c>
      <c r="GH96" s="59">
        <f t="shared" si="650"/>
        <v>33525.553518857392</v>
      </c>
      <c r="GI96" s="55">
        <f t="shared" si="651"/>
        <v>9797.6568689999949</v>
      </c>
      <c r="GJ96" s="59">
        <f t="shared" si="652"/>
        <v>32389.094077540183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57"/>
        <v>0.91</v>
      </c>
      <c r="GR96" s="55">
        <f t="shared" si="657"/>
        <v>0.89</v>
      </c>
      <c r="GS96" s="55">
        <f t="shared" si="657"/>
        <v>0.87</v>
      </c>
      <c r="GT96" s="55">
        <f t="shared" si="657"/>
        <v>0.85</v>
      </c>
      <c r="GU96" s="55">
        <f t="shared" si="657"/>
        <v>0.83</v>
      </c>
      <c r="GV96" s="55">
        <f t="shared" si="657"/>
        <v>0.80999999999999994</v>
      </c>
      <c r="GW96" s="55">
        <f t="shared" si="657"/>
        <v>0.78999999999999992</v>
      </c>
      <c r="GX96" s="55">
        <f t="shared" si="657"/>
        <v>0.76999999999999991</v>
      </c>
      <c r="GY96" s="55">
        <f t="shared" si="657"/>
        <v>0.74999999999999989</v>
      </c>
      <c r="GZ96" s="55">
        <f t="shared" si="657"/>
        <v>0.72999999999999987</v>
      </c>
      <c r="HA96" s="55">
        <f t="shared" si="657"/>
        <v>0.70999999999999985</v>
      </c>
      <c r="HB96" s="55">
        <f t="shared" si="657"/>
        <v>0.68999999999999984</v>
      </c>
      <c r="HC96" s="55">
        <f t="shared" si="657"/>
        <v>0.66999999999999982</v>
      </c>
      <c r="HD96" s="55">
        <f t="shared" si="657"/>
        <v>0.6499999999999998</v>
      </c>
      <c r="HE96" s="55">
        <f t="shared" si="657"/>
        <v>0.62999999999999978</v>
      </c>
      <c r="HF96" s="55">
        <f t="shared" si="657"/>
        <v>0.60999999999999976</v>
      </c>
      <c r="HG96" s="55">
        <f t="shared" si="657"/>
        <v>0.58999999999999975</v>
      </c>
      <c r="HH96" s="55">
        <f t="shared" si="657"/>
        <v>0.56999999999999973</v>
      </c>
    </row>
    <row r="97" spans="1:216" x14ac:dyDescent="0.3">
      <c r="A97" s="2">
        <v>6</v>
      </c>
      <c r="C97" s="38" t="s">
        <v>44</v>
      </c>
      <c r="D97" s="42">
        <f>TRUNC(11762,-1)</f>
        <v>11760</v>
      </c>
      <c r="E97" s="71">
        <f t="shared" si="522"/>
        <v>38870</v>
      </c>
      <c r="H97" s="55">
        <f t="shared" si="523"/>
        <v>12936.000000000002</v>
      </c>
      <c r="I97" s="55">
        <f t="shared" si="513"/>
        <v>12936.000000000002</v>
      </c>
      <c r="J97" s="59">
        <f t="shared" si="514"/>
        <v>42763.82880000001</v>
      </c>
      <c r="K97" s="55">
        <f t="shared" si="524"/>
        <v>12547.920000000002</v>
      </c>
      <c r="L97" s="59">
        <f t="shared" si="525"/>
        <v>41480.913936000004</v>
      </c>
      <c r="M97" s="55">
        <f t="shared" si="526"/>
        <v>12289.2</v>
      </c>
      <c r="N97" s="59">
        <f t="shared" si="527"/>
        <v>40625.637360000001</v>
      </c>
      <c r="O97" s="55">
        <f t="shared" si="528"/>
        <v>12030.480000000003</v>
      </c>
      <c r="P97" s="59">
        <f t="shared" si="529"/>
        <v>39770.360784000011</v>
      </c>
      <c r="Q97" s="57">
        <f t="shared" si="530"/>
        <v>11771.760000000002</v>
      </c>
      <c r="R97" s="59">
        <f t="shared" si="531"/>
        <v>38915.084208000007</v>
      </c>
      <c r="S97" s="55">
        <f t="shared" si="532"/>
        <v>11513.040000000003</v>
      </c>
      <c r="T97" s="59">
        <f t="shared" si="533"/>
        <v>38059.807632000011</v>
      </c>
      <c r="U97" s="57">
        <f t="shared" si="534"/>
        <v>11254.320000000002</v>
      </c>
      <c r="V97" s="59">
        <f t="shared" si="535"/>
        <v>37204.531056000007</v>
      </c>
      <c r="W97" s="60">
        <f t="shared" si="536"/>
        <v>10995.6</v>
      </c>
      <c r="X97" s="59">
        <f t="shared" si="537"/>
        <v>36349.254480000003</v>
      </c>
      <c r="Y97" s="57">
        <f t="shared" si="538"/>
        <v>10736.880000000001</v>
      </c>
      <c r="Z97" s="59">
        <f t="shared" si="539"/>
        <v>35493.977904000007</v>
      </c>
      <c r="AA97" s="55">
        <f t="shared" si="540"/>
        <v>10478.16</v>
      </c>
      <c r="AB97" s="59">
        <f t="shared" si="541"/>
        <v>34638.701328000003</v>
      </c>
      <c r="AC97" s="60">
        <f t="shared" si="542"/>
        <v>10219.44</v>
      </c>
      <c r="AD97" s="59">
        <f t="shared" si="543"/>
        <v>33783.424751999999</v>
      </c>
      <c r="AE97" s="60">
        <f t="shared" si="544"/>
        <v>9960.7199999999993</v>
      </c>
      <c r="AF97" s="59">
        <f t="shared" si="545"/>
        <v>32928.148175999995</v>
      </c>
      <c r="AG97" s="60">
        <f t="shared" si="546"/>
        <v>9702</v>
      </c>
      <c r="AH97" s="59">
        <f t="shared" si="547"/>
        <v>32072.871600000002</v>
      </c>
      <c r="AI97" s="55">
        <f t="shared" si="548"/>
        <v>9443.2799999999988</v>
      </c>
      <c r="AJ97" s="59">
        <f t="shared" si="549"/>
        <v>31217.595023999998</v>
      </c>
      <c r="AK97" s="60">
        <f t="shared" si="550"/>
        <v>9184.56</v>
      </c>
      <c r="AL97" s="59">
        <f t="shared" si="551"/>
        <v>30362.318447999998</v>
      </c>
      <c r="AM97" s="60">
        <f t="shared" si="552"/>
        <v>8925.8399999999983</v>
      </c>
      <c r="AN97" s="59">
        <f t="shared" si="553"/>
        <v>29507.041871999994</v>
      </c>
      <c r="AO97" s="60">
        <f t="shared" si="554"/>
        <v>8667.119999999999</v>
      </c>
      <c r="AP97" s="59">
        <f t="shared" si="555"/>
        <v>28651.765295999998</v>
      </c>
      <c r="AQ97" s="60">
        <f t="shared" si="556"/>
        <v>8408.3999999999978</v>
      </c>
      <c r="AR97" s="59">
        <f t="shared" si="557"/>
        <v>27796.488719999994</v>
      </c>
      <c r="AS97" s="55">
        <f t="shared" si="558"/>
        <v>8149.6799999999985</v>
      </c>
      <c r="AT97" s="59">
        <f t="shared" si="559"/>
        <v>26941.212143999997</v>
      </c>
      <c r="AU97" s="60">
        <f t="shared" si="560"/>
        <v>7890.9599999999982</v>
      </c>
      <c r="AV97" s="59">
        <f t="shared" si="561"/>
        <v>26085.935567999994</v>
      </c>
      <c r="AW97" s="60">
        <f t="shared" si="562"/>
        <v>7632.239999999998</v>
      </c>
      <c r="AX97" s="59">
        <f t="shared" si="563"/>
        <v>25230.658991999993</v>
      </c>
      <c r="AY97" s="55">
        <f t="shared" si="564"/>
        <v>7373.5199999999977</v>
      </c>
      <c r="AZ97" s="59">
        <f t="shared" si="565"/>
        <v>24375.382415999993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66"/>
        <v>0.91</v>
      </c>
      <c r="BH97" s="55">
        <f t="shared" si="566"/>
        <v>0.89</v>
      </c>
      <c r="BI97" s="55">
        <f t="shared" si="566"/>
        <v>0.87</v>
      </c>
      <c r="BJ97" s="55">
        <f t="shared" si="566"/>
        <v>0.85</v>
      </c>
      <c r="BK97" s="55">
        <f t="shared" si="566"/>
        <v>0.83</v>
      </c>
      <c r="BL97" s="55">
        <f t="shared" si="566"/>
        <v>0.80999999999999994</v>
      </c>
      <c r="BM97" s="55">
        <f t="shared" si="566"/>
        <v>0.78999999999999992</v>
      </c>
      <c r="BN97" s="55">
        <f t="shared" si="566"/>
        <v>0.76999999999999991</v>
      </c>
      <c r="BO97" s="55">
        <f t="shared" si="566"/>
        <v>0.74999999999999989</v>
      </c>
      <c r="BP97" s="55">
        <f t="shared" si="566"/>
        <v>0.72999999999999987</v>
      </c>
      <c r="BQ97" s="55">
        <f t="shared" si="566"/>
        <v>0.70999999999999985</v>
      </c>
      <c r="BR97" s="55">
        <f t="shared" si="566"/>
        <v>0.68999999999999984</v>
      </c>
      <c r="BS97" s="55">
        <f t="shared" si="566"/>
        <v>0.66999999999999982</v>
      </c>
      <c r="BT97" s="55">
        <f t="shared" si="566"/>
        <v>0.6499999999999998</v>
      </c>
      <c r="BU97" s="55">
        <f t="shared" si="566"/>
        <v>0.62999999999999978</v>
      </c>
      <c r="BV97" s="55">
        <f t="shared" si="566"/>
        <v>0.60999999999999976</v>
      </c>
      <c r="BW97" s="55">
        <f t="shared" si="566"/>
        <v>0.58999999999999975</v>
      </c>
      <c r="BX97" s="55">
        <f t="shared" si="566"/>
        <v>0.56999999999999973</v>
      </c>
      <c r="BZ97" s="55">
        <f t="shared" si="515"/>
        <v>11771.760000000002</v>
      </c>
      <c r="CA97" s="55">
        <f t="shared" si="516"/>
        <v>11771.760000000002</v>
      </c>
      <c r="CB97" s="59">
        <f t="shared" si="567"/>
        <v>38915.084208000007</v>
      </c>
      <c r="CC97" s="55">
        <f t="shared" si="568"/>
        <v>11418.607200000002</v>
      </c>
      <c r="CD97" s="59">
        <f t="shared" si="569"/>
        <v>37747.631681760009</v>
      </c>
      <c r="CE97" s="55">
        <f t="shared" si="570"/>
        <v>11183.172000000002</v>
      </c>
      <c r="CF97" s="59">
        <f t="shared" si="571"/>
        <v>36969.329997600005</v>
      </c>
      <c r="CG97" s="55">
        <f t="shared" si="572"/>
        <v>10947.736800000002</v>
      </c>
      <c r="CH97" s="59">
        <f t="shared" si="573"/>
        <v>36191.028313440009</v>
      </c>
      <c r="CI97" s="57">
        <f t="shared" si="574"/>
        <v>10712.301600000003</v>
      </c>
      <c r="CJ97" s="59">
        <f t="shared" si="575"/>
        <v>35412.726629280012</v>
      </c>
      <c r="CK97" s="55">
        <f t="shared" si="576"/>
        <v>10476.866400000003</v>
      </c>
      <c r="CL97" s="59">
        <f t="shared" si="577"/>
        <v>34634.424945120008</v>
      </c>
      <c r="CM97" s="57">
        <f t="shared" si="578"/>
        <v>10241.431200000001</v>
      </c>
      <c r="CN97" s="59">
        <f t="shared" si="579"/>
        <v>33856.123260960005</v>
      </c>
      <c r="CO97" s="60">
        <f t="shared" si="580"/>
        <v>10005.996000000001</v>
      </c>
      <c r="CP97" s="59">
        <f t="shared" si="581"/>
        <v>33077.821576800001</v>
      </c>
      <c r="CQ97" s="57">
        <f t="shared" si="582"/>
        <v>9770.5608000000011</v>
      </c>
      <c r="CR97" s="59">
        <f t="shared" si="583"/>
        <v>32299.519892640004</v>
      </c>
      <c r="CS97" s="55">
        <f t="shared" si="584"/>
        <v>9535.1256000000012</v>
      </c>
      <c r="CT97" s="59">
        <f t="shared" si="585"/>
        <v>31521.218208480004</v>
      </c>
      <c r="CU97" s="60">
        <f t="shared" si="586"/>
        <v>9299.6904000000013</v>
      </c>
      <c r="CV97" s="59">
        <f t="shared" si="587"/>
        <v>30742.916524320004</v>
      </c>
      <c r="CW97" s="60">
        <f t="shared" si="588"/>
        <v>9064.2551999999996</v>
      </c>
      <c r="CX97" s="59">
        <f t="shared" si="589"/>
        <v>29964.61484016</v>
      </c>
      <c r="CY97" s="60">
        <f t="shared" si="590"/>
        <v>8828.82</v>
      </c>
      <c r="CZ97" s="59">
        <f t="shared" si="591"/>
        <v>29186.313156</v>
      </c>
      <c r="DA97" s="55">
        <f t="shared" si="592"/>
        <v>8593.3847999999998</v>
      </c>
      <c r="DB97" s="59">
        <f t="shared" si="593"/>
        <v>28408.01147184</v>
      </c>
      <c r="DC97" s="60">
        <f t="shared" si="594"/>
        <v>8357.9495999999999</v>
      </c>
      <c r="DD97" s="59">
        <f t="shared" si="595"/>
        <v>27629.70978768</v>
      </c>
      <c r="DE97" s="60">
        <f t="shared" si="596"/>
        <v>8122.5143999999991</v>
      </c>
      <c r="DF97" s="59">
        <f t="shared" si="597"/>
        <v>26851.408103519996</v>
      </c>
      <c r="DG97" s="60">
        <f t="shared" si="598"/>
        <v>7887.0791999999992</v>
      </c>
      <c r="DH97" s="59">
        <f t="shared" si="599"/>
        <v>26073.10641936</v>
      </c>
      <c r="DI97" s="60">
        <f t="shared" si="600"/>
        <v>7651.6439999999993</v>
      </c>
      <c r="DJ97" s="59">
        <f t="shared" si="601"/>
        <v>25294.804735199999</v>
      </c>
      <c r="DK97" s="55">
        <f t="shared" si="602"/>
        <v>7416.2087999999985</v>
      </c>
      <c r="DL97" s="59">
        <f t="shared" si="603"/>
        <v>24516.503051039996</v>
      </c>
      <c r="DM97" s="60">
        <f t="shared" si="604"/>
        <v>7180.7735999999986</v>
      </c>
      <c r="DN97" s="59">
        <f t="shared" si="605"/>
        <v>23738.201366879995</v>
      </c>
      <c r="DO97" s="60">
        <f t="shared" si="606"/>
        <v>6945.3383999999978</v>
      </c>
      <c r="DP97" s="59">
        <f t="shared" si="607"/>
        <v>22959.899682719992</v>
      </c>
      <c r="DQ97" s="55">
        <f t="shared" si="608"/>
        <v>6709.9031999999979</v>
      </c>
      <c r="DR97" s="59">
        <f t="shared" si="609"/>
        <v>22181.597998559995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55"/>
        <v>0.91</v>
      </c>
      <c r="DZ97" s="55">
        <f t="shared" si="655"/>
        <v>0.89</v>
      </c>
      <c r="EA97" s="55">
        <f t="shared" si="655"/>
        <v>0.87</v>
      </c>
      <c r="EB97" s="55">
        <f t="shared" si="655"/>
        <v>0.85</v>
      </c>
      <c r="EC97" s="55">
        <f t="shared" si="655"/>
        <v>0.83</v>
      </c>
      <c r="ED97" s="55">
        <f t="shared" si="655"/>
        <v>0.80999999999999994</v>
      </c>
      <c r="EE97" s="55">
        <f t="shared" si="655"/>
        <v>0.78999999999999992</v>
      </c>
      <c r="EF97" s="55">
        <f t="shared" si="655"/>
        <v>0.76999999999999991</v>
      </c>
      <c r="EG97" s="55">
        <f t="shared" si="655"/>
        <v>0.74999999999999989</v>
      </c>
      <c r="EH97" s="55">
        <f t="shared" si="655"/>
        <v>0.72999999999999987</v>
      </c>
      <c r="EI97" s="55">
        <f t="shared" si="655"/>
        <v>0.70999999999999985</v>
      </c>
      <c r="EJ97" s="55">
        <f t="shared" si="655"/>
        <v>0.68999999999999984</v>
      </c>
      <c r="EK97" s="55">
        <f t="shared" si="655"/>
        <v>0.66999999999999982</v>
      </c>
      <c r="EL97" s="55">
        <f t="shared" si="655"/>
        <v>0.6499999999999998</v>
      </c>
      <c r="EM97" s="55">
        <f t="shared" si="655"/>
        <v>0.62999999999999978</v>
      </c>
      <c r="EN97" s="55">
        <f t="shared" si="655"/>
        <v>0.60999999999999976</v>
      </c>
      <c r="EO97" s="55">
        <f t="shared" si="655"/>
        <v>0.58999999999999975</v>
      </c>
      <c r="EP97" s="55">
        <f t="shared" si="655"/>
        <v>0.56999999999999973</v>
      </c>
      <c r="ER97" s="55">
        <f t="shared" si="656"/>
        <v>10712.301600000003</v>
      </c>
      <c r="ES97" s="55">
        <f t="shared" si="517"/>
        <v>10712.301600000003</v>
      </c>
      <c r="ET97" s="59">
        <f t="shared" si="610"/>
        <v>35412.726629280012</v>
      </c>
      <c r="EU97" s="55">
        <f t="shared" si="611"/>
        <v>10390.932552000002</v>
      </c>
      <c r="EV97" s="59">
        <f t="shared" si="612"/>
        <v>34350.344830401606</v>
      </c>
      <c r="EW97" s="55">
        <f t="shared" si="613"/>
        <v>10176.686520000001</v>
      </c>
      <c r="EX97" s="59">
        <f t="shared" si="614"/>
        <v>33642.090297816001</v>
      </c>
      <c r="EY97" s="55">
        <f t="shared" si="615"/>
        <v>9962.440488000002</v>
      </c>
      <c r="EZ97" s="59">
        <f t="shared" si="616"/>
        <v>32933.835765230404</v>
      </c>
      <c r="FA97" s="57">
        <f t="shared" si="617"/>
        <v>9748.1944560000029</v>
      </c>
      <c r="FB97" s="59">
        <f t="shared" si="618"/>
        <v>32225.58123264481</v>
      </c>
      <c r="FC97" s="55">
        <f t="shared" si="619"/>
        <v>9533.948424000002</v>
      </c>
      <c r="FD97" s="59">
        <f t="shared" si="620"/>
        <v>31517.326700059206</v>
      </c>
      <c r="FE97" s="57">
        <f t="shared" si="621"/>
        <v>9319.7023920000029</v>
      </c>
      <c r="FF97" s="59">
        <f t="shared" si="622"/>
        <v>30809.072167473609</v>
      </c>
      <c r="FG97" s="60">
        <f t="shared" si="623"/>
        <v>9105.456360000002</v>
      </c>
      <c r="FH97" s="59">
        <f t="shared" si="624"/>
        <v>30100.817634888008</v>
      </c>
      <c r="FI97" s="57">
        <f t="shared" si="625"/>
        <v>8891.210328000001</v>
      </c>
      <c r="FJ97" s="59">
        <f t="shared" si="626"/>
        <v>29392.563102302403</v>
      </c>
      <c r="FK97" s="55">
        <f t="shared" si="627"/>
        <v>8676.9642960000019</v>
      </c>
      <c r="FL97" s="59">
        <f t="shared" si="628"/>
        <v>28684.308569716806</v>
      </c>
      <c r="FM97" s="60">
        <f t="shared" si="629"/>
        <v>8462.718264000001</v>
      </c>
      <c r="FN97" s="59">
        <f t="shared" si="630"/>
        <v>27976.054037131205</v>
      </c>
      <c r="FO97" s="60">
        <f t="shared" si="631"/>
        <v>8248.4722320000001</v>
      </c>
      <c r="FP97" s="59">
        <f t="shared" si="632"/>
        <v>27267.799504545601</v>
      </c>
      <c r="FQ97" s="60">
        <f t="shared" si="633"/>
        <v>8034.226200000001</v>
      </c>
      <c r="FR97" s="59">
        <f t="shared" si="634"/>
        <v>26559.544971960004</v>
      </c>
      <c r="FS97" s="55">
        <f t="shared" si="635"/>
        <v>7819.980168</v>
      </c>
      <c r="FT97" s="59">
        <f t="shared" si="636"/>
        <v>25851.290439374399</v>
      </c>
      <c r="FU97" s="60">
        <f t="shared" si="637"/>
        <v>7605.734136</v>
      </c>
      <c r="FV97" s="59">
        <f t="shared" si="638"/>
        <v>25143.035906788802</v>
      </c>
      <c r="FW97" s="60">
        <f t="shared" si="639"/>
        <v>7391.488104</v>
      </c>
      <c r="FX97" s="59">
        <f t="shared" si="640"/>
        <v>24434.781374203201</v>
      </c>
      <c r="FY97" s="60">
        <f t="shared" si="641"/>
        <v>7177.242072</v>
      </c>
      <c r="FZ97" s="59">
        <f t="shared" si="642"/>
        <v>23726.5268416176</v>
      </c>
      <c r="GA97" s="60">
        <f t="shared" si="643"/>
        <v>6962.9960399999991</v>
      </c>
      <c r="GB97" s="59">
        <f t="shared" si="644"/>
        <v>23018.272309031996</v>
      </c>
      <c r="GC97" s="55">
        <f t="shared" si="645"/>
        <v>6748.7500079999991</v>
      </c>
      <c r="GD97" s="59">
        <f t="shared" si="646"/>
        <v>22310.017776446399</v>
      </c>
      <c r="GE97" s="60">
        <f t="shared" si="647"/>
        <v>6534.5039759999991</v>
      </c>
      <c r="GF97" s="59">
        <f t="shared" si="648"/>
        <v>21601.763243860798</v>
      </c>
      <c r="GG97" s="60">
        <f t="shared" si="649"/>
        <v>6320.257943999999</v>
      </c>
      <c r="GH97" s="59">
        <f t="shared" si="650"/>
        <v>20893.508711275197</v>
      </c>
      <c r="GI97" s="55">
        <f t="shared" si="651"/>
        <v>6106.0119119999981</v>
      </c>
      <c r="GJ97" s="59">
        <f t="shared" si="652"/>
        <v>20185.254178689593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57"/>
        <v>0.91</v>
      </c>
      <c r="GR97" s="55">
        <f t="shared" si="657"/>
        <v>0.89</v>
      </c>
      <c r="GS97" s="55">
        <f t="shared" si="657"/>
        <v>0.87</v>
      </c>
      <c r="GT97" s="55">
        <f t="shared" si="657"/>
        <v>0.85</v>
      </c>
      <c r="GU97" s="55">
        <f t="shared" si="657"/>
        <v>0.83</v>
      </c>
      <c r="GV97" s="55">
        <f t="shared" si="657"/>
        <v>0.80999999999999994</v>
      </c>
      <c r="GW97" s="55">
        <f t="shared" si="657"/>
        <v>0.78999999999999992</v>
      </c>
      <c r="GX97" s="55">
        <f t="shared" si="657"/>
        <v>0.76999999999999991</v>
      </c>
      <c r="GY97" s="55">
        <f t="shared" si="657"/>
        <v>0.74999999999999989</v>
      </c>
      <c r="GZ97" s="55">
        <f t="shared" si="657"/>
        <v>0.72999999999999987</v>
      </c>
      <c r="HA97" s="55">
        <f t="shared" si="657"/>
        <v>0.70999999999999985</v>
      </c>
      <c r="HB97" s="55">
        <f t="shared" si="657"/>
        <v>0.68999999999999984</v>
      </c>
      <c r="HC97" s="55">
        <f t="shared" si="657"/>
        <v>0.66999999999999982</v>
      </c>
      <c r="HD97" s="55">
        <f t="shared" si="657"/>
        <v>0.6499999999999998</v>
      </c>
      <c r="HE97" s="55">
        <f t="shared" si="657"/>
        <v>0.62999999999999978</v>
      </c>
      <c r="HF97" s="55">
        <f t="shared" si="657"/>
        <v>0.60999999999999976</v>
      </c>
      <c r="HG97" s="55">
        <f t="shared" si="657"/>
        <v>0.58999999999999975</v>
      </c>
      <c r="HH97" s="55">
        <f t="shared" si="657"/>
        <v>0.56999999999999973</v>
      </c>
    </row>
    <row r="98" spans="1:216" x14ac:dyDescent="0.3">
      <c r="A98" s="2">
        <v>7</v>
      </c>
      <c r="C98" s="38" t="s">
        <v>45</v>
      </c>
      <c r="D98" s="42">
        <f>TRUNC(4212,-1)</f>
        <v>4210</v>
      </c>
      <c r="E98" s="71">
        <f t="shared" si="522"/>
        <v>13910</v>
      </c>
      <c r="H98" s="55">
        <f t="shared" si="523"/>
        <v>4631</v>
      </c>
      <c r="I98" s="55">
        <f t="shared" si="513"/>
        <v>4631</v>
      </c>
      <c r="J98" s="59">
        <f t="shared" si="514"/>
        <v>15309.159799999999</v>
      </c>
      <c r="K98" s="55">
        <f t="shared" si="524"/>
        <v>4492.07</v>
      </c>
      <c r="L98" s="59">
        <f t="shared" si="525"/>
        <v>14849.885005999999</v>
      </c>
      <c r="M98" s="55">
        <f t="shared" si="526"/>
        <v>4399.45</v>
      </c>
      <c r="N98" s="59">
        <f t="shared" si="527"/>
        <v>14543.70181</v>
      </c>
      <c r="O98" s="55">
        <f t="shared" si="528"/>
        <v>4306.83</v>
      </c>
      <c r="P98" s="59">
        <f t="shared" si="529"/>
        <v>14237.518614000001</v>
      </c>
      <c r="Q98" s="57">
        <f t="shared" si="530"/>
        <v>4214.21</v>
      </c>
      <c r="R98" s="59">
        <f t="shared" si="531"/>
        <v>13931.335418000001</v>
      </c>
      <c r="S98" s="55">
        <f t="shared" si="532"/>
        <v>4121.59</v>
      </c>
      <c r="T98" s="59">
        <f t="shared" si="533"/>
        <v>13625.152222000001</v>
      </c>
      <c r="U98" s="57">
        <f t="shared" si="534"/>
        <v>4028.97</v>
      </c>
      <c r="V98" s="59">
        <f t="shared" si="535"/>
        <v>13318.969025999999</v>
      </c>
      <c r="W98" s="60">
        <f t="shared" si="536"/>
        <v>3936.35</v>
      </c>
      <c r="X98" s="59">
        <f t="shared" si="537"/>
        <v>13012.785830000001</v>
      </c>
      <c r="Y98" s="57">
        <f t="shared" si="538"/>
        <v>3843.73</v>
      </c>
      <c r="Z98" s="59">
        <f t="shared" si="539"/>
        <v>12706.602634000001</v>
      </c>
      <c r="AA98" s="55">
        <f t="shared" si="540"/>
        <v>3751.1099999999997</v>
      </c>
      <c r="AB98" s="59">
        <f t="shared" si="541"/>
        <v>12400.419437999999</v>
      </c>
      <c r="AC98" s="60">
        <f t="shared" si="542"/>
        <v>3658.49</v>
      </c>
      <c r="AD98" s="59">
        <f t="shared" si="543"/>
        <v>12094.236241999999</v>
      </c>
      <c r="AE98" s="60">
        <f t="shared" si="544"/>
        <v>3565.8699999999994</v>
      </c>
      <c r="AF98" s="59">
        <f t="shared" si="545"/>
        <v>11788.053045999999</v>
      </c>
      <c r="AG98" s="60">
        <f t="shared" si="546"/>
        <v>3473.2499999999995</v>
      </c>
      <c r="AH98" s="59">
        <f t="shared" si="547"/>
        <v>11481.869849999999</v>
      </c>
      <c r="AI98" s="55">
        <f t="shared" si="548"/>
        <v>3380.6299999999992</v>
      </c>
      <c r="AJ98" s="59">
        <f t="shared" si="549"/>
        <v>11175.686653999997</v>
      </c>
      <c r="AK98" s="60">
        <f t="shared" si="550"/>
        <v>3288.0099999999993</v>
      </c>
      <c r="AL98" s="59">
        <f t="shared" si="551"/>
        <v>10869.503457999997</v>
      </c>
      <c r="AM98" s="60">
        <f t="shared" si="552"/>
        <v>3195.3899999999994</v>
      </c>
      <c r="AN98" s="59">
        <f t="shared" si="553"/>
        <v>10563.320261999997</v>
      </c>
      <c r="AO98" s="60">
        <f t="shared" si="554"/>
        <v>3102.7699999999991</v>
      </c>
      <c r="AP98" s="59">
        <f t="shared" si="555"/>
        <v>10257.137065999998</v>
      </c>
      <c r="AQ98" s="60">
        <f t="shared" si="556"/>
        <v>3010.1499999999992</v>
      </c>
      <c r="AR98" s="59">
        <f t="shared" si="557"/>
        <v>9950.9538699999976</v>
      </c>
      <c r="AS98" s="55">
        <f t="shared" si="558"/>
        <v>2917.5299999999988</v>
      </c>
      <c r="AT98" s="59">
        <f t="shared" si="559"/>
        <v>9644.7706739999958</v>
      </c>
      <c r="AU98" s="60">
        <f t="shared" si="560"/>
        <v>2824.9099999999989</v>
      </c>
      <c r="AV98" s="59">
        <f t="shared" si="561"/>
        <v>9338.5874779999958</v>
      </c>
      <c r="AW98" s="60">
        <f t="shared" si="562"/>
        <v>2732.2899999999991</v>
      </c>
      <c r="AX98" s="59">
        <f t="shared" si="563"/>
        <v>9032.4042819999977</v>
      </c>
      <c r="AY98" s="55">
        <f t="shared" si="564"/>
        <v>2639.6699999999987</v>
      </c>
      <c r="AZ98" s="59">
        <f t="shared" si="565"/>
        <v>8726.2210859999959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66"/>
        <v>0.91</v>
      </c>
      <c r="BH98" s="55">
        <f t="shared" si="566"/>
        <v>0.89</v>
      </c>
      <c r="BI98" s="55">
        <f t="shared" si="566"/>
        <v>0.87</v>
      </c>
      <c r="BJ98" s="55">
        <f t="shared" si="566"/>
        <v>0.85</v>
      </c>
      <c r="BK98" s="55">
        <f t="shared" si="566"/>
        <v>0.83</v>
      </c>
      <c r="BL98" s="55">
        <f t="shared" si="566"/>
        <v>0.80999999999999994</v>
      </c>
      <c r="BM98" s="55">
        <f t="shared" si="566"/>
        <v>0.78999999999999992</v>
      </c>
      <c r="BN98" s="55">
        <f t="shared" si="566"/>
        <v>0.76999999999999991</v>
      </c>
      <c r="BO98" s="55">
        <f t="shared" si="566"/>
        <v>0.74999999999999989</v>
      </c>
      <c r="BP98" s="55">
        <f t="shared" si="566"/>
        <v>0.72999999999999987</v>
      </c>
      <c r="BQ98" s="55">
        <f t="shared" si="566"/>
        <v>0.70999999999999985</v>
      </c>
      <c r="BR98" s="55">
        <f t="shared" si="566"/>
        <v>0.68999999999999984</v>
      </c>
      <c r="BS98" s="55">
        <f t="shared" si="566"/>
        <v>0.66999999999999982</v>
      </c>
      <c r="BT98" s="55">
        <f t="shared" si="566"/>
        <v>0.6499999999999998</v>
      </c>
      <c r="BU98" s="55">
        <f t="shared" si="566"/>
        <v>0.62999999999999978</v>
      </c>
      <c r="BV98" s="55">
        <f t="shared" si="566"/>
        <v>0.60999999999999976</v>
      </c>
      <c r="BW98" s="55">
        <f t="shared" si="566"/>
        <v>0.58999999999999975</v>
      </c>
      <c r="BX98" s="55">
        <f t="shared" si="566"/>
        <v>0.56999999999999973</v>
      </c>
      <c r="BZ98" s="55">
        <f t="shared" si="515"/>
        <v>4214.21</v>
      </c>
      <c r="CA98" s="55">
        <f t="shared" si="516"/>
        <v>4214.21</v>
      </c>
      <c r="CB98" s="59">
        <f t="shared" si="567"/>
        <v>13931.335418000001</v>
      </c>
      <c r="CC98" s="55">
        <f t="shared" si="568"/>
        <v>4087.7837</v>
      </c>
      <c r="CD98" s="59">
        <f t="shared" si="569"/>
        <v>13513.395355459999</v>
      </c>
      <c r="CE98" s="55">
        <f t="shared" si="570"/>
        <v>4003.4994999999999</v>
      </c>
      <c r="CF98" s="59">
        <f t="shared" si="571"/>
        <v>13234.7686471</v>
      </c>
      <c r="CG98" s="55">
        <f t="shared" si="572"/>
        <v>3919.2153000000003</v>
      </c>
      <c r="CH98" s="59">
        <f t="shared" si="573"/>
        <v>12956.141938740002</v>
      </c>
      <c r="CI98" s="57">
        <f t="shared" si="574"/>
        <v>3834.9311000000002</v>
      </c>
      <c r="CJ98" s="59">
        <f t="shared" si="575"/>
        <v>12677.515230380001</v>
      </c>
      <c r="CK98" s="55">
        <f t="shared" si="576"/>
        <v>3750.6469000000002</v>
      </c>
      <c r="CL98" s="59">
        <f t="shared" si="577"/>
        <v>12398.888522020001</v>
      </c>
      <c r="CM98" s="57">
        <f t="shared" si="578"/>
        <v>3666.3627000000001</v>
      </c>
      <c r="CN98" s="59">
        <f t="shared" si="579"/>
        <v>12120.261813660001</v>
      </c>
      <c r="CO98" s="60">
        <f t="shared" si="580"/>
        <v>3582.0785000000001</v>
      </c>
      <c r="CP98" s="59">
        <f t="shared" si="581"/>
        <v>11841.6351053</v>
      </c>
      <c r="CQ98" s="57">
        <f t="shared" si="582"/>
        <v>3497.7943</v>
      </c>
      <c r="CR98" s="59">
        <f t="shared" si="583"/>
        <v>11563.00839694</v>
      </c>
      <c r="CS98" s="55">
        <f t="shared" si="584"/>
        <v>3413.5101</v>
      </c>
      <c r="CT98" s="59">
        <f t="shared" si="585"/>
        <v>11284.381688580001</v>
      </c>
      <c r="CU98" s="60">
        <f t="shared" si="586"/>
        <v>3329.2258999999999</v>
      </c>
      <c r="CV98" s="59">
        <f t="shared" si="587"/>
        <v>11005.754980219999</v>
      </c>
      <c r="CW98" s="60">
        <f t="shared" si="588"/>
        <v>3244.9416999999999</v>
      </c>
      <c r="CX98" s="59">
        <f t="shared" si="589"/>
        <v>10727.12827186</v>
      </c>
      <c r="CY98" s="60">
        <f t="shared" si="590"/>
        <v>3160.6574999999993</v>
      </c>
      <c r="CZ98" s="59">
        <f t="shared" si="591"/>
        <v>10448.501563499998</v>
      </c>
      <c r="DA98" s="55">
        <f t="shared" si="592"/>
        <v>3076.3732999999993</v>
      </c>
      <c r="DB98" s="59">
        <f t="shared" si="593"/>
        <v>10169.874855139999</v>
      </c>
      <c r="DC98" s="60">
        <f t="shared" si="594"/>
        <v>2992.0890999999992</v>
      </c>
      <c r="DD98" s="59">
        <f t="shared" si="595"/>
        <v>9891.2481467799971</v>
      </c>
      <c r="DE98" s="60">
        <f t="shared" si="596"/>
        <v>2907.8048999999992</v>
      </c>
      <c r="DF98" s="59">
        <f t="shared" si="597"/>
        <v>9612.6214384199975</v>
      </c>
      <c r="DG98" s="60">
        <f t="shared" si="598"/>
        <v>2823.5206999999991</v>
      </c>
      <c r="DH98" s="59">
        <f t="shared" si="599"/>
        <v>9333.9947300599979</v>
      </c>
      <c r="DI98" s="60">
        <f t="shared" si="600"/>
        <v>2739.2364999999991</v>
      </c>
      <c r="DJ98" s="59">
        <f t="shared" si="601"/>
        <v>9055.3680216999965</v>
      </c>
      <c r="DK98" s="55">
        <f t="shared" si="602"/>
        <v>2654.952299999999</v>
      </c>
      <c r="DL98" s="59">
        <f t="shared" si="603"/>
        <v>8776.7413133399969</v>
      </c>
      <c r="DM98" s="60">
        <f t="shared" si="604"/>
        <v>2570.668099999999</v>
      </c>
      <c r="DN98" s="59">
        <f t="shared" si="605"/>
        <v>8498.1146049799972</v>
      </c>
      <c r="DO98" s="60">
        <f t="shared" si="606"/>
        <v>2486.3838999999989</v>
      </c>
      <c r="DP98" s="59">
        <f t="shared" si="607"/>
        <v>8219.4878966199958</v>
      </c>
      <c r="DQ98" s="55">
        <f t="shared" si="608"/>
        <v>2402.0996999999988</v>
      </c>
      <c r="DR98" s="59">
        <f t="shared" si="609"/>
        <v>7940.8611882599962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55"/>
        <v>0.91</v>
      </c>
      <c r="DZ98" s="55">
        <f t="shared" si="655"/>
        <v>0.89</v>
      </c>
      <c r="EA98" s="55">
        <f t="shared" si="655"/>
        <v>0.87</v>
      </c>
      <c r="EB98" s="55">
        <f t="shared" si="655"/>
        <v>0.85</v>
      </c>
      <c r="EC98" s="55">
        <f t="shared" si="655"/>
        <v>0.83</v>
      </c>
      <c r="ED98" s="55">
        <f t="shared" si="655"/>
        <v>0.80999999999999994</v>
      </c>
      <c r="EE98" s="55">
        <f t="shared" si="655"/>
        <v>0.78999999999999992</v>
      </c>
      <c r="EF98" s="55">
        <f t="shared" si="655"/>
        <v>0.76999999999999991</v>
      </c>
      <c r="EG98" s="55">
        <f t="shared" si="655"/>
        <v>0.74999999999999989</v>
      </c>
      <c r="EH98" s="55">
        <f t="shared" si="655"/>
        <v>0.72999999999999987</v>
      </c>
      <c r="EI98" s="55">
        <f t="shared" si="655"/>
        <v>0.70999999999999985</v>
      </c>
      <c r="EJ98" s="55">
        <f t="shared" si="655"/>
        <v>0.68999999999999984</v>
      </c>
      <c r="EK98" s="55">
        <f t="shared" si="655"/>
        <v>0.66999999999999982</v>
      </c>
      <c r="EL98" s="55">
        <f t="shared" si="655"/>
        <v>0.6499999999999998</v>
      </c>
      <c r="EM98" s="55">
        <f t="shared" si="655"/>
        <v>0.62999999999999978</v>
      </c>
      <c r="EN98" s="55">
        <f t="shared" si="655"/>
        <v>0.60999999999999976</v>
      </c>
      <c r="EO98" s="55">
        <f t="shared" si="655"/>
        <v>0.58999999999999975</v>
      </c>
      <c r="EP98" s="55">
        <f t="shared" si="655"/>
        <v>0.56999999999999973</v>
      </c>
      <c r="ER98" s="55">
        <f t="shared" si="656"/>
        <v>3834.9311000000002</v>
      </c>
      <c r="ES98" s="55">
        <f t="shared" si="517"/>
        <v>3834.9311000000002</v>
      </c>
      <c r="ET98" s="59">
        <f t="shared" si="610"/>
        <v>12677.515230380001</v>
      </c>
      <c r="EU98" s="55">
        <f t="shared" si="611"/>
        <v>3719.883167</v>
      </c>
      <c r="EV98" s="59">
        <f t="shared" si="612"/>
        <v>12297.189773468601</v>
      </c>
      <c r="EW98" s="55">
        <f t="shared" si="613"/>
        <v>3643.1845450000001</v>
      </c>
      <c r="EX98" s="59">
        <f t="shared" si="614"/>
        <v>12043.639468861</v>
      </c>
      <c r="EY98" s="55">
        <f t="shared" si="615"/>
        <v>3566.4859230000006</v>
      </c>
      <c r="EZ98" s="59">
        <f t="shared" si="616"/>
        <v>11790.089164253402</v>
      </c>
      <c r="FA98" s="57">
        <f t="shared" si="617"/>
        <v>3489.7873010000003</v>
      </c>
      <c r="FB98" s="59">
        <f t="shared" si="618"/>
        <v>11536.538859645801</v>
      </c>
      <c r="FC98" s="55">
        <f t="shared" si="619"/>
        <v>3413.0886790000004</v>
      </c>
      <c r="FD98" s="59">
        <f t="shared" si="620"/>
        <v>11282.988555038202</v>
      </c>
      <c r="FE98" s="57">
        <f t="shared" si="621"/>
        <v>3336.3900570000001</v>
      </c>
      <c r="FF98" s="59">
        <f t="shared" si="622"/>
        <v>11029.438250430601</v>
      </c>
      <c r="FG98" s="60">
        <f t="shared" si="623"/>
        <v>3259.6914350000002</v>
      </c>
      <c r="FH98" s="59">
        <f t="shared" si="624"/>
        <v>10775.887945823</v>
      </c>
      <c r="FI98" s="57">
        <f t="shared" si="625"/>
        <v>3182.9928129999998</v>
      </c>
      <c r="FJ98" s="59">
        <f t="shared" si="626"/>
        <v>10522.337641215399</v>
      </c>
      <c r="FK98" s="55">
        <f t="shared" si="627"/>
        <v>3106.294191</v>
      </c>
      <c r="FL98" s="59">
        <f t="shared" si="628"/>
        <v>10268.7873366078</v>
      </c>
      <c r="FM98" s="60">
        <f t="shared" si="629"/>
        <v>3029.5955690000001</v>
      </c>
      <c r="FN98" s="59">
        <f t="shared" si="630"/>
        <v>10015.237032000201</v>
      </c>
      <c r="FO98" s="60">
        <f t="shared" si="631"/>
        <v>2952.8969469999997</v>
      </c>
      <c r="FP98" s="59">
        <f t="shared" si="632"/>
        <v>9761.6867273926</v>
      </c>
      <c r="FQ98" s="60">
        <f t="shared" si="633"/>
        <v>2876.1983249999998</v>
      </c>
      <c r="FR98" s="59">
        <f t="shared" si="634"/>
        <v>9508.136422784999</v>
      </c>
      <c r="FS98" s="55">
        <f t="shared" si="635"/>
        <v>2799.4997029999995</v>
      </c>
      <c r="FT98" s="59">
        <f t="shared" si="636"/>
        <v>9254.586118177398</v>
      </c>
      <c r="FU98" s="60">
        <f t="shared" si="637"/>
        <v>2722.8010809999996</v>
      </c>
      <c r="FV98" s="59">
        <f t="shared" si="638"/>
        <v>9001.0358135697988</v>
      </c>
      <c r="FW98" s="60">
        <f t="shared" si="639"/>
        <v>2646.1024589999997</v>
      </c>
      <c r="FX98" s="59">
        <f t="shared" si="640"/>
        <v>8747.4855089621997</v>
      </c>
      <c r="FY98" s="60">
        <f t="shared" si="641"/>
        <v>2569.4038369999994</v>
      </c>
      <c r="FZ98" s="59">
        <f t="shared" si="642"/>
        <v>8493.9352043545987</v>
      </c>
      <c r="GA98" s="60">
        <f t="shared" si="643"/>
        <v>2492.7052149999995</v>
      </c>
      <c r="GB98" s="59">
        <f t="shared" si="644"/>
        <v>8240.3848997469977</v>
      </c>
      <c r="GC98" s="55">
        <f t="shared" si="645"/>
        <v>2416.0065929999992</v>
      </c>
      <c r="GD98" s="59">
        <f t="shared" si="646"/>
        <v>7986.8345951393976</v>
      </c>
      <c r="GE98" s="60">
        <f t="shared" si="647"/>
        <v>2339.3079709999993</v>
      </c>
      <c r="GF98" s="59">
        <f t="shared" si="648"/>
        <v>7733.2842905317975</v>
      </c>
      <c r="GG98" s="60">
        <f t="shared" si="649"/>
        <v>2262.6093489999994</v>
      </c>
      <c r="GH98" s="59">
        <f t="shared" si="650"/>
        <v>7479.7339859241984</v>
      </c>
      <c r="GI98" s="55">
        <f t="shared" si="651"/>
        <v>2185.910726999999</v>
      </c>
      <c r="GJ98" s="59">
        <f t="shared" si="652"/>
        <v>7226.1836813165974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57"/>
        <v>0.91</v>
      </c>
      <c r="GR98" s="55">
        <f t="shared" si="657"/>
        <v>0.89</v>
      </c>
      <c r="GS98" s="55">
        <f t="shared" si="657"/>
        <v>0.87</v>
      </c>
      <c r="GT98" s="55">
        <f t="shared" si="657"/>
        <v>0.85</v>
      </c>
      <c r="GU98" s="55">
        <f t="shared" si="657"/>
        <v>0.83</v>
      </c>
      <c r="GV98" s="55">
        <f t="shared" si="657"/>
        <v>0.80999999999999994</v>
      </c>
      <c r="GW98" s="55">
        <f t="shared" si="657"/>
        <v>0.78999999999999992</v>
      </c>
      <c r="GX98" s="55">
        <f t="shared" si="657"/>
        <v>0.76999999999999991</v>
      </c>
      <c r="GY98" s="55">
        <f t="shared" si="657"/>
        <v>0.74999999999999989</v>
      </c>
      <c r="GZ98" s="55">
        <f t="shared" si="657"/>
        <v>0.72999999999999987</v>
      </c>
      <c r="HA98" s="55">
        <f t="shared" si="657"/>
        <v>0.70999999999999985</v>
      </c>
      <c r="HB98" s="55">
        <f t="shared" si="657"/>
        <v>0.68999999999999984</v>
      </c>
      <c r="HC98" s="55">
        <f t="shared" si="657"/>
        <v>0.66999999999999982</v>
      </c>
      <c r="HD98" s="55">
        <f t="shared" si="657"/>
        <v>0.6499999999999998</v>
      </c>
      <c r="HE98" s="55">
        <f t="shared" si="657"/>
        <v>0.62999999999999978</v>
      </c>
      <c r="HF98" s="55">
        <f t="shared" si="657"/>
        <v>0.60999999999999976</v>
      </c>
      <c r="HG98" s="55">
        <f t="shared" si="657"/>
        <v>0.58999999999999975</v>
      </c>
      <c r="HH98" s="55">
        <f t="shared" si="657"/>
        <v>0.56999999999999973</v>
      </c>
    </row>
    <row r="99" spans="1:216" x14ac:dyDescent="0.3">
      <c r="A99" s="2">
        <v>8</v>
      </c>
      <c r="C99" s="38" t="s">
        <v>46</v>
      </c>
      <c r="D99" s="42">
        <f>TRUNC(7957,-1)</f>
        <v>7950</v>
      </c>
      <c r="E99" s="71">
        <f t="shared" si="522"/>
        <v>26280</v>
      </c>
      <c r="H99" s="55">
        <f t="shared" si="523"/>
        <v>8745</v>
      </c>
      <c r="I99" s="55">
        <f t="shared" si="513"/>
        <v>8745</v>
      </c>
      <c r="J99" s="59">
        <f t="shared" si="514"/>
        <v>28909.221000000001</v>
      </c>
      <c r="K99" s="55">
        <f t="shared" si="524"/>
        <v>8482.65</v>
      </c>
      <c r="L99" s="59">
        <f t="shared" si="525"/>
        <v>28041.944370000001</v>
      </c>
      <c r="M99" s="55">
        <f t="shared" si="526"/>
        <v>8307.75</v>
      </c>
      <c r="N99" s="59">
        <f t="shared" si="527"/>
        <v>27463.75995</v>
      </c>
      <c r="O99" s="55">
        <f t="shared" si="528"/>
        <v>8132.85</v>
      </c>
      <c r="P99" s="59">
        <f t="shared" si="529"/>
        <v>26885.575530000002</v>
      </c>
      <c r="Q99" s="57">
        <f t="shared" si="530"/>
        <v>7957.95</v>
      </c>
      <c r="R99" s="59">
        <f t="shared" si="531"/>
        <v>26307.39111</v>
      </c>
      <c r="S99" s="55">
        <f t="shared" si="532"/>
        <v>7783.05</v>
      </c>
      <c r="T99" s="59">
        <f t="shared" si="533"/>
        <v>25729.206690000003</v>
      </c>
      <c r="U99" s="57">
        <f t="shared" si="534"/>
        <v>7608.15</v>
      </c>
      <c r="V99" s="59">
        <f t="shared" si="535"/>
        <v>25151.022269999998</v>
      </c>
      <c r="W99" s="60">
        <f t="shared" si="536"/>
        <v>7433.25</v>
      </c>
      <c r="X99" s="59">
        <f t="shared" si="537"/>
        <v>24572.83785</v>
      </c>
      <c r="Y99" s="57">
        <f t="shared" si="538"/>
        <v>7258.3499999999995</v>
      </c>
      <c r="Z99" s="59">
        <f t="shared" si="539"/>
        <v>23994.653429999998</v>
      </c>
      <c r="AA99" s="55">
        <f t="shared" si="540"/>
        <v>7083.45</v>
      </c>
      <c r="AB99" s="59">
        <f t="shared" si="541"/>
        <v>23416.469010000001</v>
      </c>
      <c r="AC99" s="60">
        <f t="shared" si="542"/>
        <v>6908.5499999999993</v>
      </c>
      <c r="AD99" s="59">
        <f t="shared" si="543"/>
        <v>22838.284589999999</v>
      </c>
      <c r="AE99" s="60">
        <f t="shared" si="544"/>
        <v>6733.65</v>
      </c>
      <c r="AF99" s="59">
        <f t="shared" si="545"/>
        <v>22260.100169999998</v>
      </c>
      <c r="AG99" s="60">
        <f t="shared" si="546"/>
        <v>6558.7499999999991</v>
      </c>
      <c r="AH99" s="59">
        <f t="shared" si="547"/>
        <v>21681.915749999996</v>
      </c>
      <c r="AI99" s="55">
        <f t="shared" si="548"/>
        <v>6383.8499999999985</v>
      </c>
      <c r="AJ99" s="59">
        <f t="shared" si="549"/>
        <v>21103.731329999995</v>
      </c>
      <c r="AK99" s="60">
        <f t="shared" si="550"/>
        <v>6208.9499999999989</v>
      </c>
      <c r="AL99" s="59">
        <f t="shared" si="551"/>
        <v>20525.546909999997</v>
      </c>
      <c r="AM99" s="60">
        <f t="shared" si="552"/>
        <v>6034.0499999999984</v>
      </c>
      <c r="AN99" s="59">
        <f t="shared" si="553"/>
        <v>19947.362489999996</v>
      </c>
      <c r="AO99" s="60">
        <f t="shared" si="554"/>
        <v>5859.1499999999987</v>
      </c>
      <c r="AP99" s="59">
        <f t="shared" si="555"/>
        <v>19369.178069999994</v>
      </c>
      <c r="AQ99" s="60">
        <f t="shared" si="556"/>
        <v>5684.2499999999982</v>
      </c>
      <c r="AR99" s="59">
        <f t="shared" si="557"/>
        <v>18790.993649999993</v>
      </c>
      <c r="AS99" s="55">
        <f t="shared" si="558"/>
        <v>5509.3499999999985</v>
      </c>
      <c r="AT99" s="59">
        <f t="shared" si="559"/>
        <v>18212.809229999995</v>
      </c>
      <c r="AU99" s="60">
        <f t="shared" si="560"/>
        <v>5334.449999999998</v>
      </c>
      <c r="AV99" s="59">
        <f t="shared" si="561"/>
        <v>17634.624809999994</v>
      </c>
      <c r="AW99" s="60">
        <f t="shared" si="562"/>
        <v>5159.5499999999975</v>
      </c>
      <c r="AX99" s="59">
        <f t="shared" si="563"/>
        <v>17056.440389999992</v>
      </c>
      <c r="AY99" s="55">
        <f t="shared" si="564"/>
        <v>4984.6499999999978</v>
      </c>
      <c r="AZ99" s="59">
        <f t="shared" si="565"/>
        <v>16478.255969999995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66"/>
        <v>0.91</v>
      </c>
      <c r="BH99" s="55">
        <f t="shared" si="566"/>
        <v>0.89</v>
      </c>
      <c r="BI99" s="55">
        <f t="shared" si="566"/>
        <v>0.87</v>
      </c>
      <c r="BJ99" s="55">
        <f t="shared" si="566"/>
        <v>0.85</v>
      </c>
      <c r="BK99" s="55">
        <f t="shared" si="566"/>
        <v>0.83</v>
      </c>
      <c r="BL99" s="55">
        <f t="shared" si="566"/>
        <v>0.80999999999999994</v>
      </c>
      <c r="BM99" s="55">
        <f t="shared" si="566"/>
        <v>0.78999999999999992</v>
      </c>
      <c r="BN99" s="55">
        <f t="shared" si="566"/>
        <v>0.76999999999999991</v>
      </c>
      <c r="BO99" s="55">
        <f t="shared" si="566"/>
        <v>0.74999999999999989</v>
      </c>
      <c r="BP99" s="55">
        <f t="shared" si="566"/>
        <v>0.72999999999999987</v>
      </c>
      <c r="BQ99" s="55">
        <f t="shared" si="566"/>
        <v>0.70999999999999985</v>
      </c>
      <c r="BR99" s="55">
        <f t="shared" si="566"/>
        <v>0.68999999999999984</v>
      </c>
      <c r="BS99" s="55">
        <f t="shared" si="566"/>
        <v>0.66999999999999982</v>
      </c>
      <c r="BT99" s="55">
        <f t="shared" si="566"/>
        <v>0.6499999999999998</v>
      </c>
      <c r="BU99" s="55">
        <f t="shared" si="566"/>
        <v>0.62999999999999978</v>
      </c>
      <c r="BV99" s="55">
        <f t="shared" si="566"/>
        <v>0.60999999999999976</v>
      </c>
      <c r="BW99" s="55">
        <f t="shared" si="566"/>
        <v>0.58999999999999975</v>
      </c>
      <c r="BX99" s="55">
        <f t="shared" si="566"/>
        <v>0.56999999999999973</v>
      </c>
      <c r="BZ99" s="55">
        <f t="shared" si="515"/>
        <v>7957.95</v>
      </c>
      <c r="CA99" s="55">
        <f t="shared" si="516"/>
        <v>7957.95</v>
      </c>
      <c r="CB99" s="59">
        <f t="shared" si="567"/>
        <v>26307.39111</v>
      </c>
      <c r="CC99" s="55">
        <f t="shared" si="568"/>
        <v>7719.2114999999994</v>
      </c>
      <c r="CD99" s="59">
        <f t="shared" si="569"/>
        <v>25518.1693767</v>
      </c>
      <c r="CE99" s="55">
        <f t="shared" si="570"/>
        <v>7560.0524999999998</v>
      </c>
      <c r="CF99" s="59">
        <f t="shared" si="571"/>
        <v>24992.021554499999</v>
      </c>
      <c r="CG99" s="55">
        <f t="shared" si="572"/>
        <v>7400.8935000000001</v>
      </c>
      <c r="CH99" s="59">
        <f t="shared" si="573"/>
        <v>24465.873732300002</v>
      </c>
      <c r="CI99" s="57">
        <f t="shared" si="574"/>
        <v>7241.7345000000005</v>
      </c>
      <c r="CJ99" s="59">
        <f t="shared" si="575"/>
        <v>23939.725910100002</v>
      </c>
      <c r="CK99" s="55">
        <f t="shared" si="576"/>
        <v>7082.5754999999999</v>
      </c>
      <c r="CL99" s="59">
        <f t="shared" si="577"/>
        <v>23413.578087900001</v>
      </c>
      <c r="CM99" s="57">
        <f t="shared" si="578"/>
        <v>6923.4164999999994</v>
      </c>
      <c r="CN99" s="59">
        <f t="shared" si="579"/>
        <v>22887.430265699997</v>
      </c>
      <c r="CO99" s="60">
        <f t="shared" si="580"/>
        <v>6764.2574999999997</v>
      </c>
      <c r="CP99" s="59">
        <f t="shared" si="581"/>
        <v>22361.2824435</v>
      </c>
      <c r="CQ99" s="57">
        <f t="shared" si="582"/>
        <v>6605.0984999999991</v>
      </c>
      <c r="CR99" s="59">
        <f t="shared" si="583"/>
        <v>21835.134621299996</v>
      </c>
      <c r="CS99" s="55">
        <f t="shared" si="584"/>
        <v>6445.9394999999995</v>
      </c>
      <c r="CT99" s="59">
        <f t="shared" si="585"/>
        <v>21308.986799099999</v>
      </c>
      <c r="CU99" s="60">
        <f t="shared" si="586"/>
        <v>6286.7804999999989</v>
      </c>
      <c r="CV99" s="59">
        <f t="shared" si="587"/>
        <v>20782.838976899999</v>
      </c>
      <c r="CW99" s="60">
        <f t="shared" si="588"/>
        <v>6127.6214999999993</v>
      </c>
      <c r="CX99" s="59">
        <f t="shared" si="589"/>
        <v>20256.691154699998</v>
      </c>
      <c r="CY99" s="60">
        <f t="shared" si="590"/>
        <v>5968.4624999999987</v>
      </c>
      <c r="CZ99" s="59">
        <f t="shared" si="591"/>
        <v>19730.543332499998</v>
      </c>
      <c r="DA99" s="55">
        <f t="shared" si="592"/>
        <v>5809.3034999999991</v>
      </c>
      <c r="DB99" s="59">
        <f t="shared" si="593"/>
        <v>19204.395510299997</v>
      </c>
      <c r="DC99" s="60">
        <f t="shared" si="594"/>
        <v>5650.1444999999985</v>
      </c>
      <c r="DD99" s="59">
        <f t="shared" si="595"/>
        <v>18678.247688099997</v>
      </c>
      <c r="DE99" s="60">
        <f t="shared" si="596"/>
        <v>5490.9854999999989</v>
      </c>
      <c r="DF99" s="59">
        <f t="shared" si="597"/>
        <v>18152.099865899996</v>
      </c>
      <c r="DG99" s="60">
        <f t="shared" si="598"/>
        <v>5331.8264999999983</v>
      </c>
      <c r="DH99" s="59">
        <f t="shared" si="599"/>
        <v>17625.952043699996</v>
      </c>
      <c r="DI99" s="60">
        <f t="shared" si="600"/>
        <v>5172.6674999999987</v>
      </c>
      <c r="DJ99" s="59">
        <f t="shared" si="601"/>
        <v>17099.804221499995</v>
      </c>
      <c r="DK99" s="55">
        <f t="shared" si="602"/>
        <v>5013.5084999999981</v>
      </c>
      <c r="DL99" s="59">
        <f t="shared" si="603"/>
        <v>16573.656399299995</v>
      </c>
      <c r="DM99" s="60">
        <f t="shared" si="604"/>
        <v>4854.3494999999984</v>
      </c>
      <c r="DN99" s="59">
        <f t="shared" si="605"/>
        <v>16047.508577099996</v>
      </c>
      <c r="DO99" s="60">
        <f t="shared" si="606"/>
        <v>4695.1904999999979</v>
      </c>
      <c r="DP99" s="59">
        <f t="shared" si="607"/>
        <v>15521.360754899993</v>
      </c>
      <c r="DQ99" s="55">
        <f t="shared" si="608"/>
        <v>4536.0314999999973</v>
      </c>
      <c r="DR99" s="59">
        <f t="shared" si="609"/>
        <v>14995.212932699991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55"/>
        <v>0.91</v>
      </c>
      <c r="DZ99" s="55">
        <f t="shared" si="655"/>
        <v>0.89</v>
      </c>
      <c r="EA99" s="55">
        <f t="shared" si="655"/>
        <v>0.87</v>
      </c>
      <c r="EB99" s="55">
        <f t="shared" si="655"/>
        <v>0.85</v>
      </c>
      <c r="EC99" s="55">
        <f t="shared" si="655"/>
        <v>0.83</v>
      </c>
      <c r="ED99" s="55">
        <f t="shared" si="655"/>
        <v>0.80999999999999994</v>
      </c>
      <c r="EE99" s="55">
        <f t="shared" si="655"/>
        <v>0.78999999999999992</v>
      </c>
      <c r="EF99" s="55">
        <f t="shared" si="655"/>
        <v>0.76999999999999991</v>
      </c>
      <c r="EG99" s="55">
        <f t="shared" si="655"/>
        <v>0.74999999999999989</v>
      </c>
      <c r="EH99" s="55">
        <f t="shared" si="655"/>
        <v>0.72999999999999987</v>
      </c>
      <c r="EI99" s="55">
        <f t="shared" si="655"/>
        <v>0.70999999999999985</v>
      </c>
      <c r="EJ99" s="55">
        <f t="shared" si="655"/>
        <v>0.68999999999999984</v>
      </c>
      <c r="EK99" s="55">
        <f t="shared" si="655"/>
        <v>0.66999999999999982</v>
      </c>
      <c r="EL99" s="55">
        <f t="shared" si="655"/>
        <v>0.6499999999999998</v>
      </c>
      <c r="EM99" s="55">
        <f t="shared" si="655"/>
        <v>0.62999999999999978</v>
      </c>
      <c r="EN99" s="55">
        <f t="shared" si="655"/>
        <v>0.60999999999999976</v>
      </c>
      <c r="EO99" s="55">
        <f t="shared" si="655"/>
        <v>0.58999999999999975</v>
      </c>
      <c r="EP99" s="55">
        <f t="shared" si="655"/>
        <v>0.56999999999999973</v>
      </c>
      <c r="ER99" s="55">
        <f t="shared" si="656"/>
        <v>7241.7345000000005</v>
      </c>
      <c r="ES99" s="55">
        <f t="shared" si="517"/>
        <v>7241.7345000000005</v>
      </c>
      <c r="ET99" s="59">
        <f t="shared" si="610"/>
        <v>23939.725910100002</v>
      </c>
      <c r="EU99" s="55">
        <f t="shared" si="611"/>
        <v>7024.482465</v>
      </c>
      <c r="EV99" s="59">
        <f t="shared" si="612"/>
        <v>23221.534132797002</v>
      </c>
      <c r="EW99" s="55">
        <f t="shared" si="613"/>
        <v>6879.6477750000004</v>
      </c>
      <c r="EX99" s="59">
        <f t="shared" si="614"/>
        <v>22742.739614595001</v>
      </c>
      <c r="EY99" s="55">
        <f t="shared" si="615"/>
        <v>6734.8130850000007</v>
      </c>
      <c r="EZ99" s="59">
        <f t="shared" si="616"/>
        <v>22263.945096393003</v>
      </c>
      <c r="FA99" s="57">
        <f t="shared" si="617"/>
        <v>6589.978395000001</v>
      </c>
      <c r="FB99" s="59">
        <f t="shared" si="618"/>
        <v>21785.150578191005</v>
      </c>
      <c r="FC99" s="55">
        <f t="shared" si="619"/>
        <v>6445.1437050000004</v>
      </c>
      <c r="FD99" s="59">
        <f t="shared" si="620"/>
        <v>21306.356059989001</v>
      </c>
      <c r="FE99" s="57">
        <f t="shared" si="621"/>
        <v>6300.3090150000007</v>
      </c>
      <c r="FF99" s="59">
        <f t="shared" si="622"/>
        <v>20827.561541787003</v>
      </c>
      <c r="FG99" s="60">
        <f t="shared" si="623"/>
        <v>6155.4743250000001</v>
      </c>
      <c r="FH99" s="59">
        <f t="shared" si="624"/>
        <v>20348.767023585002</v>
      </c>
      <c r="FI99" s="57">
        <f t="shared" si="625"/>
        <v>6010.6396350000005</v>
      </c>
      <c r="FJ99" s="59">
        <f t="shared" si="626"/>
        <v>19869.972505383001</v>
      </c>
      <c r="FK99" s="55">
        <f t="shared" si="627"/>
        <v>5865.8049449999999</v>
      </c>
      <c r="FL99" s="59">
        <f t="shared" si="628"/>
        <v>19391.177987180999</v>
      </c>
      <c r="FM99" s="60">
        <f t="shared" si="629"/>
        <v>5720.9702550000002</v>
      </c>
      <c r="FN99" s="59">
        <f t="shared" si="630"/>
        <v>18912.383468979002</v>
      </c>
      <c r="FO99" s="60">
        <f t="shared" si="631"/>
        <v>5576.1355649999996</v>
      </c>
      <c r="FP99" s="59">
        <f t="shared" si="632"/>
        <v>18433.588950777001</v>
      </c>
      <c r="FQ99" s="60">
        <f t="shared" si="633"/>
        <v>5431.3008749999999</v>
      </c>
      <c r="FR99" s="59">
        <f t="shared" si="634"/>
        <v>17954.794432575</v>
      </c>
      <c r="FS99" s="55">
        <f t="shared" si="635"/>
        <v>5286.4661849999993</v>
      </c>
      <c r="FT99" s="59">
        <f t="shared" si="636"/>
        <v>17475.999914372998</v>
      </c>
      <c r="FU99" s="60">
        <f t="shared" si="637"/>
        <v>5141.6314949999996</v>
      </c>
      <c r="FV99" s="59">
        <f t="shared" si="638"/>
        <v>16997.205396171001</v>
      </c>
      <c r="FW99" s="60">
        <f t="shared" si="639"/>
        <v>4996.796804999999</v>
      </c>
      <c r="FX99" s="59">
        <f t="shared" si="640"/>
        <v>16518.410877968996</v>
      </c>
      <c r="FY99" s="60">
        <f t="shared" si="641"/>
        <v>4851.9621149999994</v>
      </c>
      <c r="FZ99" s="59">
        <f t="shared" si="642"/>
        <v>16039.616359766998</v>
      </c>
      <c r="GA99" s="60">
        <f t="shared" si="643"/>
        <v>4707.1274249999988</v>
      </c>
      <c r="GB99" s="59">
        <f t="shared" si="644"/>
        <v>15560.821841564997</v>
      </c>
      <c r="GC99" s="55">
        <f t="shared" si="645"/>
        <v>4562.2927349999991</v>
      </c>
      <c r="GD99" s="59">
        <f t="shared" si="646"/>
        <v>15082.027323362998</v>
      </c>
      <c r="GE99" s="60">
        <f t="shared" si="647"/>
        <v>4417.4580449999985</v>
      </c>
      <c r="GF99" s="59">
        <f t="shared" si="648"/>
        <v>14603.232805160995</v>
      </c>
      <c r="GG99" s="60">
        <f t="shared" si="649"/>
        <v>4272.6233549999988</v>
      </c>
      <c r="GH99" s="59">
        <f t="shared" si="650"/>
        <v>14124.438286958997</v>
      </c>
      <c r="GI99" s="55">
        <f t="shared" si="651"/>
        <v>4127.7886649999982</v>
      </c>
      <c r="GJ99" s="59">
        <f t="shared" si="652"/>
        <v>13645.643768756994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57"/>
        <v>0.91</v>
      </c>
      <c r="GR99" s="55">
        <f t="shared" si="657"/>
        <v>0.89</v>
      </c>
      <c r="GS99" s="55">
        <f t="shared" si="657"/>
        <v>0.87</v>
      </c>
      <c r="GT99" s="55">
        <f t="shared" si="657"/>
        <v>0.85</v>
      </c>
      <c r="GU99" s="55">
        <f t="shared" si="657"/>
        <v>0.83</v>
      </c>
      <c r="GV99" s="55">
        <f t="shared" si="657"/>
        <v>0.80999999999999994</v>
      </c>
      <c r="GW99" s="55">
        <f t="shared" si="657"/>
        <v>0.78999999999999992</v>
      </c>
      <c r="GX99" s="55">
        <f t="shared" si="657"/>
        <v>0.76999999999999991</v>
      </c>
      <c r="GY99" s="55">
        <f t="shared" si="657"/>
        <v>0.74999999999999989</v>
      </c>
      <c r="GZ99" s="55">
        <f t="shared" si="657"/>
        <v>0.72999999999999987</v>
      </c>
      <c r="HA99" s="55">
        <f t="shared" si="657"/>
        <v>0.70999999999999985</v>
      </c>
      <c r="HB99" s="55">
        <f t="shared" si="657"/>
        <v>0.68999999999999984</v>
      </c>
      <c r="HC99" s="55">
        <f t="shared" si="657"/>
        <v>0.66999999999999982</v>
      </c>
      <c r="HD99" s="55">
        <f t="shared" si="657"/>
        <v>0.6499999999999998</v>
      </c>
      <c r="HE99" s="55">
        <f t="shared" si="657"/>
        <v>0.62999999999999978</v>
      </c>
      <c r="HF99" s="55">
        <f t="shared" si="657"/>
        <v>0.60999999999999976</v>
      </c>
      <c r="HG99" s="55">
        <f t="shared" si="657"/>
        <v>0.58999999999999975</v>
      </c>
      <c r="HH99" s="55">
        <f t="shared" si="657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22"/>
        <v>0</v>
      </c>
      <c r="H100" s="55">
        <f t="shared" si="523"/>
        <v>0</v>
      </c>
      <c r="I100" s="55">
        <f t="shared" si="513"/>
        <v>0</v>
      </c>
      <c r="J100" s="59">
        <f t="shared" si="514"/>
        <v>0</v>
      </c>
      <c r="K100" s="55">
        <f t="shared" si="524"/>
        <v>0</v>
      </c>
      <c r="L100" s="59">
        <f t="shared" si="525"/>
        <v>0</v>
      </c>
      <c r="M100" s="55">
        <f t="shared" si="526"/>
        <v>0</v>
      </c>
      <c r="N100" s="59">
        <f t="shared" si="527"/>
        <v>0</v>
      </c>
      <c r="O100" s="55">
        <f t="shared" si="528"/>
        <v>0</v>
      </c>
      <c r="P100" s="59">
        <f t="shared" si="529"/>
        <v>0</v>
      </c>
      <c r="Q100" s="57">
        <f t="shared" si="530"/>
        <v>0</v>
      </c>
      <c r="R100" s="59">
        <f t="shared" si="531"/>
        <v>0</v>
      </c>
      <c r="S100" s="55">
        <f t="shared" si="532"/>
        <v>0</v>
      </c>
      <c r="T100" s="59">
        <f t="shared" si="533"/>
        <v>0</v>
      </c>
      <c r="U100" s="57">
        <f t="shared" si="534"/>
        <v>0</v>
      </c>
      <c r="V100" s="59">
        <f t="shared" si="535"/>
        <v>0</v>
      </c>
      <c r="W100" s="60">
        <f t="shared" si="536"/>
        <v>0</v>
      </c>
      <c r="X100" s="59">
        <f t="shared" si="537"/>
        <v>0</v>
      </c>
      <c r="Y100" s="57">
        <f t="shared" si="538"/>
        <v>0</v>
      </c>
      <c r="Z100" s="59">
        <f t="shared" si="539"/>
        <v>0</v>
      </c>
      <c r="AA100" s="55">
        <f t="shared" si="540"/>
        <v>0</v>
      </c>
      <c r="AB100" s="59">
        <f t="shared" si="541"/>
        <v>0</v>
      </c>
      <c r="AC100" s="60">
        <f t="shared" si="542"/>
        <v>0</v>
      </c>
      <c r="AD100" s="59">
        <f t="shared" si="543"/>
        <v>0</v>
      </c>
      <c r="AE100" s="60">
        <f t="shared" si="544"/>
        <v>0</v>
      </c>
      <c r="AF100" s="59">
        <f t="shared" si="545"/>
        <v>0</v>
      </c>
      <c r="AG100" s="60">
        <f t="shared" si="546"/>
        <v>0</v>
      </c>
      <c r="AH100" s="59">
        <f t="shared" si="547"/>
        <v>0</v>
      </c>
      <c r="AI100" s="55">
        <f t="shared" si="548"/>
        <v>0</v>
      </c>
      <c r="AJ100" s="59">
        <f t="shared" si="549"/>
        <v>0</v>
      </c>
      <c r="AK100" s="60">
        <f t="shared" si="550"/>
        <v>0</v>
      </c>
      <c r="AL100" s="59">
        <f t="shared" si="551"/>
        <v>0</v>
      </c>
      <c r="AM100" s="60">
        <f t="shared" si="552"/>
        <v>0</v>
      </c>
      <c r="AN100" s="59">
        <f t="shared" si="553"/>
        <v>0</v>
      </c>
      <c r="AO100" s="60">
        <f t="shared" si="554"/>
        <v>0</v>
      </c>
      <c r="AP100" s="59">
        <f t="shared" si="555"/>
        <v>0</v>
      </c>
      <c r="AQ100" s="60">
        <f t="shared" si="556"/>
        <v>0</v>
      </c>
      <c r="AR100" s="59">
        <f t="shared" si="557"/>
        <v>0</v>
      </c>
      <c r="AS100" s="55">
        <f t="shared" si="558"/>
        <v>0</v>
      </c>
      <c r="AT100" s="59">
        <f t="shared" si="559"/>
        <v>0</v>
      </c>
      <c r="AU100" s="60">
        <f t="shared" si="560"/>
        <v>0</v>
      </c>
      <c r="AV100" s="59">
        <f t="shared" si="561"/>
        <v>0</v>
      </c>
      <c r="AW100" s="60">
        <f t="shared" si="562"/>
        <v>0</v>
      </c>
      <c r="AX100" s="59">
        <f t="shared" si="563"/>
        <v>0</v>
      </c>
      <c r="AY100" s="55">
        <f t="shared" si="564"/>
        <v>0</v>
      </c>
      <c r="AZ100" s="59">
        <f t="shared" si="565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66"/>
        <v>0.91</v>
      </c>
      <c r="BH100" s="55">
        <f t="shared" si="566"/>
        <v>0.89</v>
      </c>
      <c r="BI100" s="55">
        <f t="shared" si="566"/>
        <v>0.87</v>
      </c>
      <c r="BJ100" s="55">
        <f t="shared" si="566"/>
        <v>0.85</v>
      </c>
      <c r="BK100" s="55">
        <f t="shared" si="566"/>
        <v>0.83</v>
      </c>
      <c r="BL100" s="55">
        <f t="shared" si="566"/>
        <v>0.80999999999999994</v>
      </c>
      <c r="BM100" s="55">
        <f t="shared" si="566"/>
        <v>0.78999999999999992</v>
      </c>
      <c r="BN100" s="55">
        <f t="shared" si="566"/>
        <v>0.76999999999999991</v>
      </c>
      <c r="BO100" s="55">
        <f t="shared" si="566"/>
        <v>0.74999999999999989</v>
      </c>
      <c r="BP100" s="55">
        <f t="shared" si="566"/>
        <v>0.72999999999999987</v>
      </c>
      <c r="BQ100" s="55">
        <f t="shared" si="566"/>
        <v>0.70999999999999985</v>
      </c>
      <c r="BR100" s="55">
        <f t="shared" si="566"/>
        <v>0.68999999999999984</v>
      </c>
      <c r="BS100" s="55">
        <f t="shared" si="566"/>
        <v>0.66999999999999982</v>
      </c>
      <c r="BT100" s="55">
        <f t="shared" si="566"/>
        <v>0.6499999999999998</v>
      </c>
      <c r="BU100" s="55">
        <f t="shared" si="566"/>
        <v>0.62999999999999978</v>
      </c>
      <c r="BV100" s="55">
        <f t="shared" si="566"/>
        <v>0.60999999999999976</v>
      </c>
      <c r="BW100" s="55">
        <f t="shared" si="566"/>
        <v>0.58999999999999975</v>
      </c>
      <c r="BX100" s="55">
        <f t="shared" si="566"/>
        <v>0.56999999999999973</v>
      </c>
      <c r="BZ100" s="55">
        <f t="shared" si="515"/>
        <v>0</v>
      </c>
      <c r="CA100" s="55">
        <f t="shared" si="516"/>
        <v>0</v>
      </c>
      <c r="CB100" s="59">
        <f t="shared" si="567"/>
        <v>0</v>
      </c>
      <c r="CC100" s="55">
        <f t="shared" si="568"/>
        <v>0</v>
      </c>
      <c r="CD100" s="59">
        <f t="shared" si="569"/>
        <v>0</v>
      </c>
      <c r="CE100" s="55">
        <f t="shared" si="570"/>
        <v>0</v>
      </c>
      <c r="CF100" s="59">
        <f t="shared" si="571"/>
        <v>0</v>
      </c>
      <c r="CG100" s="55">
        <f t="shared" si="572"/>
        <v>0</v>
      </c>
      <c r="CH100" s="59">
        <f t="shared" si="573"/>
        <v>0</v>
      </c>
      <c r="CI100" s="57">
        <f t="shared" si="574"/>
        <v>0</v>
      </c>
      <c r="CJ100" s="59">
        <f t="shared" si="575"/>
        <v>0</v>
      </c>
      <c r="CK100" s="55">
        <f t="shared" si="576"/>
        <v>0</v>
      </c>
      <c r="CL100" s="59">
        <f t="shared" si="577"/>
        <v>0</v>
      </c>
      <c r="CM100" s="57">
        <f t="shared" si="578"/>
        <v>0</v>
      </c>
      <c r="CN100" s="59">
        <f t="shared" si="579"/>
        <v>0</v>
      </c>
      <c r="CO100" s="60">
        <f t="shared" si="580"/>
        <v>0</v>
      </c>
      <c r="CP100" s="59">
        <f t="shared" si="581"/>
        <v>0</v>
      </c>
      <c r="CQ100" s="57">
        <f t="shared" si="582"/>
        <v>0</v>
      </c>
      <c r="CR100" s="59">
        <f t="shared" si="583"/>
        <v>0</v>
      </c>
      <c r="CS100" s="55">
        <f t="shared" si="584"/>
        <v>0</v>
      </c>
      <c r="CT100" s="59">
        <f t="shared" si="585"/>
        <v>0</v>
      </c>
      <c r="CU100" s="60">
        <f t="shared" si="586"/>
        <v>0</v>
      </c>
      <c r="CV100" s="59">
        <f t="shared" si="587"/>
        <v>0</v>
      </c>
      <c r="CW100" s="60">
        <f t="shared" si="588"/>
        <v>0</v>
      </c>
      <c r="CX100" s="59">
        <f t="shared" si="589"/>
        <v>0</v>
      </c>
      <c r="CY100" s="60">
        <f t="shared" si="590"/>
        <v>0</v>
      </c>
      <c r="CZ100" s="59">
        <f t="shared" si="591"/>
        <v>0</v>
      </c>
      <c r="DA100" s="55">
        <f t="shared" si="592"/>
        <v>0</v>
      </c>
      <c r="DB100" s="59">
        <f t="shared" si="593"/>
        <v>0</v>
      </c>
      <c r="DC100" s="60">
        <f t="shared" si="594"/>
        <v>0</v>
      </c>
      <c r="DD100" s="59">
        <f t="shared" si="595"/>
        <v>0</v>
      </c>
      <c r="DE100" s="60">
        <f t="shared" si="596"/>
        <v>0</v>
      </c>
      <c r="DF100" s="59">
        <f t="shared" si="597"/>
        <v>0</v>
      </c>
      <c r="DG100" s="60">
        <f t="shared" si="598"/>
        <v>0</v>
      </c>
      <c r="DH100" s="59">
        <f t="shared" si="599"/>
        <v>0</v>
      </c>
      <c r="DI100" s="60">
        <f t="shared" si="600"/>
        <v>0</v>
      </c>
      <c r="DJ100" s="59">
        <f t="shared" si="601"/>
        <v>0</v>
      </c>
      <c r="DK100" s="55">
        <f t="shared" si="602"/>
        <v>0</v>
      </c>
      <c r="DL100" s="59">
        <f t="shared" si="603"/>
        <v>0</v>
      </c>
      <c r="DM100" s="60">
        <f t="shared" si="604"/>
        <v>0</v>
      </c>
      <c r="DN100" s="59">
        <f t="shared" si="605"/>
        <v>0</v>
      </c>
      <c r="DO100" s="60">
        <f t="shared" si="606"/>
        <v>0</v>
      </c>
      <c r="DP100" s="59">
        <f t="shared" si="607"/>
        <v>0</v>
      </c>
      <c r="DQ100" s="55">
        <f t="shared" si="608"/>
        <v>0</v>
      </c>
      <c r="DR100" s="59">
        <f t="shared" si="609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55"/>
        <v>0.91</v>
      </c>
      <c r="DZ100" s="55">
        <f t="shared" si="655"/>
        <v>0.89</v>
      </c>
      <c r="EA100" s="55">
        <f t="shared" si="655"/>
        <v>0.87</v>
      </c>
      <c r="EB100" s="55">
        <f t="shared" si="655"/>
        <v>0.85</v>
      </c>
      <c r="EC100" s="55">
        <f t="shared" si="655"/>
        <v>0.83</v>
      </c>
      <c r="ED100" s="55">
        <f t="shared" si="655"/>
        <v>0.80999999999999994</v>
      </c>
      <c r="EE100" s="55">
        <f t="shared" si="655"/>
        <v>0.78999999999999992</v>
      </c>
      <c r="EF100" s="55">
        <f t="shared" si="655"/>
        <v>0.76999999999999991</v>
      </c>
      <c r="EG100" s="55">
        <f t="shared" si="655"/>
        <v>0.74999999999999989</v>
      </c>
      <c r="EH100" s="55">
        <f t="shared" si="655"/>
        <v>0.72999999999999987</v>
      </c>
      <c r="EI100" s="55">
        <f t="shared" si="655"/>
        <v>0.70999999999999985</v>
      </c>
      <c r="EJ100" s="55">
        <f t="shared" si="655"/>
        <v>0.68999999999999984</v>
      </c>
      <c r="EK100" s="55">
        <f t="shared" si="655"/>
        <v>0.66999999999999982</v>
      </c>
      <c r="EL100" s="55">
        <f t="shared" si="655"/>
        <v>0.6499999999999998</v>
      </c>
      <c r="EM100" s="55">
        <f t="shared" si="655"/>
        <v>0.62999999999999978</v>
      </c>
      <c r="EN100" s="55">
        <f t="shared" si="655"/>
        <v>0.60999999999999976</v>
      </c>
      <c r="EO100" s="55">
        <f t="shared" si="655"/>
        <v>0.58999999999999975</v>
      </c>
      <c r="EP100" s="55">
        <f t="shared" si="655"/>
        <v>0.56999999999999973</v>
      </c>
      <c r="ER100" s="55">
        <f t="shared" si="656"/>
        <v>0</v>
      </c>
      <c r="ES100" s="55">
        <f t="shared" si="517"/>
        <v>0</v>
      </c>
      <c r="ET100" s="59">
        <f t="shared" si="610"/>
        <v>0</v>
      </c>
      <c r="EU100" s="55">
        <f t="shared" si="611"/>
        <v>0</v>
      </c>
      <c r="EV100" s="59">
        <f t="shared" si="612"/>
        <v>0</v>
      </c>
      <c r="EW100" s="55">
        <f t="shared" si="613"/>
        <v>0</v>
      </c>
      <c r="EX100" s="59">
        <f t="shared" si="614"/>
        <v>0</v>
      </c>
      <c r="EY100" s="55">
        <f t="shared" si="615"/>
        <v>0</v>
      </c>
      <c r="EZ100" s="59">
        <f t="shared" si="616"/>
        <v>0</v>
      </c>
      <c r="FA100" s="57">
        <f t="shared" si="617"/>
        <v>0</v>
      </c>
      <c r="FB100" s="59">
        <f t="shared" si="618"/>
        <v>0</v>
      </c>
      <c r="FC100" s="55">
        <f t="shared" si="619"/>
        <v>0</v>
      </c>
      <c r="FD100" s="59">
        <f t="shared" si="620"/>
        <v>0</v>
      </c>
      <c r="FE100" s="57">
        <f t="shared" si="621"/>
        <v>0</v>
      </c>
      <c r="FF100" s="59">
        <f t="shared" si="622"/>
        <v>0</v>
      </c>
      <c r="FG100" s="60">
        <f t="shared" si="623"/>
        <v>0</v>
      </c>
      <c r="FH100" s="59">
        <f t="shared" si="624"/>
        <v>0</v>
      </c>
      <c r="FI100" s="57">
        <f t="shared" si="625"/>
        <v>0</v>
      </c>
      <c r="FJ100" s="59">
        <f t="shared" si="626"/>
        <v>0</v>
      </c>
      <c r="FK100" s="55">
        <f t="shared" si="627"/>
        <v>0</v>
      </c>
      <c r="FL100" s="59">
        <f t="shared" si="628"/>
        <v>0</v>
      </c>
      <c r="FM100" s="60">
        <f t="shared" si="629"/>
        <v>0</v>
      </c>
      <c r="FN100" s="59">
        <f t="shared" si="630"/>
        <v>0</v>
      </c>
      <c r="FO100" s="60">
        <f t="shared" si="631"/>
        <v>0</v>
      </c>
      <c r="FP100" s="59">
        <f t="shared" si="632"/>
        <v>0</v>
      </c>
      <c r="FQ100" s="60">
        <f t="shared" si="633"/>
        <v>0</v>
      </c>
      <c r="FR100" s="59">
        <f t="shared" si="634"/>
        <v>0</v>
      </c>
      <c r="FS100" s="55">
        <f t="shared" si="635"/>
        <v>0</v>
      </c>
      <c r="FT100" s="59">
        <f t="shared" si="636"/>
        <v>0</v>
      </c>
      <c r="FU100" s="60">
        <f t="shared" si="637"/>
        <v>0</v>
      </c>
      <c r="FV100" s="59">
        <f t="shared" si="638"/>
        <v>0</v>
      </c>
      <c r="FW100" s="60">
        <f t="shared" si="639"/>
        <v>0</v>
      </c>
      <c r="FX100" s="59">
        <f t="shared" si="640"/>
        <v>0</v>
      </c>
      <c r="FY100" s="60">
        <f t="shared" si="641"/>
        <v>0</v>
      </c>
      <c r="FZ100" s="59">
        <f t="shared" si="642"/>
        <v>0</v>
      </c>
      <c r="GA100" s="60">
        <f t="shared" si="643"/>
        <v>0</v>
      </c>
      <c r="GB100" s="59">
        <f t="shared" si="644"/>
        <v>0</v>
      </c>
      <c r="GC100" s="55">
        <f t="shared" si="645"/>
        <v>0</v>
      </c>
      <c r="GD100" s="59">
        <f t="shared" si="646"/>
        <v>0</v>
      </c>
      <c r="GE100" s="60">
        <f t="shared" si="647"/>
        <v>0</v>
      </c>
      <c r="GF100" s="59">
        <f t="shared" si="648"/>
        <v>0</v>
      </c>
      <c r="GG100" s="60">
        <f t="shared" si="649"/>
        <v>0</v>
      </c>
      <c r="GH100" s="59">
        <f t="shared" si="650"/>
        <v>0</v>
      </c>
      <c r="GI100" s="55">
        <f t="shared" si="651"/>
        <v>0</v>
      </c>
      <c r="GJ100" s="59">
        <f t="shared" si="652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57"/>
        <v>0.91</v>
      </c>
      <c r="GR100" s="55">
        <f t="shared" si="657"/>
        <v>0.89</v>
      </c>
      <c r="GS100" s="55">
        <f t="shared" si="657"/>
        <v>0.87</v>
      </c>
      <c r="GT100" s="55">
        <f t="shared" si="657"/>
        <v>0.85</v>
      </c>
      <c r="GU100" s="55">
        <f t="shared" si="657"/>
        <v>0.83</v>
      </c>
      <c r="GV100" s="55">
        <f t="shared" si="657"/>
        <v>0.80999999999999994</v>
      </c>
      <c r="GW100" s="55">
        <f t="shared" si="657"/>
        <v>0.78999999999999992</v>
      </c>
      <c r="GX100" s="55">
        <f t="shared" si="657"/>
        <v>0.76999999999999991</v>
      </c>
      <c r="GY100" s="55">
        <f t="shared" si="657"/>
        <v>0.74999999999999989</v>
      </c>
      <c r="GZ100" s="55">
        <f t="shared" si="657"/>
        <v>0.72999999999999987</v>
      </c>
      <c r="HA100" s="55">
        <f t="shared" si="657"/>
        <v>0.70999999999999985</v>
      </c>
      <c r="HB100" s="55">
        <f t="shared" si="657"/>
        <v>0.68999999999999984</v>
      </c>
      <c r="HC100" s="55">
        <f t="shared" si="657"/>
        <v>0.66999999999999982</v>
      </c>
      <c r="HD100" s="55">
        <f t="shared" si="657"/>
        <v>0.6499999999999998</v>
      </c>
      <c r="HE100" s="55">
        <f t="shared" si="657"/>
        <v>0.62999999999999978</v>
      </c>
      <c r="HF100" s="55">
        <f t="shared" si="657"/>
        <v>0.60999999999999976</v>
      </c>
      <c r="HG100" s="55">
        <f t="shared" si="657"/>
        <v>0.58999999999999975</v>
      </c>
      <c r="HH100" s="55">
        <f t="shared" si="657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22"/>
        <v>0</v>
      </c>
      <c r="H101" s="55">
        <f t="shared" si="523"/>
        <v>0</v>
      </c>
      <c r="I101" s="55">
        <f t="shared" si="513"/>
        <v>0</v>
      </c>
      <c r="J101" s="59">
        <f t="shared" si="514"/>
        <v>0</v>
      </c>
      <c r="K101" s="55">
        <f t="shared" si="524"/>
        <v>0</v>
      </c>
      <c r="L101" s="59">
        <f t="shared" si="525"/>
        <v>0</v>
      </c>
      <c r="M101" s="55">
        <f t="shared" si="526"/>
        <v>0</v>
      </c>
      <c r="N101" s="59">
        <f t="shared" si="527"/>
        <v>0</v>
      </c>
      <c r="O101" s="55">
        <f t="shared" si="528"/>
        <v>0</v>
      </c>
      <c r="P101" s="59">
        <f t="shared" si="529"/>
        <v>0</v>
      </c>
      <c r="Q101" s="57">
        <f t="shared" si="530"/>
        <v>0</v>
      </c>
      <c r="R101" s="59">
        <f t="shared" si="531"/>
        <v>0</v>
      </c>
      <c r="S101" s="55">
        <f t="shared" si="532"/>
        <v>0</v>
      </c>
      <c r="T101" s="59">
        <f t="shared" si="533"/>
        <v>0</v>
      </c>
      <c r="U101" s="57">
        <f t="shared" si="534"/>
        <v>0</v>
      </c>
      <c r="V101" s="59">
        <f t="shared" si="535"/>
        <v>0</v>
      </c>
      <c r="W101" s="60">
        <f t="shared" si="536"/>
        <v>0</v>
      </c>
      <c r="X101" s="59">
        <f t="shared" si="537"/>
        <v>0</v>
      </c>
      <c r="Y101" s="57">
        <f t="shared" si="538"/>
        <v>0</v>
      </c>
      <c r="Z101" s="59">
        <f t="shared" si="539"/>
        <v>0</v>
      </c>
      <c r="AA101" s="55">
        <f t="shared" si="540"/>
        <v>0</v>
      </c>
      <c r="AB101" s="59">
        <f t="shared" si="541"/>
        <v>0</v>
      </c>
      <c r="AC101" s="60">
        <f t="shared" si="542"/>
        <v>0</v>
      </c>
      <c r="AD101" s="59">
        <f t="shared" si="543"/>
        <v>0</v>
      </c>
      <c r="AE101" s="60">
        <f t="shared" si="544"/>
        <v>0</v>
      </c>
      <c r="AF101" s="59">
        <f t="shared" si="545"/>
        <v>0</v>
      </c>
      <c r="AG101" s="60">
        <f t="shared" si="546"/>
        <v>0</v>
      </c>
      <c r="AH101" s="59">
        <f t="shared" si="547"/>
        <v>0</v>
      </c>
      <c r="AI101" s="55">
        <f t="shared" si="548"/>
        <v>0</v>
      </c>
      <c r="AJ101" s="59">
        <f t="shared" si="549"/>
        <v>0</v>
      </c>
      <c r="AK101" s="60">
        <f t="shared" si="550"/>
        <v>0</v>
      </c>
      <c r="AL101" s="59">
        <f t="shared" si="551"/>
        <v>0</v>
      </c>
      <c r="AM101" s="60">
        <f t="shared" si="552"/>
        <v>0</v>
      </c>
      <c r="AN101" s="59">
        <f t="shared" si="553"/>
        <v>0</v>
      </c>
      <c r="AO101" s="60">
        <f t="shared" si="554"/>
        <v>0</v>
      </c>
      <c r="AP101" s="59">
        <f t="shared" si="555"/>
        <v>0</v>
      </c>
      <c r="AQ101" s="60">
        <f t="shared" si="556"/>
        <v>0</v>
      </c>
      <c r="AR101" s="59">
        <f t="shared" si="557"/>
        <v>0</v>
      </c>
      <c r="AS101" s="55">
        <f t="shared" si="558"/>
        <v>0</v>
      </c>
      <c r="AT101" s="59">
        <f t="shared" si="559"/>
        <v>0</v>
      </c>
      <c r="AU101" s="60">
        <f t="shared" si="560"/>
        <v>0</v>
      </c>
      <c r="AV101" s="59">
        <f t="shared" si="561"/>
        <v>0</v>
      </c>
      <c r="AW101" s="60">
        <f t="shared" si="562"/>
        <v>0</v>
      </c>
      <c r="AX101" s="59">
        <f t="shared" si="563"/>
        <v>0</v>
      </c>
      <c r="AY101" s="55">
        <f t="shared" si="564"/>
        <v>0</v>
      </c>
      <c r="AZ101" s="59">
        <f t="shared" si="565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66"/>
        <v>0.91</v>
      </c>
      <c r="BH101" s="55">
        <f t="shared" si="566"/>
        <v>0.89</v>
      </c>
      <c r="BI101" s="55">
        <f t="shared" si="566"/>
        <v>0.87</v>
      </c>
      <c r="BJ101" s="55">
        <f t="shared" si="566"/>
        <v>0.85</v>
      </c>
      <c r="BK101" s="55">
        <f t="shared" si="566"/>
        <v>0.83</v>
      </c>
      <c r="BL101" s="55">
        <f t="shared" si="566"/>
        <v>0.80999999999999994</v>
      </c>
      <c r="BM101" s="55">
        <f t="shared" si="566"/>
        <v>0.78999999999999992</v>
      </c>
      <c r="BN101" s="55">
        <f t="shared" si="566"/>
        <v>0.76999999999999991</v>
      </c>
      <c r="BO101" s="55">
        <f t="shared" si="566"/>
        <v>0.74999999999999989</v>
      </c>
      <c r="BP101" s="55">
        <f t="shared" si="566"/>
        <v>0.72999999999999987</v>
      </c>
      <c r="BQ101" s="55">
        <f t="shared" si="566"/>
        <v>0.70999999999999985</v>
      </c>
      <c r="BR101" s="55">
        <f t="shared" si="566"/>
        <v>0.68999999999999984</v>
      </c>
      <c r="BS101" s="55">
        <f t="shared" si="566"/>
        <v>0.66999999999999982</v>
      </c>
      <c r="BT101" s="55">
        <f t="shared" si="566"/>
        <v>0.6499999999999998</v>
      </c>
      <c r="BU101" s="55">
        <f t="shared" si="566"/>
        <v>0.62999999999999978</v>
      </c>
      <c r="BV101" s="55">
        <f t="shared" si="566"/>
        <v>0.60999999999999976</v>
      </c>
      <c r="BW101" s="55">
        <f t="shared" si="566"/>
        <v>0.58999999999999975</v>
      </c>
      <c r="BX101" s="55">
        <f t="shared" si="566"/>
        <v>0.56999999999999973</v>
      </c>
      <c r="BZ101" s="55">
        <f t="shared" si="515"/>
        <v>0</v>
      </c>
      <c r="CA101" s="55">
        <f t="shared" si="516"/>
        <v>0</v>
      </c>
      <c r="CB101" s="59">
        <f t="shared" si="567"/>
        <v>0</v>
      </c>
      <c r="CC101" s="55">
        <f t="shared" si="568"/>
        <v>0</v>
      </c>
      <c r="CD101" s="59">
        <f t="shared" si="569"/>
        <v>0</v>
      </c>
      <c r="CE101" s="55">
        <f t="shared" si="570"/>
        <v>0</v>
      </c>
      <c r="CF101" s="59">
        <f t="shared" si="571"/>
        <v>0</v>
      </c>
      <c r="CG101" s="55">
        <f t="shared" si="572"/>
        <v>0</v>
      </c>
      <c r="CH101" s="59">
        <f t="shared" si="573"/>
        <v>0</v>
      </c>
      <c r="CI101" s="57">
        <f t="shared" si="574"/>
        <v>0</v>
      </c>
      <c r="CJ101" s="59">
        <f t="shared" si="575"/>
        <v>0</v>
      </c>
      <c r="CK101" s="55">
        <f t="shared" si="576"/>
        <v>0</v>
      </c>
      <c r="CL101" s="59">
        <f t="shared" si="577"/>
        <v>0</v>
      </c>
      <c r="CM101" s="57">
        <f t="shared" si="578"/>
        <v>0</v>
      </c>
      <c r="CN101" s="59">
        <f t="shared" si="579"/>
        <v>0</v>
      </c>
      <c r="CO101" s="60">
        <f t="shared" si="580"/>
        <v>0</v>
      </c>
      <c r="CP101" s="59">
        <f t="shared" si="581"/>
        <v>0</v>
      </c>
      <c r="CQ101" s="57">
        <f t="shared" si="582"/>
        <v>0</v>
      </c>
      <c r="CR101" s="59">
        <f t="shared" si="583"/>
        <v>0</v>
      </c>
      <c r="CS101" s="55">
        <f t="shared" si="584"/>
        <v>0</v>
      </c>
      <c r="CT101" s="59">
        <f t="shared" si="585"/>
        <v>0</v>
      </c>
      <c r="CU101" s="60">
        <f t="shared" si="586"/>
        <v>0</v>
      </c>
      <c r="CV101" s="59">
        <f t="shared" si="587"/>
        <v>0</v>
      </c>
      <c r="CW101" s="60">
        <f t="shared" si="588"/>
        <v>0</v>
      </c>
      <c r="CX101" s="59">
        <f t="shared" si="589"/>
        <v>0</v>
      </c>
      <c r="CY101" s="60">
        <f t="shared" si="590"/>
        <v>0</v>
      </c>
      <c r="CZ101" s="59">
        <f t="shared" si="591"/>
        <v>0</v>
      </c>
      <c r="DA101" s="55">
        <f t="shared" si="592"/>
        <v>0</v>
      </c>
      <c r="DB101" s="59">
        <f t="shared" si="593"/>
        <v>0</v>
      </c>
      <c r="DC101" s="60">
        <f t="shared" si="594"/>
        <v>0</v>
      </c>
      <c r="DD101" s="59">
        <f t="shared" si="595"/>
        <v>0</v>
      </c>
      <c r="DE101" s="60">
        <f t="shared" si="596"/>
        <v>0</v>
      </c>
      <c r="DF101" s="59">
        <f t="shared" si="597"/>
        <v>0</v>
      </c>
      <c r="DG101" s="60">
        <f t="shared" si="598"/>
        <v>0</v>
      </c>
      <c r="DH101" s="59">
        <f t="shared" si="599"/>
        <v>0</v>
      </c>
      <c r="DI101" s="60">
        <f t="shared" si="600"/>
        <v>0</v>
      </c>
      <c r="DJ101" s="59">
        <f t="shared" si="601"/>
        <v>0</v>
      </c>
      <c r="DK101" s="55">
        <f t="shared" si="602"/>
        <v>0</v>
      </c>
      <c r="DL101" s="59">
        <f t="shared" si="603"/>
        <v>0</v>
      </c>
      <c r="DM101" s="60">
        <f t="shared" si="604"/>
        <v>0</v>
      </c>
      <c r="DN101" s="59">
        <f t="shared" si="605"/>
        <v>0</v>
      </c>
      <c r="DO101" s="60">
        <f t="shared" si="606"/>
        <v>0</v>
      </c>
      <c r="DP101" s="59">
        <f t="shared" si="607"/>
        <v>0</v>
      </c>
      <c r="DQ101" s="55">
        <f t="shared" si="608"/>
        <v>0</v>
      </c>
      <c r="DR101" s="59">
        <f t="shared" si="609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55"/>
        <v>0.91</v>
      </c>
      <c r="DZ101" s="55">
        <f t="shared" si="655"/>
        <v>0.89</v>
      </c>
      <c r="EA101" s="55">
        <f t="shared" si="655"/>
        <v>0.87</v>
      </c>
      <c r="EB101" s="55">
        <f t="shared" si="655"/>
        <v>0.85</v>
      </c>
      <c r="EC101" s="55">
        <f t="shared" si="655"/>
        <v>0.83</v>
      </c>
      <c r="ED101" s="55">
        <f t="shared" si="655"/>
        <v>0.80999999999999994</v>
      </c>
      <c r="EE101" s="55">
        <f t="shared" si="655"/>
        <v>0.78999999999999992</v>
      </c>
      <c r="EF101" s="55">
        <f t="shared" si="655"/>
        <v>0.76999999999999991</v>
      </c>
      <c r="EG101" s="55">
        <f t="shared" si="655"/>
        <v>0.74999999999999989</v>
      </c>
      <c r="EH101" s="55">
        <f t="shared" si="655"/>
        <v>0.72999999999999987</v>
      </c>
      <c r="EI101" s="55">
        <f t="shared" si="655"/>
        <v>0.70999999999999985</v>
      </c>
      <c r="EJ101" s="55">
        <f t="shared" si="655"/>
        <v>0.68999999999999984</v>
      </c>
      <c r="EK101" s="55">
        <f t="shared" si="655"/>
        <v>0.66999999999999982</v>
      </c>
      <c r="EL101" s="55">
        <f t="shared" si="655"/>
        <v>0.6499999999999998</v>
      </c>
      <c r="EM101" s="55">
        <f t="shared" si="655"/>
        <v>0.62999999999999978</v>
      </c>
      <c r="EN101" s="55">
        <f t="shared" si="655"/>
        <v>0.60999999999999976</v>
      </c>
      <c r="EO101" s="55">
        <f t="shared" si="655"/>
        <v>0.58999999999999975</v>
      </c>
      <c r="EP101" s="55">
        <f t="shared" si="655"/>
        <v>0.56999999999999973</v>
      </c>
      <c r="ER101" s="55">
        <f t="shared" si="656"/>
        <v>0</v>
      </c>
      <c r="ES101" s="55">
        <f t="shared" si="517"/>
        <v>0</v>
      </c>
      <c r="ET101" s="59">
        <f t="shared" si="610"/>
        <v>0</v>
      </c>
      <c r="EU101" s="55">
        <f t="shared" si="611"/>
        <v>0</v>
      </c>
      <c r="EV101" s="59">
        <f t="shared" si="612"/>
        <v>0</v>
      </c>
      <c r="EW101" s="55">
        <f t="shared" si="613"/>
        <v>0</v>
      </c>
      <c r="EX101" s="59">
        <f t="shared" si="614"/>
        <v>0</v>
      </c>
      <c r="EY101" s="55">
        <f t="shared" si="615"/>
        <v>0</v>
      </c>
      <c r="EZ101" s="59">
        <f t="shared" si="616"/>
        <v>0</v>
      </c>
      <c r="FA101" s="57">
        <f t="shared" si="617"/>
        <v>0</v>
      </c>
      <c r="FB101" s="59">
        <f t="shared" si="618"/>
        <v>0</v>
      </c>
      <c r="FC101" s="55">
        <f t="shared" si="619"/>
        <v>0</v>
      </c>
      <c r="FD101" s="59">
        <f t="shared" si="620"/>
        <v>0</v>
      </c>
      <c r="FE101" s="57">
        <f t="shared" si="621"/>
        <v>0</v>
      </c>
      <c r="FF101" s="59">
        <f t="shared" si="622"/>
        <v>0</v>
      </c>
      <c r="FG101" s="60">
        <f t="shared" si="623"/>
        <v>0</v>
      </c>
      <c r="FH101" s="59">
        <f t="shared" si="624"/>
        <v>0</v>
      </c>
      <c r="FI101" s="57">
        <f t="shared" si="625"/>
        <v>0</v>
      </c>
      <c r="FJ101" s="59">
        <f t="shared" si="626"/>
        <v>0</v>
      </c>
      <c r="FK101" s="55">
        <f t="shared" si="627"/>
        <v>0</v>
      </c>
      <c r="FL101" s="59">
        <f t="shared" si="628"/>
        <v>0</v>
      </c>
      <c r="FM101" s="60">
        <f t="shared" si="629"/>
        <v>0</v>
      </c>
      <c r="FN101" s="59">
        <f t="shared" si="630"/>
        <v>0</v>
      </c>
      <c r="FO101" s="60">
        <f t="shared" si="631"/>
        <v>0</v>
      </c>
      <c r="FP101" s="59">
        <f t="shared" si="632"/>
        <v>0</v>
      </c>
      <c r="FQ101" s="60">
        <f t="shared" si="633"/>
        <v>0</v>
      </c>
      <c r="FR101" s="59">
        <f t="shared" si="634"/>
        <v>0</v>
      </c>
      <c r="FS101" s="55">
        <f t="shared" si="635"/>
        <v>0</v>
      </c>
      <c r="FT101" s="59">
        <f t="shared" si="636"/>
        <v>0</v>
      </c>
      <c r="FU101" s="60">
        <f t="shared" si="637"/>
        <v>0</v>
      </c>
      <c r="FV101" s="59">
        <f t="shared" si="638"/>
        <v>0</v>
      </c>
      <c r="FW101" s="60">
        <f t="shared" si="639"/>
        <v>0</v>
      </c>
      <c r="FX101" s="59">
        <f t="shared" si="640"/>
        <v>0</v>
      </c>
      <c r="FY101" s="60">
        <f t="shared" si="641"/>
        <v>0</v>
      </c>
      <c r="FZ101" s="59">
        <f t="shared" si="642"/>
        <v>0</v>
      </c>
      <c r="GA101" s="60">
        <f t="shared" si="643"/>
        <v>0</v>
      </c>
      <c r="GB101" s="59">
        <f t="shared" si="644"/>
        <v>0</v>
      </c>
      <c r="GC101" s="55">
        <f t="shared" si="645"/>
        <v>0</v>
      </c>
      <c r="GD101" s="59">
        <f t="shared" si="646"/>
        <v>0</v>
      </c>
      <c r="GE101" s="60">
        <f t="shared" si="647"/>
        <v>0</v>
      </c>
      <c r="GF101" s="59">
        <f t="shared" si="648"/>
        <v>0</v>
      </c>
      <c r="GG101" s="60">
        <f t="shared" si="649"/>
        <v>0</v>
      </c>
      <c r="GH101" s="59">
        <f t="shared" si="650"/>
        <v>0</v>
      </c>
      <c r="GI101" s="55">
        <f t="shared" si="651"/>
        <v>0</v>
      </c>
      <c r="GJ101" s="59">
        <f t="shared" si="652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57"/>
        <v>0.91</v>
      </c>
      <c r="GR101" s="55">
        <f t="shared" si="657"/>
        <v>0.89</v>
      </c>
      <c r="GS101" s="55">
        <f t="shared" si="657"/>
        <v>0.87</v>
      </c>
      <c r="GT101" s="55">
        <f t="shared" si="657"/>
        <v>0.85</v>
      </c>
      <c r="GU101" s="55">
        <f t="shared" si="657"/>
        <v>0.83</v>
      </c>
      <c r="GV101" s="55">
        <f t="shared" si="657"/>
        <v>0.80999999999999994</v>
      </c>
      <c r="GW101" s="55">
        <f t="shared" si="657"/>
        <v>0.78999999999999992</v>
      </c>
      <c r="GX101" s="55">
        <f t="shared" si="657"/>
        <v>0.76999999999999991</v>
      </c>
      <c r="GY101" s="55">
        <f t="shared" si="657"/>
        <v>0.74999999999999989</v>
      </c>
      <c r="GZ101" s="55">
        <f t="shared" si="657"/>
        <v>0.72999999999999987</v>
      </c>
      <c r="HA101" s="55">
        <f t="shared" si="657"/>
        <v>0.70999999999999985</v>
      </c>
      <c r="HB101" s="55">
        <f t="shared" si="657"/>
        <v>0.68999999999999984</v>
      </c>
      <c r="HC101" s="55">
        <f t="shared" si="657"/>
        <v>0.66999999999999982</v>
      </c>
      <c r="HD101" s="55">
        <f t="shared" si="657"/>
        <v>0.6499999999999998</v>
      </c>
      <c r="HE101" s="55">
        <f t="shared" si="657"/>
        <v>0.62999999999999978</v>
      </c>
      <c r="HF101" s="55">
        <f t="shared" si="657"/>
        <v>0.60999999999999976</v>
      </c>
      <c r="HG101" s="55">
        <f t="shared" si="657"/>
        <v>0.58999999999999975</v>
      </c>
      <c r="HH101" s="55">
        <f t="shared" si="657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22"/>
        <v>0</v>
      </c>
      <c r="H102" s="55">
        <f t="shared" si="523"/>
        <v>0</v>
      </c>
      <c r="I102" s="55">
        <f t="shared" si="513"/>
        <v>0</v>
      </c>
      <c r="J102" s="59">
        <f t="shared" si="514"/>
        <v>0</v>
      </c>
      <c r="K102" s="55">
        <f t="shared" si="524"/>
        <v>0</v>
      </c>
      <c r="L102" s="59">
        <f t="shared" si="525"/>
        <v>0</v>
      </c>
      <c r="M102" s="55">
        <f t="shared" si="526"/>
        <v>0</v>
      </c>
      <c r="N102" s="59">
        <f t="shared" si="527"/>
        <v>0</v>
      </c>
      <c r="O102" s="55">
        <f t="shared" si="528"/>
        <v>0</v>
      </c>
      <c r="P102" s="59">
        <f t="shared" si="529"/>
        <v>0</v>
      </c>
      <c r="Q102" s="57">
        <f t="shared" si="530"/>
        <v>0</v>
      </c>
      <c r="R102" s="59">
        <f t="shared" si="531"/>
        <v>0</v>
      </c>
      <c r="S102" s="55">
        <f t="shared" si="532"/>
        <v>0</v>
      </c>
      <c r="T102" s="59">
        <f t="shared" si="533"/>
        <v>0</v>
      </c>
      <c r="U102" s="57">
        <f t="shared" si="534"/>
        <v>0</v>
      </c>
      <c r="V102" s="59">
        <f t="shared" si="535"/>
        <v>0</v>
      </c>
      <c r="W102" s="60">
        <f t="shared" si="536"/>
        <v>0</v>
      </c>
      <c r="X102" s="59">
        <f t="shared" si="537"/>
        <v>0</v>
      </c>
      <c r="Y102" s="57">
        <f t="shared" si="538"/>
        <v>0</v>
      </c>
      <c r="Z102" s="59">
        <f t="shared" si="539"/>
        <v>0</v>
      </c>
      <c r="AA102" s="55">
        <f t="shared" si="540"/>
        <v>0</v>
      </c>
      <c r="AB102" s="59">
        <f t="shared" si="541"/>
        <v>0</v>
      </c>
      <c r="AC102" s="60">
        <f t="shared" si="542"/>
        <v>0</v>
      </c>
      <c r="AD102" s="59">
        <f t="shared" si="543"/>
        <v>0</v>
      </c>
      <c r="AE102" s="60">
        <f t="shared" si="544"/>
        <v>0</v>
      </c>
      <c r="AF102" s="59">
        <f t="shared" si="545"/>
        <v>0</v>
      </c>
      <c r="AG102" s="60">
        <f t="shared" si="546"/>
        <v>0</v>
      </c>
      <c r="AH102" s="59">
        <f t="shared" si="547"/>
        <v>0</v>
      </c>
      <c r="AI102" s="55">
        <f t="shared" si="548"/>
        <v>0</v>
      </c>
      <c r="AJ102" s="59">
        <f t="shared" si="549"/>
        <v>0</v>
      </c>
      <c r="AK102" s="60">
        <f t="shared" si="550"/>
        <v>0</v>
      </c>
      <c r="AL102" s="59">
        <f t="shared" si="551"/>
        <v>0</v>
      </c>
      <c r="AM102" s="60">
        <f t="shared" si="552"/>
        <v>0</v>
      </c>
      <c r="AN102" s="59">
        <f t="shared" si="553"/>
        <v>0</v>
      </c>
      <c r="AO102" s="60">
        <f t="shared" si="554"/>
        <v>0</v>
      </c>
      <c r="AP102" s="59">
        <f t="shared" si="555"/>
        <v>0</v>
      </c>
      <c r="AQ102" s="60">
        <f t="shared" si="556"/>
        <v>0</v>
      </c>
      <c r="AR102" s="59">
        <f t="shared" si="557"/>
        <v>0</v>
      </c>
      <c r="AS102" s="55">
        <f t="shared" si="558"/>
        <v>0</v>
      </c>
      <c r="AT102" s="59">
        <f t="shared" si="559"/>
        <v>0</v>
      </c>
      <c r="AU102" s="60">
        <f t="shared" si="560"/>
        <v>0</v>
      </c>
      <c r="AV102" s="59">
        <f t="shared" si="561"/>
        <v>0</v>
      </c>
      <c r="AW102" s="60">
        <f t="shared" si="562"/>
        <v>0</v>
      </c>
      <c r="AX102" s="59">
        <f t="shared" si="563"/>
        <v>0</v>
      </c>
      <c r="AY102" s="55">
        <f t="shared" si="564"/>
        <v>0</v>
      </c>
      <c r="AZ102" s="59">
        <f t="shared" si="565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66"/>
        <v>0.91</v>
      </c>
      <c r="BH102" s="55">
        <f t="shared" si="566"/>
        <v>0.89</v>
      </c>
      <c r="BI102" s="55">
        <f t="shared" si="566"/>
        <v>0.87</v>
      </c>
      <c r="BJ102" s="55">
        <f t="shared" si="566"/>
        <v>0.85</v>
      </c>
      <c r="BK102" s="55">
        <f t="shared" si="566"/>
        <v>0.83</v>
      </c>
      <c r="BL102" s="55">
        <f t="shared" si="566"/>
        <v>0.80999999999999994</v>
      </c>
      <c r="BM102" s="55">
        <f t="shared" si="566"/>
        <v>0.78999999999999992</v>
      </c>
      <c r="BN102" s="55">
        <f t="shared" si="566"/>
        <v>0.76999999999999991</v>
      </c>
      <c r="BO102" s="55">
        <f t="shared" si="566"/>
        <v>0.74999999999999989</v>
      </c>
      <c r="BP102" s="55">
        <f t="shared" si="566"/>
        <v>0.72999999999999987</v>
      </c>
      <c r="BQ102" s="55">
        <f t="shared" si="566"/>
        <v>0.70999999999999985</v>
      </c>
      <c r="BR102" s="55">
        <f t="shared" si="566"/>
        <v>0.68999999999999984</v>
      </c>
      <c r="BS102" s="55">
        <f t="shared" si="566"/>
        <v>0.66999999999999982</v>
      </c>
      <c r="BT102" s="55">
        <f t="shared" si="566"/>
        <v>0.6499999999999998</v>
      </c>
      <c r="BU102" s="55">
        <f t="shared" si="566"/>
        <v>0.62999999999999978</v>
      </c>
      <c r="BV102" s="55">
        <f t="shared" si="566"/>
        <v>0.60999999999999976</v>
      </c>
      <c r="BW102" s="55">
        <f t="shared" si="566"/>
        <v>0.58999999999999975</v>
      </c>
      <c r="BX102" s="55">
        <f t="shared" si="566"/>
        <v>0.56999999999999973</v>
      </c>
      <c r="BZ102" s="55">
        <f t="shared" si="515"/>
        <v>0</v>
      </c>
      <c r="CA102" s="55">
        <f t="shared" si="516"/>
        <v>0</v>
      </c>
      <c r="CB102" s="59">
        <f t="shared" si="567"/>
        <v>0</v>
      </c>
      <c r="CC102" s="55">
        <f t="shared" si="568"/>
        <v>0</v>
      </c>
      <c r="CD102" s="59">
        <f t="shared" si="569"/>
        <v>0</v>
      </c>
      <c r="CE102" s="55">
        <f t="shared" si="570"/>
        <v>0</v>
      </c>
      <c r="CF102" s="59">
        <f t="shared" si="571"/>
        <v>0</v>
      </c>
      <c r="CG102" s="55">
        <f t="shared" si="572"/>
        <v>0</v>
      </c>
      <c r="CH102" s="59">
        <f t="shared" si="573"/>
        <v>0</v>
      </c>
      <c r="CI102" s="57">
        <f t="shared" si="574"/>
        <v>0</v>
      </c>
      <c r="CJ102" s="59">
        <f t="shared" si="575"/>
        <v>0</v>
      </c>
      <c r="CK102" s="55">
        <f t="shared" si="576"/>
        <v>0</v>
      </c>
      <c r="CL102" s="59">
        <f t="shared" si="577"/>
        <v>0</v>
      </c>
      <c r="CM102" s="57">
        <f t="shared" si="578"/>
        <v>0</v>
      </c>
      <c r="CN102" s="59">
        <f t="shared" si="579"/>
        <v>0</v>
      </c>
      <c r="CO102" s="60">
        <f t="shared" si="580"/>
        <v>0</v>
      </c>
      <c r="CP102" s="59">
        <f t="shared" si="581"/>
        <v>0</v>
      </c>
      <c r="CQ102" s="57">
        <f t="shared" si="582"/>
        <v>0</v>
      </c>
      <c r="CR102" s="59">
        <f t="shared" si="583"/>
        <v>0</v>
      </c>
      <c r="CS102" s="55">
        <f t="shared" si="584"/>
        <v>0</v>
      </c>
      <c r="CT102" s="59">
        <f t="shared" si="585"/>
        <v>0</v>
      </c>
      <c r="CU102" s="60">
        <f t="shared" si="586"/>
        <v>0</v>
      </c>
      <c r="CV102" s="59">
        <f t="shared" si="587"/>
        <v>0</v>
      </c>
      <c r="CW102" s="60">
        <f t="shared" si="588"/>
        <v>0</v>
      </c>
      <c r="CX102" s="59">
        <f t="shared" si="589"/>
        <v>0</v>
      </c>
      <c r="CY102" s="60">
        <f t="shared" si="590"/>
        <v>0</v>
      </c>
      <c r="CZ102" s="59">
        <f t="shared" si="591"/>
        <v>0</v>
      </c>
      <c r="DA102" s="55">
        <f t="shared" si="592"/>
        <v>0</v>
      </c>
      <c r="DB102" s="59">
        <f t="shared" si="593"/>
        <v>0</v>
      </c>
      <c r="DC102" s="60">
        <f t="shared" si="594"/>
        <v>0</v>
      </c>
      <c r="DD102" s="59">
        <f t="shared" si="595"/>
        <v>0</v>
      </c>
      <c r="DE102" s="60">
        <f t="shared" si="596"/>
        <v>0</v>
      </c>
      <c r="DF102" s="59">
        <f t="shared" si="597"/>
        <v>0</v>
      </c>
      <c r="DG102" s="60">
        <f t="shared" si="598"/>
        <v>0</v>
      </c>
      <c r="DH102" s="59">
        <f t="shared" si="599"/>
        <v>0</v>
      </c>
      <c r="DI102" s="60">
        <f t="shared" si="600"/>
        <v>0</v>
      </c>
      <c r="DJ102" s="59">
        <f t="shared" si="601"/>
        <v>0</v>
      </c>
      <c r="DK102" s="55">
        <f t="shared" si="602"/>
        <v>0</v>
      </c>
      <c r="DL102" s="59">
        <f t="shared" si="603"/>
        <v>0</v>
      </c>
      <c r="DM102" s="60">
        <f t="shared" si="604"/>
        <v>0</v>
      </c>
      <c r="DN102" s="59">
        <f t="shared" si="605"/>
        <v>0</v>
      </c>
      <c r="DO102" s="60">
        <f t="shared" si="606"/>
        <v>0</v>
      </c>
      <c r="DP102" s="59">
        <f t="shared" si="607"/>
        <v>0</v>
      </c>
      <c r="DQ102" s="55">
        <f t="shared" si="608"/>
        <v>0</v>
      </c>
      <c r="DR102" s="59">
        <f t="shared" si="609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55"/>
        <v>0.91</v>
      </c>
      <c r="DZ102" s="55">
        <f t="shared" si="655"/>
        <v>0.89</v>
      </c>
      <c r="EA102" s="55">
        <f t="shared" si="655"/>
        <v>0.87</v>
      </c>
      <c r="EB102" s="55">
        <f t="shared" si="655"/>
        <v>0.85</v>
      </c>
      <c r="EC102" s="55">
        <f t="shared" si="655"/>
        <v>0.83</v>
      </c>
      <c r="ED102" s="55">
        <f t="shared" si="655"/>
        <v>0.80999999999999994</v>
      </c>
      <c r="EE102" s="55">
        <f t="shared" si="655"/>
        <v>0.78999999999999992</v>
      </c>
      <c r="EF102" s="55">
        <f t="shared" si="655"/>
        <v>0.76999999999999991</v>
      </c>
      <c r="EG102" s="55">
        <f t="shared" si="655"/>
        <v>0.74999999999999989</v>
      </c>
      <c r="EH102" s="55">
        <f t="shared" si="655"/>
        <v>0.72999999999999987</v>
      </c>
      <c r="EI102" s="55">
        <f t="shared" si="655"/>
        <v>0.70999999999999985</v>
      </c>
      <c r="EJ102" s="55">
        <f t="shared" si="655"/>
        <v>0.68999999999999984</v>
      </c>
      <c r="EK102" s="55">
        <f t="shared" si="655"/>
        <v>0.66999999999999982</v>
      </c>
      <c r="EL102" s="55">
        <f t="shared" si="655"/>
        <v>0.6499999999999998</v>
      </c>
      <c r="EM102" s="55">
        <f t="shared" si="655"/>
        <v>0.62999999999999978</v>
      </c>
      <c r="EN102" s="55">
        <f t="shared" si="655"/>
        <v>0.60999999999999976</v>
      </c>
      <c r="EO102" s="55">
        <f t="shared" si="655"/>
        <v>0.58999999999999975</v>
      </c>
      <c r="EP102" s="55">
        <f t="shared" si="655"/>
        <v>0.56999999999999973</v>
      </c>
      <c r="ER102" s="55">
        <f t="shared" si="656"/>
        <v>0</v>
      </c>
      <c r="ES102" s="55">
        <f t="shared" si="517"/>
        <v>0</v>
      </c>
      <c r="ET102" s="59">
        <f t="shared" si="610"/>
        <v>0</v>
      </c>
      <c r="EU102" s="55">
        <f t="shared" si="611"/>
        <v>0</v>
      </c>
      <c r="EV102" s="59">
        <f t="shared" si="612"/>
        <v>0</v>
      </c>
      <c r="EW102" s="55">
        <f t="shared" si="613"/>
        <v>0</v>
      </c>
      <c r="EX102" s="59">
        <f t="shared" si="614"/>
        <v>0</v>
      </c>
      <c r="EY102" s="55">
        <f t="shared" si="615"/>
        <v>0</v>
      </c>
      <c r="EZ102" s="59">
        <f t="shared" si="616"/>
        <v>0</v>
      </c>
      <c r="FA102" s="57">
        <f t="shared" si="617"/>
        <v>0</v>
      </c>
      <c r="FB102" s="59">
        <f t="shared" si="618"/>
        <v>0</v>
      </c>
      <c r="FC102" s="55">
        <f t="shared" si="619"/>
        <v>0</v>
      </c>
      <c r="FD102" s="59">
        <f t="shared" si="620"/>
        <v>0</v>
      </c>
      <c r="FE102" s="57">
        <f t="shared" si="621"/>
        <v>0</v>
      </c>
      <c r="FF102" s="59">
        <f t="shared" si="622"/>
        <v>0</v>
      </c>
      <c r="FG102" s="60">
        <f t="shared" si="623"/>
        <v>0</v>
      </c>
      <c r="FH102" s="59">
        <f t="shared" si="624"/>
        <v>0</v>
      </c>
      <c r="FI102" s="57">
        <f t="shared" si="625"/>
        <v>0</v>
      </c>
      <c r="FJ102" s="59">
        <f t="shared" si="626"/>
        <v>0</v>
      </c>
      <c r="FK102" s="55">
        <f t="shared" si="627"/>
        <v>0</v>
      </c>
      <c r="FL102" s="59">
        <f t="shared" si="628"/>
        <v>0</v>
      </c>
      <c r="FM102" s="60">
        <f t="shared" si="629"/>
        <v>0</v>
      </c>
      <c r="FN102" s="59">
        <f t="shared" si="630"/>
        <v>0</v>
      </c>
      <c r="FO102" s="60">
        <f t="shared" si="631"/>
        <v>0</v>
      </c>
      <c r="FP102" s="59">
        <f t="shared" si="632"/>
        <v>0</v>
      </c>
      <c r="FQ102" s="60">
        <f t="shared" si="633"/>
        <v>0</v>
      </c>
      <c r="FR102" s="59">
        <f t="shared" si="634"/>
        <v>0</v>
      </c>
      <c r="FS102" s="55">
        <f t="shared" si="635"/>
        <v>0</v>
      </c>
      <c r="FT102" s="59">
        <f t="shared" si="636"/>
        <v>0</v>
      </c>
      <c r="FU102" s="60">
        <f t="shared" si="637"/>
        <v>0</v>
      </c>
      <c r="FV102" s="59">
        <f t="shared" si="638"/>
        <v>0</v>
      </c>
      <c r="FW102" s="60">
        <f t="shared" si="639"/>
        <v>0</v>
      </c>
      <c r="FX102" s="59">
        <f t="shared" si="640"/>
        <v>0</v>
      </c>
      <c r="FY102" s="60">
        <f t="shared" si="641"/>
        <v>0</v>
      </c>
      <c r="FZ102" s="59">
        <f t="shared" si="642"/>
        <v>0</v>
      </c>
      <c r="GA102" s="60">
        <f t="shared" si="643"/>
        <v>0</v>
      </c>
      <c r="GB102" s="59">
        <f t="shared" si="644"/>
        <v>0</v>
      </c>
      <c r="GC102" s="55">
        <f t="shared" si="645"/>
        <v>0</v>
      </c>
      <c r="GD102" s="59">
        <f t="shared" si="646"/>
        <v>0</v>
      </c>
      <c r="GE102" s="60">
        <f t="shared" si="647"/>
        <v>0</v>
      </c>
      <c r="GF102" s="59">
        <f t="shared" si="648"/>
        <v>0</v>
      </c>
      <c r="GG102" s="60">
        <f t="shared" si="649"/>
        <v>0</v>
      </c>
      <c r="GH102" s="59">
        <f t="shared" si="650"/>
        <v>0</v>
      </c>
      <c r="GI102" s="55">
        <f t="shared" si="651"/>
        <v>0</v>
      </c>
      <c r="GJ102" s="59">
        <f t="shared" si="652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57"/>
        <v>0.91</v>
      </c>
      <c r="GR102" s="55">
        <f t="shared" si="657"/>
        <v>0.89</v>
      </c>
      <c r="GS102" s="55">
        <f t="shared" si="657"/>
        <v>0.87</v>
      </c>
      <c r="GT102" s="55">
        <f t="shared" si="657"/>
        <v>0.85</v>
      </c>
      <c r="GU102" s="55">
        <f t="shared" si="657"/>
        <v>0.83</v>
      </c>
      <c r="GV102" s="55">
        <f t="shared" si="657"/>
        <v>0.80999999999999994</v>
      </c>
      <c r="GW102" s="55">
        <f t="shared" si="657"/>
        <v>0.78999999999999992</v>
      </c>
      <c r="GX102" s="55">
        <f t="shared" si="657"/>
        <v>0.76999999999999991</v>
      </c>
      <c r="GY102" s="55">
        <f t="shared" si="657"/>
        <v>0.74999999999999989</v>
      </c>
      <c r="GZ102" s="55">
        <f t="shared" si="657"/>
        <v>0.72999999999999987</v>
      </c>
      <c r="HA102" s="55">
        <f t="shared" si="657"/>
        <v>0.70999999999999985</v>
      </c>
      <c r="HB102" s="55">
        <f t="shared" si="657"/>
        <v>0.68999999999999984</v>
      </c>
      <c r="HC102" s="55">
        <f t="shared" si="657"/>
        <v>0.66999999999999982</v>
      </c>
      <c r="HD102" s="55">
        <f t="shared" si="657"/>
        <v>0.6499999999999998</v>
      </c>
      <c r="HE102" s="55">
        <f t="shared" si="657"/>
        <v>0.62999999999999978</v>
      </c>
      <c r="HF102" s="55">
        <f t="shared" si="657"/>
        <v>0.60999999999999976</v>
      </c>
      <c r="HG102" s="55">
        <f t="shared" si="657"/>
        <v>0.58999999999999975</v>
      </c>
      <c r="HH102" s="55">
        <f t="shared" si="657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22"/>
        <v>0</v>
      </c>
      <c r="H103" s="55">
        <f t="shared" si="523"/>
        <v>0</v>
      </c>
      <c r="I103" s="55">
        <f t="shared" si="513"/>
        <v>0</v>
      </c>
      <c r="J103" s="59">
        <f t="shared" si="514"/>
        <v>0</v>
      </c>
      <c r="K103" s="55">
        <f t="shared" si="524"/>
        <v>0</v>
      </c>
      <c r="L103" s="59">
        <f t="shared" si="525"/>
        <v>0</v>
      </c>
      <c r="M103" s="55">
        <f t="shared" si="526"/>
        <v>0</v>
      </c>
      <c r="N103" s="59">
        <f t="shared" si="527"/>
        <v>0</v>
      </c>
      <c r="O103" s="55">
        <f t="shared" si="528"/>
        <v>0</v>
      </c>
      <c r="P103" s="59">
        <f t="shared" si="529"/>
        <v>0</v>
      </c>
      <c r="Q103" s="57">
        <f t="shared" si="530"/>
        <v>0</v>
      </c>
      <c r="R103" s="59">
        <f t="shared" si="531"/>
        <v>0</v>
      </c>
      <c r="S103" s="55">
        <f t="shared" si="532"/>
        <v>0</v>
      </c>
      <c r="T103" s="59">
        <f t="shared" si="533"/>
        <v>0</v>
      </c>
      <c r="U103" s="57">
        <f t="shared" si="534"/>
        <v>0</v>
      </c>
      <c r="V103" s="59">
        <f t="shared" si="535"/>
        <v>0</v>
      </c>
      <c r="W103" s="60">
        <f t="shared" si="536"/>
        <v>0</v>
      </c>
      <c r="X103" s="59">
        <f t="shared" si="537"/>
        <v>0</v>
      </c>
      <c r="Y103" s="57">
        <f t="shared" si="538"/>
        <v>0</v>
      </c>
      <c r="Z103" s="59">
        <f t="shared" si="539"/>
        <v>0</v>
      </c>
      <c r="AA103" s="55">
        <f t="shared" si="540"/>
        <v>0</v>
      </c>
      <c r="AB103" s="59">
        <f t="shared" si="541"/>
        <v>0</v>
      </c>
      <c r="AC103" s="60">
        <f t="shared" si="542"/>
        <v>0</v>
      </c>
      <c r="AD103" s="59">
        <f t="shared" si="543"/>
        <v>0</v>
      </c>
      <c r="AE103" s="60">
        <f t="shared" si="544"/>
        <v>0</v>
      </c>
      <c r="AF103" s="59">
        <f t="shared" si="545"/>
        <v>0</v>
      </c>
      <c r="AG103" s="60">
        <f t="shared" si="546"/>
        <v>0</v>
      </c>
      <c r="AH103" s="59">
        <f t="shared" si="547"/>
        <v>0</v>
      </c>
      <c r="AI103" s="55">
        <f t="shared" si="548"/>
        <v>0</v>
      </c>
      <c r="AJ103" s="59">
        <f t="shared" si="549"/>
        <v>0</v>
      </c>
      <c r="AK103" s="60">
        <f t="shared" si="550"/>
        <v>0</v>
      </c>
      <c r="AL103" s="59">
        <f t="shared" si="551"/>
        <v>0</v>
      </c>
      <c r="AM103" s="60">
        <f t="shared" si="552"/>
        <v>0</v>
      </c>
      <c r="AN103" s="59">
        <f t="shared" si="553"/>
        <v>0</v>
      </c>
      <c r="AO103" s="60">
        <f t="shared" si="554"/>
        <v>0</v>
      </c>
      <c r="AP103" s="59">
        <f t="shared" si="555"/>
        <v>0</v>
      </c>
      <c r="AQ103" s="60">
        <f t="shared" si="556"/>
        <v>0</v>
      </c>
      <c r="AR103" s="59">
        <f t="shared" si="557"/>
        <v>0</v>
      </c>
      <c r="AS103" s="55">
        <f t="shared" si="558"/>
        <v>0</v>
      </c>
      <c r="AT103" s="59">
        <f t="shared" si="559"/>
        <v>0</v>
      </c>
      <c r="AU103" s="60">
        <f t="shared" si="560"/>
        <v>0</v>
      </c>
      <c r="AV103" s="59">
        <f t="shared" si="561"/>
        <v>0</v>
      </c>
      <c r="AW103" s="60">
        <f t="shared" si="562"/>
        <v>0</v>
      </c>
      <c r="AX103" s="59">
        <f t="shared" si="563"/>
        <v>0</v>
      </c>
      <c r="AY103" s="55">
        <f t="shared" si="564"/>
        <v>0</v>
      </c>
      <c r="AZ103" s="59">
        <f t="shared" si="565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66"/>
        <v>0.91</v>
      </c>
      <c r="BH103" s="55">
        <f t="shared" si="566"/>
        <v>0.89</v>
      </c>
      <c r="BI103" s="55">
        <f t="shared" si="566"/>
        <v>0.87</v>
      </c>
      <c r="BJ103" s="55">
        <f t="shared" si="566"/>
        <v>0.85</v>
      </c>
      <c r="BK103" s="55">
        <f t="shared" si="566"/>
        <v>0.83</v>
      </c>
      <c r="BL103" s="55">
        <f t="shared" si="566"/>
        <v>0.80999999999999994</v>
      </c>
      <c r="BM103" s="55">
        <f t="shared" si="566"/>
        <v>0.78999999999999992</v>
      </c>
      <c r="BN103" s="55">
        <f t="shared" si="566"/>
        <v>0.76999999999999991</v>
      </c>
      <c r="BO103" s="55">
        <f t="shared" si="566"/>
        <v>0.74999999999999989</v>
      </c>
      <c r="BP103" s="55">
        <f t="shared" si="566"/>
        <v>0.72999999999999987</v>
      </c>
      <c r="BQ103" s="55">
        <f t="shared" si="566"/>
        <v>0.70999999999999985</v>
      </c>
      <c r="BR103" s="55">
        <f t="shared" si="566"/>
        <v>0.68999999999999984</v>
      </c>
      <c r="BS103" s="55">
        <f t="shared" si="566"/>
        <v>0.66999999999999982</v>
      </c>
      <c r="BT103" s="55">
        <f t="shared" si="566"/>
        <v>0.6499999999999998</v>
      </c>
      <c r="BU103" s="55">
        <f t="shared" si="566"/>
        <v>0.62999999999999978</v>
      </c>
      <c r="BV103" s="55">
        <f t="shared" si="566"/>
        <v>0.60999999999999976</v>
      </c>
      <c r="BW103" s="55">
        <f t="shared" si="566"/>
        <v>0.58999999999999975</v>
      </c>
      <c r="BX103" s="55">
        <f t="shared" si="566"/>
        <v>0.56999999999999973</v>
      </c>
      <c r="BZ103" s="55">
        <f t="shared" si="515"/>
        <v>0</v>
      </c>
      <c r="CA103" s="55">
        <f t="shared" si="516"/>
        <v>0</v>
      </c>
      <c r="CB103" s="59">
        <f t="shared" si="567"/>
        <v>0</v>
      </c>
      <c r="CC103" s="55">
        <f t="shared" si="568"/>
        <v>0</v>
      </c>
      <c r="CD103" s="59">
        <f t="shared" si="569"/>
        <v>0</v>
      </c>
      <c r="CE103" s="55">
        <f t="shared" si="570"/>
        <v>0</v>
      </c>
      <c r="CF103" s="59">
        <f t="shared" si="571"/>
        <v>0</v>
      </c>
      <c r="CG103" s="55">
        <f t="shared" si="572"/>
        <v>0</v>
      </c>
      <c r="CH103" s="59">
        <f t="shared" si="573"/>
        <v>0</v>
      </c>
      <c r="CI103" s="57">
        <f t="shared" si="574"/>
        <v>0</v>
      </c>
      <c r="CJ103" s="59">
        <f t="shared" si="575"/>
        <v>0</v>
      </c>
      <c r="CK103" s="55">
        <f t="shared" si="576"/>
        <v>0</v>
      </c>
      <c r="CL103" s="59">
        <f t="shared" si="577"/>
        <v>0</v>
      </c>
      <c r="CM103" s="57">
        <f t="shared" si="578"/>
        <v>0</v>
      </c>
      <c r="CN103" s="59">
        <f t="shared" si="579"/>
        <v>0</v>
      </c>
      <c r="CO103" s="60">
        <f t="shared" si="580"/>
        <v>0</v>
      </c>
      <c r="CP103" s="59">
        <f t="shared" si="581"/>
        <v>0</v>
      </c>
      <c r="CQ103" s="57">
        <f t="shared" si="582"/>
        <v>0</v>
      </c>
      <c r="CR103" s="59">
        <f t="shared" si="583"/>
        <v>0</v>
      </c>
      <c r="CS103" s="55">
        <f t="shared" si="584"/>
        <v>0</v>
      </c>
      <c r="CT103" s="59">
        <f t="shared" si="585"/>
        <v>0</v>
      </c>
      <c r="CU103" s="60">
        <f t="shared" si="586"/>
        <v>0</v>
      </c>
      <c r="CV103" s="59">
        <f t="shared" si="587"/>
        <v>0</v>
      </c>
      <c r="CW103" s="60">
        <f t="shared" si="588"/>
        <v>0</v>
      </c>
      <c r="CX103" s="59">
        <f t="shared" si="589"/>
        <v>0</v>
      </c>
      <c r="CY103" s="60">
        <f t="shared" si="590"/>
        <v>0</v>
      </c>
      <c r="CZ103" s="59">
        <f t="shared" si="591"/>
        <v>0</v>
      </c>
      <c r="DA103" s="55">
        <f t="shared" si="592"/>
        <v>0</v>
      </c>
      <c r="DB103" s="59">
        <f t="shared" si="593"/>
        <v>0</v>
      </c>
      <c r="DC103" s="60">
        <f t="shared" si="594"/>
        <v>0</v>
      </c>
      <c r="DD103" s="59">
        <f t="shared" si="595"/>
        <v>0</v>
      </c>
      <c r="DE103" s="60">
        <f t="shared" si="596"/>
        <v>0</v>
      </c>
      <c r="DF103" s="59">
        <f t="shared" si="597"/>
        <v>0</v>
      </c>
      <c r="DG103" s="60">
        <f t="shared" si="598"/>
        <v>0</v>
      </c>
      <c r="DH103" s="59">
        <f t="shared" si="599"/>
        <v>0</v>
      </c>
      <c r="DI103" s="60">
        <f t="shared" si="600"/>
        <v>0</v>
      </c>
      <c r="DJ103" s="59">
        <f t="shared" si="601"/>
        <v>0</v>
      </c>
      <c r="DK103" s="55">
        <f t="shared" si="602"/>
        <v>0</v>
      </c>
      <c r="DL103" s="59">
        <f t="shared" si="603"/>
        <v>0</v>
      </c>
      <c r="DM103" s="60">
        <f t="shared" si="604"/>
        <v>0</v>
      </c>
      <c r="DN103" s="59">
        <f t="shared" si="605"/>
        <v>0</v>
      </c>
      <c r="DO103" s="60">
        <f t="shared" si="606"/>
        <v>0</v>
      </c>
      <c r="DP103" s="59">
        <f t="shared" si="607"/>
        <v>0</v>
      </c>
      <c r="DQ103" s="55">
        <f t="shared" si="608"/>
        <v>0</v>
      </c>
      <c r="DR103" s="59">
        <f t="shared" si="609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55"/>
        <v>0.91</v>
      </c>
      <c r="DZ103" s="55">
        <f t="shared" si="655"/>
        <v>0.89</v>
      </c>
      <c r="EA103" s="55">
        <f t="shared" si="655"/>
        <v>0.87</v>
      </c>
      <c r="EB103" s="55">
        <f t="shared" si="655"/>
        <v>0.85</v>
      </c>
      <c r="EC103" s="55">
        <f t="shared" si="655"/>
        <v>0.83</v>
      </c>
      <c r="ED103" s="55">
        <f t="shared" si="655"/>
        <v>0.80999999999999994</v>
      </c>
      <c r="EE103" s="55">
        <f t="shared" si="655"/>
        <v>0.78999999999999992</v>
      </c>
      <c r="EF103" s="55">
        <f t="shared" si="655"/>
        <v>0.76999999999999991</v>
      </c>
      <c r="EG103" s="55">
        <f t="shared" si="655"/>
        <v>0.74999999999999989</v>
      </c>
      <c r="EH103" s="55">
        <f t="shared" si="655"/>
        <v>0.72999999999999987</v>
      </c>
      <c r="EI103" s="55">
        <f t="shared" si="655"/>
        <v>0.70999999999999985</v>
      </c>
      <c r="EJ103" s="55">
        <f t="shared" si="655"/>
        <v>0.68999999999999984</v>
      </c>
      <c r="EK103" s="55">
        <f t="shared" si="655"/>
        <v>0.66999999999999982</v>
      </c>
      <c r="EL103" s="55">
        <f t="shared" si="655"/>
        <v>0.6499999999999998</v>
      </c>
      <c r="EM103" s="55">
        <f t="shared" si="655"/>
        <v>0.62999999999999978</v>
      </c>
      <c r="EN103" s="55">
        <f t="shared" si="655"/>
        <v>0.60999999999999976</v>
      </c>
      <c r="EO103" s="55">
        <f t="shared" si="655"/>
        <v>0.58999999999999975</v>
      </c>
      <c r="EP103" s="55">
        <f t="shared" si="655"/>
        <v>0.56999999999999973</v>
      </c>
      <c r="ER103" s="55">
        <f t="shared" si="656"/>
        <v>0</v>
      </c>
      <c r="ES103" s="55">
        <f t="shared" si="517"/>
        <v>0</v>
      </c>
      <c r="ET103" s="59">
        <f t="shared" si="610"/>
        <v>0</v>
      </c>
      <c r="EU103" s="55">
        <f t="shared" si="611"/>
        <v>0</v>
      </c>
      <c r="EV103" s="59">
        <f t="shared" si="612"/>
        <v>0</v>
      </c>
      <c r="EW103" s="55">
        <f t="shared" si="613"/>
        <v>0</v>
      </c>
      <c r="EX103" s="59">
        <f t="shared" si="614"/>
        <v>0</v>
      </c>
      <c r="EY103" s="55">
        <f t="shared" si="615"/>
        <v>0</v>
      </c>
      <c r="EZ103" s="59">
        <f t="shared" si="616"/>
        <v>0</v>
      </c>
      <c r="FA103" s="57">
        <f t="shared" si="617"/>
        <v>0</v>
      </c>
      <c r="FB103" s="59">
        <f t="shared" si="618"/>
        <v>0</v>
      </c>
      <c r="FC103" s="55">
        <f t="shared" si="619"/>
        <v>0</v>
      </c>
      <c r="FD103" s="59">
        <f t="shared" si="620"/>
        <v>0</v>
      </c>
      <c r="FE103" s="57">
        <f t="shared" si="621"/>
        <v>0</v>
      </c>
      <c r="FF103" s="59">
        <f t="shared" si="622"/>
        <v>0</v>
      </c>
      <c r="FG103" s="60">
        <f t="shared" si="623"/>
        <v>0</v>
      </c>
      <c r="FH103" s="59">
        <f t="shared" si="624"/>
        <v>0</v>
      </c>
      <c r="FI103" s="57">
        <f t="shared" si="625"/>
        <v>0</v>
      </c>
      <c r="FJ103" s="59">
        <f t="shared" si="626"/>
        <v>0</v>
      </c>
      <c r="FK103" s="55">
        <f t="shared" si="627"/>
        <v>0</v>
      </c>
      <c r="FL103" s="59">
        <f t="shared" si="628"/>
        <v>0</v>
      </c>
      <c r="FM103" s="60">
        <f t="shared" si="629"/>
        <v>0</v>
      </c>
      <c r="FN103" s="59">
        <f t="shared" si="630"/>
        <v>0</v>
      </c>
      <c r="FO103" s="60">
        <f t="shared" si="631"/>
        <v>0</v>
      </c>
      <c r="FP103" s="59">
        <f t="shared" si="632"/>
        <v>0</v>
      </c>
      <c r="FQ103" s="60">
        <f t="shared" si="633"/>
        <v>0</v>
      </c>
      <c r="FR103" s="59">
        <f t="shared" si="634"/>
        <v>0</v>
      </c>
      <c r="FS103" s="55">
        <f t="shared" si="635"/>
        <v>0</v>
      </c>
      <c r="FT103" s="59">
        <f t="shared" si="636"/>
        <v>0</v>
      </c>
      <c r="FU103" s="60">
        <f t="shared" si="637"/>
        <v>0</v>
      </c>
      <c r="FV103" s="59">
        <f t="shared" si="638"/>
        <v>0</v>
      </c>
      <c r="FW103" s="60">
        <f t="shared" si="639"/>
        <v>0</v>
      </c>
      <c r="FX103" s="59">
        <f t="shared" si="640"/>
        <v>0</v>
      </c>
      <c r="FY103" s="60">
        <f t="shared" si="641"/>
        <v>0</v>
      </c>
      <c r="FZ103" s="59">
        <f t="shared" si="642"/>
        <v>0</v>
      </c>
      <c r="GA103" s="60">
        <f t="shared" si="643"/>
        <v>0</v>
      </c>
      <c r="GB103" s="59">
        <f t="shared" si="644"/>
        <v>0</v>
      </c>
      <c r="GC103" s="55">
        <f t="shared" si="645"/>
        <v>0</v>
      </c>
      <c r="GD103" s="59">
        <f t="shared" si="646"/>
        <v>0</v>
      </c>
      <c r="GE103" s="60">
        <f t="shared" si="647"/>
        <v>0</v>
      </c>
      <c r="GF103" s="59">
        <f t="shared" si="648"/>
        <v>0</v>
      </c>
      <c r="GG103" s="60">
        <f t="shared" si="649"/>
        <v>0</v>
      </c>
      <c r="GH103" s="59">
        <f t="shared" si="650"/>
        <v>0</v>
      </c>
      <c r="GI103" s="55">
        <f t="shared" si="651"/>
        <v>0</v>
      </c>
      <c r="GJ103" s="59">
        <f t="shared" si="652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57"/>
        <v>0.91</v>
      </c>
      <c r="GR103" s="55">
        <f t="shared" si="657"/>
        <v>0.89</v>
      </c>
      <c r="GS103" s="55">
        <f t="shared" si="657"/>
        <v>0.87</v>
      </c>
      <c r="GT103" s="55">
        <f t="shared" si="657"/>
        <v>0.85</v>
      </c>
      <c r="GU103" s="55">
        <f t="shared" si="657"/>
        <v>0.83</v>
      </c>
      <c r="GV103" s="55">
        <f t="shared" si="657"/>
        <v>0.80999999999999994</v>
      </c>
      <c r="GW103" s="55">
        <f t="shared" si="657"/>
        <v>0.78999999999999992</v>
      </c>
      <c r="GX103" s="55">
        <f t="shared" si="657"/>
        <v>0.76999999999999991</v>
      </c>
      <c r="GY103" s="55">
        <f t="shared" si="657"/>
        <v>0.74999999999999989</v>
      </c>
      <c r="GZ103" s="55">
        <f t="shared" si="657"/>
        <v>0.72999999999999987</v>
      </c>
      <c r="HA103" s="55">
        <f t="shared" si="657"/>
        <v>0.70999999999999985</v>
      </c>
      <c r="HB103" s="55">
        <f t="shared" si="657"/>
        <v>0.68999999999999984</v>
      </c>
      <c r="HC103" s="55">
        <f t="shared" si="657"/>
        <v>0.66999999999999982</v>
      </c>
      <c r="HD103" s="55">
        <f t="shared" si="657"/>
        <v>0.6499999999999998</v>
      </c>
      <c r="HE103" s="55">
        <f t="shared" si="657"/>
        <v>0.62999999999999978</v>
      </c>
      <c r="HF103" s="55">
        <f t="shared" si="657"/>
        <v>0.60999999999999976</v>
      </c>
      <c r="HG103" s="55">
        <f t="shared" si="657"/>
        <v>0.58999999999999975</v>
      </c>
      <c r="HH103" s="55">
        <f t="shared" si="657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22"/>
        <v>0</v>
      </c>
      <c r="H104" s="55">
        <f t="shared" si="523"/>
        <v>0</v>
      </c>
      <c r="I104" s="55">
        <f t="shared" si="513"/>
        <v>0</v>
      </c>
      <c r="J104" s="59">
        <f t="shared" si="514"/>
        <v>0</v>
      </c>
      <c r="K104" s="55">
        <f t="shared" si="524"/>
        <v>0</v>
      </c>
      <c r="L104" s="59">
        <f t="shared" si="525"/>
        <v>0</v>
      </c>
      <c r="M104" s="55">
        <f t="shared" si="526"/>
        <v>0</v>
      </c>
      <c r="N104" s="59">
        <f t="shared" si="527"/>
        <v>0</v>
      </c>
      <c r="O104" s="55">
        <f t="shared" si="528"/>
        <v>0</v>
      </c>
      <c r="P104" s="59">
        <f t="shared" si="529"/>
        <v>0</v>
      </c>
      <c r="Q104" s="57">
        <f t="shared" si="530"/>
        <v>0</v>
      </c>
      <c r="R104" s="59">
        <f t="shared" si="531"/>
        <v>0</v>
      </c>
      <c r="S104" s="55">
        <f t="shared" si="532"/>
        <v>0</v>
      </c>
      <c r="T104" s="59">
        <f t="shared" si="533"/>
        <v>0</v>
      </c>
      <c r="U104" s="57">
        <f t="shared" si="534"/>
        <v>0</v>
      </c>
      <c r="V104" s="59">
        <f t="shared" si="535"/>
        <v>0</v>
      </c>
      <c r="W104" s="60">
        <f t="shared" si="536"/>
        <v>0</v>
      </c>
      <c r="X104" s="59">
        <f t="shared" si="537"/>
        <v>0</v>
      </c>
      <c r="Y104" s="57">
        <f t="shared" si="538"/>
        <v>0</v>
      </c>
      <c r="Z104" s="59">
        <f t="shared" si="539"/>
        <v>0</v>
      </c>
      <c r="AA104" s="55">
        <f t="shared" si="540"/>
        <v>0</v>
      </c>
      <c r="AB104" s="59">
        <f t="shared" si="541"/>
        <v>0</v>
      </c>
      <c r="AC104" s="60">
        <f t="shared" si="542"/>
        <v>0</v>
      </c>
      <c r="AD104" s="59">
        <f t="shared" si="543"/>
        <v>0</v>
      </c>
      <c r="AE104" s="60">
        <f t="shared" si="544"/>
        <v>0</v>
      </c>
      <c r="AF104" s="59">
        <f t="shared" si="545"/>
        <v>0</v>
      </c>
      <c r="AG104" s="60">
        <f t="shared" si="546"/>
        <v>0</v>
      </c>
      <c r="AH104" s="59">
        <f t="shared" si="547"/>
        <v>0</v>
      </c>
      <c r="AI104" s="55">
        <f t="shared" si="548"/>
        <v>0</v>
      </c>
      <c r="AJ104" s="59">
        <f t="shared" si="549"/>
        <v>0</v>
      </c>
      <c r="AK104" s="60">
        <f t="shared" si="550"/>
        <v>0</v>
      </c>
      <c r="AL104" s="59">
        <f t="shared" si="551"/>
        <v>0</v>
      </c>
      <c r="AM104" s="60">
        <f t="shared" si="552"/>
        <v>0</v>
      </c>
      <c r="AN104" s="59">
        <f t="shared" si="553"/>
        <v>0</v>
      </c>
      <c r="AO104" s="60">
        <f t="shared" si="554"/>
        <v>0</v>
      </c>
      <c r="AP104" s="59">
        <f t="shared" si="555"/>
        <v>0</v>
      </c>
      <c r="AQ104" s="60">
        <f t="shared" si="556"/>
        <v>0</v>
      </c>
      <c r="AR104" s="59">
        <f t="shared" si="557"/>
        <v>0</v>
      </c>
      <c r="AS104" s="55">
        <f t="shared" si="558"/>
        <v>0</v>
      </c>
      <c r="AT104" s="59">
        <f t="shared" si="559"/>
        <v>0</v>
      </c>
      <c r="AU104" s="60">
        <f t="shared" si="560"/>
        <v>0</v>
      </c>
      <c r="AV104" s="59">
        <f t="shared" si="561"/>
        <v>0</v>
      </c>
      <c r="AW104" s="60">
        <f t="shared" si="562"/>
        <v>0</v>
      </c>
      <c r="AX104" s="59">
        <f t="shared" si="563"/>
        <v>0</v>
      </c>
      <c r="AY104" s="55">
        <f t="shared" si="564"/>
        <v>0</v>
      </c>
      <c r="AZ104" s="59">
        <f t="shared" si="565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66"/>
        <v>0.91</v>
      </c>
      <c r="BH104" s="55">
        <f t="shared" si="566"/>
        <v>0.89</v>
      </c>
      <c r="BI104" s="55">
        <f t="shared" si="566"/>
        <v>0.87</v>
      </c>
      <c r="BJ104" s="55">
        <f t="shared" si="566"/>
        <v>0.85</v>
      </c>
      <c r="BK104" s="55">
        <f t="shared" si="566"/>
        <v>0.83</v>
      </c>
      <c r="BL104" s="55">
        <f t="shared" si="566"/>
        <v>0.80999999999999994</v>
      </c>
      <c r="BM104" s="55">
        <f t="shared" si="566"/>
        <v>0.78999999999999992</v>
      </c>
      <c r="BN104" s="55">
        <f t="shared" si="566"/>
        <v>0.76999999999999991</v>
      </c>
      <c r="BO104" s="55">
        <f t="shared" si="566"/>
        <v>0.74999999999999989</v>
      </c>
      <c r="BP104" s="55">
        <f t="shared" si="566"/>
        <v>0.72999999999999987</v>
      </c>
      <c r="BQ104" s="55">
        <f t="shared" si="566"/>
        <v>0.70999999999999985</v>
      </c>
      <c r="BR104" s="55">
        <f t="shared" si="566"/>
        <v>0.68999999999999984</v>
      </c>
      <c r="BS104" s="55">
        <f t="shared" si="566"/>
        <v>0.66999999999999982</v>
      </c>
      <c r="BT104" s="55">
        <f t="shared" si="566"/>
        <v>0.6499999999999998</v>
      </c>
      <c r="BU104" s="55">
        <f t="shared" si="566"/>
        <v>0.62999999999999978</v>
      </c>
      <c r="BV104" s="55">
        <f t="shared" si="566"/>
        <v>0.60999999999999976</v>
      </c>
      <c r="BW104" s="55">
        <f t="shared" si="566"/>
        <v>0.58999999999999975</v>
      </c>
      <c r="BX104" s="55">
        <f t="shared" si="566"/>
        <v>0.56999999999999973</v>
      </c>
      <c r="BZ104" s="55">
        <f t="shared" si="515"/>
        <v>0</v>
      </c>
      <c r="CA104" s="55">
        <f t="shared" si="516"/>
        <v>0</v>
      </c>
      <c r="CB104" s="59">
        <f t="shared" si="567"/>
        <v>0</v>
      </c>
      <c r="CC104" s="55">
        <f t="shared" si="568"/>
        <v>0</v>
      </c>
      <c r="CD104" s="59">
        <f t="shared" si="569"/>
        <v>0</v>
      </c>
      <c r="CE104" s="55">
        <f t="shared" si="570"/>
        <v>0</v>
      </c>
      <c r="CF104" s="59">
        <f t="shared" si="571"/>
        <v>0</v>
      </c>
      <c r="CG104" s="55">
        <f t="shared" si="572"/>
        <v>0</v>
      </c>
      <c r="CH104" s="59">
        <f t="shared" si="573"/>
        <v>0</v>
      </c>
      <c r="CI104" s="57">
        <f t="shared" si="574"/>
        <v>0</v>
      </c>
      <c r="CJ104" s="59">
        <f t="shared" si="575"/>
        <v>0</v>
      </c>
      <c r="CK104" s="55">
        <f t="shared" si="576"/>
        <v>0</v>
      </c>
      <c r="CL104" s="59">
        <f t="shared" si="577"/>
        <v>0</v>
      </c>
      <c r="CM104" s="57">
        <f t="shared" si="578"/>
        <v>0</v>
      </c>
      <c r="CN104" s="59">
        <f t="shared" si="579"/>
        <v>0</v>
      </c>
      <c r="CO104" s="60">
        <f t="shared" si="580"/>
        <v>0</v>
      </c>
      <c r="CP104" s="59">
        <f t="shared" si="581"/>
        <v>0</v>
      </c>
      <c r="CQ104" s="57">
        <f t="shared" si="582"/>
        <v>0</v>
      </c>
      <c r="CR104" s="59">
        <f t="shared" si="583"/>
        <v>0</v>
      </c>
      <c r="CS104" s="55">
        <f t="shared" si="584"/>
        <v>0</v>
      </c>
      <c r="CT104" s="59">
        <f t="shared" si="585"/>
        <v>0</v>
      </c>
      <c r="CU104" s="60">
        <f t="shared" si="586"/>
        <v>0</v>
      </c>
      <c r="CV104" s="59">
        <f t="shared" si="587"/>
        <v>0</v>
      </c>
      <c r="CW104" s="60">
        <f t="shared" si="588"/>
        <v>0</v>
      </c>
      <c r="CX104" s="59">
        <f t="shared" si="589"/>
        <v>0</v>
      </c>
      <c r="CY104" s="60">
        <f t="shared" si="590"/>
        <v>0</v>
      </c>
      <c r="CZ104" s="59">
        <f t="shared" si="591"/>
        <v>0</v>
      </c>
      <c r="DA104" s="55">
        <f t="shared" si="592"/>
        <v>0</v>
      </c>
      <c r="DB104" s="59">
        <f t="shared" si="593"/>
        <v>0</v>
      </c>
      <c r="DC104" s="60">
        <f t="shared" si="594"/>
        <v>0</v>
      </c>
      <c r="DD104" s="59">
        <f t="shared" si="595"/>
        <v>0</v>
      </c>
      <c r="DE104" s="60">
        <f t="shared" si="596"/>
        <v>0</v>
      </c>
      <c r="DF104" s="59">
        <f t="shared" si="597"/>
        <v>0</v>
      </c>
      <c r="DG104" s="60">
        <f t="shared" si="598"/>
        <v>0</v>
      </c>
      <c r="DH104" s="59">
        <f t="shared" si="599"/>
        <v>0</v>
      </c>
      <c r="DI104" s="60">
        <f t="shared" si="600"/>
        <v>0</v>
      </c>
      <c r="DJ104" s="59">
        <f t="shared" si="601"/>
        <v>0</v>
      </c>
      <c r="DK104" s="55">
        <f t="shared" si="602"/>
        <v>0</v>
      </c>
      <c r="DL104" s="59">
        <f t="shared" si="603"/>
        <v>0</v>
      </c>
      <c r="DM104" s="60">
        <f t="shared" si="604"/>
        <v>0</v>
      </c>
      <c r="DN104" s="59">
        <f t="shared" si="605"/>
        <v>0</v>
      </c>
      <c r="DO104" s="60">
        <f t="shared" si="606"/>
        <v>0</v>
      </c>
      <c r="DP104" s="59">
        <f t="shared" si="607"/>
        <v>0</v>
      </c>
      <c r="DQ104" s="55">
        <f t="shared" si="608"/>
        <v>0</v>
      </c>
      <c r="DR104" s="59">
        <f t="shared" si="609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55"/>
        <v>0.91</v>
      </c>
      <c r="DZ104" s="55">
        <f t="shared" si="655"/>
        <v>0.89</v>
      </c>
      <c r="EA104" s="55">
        <f t="shared" si="655"/>
        <v>0.87</v>
      </c>
      <c r="EB104" s="55">
        <f t="shared" si="655"/>
        <v>0.85</v>
      </c>
      <c r="EC104" s="55">
        <f t="shared" si="655"/>
        <v>0.83</v>
      </c>
      <c r="ED104" s="55">
        <f t="shared" si="655"/>
        <v>0.80999999999999994</v>
      </c>
      <c r="EE104" s="55">
        <f t="shared" si="655"/>
        <v>0.78999999999999992</v>
      </c>
      <c r="EF104" s="55">
        <f t="shared" si="655"/>
        <v>0.76999999999999991</v>
      </c>
      <c r="EG104" s="55">
        <f t="shared" si="655"/>
        <v>0.74999999999999989</v>
      </c>
      <c r="EH104" s="55">
        <f t="shared" si="655"/>
        <v>0.72999999999999987</v>
      </c>
      <c r="EI104" s="55">
        <f t="shared" si="655"/>
        <v>0.70999999999999985</v>
      </c>
      <c r="EJ104" s="55">
        <f t="shared" si="655"/>
        <v>0.68999999999999984</v>
      </c>
      <c r="EK104" s="55">
        <f t="shared" si="655"/>
        <v>0.66999999999999982</v>
      </c>
      <c r="EL104" s="55">
        <f t="shared" si="655"/>
        <v>0.6499999999999998</v>
      </c>
      <c r="EM104" s="55">
        <f t="shared" si="655"/>
        <v>0.62999999999999978</v>
      </c>
      <c r="EN104" s="55">
        <f t="shared" si="655"/>
        <v>0.60999999999999976</v>
      </c>
      <c r="EO104" s="55">
        <f t="shared" si="655"/>
        <v>0.58999999999999975</v>
      </c>
      <c r="EP104" s="55">
        <f t="shared" si="655"/>
        <v>0.56999999999999973</v>
      </c>
      <c r="ER104" s="55">
        <f t="shared" si="656"/>
        <v>0</v>
      </c>
      <c r="ES104" s="55">
        <f t="shared" si="517"/>
        <v>0</v>
      </c>
      <c r="ET104" s="59">
        <f t="shared" si="610"/>
        <v>0</v>
      </c>
      <c r="EU104" s="55">
        <f t="shared" si="611"/>
        <v>0</v>
      </c>
      <c r="EV104" s="59">
        <f t="shared" si="612"/>
        <v>0</v>
      </c>
      <c r="EW104" s="55">
        <f t="shared" si="613"/>
        <v>0</v>
      </c>
      <c r="EX104" s="59">
        <f t="shared" si="614"/>
        <v>0</v>
      </c>
      <c r="EY104" s="55">
        <f t="shared" si="615"/>
        <v>0</v>
      </c>
      <c r="EZ104" s="59">
        <f t="shared" si="616"/>
        <v>0</v>
      </c>
      <c r="FA104" s="57">
        <f t="shared" si="617"/>
        <v>0</v>
      </c>
      <c r="FB104" s="59">
        <f t="shared" si="618"/>
        <v>0</v>
      </c>
      <c r="FC104" s="55">
        <f t="shared" si="619"/>
        <v>0</v>
      </c>
      <c r="FD104" s="59">
        <f t="shared" si="620"/>
        <v>0</v>
      </c>
      <c r="FE104" s="57">
        <f t="shared" si="621"/>
        <v>0</v>
      </c>
      <c r="FF104" s="59">
        <f t="shared" si="622"/>
        <v>0</v>
      </c>
      <c r="FG104" s="60">
        <f t="shared" si="623"/>
        <v>0</v>
      </c>
      <c r="FH104" s="59">
        <f t="shared" si="624"/>
        <v>0</v>
      </c>
      <c r="FI104" s="57">
        <f t="shared" si="625"/>
        <v>0</v>
      </c>
      <c r="FJ104" s="59">
        <f t="shared" si="626"/>
        <v>0</v>
      </c>
      <c r="FK104" s="55">
        <f t="shared" si="627"/>
        <v>0</v>
      </c>
      <c r="FL104" s="59">
        <f t="shared" si="628"/>
        <v>0</v>
      </c>
      <c r="FM104" s="60">
        <f t="shared" si="629"/>
        <v>0</v>
      </c>
      <c r="FN104" s="59">
        <f t="shared" si="630"/>
        <v>0</v>
      </c>
      <c r="FO104" s="60">
        <f t="shared" si="631"/>
        <v>0</v>
      </c>
      <c r="FP104" s="59">
        <f t="shared" si="632"/>
        <v>0</v>
      </c>
      <c r="FQ104" s="60">
        <f t="shared" si="633"/>
        <v>0</v>
      </c>
      <c r="FR104" s="59">
        <f t="shared" si="634"/>
        <v>0</v>
      </c>
      <c r="FS104" s="55">
        <f t="shared" si="635"/>
        <v>0</v>
      </c>
      <c r="FT104" s="59">
        <f t="shared" si="636"/>
        <v>0</v>
      </c>
      <c r="FU104" s="60">
        <f t="shared" si="637"/>
        <v>0</v>
      </c>
      <c r="FV104" s="59">
        <f t="shared" si="638"/>
        <v>0</v>
      </c>
      <c r="FW104" s="60">
        <f t="shared" si="639"/>
        <v>0</v>
      </c>
      <c r="FX104" s="59">
        <f t="shared" si="640"/>
        <v>0</v>
      </c>
      <c r="FY104" s="60">
        <f t="shared" si="641"/>
        <v>0</v>
      </c>
      <c r="FZ104" s="59">
        <f t="shared" si="642"/>
        <v>0</v>
      </c>
      <c r="GA104" s="60">
        <f t="shared" si="643"/>
        <v>0</v>
      </c>
      <c r="GB104" s="59">
        <f t="shared" si="644"/>
        <v>0</v>
      </c>
      <c r="GC104" s="55">
        <f t="shared" si="645"/>
        <v>0</v>
      </c>
      <c r="GD104" s="59">
        <f t="shared" si="646"/>
        <v>0</v>
      </c>
      <c r="GE104" s="60">
        <f t="shared" si="647"/>
        <v>0</v>
      </c>
      <c r="GF104" s="59">
        <f t="shared" si="648"/>
        <v>0</v>
      </c>
      <c r="GG104" s="60">
        <f t="shared" si="649"/>
        <v>0</v>
      </c>
      <c r="GH104" s="59">
        <f t="shared" si="650"/>
        <v>0</v>
      </c>
      <c r="GI104" s="55">
        <f t="shared" si="651"/>
        <v>0</v>
      </c>
      <c r="GJ104" s="59">
        <f t="shared" si="652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57"/>
        <v>0.91</v>
      </c>
      <c r="GR104" s="55">
        <f t="shared" si="657"/>
        <v>0.89</v>
      </c>
      <c r="GS104" s="55">
        <f t="shared" si="657"/>
        <v>0.87</v>
      </c>
      <c r="GT104" s="55">
        <f t="shared" si="657"/>
        <v>0.85</v>
      </c>
      <c r="GU104" s="55">
        <f t="shared" si="657"/>
        <v>0.83</v>
      </c>
      <c r="GV104" s="55">
        <f t="shared" si="657"/>
        <v>0.80999999999999994</v>
      </c>
      <c r="GW104" s="55">
        <f t="shared" si="657"/>
        <v>0.78999999999999992</v>
      </c>
      <c r="GX104" s="55">
        <f t="shared" si="657"/>
        <v>0.76999999999999991</v>
      </c>
      <c r="GY104" s="55">
        <f t="shared" si="657"/>
        <v>0.74999999999999989</v>
      </c>
      <c r="GZ104" s="55">
        <f t="shared" si="657"/>
        <v>0.72999999999999987</v>
      </c>
      <c r="HA104" s="55">
        <f t="shared" si="657"/>
        <v>0.70999999999999985</v>
      </c>
      <c r="HB104" s="55">
        <f t="shared" si="657"/>
        <v>0.68999999999999984</v>
      </c>
      <c r="HC104" s="55">
        <f t="shared" si="657"/>
        <v>0.66999999999999982</v>
      </c>
      <c r="HD104" s="55">
        <f t="shared" si="657"/>
        <v>0.6499999999999998</v>
      </c>
      <c r="HE104" s="55">
        <f t="shared" si="657"/>
        <v>0.62999999999999978</v>
      </c>
      <c r="HF104" s="55">
        <f t="shared" si="657"/>
        <v>0.60999999999999976</v>
      </c>
      <c r="HG104" s="55">
        <f t="shared" si="657"/>
        <v>0.58999999999999975</v>
      </c>
      <c r="HH104" s="55">
        <f t="shared" si="657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22"/>
        <v>0</v>
      </c>
      <c r="H105" s="55">
        <f t="shared" si="523"/>
        <v>0</v>
      </c>
      <c r="I105" s="55">
        <f t="shared" si="513"/>
        <v>0</v>
      </c>
      <c r="J105" s="59">
        <f t="shared" si="514"/>
        <v>0</v>
      </c>
      <c r="K105" s="55">
        <f t="shared" si="524"/>
        <v>0</v>
      </c>
      <c r="L105" s="59">
        <f t="shared" si="525"/>
        <v>0</v>
      </c>
      <c r="M105" s="55">
        <f t="shared" si="526"/>
        <v>0</v>
      </c>
      <c r="N105" s="59">
        <f t="shared" si="527"/>
        <v>0</v>
      </c>
      <c r="O105" s="55">
        <f t="shared" si="528"/>
        <v>0</v>
      </c>
      <c r="P105" s="59">
        <f t="shared" si="529"/>
        <v>0</v>
      </c>
      <c r="Q105" s="57">
        <f t="shared" si="530"/>
        <v>0</v>
      </c>
      <c r="R105" s="59">
        <f t="shared" si="531"/>
        <v>0</v>
      </c>
      <c r="S105" s="55">
        <f t="shared" si="532"/>
        <v>0</v>
      </c>
      <c r="T105" s="59">
        <f t="shared" si="533"/>
        <v>0</v>
      </c>
      <c r="U105" s="57">
        <f t="shared" si="534"/>
        <v>0</v>
      </c>
      <c r="V105" s="59">
        <f t="shared" si="535"/>
        <v>0</v>
      </c>
      <c r="W105" s="60">
        <f t="shared" si="536"/>
        <v>0</v>
      </c>
      <c r="X105" s="59">
        <f t="shared" si="537"/>
        <v>0</v>
      </c>
      <c r="Y105" s="57">
        <f t="shared" si="538"/>
        <v>0</v>
      </c>
      <c r="Z105" s="59">
        <f t="shared" si="539"/>
        <v>0</v>
      </c>
      <c r="AA105" s="55">
        <f t="shared" si="540"/>
        <v>0</v>
      </c>
      <c r="AB105" s="59">
        <f t="shared" si="541"/>
        <v>0</v>
      </c>
      <c r="AC105" s="60">
        <f t="shared" si="542"/>
        <v>0</v>
      </c>
      <c r="AD105" s="59">
        <f t="shared" si="543"/>
        <v>0</v>
      </c>
      <c r="AE105" s="60">
        <f t="shared" si="544"/>
        <v>0</v>
      </c>
      <c r="AF105" s="59">
        <f t="shared" si="545"/>
        <v>0</v>
      </c>
      <c r="AG105" s="60">
        <f t="shared" si="546"/>
        <v>0</v>
      </c>
      <c r="AH105" s="59">
        <f t="shared" si="547"/>
        <v>0</v>
      </c>
      <c r="AI105" s="55">
        <f t="shared" si="548"/>
        <v>0</v>
      </c>
      <c r="AJ105" s="59">
        <f t="shared" si="549"/>
        <v>0</v>
      </c>
      <c r="AK105" s="60">
        <f t="shared" si="550"/>
        <v>0</v>
      </c>
      <c r="AL105" s="59">
        <f t="shared" si="551"/>
        <v>0</v>
      </c>
      <c r="AM105" s="60">
        <f t="shared" si="552"/>
        <v>0</v>
      </c>
      <c r="AN105" s="59">
        <f t="shared" si="553"/>
        <v>0</v>
      </c>
      <c r="AO105" s="60">
        <f t="shared" si="554"/>
        <v>0</v>
      </c>
      <c r="AP105" s="59">
        <f t="shared" si="555"/>
        <v>0</v>
      </c>
      <c r="AQ105" s="60">
        <f t="shared" si="556"/>
        <v>0</v>
      </c>
      <c r="AR105" s="59">
        <f t="shared" si="557"/>
        <v>0</v>
      </c>
      <c r="AS105" s="55">
        <f t="shared" si="558"/>
        <v>0</v>
      </c>
      <c r="AT105" s="59">
        <f t="shared" si="559"/>
        <v>0</v>
      </c>
      <c r="AU105" s="60">
        <f t="shared" si="560"/>
        <v>0</v>
      </c>
      <c r="AV105" s="59">
        <f t="shared" si="561"/>
        <v>0</v>
      </c>
      <c r="AW105" s="60">
        <f t="shared" si="562"/>
        <v>0</v>
      </c>
      <c r="AX105" s="59">
        <f t="shared" si="563"/>
        <v>0</v>
      </c>
      <c r="AY105" s="55">
        <f t="shared" si="564"/>
        <v>0</v>
      </c>
      <c r="AZ105" s="59">
        <f t="shared" si="565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66"/>
        <v>0.91</v>
      </c>
      <c r="BH105" s="55">
        <f t="shared" si="566"/>
        <v>0.89</v>
      </c>
      <c r="BI105" s="55">
        <f t="shared" si="566"/>
        <v>0.87</v>
      </c>
      <c r="BJ105" s="55">
        <f t="shared" si="566"/>
        <v>0.85</v>
      </c>
      <c r="BK105" s="55">
        <f t="shared" si="566"/>
        <v>0.83</v>
      </c>
      <c r="BL105" s="55">
        <f t="shared" si="566"/>
        <v>0.80999999999999994</v>
      </c>
      <c r="BM105" s="55">
        <f t="shared" si="566"/>
        <v>0.78999999999999992</v>
      </c>
      <c r="BN105" s="55">
        <f t="shared" si="566"/>
        <v>0.76999999999999991</v>
      </c>
      <c r="BO105" s="55">
        <f t="shared" si="566"/>
        <v>0.74999999999999989</v>
      </c>
      <c r="BP105" s="55">
        <f t="shared" si="566"/>
        <v>0.72999999999999987</v>
      </c>
      <c r="BQ105" s="55">
        <f t="shared" si="566"/>
        <v>0.70999999999999985</v>
      </c>
      <c r="BR105" s="55">
        <f t="shared" si="566"/>
        <v>0.68999999999999984</v>
      </c>
      <c r="BS105" s="55">
        <f t="shared" si="566"/>
        <v>0.66999999999999982</v>
      </c>
      <c r="BT105" s="55">
        <f t="shared" si="566"/>
        <v>0.6499999999999998</v>
      </c>
      <c r="BU105" s="55">
        <f t="shared" si="566"/>
        <v>0.62999999999999978</v>
      </c>
      <c r="BV105" s="55">
        <f t="shared" si="566"/>
        <v>0.60999999999999976</v>
      </c>
      <c r="BW105" s="55">
        <f t="shared" si="566"/>
        <v>0.58999999999999975</v>
      </c>
      <c r="BX105" s="55">
        <f t="shared" si="566"/>
        <v>0.56999999999999973</v>
      </c>
      <c r="BZ105" s="55">
        <f t="shared" si="515"/>
        <v>0</v>
      </c>
      <c r="CA105" s="55">
        <f t="shared" si="516"/>
        <v>0</v>
      </c>
      <c r="CB105" s="59">
        <f t="shared" si="567"/>
        <v>0</v>
      </c>
      <c r="CC105" s="55">
        <f t="shared" si="568"/>
        <v>0</v>
      </c>
      <c r="CD105" s="59">
        <f t="shared" si="569"/>
        <v>0</v>
      </c>
      <c r="CE105" s="55">
        <f t="shared" si="570"/>
        <v>0</v>
      </c>
      <c r="CF105" s="59">
        <f t="shared" si="571"/>
        <v>0</v>
      </c>
      <c r="CG105" s="55">
        <f t="shared" si="572"/>
        <v>0</v>
      </c>
      <c r="CH105" s="59">
        <f t="shared" si="573"/>
        <v>0</v>
      </c>
      <c r="CI105" s="57">
        <f t="shared" si="574"/>
        <v>0</v>
      </c>
      <c r="CJ105" s="59">
        <f t="shared" si="575"/>
        <v>0</v>
      </c>
      <c r="CK105" s="55">
        <f t="shared" si="576"/>
        <v>0</v>
      </c>
      <c r="CL105" s="59">
        <f t="shared" si="577"/>
        <v>0</v>
      </c>
      <c r="CM105" s="57">
        <f t="shared" si="578"/>
        <v>0</v>
      </c>
      <c r="CN105" s="59">
        <f t="shared" si="579"/>
        <v>0</v>
      </c>
      <c r="CO105" s="60">
        <f t="shared" si="580"/>
        <v>0</v>
      </c>
      <c r="CP105" s="59">
        <f t="shared" si="581"/>
        <v>0</v>
      </c>
      <c r="CQ105" s="57">
        <f t="shared" si="582"/>
        <v>0</v>
      </c>
      <c r="CR105" s="59">
        <f t="shared" si="583"/>
        <v>0</v>
      </c>
      <c r="CS105" s="55">
        <f t="shared" si="584"/>
        <v>0</v>
      </c>
      <c r="CT105" s="59">
        <f t="shared" si="585"/>
        <v>0</v>
      </c>
      <c r="CU105" s="60">
        <f t="shared" si="586"/>
        <v>0</v>
      </c>
      <c r="CV105" s="59">
        <f t="shared" si="587"/>
        <v>0</v>
      </c>
      <c r="CW105" s="60">
        <f t="shared" si="588"/>
        <v>0</v>
      </c>
      <c r="CX105" s="59">
        <f t="shared" si="589"/>
        <v>0</v>
      </c>
      <c r="CY105" s="60">
        <f t="shared" si="590"/>
        <v>0</v>
      </c>
      <c r="CZ105" s="59">
        <f t="shared" si="591"/>
        <v>0</v>
      </c>
      <c r="DA105" s="55">
        <f t="shared" si="592"/>
        <v>0</v>
      </c>
      <c r="DB105" s="59">
        <f t="shared" si="593"/>
        <v>0</v>
      </c>
      <c r="DC105" s="60">
        <f t="shared" si="594"/>
        <v>0</v>
      </c>
      <c r="DD105" s="59">
        <f t="shared" si="595"/>
        <v>0</v>
      </c>
      <c r="DE105" s="60">
        <f t="shared" si="596"/>
        <v>0</v>
      </c>
      <c r="DF105" s="59">
        <f t="shared" si="597"/>
        <v>0</v>
      </c>
      <c r="DG105" s="60">
        <f t="shared" si="598"/>
        <v>0</v>
      </c>
      <c r="DH105" s="59">
        <f t="shared" si="599"/>
        <v>0</v>
      </c>
      <c r="DI105" s="60">
        <f t="shared" si="600"/>
        <v>0</v>
      </c>
      <c r="DJ105" s="59">
        <f t="shared" si="601"/>
        <v>0</v>
      </c>
      <c r="DK105" s="55">
        <f t="shared" si="602"/>
        <v>0</v>
      </c>
      <c r="DL105" s="59">
        <f t="shared" si="603"/>
        <v>0</v>
      </c>
      <c r="DM105" s="60">
        <f t="shared" si="604"/>
        <v>0</v>
      </c>
      <c r="DN105" s="59">
        <f t="shared" si="605"/>
        <v>0</v>
      </c>
      <c r="DO105" s="60">
        <f t="shared" si="606"/>
        <v>0</v>
      </c>
      <c r="DP105" s="59">
        <f t="shared" si="607"/>
        <v>0</v>
      </c>
      <c r="DQ105" s="55">
        <f t="shared" si="608"/>
        <v>0</v>
      </c>
      <c r="DR105" s="59">
        <f t="shared" si="609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55"/>
        <v>0.91</v>
      </c>
      <c r="DZ105" s="55">
        <f t="shared" si="655"/>
        <v>0.89</v>
      </c>
      <c r="EA105" s="55">
        <f t="shared" si="655"/>
        <v>0.87</v>
      </c>
      <c r="EB105" s="55">
        <f t="shared" si="655"/>
        <v>0.85</v>
      </c>
      <c r="EC105" s="55">
        <f t="shared" si="655"/>
        <v>0.83</v>
      </c>
      <c r="ED105" s="55">
        <f t="shared" si="655"/>
        <v>0.80999999999999994</v>
      </c>
      <c r="EE105" s="55">
        <f t="shared" si="655"/>
        <v>0.78999999999999992</v>
      </c>
      <c r="EF105" s="55">
        <f t="shared" si="655"/>
        <v>0.76999999999999991</v>
      </c>
      <c r="EG105" s="55">
        <f t="shared" si="655"/>
        <v>0.74999999999999989</v>
      </c>
      <c r="EH105" s="55">
        <f t="shared" si="655"/>
        <v>0.72999999999999987</v>
      </c>
      <c r="EI105" s="55">
        <f t="shared" si="655"/>
        <v>0.70999999999999985</v>
      </c>
      <c r="EJ105" s="55">
        <f t="shared" si="655"/>
        <v>0.68999999999999984</v>
      </c>
      <c r="EK105" s="55">
        <f t="shared" si="655"/>
        <v>0.66999999999999982</v>
      </c>
      <c r="EL105" s="55">
        <f t="shared" si="655"/>
        <v>0.6499999999999998</v>
      </c>
      <c r="EM105" s="55">
        <f t="shared" si="655"/>
        <v>0.62999999999999978</v>
      </c>
      <c r="EN105" s="55">
        <f t="shared" si="655"/>
        <v>0.60999999999999976</v>
      </c>
      <c r="EO105" s="55">
        <f t="shared" si="655"/>
        <v>0.58999999999999975</v>
      </c>
      <c r="EP105" s="55">
        <f t="shared" si="655"/>
        <v>0.56999999999999973</v>
      </c>
      <c r="ER105" s="55">
        <f t="shared" si="656"/>
        <v>0</v>
      </c>
      <c r="ES105" s="55">
        <f t="shared" si="517"/>
        <v>0</v>
      </c>
      <c r="ET105" s="59">
        <f t="shared" si="610"/>
        <v>0</v>
      </c>
      <c r="EU105" s="55">
        <f t="shared" si="611"/>
        <v>0</v>
      </c>
      <c r="EV105" s="59">
        <f t="shared" si="612"/>
        <v>0</v>
      </c>
      <c r="EW105" s="55">
        <f t="shared" si="613"/>
        <v>0</v>
      </c>
      <c r="EX105" s="59">
        <f t="shared" si="614"/>
        <v>0</v>
      </c>
      <c r="EY105" s="55">
        <f t="shared" si="615"/>
        <v>0</v>
      </c>
      <c r="EZ105" s="59">
        <f t="shared" si="616"/>
        <v>0</v>
      </c>
      <c r="FA105" s="57">
        <f t="shared" si="617"/>
        <v>0</v>
      </c>
      <c r="FB105" s="59">
        <f t="shared" si="618"/>
        <v>0</v>
      </c>
      <c r="FC105" s="55">
        <f t="shared" si="619"/>
        <v>0</v>
      </c>
      <c r="FD105" s="59">
        <f t="shared" si="620"/>
        <v>0</v>
      </c>
      <c r="FE105" s="57">
        <f t="shared" si="621"/>
        <v>0</v>
      </c>
      <c r="FF105" s="59">
        <f t="shared" si="622"/>
        <v>0</v>
      </c>
      <c r="FG105" s="60">
        <f t="shared" si="623"/>
        <v>0</v>
      </c>
      <c r="FH105" s="59">
        <f t="shared" si="624"/>
        <v>0</v>
      </c>
      <c r="FI105" s="57">
        <f t="shared" si="625"/>
        <v>0</v>
      </c>
      <c r="FJ105" s="59">
        <f t="shared" si="626"/>
        <v>0</v>
      </c>
      <c r="FK105" s="55">
        <f t="shared" si="627"/>
        <v>0</v>
      </c>
      <c r="FL105" s="59">
        <f t="shared" si="628"/>
        <v>0</v>
      </c>
      <c r="FM105" s="60">
        <f t="shared" si="629"/>
        <v>0</v>
      </c>
      <c r="FN105" s="59">
        <f t="shared" si="630"/>
        <v>0</v>
      </c>
      <c r="FO105" s="60">
        <f t="shared" si="631"/>
        <v>0</v>
      </c>
      <c r="FP105" s="59">
        <f t="shared" si="632"/>
        <v>0</v>
      </c>
      <c r="FQ105" s="60">
        <f t="shared" si="633"/>
        <v>0</v>
      </c>
      <c r="FR105" s="59">
        <f t="shared" si="634"/>
        <v>0</v>
      </c>
      <c r="FS105" s="55">
        <f t="shared" si="635"/>
        <v>0</v>
      </c>
      <c r="FT105" s="59">
        <f t="shared" si="636"/>
        <v>0</v>
      </c>
      <c r="FU105" s="60">
        <f t="shared" si="637"/>
        <v>0</v>
      </c>
      <c r="FV105" s="59">
        <f t="shared" si="638"/>
        <v>0</v>
      </c>
      <c r="FW105" s="60">
        <f t="shared" si="639"/>
        <v>0</v>
      </c>
      <c r="FX105" s="59">
        <f t="shared" si="640"/>
        <v>0</v>
      </c>
      <c r="FY105" s="60">
        <f t="shared" si="641"/>
        <v>0</v>
      </c>
      <c r="FZ105" s="59">
        <f t="shared" si="642"/>
        <v>0</v>
      </c>
      <c r="GA105" s="60">
        <f t="shared" si="643"/>
        <v>0</v>
      </c>
      <c r="GB105" s="59">
        <f t="shared" si="644"/>
        <v>0</v>
      </c>
      <c r="GC105" s="55">
        <f t="shared" si="645"/>
        <v>0</v>
      </c>
      <c r="GD105" s="59">
        <f t="shared" si="646"/>
        <v>0</v>
      </c>
      <c r="GE105" s="60">
        <f t="shared" si="647"/>
        <v>0</v>
      </c>
      <c r="GF105" s="59">
        <f t="shared" si="648"/>
        <v>0</v>
      </c>
      <c r="GG105" s="60">
        <f t="shared" si="649"/>
        <v>0</v>
      </c>
      <c r="GH105" s="59">
        <f t="shared" si="650"/>
        <v>0</v>
      </c>
      <c r="GI105" s="55">
        <f t="shared" si="651"/>
        <v>0</v>
      </c>
      <c r="GJ105" s="59">
        <f t="shared" si="652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57"/>
        <v>0.91</v>
      </c>
      <c r="GR105" s="55">
        <f t="shared" si="657"/>
        <v>0.89</v>
      </c>
      <c r="GS105" s="55">
        <f t="shared" si="657"/>
        <v>0.87</v>
      </c>
      <c r="GT105" s="55">
        <f t="shared" si="657"/>
        <v>0.85</v>
      </c>
      <c r="GU105" s="55">
        <f t="shared" si="657"/>
        <v>0.83</v>
      </c>
      <c r="GV105" s="55">
        <f t="shared" si="657"/>
        <v>0.80999999999999994</v>
      </c>
      <c r="GW105" s="55">
        <f t="shared" si="657"/>
        <v>0.78999999999999992</v>
      </c>
      <c r="GX105" s="55">
        <f t="shared" si="657"/>
        <v>0.76999999999999991</v>
      </c>
      <c r="GY105" s="55">
        <f t="shared" si="657"/>
        <v>0.74999999999999989</v>
      </c>
      <c r="GZ105" s="55">
        <f t="shared" si="657"/>
        <v>0.72999999999999987</v>
      </c>
      <c r="HA105" s="55">
        <f t="shared" si="657"/>
        <v>0.70999999999999985</v>
      </c>
      <c r="HB105" s="55">
        <f t="shared" si="657"/>
        <v>0.68999999999999984</v>
      </c>
      <c r="HC105" s="55">
        <f t="shared" si="657"/>
        <v>0.66999999999999982</v>
      </c>
      <c r="HD105" s="55">
        <f t="shared" si="657"/>
        <v>0.6499999999999998</v>
      </c>
      <c r="HE105" s="55">
        <f t="shared" si="657"/>
        <v>0.62999999999999978</v>
      </c>
      <c r="HF105" s="55">
        <f t="shared" si="657"/>
        <v>0.60999999999999976</v>
      </c>
      <c r="HG105" s="55">
        <f t="shared" si="657"/>
        <v>0.58999999999999975</v>
      </c>
      <c r="HH105" s="55">
        <f t="shared" si="657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22"/>
        <v>0</v>
      </c>
      <c r="H106" s="55">
        <f t="shared" si="523"/>
        <v>0</v>
      </c>
      <c r="I106" s="55">
        <f t="shared" si="513"/>
        <v>0</v>
      </c>
      <c r="J106" s="59">
        <f t="shared" si="514"/>
        <v>0</v>
      </c>
      <c r="K106" s="55">
        <f t="shared" si="524"/>
        <v>0</v>
      </c>
      <c r="L106" s="59">
        <f t="shared" si="525"/>
        <v>0</v>
      </c>
      <c r="M106" s="55">
        <f t="shared" si="526"/>
        <v>0</v>
      </c>
      <c r="N106" s="59">
        <f t="shared" si="527"/>
        <v>0</v>
      </c>
      <c r="O106" s="55">
        <f t="shared" si="528"/>
        <v>0</v>
      </c>
      <c r="P106" s="59">
        <f t="shared" si="529"/>
        <v>0</v>
      </c>
      <c r="Q106" s="57">
        <f t="shared" si="530"/>
        <v>0</v>
      </c>
      <c r="R106" s="59">
        <f t="shared" si="531"/>
        <v>0</v>
      </c>
      <c r="S106" s="55">
        <f t="shared" si="532"/>
        <v>0</v>
      </c>
      <c r="T106" s="59">
        <f t="shared" si="533"/>
        <v>0</v>
      </c>
      <c r="U106" s="57">
        <f t="shared" si="534"/>
        <v>0</v>
      </c>
      <c r="V106" s="59">
        <f t="shared" si="535"/>
        <v>0</v>
      </c>
      <c r="W106" s="60">
        <f t="shared" si="536"/>
        <v>0</v>
      </c>
      <c r="X106" s="59">
        <f t="shared" si="537"/>
        <v>0</v>
      </c>
      <c r="Y106" s="57">
        <f t="shared" si="538"/>
        <v>0</v>
      </c>
      <c r="Z106" s="59">
        <f t="shared" si="539"/>
        <v>0</v>
      </c>
      <c r="AA106" s="55">
        <f t="shared" si="540"/>
        <v>0</v>
      </c>
      <c r="AB106" s="59">
        <f t="shared" si="541"/>
        <v>0</v>
      </c>
      <c r="AC106" s="60">
        <f t="shared" si="542"/>
        <v>0</v>
      </c>
      <c r="AD106" s="59">
        <f t="shared" si="543"/>
        <v>0</v>
      </c>
      <c r="AE106" s="60">
        <f t="shared" si="544"/>
        <v>0</v>
      </c>
      <c r="AF106" s="59">
        <f t="shared" si="545"/>
        <v>0</v>
      </c>
      <c r="AG106" s="60">
        <f t="shared" si="546"/>
        <v>0</v>
      </c>
      <c r="AH106" s="59">
        <f t="shared" si="547"/>
        <v>0</v>
      </c>
      <c r="AI106" s="55">
        <f t="shared" si="548"/>
        <v>0</v>
      </c>
      <c r="AJ106" s="59">
        <f t="shared" si="549"/>
        <v>0</v>
      </c>
      <c r="AK106" s="60">
        <f t="shared" si="550"/>
        <v>0</v>
      </c>
      <c r="AL106" s="59">
        <f t="shared" si="551"/>
        <v>0</v>
      </c>
      <c r="AM106" s="60">
        <f t="shared" si="552"/>
        <v>0</v>
      </c>
      <c r="AN106" s="59">
        <f t="shared" si="553"/>
        <v>0</v>
      </c>
      <c r="AO106" s="60">
        <f t="shared" si="554"/>
        <v>0</v>
      </c>
      <c r="AP106" s="59">
        <f t="shared" si="555"/>
        <v>0</v>
      </c>
      <c r="AQ106" s="60">
        <f t="shared" si="556"/>
        <v>0</v>
      </c>
      <c r="AR106" s="59">
        <f t="shared" si="557"/>
        <v>0</v>
      </c>
      <c r="AS106" s="55">
        <f t="shared" si="558"/>
        <v>0</v>
      </c>
      <c r="AT106" s="59">
        <f t="shared" si="559"/>
        <v>0</v>
      </c>
      <c r="AU106" s="60">
        <f t="shared" si="560"/>
        <v>0</v>
      </c>
      <c r="AV106" s="59">
        <f t="shared" si="561"/>
        <v>0</v>
      </c>
      <c r="AW106" s="60">
        <f t="shared" si="562"/>
        <v>0</v>
      </c>
      <c r="AX106" s="59">
        <f t="shared" si="563"/>
        <v>0</v>
      </c>
      <c r="AY106" s="55">
        <f t="shared" si="564"/>
        <v>0</v>
      </c>
      <c r="AZ106" s="59">
        <f t="shared" si="565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66"/>
        <v>0.91</v>
      </c>
      <c r="BH106" s="55">
        <f t="shared" si="566"/>
        <v>0.89</v>
      </c>
      <c r="BI106" s="55">
        <f t="shared" si="566"/>
        <v>0.87</v>
      </c>
      <c r="BJ106" s="55">
        <f t="shared" ref="BJ106:BX106" si="658">+BI106-0.02</f>
        <v>0.85</v>
      </c>
      <c r="BK106" s="55">
        <f t="shared" si="658"/>
        <v>0.83</v>
      </c>
      <c r="BL106" s="55">
        <f t="shared" si="658"/>
        <v>0.80999999999999994</v>
      </c>
      <c r="BM106" s="55">
        <f t="shared" si="658"/>
        <v>0.78999999999999992</v>
      </c>
      <c r="BN106" s="55">
        <f t="shared" si="658"/>
        <v>0.76999999999999991</v>
      </c>
      <c r="BO106" s="55">
        <f t="shared" si="658"/>
        <v>0.74999999999999989</v>
      </c>
      <c r="BP106" s="55">
        <f t="shared" si="658"/>
        <v>0.72999999999999987</v>
      </c>
      <c r="BQ106" s="55">
        <f t="shared" si="658"/>
        <v>0.70999999999999985</v>
      </c>
      <c r="BR106" s="55">
        <f t="shared" si="658"/>
        <v>0.68999999999999984</v>
      </c>
      <c r="BS106" s="55">
        <f t="shared" si="658"/>
        <v>0.66999999999999982</v>
      </c>
      <c r="BT106" s="55">
        <f t="shared" si="658"/>
        <v>0.6499999999999998</v>
      </c>
      <c r="BU106" s="55">
        <f t="shared" si="658"/>
        <v>0.62999999999999978</v>
      </c>
      <c r="BV106" s="55">
        <f t="shared" si="658"/>
        <v>0.60999999999999976</v>
      </c>
      <c r="BW106" s="55">
        <f t="shared" si="658"/>
        <v>0.58999999999999975</v>
      </c>
      <c r="BX106" s="55">
        <f t="shared" si="658"/>
        <v>0.56999999999999973</v>
      </c>
      <c r="BZ106" s="55">
        <f t="shared" si="515"/>
        <v>0</v>
      </c>
      <c r="CA106" s="55">
        <f t="shared" si="516"/>
        <v>0</v>
      </c>
      <c r="CB106" s="59">
        <f t="shared" si="567"/>
        <v>0</v>
      </c>
      <c r="CC106" s="55">
        <f t="shared" si="568"/>
        <v>0</v>
      </c>
      <c r="CD106" s="59">
        <f t="shared" si="569"/>
        <v>0</v>
      </c>
      <c r="CE106" s="55">
        <f t="shared" si="570"/>
        <v>0</v>
      </c>
      <c r="CF106" s="59">
        <f t="shared" si="571"/>
        <v>0</v>
      </c>
      <c r="CG106" s="55">
        <f t="shared" si="572"/>
        <v>0</v>
      </c>
      <c r="CH106" s="59">
        <f t="shared" si="573"/>
        <v>0</v>
      </c>
      <c r="CI106" s="57">
        <f t="shared" si="574"/>
        <v>0</v>
      </c>
      <c r="CJ106" s="59">
        <f t="shared" si="575"/>
        <v>0</v>
      </c>
      <c r="CK106" s="55">
        <f t="shared" si="576"/>
        <v>0</v>
      </c>
      <c r="CL106" s="59">
        <f t="shared" si="577"/>
        <v>0</v>
      </c>
      <c r="CM106" s="57">
        <f t="shared" si="578"/>
        <v>0</v>
      </c>
      <c r="CN106" s="59">
        <f t="shared" si="579"/>
        <v>0</v>
      </c>
      <c r="CO106" s="60">
        <f t="shared" si="580"/>
        <v>0</v>
      </c>
      <c r="CP106" s="59">
        <f t="shared" si="581"/>
        <v>0</v>
      </c>
      <c r="CQ106" s="57">
        <f t="shared" si="582"/>
        <v>0</v>
      </c>
      <c r="CR106" s="59">
        <f t="shared" si="583"/>
        <v>0</v>
      </c>
      <c r="CS106" s="55">
        <f t="shared" si="584"/>
        <v>0</v>
      </c>
      <c r="CT106" s="59">
        <f t="shared" si="585"/>
        <v>0</v>
      </c>
      <c r="CU106" s="60">
        <f t="shared" si="586"/>
        <v>0</v>
      </c>
      <c r="CV106" s="59">
        <f t="shared" si="587"/>
        <v>0</v>
      </c>
      <c r="CW106" s="60">
        <f t="shared" si="588"/>
        <v>0</v>
      </c>
      <c r="CX106" s="59">
        <f t="shared" si="589"/>
        <v>0</v>
      </c>
      <c r="CY106" s="60">
        <f t="shared" si="590"/>
        <v>0</v>
      </c>
      <c r="CZ106" s="59">
        <f t="shared" si="591"/>
        <v>0</v>
      </c>
      <c r="DA106" s="55">
        <f t="shared" si="592"/>
        <v>0</v>
      </c>
      <c r="DB106" s="59">
        <f t="shared" si="593"/>
        <v>0</v>
      </c>
      <c r="DC106" s="60">
        <f t="shared" si="594"/>
        <v>0</v>
      </c>
      <c r="DD106" s="59">
        <f t="shared" si="595"/>
        <v>0</v>
      </c>
      <c r="DE106" s="60">
        <f t="shared" si="596"/>
        <v>0</v>
      </c>
      <c r="DF106" s="59">
        <f t="shared" si="597"/>
        <v>0</v>
      </c>
      <c r="DG106" s="60">
        <f t="shared" si="598"/>
        <v>0</v>
      </c>
      <c r="DH106" s="59">
        <f t="shared" si="599"/>
        <v>0</v>
      </c>
      <c r="DI106" s="60">
        <f t="shared" si="600"/>
        <v>0</v>
      </c>
      <c r="DJ106" s="59">
        <f t="shared" si="601"/>
        <v>0</v>
      </c>
      <c r="DK106" s="55">
        <f t="shared" si="602"/>
        <v>0</v>
      </c>
      <c r="DL106" s="59">
        <f t="shared" si="603"/>
        <v>0</v>
      </c>
      <c r="DM106" s="60">
        <f t="shared" si="604"/>
        <v>0</v>
      </c>
      <c r="DN106" s="59">
        <f t="shared" si="605"/>
        <v>0</v>
      </c>
      <c r="DO106" s="60">
        <f t="shared" si="606"/>
        <v>0</v>
      </c>
      <c r="DP106" s="59">
        <f t="shared" si="607"/>
        <v>0</v>
      </c>
      <c r="DQ106" s="55">
        <f t="shared" si="608"/>
        <v>0</v>
      </c>
      <c r="DR106" s="59">
        <f t="shared" si="609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55"/>
        <v>0.91</v>
      </c>
      <c r="DZ106" s="55">
        <f t="shared" si="655"/>
        <v>0.89</v>
      </c>
      <c r="EA106" s="55">
        <f t="shared" si="655"/>
        <v>0.87</v>
      </c>
      <c r="EB106" s="55">
        <f t="shared" si="655"/>
        <v>0.85</v>
      </c>
      <c r="EC106" s="55">
        <f t="shared" si="655"/>
        <v>0.83</v>
      </c>
      <c r="ED106" s="55">
        <f t="shared" si="655"/>
        <v>0.80999999999999994</v>
      </c>
      <c r="EE106" s="55">
        <f t="shared" si="655"/>
        <v>0.78999999999999992</v>
      </c>
      <c r="EF106" s="55">
        <f t="shared" si="655"/>
        <v>0.76999999999999991</v>
      </c>
      <c r="EG106" s="55">
        <f t="shared" si="655"/>
        <v>0.74999999999999989</v>
      </c>
      <c r="EH106" s="55">
        <f t="shared" si="655"/>
        <v>0.72999999999999987</v>
      </c>
      <c r="EI106" s="55">
        <f t="shared" si="655"/>
        <v>0.70999999999999985</v>
      </c>
      <c r="EJ106" s="55">
        <f t="shared" si="655"/>
        <v>0.68999999999999984</v>
      </c>
      <c r="EK106" s="55">
        <f t="shared" si="655"/>
        <v>0.66999999999999982</v>
      </c>
      <c r="EL106" s="55">
        <f t="shared" si="655"/>
        <v>0.6499999999999998</v>
      </c>
      <c r="EM106" s="55">
        <f t="shared" si="655"/>
        <v>0.62999999999999978</v>
      </c>
      <c r="EN106" s="55">
        <f t="shared" si="655"/>
        <v>0.60999999999999976</v>
      </c>
      <c r="EO106" s="55">
        <f t="shared" si="655"/>
        <v>0.58999999999999975</v>
      </c>
      <c r="EP106" s="55">
        <f t="shared" si="655"/>
        <v>0.56999999999999973</v>
      </c>
      <c r="ER106" s="55">
        <f t="shared" si="656"/>
        <v>0</v>
      </c>
      <c r="ES106" s="55">
        <f t="shared" si="517"/>
        <v>0</v>
      </c>
      <c r="ET106" s="59">
        <f t="shared" si="610"/>
        <v>0</v>
      </c>
      <c r="EU106" s="55">
        <f t="shared" si="611"/>
        <v>0</v>
      </c>
      <c r="EV106" s="59">
        <f t="shared" si="612"/>
        <v>0</v>
      </c>
      <c r="EW106" s="55">
        <f t="shared" si="613"/>
        <v>0</v>
      </c>
      <c r="EX106" s="59">
        <f t="shared" si="614"/>
        <v>0</v>
      </c>
      <c r="EY106" s="55">
        <f t="shared" si="615"/>
        <v>0</v>
      </c>
      <c r="EZ106" s="59">
        <f t="shared" si="616"/>
        <v>0</v>
      </c>
      <c r="FA106" s="57">
        <f t="shared" si="617"/>
        <v>0</v>
      </c>
      <c r="FB106" s="59">
        <f t="shared" si="618"/>
        <v>0</v>
      </c>
      <c r="FC106" s="55">
        <f t="shared" si="619"/>
        <v>0</v>
      </c>
      <c r="FD106" s="59">
        <f t="shared" si="620"/>
        <v>0</v>
      </c>
      <c r="FE106" s="57">
        <f t="shared" si="621"/>
        <v>0</v>
      </c>
      <c r="FF106" s="59">
        <f t="shared" si="622"/>
        <v>0</v>
      </c>
      <c r="FG106" s="60">
        <f t="shared" si="623"/>
        <v>0</v>
      </c>
      <c r="FH106" s="59">
        <f t="shared" si="624"/>
        <v>0</v>
      </c>
      <c r="FI106" s="57">
        <f t="shared" si="625"/>
        <v>0</v>
      </c>
      <c r="FJ106" s="59">
        <f t="shared" si="626"/>
        <v>0</v>
      </c>
      <c r="FK106" s="55">
        <f t="shared" si="627"/>
        <v>0</v>
      </c>
      <c r="FL106" s="59">
        <f t="shared" si="628"/>
        <v>0</v>
      </c>
      <c r="FM106" s="60">
        <f t="shared" si="629"/>
        <v>0</v>
      </c>
      <c r="FN106" s="59">
        <f t="shared" si="630"/>
        <v>0</v>
      </c>
      <c r="FO106" s="60">
        <f t="shared" si="631"/>
        <v>0</v>
      </c>
      <c r="FP106" s="59">
        <f t="shared" si="632"/>
        <v>0</v>
      </c>
      <c r="FQ106" s="60">
        <f t="shared" si="633"/>
        <v>0</v>
      </c>
      <c r="FR106" s="59">
        <f t="shared" si="634"/>
        <v>0</v>
      </c>
      <c r="FS106" s="55">
        <f t="shared" si="635"/>
        <v>0</v>
      </c>
      <c r="FT106" s="59">
        <f t="shared" si="636"/>
        <v>0</v>
      </c>
      <c r="FU106" s="60">
        <f t="shared" si="637"/>
        <v>0</v>
      </c>
      <c r="FV106" s="59">
        <f t="shared" si="638"/>
        <v>0</v>
      </c>
      <c r="FW106" s="60">
        <f t="shared" si="639"/>
        <v>0</v>
      </c>
      <c r="FX106" s="59">
        <f t="shared" si="640"/>
        <v>0</v>
      </c>
      <c r="FY106" s="60">
        <f t="shared" si="641"/>
        <v>0</v>
      </c>
      <c r="FZ106" s="59">
        <f t="shared" si="642"/>
        <v>0</v>
      </c>
      <c r="GA106" s="60">
        <f t="shared" si="643"/>
        <v>0</v>
      </c>
      <c r="GB106" s="59">
        <f t="shared" si="644"/>
        <v>0</v>
      </c>
      <c r="GC106" s="55">
        <f t="shared" si="645"/>
        <v>0</v>
      </c>
      <c r="GD106" s="59">
        <f t="shared" si="646"/>
        <v>0</v>
      </c>
      <c r="GE106" s="60">
        <f t="shared" si="647"/>
        <v>0</v>
      </c>
      <c r="GF106" s="59">
        <f t="shared" si="648"/>
        <v>0</v>
      </c>
      <c r="GG106" s="60">
        <f t="shared" si="649"/>
        <v>0</v>
      </c>
      <c r="GH106" s="59">
        <f t="shared" si="650"/>
        <v>0</v>
      </c>
      <c r="GI106" s="55">
        <f t="shared" si="651"/>
        <v>0</v>
      </c>
      <c r="GJ106" s="59">
        <f t="shared" si="652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57"/>
        <v>0.91</v>
      </c>
      <c r="GR106" s="55">
        <f t="shared" si="657"/>
        <v>0.89</v>
      </c>
      <c r="GS106" s="55">
        <f t="shared" si="657"/>
        <v>0.87</v>
      </c>
      <c r="GT106" s="55">
        <f t="shared" si="657"/>
        <v>0.85</v>
      </c>
      <c r="GU106" s="55">
        <f t="shared" si="657"/>
        <v>0.83</v>
      </c>
      <c r="GV106" s="55">
        <f t="shared" si="657"/>
        <v>0.80999999999999994</v>
      </c>
      <c r="GW106" s="55">
        <f t="shared" si="657"/>
        <v>0.78999999999999992</v>
      </c>
      <c r="GX106" s="55">
        <f t="shared" si="657"/>
        <v>0.76999999999999991</v>
      </c>
      <c r="GY106" s="55">
        <f t="shared" si="657"/>
        <v>0.74999999999999989</v>
      </c>
      <c r="GZ106" s="55">
        <f t="shared" si="657"/>
        <v>0.72999999999999987</v>
      </c>
      <c r="HA106" s="55">
        <f t="shared" si="657"/>
        <v>0.70999999999999985</v>
      </c>
      <c r="HB106" s="55">
        <f t="shared" si="657"/>
        <v>0.68999999999999984</v>
      </c>
      <c r="HC106" s="55">
        <f t="shared" si="657"/>
        <v>0.66999999999999982</v>
      </c>
      <c r="HD106" s="55">
        <f t="shared" si="657"/>
        <v>0.6499999999999998</v>
      </c>
      <c r="HE106" s="55">
        <f t="shared" si="657"/>
        <v>0.62999999999999978</v>
      </c>
      <c r="HF106" s="55">
        <f t="shared" si="657"/>
        <v>0.60999999999999976</v>
      </c>
      <c r="HG106" s="55">
        <f t="shared" si="657"/>
        <v>0.58999999999999975</v>
      </c>
      <c r="HH106" s="55">
        <f t="shared" si="657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22"/>
        <v>0</v>
      </c>
      <c r="H107" s="55">
        <f t="shared" si="523"/>
        <v>0</v>
      </c>
      <c r="I107" s="55">
        <f t="shared" si="513"/>
        <v>0</v>
      </c>
      <c r="J107" s="59">
        <f t="shared" si="514"/>
        <v>0</v>
      </c>
      <c r="K107" s="55">
        <f t="shared" si="524"/>
        <v>0</v>
      </c>
      <c r="L107" s="59">
        <f t="shared" si="525"/>
        <v>0</v>
      </c>
      <c r="M107" s="55">
        <f t="shared" si="526"/>
        <v>0</v>
      </c>
      <c r="N107" s="59">
        <f t="shared" si="527"/>
        <v>0</v>
      </c>
      <c r="O107" s="55">
        <f t="shared" si="528"/>
        <v>0</v>
      </c>
      <c r="P107" s="59">
        <f t="shared" si="529"/>
        <v>0</v>
      </c>
      <c r="Q107" s="57">
        <f t="shared" si="530"/>
        <v>0</v>
      </c>
      <c r="R107" s="59">
        <f t="shared" si="531"/>
        <v>0</v>
      </c>
      <c r="S107" s="55">
        <f t="shared" si="532"/>
        <v>0</v>
      </c>
      <c r="T107" s="59">
        <f t="shared" si="533"/>
        <v>0</v>
      </c>
      <c r="U107" s="57">
        <f t="shared" si="534"/>
        <v>0</v>
      </c>
      <c r="V107" s="59">
        <f t="shared" si="535"/>
        <v>0</v>
      </c>
      <c r="W107" s="60">
        <f t="shared" si="536"/>
        <v>0</v>
      </c>
      <c r="X107" s="59">
        <f t="shared" si="537"/>
        <v>0</v>
      </c>
      <c r="Y107" s="57">
        <f t="shared" si="538"/>
        <v>0</v>
      </c>
      <c r="Z107" s="59">
        <f t="shared" si="539"/>
        <v>0</v>
      </c>
      <c r="AA107" s="55">
        <f t="shared" si="540"/>
        <v>0</v>
      </c>
      <c r="AB107" s="59">
        <f t="shared" si="541"/>
        <v>0</v>
      </c>
      <c r="AC107" s="60">
        <f t="shared" si="542"/>
        <v>0</v>
      </c>
      <c r="AD107" s="59">
        <f t="shared" si="543"/>
        <v>0</v>
      </c>
      <c r="AE107" s="60">
        <f t="shared" si="544"/>
        <v>0</v>
      </c>
      <c r="AF107" s="59">
        <f t="shared" si="545"/>
        <v>0</v>
      </c>
      <c r="AG107" s="60">
        <f t="shared" si="546"/>
        <v>0</v>
      </c>
      <c r="AH107" s="59">
        <f t="shared" si="547"/>
        <v>0</v>
      </c>
      <c r="AI107" s="55">
        <f t="shared" si="548"/>
        <v>0</v>
      </c>
      <c r="AJ107" s="59">
        <f t="shared" si="549"/>
        <v>0</v>
      </c>
      <c r="AK107" s="60">
        <f t="shared" si="550"/>
        <v>0</v>
      </c>
      <c r="AL107" s="59">
        <f t="shared" si="551"/>
        <v>0</v>
      </c>
      <c r="AM107" s="60">
        <f t="shared" si="552"/>
        <v>0</v>
      </c>
      <c r="AN107" s="59">
        <f t="shared" si="553"/>
        <v>0</v>
      </c>
      <c r="AO107" s="60">
        <f t="shared" si="554"/>
        <v>0</v>
      </c>
      <c r="AP107" s="59">
        <f t="shared" si="555"/>
        <v>0</v>
      </c>
      <c r="AQ107" s="60">
        <f t="shared" si="556"/>
        <v>0</v>
      </c>
      <c r="AR107" s="59">
        <f t="shared" si="557"/>
        <v>0</v>
      </c>
      <c r="AS107" s="55">
        <f t="shared" si="558"/>
        <v>0</v>
      </c>
      <c r="AT107" s="59">
        <f t="shared" si="559"/>
        <v>0</v>
      </c>
      <c r="AU107" s="60">
        <f t="shared" si="560"/>
        <v>0</v>
      </c>
      <c r="AV107" s="59">
        <f t="shared" si="561"/>
        <v>0</v>
      </c>
      <c r="AW107" s="60">
        <f t="shared" si="562"/>
        <v>0</v>
      </c>
      <c r="AX107" s="59">
        <f t="shared" si="563"/>
        <v>0</v>
      </c>
      <c r="AY107" s="55">
        <f t="shared" si="564"/>
        <v>0</v>
      </c>
      <c r="AZ107" s="59">
        <f t="shared" si="565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9">+BF107-0.02</f>
        <v>0.91</v>
      </c>
      <c r="BH107" s="55">
        <f t="shared" si="659"/>
        <v>0.89</v>
      </c>
      <c r="BI107" s="55">
        <f t="shared" si="659"/>
        <v>0.87</v>
      </c>
      <c r="BJ107" s="55">
        <f t="shared" si="659"/>
        <v>0.85</v>
      </c>
      <c r="BK107" s="55">
        <f t="shared" si="659"/>
        <v>0.83</v>
      </c>
      <c r="BL107" s="55">
        <f t="shared" si="659"/>
        <v>0.80999999999999994</v>
      </c>
      <c r="BM107" s="55">
        <f t="shared" si="659"/>
        <v>0.78999999999999992</v>
      </c>
      <c r="BN107" s="55">
        <f t="shared" si="659"/>
        <v>0.76999999999999991</v>
      </c>
      <c r="BO107" s="55">
        <f t="shared" si="659"/>
        <v>0.74999999999999989</v>
      </c>
      <c r="BP107" s="55">
        <f t="shared" si="659"/>
        <v>0.72999999999999987</v>
      </c>
      <c r="BQ107" s="55">
        <f t="shared" si="659"/>
        <v>0.70999999999999985</v>
      </c>
      <c r="BR107" s="55">
        <f t="shared" si="659"/>
        <v>0.68999999999999984</v>
      </c>
      <c r="BS107" s="55">
        <f t="shared" si="659"/>
        <v>0.66999999999999982</v>
      </c>
      <c r="BT107" s="55">
        <f t="shared" si="659"/>
        <v>0.6499999999999998</v>
      </c>
      <c r="BU107" s="55">
        <f t="shared" si="659"/>
        <v>0.62999999999999978</v>
      </c>
      <c r="BV107" s="55">
        <f t="shared" si="659"/>
        <v>0.60999999999999976</v>
      </c>
      <c r="BW107" s="55">
        <f t="shared" si="659"/>
        <v>0.58999999999999975</v>
      </c>
      <c r="BX107" s="55">
        <f t="shared" si="659"/>
        <v>0.56999999999999973</v>
      </c>
      <c r="BZ107" s="55">
        <f t="shared" si="515"/>
        <v>0</v>
      </c>
      <c r="CA107" s="55">
        <f t="shared" si="516"/>
        <v>0</v>
      </c>
      <c r="CB107" s="59">
        <f t="shared" si="567"/>
        <v>0</v>
      </c>
      <c r="CC107" s="55">
        <f t="shared" si="568"/>
        <v>0</v>
      </c>
      <c r="CD107" s="59">
        <f t="shared" si="569"/>
        <v>0</v>
      </c>
      <c r="CE107" s="55">
        <f t="shared" si="570"/>
        <v>0</v>
      </c>
      <c r="CF107" s="59">
        <f t="shared" si="571"/>
        <v>0</v>
      </c>
      <c r="CG107" s="55">
        <f t="shared" si="572"/>
        <v>0</v>
      </c>
      <c r="CH107" s="59">
        <f t="shared" si="573"/>
        <v>0</v>
      </c>
      <c r="CI107" s="57">
        <f t="shared" si="574"/>
        <v>0</v>
      </c>
      <c r="CJ107" s="59">
        <f t="shared" si="575"/>
        <v>0</v>
      </c>
      <c r="CK107" s="55">
        <f t="shared" si="576"/>
        <v>0</v>
      </c>
      <c r="CL107" s="59">
        <f t="shared" si="577"/>
        <v>0</v>
      </c>
      <c r="CM107" s="57">
        <f t="shared" si="578"/>
        <v>0</v>
      </c>
      <c r="CN107" s="59">
        <f t="shared" si="579"/>
        <v>0</v>
      </c>
      <c r="CO107" s="60">
        <f t="shared" si="580"/>
        <v>0</v>
      </c>
      <c r="CP107" s="59">
        <f t="shared" si="581"/>
        <v>0</v>
      </c>
      <c r="CQ107" s="57">
        <f t="shared" si="582"/>
        <v>0</v>
      </c>
      <c r="CR107" s="59">
        <f t="shared" si="583"/>
        <v>0</v>
      </c>
      <c r="CS107" s="55">
        <f t="shared" si="584"/>
        <v>0</v>
      </c>
      <c r="CT107" s="59">
        <f t="shared" si="585"/>
        <v>0</v>
      </c>
      <c r="CU107" s="60">
        <f t="shared" si="586"/>
        <v>0</v>
      </c>
      <c r="CV107" s="59">
        <f t="shared" si="587"/>
        <v>0</v>
      </c>
      <c r="CW107" s="60">
        <f t="shared" si="588"/>
        <v>0</v>
      </c>
      <c r="CX107" s="59">
        <f t="shared" si="589"/>
        <v>0</v>
      </c>
      <c r="CY107" s="60">
        <f t="shared" si="590"/>
        <v>0</v>
      </c>
      <c r="CZ107" s="59">
        <f t="shared" si="591"/>
        <v>0</v>
      </c>
      <c r="DA107" s="55">
        <f t="shared" si="592"/>
        <v>0</v>
      </c>
      <c r="DB107" s="59">
        <f t="shared" si="593"/>
        <v>0</v>
      </c>
      <c r="DC107" s="60">
        <f t="shared" si="594"/>
        <v>0</v>
      </c>
      <c r="DD107" s="59">
        <f t="shared" si="595"/>
        <v>0</v>
      </c>
      <c r="DE107" s="60">
        <f t="shared" si="596"/>
        <v>0</v>
      </c>
      <c r="DF107" s="59">
        <f t="shared" si="597"/>
        <v>0</v>
      </c>
      <c r="DG107" s="60">
        <f t="shared" si="598"/>
        <v>0</v>
      </c>
      <c r="DH107" s="59">
        <f t="shared" si="599"/>
        <v>0</v>
      </c>
      <c r="DI107" s="60">
        <f t="shared" si="600"/>
        <v>0</v>
      </c>
      <c r="DJ107" s="59">
        <f t="shared" si="601"/>
        <v>0</v>
      </c>
      <c r="DK107" s="55">
        <f t="shared" si="602"/>
        <v>0</v>
      </c>
      <c r="DL107" s="59">
        <f t="shared" si="603"/>
        <v>0</v>
      </c>
      <c r="DM107" s="60">
        <f t="shared" si="604"/>
        <v>0</v>
      </c>
      <c r="DN107" s="59">
        <f t="shared" si="605"/>
        <v>0</v>
      </c>
      <c r="DO107" s="60">
        <f t="shared" si="606"/>
        <v>0</v>
      </c>
      <c r="DP107" s="59">
        <f t="shared" si="607"/>
        <v>0</v>
      </c>
      <c r="DQ107" s="55">
        <f t="shared" si="608"/>
        <v>0</v>
      </c>
      <c r="DR107" s="59">
        <f t="shared" si="609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55"/>
        <v>0.91</v>
      </c>
      <c r="DZ107" s="55">
        <f t="shared" si="655"/>
        <v>0.89</v>
      </c>
      <c r="EA107" s="55">
        <f t="shared" si="655"/>
        <v>0.87</v>
      </c>
      <c r="EB107" s="55">
        <f t="shared" si="655"/>
        <v>0.85</v>
      </c>
      <c r="EC107" s="55">
        <f t="shared" si="655"/>
        <v>0.83</v>
      </c>
      <c r="ED107" s="55">
        <f t="shared" si="655"/>
        <v>0.80999999999999994</v>
      </c>
      <c r="EE107" s="55">
        <f t="shared" si="655"/>
        <v>0.78999999999999992</v>
      </c>
      <c r="EF107" s="55">
        <f t="shared" si="655"/>
        <v>0.76999999999999991</v>
      </c>
      <c r="EG107" s="55">
        <f t="shared" si="655"/>
        <v>0.74999999999999989</v>
      </c>
      <c r="EH107" s="55">
        <f t="shared" si="655"/>
        <v>0.72999999999999987</v>
      </c>
      <c r="EI107" s="55">
        <f t="shared" si="655"/>
        <v>0.70999999999999985</v>
      </c>
      <c r="EJ107" s="55">
        <f t="shared" si="655"/>
        <v>0.68999999999999984</v>
      </c>
      <c r="EK107" s="55">
        <f t="shared" si="655"/>
        <v>0.66999999999999982</v>
      </c>
      <c r="EL107" s="55">
        <f t="shared" si="655"/>
        <v>0.6499999999999998</v>
      </c>
      <c r="EM107" s="55">
        <f t="shared" si="655"/>
        <v>0.62999999999999978</v>
      </c>
      <c r="EN107" s="55">
        <f t="shared" si="655"/>
        <v>0.60999999999999976</v>
      </c>
      <c r="EO107" s="55">
        <f t="shared" si="655"/>
        <v>0.58999999999999975</v>
      </c>
      <c r="EP107" s="55">
        <f t="shared" si="655"/>
        <v>0.56999999999999973</v>
      </c>
      <c r="ER107" s="55">
        <f t="shared" si="656"/>
        <v>0</v>
      </c>
      <c r="ES107" s="55">
        <f t="shared" si="517"/>
        <v>0</v>
      </c>
      <c r="ET107" s="59">
        <f t="shared" si="610"/>
        <v>0</v>
      </c>
      <c r="EU107" s="55">
        <f t="shared" si="611"/>
        <v>0</v>
      </c>
      <c r="EV107" s="59">
        <f t="shared" si="612"/>
        <v>0</v>
      </c>
      <c r="EW107" s="55">
        <f t="shared" si="613"/>
        <v>0</v>
      </c>
      <c r="EX107" s="59">
        <f t="shared" si="614"/>
        <v>0</v>
      </c>
      <c r="EY107" s="55">
        <f t="shared" si="615"/>
        <v>0</v>
      </c>
      <c r="EZ107" s="59">
        <f t="shared" si="616"/>
        <v>0</v>
      </c>
      <c r="FA107" s="57">
        <f t="shared" si="617"/>
        <v>0</v>
      </c>
      <c r="FB107" s="59">
        <f t="shared" si="618"/>
        <v>0</v>
      </c>
      <c r="FC107" s="55">
        <f t="shared" si="619"/>
        <v>0</v>
      </c>
      <c r="FD107" s="59">
        <f t="shared" si="620"/>
        <v>0</v>
      </c>
      <c r="FE107" s="57">
        <f t="shared" si="621"/>
        <v>0</v>
      </c>
      <c r="FF107" s="59">
        <f t="shared" si="622"/>
        <v>0</v>
      </c>
      <c r="FG107" s="60">
        <f t="shared" si="623"/>
        <v>0</v>
      </c>
      <c r="FH107" s="59">
        <f t="shared" si="624"/>
        <v>0</v>
      </c>
      <c r="FI107" s="57">
        <f t="shared" si="625"/>
        <v>0</v>
      </c>
      <c r="FJ107" s="59">
        <f t="shared" si="626"/>
        <v>0</v>
      </c>
      <c r="FK107" s="55">
        <f t="shared" si="627"/>
        <v>0</v>
      </c>
      <c r="FL107" s="59">
        <f t="shared" si="628"/>
        <v>0</v>
      </c>
      <c r="FM107" s="60">
        <f t="shared" si="629"/>
        <v>0</v>
      </c>
      <c r="FN107" s="59">
        <f t="shared" si="630"/>
        <v>0</v>
      </c>
      <c r="FO107" s="60">
        <f t="shared" si="631"/>
        <v>0</v>
      </c>
      <c r="FP107" s="59">
        <f t="shared" si="632"/>
        <v>0</v>
      </c>
      <c r="FQ107" s="60">
        <f t="shared" si="633"/>
        <v>0</v>
      </c>
      <c r="FR107" s="59">
        <f t="shared" si="634"/>
        <v>0</v>
      </c>
      <c r="FS107" s="55">
        <f t="shared" si="635"/>
        <v>0</v>
      </c>
      <c r="FT107" s="59">
        <f t="shared" si="636"/>
        <v>0</v>
      </c>
      <c r="FU107" s="60">
        <f t="shared" si="637"/>
        <v>0</v>
      </c>
      <c r="FV107" s="59">
        <f t="shared" si="638"/>
        <v>0</v>
      </c>
      <c r="FW107" s="60">
        <f t="shared" si="639"/>
        <v>0</v>
      </c>
      <c r="FX107" s="59">
        <f t="shared" si="640"/>
        <v>0</v>
      </c>
      <c r="FY107" s="60">
        <f t="shared" si="641"/>
        <v>0</v>
      </c>
      <c r="FZ107" s="59">
        <f t="shared" si="642"/>
        <v>0</v>
      </c>
      <c r="GA107" s="60">
        <f t="shared" si="643"/>
        <v>0</v>
      </c>
      <c r="GB107" s="59">
        <f t="shared" si="644"/>
        <v>0</v>
      </c>
      <c r="GC107" s="55">
        <f t="shared" si="645"/>
        <v>0</v>
      </c>
      <c r="GD107" s="59">
        <f t="shared" si="646"/>
        <v>0</v>
      </c>
      <c r="GE107" s="60">
        <f t="shared" si="647"/>
        <v>0</v>
      </c>
      <c r="GF107" s="59">
        <f t="shared" si="648"/>
        <v>0</v>
      </c>
      <c r="GG107" s="60">
        <f t="shared" si="649"/>
        <v>0</v>
      </c>
      <c r="GH107" s="59">
        <f t="shared" si="650"/>
        <v>0</v>
      </c>
      <c r="GI107" s="55">
        <f t="shared" si="651"/>
        <v>0</v>
      </c>
      <c r="GJ107" s="59">
        <f t="shared" si="652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57"/>
        <v>0.91</v>
      </c>
      <c r="GR107" s="55">
        <f t="shared" si="657"/>
        <v>0.89</v>
      </c>
      <c r="GS107" s="55">
        <f t="shared" si="657"/>
        <v>0.87</v>
      </c>
      <c r="GT107" s="55">
        <f t="shared" si="657"/>
        <v>0.85</v>
      </c>
      <c r="GU107" s="55">
        <f t="shared" si="657"/>
        <v>0.83</v>
      </c>
      <c r="GV107" s="55">
        <f t="shared" si="657"/>
        <v>0.80999999999999994</v>
      </c>
      <c r="GW107" s="55">
        <f t="shared" si="657"/>
        <v>0.78999999999999992</v>
      </c>
      <c r="GX107" s="55">
        <f t="shared" si="657"/>
        <v>0.76999999999999991</v>
      </c>
      <c r="GY107" s="55">
        <f t="shared" si="657"/>
        <v>0.74999999999999989</v>
      </c>
      <c r="GZ107" s="55">
        <f t="shared" si="657"/>
        <v>0.72999999999999987</v>
      </c>
      <c r="HA107" s="55">
        <f t="shared" si="657"/>
        <v>0.70999999999999985</v>
      </c>
      <c r="HB107" s="55">
        <f t="shared" si="657"/>
        <v>0.68999999999999984</v>
      </c>
      <c r="HC107" s="55">
        <f t="shared" si="657"/>
        <v>0.66999999999999982</v>
      </c>
      <c r="HD107" s="55">
        <f t="shared" si="657"/>
        <v>0.6499999999999998</v>
      </c>
      <c r="HE107" s="55">
        <f t="shared" si="657"/>
        <v>0.62999999999999978</v>
      </c>
      <c r="HF107" s="55">
        <f t="shared" si="657"/>
        <v>0.60999999999999976</v>
      </c>
      <c r="HG107" s="55">
        <f t="shared" si="657"/>
        <v>0.58999999999999975</v>
      </c>
      <c r="HH107" s="55">
        <f t="shared" si="657"/>
        <v>0.56999999999999973</v>
      </c>
    </row>
    <row r="108" spans="1:216" x14ac:dyDescent="0.3">
      <c r="A108" s="2">
        <v>17</v>
      </c>
      <c r="C108" s="38" t="s">
        <v>131</v>
      </c>
      <c r="D108" s="42">
        <f>TRUNC(2848,-1)</f>
        <v>2840</v>
      </c>
      <c r="E108" s="71">
        <f t="shared" si="522"/>
        <v>9380</v>
      </c>
      <c r="H108" s="55">
        <f t="shared" si="523"/>
        <v>3124.0000000000005</v>
      </c>
      <c r="I108" s="55">
        <f t="shared" si="513"/>
        <v>3124.0000000000005</v>
      </c>
      <c r="J108" s="59">
        <f t="shared" si="514"/>
        <v>10327.319200000002</v>
      </c>
      <c r="K108" s="55">
        <f t="shared" si="524"/>
        <v>3030.28</v>
      </c>
      <c r="L108" s="59">
        <f t="shared" si="525"/>
        <v>10017.499624</v>
      </c>
      <c r="M108" s="55">
        <f t="shared" si="526"/>
        <v>2967.8</v>
      </c>
      <c r="N108" s="59">
        <f t="shared" si="527"/>
        <v>9810.9532400000007</v>
      </c>
      <c r="O108" s="55">
        <f t="shared" si="528"/>
        <v>2905.3200000000006</v>
      </c>
      <c r="P108" s="59">
        <f t="shared" si="529"/>
        <v>9604.4068560000014</v>
      </c>
      <c r="Q108" s="57">
        <f t="shared" si="530"/>
        <v>2842.8400000000006</v>
      </c>
      <c r="R108" s="59">
        <f t="shared" si="531"/>
        <v>9397.8604720000021</v>
      </c>
      <c r="S108" s="55">
        <f t="shared" si="532"/>
        <v>2780.3600000000006</v>
      </c>
      <c r="T108" s="59">
        <f t="shared" si="533"/>
        <v>9191.3140880000028</v>
      </c>
      <c r="U108" s="57">
        <f t="shared" si="534"/>
        <v>2717.8800000000006</v>
      </c>
      <c r="V108" s="59">
        <f t="shared" si="535"/>
        <v>8984.7677040000017</v>
      </c>
      <c r="W108" s="60">
        <f t="shared" si="536"/>
        <v>2655.4</v>
      </c>
      <c r="X108" s="59">
        <f t="shared" si="537"/>
        <v>8778.2213200000006</v>
      </c>
      <c r="Y108" s="57">
        <f t="shared" si="538"/>
        <v>2592.92</v>
      </c>
      <c r="Z108" s="59">
        <f t="shared" si="539"/>
        <v>8571.6749360000013</v>
      </c>
      <c r="AA108" s="55">
        <f t="shared" si="540"/>
        <v>2530.44</v>
      </c>
      <c r="AB108" s="59">
        <f t="shared" si="541"/>
        <v>8365.1285520000001</v>
      </c>
      <c r="AC108" s="60">
        <f t="shared" si="542"/>
        <v>2467.96</v>
      </c>
      <c r="AD108" s="59">
        <f t="shared" si="543"/>
        <v>8158.5821679999999</v>
      </c>
      <c r="AE108" s="60">
        <f t="shared" si="544"/>
        <v>2405.48</v>
      </c>
      <c r="AF108" s="59">
        <f t="shared" si="545"/>
        <v>7952.0357840000006</v>
      </c>
      <c r="AG108" s="60">
        <f t="shared" si="546"/>
        <v>2343</v>
      </c>
      <c r="AH108" s="59">
        <f t="shared" si="547"/>
        <v>7745.4894000000004</v>
      </c>
      <c r="AI108" s="55">
        <f t="shared" si="548"/>
        <v>2280.52</v>
      </c>
      <c r="AJ108" s="59">
        <f t="shared" si="549"/>
        <v>7538.9430160000002</v>
      </c>
      <c r="AK108" s="60">
        <f t="shared" si="550"/>
        <v>2218.04</v>
      </c>
      <c r="AL108" s="59">
        <f t="shared" si="551"/>
        <v>7332.396632</v>
      </c>
      <c r="AM108" s="60">
        <f t="shared" si="552"/>
        <v>2155.56</v>
      </c>
      <c r="AN108" s="59">
        <f t="shared" si="553"/>
        <v>7125.8502479999997</v>
      </c>
      <c r="AO108" s="60">
        <f t="shared" si="554"/>
        <v>2093.08</v>
      </c>
      <c r="AP108" s="59">
        <f t="shared" si="555"/>
        <v>6919.3038639999995</v>
      </c>
      <c r="AQ108" s="60">
        <f t="shared" si="556"/>
        <v>2030.5999999999997</v>
      </c>
      <c r="AR108" s="59">
        <f t="shared" si="557"/>
        <v>6712.7574799999993</v>
      </c>
      <c r="AS108" s="55">
        <f t="shared" si="558"/>
        <v>1968.1199999999997</v>
      </c>
      <c r="AT108" s="59">
        <f t="shared" si="559"/>
        <v>6506.2110959999991</v>
      </c>
      <c r="AU108" s="60">
        <f t="shared" si="560"/>
        <v>1905.6399999999996</v>
      </c>
      <c r="AV108" s="59">
        <f t="shared" si="561"/>
        <v>6299.6647119999989</v>
      </c>
      <c r="AW108" s="60">
        <f t="shared" si="562"/>
        <v>1843.1599999999994</v>
      </c>
      <c r="AX108" s="59">
        <f t="shared" si="563"/>
        <v>6093.1183279999977</v>
      </c>
      <c r="AY108" s="55">
        <f t="shared" si="564"/>
        <v>1780.6799999999994</v>
      </c>
      <c r="AZ108" s="59">
        <f t="shared" si="565"/>
        <v>5886.5719439999984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9"/>
        <v>0.91</v>
      </c>
      <c r="BH108" s="55">
        <f t="shared" si="659"/>
        <v>0.89</v>
      </c>
      <c r="BI108" s="55">
        <f t="shared" si="659"/>
        <v>0.87</v>
      </c>
      <c r="BJ108" s="55">
        <f t="shared" si="659"/>
        <v>0.85</v>
      </c>
      <c r="BK108" s="55">
        <f t="shared" si="659"/>
        <v>0.83</v>
      </c>
      <c r="BL108" s="55">
        <f t="shared" si="659"/>
        <v>0.80999999999999994</v>
      </c>
      <c r="BM108" s="55">
        <f t="shared" si="659"/>
        <v>0.78999999999999992</v>
      </c>
      <c r="BN108" s="55">
        <f t="shared" si="659"/>
        <v>0.76999999999999991</v>
      </c>
      <c r="BO108" s="55">
        <f t="shared" si="659"/>
        <v>0.74999999999999989</v>
      </c>
      <c r="BP108" s="55">
        <f t="shared" si="659"/>
        <v>0.72999999999999987</v>
      </c>
      <c r="BQ108" s="55">
        <f t="shared" si="659"/>
        <v>0.70999999999999985</v>
      </c>
      <c r="BR108" s="55">
        <f t="shared" si="659"/>
        <v>0.68999999999999984</v>
      </c>
      <c r="BS108" s="55">
        <f t="shared" si="659"/>
        <v>0.66999999999999982</v>
      </c>
      <c r="BT108" s="55">
        <f t="shared" si="659"/>
        <v>0.6499999999999998</v>
      </c>
      <c r="BU108" s="55">
        <f t="shared" si="659"/>
        <v>0.62999999999999978</v>
      </c>
      <c r="BV108" s="55">
        <f t="shared" si="659"/>
        <v>0.60999999999999976</v>
      </c>
      <c r="BW108" s="55">
        <f t="shared" si="659"/>
        <v>0.58999999999999975</v>
      </c>
      <c r="BX108" s="55">
        <f t="shared" si="659"/>
        <v>0.56999999999999973</v>
      </c>
      <c r="BZ108" s="55">
        <f t="shared" si="515"/>
        <v>2842.8400000000006</v>
      </c>
      <c r="CA108" s="55">
        <f t="shared" si="516"/>
        <v>2842.8400000000006</v>
      </c>
      <c r="CB108" s="59">
        <f t="shared" si="567"/>
        <v>9397.8604720000021</v>
      </c>
      <c r="CC108" s="55">
        <f t="shared" si="568"/>
        <v>2757.5548000000003</v>
      </c>
      <c r="CD108" s="59">
        <f t="shared" si="569"/>
        <v>9115.9246578400016</v>
      </c>
      <c r="CE108" s="55">
        <f t="shared" si="570"/>
        <v>2700.6980000000003</v>
      </c>
      <c r="CF108" s="59">
        <f t="shared" si="571"/>
        <v>8927.9674484000006</v>
      </c>
      <c r="CG108" s="55">
        <f t="shared" si="572"/>
        <v>2643.8412000000008</v>
      </c>
      <c r="CH108" s="59">
        <f t="shared" si="573"/>
        <v>8740.0102389600033</v>
      </c>
      <c r="CI108" s="57">
        <f t="shared" si="574"/>
        <v>2586.9844000000007</v>
      </c>
      <c r="CJ108" s="59">
        <f t="shared" si="575"/>
        <v>8552.0530295200024</v>
      </c>
      <c r="CK108" s="55">
        <f t="shared" si="576"/>
        <v>2530.1276000000007</v>
      </c>
      <c r="CL108" s="59">
        <f t="shared" si="577"/>
        <v>8364.0958200800033</v>
      </c>
      <c r="CM108" s="57">
        <f t="shared" si="578"/>
        <v>2473.2708000000007</v>
      </c>
      <c r="CN108" s="59">
        <f t="shared" si="579"/>
        <v>8176.1386106400023</v>
      </c>
      <c r="CO108" s="60">
        <f t="shared" si="580"/>
        <v>2416.4140000000007</v>
      </c>
      <c r="CP108" s="59">
        <f t="shared" si="581"/>
        <v>7988.1814012000023</v>
      </c>
      <c r="CQ108" s="57">
        <f t="shared" si="582"/>
        <v>2359.5572000000002</v>
      </c>
      <c r="CR108" s="59">
        <f t="shared" si="583"/>
        <v>7800.2241917600004</v>
      </c>
      <c r="CS108" s="55">
        <f t="shared" si="584"/>
        <v>2302.7004000000002</v>
      </c>
      <c r="CT108" s="59">
        <f t="shared" si="585"/>
        <v>7612.2669823200004</v>
      </c>
      <c r="CU108" s="60">
        <f t="shared" si="586"/>
        <v>2245.8436000000002</v>
      </c>
      <c r="CV108" s="59">
        <f t="shared" si="587"/>
        <v>7424.3097728800003</v>
      </c>
      <c r="CW108" s="60">
        <f t="shared" si="588"/>
        <v>2188.9868000000001</v>
      </c>
      <c r="CX108" s="59">
        <f t="shared" si="589"/>
        <v>7236.3525634400003</v>
      </c>
      <c r="CY108" s="60">
        <f t="shared" si="590"/>
        <v>2132.13</v>
      </c>
      <c r="CZ108" s="59">
        <f t="shared" si="591"/>
        <v>7048.3953540000002</v>
      </c>
      <c r="DA108" s="55">
        <f t="shared" si="592"/>
        <v>2075.2732000000001</v>
      </c>
      <c r="DB108" s="59">
        <f t="shared" si="593"/>
        <v>6860.4381445600002</v>
      </c>
      <c r="DC108" s="60">
        <f t="shared" si="594"/>
        <v>2018.4164000000001</v>
      </c>
      <c r="DD108" s="59">
        <f t="shared" si="595"/>
        <v>6672.4809351200001</v>
      </c>
      <c r="DE108" s="60">
        <f t="shared" si="596"/>
        <v>1961.5596</v>
      </c>
      <c r="DF108" s="59">
        <f t="shared" si="597"/>
        <v>6484.5237256800001</v>
      </c>
      <c r="DG108" s="60">
        <f t="shared" si="598"/>
        <v>1904.7027999999998</v>
      </c>
      <c r="DH108" s="59">
        <f t="shared" si="599"/>
        <v>6296.5665162399991</v>
      </c>
      <c r="DI108" s="60">
        <f t="shared" si="600"/>
        <v>1847.8459999999998</v>
      </c>
      <c r="DJ108" s="59">
        <f t="shared" si="601"/>
        <v>6108.6093067999991</v>
      </c>
      <c r="DK108" s="55">
        <f t="shared" si="602"/>
        <v>1790.9891999999998</v>
      </c>
      <c r="DL108" s="59">
        <f t="shared" si="603"/>
        <v>5920.6520973599991</v>
      </c>
      <c r="DM108" s="60">
        <f t="shared" si="604"/>
        <v>1734.1323999999997</v>
      </c>
      <c r="DN108" s="59">
        <f t="shared" si="605"/>
        <v>5732.694887919999</v>
      </c>
      <c r="DO108" s="60">
        <f t="shared" si="606"/>
        <v>1677.2755999999997</v>
      </c>
      <c r="DP108" s="59">
        <f t="shared" si="607"/>
        <v>5544.737678479999</v>
      </c>
      <c r="DQ108" s="55">
        <f t="shared" si="608"/>
        <v>1620.4187999999995</v>
      </c>
      <c r="DR108" s="59">
        <f t="shared" si="609"/>
        <v>5356.780469039998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55"/>
        <v>0.91</v>
      </c>
      <c r="DZ108" s="55">
        <f t="shared" si="655"/>
        <v>0.89</v>
      </c>
      <c r="EA108" s="55">
        <f t="shared" si="655"/>
        <v>0.87</v>
      </c>
      <c r="EB108" s="55">
        <f t="shared" ref="EB108:EP108" si="660">+EA108-0.02</f>
        <v>0.85</v>
      </c>
      <c r="EC108" s="55">
        <f t="shared" si="660"/>
        <v>0.83</v>
      </c>
      <c r="ED108" s="55">
        <f t="shared" si="660"/>
        <v>0.80999999999999994</v>
      </c>
      <c r="EE108" s="55">
        <f t="shared" si="660"/>
        <v>0.78999999999999992</v>
      </c>
      <c r="EF108" s="55">
        <f t="shared" si="660"/>
        <v>0.76999999999999991</v>
      </c>
      <c r="EG108" s="55">
        <f t="shared" si="660"/>
        <v>0.74999999999999989</v>
      </c>
      <c r="EH108" s="55">
        <f t="shared" si="660"/>
        <v>0.72999999999999987</v>
      </c>
      <c r="EI108" s="55">
        <f t="shared" si="660"/>
        <v>0.70999999999999985</v>
      </c>
      <c r="EJ108" s="55">
        <f t="shared" si="660"/>
        <v>0.68999999999999984</v>
      </c>
      <c r="EK108" s="55">
        <f t="shared" si="660"/>
        <v>0.66999999999999982</v>
      </c>
      <c r="EL108" s="55">
        <f t="shared" si="660"/>
        <v>0.6499999999999998</v>
      </c>
      <c r="EM108" s="55">
        <f t="shared" si="660"/>
        <v>0.62999999999999978</v>
      </c>
      <c r="EN108" s="55">
        <f t="shared" si="660"/>
        <v>0.60999999999999976</v>
      </c>
      <c r="EO108" s="55">
        <f t="shared" si="660"/>
        <v>0.58999999999999975</v>
      </c>
      <c r="EP108" s="55">
        <f t="shared" si="660"/>
        <v>0.56999999999999973</v>
      </c>
      <c r="ER108" s="55">
        <f t="shared" si="656"/>
        <v>2586.9844000000007</v>
      </c>
      <c r="ES108" s="55">
        <f t="shared" si="517"/>
        <v>2586.9844000000007</v>
      </c>
      <c r="ET108" s="59">
        <f t="shared" si="610"/>
        <v>8552.0530295200024</v>
      </c>
      <c r="EU108" s="55">
        <f t="shared" si="611"/>
        <v>2509.3748680000008</v>
      </c>
      <c r="EV108" s="59">
        <f t="shared" si="612"/>
        <v>8295.4914386344026</v>
      </c>
      <c r="EW108" s="55">
        <f t="shared" si="613"/>
        <v>2457.6351800000007</v>
      </c>
      <c r="EX108" s="59">
        <f t="shared" si="614"/>
        <v>8124.4503780440027</v>
      </c>
      <c r="EY108" s="55">
        <f t="shared" si="615"/>
        <v>2405.895492000001</v>
      </c>
      <c r="EZ108" s="59">
        <f t="shared" si="616"/>
        <v>7953.4093174536038</v>
      </c>
      <c r="FA108" s="57">
        <f t="shared" si="617"/>
        <v>2354.1558040000009</v>
      </c>
      <c r="FB108" s="59">
        <f t="shared" si="618"/>
        <v>7782.368256863203</v>
      </c>
      <c r="FC108" s="55">
        <f t="shared" si="619"/>
        <v>2302.4161160000008</v>
      </c>
      <c r="FD108" s="59">
        <f t="shared" si="620"/>
        <v>7611.3271962728031</v>
      </c>
      <c r="FE108" s="57">
        <f t="shared" si="621"/>
        <v>2250.6764280000007</v>
      </c>
      <c r="FF108" s="59">
        <f t="shared" si="622"/>
        <v>7440.2861356824023</v>
      </c>
      <c r="FG108" s="60">
        <f t="shared" si="623"/>
        <v>2198.9367400000006</v>
      </c>
      <c r="FH108" s="59">
        <f t="shared" si="624"/>
        <v>7269.2450750920016</v>
      </c>
      <c r="FI108" s="57">
        <f t="shared" si="625"/>
        <v>2147.1970520000004</v>
      </c>
      <c r="FJ108" s="59">
        <f t="shared" si="626"/>
        <v>7098.2040145016017</v>
      </c>
      <c r="FK108" s="55">
        <f t="shared" si="627"/>
        <v>2095.4573640000003</v>
      </c>
      <c r="FL108" s="59">
        <f t="shared" si="628"/>
        <v>6927.1629539112009</v>
      </c>
      <c r="FM108" s="60">
        <f t="shared" si="629"/>
        <v>2043.7176760000004</v>
      </c>
      <c r="FN108" s="59">
        <f t="shared" si="630"/>
        <v>6756.121893320802</v>
      </c>
      <c r="FO108" s="60">
        <f t="shared" si="631"/>
        <v>1991.9779880000003</v>
      </c>
      <c r="FP108" s="59">
        <f t="shared" si="632"/>
        <v>6585.0808327304012</v>
      </c>
      <c r="FQ108" s="60">
        <f t="shared" si="633"/>
        <v>1940.2383000000002</v>
      </c>
      <c r="FR108" s="59">
        <f t="shared" si="634"/>
        <v>6414.0397721400004</v>
      </c>
      <c r="FS108" s="55">
        <f t="shared" si="635"/>
        <v>1888.4986120000001</v>
      </c>
      <c r="FT108" s="59">
        <f t="shared" si="636"/>
        <v>6242.9987115496006</v>
      </c>
      <c r="FU108" s="60">
        <f t="shared" si="637"/>
        <v>1836.7589240000002</v>
      </c>
      <c r="FV108" s="59">
        <f t="shared" si="638"/>
        <v>6071.9576509592007</v>
      </c>
      <c r="FW108" s="60">
        <f t="shared" si="639"/>
        <v>1785.0192360000001</v>
      </c>
      <c r="FX108" s="59">
        <f t="shared" si="640"/>
        <v>5900.9165903688008</v>
      </c>
      <c r="FY108" s="60">
        <f t="shared" si="641"/>
        <v>1733.279548</v>
      </c>
      <c r="FZ108" s="59">
        <f t="shared" si="642"/>
        <v>5729.8755297784001</v>
      </c>
      <c r="GA108" s="60">
        <f t="shared" si="643"/>
        <v>1681.5398599999999</v>
      </c>
      <c r="GB108" s="59">
        <f t="shared" si="644"/>
        <v>5558.8344691879993</v>
      </c>
      <c r="GC108" s="55">
        <f t="shared" si="645"/>
        <v>1629.800172</v>
      </c>
      <c r="GD108" s="59">
        <f t="shared" si="646"/>
        <v>5387.7934085976003</v>
      </c>
      <c r="GE108" s="60">
        <f t="shared" si="647"/>
        <v>1578.0604839999999</v>
      </c>
      <c r="GF108" s="59">
        <f t="shared" si="648"/>
        <v>5216.7523480071995</v>
      </c>
      <c r="GG108" s="60">
        <f t="shared" si="649"/>
        <v>1526.3207959999997</v>
      </c>
      <c r="GH108" s="59">
        <f t="shared" si="650"/>
        <v>5045.7112874167997</v>
      </c>
      <c r="GI108" s="55">
        <f t="shared" si="651"/>
        <v>1474.5811079999996</v>
      </c>
      <c r="GJ108" s="59">
        <f t="shared" si="652"/>
        <v>4874.6702268263989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57"/>
        <v>0.91</v>
      </c>
      <c r="GR108" s="55">
        <f t="shared" si="657"/>
        <v>0.89</v>
      </c>
      <c r="GS108" s="55">
        <f t="shared" si="657"/>
        <v>0.87</v>
      </c>
      <c r="GT108" s="55">
        <f t="shared" ref="GT108:HH108" si="661">+GS108-0.02</f>
        <v>0.85</v>
      </c>
      <c r="GU108" s="55">
        <f t="shared" si="661"/>
        <v>0.83</v>
      </c>
      <c r="GV108" s="55">
        <f t="shared" si="661"/>
        <v>0.80999999999999994</v>
      </c>
      <c r="GW108" s="55">
        <f t="shared" si="661"/>
        <v>0.78999999999999992</v>
      </c>
      <c r="GX108" s="55">
        <f t="shared" si="661"/>
        <v>0.76999999999999991</v>
      </c>
      <c r="GY108" s="55">
        <f t="shared" si="661"/>
        <v>0.74999999999999989</v>
      </c>
      <c r="GZ108" s="55">
        <f t="shared" si="661"/>
        <v>0.72999999999999987</v>
      </c>
      <c r="HA108" s="55">
        <f t="shared" si="661"/>
        <v>0.70999999999999985</v>
      </c>
      <c r="HB108" s="55">
        <f t="shared" si="661"/>
        <v>0.68999999999999984</v>
      </c>
      <c r="HC108" s="55">
        <f t="shared" si="661"/>
        <v>0.66999999999999982</v>
      </c>
      <c r="HD108" s="55">
        <f t="shared" si="661"/>
        <v>0.6499999999999998</v>
      </c>
      <c r="HE108" s="55">
        <f t="shared" si="661"/>
        <v>0.62999999999999978</v>
      </c>
      <c r="HF108" s="55">
        <f t="shared" si="661"/>
        <v>0.60999999999999976</v>
      </c>
      <c r="HG108" s="55">
        <f t="shared" si="661"/>
        <v>0.58999999999999975</v>
      </c>
      <c r="HH108" s="55">
        <f t="shared" si="661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1">
        <f t="shared" si="522"/>
        <v>0</v>
      </c>
      <c r="H109" s="55">
        <f t="shared" si="523"/>
        <v>0</v>
      </c>
      <c r="I109" s="55">
        <f t="shared" si="513"/>
        <v>0</v>
      </c>
      <c r="J109" s="59">
        <f t="shared" si="514"/>
        <v>0</v>
      </c>
      <c r="K109" s="55">
        <f t="shared" si="524"/>
        <v>0</v>
      </c>
      <c r="L109" s="59">
        <f t="shared" si="525"/>
        <v>0</v>
      </c>
      <c r="M109" s="55">
        <f t="shared" si="526"/>
        <v>0</v>
      </c>
      <c r="N109" s="59">
        <f t="shared" si="527"/>
        <v>0</v>
      </c>
      <c r="O109" s="55">
        <f t="shared" si="528"/>
        <v>0</v>
      </c>
      <c r="P109" s="59">
        <f t="shared" si="529"/>
        <v>0</v>
      </c>
      <c r="Q109" s="57">
        <f t="shared" si="530"/>
        <v>0</v>
      </c>
      <c r="R109" s="59">
        <f t="shared" si="531"/>
        <v>0</v>
      </c>
      <c r="S109" s="55">
        <f t="shared" si="532"/>
        <v>0</v>
      </c>
      <c r="T109" s="59">
        <f t="shared" si="533"/>
        <v>0</v>
      </c>
      <c r="U109" s="57">
        <f t="shared" si="534"/>
        <v>0</v>
      </c>
      <c r="V109" s="59">
        <f t="shared" si="535"/>
        <v>0</v>
      </c>
      <c r="W109" s="60">
        <f t="shared" si="536"/>
        <v>0</v>
      </c>
      <c r="X109" s="59">
        <f t="shared" si="537"/>
        <v>0</v>
      </c>
      <c r="Y109" s="57">
        <f t="shared" si="538"/>
        <v>0</v>
      </c>
      <c r="Z109" s="59">
        <f t="shared" si="539"/>
        <v>0</v>
      </c>
      <c r="AA109" s="55">
        <f t="shared" si="540"/>
        <v>0</v>
      </c>
      <c r="AB109" s="59">
        <f t="shared" si="541"/>
        <v>0</v>
      </c>
      <c r="AC109" s="60">
        <f t="shared" si="542"/>
        <v>0</v>
      </c>
      <c r="AD109" s="59">
        <f t="shared" si="543"/>
        <v>0</v>
      </c>
      <c r="AE109" s="60">
        <f t="shared" si="544"/>
        <v>0</v>
      </c>
      <c r="AF109" s="59">
        <f t="shared" si="545"/>
        <v>0</v>
      </c>
      <c r="AG109" s="60">
        <f t="shared" si="546"/>
        <v>0</v>
      </c>
      <c r="AH109" s="59">
        <f t="shared" si="547"/>
        <v>0</v>
      </c>
      <c r="AI109" s="55">
        <f t="shared" si="548"/>
        <v>0</v>
      </c>
      <c r="AJ109" s="59">
        <f t="shared" si="549"/>
        <v>0</v>
      </c>
      <c r="AK109" s="60">
        <f t="shared" si="550"/>
        <v>0</v>
      </c>
      <c r="AL109" s="59">
        <f t="shared" si="551"/>
        <v>0</v>
      </c>
      <c r="AM109" s="60">
        <f t="shared" si="552"/>
        <v>0</v>
      </c>
      <c r="AN109" s="59">
        <f t="shared" si="553"/>
        <v>0</v>
      </c>
      <c r="AO109" s="60">
        <f t="shared" si="554"/>
        <v>0</v>
      </c>
      <c r="AP109" s="59">
        <f t="shared" si="555"/>
        <v>0</v>
      </c>
      <c r="AQ109" s="60">
        <f t="shared" si="556"/>
        <v>0</v>
      </c>
      <c r="AR109" s="59">
        <f t="shared" si="557"/>
        <v>0</v>
      </c>
      <c r="AS109" s="55">
        <f t="shared" si="558"/>
        <v>0</v>
      </c>
      <c r="AT109" s="59">
        <f t="shared" si="559"/>
        <v>0</v>
      </c>
      <c r="AU109" s="60">
        <f t="shared" si="560"/>
        <v>0</v>
      </c>
      <c r="AV109" s="59">
        <f t="shared" si="561"/>
        <v>0</v>
      </c>
      <c r="AW109" s="60">
        <f t="shared" si="562"/>
        <v>0</v>
      </c>
      <c r="AX109" s="59">
        <f t="shared" si="563"/>
        <v>0</v>
      </c>
      <c r="AY109" s="55">
        <f t="shared" si="564"/>
        <v>0</v>
      </c>
      <c r="AZ109" s="59">
        <f t="shared" si="565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9"/>
        <v>0.91</v>
      </c>
      <c r="BH109" s="55">
        <f t="shared" si="659"/>
        <v>0.89</v>
      </c>
      <c r="BI109" s="55">
        <f t="shared" si="659"/>
        <v>0.87</v>
      </c>
      <c r="BJ109" s="55">
        <f t="shared" si="659"/>
        <v>0.85</v>
      </c>
      <c r="BK109" s="55">
        <f t="shared" si="659"/>
        <v>0.83</v>
      </c>
      <c r="BL109" s="55">
        <f t="shared" si="659"/>
        <v>0.80999999999999994</v>
      </c>
      <c r="BM109" s="55">
        <f t="shared" si="659"/>
        <v>0.78999999999999992</v>
      </c>
      <c r="BN109" s="55">
        <f t="shared" si="659"/>
        <v>0.76999999999999991</v>
      </c>
      <c r="BO109" s="55">
        <f t="shared" si="659"/>
        <v>0.74999999999999989</v>
      </c>
      <c r="BP109" s="55">
        <f t="shared" si="659"/>
        <v>0.72999999999999987</v>
      </c>
      <c r="BQ109" s="55">
        <f t="shared" si="659"/>
        <v>0.70999999999999985</v>
      </c>
      <c r="BR109" s="55">
        <f t="shared" si="659"/>
        <v>0.68999999999999984</v>
      </c>
      <c r="BS109" s="55">
        <f t="shared" si="659"/>
        <v>0.66999999999999982</v>
      </c>
      <c r="BT109" s="55">
        <f t="shared" si="659"/>
        <v>0.6499999999999998</v>
      </c>
      <c r="BU109" s="55">
        <f t="shared" si="659"/>
        <v>0.62999999999999978</v>
      </c>
      <c r="BV109" s="55">
        <f t="shared" si="659"/>
        <v>0.60999999999999976</v>
      </c>
      <c r="BW109" s="55">
        <f t="shared" si="659"/>
        <v>0.58999999999999975</v>
      </c>
      <c r="BX109" s="55">
        <f t="shared" si="659"/>
        <v>0.56999999999999973</v>
      </c>
      <c r="BZ109" s="55">
        <f t="shared" si="515"/>
        <v>0</v>
      </c>
      <c r="CA109" s="55">
        <f t="shared" si="516"/>
        <v>0</v>
      </c>
      <c r="CB109" s="59">
        <f t="shared" si="567"/>
        <v>0</v>
      </c>
      <c r="CC109" s="55">
        <f t="shared" si="568"/>
        <v>0</v>
      </c>
      <c r="CD109" s="59">
        <f t="shared" si="569"/>
        <v>0</v>
      </c>
      <c r="CE109" s="55">
        <f t="shared" si="570"/>
        <v>0</v>
      </c>
      <c r="CF109" s="59">
        <f t="shared" si="571"/>
        <v>0</v>
      </c>
      <c r="CG109" s="55">
        <f t="shared" si="572"/>
        <v>0</v>
      </c>
      <c r="CH109" s="59">
        <f t="shared" si="573"/>
        <v>0</v>
      </c>
      <c r="CI109" s="57">
        <f t="shared" si="574"/>
        <v>0</v>
      </c>
      <c r="CJ109" s="59">
        <f t="shared" si="575"/>
        <v>0</v>
      </c>
      <c r="CK109" s="55">
        <f t="shared" si="576"/>
        <v>0</v>
      </c>
      <c r="CL109" s="59">
        <f t="shared" si="577"/>
        <v>0</v>
      </c>
      <c r="CM109" s="57">
        <f t="shared" si="578"/>
        <v>0</v>
      </c>
      <c r="CN109" s="59">
        <f t="shared" si="579"/>
        <v>0</v>
      </c>
      <c r="CO109" s="60">
        <f t="shared" si="580"/>
        <v>0</v>
      </c>
      <c r="CP109" s="59">
        <f t="shared" si="581"/>
        <v>0</v>
      </c>
      <c r="CQ109" s="57">
        <f t="shared" si="582"/>
        <v>0</v>
      </c>
      <c r="CR109" s="59">
        <f t="shared" si="583"/>
        <v>0</v>
      </c>
      <c r="CS109" s="55">
        <f t="shared" si="584"/>
        <v>0</v>
      </c>
      <c r="CT109" s="59">
        <f t="shared" si="585"/>
        <v>0</v>
      </c>
      <c r="CU109" s="60">
        <f t="shared" si="586"/>
        <v>0</v>
      </c>
      <c r="CV109" s="59">
        <f t="shared" si="587"/>
        <v>0</v>
      </c>
      <c r="CW109" s="60">
        <f t="shared" si="588"/>
        <v>0</v>
      </c>
      <c r="CX109" s="59">
        <f t="shared" si="589"/>
        <v>0</v>
      </c>
      <c r="CY109" s="60">
        <f t="shared" si="590"/>
        <v>0</v>
      </c>
      <c r="CZ109" s="59">
        <f t="shared" si="591"/>
        <v>0</v>
      </c>
      <c r="DA109" s="55">
        <f t="shared" si="592"/>
        <v>0</v>
      </c>
      <c r="DB109" s="59">
        <f t="shared" si="593"/>
        <v>0</v>
      </c>
      <c r="DC109" s="60">
        <f t="shared" si="594"/>
        <v>0</v>
      </c>
      <c r="DD109" s="59">
        <f t="shared" si="595"/>
        <v>0</v>
      </c>
      <c r="DE109" s="60">
        <f t="shared" si="596"/>
        <v>0</v>
      </c>
      <c r="DF109" s="59">
        <f t="shared" si="597"/>
        <v>0</v>
      </c>
      <c r="DG109" s="60">
        <f t="shared" si="598"/>
        <v>0</v>
      </c>
      <c r="DH109" s="59">
        <f t="shared" si="599"/>
        <v>0</v>
      </c>
      <c r="DI109" s="60">
        <f t="shared" si="600"/>
        <v>0</v>
      </c>
      <c r="DJ109" s="59">
        <f t="shared" si="601"/>
        <v>0</v>
      </c>
      <c r="DK109" s="55">
        <f t="shared" si="602"/>
        <v>0</v>
      </c>
      <c r="DL109" s="59">
        <f t="shared" si="603"/>
        <v>0</v>
      </c>
      <c r="DM109" s="60">
        <f t="shared" si="604"/>
        <v>0</v>
      </c>
      <c r="DN109" s="59">
        <f t="shared" si="605"/>
        <v>0</v>
      </c>
      <c r="DO109" s="60">
        <f t="shared" si="606"/>
        <v>0</v>
      </c>
      <c r="DP109" s="59">
        <f t="shared" si="607"/>
        <v>0</v>
      </c>
      <c r="DQ109" s="55">
        <f t="shared" si="608"/>
        <v>0</v>
      </c>
      <c r="DR109" s="59">
        <f t="shared" si="609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62">+DX109-0.02</f>
        <v>0.91</v>
      </c>
      <c r="DZ109" s="55">
        <f t="shared" si="662"/>
        <v>0.89</v>
      </c>
      <c r="EA109" s="55">
        <f t="shared" si="662"/>
        <v>0.87</v>
      </c>
      <c r="EB109" s="55">
        <f t="shared" si="662"/>
        <v>0.85</v>
      </c>
      <c r="EC109" s="55">
        <f t="shared" si="662"/>
        <v>0.83</v>
      </c>
      <c r="ED109" s="55">
        <f t="shared" si="662"/>
        <v>0.80999999999999994</v>
      </c>
      <c r="EE109" s="55">
        <f t="shared" si="662"/>
        <v>0.78999999999999992</v>
      </c>
      <c r="EF109" s="55">
        <f t="shared" si="662"/>
        <v>0.76999999999999991</v>
      </c>
      <c r="EG109" s="55">
        <f t="shared" si="662"/>
        <v>0.74999999999999989</v>
      </c>
      <c r="EH109" s="55">
        <f t="shared" si="662"/>
        <v>0.72999999999999987</v>
      </c>
      <c r="EI109" s="55">
        <f t="shared" si="662"/>
        <v>0.70999999999999985</v>
      </c>
      <c r="EJ109" s="55">
        <f t="shared" si="662"/>
        <v>0.68999999999999984</v>
      </c>
      <c r="EK109" s="55">
        <f t="shared" si="662"/>
        <v>0.66999999999999982</v>
      </c>
      <c r="EL109" s="55">
        <f t="shared" si="662"/>
        <v>0.6499999999999998</v>
      </c>
      <c r="EM109" s="55">
        <f t="shared" si="662"/>
        <v>0.62999999999999978</v>
      </c>
      <c r="EN109" s="55">
        <f t="shared" si="662"/>
        <v>0.60999999999999976</v>
      </c>
      <c r="EO109" s="55">
        <f t="shared" si="662"/>
        <v>0.58999999999999975</v>
      </c>
      <c r="EP109" s="55">
        <f t="shared" si="662"/>
        <v>0.56999999999999973</v>
      </c>
      <c r="ER109" s="55">
        <f t="shared" si="656"/>
        <v>0</v>
      </c>
      <c r="ES109" s="55">
        <f t="shared" si="517"/>
        <v>0</v>
      </c>
      <c r="ET109" s="59">
        <f t="shared" si="610"/>
        <v>0</v>
      </c>
      <c r="EU109" s="55">
        <f t="shared" si="611"/>
        <v>0</v>
      </c>
      <c r="EV109" s="59">
        <f t="shared" si="612"/>
        <v>0</v>
      </c>
      <c r="EW109" s="55">
        <f t="shared" si="613"/>
        <v>0</v>
      </c>
      <c r="EX109" s="59">
        <f t="shared" si="614"/>
        <v>0</v>
      </c>
      <c r="EY109" s="55">
        <f t="shared" si="615"/>
        <v>0</v>
      </c>
      <c r="EZ109" s="59">
        <f t="shared" si="616"/>
        <v>0</v>
      </c>
      <c r="FA109" s="57">
        <f t="shared" si="617"/>
        <v>0</v>
      </c>
      <c r="FB109" s="59">
        <f t="shared" si="618"/>
        <v>0</v>
      </c>
      <c r="FC109" s="55">
        <f t="shared" si="619"/>
        <v>0</v>
      </c>
      <c r="FD109" s="59">
        <f t="shared" si="620"/>
        <v>0</v>
      </c>
      <c r="FE109" s="57">
        <f t="shared" si="621"/>
        <v>0</v>
      </c>
      <c r="FF109" s="59">
        <f t="shared" si="622"/>
        <v>0</v>
      </c>
      <c r="FG109" s="60">
        <f t="shared" si="623"/>
        <v>0</v>
      </c>
      <c r="FH109" s="59">
        <f t="shared" si="624"/>
        <v>0</v>
      </c>
      <c r="FI109" s="57">
        <f t="shared" si="625"/>
        <v>0</v>
      </c>
      <c r="FJ109" s="59">
        <f t="shared" si="626"/>
        <v>0</v>
      </c>
      <c r="FK109" s="55">
        <f t="shared" si="627"/>
        <v>0</v>
      </c>
      <c r="FL109" s="59">
        <f t="shared" si="628"/>
        <v>0</v>
      </c>
      <c r="FM109" s="60">
        <f t="shared" si="629"/>
        <v>0</v>
      </c>
      <c r="FN109" s="59">
        <f t="shared" si="630"/>
        <v>0</v>
      </c>
      <c r="FO109" s="60">
        <f t="shared" si="631"/>
        <v>0</v>
      </c>
      <c r="FP109" s="59">
        <f t="shared" si="632"/>
        <v>0</v>
      </c>
      <c r="FQ109" s="60">
        <f t="shared" si="633"/>
        <v>0</v>
      </c>
      <c r="FR109" s="59">
        <f t="shared" si="634"/>
        <v>0</v>
      </c>
      <c r="FS109" s="55">
        <f t="shared" si="635"/>
        <v>0</v>
      </c>
      <c r="FT109" s="59">
        <f t="shared" si="636"/>
        <v>0</v>
      </c>
      <c r="FU109" s="60">
        <f t="shared" si="637"/>
        <v>0</v>
      </c>
      <c r="FV109" s="59">
        <f t="shared" si="638"/>
        <v>0</v>
      </c>
      <c r="FW109" s="60">
        <f t="shared" si="639"/>
        <v>0</v>
      </c>
      <c r="FX109" s="59">
        <f t="shared" si="640"/>
        <v>0</v>
      </c>
      <c r="FY109" s="60">
        <f t="shared" si="641"/>
        <v>0</v>
      </c>
      <c r="FZ109" s="59">
        <f t="shared" si="642"/>
        <v>0</v>
      </c>
      <c r="GA109" s="60">
        <f t="shared" si="643"/>
        <v>0</v>
      </c>
      <c r="GB109" s="59">
        <f t="shared" si="644"/>
        <v>0</v>
      </c>
      <c r="GC109" s="55">
        <f t="shared" si="645"/>
        <v>0</v>
      </c>
      <c r="GD109" s="59">
        <f t="shared" si="646"/>
        <v>0</v>
      </c>
      <c r="GE109" s="60">
        <f t="shared" si="647"/>
        <v>0</v>
      </c>
      <c r="GF109" s="59">
        <f t="shared" si="648"/>
        <v>0</v>
      </c>
      <c r="GG109" s="60">
        <f t="shared" si="649"/>
        <v>0</v>
      </c>
      <c r="GH109" s="59">
        <f t="shared" si="650"/>
        <v>0</v>
      </c>
      <c r="GI109" s="55">
        <f t="shared" si="651"/>
        <v>0</v>
      </c>
      <c r="GJ109" s="59">
        <f t="shared" si="652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63">+GP109-0.02</f>
        <v>0.91</v>
      </c>
      <c r="GR109" s="55">
        <f t="shared" si="663"/>
        <v>0.89</v>
      </c>
      <c r="GS109" s="55">
        <f t="shared" si="663"/>
        <v>0.87</v>
      </c>
      <c r="GT109" s="55">
        <f t="shared" si="663"/>
        <v>0.85</v>
      </c>
      <c r="GU109" s="55">
        <f t="shared" si="663"/>
        <v>0.83</v>
      </c>
      <c r="GV109" s="55">
        <f t="shared" si="663"/>
        <v>0.80999999999999994</v>
      </c>
      <c r="GW109" s="55">
        <f t="shared" si="663"/>
        <v>0.78999999999999992</v>
      </c>
      <c r="GX109" s="55">
        <f t="shared" si="663"/>
        <v>0.76999999999999991</v>
      </c>
      <c r="GY109" s="55">
        <f t="shared" si="663"/>
        <v>0.74999999999999989</v>
      </c>
      <c r="GZ109" s="55">
        <f t="shared" si="663"/>
        <v>0.72999999999999987</v>
      </c>
      <c r="HA109" s="55">
        <f t="shared" si="663"/>
        <v>0.70999999999999985</v>
      </c>
      <c r="HB109" s="55">
        <f t="shared" si="663"/>
        <v>0.68999999999999984</v>
      </c>
      <c r="HC109" s="55">
        <f t="shared" si="663"/>
        <v>0.66999999999999982</v>
      </c>
      <c r="HD109" s="55">
        <f t="shared" si="663"/>
        <v>0.6499999999999998</v>
      </c>
      <c r="HE109" s="55">
        <f t="shared" si="663"/>
        <v>0.62999999999999978</v>
      </c>
      <c r="HF109" s="55">
        <f t="shared" si="663"/>
        <v>0.60999999999999976</v>
      </c>
      <c r="HG109" s="55">
        <f t="shared" si="663"/>
        <v>0.58999999999999975</v>
      </c>
      <c r="HH109" s="55">
        <f t="shared" si="663"/>
        <v>0.56999999999999973</v>
      </c>
    </row>
    <row r="110" spans="1:216" x14ac:dyDescent="0.3">
      <c r="A110" s="2">
        <v>19</v>
      </c>
      <c r="C110" s="38" t="s">
        <v>116</v>
      </c>
      <c r="D110" s="42">
        <f>TRUNC(7864,-1)</f>
        <v>7860</v>
      </c>
      <c r="E110" s="71">
        <f t="shared" si="522"/>
        <v>25980</v>
      </c>
      <c r="H110" s="55">
        <f t="shared" si="523"/>
        <v>8646</v>
      </c>
      <c r="I110" s="55">
        <f t="shared" si="513"/>
        <v>8646</v>
      </c>
      <c r="J110" s="59">
        <f t="shared" si="514"/>
        <v>28581.946800000002</v>
      </c>
      <c r="K110" s="55">
        <f t="shared" si="524"/>
        <v>8386.619999999999</v>
      </c>
      <c r="L110" s="59">
        <f t="shared" si="525"/>
        <v>27724.488395999997</v>
      </c>
      <c r="M110" s="55">
        <f t="shared" si="526"/>
        <v>8213.6999999999989</v>
      </c>
      <c r="N110" s="59">
        <f t="shared" si="527"/>
        <v>27152.849459999998</v>
      </c>
      <c r="O110" s="55">
        <f t="shared" si="528"/>
        <v>8040.7800000000007</v>
      </c>
      <c r="P110" s="59">
        <f t="shared" si="529"/>
        <v>26581.210524000002</v>
      </c>
      <c r="Q110" s="57">
        <f t="shared" si="530"/>
        <v>7867.8600000000006</v>
      </c>
      <c r="R110" s="59">
        <f t="shared" si="531"/>
        <v>26009.571588000003</v>
      </c>
      <c r="S110" s="55">
        <f t="shared" si="532"/>
        <v>7694.9400000000005</v>
      </c>
      <c r="T110" s="59">
        <f t="shared" si="533"/>
        <v>25437.932652000003</v>
      </c>
      <c r="U110" s="57">
        <f t="shared" si="534"/>
        <v>7522.0199999999995</v>
      </c>
      <c r="V110" s="59">
        <f t="shared" si="535"/>
        <v>24866.293716</v>
      </c>
      <c r="W110" s="60">
        <f t="shared" si="536"/>
        <v>7349.0999999999995</v>
      </c>
      <c r="X110" s="59">
        <f t="shared" si="537"/>
        <v>24294.654779999997</v>
      </c>
      <c r="Y110" s="57">
        <f t="shared" si="538"/>
        <v>7176.1799999999994</v>
      </c>
      <c r="Z110" s="59">
        <f t="shared" si="539"/>
        <v>23723.015843999998</v>
      </c>
      <c r="AA110" s="55">
        <f t="shared" si="540"/>
        <v>7003.2599999999993</v>
      </c>
      <c r="AB110" s="59">
        <f t="shared" si="541"/>
        <v>23151.376907999998</v>
      </c>
      <c r="AC110" s="60">
        <f t="shared" si="542"/>
        <v>6830.3399999999992</v>
      </c>
      <c r="AD110" s="59">
        <f t="shared" si="543"/>
        <v>22579.737971999999</v>
      </c>
      <c r="AE110" s="60">
        <f t="shared" si="544"/>
        <v>6657.4199999999992</v>
      </c>
      <c r="AF110" s="59">
        <f t="shared" si="545"/>
        <v>22008.099035999996</v>
      </c>
      <c r="AG110" s="60">
        <f t="shared" si="546"/>
        <v>6484.4999999999991</v>
      </c>
      <c r="AH110" s="59">
        <f t="shared" si="547"/>
        <v>21436.460099999997</v>
      </c>
      <c r="AI110" s="55">
        <f t="shared" si="548"/>
        <v>6311.579999999999</v>
      </c>
      <c r="AJ110" s="59">
        <f t="shared" si="549"/>
        <v>20864.821163999997</v>
      </c>
      <c r="AK110" s="60">
        <f t="shared" si="550"/>
        <v>6138.6599999999989</v>
      </c>
      <c r="AL110" s="59">
        <f t="shared" si="551"/>
        <v>20293.182227999998</v>
      </c>
      <c r="AM110" s="60">
        <f t="shared" si="552"/>
        <v>5965.7399999999989</v>
      </c>
      <c r="AN110" s="59">
        <f t="shared" si="553"/>
        <v>19721.543291999998</v>
      </c>
      <c r="AO110" s="60">
        <f t="shared" si="554"/>
        <v>5792.8199999999988</v>
      </c>
      <c r="AP110" s="59">
        <f t="shared" si="555"/>
        <v>19149.904355999995</v>
      </c>
      <c r="AQ110" s="60">
        <f t="shared" si="556"/>
        <v>5619.8999999999978</v>
      </c>
      <c r="AR110" s="59">
        <f t="shared" si="557"/>
        <v>18578.265419999992</v>
      </c>
      <c r="AS110" s="55">
        <f t="shared" si="558"/>
        <v>5446.9799999999977</v>
      </c>
      <c r="AT110" s="59">
        <f t="shared" si="559"/>
        <v>18006.626483999993</v>
      </c>
      <c r="AU110" s="60">
        <f t="shared" si="560"/>
        <v>5274.0599999999977</v>
      </c>
      <c r="AV110" s="59">
        <f t="shared" si="561"/>
        <v>17434.987547999994</v>
      </c>
      <c r="AW110" s="60">
        <f t="shared" si="562"/>
        <v>5101.1399999999976</v>
      </c>
      <c r="AX110" s="59">
        <f t="shared" si="563"/>
        <v>16863.348611999991</v>
      </c>
      <c r="AY110" s="55">
        <f t="shared" si="564"/>
        <v>4928.2199999999975</v>
      </c>
      <c r="AZ110" s="59">
        <f t="shared" si="565"/>
        <v>16291.709675999991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9"/>
        <v>0.91</v>
      </c>
      <c r="BH110" s="55">
        <f t="shared" si="659"/>
        <v>0.89</v>
      </c>
      <c r="BI110" s="55">
        <f t="shared" si="659"/>
        <v>0.87</v>
      </c>
      <c r="BJ110" s="55">
        <f t="shared" si="659"/>
        <v>0.85</v>
      </c>
      <c r="BK110" s="55">
        <f t="shared" si="659"/>
        <v>0.83</v>
      </c>
      <c r="BL110" s="55">
        <f t="shared" si="659"/>
        <v>0.80999999999999994</v>
      </c>
      <c r="BM110" s="55">
        <f t="shared" si="659"/>
        <v>0.78999999999999992</v>
      </c>
      <c r="BN110" s="55">
        <f t="shared" si="659"/>
        <v>0.76999999999999991</v>
      </c>
      <c r="BO110" s="55">
        <f t="shared" si="659"/>
        <v>0.74999999999999989</v>
      </c>
      <c r="BP110" s="55">
        <f t="shared" si="659"/>
        <v>0.72999999999999987</v>
      </c>
      <c r="BQ110" s="55">
        <f t="shared" si="659"/>
        <v>0.70999999999999985</v>
      </c>
      <c r="BR110" s="55">
        <f t="shared" si="659"/>
        <v>0.68999999999999984</v>
      </c>
      <c r="BS110" s="55">
        <f t="shared" si="659"/>
        <v>0.66999999999999982</v>
      </c>
      <c r="BT110" s="55">
        <f t="shared" si="659"/>
        <v>0.6499999999999998</v>
      </c>
      <c r="BU110" s="55">
        <f t="shared" si="659"/>
        <v>0.62999999999999978</v>
      </c>
      <c r="BV110" s="55">
        <f t="shared" si="659"/>
        <v>0.60999999999999976</v>
      </c>
      <c r="BW110" s="55">
        <f t="shared" si="659"/>
        <v>0.58999999999999975</v>
      </c>
      <c r="BX110" s="55">
        <f t="shared" si="659"/>
        <v>0.56999999999999973</v>
      </c>
      <c r="BZ110" s="55">
        <f t="shared" si="515"/>
        <v>7867.8600000000006</v>
      </c>
      <c r="CA110" s="55">
        <f t="shared" si="516"/>
        <v>7867.8600000000006</v>
      </c>
      <c r="CB110" s="59">
        <f t="shared" si="567"/>
        <v>26009.571588000003</v>
      </c>
      <c r="CC110" s="55">
        <f t="shared" si="568"/>
        <v>7631.8242</v>
      </c>
      <c r="CD110" s="59">
        <f t="shared" si="569"/>
        <v>25229.284440359999</v>
      </c>
      <c r="CE110" s="55">
        <f t="shared" si="570"/>
        <v>7474.4670000000006</v>
      </c>
      <c r="CF110" s="59">
        <f t="shared" si="571"/>
        <v>24709.093008600001</v>
      </c>
      <c r="CG110" s="55">
        <f t="shared" si="572"/>
        <v>7317.1098000000011</v>
      </c>
      <c r="CH110" s="59">
        <f t="shared" si="573"/>
        <v>24188.901576840006</v>
      </c>
      <c r="CI110" s="57">
        <f t="shared" si="574"/>
        <v>7159.7526000000007</v>
      </c>
      <c r="CJ110" s="59">
        <f t="shared" si="575"/>
        <v>23668.710145080004</v>
      </c>
      <c r="CK110" s="55">
        <f t="shared" si="576"/>
        <v>7002.3954000000003</v>
      </c>
      <c r="CL110" s="59">
        <f t="shared" si="577"/>
        <v>23148.518713320002</v>
      </c>
      <c r="CM110" s="57">
        <f t="shared" si="578"/>
        <v>6845.0382000000009</v>
      </c>
      <c r="CN110" s="59">
        <f t="shared" si="579"/>
        <v>22628.327281560003</v>
      </c>
      <c r="CO110" s="60">
        <f t="shared" si="580"/>
        <v>6687.6810000000005</v>
      </c>
      <c r="CP110" s="59">
        <f t="shared" si="581"/>
        <v>22108.135849800001</v>
      </c>
      <c r="CQ110" s="57">
        <f t="shared" si="582"/>
        <v>6530.3238000000001</v>
      </c>
      <c r="CR110" s="59">
        <f t="shared" si="583"/>
        <v>21587.944418040002</v>
      </c>
      <c r="CS110" s="55">
        <f t="shared" si="584"/>
        <v>6372.9665999999997</v>
      </c>
      <c r="CT110" s="59">
        <f t="shared" si="585"/>
        <v>21067.75298628</v>
      </c>
      <c r="CU110" s="60">
        <f t="shared" si="586"/>
        <v>6215.6094000000003</v>
      </c>
      <c r="CV110" s="59">
        <f t="shared" si="587"/>
        <v>20547.561554520002</v>
      </c>
      <c r="CW110" s="60">
        <f t="shared" si="588"/>
        <v>6058.2521999999999</v>
      </c>
      <c r="CX110" s="59">
        <f t="shared" si="589"/>
        <v>20027.37012276</v>
      </c>
      <c r="CY110" s="60">
        <f t="shared" si="590"/>
        <v>5900.8949999999995</v>
      </c>
      <c r="CZ110" s="59">
        <f t="shared" si="591"/>
        <v>19507.178690999997</v>
      </c>
      <c r="DA110" s="55">
        <f t="shared" si="592"/>
        <v>5743.5377999999992</v>
      </c>
      <c r="DB110" s="59">
        <f t="shared" si="593"/>
        <v>18986.987259239999</v>
      </c>
      <c r="DC110" s="60">
        <f t="shared" si="594"/>
        <v>5586.1805999999997</v>
      </c>
      <c r="DD110" s="59">
        <f t="shared" si="595"/>
        <v>18466.79582748</v>
      </c>
      <c r="DE110" s="60">
        <f t="shared" si="596"/>
        <v>5428.8233999999993</v>
      </c>
      <c r="DF110" s="59">
        <f t="shared" si="597"/>
        <v>17946.604395719998</v>
      </c>
      <c r="DG110" s="60">
        <f t="shared" si="598"/>
        <v>5271.4661999999989</v>
      </c>
      <c r="DH110" s="59">
        <f t="shared" si="599"/>
        <v>17426.412963959996</v>
      </c>
      <c r="DI110" s="60">
        <f t="shared" si="600"/>
        <v>5114.1089999999986</v>
      </c>
      <c r="DJ110" s="59">
        <f t="shared" si="601"/>
        <v>16906.221532199994</v>
      </c>
      <c r="DK110" s="55">
        <f t="shared" si="602"/>
        <v>4956.7517999999991</v>
      </c>
      <c r="DL110" s="59">
        <f t="shared" si="603"/>
        <v>16386.030100439999</v>
      </c>
      <c r="DM110" s="60">
        <f t="shared" si="604"/>
        <v>4799.3945999999987</v>
      </c>
      <c r="DN110" s="59">
        <f t="shared" si="605"/>
        <v>15865.838668679997</v>
      </c>
      <c r="DO110" s="60">
        <f t="shared" si="606"/>
        <v>4642.0373999999983</v>
      </c>
      <c r="DP110" s="59">
        <f t="shared" si="607"/>
        <v>15345.647236919995</v>
      </c>
      <c r="DQ110" s="55">
        <f t="shared" si="608"/>
        <v>4484.680199999998</v>
      </c>
      <c r="DR110" s="59">
        <f t="shared" si="609"/>
        <v>14825.455805159994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62"/>
        <v>0.91</v>
      </c>
      <c r="DZ110" s="55">
        <f t="shared" si="662"/>
        <v>0.89</v>
      </c>
      <c r="EA110" s="55">
        <f t="shared" si="662"/>
        <v>0.87</v>
      </c>
      <c r="EB110" s="55">
        <f t="shared" si="662"/>
        <v>0.85</v>
      </c>
      <c r="EC110" s="55">
        <f t="shared" si="662"/>
        <v>0.83</v>
      </c>
      <c r="ED110" s="55">
        <f t="shared" si="662"/>
        <v>0.80999999999999994</v>
      </c>
      <c r="EE110" s="55">
        <f t="shared" si="662"/>
        <v>0.78999999999999992</v>
      </c>
      <c r="EF110" s="55">
        <f t="shared" si="662"/>
        <v>0.76999999999999991</v>
      </c>
      <c r="EG110" s="55">
        <f t="shared" si="662"/>
        <v>0.74999999999999989</v>
      </c>
      <c r="EH110" s="55">
        <f t="shared" si="662"/>
        <v>0.72999999999999987</v>
      </c>
      <c r="EI110" s="55">
        <f t="shared" si="662"/>
        <v>0.70999999999999985</v>
      </c>
      <c r="EJ110" s="55">
        <f t="shared" si="662"/>
        <v>0.68999999999999984</v>
      </c>
      <c r="EK110" s="55">
        <f t="shared" si="662"/>
        <v>0.66999999999999982</v>
      </c>
      <c r="EL110" s="55">
        <f t="shared" si="662"/>
        <v>0.6499999999999998</v>
      </c>
      <c r="EM110" s="55">
        <f t="shared" si="662"/>
        <v>0.62999999999999978</v>
      </c>
      <c r="EN110" s="55">
        <f t="shared" si="662"/>
        <v>0.60999999999999976</v>
      </c>
      <c r="EO110" s="55">
        <f t="shared" si="662"/>
        <v>0.58999999999999975</v>
      </c>
      <c r="EP110" s="55">
        <f t="shared" si="662"/>
        <v>0.56999999999999973</v>
      </c>
      <c r="ER110" s="55">
        <f t="shared" si="656"/>
        <v>7159.7526000000007</v>
      </c>
      <c r="ES110" s="55">
        <f t="shared" si="517"/>
        <v>7159.7526000000007</v>
      </c>
      <c r="ET110" s="59">
        <f t="shared" si="610"/>
        <v>23668.710145080004</v>
      </c>
      <c r="EU110" s="55">
        <f t="shared" si="611"/>
        <v>6944.9600220000002</v>
      </c>
      <c r="EV110" s="59">
        <f t="shared" si="612"/>
        <v>22958.648840727601</v>
      </c>
      <c r="EW110" s="55">
        <f t="shared" si="613"/>
        <v>6801.7649700000002</v>
      </c>
      <c r="EX110" s="59">
        <f t="shared" si="614"/>
        <v>22485.274637826002</v>
      </c>
      <c r="EY110" s="55">
        <f t="shared" si="615"/>
        <v>6658.5699180000011</v>
      </c>
      <c r="EZ110" s="59">
        <f t="shared" si="616"/>
        <v>22011.900434924402</v>
      </c>
      <c r="FA110" s="57">
        <f t="shared" si="617"/>
        <v>6515.374866000001</v>
      </c>
      <c r="FB110" s="59">
        <f t="shared" si="618"/>
        <v>21538.526232022803</v>
      </c>
      <c r="FC110" s="55">
        <f t="shared" si="619"/>
        <v>6372.179814000001</v>
      </c>
      <c r="FD110" s="59">
        <f t="shared" si="620"/>
        <v>21065.152029121204</v>
      </c>
      <c r="FE110" s="57">
        <f t="shared" si="621"/>
        <v>6228.984762000001</v>
      </c>
      <c r="FF110" s="59">
        <f t="shared" si="622"/>
        <v>20591.777826219604</v>
      </c>
      <c r="FG110" s="60">
        <f t="shared" si="623"/>
        <v>6085.78971</v>
      </c>
      <c r="FH110" s="59">
        <f t="shared" si="624"/>
        <v>20118.403623318001</v>
      </c>
      <c r="FI110" s="57">
        <f t="shared" si="625"/>
        <v>5942.594658</v>
      </c>
      <c r="FJ110" s="59">
        <f t="shared" si="626"/>
        <v>19645.029420416402</v>
      </c>
      <c r="FK110" s="55">
        <f t="shared" si="627"/>
        <v>5799.3996059999999</v>
      </c>
      <c r="FL110" s="59">
        <f t="shared" si="628"/>
        <v>19171.655217514799</v>
      </c>
      <c r="FM110" s="60">
        <f t="shared" si="629"/>
        <v>5656.2045539999999</v>
      </c>
      <c r="FN110" s="59">
        <f t="shared" si="630"/>
        <v>18698.2810146132</v>
      </c>
      <c r="FO110" s="60">
        <f t="shared" si="631"/>
        <v>5513.0095019999999</v>
      </c>
      <c r="FP110" s="59">
        <f t="shared" si="632"/>
        <v>18224.9068117116</v>
      </c>
      <c r="FQ110" s="60">
        <f t="shared" si="633"/>
        <v>5369.8144499999999</v>
      </c>
      <c r="FR110" s="59">
        <f t="shared" si="634"/>
        <v>17751.532608810001</v>
      </c>
      <c r="FS110" s="55">
        <f t="shared" si="635"/>
        <v>5226.6193979999998</v>
      </c>
      <c r="FT110" s="59">
        <f t="shared" si="636"/>
        <v>17278.158405908398</v>
      </c>
      <c r="FU110" s="60">
        <f t="shared" si="637"/>
        <v>5083.4243459999998</v>
      </c>
      <c r="FV110" s="59">
        <f t="shared" si="638"/>
        <v>16804.784203006799</v>
      </c>
      <c r="FW110" s="60">
        <f t="shared" si="639"/>
        <v>4940.2292939999998</v>
      </c>
      <c r="FX110" s="59">
        <f t="shared" si="640"/>
        <v>16331.410000105199</v>
      </c>
      <c r="FY110" s="60">
        <f t="shared" si="641"/>
        <v>4797.0342419999988</v>
      </c>
      <c r="FZ110" s="59">
        <f t="shared" si="642"/>
        <v>15858.035797203596</v>
      </c>
      <c r="GA110" s="60">
        <f t="shared" si="643"/>
        <v>4653.8391899999988</v>
      </c>
      <c r="GB110" s="59">
        <f t="shared" si="644"/>
        <v>15384.661594301997</v>
      </c>
      <c r="GC110" s="55">
        <f t="shared" si="645"/>
        <v>4510.6441379999987</v>
      </c>
      <c r="GD110" s="59">
        <f t="shared" si="646"/>
        <v>14911.287391400396</v>
      </c>
      <c r="GE110" s="60">
        <f t="shared" si="647"/>
        <v>4367.4490859999987</v>
      </c>
      <c r="GF110" s="59">
        <f t="shared" si="648"/>
        <v>14437.913188498796</v>
      </c>
      <c r="GG110" s="60">
        <f t="shared" si="649"/>
        <v>4224.2540339999987</v>
      </c>
      <c r="GH110" s="59">
        <f t="shared" si="650"/>
        <v>13964.538985597195</v>
      </c>
      <c r="GI110" s="55">
        <f t="shared" si="651"/>
        <v>4081.0589819999987</v>
      </c>
      <c r="GJ110" s="59">
        <f t="shared" si="652"/>
        <v>13491.164782695596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63"/>
        <v>0.91</v>
      </c>
      <c r="GR110" s="55">
        <f t="shared" si="663"/>
        <v>0.89</v>
      </c>
      <c r="GS110" s="55">
        <f t="shared" si="663"/>
        <v>0.87</v>
      </c>
      <c r="GT110" s="55">
        <f t="shared" si="663"/>
        <v>0.85</v>
      </c>
      <c r="GU110" s="55">
        <f t="shared" si="663"/>
        <v>0.83</v>
      </c>
      <c r="GV110" s="55">
        <f t="shared" si="663"/>
        <v>0.80999999999999994</v>
      </c>
      <c r="GW110" s="55">
        <f t="shared" si="663"/>
        <v>0.78999999999999992</v>
      </c>
      <c r="GX110" s="55">
        <f t="shared" si="663"/>
        <v>0.76999999999999991</v>
      </c>
      <c r="GY110" s="55">
        <f t="shared" si="663"/>
        <v>0.74999999999999989</v>
      </c>
      <c r="GZ110" s="55">
        <f t="shared" si="663"/>
        <v>0.72999999999999987</v>
      </c>
      <c r="HA110" s="55">
        <f t="shared" si="663"/>
        <v>0.70999999999999985</v>
      </c>
      <c r="HB110" s="55">
        <f t="shared" si="663"/>
        <v>0.68999999999999984</v>
      </c>
      <c r="HC110" s="55">
        <f t="shared" si="663"/>
        <v>0.66999999999999982</v>
      </c>
      <c r="HD110" s="55">
        <f t="shared" si="663"/>
        <v>0.6499999999999998</v>
      </c>
      <c r="HE110" s="55">
        <f t="shared" si="663"/>
        <v>0.62999999999999978</v>
      </c>
      <c r="HF110" s="55">
        <f t="shared" si="663"/>
        <v>0.60999999999999976</v>
      </c>
      <c r="HG110" s="55">
        <f t="shared" si="663"/>
        <v>0.58999999999999975</v>
      </c>
      <c r="HH110" s="55">
        <f t="shared" si="663"/>
        <v>0.56999999999999973</v>
      </c>
    </row>
    <row r="111" spans="1:216" x14ac:dyDescent="0.3">
      <c r="A111" s="2">
        <v>20</v>
      </c>
      <c r="C111" s="38" t="s">
        <v>149</v>
      </c>
      <c r="D111" s="42">
        <f>TRUNC(82209,-1)</f>
        <v>82200</v>
      </c>
      <c r="E111" s="71">
        <f t="shared" si="522"/>
        <v>271730</v>
      </c>
      <c r="H111" s="55">
        <f t="shared" si="523"/>
        <v>90420.000000000015</v>
      </c>
      <c r="I111" s="55">
        <f t="shared" si="513"/>
        <v>90420.000000000015</v>
      </c>
      <c r="J111" s="59">
        <f t="shared" si="514"/>
        <v>298910.43600000005</v>
      </c>
      <c r="K111" s="55">
        <f t="shared" si="524"/>
        <v>87707.400000000009</v>
      </c>
      <c r="L111" s="59">
        <f t="shared" si="525"/>
        <v>289943.12292000005</v>
      </c>
      <c r="M111" s="55">
        <f t="shared" si="526"/>
        <v>85899.000000000015</v>
      </c>
      <c r="N111" s="59">
        <f t="shared" si="527"/>
        <v>283964.91420000006</v>
      </c>
      <c r="O111" s="55">
        <f t="shared" si="528"/>
        <v>84090.60000000002</v>
      </c>
      <c r="P111" s="59">
        <f t="shared" si="529"/>
        <v>277986.70548000006</v>
      </c>
      <c r="Q111" s="57">
        <f t="shared" si="530"/>
        <v>82282.200000000012</v>
      </c>
      <c r="R111" s="59">
        <f t="shared" si="531"/>
        <v>272008.49676000007</v>
      </c>
      <c r="S111" s="55">
        <f t="shared" si="532"/>
        <v>80473.800000000017</v>
      </c>
      <c r="T111" s="59">
        <f t="shared" si="533"/>
        <v>266030.28804000007</v>
      </c>
      <c r="U111" s="57">
        <f t="shared" si="534"/>
        <v>78665.400000000009</v>
      </c>
      <c r="V111" s="59">
        <f t="shared" si="535"/>
        <v>260052.07932000005</v>
      </c>
      <c r="W111" s="60">
        <f t="shared" si="536"/>
        <v>76857.000000000015</v>
      </c>
      <c r="X111" s="59">
        <f t="shared" si="537"/>
        <v>254073.87060000005</v>
      </c>
      <c r="Y111" s="57">
        <f t="shared" si="538"/>
        <v>75048.600000000006</v>
      </c>
      <c r="Z111" s="59">
        <f t="shared" si="539"/>
        <v>248095.66188000003</v>
      </c>
      <c r="AA111" s="55">
        <f t="shared" si="540"/>
        <v>73240.200000000012</v>
      </c>
      <c r="AB111" s="59">
        <f t="shared" si="541"/>
        <v>242117.45316000003</v>
      </c>
      <c r="AC111" s="60">
        <f t="shared" si="542"/>
        <v>71431.8</v>
      </c>
      <c r="AD111" s="59">
        <f t="shared" si="543"/>
        <v>236139.24444000001</v>
      </c>
      <c r="AE111" s="60">
        <f t="shared" si="544"/>
        <v>69623.400000000009</v>
      </c>
      <c r="AF111" s="59">
        <f t="shared" si="545"/>
        <v>230161.03572000004</v>
      </c>
      <c r="AG111" s="60">
        <f t="shared" si="546"/>
        <v>67815</v>
      </c>
      <c r="AH111" s="59">
        <f t="shared" si="547"/>
        <v>224182.82700000002</v>
      </c>
      <c r="AI111" s="55">
        <f t="shared" si="548"/>
        <v>66006.600000000006</v>
      </c>
      <c r="AJ111" s="59">
        <f t="shared" si="549"/>
        <v>218204.61828000002</v>
      </c>
      <c r="AK111" s="60">
        <f t="shared" si="550"/>
        <v>64198.2</v>
      </c>
      <c r="AL111" s="59">
        <f t="shared" si="551"/>
        <v>212226.40956</v>
      </c>
      <c r="AM111" s="60">
        <f t="shared" si="552"/>
        <v>62389.799999999996</v>
      </c>
      <c r="AN111" s="59">
        <f t="shared" si="553"/>
        <v>206248.20083999998</v>
      </c>
      <c r="AO111" s="60">
        <f t="shared" si="554"/>
        <v>60581.399999999994</v>
      </c>
      <c r="AP111" s="59">
        <f t="shared" si="555"/>
        <v>200269.99211999998</v>
      </c>
      <c r="AQ111" s="60">
        <f t="shared" si="556"/>
        <v>58772.999999999993</v>
      </c>
      <c r="AR111" s="59">
        <f t="shared" si="557"/>
        <v>194291.78339999999</v>
      </c>
      <c r="AS111" s="55">
        <f t="shared" si="558"/>
        <v>56964.599999999991</v>
      </c>
      <c r="AT111" s="59">
        <f t="shared" si="559"/>
        <v>188313.57467999996</v>
      </c>
      <c r="AU111" s="60">
        <f t="shared" si="560"/>
        <v>55156.19999999999</v>
      </c>
      <c r="AV111" s="59">
        <f t="shared" si="561"/>
        <v>182335.36595999997</v>
      </c>
      <c r="AW111" s="60">
        <f t="shared" si="562"/>
        <v>53347.799999999988</v>
      </c>
      <c r="AX111" s="59">
        <f t="shared" si="563"/>
        <v>176357.15723999997</v>
      </c>
      <c r="AY111" s="55">
        <f t="shared" si="564"/>
        <v>51539.399999999987</v>
      </c>
      <c r="AZ111" s="59">
        <f t="shared" si="565"/>
        <v>170378.94851999995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9"/>
        <v>0.91</v>
      </c>
      <c r="BH111" s="55">
        <f t="shared" si="659"/>
        <v>0.89</v>
      </c>
      <c r="BI111" s="55">
        <f t="shared" si="659"/>
        <v>0.87</v>
      </c>
      <c r="BJ111" s="55">
        <f t="shared" si="659"/>
        <v>0.85</v>
      </c>
      <c r="BK111" s="55">
        <f t="shared" si="659"/>
        <v>0.83</v>
      </c>
      <c r="BL111" s="55">
        <f t="shared" si="659"/>
        <v>0.80999999999999994</v>
      </c>
      <c r="BM111" s="55">
        <f t="shared" si="659"/>
        <v>0.78999999999999992</v>
      </c>
      <c r="BN111" s="55">
        <f t="shared" si="659"/>
        <v>0.76999999999999991</v>
      </c>
      <c r="BO111" s="55">
        <f t="shared" si="659"/>
        <v>0.74999999999999989</v>
      </c>
      <c r="BP111" s="55">
        <f t="shared" si="659"/>
        <v>0.72999999999999987</v>
      </c>
      <c r="BQ111" s="55">
        <f t="shared" si="659"/>
        <v>0.70999999999999985</v>
      </c>
      <c r="BR111" s="55">
        <f t="shared" si="659"/>
        <v>0.68999999999999984</v>
      </c>
      <c r="BS111" s="55">
        <f t="shared" si="659"/>
        <v>0.66999999999999982</v>
      </c>
      <c r="BT111" s="55">
        <f t="shared" si="659"/>
        <v>0.6499999999999998</v>
      </c>
      <c r="BU111" s="55">
        <f t="shared" si="659"/>
        <v>0.62999999999999978</v>
      </c>
      <c r="BV111" s="55">
        <f t="shared" si="659"/>
        <v>0.60999999999999976</v>
      </c>
      <c r="BW111" s="55">
        <f t="shared" si="659"/>
        <v>0.58999999999999975</v>
      </c>
      <c r="BX111" s="55">
        <f t="shared" si="659"/>
        <v>0.56999999999999973</v>
      </c>
      <c r="BZ111" s="55">
        <f t="shared" si="515"/>
        <v>82282.200000000012</v>
      </c>
      <c r="CA111" s="55">
        <f t="shared" si="516"/>
        <v>82282.200000000012</v>
      </c>
      <c r="CB111" s="59">
        <f t="shared" si="567"/>
        <v>272008.49676000007</v>
      </c>
      <c r="CC111" s="55">
        <f t="shared" si="568"/>
        <v>79813.734000000011</v>
      </c>
      <c r="CD111" s="59">
        <f t="shared" si="569"/>
        <v>263848.24185720005</v>
      </c>
      <c r="CE111" s="55">
        <f t="shared" si="570"/>
        <v>78168.090000000011</v>
      </c>
      <c r="CF111" s="59">
        <f t="shared" si="571"/>
        <v>258408.07192200003</v>
      </c>
      <c r="CG111" s="55">
        <f t="shared" si="572"/>
        <v>76522.446000000011</v>
      </c>
      <c r="CH111" s="59">
        <f t="shared" si="573"/>
        <v>252967.90198680005</v>
      </c>
      <c r="CI111" s="57">
        <f t="shared" si="574"/>
        <v>74876.802000000011</v>
      </c>
      <c r="CJ111" s="59">
        <f t="shared" si="575"/>
        <v>247527.73205160003</v>
      </c>
      <c r="CK111" s="55">
        <f t="shared" si="576"/>
        <v>73231.15800000001</v>
      </c>
      <c r="CL111" s="59">
        <f t="shared" si="577"/>
        <v>242087.56211640005</v>
      </c>
      <c r="CM111" s="57">
        <f t="shared" si="578"/>
        <v>71585.51400000001</v>
      </c>
      <c r="CN111" s="59">
        <f t="shared" si="579"/>
        <v>236647.39218120003</v>
      </c>
      <c r="CO111" s="60">
        <f t="shared" si="580"/>
        <v>69939.87000000001</v>
      </c>
      <c r="CP111" s="59">
        <f t="shared" si="581"/>
        <v>231207.22224600005</v>
      </c>
      <c r="CQ111" s="57">
        <f t="shared" si="582"/>
        <v>68294.22600000001</v>
      </c>
      <c r="CR111" s="59">
        <f t="shared" si="583"/>
        <v>225767.05231080003</v>
      </c>
      <c r="CS111" s="55">
        <f t="shared" si="584"/>
        <v>66648.582000000009</v>
      </c>
      <c r="CT111" s="59">
        <f t="shared" si="585"/>
        <v>220326.88237560005</v>
      </c>
      <c r="CU111" s="60">
        <f t="shared" si="586"/>
        <v>65002.938000000002</v>
      </c>
      <c r="CV111" s="59">
        <f t="shared" si="587"/>
        <v>214886.71244040001</v>
      </c>
      <c r="CW111" s="60">
        <f t="shared" si="588"/>
        <v>63357.294000000002</v>
      </c>
      <c r="CX111" s="59">
        <f t="shared" si="589"/>
        <v>209446.54250520002</v>
      </c>
      <c r="CY111" s="60">
        <f t="shared" si="590"/>
        <v>61711.65</v>
      </c>
      <c r="CZ111" s="59">
        <f t="shared" si="591"/>
        <v>204006.37257000001</v>
      </c>
      <c r="DA111" s="55">
        <f t="shared" si="592"/>
        <v>60066.006000000001</v>
      </c>
      <c r="DB111" s="59">
        <f t="shared" si="593"/>
        <v>198566.20263480002</v>
      </c>
      <c r="DC111" s="60">
        <f t="shared" si="594"/>
        <v>58420.361999999994</v>
      </c>
      <c r="DD111" s="59">
        <f t="shared" si="595"/>
        <v>193126.03269959998</v>
      </c>
      <c r="DE111" s="60">
        <f t="shared" si="596"/>
        <v>56774.717999999993</v>
      </c>
      <c r="DF111" s="59">
        <f t="shared" si="597"/>
        <v>187685.86276439999</v>
      </c>
      <c r="DG111" s="60">
        <f t="shared" si="598"/>
        <v>55129.073999999993</v>
      </c>
      <c r="DH111" s="59">
        <f t="shared" si="599"/>
        <v>182245.69282919998</v>
      </c>
      <c r="DI111" s="60">
        <f t="shared" si="600"/>
        <v>53483.429999999993</v>
      </c>
      <c r="DJ111" s="59">
        <f t="shared" si="601"/>
        <v>176805.52289399999</v>
      </c>
      <c r="DK111" s="55">
        <f t="shared" si="602"/>
        <v>51837.785999999993</v>
      </c>
      <c r="DL111" s="59">
        <f t="shared" si="603"/>
        <v>171365.35295879998</v>
      </c>
      <c r="DM111" s="60">
        <f t="shared" si="604"/>
        <v>50192.141999999985</v>
      </c>
      <c r="DN111" s="59">
        <f t="shared" si="605"/>
        <v>165925.18302359997</v>
      </c>
      <c r="DO111" s="60">
        <f t="shared" si="606"/>
        <v>48546.497999999985</v>
      </c>
      <c r="DP111" s="59">
        <f t="shared" si="607"/>
        <v>160485.01308839995</v>
      </c>
      <c r="DQ111" s="55">
        <f t="shared" si="608"/>
        <v>46900.853999999985</v>
      </c>
      <c r="DR111" s="59">
        <f t="shared" si="609"/>
        <v>155044.84315319997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62"/>
        <v>0.91</v>
      </c>
      <c r="DZ111" s="55">
        <f t="shared" si="662"/>
        <v>0.89</v>
      </c>
      <c r="EA111" s="55">
        <f t="shared" si="662"/>
        <v>0.87</v>
      </c>
      <c r="EB111" s="55">
        <f t="shared" si="662"/>
        <v>0.85</v>
      </c>
      <c r="EC111" s="55">
        <f t="shared" si="662"/>
        <v>0.83</v>
      </c>
      <c r="ED111" s="55">
        <f t="shared" si="662"/>
        <v>0.80999999999999994</v>
      </c>
      <c r="EE111" s="55">
        <f t="shared" si="662"/>
        <v>0.78999999999999992</v>
      </c>
      <c r="EF111" s="55">
        <f t="shared" si="662"/>
        <v>0.76999999999999991</v>
      </c>
      <c r="EG111" s="55">
        <f t="shared" si="662"/>
        <v>0.74999999999999989</v>
      </c>
      <c r="EH111" s="55">
        <f t="shared" si="662"/>
        <v>0.72999999999999987</v>
      </c>
      <c r="EI111" s="55">
        <f t="shared" si="662"/>
        <v>0.70999999999999985</v>
      </c>
      <c r="EJ111" s="55">
        <f t="shared" si="662"/>
        <v>0.68999999999999984</v>
      </c>
      <c r="EK111" s="55">
        <f t="shared" si="662"/>
        <v>0.66999999999999982</v>
      </c>
      <c r="EL111" s="55">
        <f t="shared" si="662"/>
        <v>0.6499999999999998</v>
      </c>
      <c r="EM111" s="55">
        <f t="shared" si="662"/>
        <v>0.62999999999999978</v>
      </c>
      <c r="EN111" s="55">
        <f t="shared" si="662"/>
        <v>0.60999999999999976</v>
      </c>
      <c r="EO111" s="55">
        <f t="shared" si="662"/>
        <v>0.58999999999999975</v>
      </c>
      <c r="EP111" s="55">
        <f t="shared" si="662"/>
        <v>0.56999999999999973</v>
      </c>
      <c r="ER111" s="55">
        <f t="shared" si="656"/>
        <v>74876.802000000011</v>
      </c>
      <c r="ES111" s="55">
        <f t="shared" si="517"/>
        <v>74876.802000000011</v>
      </c>
      <c r="ET111" s="59">
        <f t="shared" si="610"/>
        <v>247527.73205160003</v>
      </c>
      <c r="EU111" s="55">
        <f t="shared" si="611"/>
        <v>72630.497940000001</v>
      </c>
      <c r="EV111" s="59">
        <f t="shared" si="612"/>
        <v>240101.90009005202</v>
      </c>
      <c r="EW111" s="55">
        <f t="shared" si="613"/>
        <v>71132.961900000009</v>
      </c>
      <c r="EX111" s="59">
        <f t="shared" si="614"/>
        <v>235151.34544902004</v>
      </c>
      <c r="EY111" s="55">
        <f t="shared" si="615"/>
        <v>69635.425860000018</v>
      </c>
      <c r="EZ111" s="59">
        <f t="shared" si="616"/>
        <v>230200.79080798806</v>
      </c>
      <c r="FA111" s="57">
        <f t="shared" si="617"/>
        <v>68137.889820000011</v>
      </c>
      <c r="FB111" s="59">
        <f t="shared" si="618"/>
        <v>225250.23616695605</v>
      </c>
      <c r="FC111" s="55">
        <f t="shared" si="619"/>
        <v>66640.353780000005</v>
      </c>
      <c r="FD111" s="59">
        <f t="shared" si="620"/>
        <v>220299.68152592401</v>
      </c>
      <c r="FE111" s="57">
        <f t="shared" si="621"/>
        <v>65142.817740000006</v>
      </c>
      <c r="FF111" s="59">
        <f t="shared" si="622"/>
        <v>215349.12688489203</v>
      </c>
      <c r="FG111" s="60">
        <f t="shared" si="623"/>
        <v>63645.281700000007</v>
      </c>
      <c r="FH111" s="59">
        <f t="shared" si="624"/>
        <v>210398.57224386002</v>
      </c>
      <c r="FI111" s="57">
        <f t="shared" si="625"/>
        <v>62147.745660000008</v>
      </c>
      <c r="FJ111" s="59">
        <f t="shared" si="626"/>
        <v>205448.01760282804</v>
      </c>
      <c r="FK111" s="55">
        <f t="shared" si="627"/>
        <v>60650.209620000001</v>
      </c>
      <c r="FL111" s="59">
        <f t="shared" si="628"/>
        <v>200497.462961796</v>
      </c>
      <c r="FM111" s="60">
        <f t="shared" si="629"/>
        <v>59152.673580000002</v>
      </c>
      <c r="FN111" s="59">
        <f t="shared" si="630"/>
        <v>195546.90832076402</v>
      </c>
      <c r="FO111" s="60">
        <f t="shared" si="631"/>
        <v>57655.137540000003</v>
      </c>
      <c r="FP111" s="59">
        <f t="shared" si="632"/>
        <v>190596.35367973201</v>
      </c>
      <c r="FQ111" s="60">
        <f t="shared" si="633"/>
        <v>56157.601499999997</v>
      </c>
      <c r="FR111" s="59">
        <f t="shared" si="634"/>
        <v>185645.7990387</v>
      </c>
      <c r="FS111" s="55">
        <f t="shared" si="635"/>
        <v>54660.065459999998</v>
      </c>
      <c r="FT111" s="59">
        <f t="shared" si="636"/>
        <v>180695.24439766799</v>
      </c>
      <c r="FU111" s="60">
        <f t="shared" si="637"/>
        <v>53162.529419999999</v>
      </c>
      <c r="FV111" s="59">
        <f t="shared" si="638"/>
        <v>175744.68975663601</v>
      </c>
      <c r="FW111" s="60">
        <f t="shared" si="639"/>
        <v>51664.993379999993</v>
      </c>
      <c r="FX111" s="59">
        <f t="shared" si="640"/>
        <v>170794.13511560397</v>
      </c>
      <c r="FY111" s="60">
        <f t="shared" si="641"/>
        <v>50167.457339999994</v>
      </c>
      <c r="FZ111" s="59">
        <f t="shared" si="642"/>
        <v>165843.58047457199</v>
      </c>
      <c r="GA111" s="60">
        <f t="shared" si="643"/>
        <v>48669.921299999995</v>
      </c>
      <c r="GB111" s="59">
        <f t="shared" si="644"/>
        <v>160893.02583353998</v>
      </c>
      <c r="GC111" s="55">
        <f t="shared" si="645"/>
        <v>47172.385259999988</v>
      </c>
      <c r="GD111" s="59">
        <f t="shared" si="646"/>
        <v>155942.47119250798</v>
      </c>
      <c r="GE111" s="60">
        <f t="shared" si="647"/>
        <v>45674.849219999989</v>
      </c>
      <c r="GF111" s="59">
        <f t="shared" si="648"/>
        <v>150991.91655147597</v>
      </c>
      <c r="GG111" s="60">
        <f t="shared" si="649"/>
        <v>44177.31317999999</v>
      </c>
      <c r="GH111" s="59">
        <f t="shared" si="650"/>
        <v>146041.36191044396</v>
      </c>
      <c r="GI111" s="55">
        <f t="shared" si="651"/>
        <v>42679.777139999984</v>
      </c>
      <c r="GJ111" s="59">
        <f t="shared" si="652"/>
        <v>141090.80726941195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63"/>
        <v>0.91</v>
      </c>
      <c r="GR111" s="55">
        <f t="shared" si="663"/>
        <v>0.89</v>
      </c>
      <c r="GS111" s="55">
        <f t="shared" si="663"/>
        <v>0.87</v>
      </c>
      <c r="GT111" s="55">
        <f t="shared" si="663"/>
        <v>0.85</v>
      </c>
      <c r="GU111" s="55">
        <f t="shared" si="663"/>
        <v>0.83</v>
      </c>
      <c r="GV111" s="55">
        <f t="shared" si="663"/>
        <v>0.80999999999999994</v>
      </c>
      <c r="GW111" s="55">
        <f t="shared" si="663"/>
        <v>0.78999999999999992</v>
      </c>
      <c r="GX111" s="55">
        <f t="shared" si="663"/>
        <v>0.76999999999999991</v>
      </c>
      <c r="GY111" s="55">
        <f t="shared" si="663"/>
        <v>0.74999999999999989</v>
      </c>
      <c r="GZ111" s="55">
        <f t="shared" si="663"/>
        <v>0.72999999999999987</v>
      </c>
      <c r="HA111" s="55">
        <f t="shared" si="663"/>
        <v>0.70999999999999985</v>
      </c>
      <c r="HB111" s="55">
        <f t="shared" si="663"/>
        <v>0.68999999999999984</v>
      </c>
      <c r="HC111" s="55">
        <f t="shared" si="663"/>
        <v>0.66999999999999982</v>
      </c>
      <c r="HD111" s="55">
        <f t="shared" si="663"/>
        <v>0.6499999999999998</v>
      </c>
      <c r="HE111" s="55">
        <f t="shared" si="663"/>
        <v>0.62999999999999978</v>
      </c>
      <c r="HF111" s="55">
        <f t="shared" si="663"/>
        <v>0.60999999999999976</v>
      </c>
      <c r="HG111" s="55">
        <f t="shared" si="663"/>
        <v>0.58999999999999975</v>
      </c>
      <c r="HH111" s="55">
        <f t="shared" si="663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TRUNC(330+14816,-1)</f>
        <v>15140</v>
      </c>
      <c r="E112" s="72">
        <f t="shared" si="522"/>
        <v>50040</v>
      </c>
      <c r="F112" s="2" t="s">
        <v>311</v>
      </c>
      <c r="H112" s="55">
        <f t="shared" si="523"/>
        <v>16654</v>
      </c>
      <c r="I112" s="55">
        <f t="shared" si="513"/>
        <v>16654</v>
      </c>
      <c r="J112" s="59">
        <f t="shared" si="514"/>
        <v>55054.7932</v>
      </c>
      <c r="K112" s="55">
        <f t="shared" si="524"/>
        <v>16154.38</v>
      </c>
      <c r="L112" s="59">
        <f t="shared" si="525"/>
        <v>53403.149403999996</v>
      </c>
      <c r="M112" s="55">
        <f t="shared" si="526"/>
        <v>15821.3</v>
      </c>
      <c r="N112" s="59">
        <f t="shared" si="527"/>
        <v>52302.053540000001</v>
      </c>
      <c r="O112" s="55">
        <f t="shared" si="528"/>
        <v>15488.220000000001</v>
      </c>
      <c r="P112" s="59">
        <f t="shared" si="529"/>
        <v>51200.957676000005</v>
      </c>
      <c r="Q112" s="57">
        <f t="shared" si="530"/>
        <v>15155.140000000001</v>
      </c>
      <c r="R112" s="59">
        <f t="shared" si="531"/>
        <v>50099.861812000003</v>
      </c>
      <c r="S112" s="55">
        <f t="shared" si="532"/>
        <v>14822.06</v>
      </c>
      <c r="T112" s="59">
        <f t="shared" si="533"/>
        <v>48998.765948</v>
      </c>
      <c r="U112" s="57">
        <f t="shared" si="534"/>
        <v>14488.98</v>
      </c>
      <c r="V112" s="59">
        <f t="shared" si="535"/>
        <v>47897.670083999998</v>
      </c>
      <c r="W112" s="60">
        <f t="shared" si="536"/>
        <v>14155.9</v>
      </c>
      <c r="X112" s="59">
        <f t="shared" si="537"/>
        <v>46796.574220000002</v>
      </c>
      <c r="Y112" s="57">
        <f t="shared" si="538"/>
        <v>13822.82</v>
      </c>
      <c r="Z112" s="59">
        <f t="shared" si="539"/>
        <v>45695.478356</v>
      </c>
      <c r="AA112" s="55">
        <f t="shared" si="540"/>
        <v>13489.74</v>
      </c>
      <c r="AB112" s="59">
        <f t="shared" si="541"/>
        <v>44594.382491999997</v>
      </c>
      <c r="AC112" s="60">
        <f t="shared" si="542"/>
        <v>13156.659999999998</v>
      </c>
      <c r="AD112" s="59">
        <f t="shared" si="543"/>
        <v>43493.286627999994</v>
      </c>
      <c r="AE112" s="60">
        <f t="shared" si="544"/>
        <v>12823.579999999998</v>
      </c>
      <c r="AF112" s="59">
        <f t="shared" si="545"/>
        <v>42392.190763999992</v>
      </c>
      <c r="AG112" s="60">
        <f t="shared" si="546"/>
        <v>12490.499999999998</v>
      </c>
      <c r="AH112" s="59">
        <f t="shared" si="547"/>
        <v>41291.094899999996</v>
      </c>
      <c r="AI112" s="55">
        <f t="shared" si="548"/>
        <v>12157.419999999998</v>
      </c>
      <c r="AJ112" s="59">
        <f t="shared" si="549"/>
        <v>40189.999035999994</v>
      </c>
      <c r="AK112" s="60">
        <f t="shared" si="550"/>
        <v>11824.339999999998</v>
      </c>
      <c r="AL112" s="59">
        <f t="shared" si="551"/>
        <v>39088.903171999998</v>
      </c>
      <c r="AM112" s="60">
        <f t="shared" si="552"/>
        <v>11491.259999999997</v>
      </c>
      <c r="AN112" s="59">
        <f t="shared" si="553"/>
        <v>37987.807307999989</v>
      </c>
      <c r="AO112" s="60">
        <f t="shared" si="554"/>
        <v>11158.179999999997</v>
      </c>
      <c r="AP112" s="59">
        <f t="shared" si="555"/>
        <v>36886.711443999993</v>
      </c>
      <c r="AQ112" s="60">
        <f t="shared" si="556"/>
        <v>10825.099999999997</v>
      </c>
      <c r="AR112" s="59">
        <f t="shared" si="557"/>
        <v>35785.615579999991</v>
      </c>
      <c r="AS112" s="55">
        <f t="shared" si="558"/>
        <v>10492.019999999997</v>
      </c>
      <c r="AT112" s="59">
        <f t="shared" si="559"/>
        <v>34684.519715999988</v>
      </c>
      <c r="AU112" s="60">
        <f t="shared" si="560"/>
        <v>10158.939999999997</v>
      </c>
      <c r="AV112" s="59">
        <f t="shared" si="561"/>
        <v>33583.423851999993</v>
      </c>
      <c r="AW112" s="60">
        <f t="shared" si="562"/>
        <v>9825.8599999999951</v>
      </c>
      <c r="AX112" s="59">
        <f t="shared" si="563"/>
        <v>32482.327987999986</v>
      </c>
      <c r="AY112" s="55">
        <f t="shared" si="564"/>
        <v>9492.7799999999952</v>
      </c>
      <c r="AZ112" s="59">
        <f t="shared" si="565"/>
        <v>31381.232123999984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9"/>
        <v>0.91</v>
      </c>
      <c r="BH112" s="55">
        <f t="shared" si="659"/>
        <v>0.89</v>
      </c>
      <c r="BI112" s="55">
        <f t="shared" si="659"/>
        <v>0.87</v>
      </c>
      <c r="BJ112" s="55">
        <f t="shared" si="659"/>
        <v>0.85</v>
      </c>
      <c r="BK112" s="55">
        <f t="shared" si="659"/>
        <v>0.83</v>
      </c>
      <c r="BL112" s="55">
        <f t="shared" si="659"/>
        <v>0.80999999999999994</v>
      </c>
      <c r="BM112" s="55">
        <f t="shared" si="659"/>
        <v>0.78999999999999992</v>
      </c>
      <c r="BN112" s="55">
        <f t="shared" si="659"/>
        <v>0.76999999999999991</v>
      </c>
      <c r="BO112" s="55">
        <f t="shared" si="659"/>
        <v>0.74999999999999989</v>
      </c>
      <c r="BP112" s="55">
        <f t="shared" si="659"/>
        <v>0.72999999999999987</v>
      </c>
      <c r="BQ112" s="55">
        <f t="shared" si="659"/>
        <v>0.70999999999999985</v>
      </c>
      <c r="BR112" s="55">
        <f t="shared" si="659"/>
        <v>0.68999999999999984</v>
      </c>
      <c r="BS112" s="55">
        <f t="shared" si="659"/>
        <v>0.66999999999999982</v>
      </c>
      <c r="BT112" s="55">
        <f t="shared" si="659"/>
        <v>0.6499999999999998</v>
      </c>
      <c r="BU112" s="55">
        <f t="shared" si="659"/>
        <v>0.62999999999999978</v>
      </c>
      <c r="BV112" s="55">
        <f t="shared" si="659"/>
        <v>0.60999999999999976</v>
      </c>
      <c r="BW112" s="55">
        <f t="shared" si="659"/>
        <v>0.58999999999999975</v>
      </c>
      <c r="BX112" s="55">
        <f t="shared" si="659"/>
        <v>0.56999999999999973</v>
      </c>
      <c r="BZ112" s="55">
        <f t="shared" si="515"/>
        <v>15155.140000000001</v>
      </c>
      <c r="CA112" s="55">
        <f t="shared" si="516"/>
        <v>15155.140000000001</v>
      </c>
      <c r="CB112" s="59">
        <f t="shared" si="567"/>
        <v>50099.861812000003</v>
      </c>
      <c r="CC112" s="55">
        <f t="shared" si="568"/>
        <v>14700.4858</v>
      </c>
      <c r="CD112" s="59">
        <f t="shared" si="569"/>
        <v>48596.865957640002</v>
      </c>
      <c r="CE112" s="55">
        <f t="shared" si="570"/>
        <v>14397.383</v>
      </c>
      <c r="CF112" s="59">
        <f t="shared" si="571"/>
        <v>47594.868721400002</v>
      </c>
      <c r="CG112" s="55">
        <f t="shared" si="572"/>
        <v>14094.280200000001</v>
      </c>
      <c r="CH112" s="59">
        <f t="shared" si="573"/>
        <v>46592.871485160002</v>
      </c>
      <c r="CI112" s="57">
        <f t="shared" si="574"/>
        <v>13791.177400000002</v>
      </c>
      <c r="CJ112" s="59">
        <f t="shared" si="575"/>
        <v>45590.874248920009</v>
      </c>
      <c r="CK112" s="55">
        <f t="shared" si="576"/>
        <v>13488.074600000002</v>
      </c>
      <c r="CL112" s="59">
        <f t="shared" si="577"/>
        <v>44588.877012680008</v>
      </c>
      <c r="CM112" s="57">
        <f t="shared" si="578"/>
        <v>13184.971800000001</v>
      </c>
      <c r="CN112" s="59">
        <f t="shared" si="579"/>
        <v>43586.879776440008</v>
      </c>
      <c r="CO112" s="60">
        <f t="shared" si="580"/>
        <v>12881.869000000001</v>
      </c>
      <c r="CP112" s="59">
        <f t="shared" si="581"/>
        <v>42584.8825402</v>
      </c>
      <c r="CQ112" s="57">
        <f t="shared" si="582"/>
        <v>12578.7662</v>
      </c>
      <c r="CR112" s="59">
        <f t="shared" si="583"/>
        <v>41582.88530396</v>
      </c>
      <c r="CS112" s="55">
        <f t="shared" si="584"/>
        <v>12275.663399999999</v>
      </c>
      <c r="CT112" s="59">
        <f t="shared" si="585"/>
        <v>40580.88806772</v>
      </c>
      <c r="CU112" s="60">
        <f t="shared" si="586"/>
        <v>11972.560600000001</v>
      </c>
      <c r="CV112" s="59">
        <f t="shared" si="587"/>
        <v>39578.890831480006</v>
      </c>
      <c r="CW112" s="60">
        <f t="shared" si="588"/>
        <v>11669.4578</v>
      </c>
      <c r="CX112" s="59">
        <f t="shared" si="589"/>
        <v>38576.893595239999</v>
      </c>
      <c r="CY112" s="60">
        <f t="shared" si="590"/>
        <v>11366.355</v>
      </c>
      <c r="CZ112" s="59">
        <f t="shared" si="591"/>
        <v>37574.896358999998</v>
      </c>
      <c r="DA112" s="55">
        <f t="shared" si="592"/>
        <v>11063.252199999999</v>
      </c>
      <c r="DB112" s="59">
        <f t="shared" si="593"/>
        <v>36572.899122759998</v>
      </c>
      <c r="DC112" s="60">
        <f t="shared" si="594"/>
        <v>10760.149399999998</v>
      </c>
      <c r="DD112" s="59">
        <f t="shared" si="595"/>
        <v>35570.901886519998</v>
      </c>
      <c r="DE112" s="60">
        <f t="shared" si="596"/>
        <v>10457.046599999998</v>
      </c>
      <c r="DF112" s="59">
        <f t="shared" si="597"/>
        <v>34568.90465027999</v>
      </c>
      <c r="DG112" s="60">
        <f t="shared" si="598"/>
        <v>10153.943799999997</v>
      </c>
      <c r="DH112" s="59">
        <f t="shared" si="599"/>
        <v>33566.90741403999</v>
      </c>
      <c r="DI112" s="60">
        <f t="shared" si="600"/>
        <v>9850.8409999999985</v>
      </c>
      <c r="DJ112" s="59">
        <f t="shared" si="601"/>
        <v>32564.910177799997</v>
      </c>
      <c r="DK112" s="55">
        <f t="shared" si="602"/>
        <v>9547.738199999998</v>
      </c>
      <c r="DL112" s="59">
        <f t="shared" si="603"/>
        <v>31562.912941559993</v>
      </c>
      <c r="DM112" s="60">
        <f t="shared" si="604"/>
        <v>9244.6353999999974</v>
      </c>
      <c r="DN112" s="59">
        <f t="shared" si="605"/>
        <v>30560.915705319992</v>
      </c>
      <c r="DO112" s="60">
        <f t="shared" si="606"/>
        <v>8941.5325999999968</v>
      </c>
      <c r="DP112" s="59">
        <f t="shared" si="607"/>
        <v>29558.918469079988</v>
      </c>
      <c r="DQ112" s="55">
        <f t="shared" si="608"/>
        <v>8638.4297999999962</v>
      </c>
      <c r="DR112" s="59">
        <f t="shared" si="609"/>
        <v>28556.921232839988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62"/>
        <v>0.91</v>
      </c>
      <c r="DZ112" s="55">
        <f t="shared" si="662"/>
        <v>0.89</v>
      </c>
      <c r="EA112" s="55">
        <f t="shared" si="662"/>
        <v>0.87</v>
      </c>
      <c r="EB112" s="55">
        <f t="shared" si="662"/>
        <v>0.85</v>
      </c>
      <c r="EC112" s="55">
        <f t="shared" si="662"/>
        <v>0.83</v>
      </c>
      <c r="ED112" s="55">
        <f t="shared" si="662"/>
        <v>0.80999999999999994</v>
      </c>
      <c r="EE112" s="55">
        <f t="shared" si="662"/>
        <v>0.78999999999999992</v>
      </c>
      <c r="EF112" s="55">
        <f t="shared" si="662"/>
        <v>0.76999999999999991</v>
      </c>
      <c r="EG112" s="55">
        <f t="shared" si="662"/>
        <v>0.74999999999999989</v>
      </c>
      <c r="EH112" s="55">
        <f t="shared" si="662"/>
        <v>0.72999999999999987</v>
      </c>
      <c r="EI112" s="55">
        <f t="shared" si="662"/>
        <v>0.70999999999999985</v>
      </c>
      <c r="EJ112" s="55">
        <f t="shared" si="662"/>
        <v>0.68999999999999984</v>
      </c>
      <c r="EK112" s="55">
        <f t="shared" si="662"/>
        <v>0.66999999999999982</v>
      </c>
      <c r="EL112" s="55">
        <f t="shared" si="662"/>
        <v>0.6499999999999998</v>
      </c>
      <c r="EM112" s="55">
        <f t="shared" si="662"/>
        <v>0.62999999999999978</v>
      </c>
      <c r="EN112" s="55">
        <f t="shared" si="662"/>
        <v>0.60999999999999976</v>
      </c>
      <c r="EO112" s="55">
        <f t="shared" si="662"/>
        <v>0.58999999999999975</v>
      </c>
      <c r="EP112" s="55">
        <f t="shared" si="662"/>
        <v>0.56999999999999973</v>
      </c>
      <c r="ER112" s="55">
        <f t="shared" si="656"/>
        <v>13791.177400000002</v>
      </c>
      <c r="ES112" s="55">
        <f t="shared" si="517"/>
        <v>13791.177400000002</v>
      </c>
      <c r="ET112" s="59">
        <f t="shared" si="610"/>
        <v>45590.874248920009</v>
      </c>
      <c r="EU112" s="55">
        <f t="shared" si="611"/>
        <v>13377.442078000002</v>
      </c>
      <c r="EV112" s="59">
        <f t="shared" si="612"/>
        <v>44223.148021452405</v>
      </c>
      <c r="EW112" s="55">
        <f t="shared" si="613"/>
        <v>13101.618530000002</v>
      </c>
      <c r="EX112" s="59">
        <f t="shared" si="614"/>
        <v>43311.330536474008</v>
      </c>
      <c r="EY112" s="55">
        <f t="shared" si="615"/>
        <v>12825.794982000003</v>
      </c>
      <c r="EZ112" s="59">
        <f t="shared" si="616"/>
        <v>42399.513051495611</v>
      </c>
      <c r="FA112" s="57">
        <f t="shared" si="617"/>
        <v>12549.971434000003</v>
      </c>
      <c r="FB112" s="59">
        <f t="shared" si="618"/>
        <v>41487.695566517214</v>
      </c>
      <c r="FC112" s="55">
        <f t="shared" si="619"/>
        <v>12274.147886000002</v>
      </c>
      <c r="FD112" s="59">
        <f t="shared" si="620"/>
        <v>40575.878081538809</v>
      </c>
      <c r="FE112" s="57">
        <f t="shared" si="621"/>
        <v>11998.324338000002</v>
      </c>
      <c r="FF112" s="59">
        <f t="shared" si="622"/>
        <v>39664.060596560405</v>
      </c>
      <c r="FG112" s="60">
        <f t="shared" si="623"/>
        <v>11722.500790000002</v>
      </c>
      <c r="FH112" s="59">
        <f t="shared" si="624"/>
        <v>38752.243111582007</v>
      </c>
      <c r="FI112" s="57">
        <f t="shared" si="625"/>
        <v>11446.677242000002</v>
      </c>
      <c r="FJ112" s="59">
        <f t="shared" si="626"/>
        <v>37840.425626603603</v>
      </c>
      <c r="FK112" s="55">
        <f t="shared" si="627"/>
        <v>11170.853694000001</v>
      </c>
      <c r="FL112" s="59">
        <f t="shared" si="628"/>
        <v>36928.608141625205</v>
      </c>
      <c r="FM112" s="60">
        <f t="shared" si="629"/>
        <v>10895.030146000001</v>
      </c>
      <c r="FN112" s="59">
        <f t="shared" si="630"/>
        <v>36016.790656646801</v>
      </c>
      <c r="FO112" s="60">
        <f t="shared" si="631"/>
        <v>10619.206598000001</v>
      </c>
      <c r="FP112" s="59">
        <f t="shared" si="632"/>
        <v>35104.973171668404</v>
      </c>
      <c r="FQ112" s="60">
        <f t="shared" si="633"/>
        <v>10343.38305</v>
      </c>
      <c r="FR112" s="59">
        <f t="shared" si="634"/>
        <v>34193.155686689999</v>
      </c>
      <c r="FS112" s="55">
        <f t="shared" si="635"/>
        <v>10067.559502</v>
      </c>
      <c r="FT112" s="59">
        <f t="shared" si="636"/>
        <v>33281.338201711602</v>
      </c>
      <c r="FU112" s="60">
        <f t="shared" si="637"/>
        <v>9791.7359539999998</v>
      </c>
      <c r="FV112" s="59">
        <f t="shared" si="638"/>
        <v>32369.520716733201</v>
      </c>
      <c r="FW112" s="60">
        <f t="shared" si="639"/>
        <v>9515.9124059999995</v>
      </c>
      <c r="FX112" s="59">
        <f t="shared" si="640"/>
        <v>31457.7032317548</v>
      </c>
      <c r="FY112" s="60">
        <f t="shared" si="641"/>
        <v>9240.0888579999992</v>
      </c>
      <c r="FZ112" s="59">
        <f t="shared" si="642"/>
        <v>30545.885746776399</v>
      </c>
      <c r="GA112" s="60">
        <f t="shared" si="643"/>
        <v>8964.2653099999989</v>
      </c>
      <c r="GB112" s="59">
        <f t="shared" si="644"/>
        <v>29634.068261797998</v>
      </c>
      <c r="GC112" s="55">
        <f t="shared" si="645"/>
        <v>8688.4417619999986</v>
      </c>
      <c r="GD112" s="59">
        <f t="shared" si="646"/>
        <v>28722.250776819597</v>
      </c>
      <c r="GE112" s="60">
        <f t="shared" si="647"/>
        <v>8412.6182139999983</v>
      </c>
      <c r="GF112" s="59">
        <f t="shared" si="648"/>
        <v>27810.433291841196</v>
      </c>
      <c r="GG112" s="60">
        <f t="shared" si="649"/>
        <v>8136.794665999998</v>
      </c>
      <c r="GH112" s="59">
        <f t="shared" si="650"/>
        <v>26898.615806862796</v>
      </c>
      <c r="GI112" s="55">
        <f t="shared" si="651"/>
        <v>7860.9711179999977</v>
      </c>
      <c r="GJ112" s="59">
        <f t="shared" si="652"/>
        <v>25986.798321884391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63"/>
        <v>0.91</v>
      </c>
      <c r="GR112" s="55">
        <f t="shared" si="663"/>
        <v>0.89</v>
      </c>
      <c r="GS112" s="55">
        <f t="shared" si="663"/>
        <v>0.87</v>
      </c>
      <c r="GT112" s="55">
        <f t="shared" si="663"/>
        <v>0.85</v>
      </c>
      <c r="GU112" s="55">
        <f t="shared" si="663"/>
        <v>0.83</v>
      </c>
      <c r="GV112" s="55">
        <f t="shared" si="663"/>
        <v>0.80999999999999994</v>
      </c>
      <c r="GW112" s="55">
        <f t="shared" si="663"/>
        <v>0.78999999999999992</v>
      </c>
      <c r="GX112" s="55">
        <f t="shared" si="663"/>
        <v>0.76999999999999991</v>
      </c>
      <c r="GY112" s="55">
        <f t="shared" si="663"/>
        <v>0.74999999999999989</v>
      </c>
      <c r="GZ112" s="55">
        <f t="shared" si="663"/>
        <v>0.72999999999999987</v>
      </c>
      <c r="HA112" s="55">
        <f t="shared" si="663"/>
        <v>0.70999999999999985</v>
      </c>
      <c r="HB112" s="55">
        <f t="shared" si="663"/>
        <v>0.68999999999999984</v>
      </c>
      <c r="HC112" s="55">
        <f t="shared" si="663"/>
        <v>0.66999999999999982</v>
      </c>
      <c r="HD112" s="55">
        <f t="shared" si="663"/>
        <v>0.6499999999999998</v>
      </c>
      <c r="HE112" s="55">
        <f t="shared" si="663"/>
        <v>0.62999999999999978</v>
      </c>
      <c r="HF112" s="55">
        <f t="shared" si="663"/>
        <v>0.60999999999999976</v>
      </c>
      <c r="HG112" s="55">
        <f t="shared" si="663"/>
        <v>0.58999999999999975</v>
      </c>
      <c r="HH112" s="55">
        <f t="shared" si="663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198390</v>
      </c>
      <c r="E113" s="39">
        <f>SUM(E92:E112)</f>
        <v>655760</v>
      </c>
      <c r="H113" s="55">
        <f t="shared" si="523"/>
        <v>218229.00000000003</v>
      </c>
      <c r="I113" s="55">
        <f t="shared" si="513"/>
        <v>218229.00000000003</v>
      </c>
      <c r="J113" s="59">
        <f t="shared" si="514"/>
        <v>721421.42820000008</v>
      </c>
      <c r="K113" s="55">
        <f t="shared" si="524"/>
        <v>211682.13000000003</v>
      </c>
      <c r="L113" s="59">
        <f t="shared" si="525"/>
        <v>699778.78535400017</v>
      </c>
      <c r="M113" s="55">
        <f t="shared" si="526"/>
        <v>207317.55000000002</v>
      </c>
      <c r="N113" s="59">
        <f t="shared" si="527"/>
        <v>685350.35679000011</v>
      </c>
      <c r="O113" s="55">
        <f t="shared" si="528"/>
        <v>202952.97000000003</v>
      </c>
      <c r="P113" s="59">
        <f t="shared" si="529"/>
        <v>670921.92822600016</v>
      </c>
      <c r="Q113" s="57">
        <f t="shared" si="530"/>
        <v>198588.39000000004</v>
      </c>
      <c r="R113" s="59">
        <f t="shared" si="531"/>
        <v>656493.4996620001</v>
      </c>
      <c r="S113" s="55">
        <f t="shared" si="532"/>
        <v>194223.81000000003</v>
      </c>
      <c r="T113" s="59">
        <f t="shared" si="533"/>
        <v>642065.07109800016</v>
      </c>
      <c r="U113" s="57">
        <f t="shared" si="534"/>
        <v>189859.23</v>
      </c>
      <c r="V113" s="59">
        <f t="shared" si="535"/>
        <v>627636.6425340001</v>
      </c>
      <c r="W113" s="60">
        <f t="shared" si="536"/>
        <v>185494.65000000002</v>
      </c>
      <c r="X113" s="59">
        <f t="shared" si="537"/>
        <v>613208.21397000004</v>
      </c>
      <c r="Y113" s="57">
        <f t="shared" si="538"/>
        <v>181130.07</v>
      </c>
      <c r="Z113" s="59">
        <f t="shared" si="539"/>
        <v>598779.78540599998</v>
      </c>
      <c r="AA113" s="55">
        <f t="shared" si="540"/>
        <v>176765.49000000002</v>
      </c>
      <c r="AB113" s="59">
        <f t="shared" si="541"/>
        <v>584351.35684200004</v>
      </c>
      <c r="AC113" s="60">
        <f t="shared" si="542"/>
        <v>172400.91</v>
      </c>
      <c r="AD113" s="59">
        <f t="shared" si="543"/>
        <v>569922.92827799998</v>
      </c>
      <c r="AE113" s="60">
        <f t="shared" si="544"/>
        <v>168036.33000000002</v>
      </c>
      <c r="AF113" s="59">
        <f t="shared" si="545"/>
        <v>555494.49971400003</v>
      </c>
      <c r="AG113" s="60">
        <f t="shared" si="546"/>
        <v>163671.75</v>
      </c>
      <c r="AH113" s="59">
        <f t="shared" si="547"/>
        <v>541066.07114999997</v>
      </c>
      <c r="AI113" s="55">
        <f t="shared" si="548"/>
        <v>159307.16999999998</v>
      </c>
      <c r="AJ113" s="59">
        <f t="shared" si="549"/>
        <v>526637.64258599991</v>
      </c>
      <c r="AK113" s="60">
        <f t="shared" si="550"/>
        <v>154942.59</v>
      </c>
      <c r="AL113" s="59">
        <f t="shared" si="551"/>
        <v>512209.21402199997</v>
      </c>
      <c r="AM113" s="60">
        <f t="shared" si="552"/>
        <v>150578.00999999998</v>
      </c>
      <c r="AN113" s="59">
        <f t="shared" si="553"/>
        <v>497780.78545799997</v>
      </c>
      <c r="AO113" s="60">
        <f t="shared" si="554"/>
        <v>146213.43</v>
      </c>
      <c r="AP113" s="59">
        <f t="shared" si="555"/>
        <v>483352.35689399997</v>
      </c>
      <c r="AQ113" s="60">
        <f t="shared" si="556"/>
        <v>141848.84999999998</v>
      </c>
      <c r="AR113" s="59">
        <f t="shared" si="557"/>
        <v>468923.92832999991</v>
      </c>
      <c r="AS113" s="55">
        <f t="shared" si="558"/>
        <v>137484.26999999996</v>
      </c>
      <c r="AT113" s="59">
        <f t="shared" si="559"/>
        <v>454495.49976599991</v>
      </c>
      <c r="AU113" s="60">
        <f t="shared" si="560"/>
        <v>133119.68999999997</v>
      </c>
      <c r="AV113" s="59">
        <f t="shared" si="561"/>
        <v>440067.0712019999</v>
      </c>
      <c r="AW113" s="60">
        <f t="shared" si="562"/>
        <v>128755.10999999996</v>
      </c>
      <c r="AX113" s="59">
        <f t="shared" si="563"/>
        <v>425638.64263799984</v>
      </c>
      <c r="AY113" s="55">
        <f t="shared" si="564"/>
        <v>124390.52999999996</v>
      </c>
      <c r="AZ113" s="59">
        <f t="shared" si="565"/>
        <v>411210.21407399984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9"/>
        <v>0.91</v>
      </c>
      <c r="BH113" s="55">
        <f t="shared" si="659"/>
        <v>0.89</v>
      </c>
      <c r="BI113" s="55">
        <f t="shared" si="659"/>
        <v>0.87</v>
      </c>
      <c r="BJ113" s="55">
        <f t="shared" si="659"/>
        <v>0.85</v>
      </c>
      <c r="BK113" s="55">
        <f t="shared" si="659"/>
        <v>0.83</v>
      </c>
      <c r="BL113" s="55">
        <f t="shared" si="659"/>
        <v>0.80999999999999994</v>
      </c>
      <c r="BM113" s="55">
        <f t="shared" si="659"/>
        <v>0.78999999999999992</v>
      </c>
      <c r="BN113" s="55">
        <f t="shared" si="659"/>
        <v>0.76999999999999991</v>
      </c>
      <c r="BO113" s="55">
        <f t="shared" si="659"/>
        <v>0.74999999999999989</v>
      </c>
      <c r="BP113" s="55">
        <f t="shared" si="659"/>
        <v>0.72999999999999987</v>
      </c>
      <c r="BQ113" s="55">
        <f t="shared" si="659"/>
        <v>0.70999999999999985</v>
      </c>
      <c r="BR113" s="55">
        <f t="shared" si="659"/>
        <v>0.68999999999999984</v>
      </c>
      <c r="BS113" s="55">
        <f t="shared" si="659"/>
        <v>0.66999999999999982</v>
      </c>
      <c r="BT113" s="55">
        <f t="shared" si="659"/>
        <v>0.6499999999999998</v>
      </c>
      <c r="BU113" s="55">
        <f t="shared" si="659"/>
        <v>0.62999999999999978</v>
      </c>
      <c r="BV113" s="55">
        <f t="shared" si="659"/>
        <v>0.60999999999999976</v>
      </c>
      <c r="BW113" s="55">
        <f t="shared" si="659"/>
        <v>0.58999999999999975</v>
      </c>
      <c r="BX113" s="55">
        <f t="shared" si="659"/>
        <v>0.56999999999999973</v>
      </c>
      <c r="BZ113" s="55">
        <f t="shared" si="515"/>
        <v>198588.39000000004</v>
      </c>
      <c r="CA113" s="55">
        <f t="shared" si="516"/>
        <v>198588.39000000004</v>
      </c>
      <c r="CB113" s="59">
        <f t="shared" si="567"/>
        <v>656493.4996620001</v>
      </c>
      <c r="CC113" s="55">
        <f t="shared" si="568"/>
        <v>192630.73830000003</v>
      </c>
      <c r="CD113" s="59">
        <f t="shared" si="569"/>
        <v>636798.69467214006</v>
      </c>
      <c r="CE113" s="55">
        <f t="shared" si="570"/>
        <v>188658.97050000002</v>
      </c>
      <c r="CF113" s="59">
        <f t="shared" si="571"/>
        <v>623668.82467890007</v>
      </c>
      <c r="CG113" s="55">
        <f t="shared" si="572"/>
        <v>184687.20270000005</v>
      </c>
      <c r="CH113" s="59">
        <f t="shared" si="573"/>
        <v>610538.9546856602</v>
      </c>
      <c r="CI113" s="57">
        <f t="shared" si="574"/>
        <v>180715.43490000005</v>
      </c>
      <c r="CJ113" s="59">
        <f t="shared" si="575"/>
        <v>597409.08469242021</v>
      </c>
      <c r="CK113" s="55">
        <f t="shared" si="576"/>
        <v>176743.66710000005</v>
      </c>
      <c r="CL113" s="59">
        <f t="shared" si="577"/>
        <v>584279.21469918021</v>
      </c>
      <c r="CM113" s="57">
        <f t="shared" si="578"/>
        <v>172771.89930000005</v>
      </c>
      <c r="CN113" s="59">
        <f t="shared" si="579"/>
        <v>571149.34470594022</v>
      </c>
      <c r="CO113" s="60">
        <f t="shared" si="580"/>
        <v>168800.13150000002</v>
      </c>
      <c r="CP113" s="59">
        <f t="shared" si="581"/>
        <v>558019.47471270012</v>
      </c>
      <c r="CQ113" s="57">
        <f t="shared" si="582"/>
        <v>164828.36370000002</v>
      </c>
      <c r="CR113" s="59">
        <f t="shared" si="583"/>
        <v>544889.60471946001</v>
      </c>
      <c r="CS113" s="55">
        <f t="shared" si="584"/>
        <v>160856.59590000001</v>
      </c>
      <c r="CT113" s="59">
        <f t="shared" si="585"/>
        <v>531759.73472622002</v>
      </c>
      <c r="CU113" s="60">
        <f t="shared" si="586"/>
        <v>156884.82810000001</v>
      </c>
      <c r="CV113" s="59">
        <f t="shared" si="587"/>
        <v>518629.86473298003</v>
      </c>
      <c r="CW113" s="60">
        <f t="shared" si="588"/>
        <v>152913.06030000001</v>
      </c>
      <c r="CX113" s="59">
        <f t="shared" si="589"/>
        <v>505499.99473974004</v>
      </c>
      <c r="CY113" s="60">
        <f t="shared" si="590"/>
        <v>148941.29250000001</v>
      </c>
      <c r="CZ113" s="59">
        <f t="shared" si="591"/>
        <v>492370.12474650005</v>
      </c>
      <c r="DA113" s="55">
        <f t="shared" si="592"/>
        <v>144969.52470000001</v>
      </c>
      <c r="DB113" s="59">
        <f t="shared" si="593"/>
        <v>479240.25475326006</v>
      </c>
      <c r="DC113" s="60">
        <f t="shared" si="594"/>
        <v>140997.75690000001</v>
      </c>
      <c r="DD113" s="59">
        <f t="shared" si="595"/>
        <v>466110.38476002001</v>
      </c>
      <c r="DE113" s="60">
        <f t="shared" si="596"/>
        <v>137025.98910000001</v>
      </c>
      <c r="DF113" s="59">
        <f t="shared" si="597"/>
        <v>452980.51476678002</v>
      </c>
      <c r="DG113" s="60">
        <f t="shared" si="598"/>
        <v>133054.2213</v>
      </c>
      <c r="DH113" s="59">
        <f t="shared" si="599"/>
        <v>439850.64477354003</v>
      </c>
      <c r="DI113" s="60">
        <f t="shared" si="600"/>
        <v>129082.45349999999</v>
      </c>
      <c r="DJ113" s="59">
        <f t="shared" si="601"/>
        <v>426720.77478029998</v>
      </c>
      <c r="DK113" s="55">
        <f t="shared" si="602"/>
        <v>125110.68569999999</v>
      </c>
      <c r="DL113" s="59">
        <f t="shared" si="603"/>
        <v>413590.90478705999</v>
      </c>
      <c r="DM113" s="60">
        <f t="shared" si="604"/>
        <v>121138.91789999999</v>
      </c>
      <c r="DN113" s="59">
        <f t="shared" si="605"/>
        <v>400461.03479381994</v>
      </c>
      <c r="DO113" s="60">
        <f t="shared" si="606"/>
        <v>117167.15009999997</v>
      </c>
      <c r="DP113" s="59">
        <f t="shared" si="607"/>
        <v>387331.16480057989</v>
      </c>
      <c r="DQ113" s="55">
        <f t="shared" si="608"/>
        <v>113195.38229999997</v>
      </c>
      <c r="DR113" s="59">
        <f t="shared" si="609"/>
        <v>374201.2948073399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62"/>
        <v>0.91</v>
      </c>
      <c r="DZ113" s="55">
        <f t="shared" si="662"/>
        <v>0.89</v>
      </c>
      <c r="EA113" s="55">
        <f t="shared" si="662"/>
        <v>0.87</v>
      </c>
      <c r="EB113" s="55">
        <f t="shared" si="662"/>
        <v>0.85</v>
      </c>
      <c r="EC113" s="55">
        <f t="shared" si="662"/>
        <v>0.83</v>
      </c>
      <c r="ED113" s="55">
        <f t="shared" si="662"/>
        <v>0.80999999999999994</v>
      </c>
      <c r="EE113" s="55">
        <f t="shared" si="662"/>
        <v>0.78999999999999992</v>
      </c>
      <c r="EF113" s="55">
        <f t="shared" si="662"/>
        <v>0.76999999999999991</v>
      </c>
      <c r="EG113" s="55">
        <f t="shared" si="662"/>
        <v>0.74999999999999989</v>
      </c>
      <c r="EH113" s="55">
        <f t="shared" si="662"/>
        <v>0.72999999999999987</v>
      </c>
      <c r="EI113" s="55">
        <f t="shared" si="662"/>
        <v>0.70999999999999985</v>
      </c>
      <c r="EJ113" s="55">
        <f t="shared" si="662"/>
        <v>0.68999999999999984</v>
      </c>
      <c r="EK113" s="55">
        <f t="shared" si="662"/>
        <v>0.66999999999999982</v>
      </c>
      <c r="EL113" s="55">
        <f t="shared" si="662"/>
        <v>0.6499999999999998</v>
      </c>
      <c r="EM113" s="55">
        <f t="shared" si="662"/>
        <v>0.62999999999999978</v>
      </c>
      <c r="EN113" s="55">
        <f t="shared" si="662"/>
        <v>0.60999999999999976</v>
      </c>
      <c r="EO113" s="55">
        <f t="shared" si="662"/>
        <v>0.58999999999999975</v>
      </c>
      <c r="EP113" s="55">
        <f t="shared" si="662"/>
        <v>0.56999999999999973</v>
      </c>
      <c r="ER113" s="55">
        <f t="shared" si="656"/>
        <v>180715.43490000005</v>
      </c>
      <c r="ES113" s="55">
        <f t="shared" si="517"/>
        <v>180715.43490000005</v>
      </c>
      <c r="ET113" s="59">
        <f t="shared" si="610"/>
        <v>597409.08469242021</v>
      </c>
      <c r="EU113" s="55">
        <f t="shared" si="611"/>
        <v>175293.97185300005</v>
      </c>
      <c r="EV113" s="59">
        <f t="shared" si="612"/>
        <v>579486.81215164764</v>
      </c>
      <c r="EW113" s="55">
        <f t="shared" si="613"/>
        <v>171679.66315500005</v>
      </c>
      <c r="EX113" s="59">
        <f t="shared" si="614"/>
        <v>567538.63045779918</v>
      </c>
      <c r="EY113" s="55">
        <f t="shared" si="615"/>
        <v>168065.35445700007</v>
      </c>
      <c r="EZ113" s="59">
        <f t="shared" si="616"/>
        <v>555590.44876395084</v>
      </c>
      <c r="FA113" s="57">
        <f t="shared" si="617"/>
        <v>164451.04575900006</v>
      </c>
      <c r="FB113" s="59">
        <f t="shared" si="618"/>
        <v>543642.26707010239</v>
      </c>
      <c r="FC113" s="55">
        <f t="shared" si="619"/>
        <v>160836.73706100005</v>
      </c>
      <c r="FD113" s="59">
        <f t="shared" si="620"/>
        <v>531694.08537625393</v>
      </c>
      <c r="FE113" s="57">
        <f t="shared" si="621"/>
        <v>157222.42836300004</v>
      </c>
      <c r="FF113" s="59">
        <f t="shared" si="622"/>
        <v>519745.90368240554</v>
      </c>
      <c r="FG113" s="60">
        <f t="shared" si="623"/>
        <v>153608.11966500003</v>
      </c>
      <c r="FH113" s="59">
        <f t="shared" si="624"/>
        <v>507797.72198855714</v>
      </c>
      <c r="FI113" s="57">
        <f t="shared" si="625"/>
        <v>149993.81096700003</v>
      </c>
      <c r="FJ113" s="59">
        <f t="shared" si="626"/>
        <v>495849.54029470868</v>
      </c>
      <c r="FK113" s="55">
        <f t="shared" si="627"/>
        <v>146379.50226900002</v>
      </c>
      <c r="FL113" s="59">
        <f t="shared" si="628"/>
        <v>483901.35860086029</v>
      </c>
      <c r="FM113" s="60">
        <f t="shared" si="629"/>
        <v>142765.19357100004</v>
      </c>
      <c r="FN113" s="59">
        <f t="shared" si="630"/>
        <v>471953.17690701195</v>
      </c>
      <c r="FO113" s="60">
        <f t="shared" si="631"/>
        <v>139150.88487300003</v>
      </c>
      <c r="FP113" s="59">
        <f t="shared" si="632"/>
        <v>460004.99521316349</v>
      </c>
      <c r="FQ113" s="60">
        <f t="shared" si="633"/>
        <v>135536.57617500002</v>
      </c>
      <c r="FR113" s="59">
        <f t="shared" si="634"/>
        <v>448056.8135193151</v>
      </c>
      <c r="FS113" s="55">
        <f t="shared" si="635"/>
        <v>131922.26747700002</v>
      </c>
      <c r="FT113" s="59">
        <f t="shared" si="636"/>
        <v>436108.63182546664</v>
      </c>
      <c r="FU113" s="60">
        <f t="shared" si="637"/>
        <v>128307.95877900001</v>
      </c>
      <c r="FV113" s="59">
        <f t="shared" si="638"/>
        <v>424160.45013161824</v>
      </c>
      <c r="FW113" s="60">
        <f t="shared" si="639"/>
        <v>124693.650081</v>
      </c>
      <c r="FX113" s="59">
        <f t="shared" si="640"/>
        <v>412212.26843776979</v>
      </c>
      <c r="FY113" s="60">
        <f t="shared" si="641"/>
        <v>121079.34138300001</v>
      </c>
      <c r="FZ113" s="59">
        <f t="shared" si="642"/>
        <v>400264.08674392145</v>
      </c>
      <c r="GA113" s="60">
        <f t="shared" si="643"/>
        <v>117465.032685</v>
      </c>
      <c r="GB113" s="59">
        <f t="shared" si="644"/>
        <v>388315.90505007299</v>
      </c>
      <c r="GC113" s="55">
        <f t="shared" si="645"/>
        <v>113850.72398699999</v>
      </c>
      <c r="GD113" s="59">
        <f t="shared" si="646"/>
        <v>376367.7233562246</v>
      </c>
      <c r="GE113" s="60">
        <f t="shared" si="647"/>
        <v>110236.41528899998</v>
      </c>
      <c r="GF113" s="59">
        <f t="shared" si="648"/>
        <v>364419.54166237614</v>
      </c>
      <c r="GG113" s="60">
        <f t="shared" si="649"/>
        <v>106622.10659099999</v>
      </c>
      <c r="GH113" s="59">
        <f t="shared" si="650"/>
        <v>352471.35996852774</v>
      </c>
      <c r="GI113" s="55">
        <f t="shared" si="651"/>
        <v>103007.79789299998</v>
      </c>
      <c r="GJ113" s="59">
        <f t="shared" si="652"/>
        <v>340523.17827467935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63"/>
        <v>0.91</v>
      </c>
      <c r="GR113" s="55">
        <f t="shared" si="663"/>
        <v>0.89</v>
      </c>
      <c r="GS113" s="55">
        <f t="shared" si="663"/>
        <v>0.87</v>
      </c>
      <c r="GT113" s="55">
        <f t="shared" si="663"/>
        <v>0.85</v>
      </c>
      <c r="GU113" s="55">
        <f t="shared" si="663"/>
        <v>0.83</v>
      </c>
      <c r="GV113" s="55">
        <f t="shared" si="663"/>
        <v>0.80999999999999994</v>
      </c>
      <c r="GW113" s="55">
        <f t="shared" si="663"/>
        <v>0.78999999999999992</v>
      </c>
      <c r="GX113" s="55">
        <f t="shared" si="663"/>
        <v>0.76999999999999991</v>
      </c>
      <c r="GY113" s="55">
        <f t="shared" si="663"/>
        <v>0.74999999999999989</v>
      </c>
      <c r="GZ113" s="55">
        <f t="shared" si="663"/>
        <v>0.72999999999999987</v>
      </c>
      <c r="HA113" s="55">
        <f t="shared" si="663"/>
        <v>0.70999999999999985</v>
      </c>
      <c r="HB113" s="55">
        <f t="shared" si="663"/>
        <v>0.68999999999999984</v>
      </c>
      <c r="HC113" s="55">
        <f t="shared" si="663"/>
        <v>0.66999999999999982</v>
      </c>
      <c r="HD113" s="55">
        <f t="shared" si="663"/>
        <v>0.6499999999999998</v>
      </c>
      <c r="HE113" s="55">
        <f t="shared" si="663"/>
        <v>0.62999999999999978</v>
      </c>
      <c r="HF113" s="55">
        <f t="shared" si="663"/>
        <v>0.60999999999999976</v>
      </c>
      <c r="HG113" s="55">
        <f t="shared" si="663"/>
        <v>0.58999999999999975</v>
      </c>
      <c r="HH113" s="55">
        <f t="shared" si="663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64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65">+DW114-0.02</f>
        <v>0.91</v>
      </c>
      <c r="DY114" s="61">
        <f t="shared" si="665"/>
        <v>0.89</v>
      </c>
      <c r="DZ114" s="61">
        <f t="shared" si="665"/>
        <v>0.87</v>
      </c>
      <c r="EA114" s="61">
        <f t="shared" si="665"/>
        <v>0.85</v>
      </c>
      <c r="EB114" s="61">
        <f t="shared" si="665"/>
        <v>0.83</v>
      </c>
      <c r="EC114" s="61">
        <f t="shared" si="665"/>
        <v>0.80999999999999994</v>
      </c>
      <c r="ED114" s="61">
        <f t="shared" si="665"/>
        <v>0.78999999999999992</v>
      </c>
      <c r="EE114" s="61">
        <f t="shared" si="665"/>
        <v>0.76999999999999991</v>
      </c>
      <c r="EF114" s="61">
        <f t="shared" si="665"/>
        <v>0.74999999999999989</v>
      </c>
      <c r="EG114" s="61">
        <f t="shared" si="665"/>
        <v>0.72999999999999987</v>
      </c>
      <c r="EH114" s="61">
        <f t="shared" si="665"/>
        <v>0.70999999999999985</v>
      </c>
      <c r="EI114" s="61">
        <f t="shared" si="665"/>
        <v>0.68999999999999984</v>
      </c>
      <c r="EJ114" s="61">
        <f t="shared" si="665"/>
        <v>0.66999999999999982</v>
      </c>
      <c r="EK114" s="61">
        <f t="shared" si="665"/>
        <v>0.6499999999999998</v>
      </c>
      <c r="EL114" s="61">
        <f t="shared" si="665"/>
        <v>0.62999999999999978</v>
      </c>
      <c r="EM114" s="61">
        <f t="shared" si="665"/>
        <v>0.60999999999999976</v>
      </c>
      <c r="EN114" s="61">
        <f t="shared" si="665"/>
        <v>0.58999999999999975</v>
      </c>
      <c r="EO114" s="61">
        <f t="shared" si="665"/>
        <v>0.56999999999999973</v>
      </c>
      <c r="EQ114" s="61">
        <f t="shared" ref="EQ114:EQ115" si="666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67">+GO114-0.02</f>
        <v>0.91</v>
      </c>
      <c r="GQ114" s="61">
        <f t="shared" si="667"/>
        <v>0.89</v>
      </c>
      <c r="GR114" s="61">
        <f t="shared" si="667"/>
        <v>0.87</v>
      </c>
      <c r="GS114" s="61">
        <f t="shared" si="667"/>
        <v>0.85</v>
      </c>
      <c r="GT114" s="61">
        <f t="shared" si="667"/>
        <v>0.83</v>
      </c>
      <c r="GU114" s="61">
        <f t="shared" si="667"/>
        <v>0.80999999999999994</v>
      </c>
      <c r="GV114" s="61">
        <f t="shared" si="667"/>
        <v>0.78999999999999992</v>
      </c>
      <c r="GW114" s="61">
        <f t="shared" si="667"/>
        <v>0.76999999999999991</v>
      </c>
      <c r="GX114" s="61">
        <f t="shared" si="667"/>
        <v>0.74999999999999989</v>
      </c>
      <c r="GY114" s="61">
        <f t="shared" si="667"/>
        <v>0.72999999999999987</v>
      </c>
      <c r="GZ114" s="61">
        <f t="shared" si="667"/>
        <v>0.70999999999999985</v>
      </c>
      <c r="HA114" s="61">
        <f t="shared" si="667"/>
        <v>0.68999999999999984</v>
      </c>
      <c r="HB114" s="61">
        <f t="shared" si="667"/>
        <v>0.66999999999999982</v>
      </c>
      <c r="HC114" s="61">
        <f t="shared" si="667"/>
        <v>0.6499999999999998</v>
      </c>
      <c r="HD114" s="61">
        <f t="shared" si="667"/>
        <v>0.62999999999999978</v>
      </c>
      <c r="HE114" s="61">
        <f t="shared" si="667"/>
        <v>0.60999999999999976</v>
      </c>
      <c r="HF114" s="61">
        <f t="shared" si="667"/>
        <v>0.58999999999999975</v>
      </c>
      <c r="HG114" s="61">
        <f t="shared" si="667"/>
        <v>0.56999999999999973</v>
      </c>
    </row>
    <row r="115" spans="1:216" s="64" customFormat="1" ht="17.25" thickBot="1" x14ac:dyDescent="0.35">
      <c r="B115" s="64" t="s">
        <v>299</v>
      </c>
      <c r="C115" s="64" t="s">
        <v>297</v>
      </c>
      <c r="D115" s="65" t="s">
        <v>271</v>
      </c>
      <c r="E115" s="65" t="s">
        <v>154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64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65"/>
        <v>0.91</v>
      </c>
      <c r="DY115" s="61">
        <f t="shared" si="665"/>
        <v>0.89</v>
      </c>
      <c r="DZ115" s="61">
        <f t="shared" si="665"/>
        <v>0.87</v>
      </c>
      <c r="EA115" s="61">
        <f t="shared" si="665"/>
        <v>0.85</v>
      </c>
      <c r="EB115" s="61">
        <f t="shared" si="665"/>
        <v>0.83</v>
      </c>
      <c r="EC115" s="61">
        <f t="shared" si="665"/>
        <v>0.80999999999999994</v>
      </c>
      <c r="ED115" s="61">
        <f t="shared" si="665"/>
        <v>0.78999999999999992</v>
      </c>
      <c r="EE115" s="61">
        <f t="shared" si="665"/>
        <v>0.76999999999999991</v>
      </c>
      <c r="EF115" s="61">
        <f t="shared" si="665"/>
        <v>0.74999999999999989</v>
      </c>
      <c r="EG115" s="61">
        <f t="shared" si="665"/>
        <v>0.72999999999999987</v>
      </c>
      <c r="EH115" s="61">
        <f t="shared" si="665"/>
        <v>0.70999999999999985</v>
      </c>
      <c r="EI115" s="61">
        <f t="shared" si="665"/>
        <v>0.68999999999999984</v>
      </c>
      <c r="EJ115" s="61">
        <f t="shared" si="665"/>
        <v>0.66999999999999982</v>
      </c>
      <c r="EK115" s="61">
        <f t="shared" si="665"/>
        <v>0.6499999999999998</v>
      </c>
      <c r="EL115" s="61">
        <f t="shared" si="665"/>
        <v>0.62999999999999978</v>
      </c>
      <c r="EM115" s="61">
        <f t="shared" si="665"/>
        <v>0.60999999999999976</v>
      </c>
      <c r="EN115" s="61">
        <f t="shared" si="665"/>
        <v>0.58999999999999975</v>
      </c>
      <c r="EO115" s="61">
        <f t="shared" si="665"/>
        <v>0.56999999999999973</v>
      </c>
      <c r="EQ115" s="61">
        <f t="shared" si="666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67"/>
        <v>0.91</v>
      </c>
      <c r="GQ115" s="61">
        <f t="shared" si="667"/>
        <v>0.89</v>
      </c>
      <c r="GR115" s="61">
        <f t="shared" si="667"/>
        <v>0.87</v>
      </c>
      <c r="GS115" s="61">
        <f t="shared" si="667"/>
        <v>0.85</v>
      </c>
      <c r="GT115" s="61">
        <f t="shared" si="667"/>
        <v>0.83</v>
      </c>
      <c r="GU115" s="61">
        <f t="shared" si="667"/>
        <v>0.80999999999999994</v>
      </c>
      <c r="GV115" s="61">
        <f t="shared" si="667"/>
        <v>0.78999999999999992</v>
      </c>
      <c r="GW115" s="61">
        <f t="shared" si="667"/>
        <v>0.76999999999999991</v>
      </c>
      <c r="GX115" s="61">
        <f t="shared" si="667"/>
        <v>0.74999999999999989</v>
      </c>
      <c r="GY115" s="61">
        <f t="shared" si="667"/>
        <v>0.72999999999999987</v>
      </c>
      <c r="GZ115" s="61">
        <f t="shared" si="667"/>
        <v>0.70999999999999985</v>
      </c>
      <c r="HA115" s="61">
        <f t="shared" si="667"/>
        <v>0.68999999999999984</v>
      </c>
      <c r="HB115" s="61">
        <f t="shared" si="667"/>
        <v>0.66999999999999982</v>
      </c>
      <c r="HC115" s="61">
        <f t="shared" si="667"/>
        <v>0.6499999999999998</v>
      </c>
      <c r="HD115" s="61">
        <f t="shared" si="667"/>
        <v>0.62999999999999978</v>
      </c>
      <c r="HE115" s="61">
        <f t="shared" si="667"/>
        <v>0.60999999999999976</v>
      </c>
      <c r="HF115" s="61">
        <f t="shared" si="667"/>
        <v>0.58999999999999975</v>
      </c>
      <c r="HG115" s="61">
        <f t="shared" si="667"/>
        <v>0.56999999999999973</v>
      </c>
    </row>
    <row r="116" spans="1:216" x14ac:dyDescent="0.3">
      <c r="A116" s="2">
        <v>1</v>
      </c>
      <c r="C116" s="38" t="s">
        <v>55</v>
      </c>
      <c r="D116" s="40">
        <f>TRUNC(4395,-1)</f>
        <v>4390</v>
      </c>
      <c r="E116" s="70">
        <f t="shared" ref="E116:E126" si="668">TRUNC(+D116*3.3058,-1)</f>
        <v>14510</v>
      </c>
      <c r="H116" s="55">
        <f t="shared" ref="H116:H127" si="669">+D116*1.1</f>
        <v>4829</v>
      </c>
      <c r="I116" s="55">
        <f t="shared" si="513"/>
        <v>4829</v>
      </c>
      <c r="J116" s="59">
        <f t="shared" si="514"/>
        <v>15963.708200000001</v>
      </c>
      <c r="K116" s="55">
        <f t="shared" ref="K116:K127" si="670">+I116*BD116</f>
        <v>4684.13</v>
      </c>
      <c r="L116" s="59">
        <f t="shared" ref="L116:L127" si="671">+K116*3.3058</f>
        <v>15484.796954000001</v>
      </c>
      <c r="M116" s="55">
        <f t="shared" ref="M116:M127" si="672">+I116*BE116</f>
        <v>4587.55</v>
      </c>
      <c r="N116" s="59">
        <f t="shared" ref="N116:N127" si="673">+M116*3.3058</f>
        <v>15165.522790000001</v>
      </c>
      <c r="O116" s="55">
        <f t="shared" ref="O116:O127" si="674">+I116*BF116</f>
        <v>4490.97</v>
      </c>
      <c r="P116" s="59">
        <f t="shared" ref="P116:P127" si="675">+O116*3.3058</f>
        <v>14846.248626000001</v>
      </c>
      <c r="Q116" s="57">
        <f t="shared" ref="Q116:Q127" si="676">+I116*BG116</f>
        <v>4394.3900000000003</v>
      </c>
      <c r="R116" s="59">
        <f t="shared" ref="R116:R127" si="677">+Q116*3.3058</f>
        <v>14526.974462000002</v>
      </c>
      <c r="S116" s="55">
        <f t="shared" ref="S116:S127" si="678">+I116*BH116</f>
        <v>4297.8100000000004</v>
      </c>
      <c r="T116" s="59">
        <f t="shared" ref="T116:T127" si="679">+S116*3.3058</f>
        <v>14207.700298000002</v>
      </c>
      <c r="U116" s="57">
        <f t="shared" ref="U116:U127" si="680">+I116*BI116</f>
        <v>4201.2299999999996</v>
      </c>
      <c r="V116" s="59">
        <f t="shared" ref="V116:V127" si="681">+U116*3.3058</f>
        <v>13888.426133999999</v>
      </c>
      <c r="W116" s="60">
        <f t="shared" ref="W116:W127" si="682">+I116*BJ116</f>
        <v>4104.6499999999996</v>
      </c>
      <c r="X116" s="59">
        <f t="shared" ref="X116:X127" si="683">+W116*3.3058</f>
        <v>13569.151969999999</v>
      </c>
      <c r="Y116" s="57">
        <f t="shared" ref="Y116:Y127" si="684">+I116*BK116</f>
        <v>4008.0699999999997</v>
      </c>
      <c r="Z116" s="59">
        <f t="shared" ref="Z116:Z127" si="685">+Y116*3.3058</f>
        <v>13249.877805999999</v>
      </c>
      <c r="AA116" s="55">
        <f t="shared" ref="AA116:AA127" si="686">+I116*BL116</f>
        <v>3911.49</v>
      </c>
      <c r="AB116" s="59">
        <f t="shared" ref="AB116:AB127" si="687">+AA116*3.3058</f>
        <v>12930.603642</v>
      </c>
      <c r="AC116" s="60">
        <f t="shared" ref="AC116:AC127" si="688">+I116*BM116</f>
        <v>3814.91</v>
      </c>
      <c r="AD116" s="59">
        <f t="shared" ref="AD116:AD127" si="689">+AC116*3.3058</f>
        <v>12611.329478</v>
      </c>
      <c r="AE116" s="60">
        <f t="shared" ref="AE116:AE127" si="690">+I116*BN116</f>
        <v>3718.3299999999995</v>
      </c>
      <c r="AF116" s="59">
        <f t="shared" ref="AF116:AF127" si="691">+AE116*3.3058</f>
        <v>12292.055313999999</v>
      </c>
      <c r="AG116" s="60">
        <f t="shared" ref="AG116:AG127" si="692">+I116*BO116</f>
        <v>3621.7499999999995</v>
      </c>
      <c r="AH116" s="59">
        <f t="shared" ref="AH116:AH127" si="693">+AG116*3.3058</f>
        <v>11972.781149999999</v>
      </c>
      <c r="AI116" s="55">
        <f t="shared" ref="AI116:AI127" si="694">+I116*BP116</f>
        <v>3525.1699999999992</v>
      </c>
      <c r="AJ116" s="59">
        <f t="shared" ref="AJ116:AJ127" si="695">+AI116*3.3058</f>
        <v>11653.506985999997</v>
      </c>
      <c r="AK116" s="60">
        <f t="shared" ref="AK116:AK127" si="696">+I116*BQ116</f>
        <v>3428.5899999999992</v>
      </c>
      <c r="AL116" s="59">
        <f t="shared" ref="AL116:AL127" si="697">+AK116*3.3058</f>
        <v>11334.232821999998</v>
      </c>
      <c r="AM116" s="60">
        <f t="shared" ref="AM116:AM127" si="698">+I116*BR116</f>
        <v>3332.0099999999993</v>
      </c>
      <c r="AN116" s="59">
        <f t="shared" ref="AN116:AN127" si="699">+AM116*3.3058</f>
        <v>11014.958657999998</v>
      </c>
      <c r="AO116" s="60">
        <f t="shared" ref="AO116:AO127" si="700">+I116*BS116</f>
        <v>3235.4299999999989</v>
      </c>
      <c r="AP116" s="59">
        <f t="shared" ref="AP116:AP127" si="701">+AO116*3.3058</f>
        <v>10695.684493999997</v>
      </c>
      <c r="AQ116" s="60">
        <f t="shared" ref="AQ116:AQ127" si="702">+I116*BT116</f>
        <v>3138.849999999999</v>
      </c>
      <c r="AR116" s="59">
        <f t="shared" ref="AR116:AR127" si="703">+AQ116*3.3058</f>
        <v>10376.410329999997</v>
      </c>
      <c r="AS116" s="55">
        <f t="shared" ref="AS116:AS127" si="704">+I116*BU116</f>
        <v>3042.2699999999991</v>
      </c>
      <c r="AT116" s="59">
        <f t="shared" ref="AT116:AT127" si="705">+AS116*3.3058</f>
        <v>10057.136165999997</v>
      </c>
      <c r="AU116" s="60">
        <f t="shared" ref="AU116:AU127" si="706">+I116*BV116</f>
        <v>2945.6899999999987</v>
      </c>
      <c r="AV116" s="59">
        <f t="shared" ref="AV116:AV127" si="707">+AU116*3.3058</f>
        <v>9737.8620019999962</v>
      </c>
      <c r="AW116" s="60">
        <f t="shared" ref="AW116:AW127" si="708">+I116*BW116</f>
        <v>2849.1099999999988</v>
      </c>
      <c r="AX116" s="59">
        <f t="shared" ref="AX116:AX127" si="709">+AW116*3.3058</f>
        <v>9418.5878379999958</v>
      </c>
      <c r="AY116" s="55">
        <f t="shared" ref="AY116:AY127" si="710">+I116*BX116</f>
        <v>2752.5299999999988</v>
      </c>
      <c r="AZ116" s="59">
        <f t="shared" ref="AZ116:AZ127" si="711">+AY116*3.3058</f>
        <v>9099.3136739999954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12">+BF116-0.02</f>
        <v>0.91</v>
      </c>
      <c r="BH116" s="55">
        <f t="shared" si="712"/>
        <v>0.89</v>
      </c>
      <c r="BI116" s="55">
        <f t="shared" si="712"/>
        <v>0.87</v>
      </c>
      <c r="BJ116" s="55">
        <f t="shared" si="712"/>
        <v>0.85</v>
      </c>
      <c r="BK116" s="55">
        <f t="shared" si="712"/>
        <v>0.83</v>
      </c>
      <c r="BL116" s="55">
        <f t="shared" si="712"/>
        <v>0.80999999999999994</v>
      </c>
      <c r="BM116" s="55">
        <f t="shared" si="712"/>
        <v>0.78999999999999992</v>
      </c>
      <c r="BN116" s="55">
        <f t="shared" si="712"/>
        <v>0.76999999999999991</v>
      </c>
      <c r="BO116" s="55">
        <f t="shared" si="712"/>
        <v>0.74999999999999989</v>
      </c>
      <c r="BP116" s="55">
        <f t="shared" si="712"/>
        <v>0.72999999999999987</v>
      </c>
      <c r="BQ116" s="55">
        <f t="shared" si="712"/>
        <v>0.70999999999999985</v>
      </c>
      <c r="BR116" s="55">
        <f t="shared" si="712"/>
        <v>0.68999999999999984</v>
      </c>
      <c r="BS116" s="55">
        <f t="shared" si="712"/>
        <v>0.66999999999999982</v>
      </c>
      <c r="BT116" s="55">
        <f t="shared" si="712"/>
        <v>0.6499999999999998</v>
      </c>
      <c r="BU116" s="55">
        <f t="shared" si="712"/>
        <v>0.62999999999999978</v>
      </c>
      <c r="BV116" s="55">
        <f t="shared" si="712"/>
        <v>0.60999999999999976</v>
      </c>
      <c r="BW116" s="55">
        <f t="shared" si="712"/>
        <v>0.58999999999999975</v>
      </c>
      <c r="BX116" s="55">
        <f t="shared" si="712"/>
        <v>0.56999999999999973</v>
      </c>
      <c r="BZ116" s="55">
        <f t="shared" si="515"/>
        <v>4394.3900000000003</v>
      </c>
      <c r="CA116" s="55">
        <f t="shared" si="516"/>
        <v>4394.3900000000003</v>
      </c>
      <c r="CB116" s="59">
        <f t="shared" ref="CB116:CB127" si="713">+CA116*3.3058</f>
        <v>14526.974462000002</v>
      </c>
      <c r="CC116" s="55">
        <f t="shared" ref="CC116:CC127" si="714">+CA116*DV116</f>
        <v>4262.5583000000006</v>
      </c>
      <c r="CD116" s="59">
        <f t="shared" ref="CD116:CD127" si="715">+CC116*3.3058</f>
        <v>14091.165228140002</v>
      </c>
      <c r="CE116" s="55">
        <f t="shared" ref="CE116:CE127" si="716">+CA116*DW116</f>
        <v>4174.6705000000002</v>
      </c>
      <c r="CF116" s="59">
        <f t="shared" ref="CF116:CF127" si="717">+CE116*3.3058</f>
        <v>13800.6257389</v>
      </c>
      <c r="CG116" s="55">
        <f t="shared" ref="CG116:CG127" si="718">+CA116*DX116</f>
        <v>4086.7827000000007</v>
      </c>
      <c r="CH116" s="59">
        <f t="shared" ref="CH116:CH127" si="719">+CG116*3.3058</f>
        <v>13510.086249660002</v>
      </c>
      <c r="CI116" s="57">
        <f t="shared" ref="CI116:CI127" si="720">+CA116*DY116</f>
        <v>3998.8949000000002</v>
      </c>
      <c r="CJ116" s="59">
        <f t="shared" ref="CJ116:CJ127" si="721">+CI116*3.3058</f>
        <v>13219.54676042</v>
      </c>
      <c r="CK116" s="55">
        <f t="shared" ref="CK116:CK127" si="722">+CA116*DZ116</f>
        <v>3911.0071000000003</v>
      </c>
      <c r="CL116" s="59">
        <f t="shared" ref="CL116:CL127" si="723">+CK116*3.3058</f>
        <v>12929.00727118</v>
      </c>
      <c r="CM116" s="57">
        <f t="shared" ref="CM116:CM127" si="724">+CA116*EA116</f>
        <v>3823.1193000000003</v>
      </c>
      <c r="CN116" s="59">
        <f t="shared" ref="CN116:CN127" si="725">+CM116*3.3058</f>
        <v>12638.46778194</v>
      </c>
      <c r="CO116" s="60">
        <f t="shared" ref="CO116:CO127" si="726">+CA116*EB116</f>
        <v>3735.2315000000003</v>
      </c>
      <c r="CP116" s="59">
        <f t="shared" ref="CP116:CP127" si="727">+CO116*3.3058</f>
        <v>12347.928292700002</v>
      </c>
      <c r="CQ116" s="57">
        <f t="shared" ref="CQ116:CQ127" si="728">+CA116*EC116</f>
        <v>3647.3436999999999</v>
      </c>
      <c r="CR116" s="59">
        <f t="shared" ref="CR116:CR127" si="729">+CQ116*3.3058</f>
        <v>12057.38880346</v>
      </c>
      <c r="CS116" s="55">
        <f t="shared" ref="CS116:CS127" si="730">+CA116*ED116</f>
        <v>3559.4558999999999</v>
      </c>
      <c r="CT116" s="59">
        <f t="shared" ref="CT116:CT127" si="731">+CS116*3.3058</f>
        <v>11766.84931422</v>
      </c>
      <c r="CU116" s="60">
        <f t="shared" ref="CU116:CU127" si="732">+CA116*EE116</f>
        <v>3471.5681</v>
      </c>
      <c r="CV116" s="59">
        <f t="shared" ref="CV116:CV127" si="733">+CU116*3.3058</f>
        <v>11476.30982498</v>
      </c>
      <c r="CW116" s="60">
        <f t="shared" ref="CW116:CW127" si="734">+CA116*EF116</f>
        <v>3383.6803</v>
      </c>
      <c r="CX116" s="59">
        <f t="shared" ref="CX116:CX127" si="735">+CW116*3.3058</f>
        <v>11185.770335740001</v>
      </c>
      <c r="CY116" s="60">
        <f t="shared" ref="CY116:CY127" si="736">+CA116*EG116</f>
        <v>3295.7924999999996</v>
      </c>
      <c r="CZ116" s="59">
        <f t="shared" ref="CZ116:CZ127" si="737">+CY116*3.3058</f>
        <v>10895.230846499999</v>
      </c>
      <c r="DA116" s="55">
        <f t="shared" ref="DA116:DA127" si="738">+CA116*EH116</f>
        <v>3207.9046999999996</v>
      </c>
      <c r="DB116" s="59">
        <f t="shared" ref="DB116:DB127" si="739">+DA116*3.3058</f>
        <v>10604.691357259999</v>
      </c>
      <c r="DC116" s="60">
        <f t="shared" ref="DC116:DC127" si="740">+CA116*EI116</f>
        <v>3120.0168999999996</v>
      </c>
      <c r="DD116" s="59">
        <f t="shared" ref="DD116:DD127" si="741">+DC116*3.3058</f>
        <v>10314.151868019999</v>
      </c>
      <c r="DE116" s="60">
        <f t="shared" ref="DE116:DE127" si="742">+CA116*EJ116</f>
        <v>3032.1290999999997</v>
      </c>
      <c r="DF116" s="59">
        <f t="shared" ref="DF116:DF127" si="743">+DE116*3.3058</f>
        <v>10023.612378779999</v>
      </c>
      <c r="DG116" s="60">
        <f t="shared" ref="DG116:DG127" si="744">+CA116*EK116</f>
        <v>2944.2412999999992</v>
      </c>
      <c r="DH116" s="59">
        <f t="shared" ref="DH116:DH127" si="745">+DG116*3.3058</f>
        <v>9733.072889539997</v>
      </c>
      <c r="DI116" s="60">
        <f t="shared" ref="DI116:DI127" si="746">+CA116*EL116</f>
        <v>2856.3534999999993</v>
      </c>
      <c r="DJ116" s="59">
        <f t="shared" ref="DJ116:DJ127" si="747">+DI116*3.3058</f>
        <v>9442.5334002999971</v>
      </c>
      <c r="DK116" s="55">
        <f t="shared" ref="DK116:DK127" si="748">+CA116*EM116</f>
        <v>2768.4656999999993</v>
      </c>
      <c r="DL116" s="59">
        <f t="shared" ref="DL116:DL127" si="749">+DK116*3.3058</f>
        <v>9151.9939110599971</v>
      </c>
      <c r="DM116" s="60">
        <f t="shared" ref="DM116:DM127" si="750">+CA116*EN116</f>
        <v>2680.5778999999993</v>
      </c>
      <c r="DN116" s="59">
        <f t="shared" ref="DN116:DN127" si="751">+DM116*3.3058</f>
        <v>8861.4544218199972</v>
      </c>
      <c r="DO116" s="60">
        <f t="shared" ref="DO116:DO127" si="752">+CA116*EO116</f>
        <v>2592.6900999999989</v>
      </c>
      <c r="DP116" s="59">
        <f t="shared" ref="DP116:DP127" si="753">+DO116*3.3058</f>
        <v>8570.9149325799972</v>
      </c>
      <c r="DQ116" s="55">
        <f t="shared" ref="DQ116:DQ127" si="754">+CA116*EP116</f>
        <v>2504.8022999999989</v>
      </c>
      <c r="DR116" s="59">
        <f t="shared" ref="DR116:DR127" si="755">+DQ116*3.3058</f>
        <v>8280.3754433399972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62"/>
        <v>0.91</v>
      </c>
      <c r="DZ116" s="55">
        <f t="shared" si="662"/>
        <v>0.89</v>
      </c>
      <c r="EA116" s="55">
        <f t="shared" si="662"/>
        <v>0.87</v>
      </c>
      <c r="EB116" s="55">
        <f t="shared" si="662"/>
        <v>0.85</v>
      </c>
      <c r="EC116" s="55">
        <f t="shared" si="662"/>
        <v>0.83</v>
      </c>
      <c r="ED116" s="55">
        <f t="shared" si="662"/>
        <v>0.80999999999999994</v>
      </c>
      <c r="EE116" s="55">
        <f t="shared" si="662"/>
        <v>0.78999999999999992</v>
      </c>
      <c r="EF116" s="55">
        <f t="shared" si="662"/>
        <v>0.76999999999999991</v>
      </c>
      <c r="EG116" s="55">
        <f t="shared" si="662"/>
        <v>0.74999999999999989</v>
      </c>
      <c r="EH116" s="55">
        <f t="shared" si="662"/>
        <v>0.72999999999999987</v>
      </c>
      <c r="EI116" s="55">
        <f t="shared" si="662"/>
        <v>0.70999999999999985</v>
      </c>
      <c r="EJ116" s="55">
        <f t="shared" si="662"/>
        <v>0.68999999999999984</v>
      </c>
      <c r="EK116" s="55">
        <f t="shared" si="662"/>
        <v>0.66999999999999982</v>
      </c>
      <c r="EL116" s="55">
        <f t="shared" si="662"/>
        <v>0.6499999999999998</v>
      </c>
      <c r="EM116" s="55">
        <f t="shared" si="662"/>
        <v>0.62999999999999978</v>
      </c>
      <c r="EN116" s="55">
        <f t="shared" si="662"/>
        <v>0.60999999999999976</v>
      </c>
      <c r="EO116" s="55">
        <f t="shared" si="662"/>
        <v>0.58999999999999975</v>
      </c>
      <c r="EP116" s="55">
        <f t="shared" si="662"/>
        <v>0.56999999999999973</v>
      </c>
      <c r="ER116" s="55">
        <f t="shared" si="656"/>
        <v>3998.8949000000002</v>
      </c>
      <c r="ES116" s="55">
        <f t="shared" si="517"/>
        <v>3998.8949000000002</v>
      </c>
      <c r="ET116" s="59">
        <f t="shared" ref="ET116:ET127" si="756">+ES116*3.3058</f>
        <v>13219.54676042</v>
      </c>
      <c r="EU116" s="55">
        <f t="shared" ref="EU116:EU127" si="757">+ES116*GN116</f>
        <v>3878.9280530000001</v>
      </c>
      <c r="EV116" s="59">
        <f t="shared" ref="EV116:EV127" si="758">+EU116*3.3058</f>
        <v>12822.960357607401</v>
      </c>
      <c r="EW116" s="55">
        <f t="shared" ref="EW116:EW127" si="759">+ES116*GO116</f>
        <v>3798.950155</v>
      </c>
      <c r="EX116" s="59">
        <f t="shared" ref="EX116:EX127" si="760">+EW116*3.3058</f>
        <v>12558.569422398999</v>
      </c>
      <c r="EY116" s="55">
        <f t="shared" ref="EY116:EY127" si="761">+ES116*GP116</f>
        <v>3718.9722570000004</v>
      </c>
      <c r="EZ116" s="59">
        <f t="shared" ref="EZ116:EZ127" si="762">+EY116*3.3058</f>
        <v>12294.178487190602</v>
      </c>
      <c r="FA116" s="57">
        <f t="shared" ref="FA116:FA127" si="763">+ES116*GQ116</f>
        <v>3638.9943590000003</v>
      </c>
      <c r="FB116" s="59">
        <f t="shared" ref="FB116:FB127" si="764">+FA116*3.3058</f>
        <v>12029.787551982201</v>
      </c>
      <c r="FC116" s="55">
        <f t="shared" ref="FC116:FC127" si="765">+ES116*GR116</f>
        <v>3559.0164610000002</v>
      </c>
      <c r="FD116" s="59">
        <f t="shared" ref="FD116:FD127" si="766">+FC116*3.3058</f>
        <v>11765.3966167738</v>
      </c>
      <c r="FE116" s="57">
        <f t="shared" ref="FE116:FE127" si="767">+ES116*GS116</f>
        <v>3479.0385630000001</v>
      </c>
      <c r="FF116" s="59">
        <f t="shared" ref="FF116:FF127" si="768">+FE116*3.3058</f>
        <v>11501.005681565401</v>
      </c>
      <c r="FG116" s="60">
        <f t="shared" ref="FG116:FG127" si="769">+ES116*GT116</f>
        <v>3399.060665</v>
      </c>
      <c r="FH116" s="59">
        <f t="shared" ref="FH116:FH127" si="770">+FG116*3.3058</f>
        <v>11236.614746357</v>
      </c>
      <c r="FI116" s="57">
        <f t="shared" ref="FI116:FI127" si="771">+ES116*GU116</f>
        <v>3319.0827669999999</v>
      </c>
      <c r="FJ116" s="59">
        <f t="shared" ref="FJ116:FJ127" si="772">+FI116*3.3058</f>
        <v>10972.2238111486</v>
      </c>
      <c r="FK116" s="55">
        <f t="shared" ref="FK116:FK127" si="773">+ES116*GV116</f>
        <v>3239.1048689999998</v>
      </c>
      <c r="FL116" s="59">
        <f t="shared" ref="FL116:FL127" si="774">+FK116*3.3058</f>
        <v>10707.832875940199</v>
      </c>
      <c r="FM116" s="60">
        <f t="shared" ref="FM116:FM127" si="775">+ES116*GW116</f>
        <v>3159.1269709999997</v>
      </c>
      <c r="FN116" s="59">
        <f t="shared" ref="FN116:FN127" si="776">+FM116*3.3058</f>
        <v>10443.4419407318</v>
      </c>
      <c r="FO116" s="60">
        <f t="shared" ref="FO116:FO127" si="777">+ES116*GX116</f>
        <v>3079.1490729999996</v>
      </c>
      <c r="FP116" s="59">
        <f t="shared" ref="FP116:FP127" si="778">+FO116*3.3058</f>
        <v>10179.051005523399</v>
      </c>
      <c r="FQ116" s="60">
        <f t="shared" ref="FQ116:FQ127" si="779">+ES116*GY116</f>
        <v>2999.1711749999999</v>
      </c>
      <c r="FR116" s="59">
        <f t="shared" ref="FR116:FR127" si="780">+FQ116*3.3058</f>
        <v>9914.6600703149998</v>
      </c>
      <c r="FS116" s="55">
        <f t="shared" ref="FS116:FS127" si="781">+ES116*GZ116</f>
        <v>2919.1932769999999</v>
      </c>
      <c r="FT116" s="59">
        <f t="shared" ref="FT116:FT127" si="782">+FS116*3.3058</f>
        <v>9650.2691351066005</v>
      </c>
      <c r="FU116" s="60">
        <f t="shared" ref="FU116:FU127" si="783">+ES116*HA116</f>
        <v>2839.2153789999998</v>
      </c>
      <c r="FV116" s="59">
        <f t="shared" ref="FV116:FV127" si="784">+FU116*3.3058</f>
        <v>9385.8781998981995</v>
      </c>
      <c r="FW116" s="60">
        <f t="shared" ref="FW116:FW127" si="785">+ES116*HB116</f>
        <v>2759.2374809999997</v>
      </c>
      <c r="FX116" s="59">
        <f t="shared" ref="FX116:FX127" si="786">+FW116*3.3058</f>
        <v>9121.4872646897984</v>
      </c>
      <c r="FY116" s="60">
        <f t="shared" ref="FY116:FY127" si="787">+ES116*HC116</f>
        <v>2679.2595829999996</v>
      </c>
      <c r="FZ116" s="59">
        <f t="shared" ref="FZ116:FZ127" si="788">+FY116*3.3058</f>
        <v>8857.0963294813992</v>
      </c>
      <c r="GA116" s="60">
        <f t="shared" ref="GA116:GA127" si="789">+ES116*HD116</f>
        <v>2599.2816849999995</v>
      </c>
      <c r="GB116" s="59">
        <f t="shared" ref="GB116:GB127" si="790">+GA116*3.3058</f>
        <v>8592.7053942729981</v>
      </c>
      <c r="GC116" s="55">
        <f t="shared" ref="GC116:GC127" si="791">+ES116*HE116</f>
        <v>2519.3037869999994</v>
      </c>
      <c r="GD116" s="59">
        <f t="shared" ref="GD116:GD127" si="792">+GC116*3.3058</f>
        <v>8328.3144590645989</v>
      </c>
      <c r="GE116" s="60">
        <f t="shared" ref="GE116:GE127" si="793">+ES116*HF116</f>
        <v>2439.3258889999993</v>
      </c>
      <c r="GF116" s="59">
        <f t="shared" ref="GF116:GF127" si="794">+GE116*3.3058</f>
        <v>8063.9235238561978</v>
      </c>
      <c r="GG116" s="60">
        <f t="shared" ref="GG116:GG127" si="795">+ES116*HG116</f>
        <v>2359.3479909999992</v>
      </c>
      <c r="GH116" s="59">
        <f t="shared" ref="GH116:GH127" si="796">+GG116*3.3058</f>
        <v>7799.5325886477976</v>
      </c>
      <c r="GI116" s="55">
        <f t="shared" ref="GI116:GI127" si="797">+ES116*HH116</f>
        <v>2279.3700929999991</v>
      </c>
      <c r="GJ116" s="59">
        <f t="shared" ref="GJ116:GJ127" si="798">+GI116*3.3058</f>
        <v>7535.1416534393975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63"/>
        <v>0.91</v>
      </c>
      <c r="GR116" s="55">
        <f t="shared" si="663"/>
        <v>0.89</v>
      </c>
      <c r="GS116" s="55">
        <f t="shared" si="663"/>
        <v>0.87</v>
      </c>
      <c r="GT116" s="55">
        <f t="shared" si="663"/>
        <v>0.85</v>
      </c>
      <c r="GU116" s="55">
        <f t="shared" si="663"/>
        <v>0.83</v>
      </c>
      <c r="GV116" s="55">
        <f t="shared" si="663"/>
        <v>0.80999999999999994</v>
      </c>
      <c r="GW116" s="55">
        <f t="shared" si="663"/>
        <v>0.78999999999999992</v>
      </c>
      <c r="GX116" s="55">
        <f t="shared" si="663"/>
        <v>0.76999999999999991</v>
      </c>
      <c r="GY116" s="55">
        <f t="shared" si="663"/>
        <v>0.74999999999999989</v>
      </c>
      <c r="GZ116" s="55">
        <f t="shared" si="663"/>
        <v>0.72999999999999987</v>
      </c>
      <c r="HA116" s="55">
        <f t="shared" si="663"/>
        <v>0.70999999999999985</v>
      </c>
      <c r="HB116" s="55">
        <f t="shared" si="663"/>
        <v>0.68999999999999984</v>
      </c>
      <c r="HC116" s="55">
        <f t="shared" si="663"/>
        <v>0.66999999999999982</v>
      </c>
      <c r="HD116" s="55">
        <f t="shared" si="663"/>
        <v>0.6499999999999998</v>
      </c>
      <c r="HE116" s="55">
        <f t="shared" si="663"/>
        <v>0.62999999999999978</v>
      </c>
      <c r="HF116" s="55">
        <f t="shared" si="663"/>
        <v>0.60999999999999976</v>
      </c>
      <c r="HG116" s="55">
        <f t="shared" si="663"/>
        <v>0.58999999999999975</v>
      </c>
      <c r="HH116" s="55">
        <f t="shared" si="663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1">
        <f t="shared" si="668"/>
        <v>0</v>
      </c>
      <c r="H117" s="55">
        <f t="shared" si="669"/>
        <v>0</v>
      </c>
      <c r="I117" s="55">
        <f t="shared" si="513"/>
        <v>0</v>
      </c>
      <c r="J117" s="59">
        <f t="shared" si="514"/>
        <v>0</v>
      </c>
      <c r="K117" s="55">
        <f t="shared" si="670"/>
        <v>0</v>
      </c>
      <c r="L117" s="59">
        <f t="shared" si="671"/>
        <v>0</v>
      </c>
      <c r="M117" s="55">
        <f t="shared" si="672"/>
        <v>0</v>
      </c>
      <c r="N117" s="59">
        <f t="shared" si="673"/>
        <v>0</v>
      </c>
      <c r="O117" s="55">
        <f t="shared" si="674"/>
        <v>0</v>
      </c>
      <c r="P117" s="59">
        <f t="shared" si="675"/>
        <v>0</v>
      </c>
      <c r="Q117" s="57">
        <f t="shared" si="676"/>
        <v>0</v>
      </c>
      <c r="R117" s="59">
        <f t="shared" si="677"/>
        <v>0</v>
      </c>
      <c r="S117" s="55">
        <f t="shared" si="678"/>
        <v>0</v>
      </c>
      <c r="T117" s="59">
        <f t="shared" si="679"/>
        <v>0</v>
      </c>
      <c r="U117" s="57">
        <f t="shared" si="680"/>
        <v>0</v>
      </c>
      <c r="V117" s="59">
        <f t="shared" si="681"/>
        <v>0</v>
      </c>
      <c r="W117" s="60">
        <f t="shared" si="682"/>
        <v>0</v>
      </c>
      <c r="X117" s="59">
        <f t="shared" si="683"/>
        <v>0</v>
      </c>
      <c r="Y117" s="57">
        <f t="shared" si="684"/>
        <v>0</v>
      </c>
      <c r="Z117" s="59">
        <f t="shared" si="685"/>
        <v>0</v>
      </c>
      <c r="AA117" s="55">
        <f t="shared" si="686"/>
        <v>0</v>
      </c>
      <c r="AB117" s="59">
        <f t="shared" si="687"/>
        <v>0</v>
      </c>
      <c r="AC117" s="60">
        <f t="shared" si="688"/>
        <v>0</v>
      </c>
      <c r="AD117" s="59">
        <f t="shared" si="689"/>
        <v>0</v>
      </c>
      <c r="AE117" s="60">
        <f t="shared" si="690"/>
        <v>0</v>
      </c>
      <c r="AF117" s="59">
        <f t="shared" si="691"/>
        <v>0</v>
      </c>
      <c r="AG117" s="60">
        <f t="shared" si="692"/>
        <v>0</v>
      </c>
      <c r="AH117" s="59">
        <f t="shared" si="693"/>
        <v>0</v>
      </c>
      <c r="AI117" s="55">
        <f t="shared" si="694"/>
        <v>0</v>
      </c>
      <c r="AJ117" s="59">
        <f t="shared" si="695"/>
        <v>0</v>
      </c>
      <c r="AK117" s="60">
        <f t="shared" si="696"/>
        <v>0</v>
      </c>
      <c r="AL117" s="59">
        <f t="shared" si="697"/>
        <v>0</v>
      </c>
      <c r="AM117" s="60">
        <f t="shared" si="698"/>
        <v>0</v>
      </c>
      <c r="AN117" s="59">
        <f t="shared" si="699"/>
        <v>0</v>
      </c>
      <c r="AO117" s="60">
        <f t="shared" si="700"/>
        <v>0</v>
      </c>
      <c r="AP117" s="59">
        <f t="shared" si="701"/>
        <v>0</v>
      </c>
      <c r="AQ117" s="60">
        <f t="shared" si="702"/>
        <v>0</v>
      </c>
      <c r="AR117" s="59">
        <f t="shared" si="703"/>
        <v>0</v>
      </c>
      <c r="AS117" s="55">
        <f t="shared" si="704"/>
        <v>0</v>
      </c>
      <c r="AT117" s="59">
        <f t="shared" si="705"/>
        <v>0</v>
      </c>
      <c r="AU117" s="60">
        <f t="shared" si="706"/>
        <v>0</v>
      </c>
      <c r="AV117" s="59">
        <f t="shared" si="707"/>
        <v>0</v>
      </c>
      <c r="AW117" s="60">
        <f t="shared" si="708"/>
        <v>0</v>
      </c>
      <c r="AX117" s="59">
        <f t="shared" si="709"/>
        <v>0</v>
      </c>
      <c r="AY117" s="55">
        <f t="shared" si="710"/>
        <v>0</v>
      </c>
      <c r="AZ117" s="59">
        <f t="shared" si="711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12"/>
        <v>0.91</v>
      </c>
      <c r="BH117" s="55">
        <f t="shared" si="712"/>
        <v>0.89</v>
      </c>
      <c r="BI117" s="55">
        <f t="shared" si="712"/>
        <v>0.87</v>
      </c>
      <c r="BJ117" s="55">
        <f t="shared" si="712"/>
        <v>0.85</v>
      </c>
      <c r="BK117" s="55">
        <f t="shared" si="712"/>
        <v>0.83</v>
      </c>
      <c r="BL117" s="55">
        <f t="shared" si="712"/>
        <v>0.80999999999999994</v>
      </c>
      <c r="BM117" s="55">
        <f t="shared" si="712"/>
        <v>0.78999999999999992</v>
      </c>
      <c r="BN117" s="55">
        <f t="shared" si="712"/>
        <v>0.76999999999999991</v>
      </c>
      <c r="BO117" s="55">
        <f t="shared" si="712"/>
        <v>0.74999999999999989</v>
      </c>
      <c r="BP117" s="55">
        <f t="shared" si="712"/>
        <v>0.72999999999999987</v>
      </c>
      <c r="BQ117" s="55">
        <f t="shared" si="712"/>
        <v>0.70999999999999985</v>
      </c>
      <c r="BR117" s="55">
        <f t="shared" si="712"/>
        <v>0.68999999999999984</v>
      </c>
      <c r="BS117" s="55">
        <f t="shared" si="712"/>
        <v>0.66999999999999982</v>
      </c>
      <c r="BT117" s="55">
        <f t="shared" si="712"/>
        <v>0.6499999999999998</v>
      </c>
      <c r="BU117" s="55">
        <f t="shared" si="712"/>
        <v>0.62999999999999978</v>
      </c>
      <c r="BV117" s="55">
        <f t="shared" si="712"/>
        <v>0.60999999999999976</v>
      </c>
      <c r="BW117" s="55">
        <f t="shared" si="712"/>
        <v>0.58999999999999975</v>
      </c>
      <c r="BX117" s="55">
        <f t="shared" si="712"/>
        <v>0.56999999999999973</v>
      </c>
      <c r="BZ117" s="55">
        <f t="shared" si="515"/>
        <v>0</v>
      </c>
      <c r="CA117" s="55">
        <f t="shared" si="516"/>
        <v>0</v>
      </c>
      <c r="CB117" s="59">
        <f t="shared" si="713"/>
        <v>0</v>
      </c>
      <c r="CC117" s="55">
        <f t="shared" si="714"/>
        <v>0</v>
      </c>
      <c r="CD117" s="59">
        <f t="shared" si="715"/>
        <v>0</v>
      </c>
      <c r="CE117" s="55">
        <f t="shared" si="716"/>
        <v>0</v>
      </c>
      <c r="CF117" s="59">
        <f t="shared" si="717"/>
        <v>0</v>
      </c>
      <c r="CG117" s="55">
        <f t="shared" si="718"/>
        <v>0</v>
      </c>
      <c r="CH117" s="59">
        <f t="shared" si="719"/>
        <v>0</v>
      </c>
      <c r="CI117" s="57">
        <f t="shared" si="720"/>
        <v>0</v>
      </c>
      <c r="CJ117" s="59">
        <f t="shared" si="721"/>
        <v>0</v>
      </c>
      <c r="CK117" s="55">
        <f t="shared" si="722"/>
        <v>0</v>
      </c>
      <c r="CL117" s="59">
        <f t="shared" si="723"/>
        <v>0</v>
      </c>
      <c r="CM117" s="57">
        <f t="shared" si="724"/>
        <v>0</v>
      </c>
      <c r="CN117" s="59">
        <f t="shared" si="725"/>
        <v>0</v>
      </c>
      <c r="CO117" s="60">
        <f t="shared" si="726"/>
        <v>0</v>
      </c>
      <c r="CP117" s="59">
        <f t="shared" si="727"/>
        <v>0</v>
      </c>
      <c r="CQ117" s="57">
        <f t="shared" si="728"/>
        <v>0</v>
      </c>
      <c r="CR117" s="59">
        <f t="shared" si="729"/>
        <v>0</v>
      </c>
      <c r="CS117" s="55">
        <f t="shared" si="730"/>
        <v>0</v>
      </c>
      <c r="CT117" s="59">
        <f t="shared" si="731"/>
        <v>0</v>
      </c>
      <c r="CU117" s="60">
        <f t="shared" si="732"/>
        <v>0</v>
      </c>
      <c r="CV117" s="59">
        <f t="shared" si="733"/>
        <v>0</v>
      </c>
      <c r="CW117" s="60">
        <f t="shared" si="734"/>
        <v>0</v>
      </c>
      <c r="CX117" s="59">
        <f t="shared" si="735"/>
        <v>0</v>
      </c>
      <c r="CY117" s="60">
        <f t="shared" si="736"/>
        <v>0</v>
      </c>
      <c r="CZ117" s="59">
        <f t="shared" si="737"/>
        <v>0</v>
      </c>
      <c r="DA117" s="55">
        <f t="shared" si="738"/>
        <v>0</v>
      </c>
      <c r="DB117" s="59">
        <f t="shared" si="739"/>
        <v>0</v>
      </c>
      <c r="DC117" s="60">
        <f t="shared" si="740"/>
        <v>0</v>
      </c>
      <c r="DD117" s="59">
        <f t="shared" si="741"/>
        <v>0</v>
      </c>
      <c r="DE117" s="60">
        <f t="shared" si="742"/>
        <v>0</v>
      </c>
      <c r="DF117" s="59">
        <f t="shared" si="743"/>
        <v>0</v>
      </c>
      <c r="DG117" s="60">
        <f t="shared" si="744"/>
        <v>0</v>
      </c>
      <c r="DH117" s="59">
        <f t="shared" si="745"/>
        <v>0</v>
      </c>
      <c r="DI117" s="60">
        <f t="shared" si="746"/>
        <v>0</v>
      </c>
      <c r="DJ117" s="59">
        <f t="shared" si="747"/>
        <v>0</v>
      </c>
      <c r="DK117" s="55">
        <f t="shared" si="748"/>
        <v>0</v>
      </c>
      <c r="DL117" s="59">
        <f t="shared" si="749"/>
        <v>0</v>
      </c>
      <c r="DM117" s="60">
        <f t="shared" si="750"/>
        <v>0</v>
      </c>
      <c r="DN117" s="59">
        <f t="shared" si="751"/>
        <v>0</v>
      </c>
      <c r="DO117" s="60">
        <f t="shared" si="752"/>
        <v>0</v>
      </c>
      <c r="DP117" s="59">
        <f t="shared" si="753"/>
        <v>0</v>
      </c>
      <c r="DQ117" s="55">
        <f t="shared" si="754"/>
        <v>0</v>
      </c>
      <c r="DR117" s="59">
        <f t="shared" si="755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62"/>
        <v>0.91</v>
      </c>
      <c r="DZ117" s="55">
        <f t="shared" si="662"/>
        <v>0.89</v>
      </c>
      <c r="EA117" s="55">
        <f t="shared" si="662"/>
        <v>0.87</v>
      </c>
      <c r="EB117" s="55">
        <f t="shared" si="662"/>
        <v>0.85</v>
      </c>
      <c r="EC117" s="55">
        <f t="shared" si="662"/>
        <v>0.83</v>
      </c>
      <c r="ED117" s="55">
        <f t="shared" si="662"/>
        <v>0.80999999999999994</v>
      </c>
      <c r="EE117" s="55">
        <f t="shared" si="662"/>
        <v>0.78999999999999992</v>
      </c>
      <c r="EF117" s="55">
        <f t="shared" si="662"/>
        <v>0.76999999999999991</v>
      </c>
      <c r="EG117" s="55">
        <f t="shared" si="662"/>
        <v>0.74999999999999989</v>
      </c>
      <c r="EH117" s="55">
        <f t="shared" si="662"/>
        <v>0.72999999999999987</v>
      </c>
      <c r="EI117" s="55">
        <f t="shared" si="662"/>
        <v>0.70999999999999985</v>
      </c>
      <c r="EJ117" s="55">
        <f t="shared" si="662"/>
        <v>0.68999999999999984</v>
      </c>
      <c r="EK117" s="55">
        <f t="shared" si="662"/>
        <v>0.66999999999999982</v>
      </c>
      <c r="EL117" s="55">
        <f t="shared" si="662"/>
        <v>0.6499999999999998</v>
      </c>
      <c r="EM117" s="55">
        <f t="shared" si="662"/>
        <v>0.62999999999999978</v>
      </c>
      <c r="EN117" s="55">
        <f t="shared" si="662"/>
        <v>0.60999999999999976</v>
      </c>
      <c r="EO117" s="55">
        <f t="shared" si="662"/>
        <v>0.58999999999999975</v>
      </c>
      <c r="EP117" s="55">
        <f t="shared" si="662"/>
        <v>0.56999999999999973</v>
      </c>
      <c r="ER117" s="55">
        <f t="shared" si="656"/>
        <v>0</v>
      </c>
      <c r="ES117" s="55">
        <f t="shared" si="517"/>
        <v>0</v>
      </c>
      <c r="ET117" s="59">
        <f t="shared" si="756"/>
        <v>0</v>
      </c>
      <c r="EU117" s="55">
        <f t="shared" si="757"/>
        <v>0</v>
      </c>
      <c r="EV117" s="59">
        <f t="shared" si="758"/>
        <v>0</v>
      </c>
      <c r="EW117" s="55">
        <f t="shared" si="759"/>
        <v>0</v>
      </c>
      <c r="EX117" s="59">
        <f t="shared" si="760"/>
        <v>0</v>
      </c>
      <c r="EY117" s="55">
        <f t="shared" si="761"/>
        <v>0</v>
      </c>
      <c r="EZ117" s="59">
        <f t="shared" si="762"/>
        <v>0</v>
      </c>
      <c r="FA117" s="57">
        <f t="shared" si="763"/>
        <v>0</v>
      </c>
      <c r="FB117" s="59">
        <f t="shared" si="764"/>
        <v>0</v>
      </c>
      <c r="FC117" s="55">
        <f t="shared" si="765"/>
        <v>0</v>
      </c>
      <c r="FD117" s="59">
        <f t="shared" si="766"/>
        <v>0</v>
      </c>
      <c r="FE117" s="57">
        <f t="shared" si="767"/>
        <v>0</v>
      </c>
      <c r="FF117" s="59">
        <f t="shared" si="768"/>
        <v>0</v>
      </c>
      <c r="FG117" s="60">
        <f t="shared" si="769"/>
        <v>0</v>
      </c>
      <c r="FH117" s="59">
        <f t="shared" si="770"/>
        <v>0</v>
      </c>
      <c r="FI117" s="57">
        <f t="shared" si="771"/>
        <v>0</v>
      </c>
      <c r="FJ117" s="59">
        <f t="shared" si="772"/>
        <v>0</v>
      </c>
      <c r="FK117" s="55">
        <f t="shared" si="773"/>
        <v>0</v>
      </c>
      <c r="FL117" s="59">
        <f t="shared" si="774"/>
        <v>0</v>
      </c>
      <c r="FM117" s="60">
        <f t="shared" si="775"/>
        <v>0</v>
      </c>
      <c r="FN117" s="59">
        <f t="shared" si="776"/>
        <v>0</v>
      </c>
      <c r="FO117" s="60">
        <f t="shared" si="777"/>
        <v>0</v>
      </c>
      <c r="FP117" s="59">
        <f t="shared" si="778"/>
        <v>0</v>
      </c>
      <c r="FQ117" s="60">
        <f t="shared" si="779"/>
        <v>0</v>
      </c>
      <c r="FR117" s="59">
        <f t="shared" si="780"/>
        <v>0</v>
      </c>
      <c r="FS117" s="55">
        <f t="shared" si="781"/>
        <v>0</v>
      </c>
      <c r="FT117" s="59">
        <f t="shared" si="782"/>
        <v>0</v>
      </c>
      <c r="FU117" s="60">
        <f t="shared" si="783"/>
        <v>0</v>
      </c>
      <c r="FV117" s="59">
        <f t="shared" si="784"/>
        <v>0</v>
      </c>
      <c r="FW117" s="60">
        <f t="shared" si="785"/>
        <v>0</v>
      </c>
      <c r="FX117" s="59">
        <f t="shared" si="786"/>
        <v>0</v>
      </c>
      <c r="FY117" s="60">
        <f t="shared" si="787"/>
        <v>0</v>
      </c>
      <c r="FZ117" s="59">
        <f t="shared" si="788"/>
        <v>0</v>
      </c>
      <c r="GA117" s="60">
        <f t="shared" si="789"/>
        <v>0</v>
      </c>
      <c r="GB117" s="59">
        <f t="shared" si="790"/>
        <v>0</v>
      </c>
      <c r="GC117" s="55">
        <f t="shared" si="791"/>
        <v>0</v>
      </c>
      <c r="GD117" s="59">
        <f t="shared" si="792"/>
        <v>0</v>
      </c>
      <c r="GE117" s="60">
        <f t="shared" si="793"/>
        <v>0</v>
      </c>
      <c r="GF117" s="59">
        <f t="shared" si="794"/>
        <v>0</v>
      </c>
      <c r="GG117" s="60">
        <f t="shared" si="795"/>
        <v>0</v>
      </c>
      <c r="GH117" s="59">
        <f t="shared" si="796"/>
        <v>0</v>
      </c>
      <c r="GI117" s="55">
        <f t="shared" si="797"/>
        <v>0</v>
      </c>
      <c r="GJ117" s="59">
        <f t="shared" si="798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63"/>
        <v>0.91</v>
      </c>
      <c r="GR117" s="55">
        <f t="shared" si="663"/>
        <v>0.89</v>
      </c>
      <c r="GS117" s="55">
        <f t="shared" si="663"/>
        <v>0.87</v>
      </c>
      <c r="GT117" s="55">
        <f t="shared" si="663"/>
        <v>0.85</v>
      </c>
      <c r="GU117" s="55">
        <f t="shared" si="663"/>
        <v>0.83</v>
      </c>
      <c r="GV117" s="55">
        <f t="shared" si="663"/>
        <v>0.80999999999999994</v>
      </c>
      <c r="GW117" s="55">
        <f t="shared" si="663"/>
        <v>0.78999999999999992</v>
      </c>
      <c r="GX117" s="55">
        <f t="shared" si="663"/>
        <v>0.76999999999999991</v>
      </c>
      <c r="GY117" s="55">
        <f t="shared" si="663"/>
        <v>0.74999999999999989</v>
      </c>
      <c r="GZ117" s="55">
        <f t="shared" si="663"/>
        <v>0.72999999999999987</v>
      </c>
      <c r="HA117" s="55">
        <f t="shared" si="663"/>
        <v>0.70999999999999985</v>
      </c>
      <c r="HB117" s="55">
        <f t="shared" si="663"/>
        <v>0.68999999999999984</v>
      </c>
      <c r="HC117" s="55">
        <f t="shared" si="663"/>
        <v>0.66999999999999982</v>
      </c>
      <c r="HD117" s="55">
        <f t="shared" si="663"/>
        <v>0.6499999999999998</v>
      </c>
      <c r="HE117" s="55">
        <f t="shared" si="663"/>
        <v>0.62999999999999978</v>
      </c>
      <c r="HF117" s="55">
        <f t="shared" si="663"/>
        <v>0.60999999999999976</v>
      </c>
      <c r="HG117" s="55">
        <f t="shared" si="663"/>
        <v>0.58999999999999975</v>
      </c>
      <c r="HH117" s="55">
        <f t="shared" si="663"/>
        <v>0.56999999999999973</v>
      </c>
    </row>
    <row r="118" spans="1:216" x14ac:dyDescent="0.3">
      <c r="A118" s="2">
        <v>3</v>
      </c>
      <c r="C118" s="38" t="s">
        <v>152</v>
      </c>
      <c r="D118" s="42">
        <f>TRUNC(959,-1)</f>
        <v>950</v>
      </c>
      <c r="E118" s="71">
        <f t="shared" si="668"/>
        <v>3140</v>
      </c>
      <c r="H118" s="55">
        <f t="shared" si="669"/>
        <v>1045</v>
      </c>
      <c r="I118" s="55">
        <f t="shared" si="513"/>
        <v>1045</v>
      </c>
      <c r="J118" s="59">
        <f t="shared" si="514"/>
        <v>3454.5610000000001</v>
      </c>
      <c r="K118" s="55">
        <f t="shared" si="670"/>
        <v>1013.65</v>
      </c>
      <c r="L118" s="59">
        <f t="shared" si="671"/>
        <v>3350.9241699999998</v>
      </c>
      <c r="M118" s="55">
        <f t="shared" si="672"/>
        <v>992.75</v>
      </c>
      <c r="N118" s="59">
        <f t="shared" si="673"/>
        <v>3281.83295</v>
      </c>
      <c r="O118" s="55">
        <f t="shared" si="674"/>
        <v>971.85</v>
      </c>
      <c r="P118" s="59">
        <f t="shared" si="675"/>
        <v>3212.7417300000002</v>
      </c>
      <c r="Q118" s="57">
        <f t="shared" si="676"/>
        <v>950.95</v>
      </c>
      <c r="R118" s="59">
        <f t="shared" si="677"/>
        <v>3143.6505100000004</v>
      </c>
      <c r="S118" s="55">
        <f t="shared" si="678"/>
        <v>930.05000000000007</v>
      </c>
      <c r="T118" s="59">
        <f t="shared" si="679"/>
        <v>3074.5592900000001</v>
      </c>
      <c r="U118" s="57">
        <f t="shared" si="680"/>
        <v>909.15</v>
      </c>
      <c r="V118" s="59">
        <f t="shared" si="681"/>
        <v>3005.4680699999999</v>
      </c>
      <c r="W118" s="60">
        <f t="shared" si="682"/>
        <v>888.25</v>
      </c>
      <c r="X118" s="59">
        <f t="shared" si="683"/>
        <v>2936.3768500000001</v>
      </c>
      <c r="Y118" s="57">
        <f t="shared" si="684"/>
        <v>867.34999999999991</v>
      </c>
      <c r="Z118" s="59">
        <f t="shared" si="685"/>
        <v>2867.2856299999999</v>
      </c>
      <c r="AA118" s="55">
        <f t="shared" si="686"/>
        <v>846.44999999999993</v>
      </c>
      <c r="AB118" s="59">
        <f t="shared" si="687"/>
        <v>2798.1944100000001</v>
      </c>
      <c r="AC118" s="60">
        <f t="shared" si="688"/>
        <v>825.55</v>
      </c>
      <c r="AD118" s="59">
        <f t="shared" si="689"/>
        <v>2729.1031899999998</v>
      </c>
      <c r="AE118" s="60">
        <f t="shared" si="690"/>
        <v>804.64999999999986</v>
      </c>
      <c r="AF118" s="59">
        <f t="shared" si="691"/>
        <v>2660.0119699999996</v>
      </c>
      <c r="AG118" s="60">
        <f t="shared" si="692"/>
        <v>783.74999999999989</v>
      </c>
      <c r="AH118" s="59">
        <f t="shared" si="693"/>
        <v>2590.9207499999998</v>
      </c>
      <c r="AI118" s="55">
        <f t="shared" si="694"/>
        <v>762.84999999999991</v>
      </c>
      <c r="AJ118" s="59">
        <f t="shared" si="695"/>
        <v>2521.82953</v>
      </c>
      <c r="AK118" s="60">
        <f t="shared" si="696"/>
        <v>741.94999999999982</v>
      </c>
      <c r="AL118" s="59">
        <f t="shared" si="697"/>
        <v>2452.7383099999993</v>
      </c>
      <c r="AM118" s="60">
        <f t="shared" si="698"/>
        <v>721.04999999999984</v>
      </c>
      <c r="AN118" s="59">
        <f t="shared" si="699"/>
        <v>2383.6470899999995</v>
      </c>
      <c r="AO118" s="60">
        <f t="shared" si="700"/>
        <v>700.14999999999986</v>
      </c>
      <c r="AP118" s="59">
        <f t="shared" si="701"/>
        <v>2314.5558699999997</v>
      </c>
      <c r="AQ118" s="60">
        <f t="shared" si="702"/>
        <v>679.24999999999977</v>
      </c>
      <c r="AR118" s="59">
        <f t="shared" si="703"/>
        <v>2245.4646499999994</v>
      </c>
      <c r="AS118" s="55">
        <f t="shared" si="704"/>
        <v>658.3499999999998</v>
      </c>
      <c r="AT118" s="59">
        <f t="shared" si="705"/>
        <v>2176.3734299999992</v>
      </c>
      <c r="AU118" s="60">
        <f t="shared" si="706"/>
        <v>637.4499999999997</v>
      </c>
      <c r="AV118" s="59">
        <f t="shared" si="707"/>
        <v>2107.2822099999989</v>
      </c>
      <c r="AW118" s="60">
        <f t="shared" si="708"/>
        <v>616.54999999999973</v>
      </c>
      <c r="AX118" s="59">
        <f t="shared" si="709"/>
        <v>2038.1909899999991</v>
      </c>
      <c r="AY118" s="55">
        <f t="shared" si="710"/>
        <v>595.64999999999975</v>
      </c>
      <c r="AZ118" s="59">
        <f t="shared" si="711"/>
        <v>1969.0997699999991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12"/>
        <v>0.91</v>
      </c>
      <c r="BH118" s="55">
        <f t="shared" si="712"/>
        <v>0.89</v>
      </c>
      <c r="BI118" s="55">
        <f t="shared" si="712"/>
        <v>0.87</v>
      </c>
      <c r="BJ118" s="55">
        <f t="shared" si="712"/>
        <v>0.85</v>
      </c>
      <c r="BK118" s="55">
        <f t="shared" si="712"/>
        <v>0.83</v>
      </c>
      <c r="BL118" s="55">
        <f t="shared" si="712"/>
        <v>0.80999999999999994</v>
      </c>
      <c r="BM118" s="55">
        <f t="shared" si="712"/>
        <v>0.78999999999999992</v>
      </c>
      <c r="BN118" s="55">
        <f t="shared" si="712"/>
        <v>0.76999999999999991</v>
      </c>
      <c r="BO118" s="55">
        <f t="shared" si="712"/>
        <v>0.74999999999999989</v>
      </c>
      <c r="BP118" s="55">
        <f t="shared" si="712"/>
        <v>0.72999999999999987</v>
      </c>
      <c r="BQ118" s="55">
        <f t="shared" si="712"/>
        <v>0.70999999999999985</v>
      </c>
      <c r="BR118" s="55">
        <f t="shared" si="712"/>
        <v>0.68999999999999984</v>
      </c>
      <c r="BS118" s="55">
        <f t="shared" si="712"/>
        <v>0.66999999999999982</v>
      </c>
      <c r="BT118" s="55">
        <f t="shared" si="712"/>
        <v>0.6499999999999998</v>
      </c>
      <c r="BU118" s="55">
        <f t="shared" si="712"/>
        <v>0.62999999999999978</v>
      </c>
      <c r="BV118" s="55">
        <f t="shared" si="712"/>
        <v>0.60999999999999976</v>
      </c>
      <c r="BW118" s="55">
        <f t="shared" si="712"/>
        <v>0.58999999999999975</v>
      </c>
      <c r="BX118" s="55">
        <f t="shared" si="712"/>
        <v>0.56999999999999973</v>
      </c>
      <c r="BZ118" s="55">
        <f t="shared" si="515"/>
        <v>950.95</v>
      </c>
      <c r="CA118" s="55">
        <f t="shared" si="516"/>
        <v>950.95</v>
      </c>
      <c r="CB118" s="59">
        <f t="shared" si="713"/>
        <v>3143.6505100000004</v>
      </c>
      <c r="CC118" s="55">
        <f t="shared" si="714"/>
        <v>922.42150000000004</v>
      </c>
      <c r="CD118" s="59">
        <f t="shared" si="715"/>
        <v>3049.3409947</v>
      </c>
      <c r="CE118" s="55">
        <f t="shared" si="716"/>
        <v>903.40250000000003</v>
      </c>
      <c r="CF118" s="59">
        <f t="shared" si="717"/>
        <v>2986.4679845000001</v>
      </c>
      <c r="CG118" s="55">
        <f t="shared" si="718"/>
        <v>884.38350000000014</v>
      </c>
      <c r="CH118" s="59">
        <f t="shared" si="719"/>
        <v>2923.5949743000006</v>
      </c>
      <c r="CI118" s="57">
        <f t="shared" si="720"/>
        <v>865.36450000000002</v>
      </c>
      <c r="CJ118" s="59">
        <f t="shared" si="721"/>
        <v>2860.7219641000002</v>
      </c>
      <c r="CK118" s="55">
        <f t="shared" si="722"/>
        <v>846.34550000000002</v>
      </c>
      <c r="CL118" s="59">
        <f t="shared" si="723"/>
        <v>2797.8489539000002</v>
      </c>
      <c r="CM118" s="57">
        <f t="shared" si="724"/>
        <v>827.32650000000001</v>
      </c>
      <c r="CN118" s="59">
        <f t="shared" si="725"/>
        <v>2734.9759437000002</v>
      </c>
      <c r="CO118" s="60">
        <f t="shared" si="726"/>
        <v>808.3075</v>
      </c>
      <c r="CP118" s="59">
        <f t="shared" si="727"/>
        <v>2672.1029335000003</v>
      </c>
      <c r="CQ118" s="57">
        <f t="shared" si="728"/>
        <v>789.2885</v>
      </c>
      <c r="CR118" s="59">
        <f t="shared" si="729"/>
        <v>2609.2299232999999</v>
      </c>
      <c r="CS118" s="55">
        <f t="shared" si="730"/>
        <v>770.26949999999999</v>
      </c>
      <c r="CT118" s="59">
        <f t="shared" si="731"/>
        <v>2546.3569130999999</v>
      </c>
      <c r="CU118" s="60">
        <f t="shared" si="732"/>
        <v>751.25049999999999</v>
      </c>
      <c r="CV118" s="59">
        <f t="shared" si="733"/>
        <v>2483.4839029</v>
      </c>
      <c r="CW118" s="60">
        <f t="shared" si="734"/>
        <v>732.23149999999998</v>
      </c>
      <c r="CX118" s="59">
        <f t="shared" si="735"/>
        <v>2420.6108927</v>
      </c>
      <c r="CY118" s="60">
        <f t="shared" si="736"/>
        <v>713.21249999999998</v>
      </c>
      <c r="CZ118" s="59">
        <f t="shared" si="737"/>
        <v>2357.7378825000001</v>
      </c>
      <c r="DA118" s="55">
        <f t="shared" si="738"/>
        <v>694.19349999999986</v>
      </c>
      <c r="DB118" s="59">
        <f t="shared" si="739"/>
        <v>2294.8648722999997</v>
      </c>
      <c r="DC118" s="60">
        <f t="shared" si="740"/>
        <v>675.17449999999985</v>
      </c>
      <c r="DD118" s="59">
        <f t="shared" si="741"/>
        <v>2231.9918620999997</v>
      </c>
      <c r="DE118" s="60">
        <f t="shared" si="742"/>
        <v>656.15549999999985</v>
      </c>
      <c r="DF118" s="59">
        <f t="shared" si="743"/>
        <v>2169.1188518999998</v>
      </c>
      <c r="DG118" s="60">
        <f t="shared" si="744"/>
        <v>637.13649999999984</v>
      </c>
      <c r="DH118" s="59">
        <f t="shared" si="745"/>
        <v>2106.2458416999993</v>
      </c>
      <c r="DI118" s="60">
        <f t="shared" si="746"/>
        <v>618.11749999999984</v>
      </c>
      <c r="DJ118" s="59">
        <f t="shared" si="747"/>
        <v>2043.3728314999994</v>
      </c>
      <c r="DK118" s="55">
        <f t="shared" si="748"/>
        <v>599.09849999999983</v>
      </c>
      <c r="DL118" s="59">
        <f t="shared" si="749"/>
        <v>1980.4998212999994</v>
      </c>
      <c r="DM118" s="60">
        <f t="shared" si="750"/>
        <v>580.07949999999983</v>
      </c>
      <c r="DN118" s="59">
        <f t="shared" si="751"/>
        <v>1917.6268110999995</v>
      </c>
      <c r="DO118" s="60">
        <f t="shared" si="752"/>
        <v>561.06049999999982</v>
      </c>
      <c r="DP118" s="59">
        <f t="shared" si="753"/>
        <v>1854.7538008999995</v>
      </c>
      <c r="DQ118" s="55">
        <f t="shared" si="754"/>
        <v>542.04149999999981</v>
      </c>
      <c r="DR118" s="59">
        <f t="shared" si="755"/>
        <v>1791.8807906999994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62"/>
        <v>0.91</v>
      </c>
      <c r="DZ118" s="55">
        <f t="shared" si="662"/>
        <v>0.89</v>
      </c>
      <c r="EA118" s="55">
        <f t="shared" si="662"/>
        <v>0.87</v>
      </c>
      <c r="EB118" s="55">
        <f t="shared" si="662"/>
        <v>0.85</v>
      </c>
      <c r="EC118" s="55">
        <f t="shared" si="662"/>
        <v>0.83</v>
      </c>
      <c r="ED118" s="55">
        <f t="shared" si="662"/>
        <v>0.80999999999999994</v>
      </c>
      <c r="EE118" s="55">
        <f t="shared" si="662"/>
        <v>0.78999999999999992</v>
      </c>
      <c r="EF118" s="55">
        <f t="shared" si="662"/>
        <v>0.76999999999999991</v>
      </c>
      <c r="EG118" s="55">
        <f t="shared" si="662"/>
        <v>0.74999999999999989</v>
      </c>
      <c r="EH118" s="55">
        <f t="shared" si="662"/>
        <v>0.72999999999999987</v>
      </c>
      <c r="EI118" s="55">
        <f t="shared" si="662"/>
        <v>0.70999999999999985</v>
      </c>
      <c r="EJ118" s="55">
        <f t="shared" si="662"/>
        <v>0.68999999999999984</v>
      </c>
      <c r="EK118" s="55">
        <f t="shared" si="662"/>
        <v>0.66999999999999982</v>
      </c>
      <c r="EL118" s="55">
        <f t="shared" si="662"/>
        <v>0.6499999999999998</v>
      </c>
      <c r="EM118" s="55">
        <f t="shared" si="662"/>
        <v>0.62999999999999978</v>
      </c>
      <c r="EN118" s="55">
        <f t="shared" si="662"/>
        <v>0.60999999999999976</v>
      </c>
      <c r="EO118" s="55">
        <f t="shared" si="662"/>
        <v>0.58999999999999975</v>
      </c>
      <c r="EP118" s="55">
        <f t="shared" si="662"/>
        <v>0.56999999999999973</v>
      </c>
      <c r="ER118" s="55">
        <f t="shared" si="656"/>
        <v>865.36450000000002</v>
      </c>
      <c r="ES118" s="55">
        <f t="shared" si="517"/>
        <v>865.36450000000002</v>
      </c>
      <c r="ET118" s="59">
        <f t="shared" si="756"/>
        <v>2860.7219641000002</v>
      </c>
      <c r="EU118" s="55">
        <f t="shared" si="757"/>
        <v>839.40356499999996</v>
      </c>
      <c r="EV118" s="59">
        <f t="shared" si="758"/>
        <v>2774.9003051770001</v>
      </c>
      <c r="EW118" s="55">
        <f t="shared" si="759"/>
        <v>822.09627499999999</v>
      </c>
      <c r="EX118" s="59">
        <f t="shared" si="760"/>
        <v>2717.685865895</v>
      </c>
      <c r="EY118" s="55">
        <f t="shared" si="761"/>
        <v>804.78898500000003</v>
      </c>
      <c r="EZ118" s="59">
        <f t="shared" si="762"/>
        <v>2660.4714266129999</v>
      </c>
      <c r="FA118" s="57">
        <f t="shared" si="763"/>
        <v>787.48169500000006</v>
      </c>
      <c r="FB118" s="59">
        <f t="shared" si="764"/>
        <v>2603.2569873310003</v>
      </c>
      <c r="FC118" s="55">
        <f t="shared" si="765"/>
        <v>770.17440499999998</v>
      </c>
      <c r="FD118" s="59">
        <f t="shared" si="766"/>
        <v>2546.0425480489998</v>
      </c>
      <c r="FE118" s="57">
        <f t="shared" si="767"/>
        <v>752.86711500000001</v>
      </c>
      <c r="FF118" s="59">
        <f t="shared" si="768"/>
        <v>2488.8281087670002</v>
      </c>
      <c r="FG118" s="60">
        <f t="shared" si="769"/>
        <v>735.55982500000005</v>
      </c>
      <c r="FH118" s="59">
        <f t="shared" si="770"/>
        <v>2431.6136694850002</v>
      </c>
      <c r="FI118" s="57">
        <f t="shared" si="771"/>
        <v>718.25253499999997</v>
      </c>
      <c r="FJ118" s="59">
        <f t="shared" si="772"/>
        <v>2374.3992302030001</v>
      </c>
      <c r="FK118" s="55">
        <f t="shared" si="773"/>
        <v>700.945245</v>
      </c>
      <c r="FL118" s="59">
        <f t="shared" si="774"/>
        <v>2317.1847909210001</v>
      </c>
      <c r="FM118" s="60">
        <f t="shared" si="775"/>
        <v>683.63795499999992</v>
      </c>
      <c r="FN118" s="59">
        <f t="shared" si="776"/>
        <v>2259.970351639</v>
      </c>
      <c r="FO118" s="60">
        <f t="shared" si="777"/>
        <v>666.33066499999995</v>
      </c>
      <c r="FP118" s="59">
        <f t="shared" si="778"/>
        <v>2202.7559123569999</v>
      </c>
      <c r="FQ118" s="60">
        <f t="shared" si="779"/>
        <v>649.02337499999987</v>
      </c>
      <c r="FR118" s="59">
        <f t="shared" si="780"/>
        <v>2145.5414730749994</v>
      </c>
      <c r="FS118" s="55">
        <f t="shared" si="781"/>
        <v>631.71608499999991</v>
      </c>
      <c r="FT118" s="59">
        <f t="shared" si="782"/>
        <v>2088.3270337929998</v>
      </c>
      <c r="FU118" s="60">
        <f t="shared" si="783"/>
        <v>614.40879499999994</v>
      </c>
      <c r="FV118" s="59">
        <f t="shared" si="784"/>
        <v>2031.1125945109998</v>
      </c>
      <c r="FW118" s="60">
        <f t="shared" si="785"/>
        <v>597.10150499999986</v>
      </c>
      <c r="FX118" s="59">
        <f t="shared" si="786"/>
        <v>1973.8981552289995</v>
      </c>
      <c r="FY118" s="60">
        <f t="shared" si="787"/>
        <v>579.79421499999989</v>
      </c>
      <c r="FZ118" s="59">
        <f t="shared" si="788"/>
        <v>1916.6837159469997</v>
      </c>
      <c r="GA118" s="60">
        <f t="shared" si="789"/>
        <v>562.48692499999981</v>
      </c>
      <c r="GB118" s="59">
        <f t="shared" si="790"/>
        <v>1859.4692766649994</v>
      </c>
      <c r="GC118" s="55">
        <f t="shared" si="791"/>
        <v>545.17963499999985</v>
      </c>
      <c r="GD118" s="59">
        <f t="shared" si="792"/>
        <v>1802.2548373829995</v>
      </c>
      <c r="GE118" s="60">
        <f t="shared" si="793"/>
        <v>527.87234499999977</v>
      </c>
      <c r="GF118" s="59">
        <f t="shared" si="794"/>
        <v>1745.0403981009993</v>
      </c>
      <c r="GG118" s="60">
        <f t="shared" si="795"/>
        <v>510.5650549999998</v>
      </c>
      <c r="GH118" s="59">
        <f t="shared" si="796"/>
        <v>1687.8259588189994</v>
      </c>
      <c r="GI118" s="55">
        <f t="shared" si="797"/>
        <v>493.25776499999978</v>
      </c>
      <c r="GJ118" s="59">
        <f t="shared" si="798"/>
        <v>1630.6115195369994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63"/>
        <v>0.91</v>
      </c>
      <c r="GR118" s="55">
        <f t="shared" si="663"/>
        <v>0.89</v>
      </c>
      <c r="GS118" s="55">
        <f t="shared" si="663"/>
        <v>0.87</v>
      </c>
      <c r="GT118" s="55">
        <f t="shared" si="663"/>
        <v>0.85</v>
      </c>
      <c r="GU118" s="55">
        <f t="shared" si="663"/>
        <v>0.83</v>
      </c>
      <c r="GV118" s="55">
        <f t="shared" si="663"/>
        <v>0.80999999999999994</v>
      </c>
      <c r="GW118" s="55">
        <f t="shared" si="663"/>
        <v>0.78999999999999992</v>
      </c>
      <c r="GX118" s="55">
        <f t="shared" si="663"/>
        <v>0.76999999999999991</v>
      </c>
      <c r="GY118" s="55">
        <f t="shared" si="663"/>
        <v>0.74999999999999989</v>
      </c>
      <c r="GZ118" s="55">
        <f t="shared" si="663"/>
        <v>0.72999999999999987</v>
      </c>
      <c r="HA118" s="55">
        <f t="shared" si="663"/>
        <v>0.70999999999999985</v>
      </c>
      <c r="HB118" s="55">
        <f t="shared" si="663"/>
        <v>0.68999999999999984</v>
      </c>
      <c r="HC118" s="55">
        <f t="shared" si="663"/>
        <v>0.66999999999999982</v>
      </c>
      <c r="HD118" s="55">
        <f t="shared" si="663"/>
        <v>0.6499999999999998</v>
      </c>
      <c r="HE118" s="55">
        <f t="shared" si="663"/>
        <v>0.62999999999999978</v>
      </c>
      <c r="HF118" s="55">
        <f t="shared" si="663"/>
        <v>0.60999999999999976</v>
      </c>
      <c r="HG118" s="55">
        <f t="shared" si="663"/>
        <v>0.58999999999999975</v>
      </c>
      <c r="HH118" s="55">
        <f t="shared" si="663"/>
        <v>0.56999999999999973</v>
      </c>
    </row>
    <row r="119" spans="1:216" x14ac:dyDescent="0.3">
      <c r="A119" s="2">
        <v>4</v>
      </c>
      <c r="C119" s="38" t="s">
        <v>139</v>
      </c>
      <c r="D119" s="42">
        <f>TRUNC(14982,-1)</f>
        <v>14980</v>
      </c>
      <c r="E119" s="71">
        <f t="shared" si="668"/>
        <v>49520</v>
      </c>
      <c r="H119" s="55">
        <f t="shared" si="669"/>
        <v>16478</v>
      </c>
      <c r="I119" s="55">
        <f t="shared" si="513"/>
        <v>16478</v>
      </c>
      <c r="J119" s="59">
        <f t="shared" si="514"/>
        <v>54472.972399999999</v>
      </c>
      <c r="K119" s="55">
        <f t="shared" si="670"/>
        <v>15983.66</v>
      </c>
      <c r="L119" s="59">
        <f t="shared" si="671"/>
        <v>52838.783228</v>
      </c>
      <c r="M119" s="55">
        <f t="shared" si="672"/>
        <v>15654.099999999999</v>
      </c>
      <c r="N119" s="59">
        <f t="shared" si="673"/>
        <v>51749.323779999999</v>
      </c>
      <c r="O119" s="55">
        <f t="shared" si="674"/>
        <v>15324.54</v>
      </c>
      <c r="P119" s="59">
        <f t="shared" si="675"/>
        <v>50659.864332000005</v>
      </c>
      <c r="Q119" s="57">
        <f t="shared" si="676"/>
        <v>14994.980000000001</v>
      </c>
      <c r="R119" s="59">
        <f t="shared" si="677"/>
        <v>49570.404884000003</v>
      </c>
      <c r="S119" s="55">
        <f t="shared" si="678"/>
        <v>14665.42</v>
      </c>
      <c r="T119" s="59">
        <f t="shared" si="679"/>
        <v>48480.945436000002</v>
      </c>
      <c r="U119" s="57">
        <f t="shared" si="680"/>
        <v>14335.86</v>
      </c>
      <c r="V119" s="59">
        <f t="shared" si="681"/>
        <v>47391.485988</v>
      </c>
      <c r="W119" s="60">
        <f t="shared" si="682"/>
        <v>14006.3</v>
      </c>
      <c r="X119" s="59">
        <f t="shared" si="683"/>
        <v>46302.026539999999</v>
      </c>
      <c r="Y119" s="57">
        <f t="shared" si="684"/>
        <v>13676.74</v>
      </c>
      <c r="Z119" s="59">
        <f t="shared" si="685"/>
        <v>45212.567091999998</v>
      </c>
      <c r="AA119" s="55">
        <f t="shared" si="686"/>
        <v>13347.179999999998</v>
      </c>
      <c r="AB119" s="59">
        <f t="shared" si="687"/>
        <v>44123.107643999996</v>
      </c>
      <c r="AC119" s="60">
        <f t="shared" si="688"/>
        <v>13017.619999999999</v>
      </c>
      <c r="AD119" s="59">
        <f t="shared" si="689"/>
        <v>43033.648195999995</v>
      </c>
      <c r="AE119" s="60">
        <f t="shared" si="690"/>
        <v>12688.059999999998</v>
      </c>
      <c r="AF119" s="59">
        <f t="shared" si="691"/>
        <v>41944.188747999993</v>
      </c>
      <c r="AG119" s="60">
        <f t="shared" si="692"/>
        <v>12358.499999999998</v>
      </c>
      <c r="AH119" s="59">
        <f t="shared" si="693"/>
        <v>40854.729299999992</v>
      </c>
      <c r="AI119" s="55">
        <f t="shared" si="694"/>
        <v>12028.939999999999</v>
      </c>
      <c r="AJ119" s="59">
        <f t="shared" si="695"/>
        <v>39765.269851999998</v>
      </c>
      <c r="AK119" s="60">
        <f t="shared" si="696"/>
        <v>11699.379999999997</v>
      </c>
      <c r="AL119" s="59">
        <f t="shared" si="697"/>
        <v>38675.810403999989</v>
      </c>
      <c r="AM119" s="60">
        <f t="shared" si="698"/>
        <v>11369.819999999998</v>
      </c>
      <c r="AN119" s="59">
        <f t="shared" si="699"/>
        <v>37586.350955999995</v>
      </c>
      <c r="AO119" s="60">
        <f t="shared" si="700"/>
        <v>11040.259999999997</v>
      </c>
      <c r="AP119" s="59">
        <f t="shared" si="701"/>
        <v>36496.891507999986</v>
      </c>
      <c r="AQ119" s="60">
        <f t="shared" si="702"/>
        <v>10710.699999999997</v>
      </c>
      <c r="AR119" s="59">
        <f t="shared" si="703"/>
        <v>35407.432059999992</v>
      </c>
      <c r="AS119" s="55">
        <f t="shared" si="704"/>
        <v>10381.139999999996</v>
      </c>
      <c r="AT119" s="59">
        <f t="shared" si="705"/>
        <v>34317.972611999983</v>
      </c>
      <c r="AU119" s="60">
        <f t="shared" si="706"/>
        <v>10051.579999999996</v>
      </c>
      <c r="AV119" s="59">
        <f t="shared" si="707"/>
        <v>33228.513163999989</v>
      </c>
      <c r="AW119" s="60">
        <f t="shared" si="708"/>
        <v>9722.019999999995</v>
      </c>
      <c r="AX119" s="59">
        <f t="shared" si="709"/>
        <v>32139.053715999984</v>
      </c>
      <c r="AY119" s="55">
        <f t="shared" si="710"/>
        <v>9392.4599999999955</v>
      </c>
      <c r="AZ119" s="59">
        <f t="shared" si="711"/>
        <v>31049.594267999986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12"/>
        <v>0.91</v>
      </c>
      <c r="BH119" s="55">
        <f t="shared" si="712"/>
        <v>0.89</v>
      </c>
      <c r="BI119" s="55">
        <f t="shared" si="712"/>
        <v>0.87</v>
      </c>
      <c r="BJ119" s="55">
        <f t="shared" si="712"/>
        <v>0.85</v>
      </c>
      <c r="BK119" s="55">
        <f t="shared" si="712"/>
        <v>0.83</v>
      </c>
      <c r="BL119" s="55">
        <f t="shared" si="712"/>
        <v>0.80999999999999994</v>
      </c>
      <c r="BM119" s="55">
        <f t="shared" si="712"/>
        <v>0.78999999999999992</v>
      </c>
      <c r="BN119" s="55">
        <f t="shared" si="712"/>
        <v>0.76999999999999991</v>
      </c>
      <c r="BO119" s="55">
        <f t="shared" si="712"/>
        <v>0.74999999999999989</v>
      </c>
      <c r="BP119" s="55">
        <f t="shared" si="712"/>
        <v>0.72999999999999987</v>
      </c>
      <c r="BQ119" s="55">
        <f t="shared" si="712"/>
        <v>0.70999999999999985</v>
      </c>
      <c r="BR119" s="55">
        <f t="shared" si="712"/>
        <v>0.68999999999999984</v>
      </c>
      <c r="BS119" s="55">
        <f t="shared" si="712"/>
        <v>0.66999999999999982</v>
      </c>
      <c r="BT119" s="55">
        <f t="shared" si="712"/>
        <v>0.6499999999999998</v>
      </c>
      <c r="BU119" s="55">
        <f t="shared" si="712"/>
        <v>0.62999999999999978</v>
      </c>
      <c r="BV119" s="55">
        <f t="shared" si="712"/>
        <v>0.60999999999999976</v>
      </c>
      <c r="BW119" s="55">
        <f t="shared" si="712"/>
        <v>0.58999999999999975</v>
      </c>
      <c r="BX119" s="55">
        <f t="shared" si="712"/>
        <v>0.56999999999999973</v>
      </c>
      <c r="BZ119" s="55">
        <f t="shared" si="515"/>
        <v>14994.980000000001</v>
      </c>
      <c r="CA119" s="55">
        <f t="shared" si="516"/>
        <v>14994.980000000001</v>
      </c>
      <c r="CB119" s="59">
        <f t="shared" si="713"/>
        <v>49570.404884000003</v>
      </c>
      <c r="CC119" s="55">
        <f t="shared" si="714"/>
        <v>14545.1306</v>
      </c>
      <c r="CD119" s="59">
        <f t="shared" si="715"/>
        <v>48083.292737480006</v>
      </c>
      <c r="CE119" s="55">
        <f t="shared" si="716"/>
        <v>14245.231</v>
      </c>
      <c r="CF119" s="59">
        <f t="shared" si="717"/>
        <v>47091.884639800002</v>
      </c>
      <c r="CG119" s="55">
        <f t="shared" si="718"/>
        <v>13945.331400000003</v>
      </c>
      <c r="CH119" s="59">
        <f t="shared" si="719"/>
        <v>46100.476542120014</v>
      </c>
      <c r="CI119" s="57">
        <f t="shared" si="720"/>
        <v>13645.431800000002</v>
      </c>
      <c r="CJ119" s="59">
        <f t="shared" si="721"/>
        <v>45109.06844444001</v>
      </c>
      <c r="CK119" s="55">
        <f t="shared" si="722"/>
        <v>13345.532200000001</v>
      </c>
      <c r="CL119" s="59">
        <f t="shared" si="723"/>
        <v>44117.660346760007</v>
      </c>
      <c r="CM119" s="57">
        <f t="shared" si="724"/>
        <v>13045.632600000001</v>
      </c>
      <c r="CN119" s="59">
        <f t="shared" si="725"/>
        <v>43126.252249080004</v>
      </c>
      <c r="CO119" s="60">
        <f t="shared" si="726"/>
        <v>12745.733</v>
      </c>
      <c r="CP119" s="59">
        <f t="shared" si="727"/>
        <v>42134.844151400001</v>
      </c>
      <c r="CQ119" s="57">
        <f t="shared" si="728"/>
        <v>12445.833400000001</v>
      </c>
      <c r="CR119" s="59">
        <f t="shared" si="729"/>
        <v>41143.436053720005</v>
      </c>
      <c r="CS119" s="55">
        <f t="shared" si="730"/>
        <v>12145.933800000001</v>
      </c>
      <c r="CT119" s="59">
        <f t="shared" si="731"/>
        <v>40152.027956040001</v>
      </c>
      <c r="CU119" s="60">
        <f t="shared" si="732"/>
        <v>11846.0342</v>
      </c>
      <c r="CV119" s="59">
        <f t="shared" si="733"/>
        <v>39160.619858359998</v>
      </c>
      <c r="CW119" s="60">
        <f t="shared" si="734"/>
        <v>11546.134599999999</v>
      </c>
      <c r="CX119" s="59">
        <f t="shared" si="735"/>
        <v>38169.211760680002</v>
      </c>
      <c r="CY119" s="60">
        <f t="shared" si="736"/>
        <v>11246.234999999999</v>
      </c>
      <c r="CZ119" s="59">
        <f t="shared" si="737"/>
        <v>37177.803662999999</v>
      </c>
      <c r="DA119" s="55">
        <f t="shared" si="738"/>
        <v>10946.3354</v>
      </c>
      <c r="DB119" s="59">
        <f t="shared" si="739"/>
        <v>36186.395565320003</v>
      </c>
      <c r="DC119" s="60">
        <f t="shared" si="740"/>
        <v>10646.435799999999</v>
      </c>
      <c r="DD119" s="59">
        <f t="shared" si="741"/>
        <v>35194.98746764</v>
      </c>
      <c r="DE119" s="60">
        <f t="shared" si="742"/>
        <v>10346.536199999999</v>
      </c>
      <c r="DF119" s="59">
        <f t="shared" si="743"/>
        <v>34203.579369959996</v>
      </c>
      <c r="DG119" s="60">
        <f t="shared" si="744"/>
        <v>10046.636599999998</v>
      </c>
      <c r="DH119" s="59">
        <f t="shared" si="745"/>
        <v>33212.171272279993</v>
      </c>
      <c r="DI119" s="60">
        <f t="shared" si="746"/>
        <v>9746.7369999999974</v>
      </c>
      <c r="DJ119" s="59">
        <f t="shared" si="747"/>
        <v>32220.763174599993</v>
      </c>
      <c r="DK119" s="55">
        <f t="shared" si="748"/>
        <v>9446.8373999999967</v>
      </c>
      <c r="DL119" s="59">
        <f t="shared" si="749"/>
        <v>31229.35507691999</v>
      </c>
      <c r="DM119" s="60">
        <f t="shared" si="750"/>
        <v>9146.9377999999979</v>
      </c>
      <c r="DN119" s="59">
        <f t="shared" si="751"/>
        <v>30237.946979239994</v>
      </c>
      <c r="DO119" s="60">
        <f t="shared" si="752"/>
        <v>8847.0381999999972</v>
      </c>
      <c r="DP119" s="59">
        <f t="shared" si="753"/>
        <v>29246.538881559991</v>
      </c>
      <c r="DQ119" s="55">
        <f t="shared" si="754"/>
        <v>8547.1385999999966</v>
      </c>
      <c r="DR119" s="59">
        <f t="shared" si="755"/>
        <v>28255.130783879988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62"/>
        <v>0.91</v>
      </c>
      <c r="DZ119" s="55">
        <f t="shared" si="662"/>
        <v>0.89</v>
      </c>
      <c r="EA119" s="55">
        <f t="shared" si="662"/>
        <v>0.87</v>
      </c>
      <c r="EB119" s="55">
        <f t="shared" si="662"/>
        <v>0.85</v>
      </c>
      <c r="EC119" s="55">
        <f t="shared" si="662"/>
        <v>0.83</v>
      </c>
      <c r="ED119" s="55">
        <f t="shared" si="662"/>
        <v>0.80999999999999994</v>
      </c>
      <c r="EE119" s="55">
        <f t="shared" si="662"/>
        <v>0.78999999999999992</v>
      </c>
      <c r="EF119" s="55">
        <f t="shared" si="662"/>
        <v>0.76999999999999991</v>
      </c>
      <c r="EG119" s="55">
        <f t="shared" si="662"/>
        <v>0.74999999999999989</v>
      </c>
      <c r="EH119" s="55">
        <f t="shared" si="662"/>
        <v>0.72999999999999987</v>
      </c>
      <c r="EI119" s="55">
        <f t="shared" si="662"/>
        <v>0.70999999999999985</v>
      </c>
      <c r="EJ119" s="55">
        <f t="shared" si="662"/>
        <v>0.68999999999999984</v>
      </c>
      <c r="EK119" s="55">
        <f t="shared" si="662"/>
        <v>0.66999999999999982</v>
      </c>
      <c r="EL119" s="55">
        <f t="shared" si="662"/>
        <v>0.6499999999999998</v>
      </c>
      <c r="EM119" s="55">
        <f t="shared" si="662"/>
        <v>0.62999999999999978</v>
      </c>
      <c r="EN119" s="55">
        <f t="shared" si="662"/>
        <v>0.60999999999999976</v>
      </c>
      <c r="EO119" s="55">
        <f t="shared" si="662"/>
        <v>0.58999999999999975</v>
      </c>
      <c r="EP119" s="55">
        <f t="shared" si="662"/>
        <v>0.56999999999999973</v>
      </c>
      <c r="ER119" s="55">
        <f t="shared" si="656"/>
        <v>13645.431800000002</v>
      </c>
      <c r="ES119" s="55">
        <f t="shared" si="517"/>
        <v>13645.431800000002</v>
      </c>
      <c r="ET119" s="59">
        <f t="shared" si="756"/>
        <v>45109.06844444001</v>
      </c>
      <c r="EU119" s="55">
        <f t="shared" si="757"/>
        <v>13236.068846000002</v>
      </c>
      <c r="EV119" s="59">
        <f t="shared" si="758"/>
        <v>43755.796391106807</v>
      </c>
      <c r="EW119" s="55">
        <f t="shared" si="759"/>
        <v>12963.160210000002</v>
      </c>
      <c r="EX119" s="59">
        <f t="shared" si="760"/>
        <v>42853.615022218008</v>
      </c>
      <c r="EY119" s="55">
        <f t="shared" si="761"/>
        <v>12690.251574000004</v>
      </c>
      <c r="EZ119" s="59">
        <f t="shared" si="762"/>
        <v>41951.433653329215</v>
      </c>
      <c r="FA119" s="57">
        <f t="shared" si="763"/>
        <v>12417.342938000002</v>
      </c>
      <c r="FB119" s="59">
        <f t="shared" si="764"/>
        <v>41049.252284440408</v>
      </c>
      <c r="FC119" s="55">
        <f t="shared" si="765"/>
        <v>12144.434302000001</v>
      </c>
      <c r="FD119" s="59">
        <f t="shared" si="766"/>
        <v>40147.070915551609</v>
      </c>
      <c r="FE119" s="57">
        <f t="shared" si="767"/>
        <v>11871.525666000001</v>
      </c>
      <c r="FF119" s="59">
        <f t="shared" si="768"/>
        <v>39244.889546662802</v>
      </c>
      <c r="FG119" s="60">
        <f t="shared" si="769"/>
        <v>11598.617030000001</v>
      </c>
      <c r="FH119" s="59">
        <f t="shared" si="770"/>
        <v>38342.708177774002</v>
      </c>
      <c r="FI119" s="57">
        <f t="shared" si="771"/>
        <v>11325.708394000001</v>
      </c>
      <c r="FJ119" s="59">
        <f t="shared" si="772"/>
        <v>37440.526808885203</v>
      </c>
      <c r="FK119" s="55">
        <f t="shared" si="773"/>
        <v>11052.799758000001</v>
      </c>
      <c r="FL119" s="59">
        <f t="shared" si="774"/>
        <v>36538.345439996403</v>
      </c>
      <c r="FM119" s="60">
        <f t="shared" si="775"/>
        <v>10779.891122000001</v>
      </c>
      <c r="FN119" s="59">
        <f t="shared" si="776"/>
        <v>35636.164071107603</v>
      </c>
      <c r="FO119" s="60">
        <f t="shared" si="777"/>
        <v>10506.982486000001</v>
      </c>
      <c r="FP119" s="59">
        <f t="shared" si="778"/>
        <v>34733.982702218804</v>
      </c>
      <c r="FQ119" s="60">
        <f t="shared" si="779"/>
        <v>10234.073850000001</v>
      </c>
      <c r="FR119" s="59">
        <f t="shared" si="780"/>
        <v>33831.801333330004</v>
      </c>
      <c r="FS119" s="55">
        <f t="shared" si="781"/>
        <v>9961.1652140000006</v>
      </c>
      <c r="FT119" s="59">
        <f t="shared" si="782"/>
        <v>32929.619964441205</v>
      </c>
      <c r="FU119" s="60">
        <f t="shared" si="783"/>
        <v>9688.2565779999986</v>
      </c>
      <c r="FV119" s="59">
        <f t="shared" si="784"/>
        <v>32027.438595552398</v>
      </c>
      <c r="FW119" s="60">
        <f t="shared" si="785"/>
        <v>9415.3479419999985</v>
      </c>
      <c r="FX119" s="59">
        <f t="shared" si="786"/>
        <v>31125.257226663594</v>
      </c>
      <c r="FY119" s="60">
        <f t="shared" si="787"/>
        <v>9142.4393059999984</v>
      </c>
      <c r="FZ119" s="59">
        <f t="shared" si="788"/>
        <v>30223.075857774795</v>
      </c>
      <c r="GA119" s="60">
        <f t="shared" si="789"/>
        <v>8869.5306699999983</v>
      </c>
      <c r="GB119" s="59">
        <f t="shared" si="790"/>
        <v>29320.894488885995</v>
      </c>
      <c r="GC119" s="55">
        <f t="shared" si="791"/>
        <v>8596.6220339999982</v>
      </c>
      <c r="GD119" s="59">
        <f t="shared" si="792"/>
        <v>28418.713119997195</v>
      </c>
      <c r="GE119" s="60">
        <f t="shared" si="793"/>
        <v>8323.7133979999981</v>
      </c>
      <c r="GF119" s="59">
        <f t="shared" si="794"/>
        <v>27516.531751108396</v>
      </c>
      <c r="GG119" s="60">
        <f t="shared" si="795"/>
        <v>8050.8047619999979</v>
      </c>
      <c r="GH119" s="59">
        <f t="shared" si="796"/>
        <v>26614.350382219593</v>
      </c>
      <c r="GI119" s="55">
        <f t="shared" si="797"/>
        <v>7777.8961259999978</v>
      </c>
      <c r="GJ119" s="59">
        <f t="shared" si="798"/>
        <v>25712.169013330793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63"/>
        <v>0.91</v>
      </c>
      <c r="GR119" s="55">
        <f t="shared" si="663"/>
        <v>0.89</v>
      </c>
      <c r="GS119" s="55">
        <f t="shared" si="663"/>
        <v>0.87</v>
      </c>
      <c r="GT119" s="55">
        <f t="shared" si="663"/>
        <v>0.85</v>
      </c>
      <c r="GU119" s="55">
        <f t="shared" si="663"/>
        <v>0.83</v>
      </c>
      <c r="GV119" s="55">
        <f t="shared" si="663"/>
        <v>0.80999999999999994</v>
      </c>
      <c r="GW119" s="55">
        <f t="shared" si="663"/>
        <v>0.78999999999999992</v>
      </c>
      <c r="GX119" s="55">
        <f t="shared" si="663"/>
        <v>0.76999999999999991</v>
      </c>
      <c r="GY119" s="55">
        <f t="shared" si="663"/>
        <v>0.74999999999999989</v>
      </c>
      <c r="GZ119" s="55">
        <f t="shared" si="663"/>
        <v>0.72999999999999987</v>
      </c>
      <c r="HA119" s="55">
        <f t="shared" si="663"/>
        <v>0.70999999999999985</v>
      </c>
      <c r="HB119" s="55">
        <f t="shared" si="663"/>
        <v>0.68999999999999984</v>
      </c>
      <c r="HC119" s="55">
        <f t="shared" si="663"/>
        <v>0.66999999999999982</v>
      </c>
      <c r="HD119" s="55">
        <f t="shared" si="663"/>
        <v>0.6499999999999998</v>
      </c>
      <c r="HE119" s="55">
        <f t="shared" si="663"/>
        <v>0.62999999999999978</v>
      </c>
      <c r="HF119" s="55">
        <f t="shared" si="663"/>
        <v>0.60999999999999976</v>
      </c>
      <c r="HG119" s="55">
        <f t="shared" si="663"/>
        <v>0.58999999999999975</v>
      </c>
      <c r="HH119" s="55">
        <f t="shared" si="663"/>
        <v>0.56999999999999973</v>
      </c>
    </row>
    <row r="120" spans="1:216" x14ac:dyDescent="0.3">
      <c r="A120" s="2">
        <v>5</v>
      </c>
      <c r="C120" s="38" t="s">
        <v>53</v>
      </c>
      <c r="D120" s="42">
        <f>TRUNC(1279,-1)</f>
        <v>1270</v>
      </c>
      <c r="E120" s="71">
        <f t="shared" si="668"/>
        <v>4190</v>
      </c>
      <c r="H120" s="55">
        <f t="shared" si="669"/>
        <v>1397</v>
      </c>
      <c r="I120" s="55">
        <f t="shared" si="513"/>
        <v>1397</v>
      </c>
      <c r="J120" s="59">
        <f t="shared" si="514"/>
        <v>4618.2026000000005</v>
      </c>
      <c r="K120" s="55">
        <f t="shared" si="670"/>
        <v>1355.09</v>
      </c>
      <c r="L120" s="59">
        <f t="shared" si="671"/>
        <v>4479.6565220000002</v>
      </c>
      <c r="M120" s="55">
        <f t="shared" si="672"/>
        <v>1327.1499999999999</v>
      </c>
      <c r="N120" s="59">
        <f t="shared" si="673"/>
        <v>4387.2924699999994</v>
      </c>
      <c r="O120" s="55">
        <f t="shared" si="674"/>
        <v>1299.21</v>
      </c>
      <c r="P120" s="59">
        <f t="shared" si="675"/>
        <v>4294.9284180000004</v>
      </c>
      <c r="Q120" s="57">
        <f t="shared" si="676"/>
        <v>1271.27</v>
      </c>
      <c r="R120" s="59">
        <f t="shared" si="677"/>
        <v>4202.5643659999996</v>
      </c>
      <c r="S120" s="55">
        <f t="shared" si="678"/>
        <v>1243.33</v>
      </c>
      <c r="T120" s="59">
        <f t="shared" si="679"/>
        <v>4110.2003139999997</v>
      </c>
      <c r="U120" s="57">
        <f t="shared" si="680"/>
        <v>1215.3900000000001</v>
      </c>
      <c r="V120" s="59">
        <f t="shared" si="681"/>
        <v>4017.8362620000003</v>
      </c>
      <c r="W120" s="60">
        <f t="shared" si="682"/>
        <v>1187.45</v>
      </c>
      <c r="X120" s="59">
        <f t="shared" si="683"/>
        <v>3925.4722100000004</v>
      </c>
      <c r="Y120" s="57">
        <f t="shared" si="684"/>
        <v>1159.51</v>
      </c>
      <c r="Z120" s="59">
        <f t="shared" si="685"/>
        <v>3833.108158</v>
      </c>
      <c r="AA120" s="55">
        <f t="shared" si="686"/>
        <v>1131.57</v>
      </c>
      <c r="AB120" s="59">
        <f t="shared" si="687"/>
        <v>3740.7441059999996</v>
      </c>
      <c r="AC120" s="60">
        <f t="shared" si="688"/>
        <v>1103.6299999999999</v>
      </c>
      <c r="AD120" s="59">
        <f t="shared" si="689"/>
        <v>3648.3800539999997</v>
      </c>
      <c r="AE120" s="60">
        <f t="shared" si="690"/>
        <v>1075.6899999999998</v>
      </c>
      <c r="AF120" s="59">
        <f t="shared" si="691"/>
        <v>3556.0160019999994</v>
      </c>
      <c r="AG120" s="60">
        <f t="shared" si="692"/>
        <v>1047.7499999999998</v>
      </c>
      <c r="AH120" s="59">
        <f t="shared" si="693"/>
        <v>3463.6519499999995</v>
      </c>
      <c r="AI120" s="55">
        <f t="shared" si="694"/>
        <v>1019.8099999999998</v>
      </c>
      <c r="AJ120" s="59">
        <f t="shared" si="695"/>
        <v>3371.2878979999996</v>
      </c>
      <c r="AK120" s="60">
        <f t="shared" si="696"/>
        <v>991.86999999999978</v>
      </c>
      <c r="AL120" s="59">
        <f t="shared" si="697"/>
        <v>3278.9238459999992</v>
      </c>
      <c r="AM120" s="60">
        <f t="shared" si="698"/>
        <v>963.92999999999972</v>
      </c>
      <c r="AN120" s="59">
        <f t="shared" si="699"/>
        <v>3186.5597939999993</v>
      </c>
      <c r="AO120" s="60">
        <f t="shared" si="700"/>
        <v>935.98999999999978</v>
      </c>
      <c r="AP120" s="59">
        <f t="shared" si="701"/>
        <v>3094.1957419999994</v>
      </c>
      <c r="AQ120" s="60">
        <f t="shared" si="702"/>
        <v>908.04999999999973</v>
      </c>
      <c r="AR120" s="59">
        <f t="shared" si="703"/>
        <v>3001.8316899999991</v>
      </c>
      <c r="AS120" s="55">
        <f t="shared" si="704"/>
        <v>880.10999999999967</v>
      </c>
      <c r="AT120" s="59">
        <f t="shared" si="705"/>
        <v>2909.4676379999992</v>
      </c>
      <c r="AU120" s="60">
        <f t="shared" si="706"/>
        <v>852.16999999999962</v>
      </c>
      <c r="AV120" s="59">
        <f t="shared" si="707"/>
        <v>2817.1035859999988</v>
      </c>
      <c r="AW120" s="60">
        <f t="shared" si="708"/>
        <v>824.22999999999968</v>
      </c>
      <c r="AX120" s="59">
        <f t="shared" si="709"/>
        <v>2724.7395339999989</v>
      </c>
      <c r="AY120" s="55">
        <f t="shared" si="710"/>
        <v>796.28999999999962</v>
      </c>
      <c r="AZ120" s="59">
        <f t="shared" si="711"/>
        <v>2632.375481999999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12"/>
        <v>0.91</v>
      </c>
      <c r="BH120" s="55">
        <f t="shared" si="712"/>
        <v>0.89</v>
      </c>
      <c r="BI120" s="55">
        <f t="shared" si="712"/>
        <v>0.87</v>
      </c>
      <c r="BJ120" s="55">
        <f t="shared" si="712"/>
        <v>0.85</v>
      </c>
      <c r="BK120" s="55">
        <f t="shared" si="712"/>
        <v>0.83</v>
      </c>
      <c r="BL120" s="55">
        <f t="shared" si="712"/>
        <v>0.80999999999999994</v>
      </c>
      <c r="BM120" s="55">
        <f t="shared" si="712"/>
        <v>0.78999999999999992</v>
      </c>
      <c r="BN120" s="55">
        <f t="shared" si="712"/>
        <v>0.76999999999999991</v>
      </c>
      <c r="BO120" s="55">
        <f t="shared" si="712"/>
        <v>0.74999999999999989</v>
      </c>
      <c r="BP120" s="55">
        <f t="shared" si="712"/>
        <v>0.72999999999999987</v>
      </c>
      <c r="BQ120" s="55">
        <f t="shared" si="712"/>
        <v>0.70999999999999985</v>
      </c>
      <c r="BR120" s="55">
        <f t="shared" si="712"/>
        <v>0.68999999999999984</v>
      </c>
      <c r="BS120" s="55">
        <f t="shared" si="712"/>
        <v>0.66999999999999982</v>
      </c>
      <c r="BT120" s="55">
        <f t="shared" si="712"/>
        <v>0.6499999999999998</v>
      </c>
      <c r="BU120" s="55">
        <f t="shared" si="712"/>
        <v>0.62999999999999978</v>
      </c>
      <c r="BV120" s="55">
        <f t="shared" si="712"/>
        <v>0.60999999999999976</v>
      </c>
      <c r="BW120" s="55">
        <f t="shared" si="712"/>
        <v>0.58999999999999975</v>
      </c>
      <c r="BX120" s="55">
        <f t="shared" si="712"/>
        <v>0.56999999999999973</v>
      </c>
      <c r="BZ120" s="55">
        <f t="shared" si="515"/>
        <v>1271.27</v>
      </c>
      <c r="CA120" s="55">
        <f t="shared" si="516"/>
        <v>1271.27</v>
      </c>
      <c r="CB120" s="59">
        <f t="shared" si="713"/>
        <v>4202.5643659999996</v>
      </c>
      <c r="CC120" s="55">
        <f t="shared" si="714"/>
        <v>1233.1318999999999</v>
      </c>
      <c r="CD120" s="59">
        <f t="shared" si="715"/>
        <v>4076.4874350199998</v>
      </c>
      <c r="CE120" s="55">
        <f t="shared" si="716"/>
        <v>1207.7065</v>
      </c>
      <c r="CF120" s="59">
        <f t="shared" si="717"/>
        <v>3992.4361477000002</v>
      </c>
      <c r="CG120" s="55">
        <f t="shared" si="718"/>
        <v>1182.2811000000002</v>
      </c>
      <c r="CH120" s="59">
        <f t="shared" si="719"/>
        <v>3908.3848603800006</v>
      </c>
      <c r="CI120" s="57">
        <f t="shared" si="720"/>
        <v>1156.8557000000001</v>
      </c>
      <c r="CJ120" s="59">
        <f t="shared" si="721"/>
        <v>3824.3335730600002</v>
      </c>
      <c r="CK120" s="55">
        <f t="shared" si="722"/>
        <v>1131.4303</v>
      </c>
      <c r="CL120" s="59">
        <f t="shared" si="723"/>
        <v>3740.2822857400001</v>
      </c>
      <c r="CM120" s="57">
        <f t="shared" si="724"/>
        <v>1106.0048999999999</v>
      </c>
      <c r="CN120" s="59">
        <f t="shared" si="725"/>
        <v>3656.2309984199997</v>
      </c>
      <c r="CO120" s="60">
        <f t="shared" si="726"/>
        <v>1080.5795000000001</v>
      </c>
      <c r="CP120" s="59">
        <f t="shared" si="727"/>
        <v>3572.1797111000001</v>
      </c>
      <c r="CQ120" s="57">
        <f t="shared" si="728"/>
        <v>1055.1541</v>
      </c>
      <c r="CR120" s="59">
        <f t="shared" si="729"/>
        <v>3488.12842378</v>
      </c>
      <c r="CS120" s="55">
        <f t="shared" si="730"/>
        <v>1029.7286999999999</v>
      </c>
      <c r="CT120" s="59">
        <f t="shared" si="731"/>
        <v>3404.0771364599996</v>
      </c>
      <c r="CU120" s="60">
        <f t="shared" si="732"/>
        <v>1004.3032999999999</v>
      </c>
      <c r="CV120" s="59">
        <f t="shared" si="733"/>
        <v>3320.02584914</v>
      </c>
      <c r="CW120" s="60">
        <f t="shared" si="734"/>
        <v>978.87789999999984</v>
      </c>
      <c r="CX120" s="59">
        <f t="shared" si="735"/>
        <v>3235.9745618199995</v>
      </c>
      <c r="CY120" s="60">
        <f t="shared" si="736"/>
        <v>953.45249999999987</v>
      </c>
      <c r="CZ120" s="59">
        <f t="shared" si="737"/>
        <v>3151.9232744999995</v>
      </c>
      <c r="DA120" s="55">
        <f t="shared" si="738"/>
        <v>928.02709999999979</v>
      </c>
      <c r="DB120" s="59">
        <f t="shared" si="739"/>
        <v>3067.8719871799995</v>
      </c>
      <c r="DC120" s="60">
        <f t="shared" si="740"/>
        <v>902.60169999999982</v>
      </c>
      <c r="DD120" s="59">
        <f t="shared" si="741"/>
        <v>2983.8206998599994</v>
      </c>
      <c r="DE120" s="60">
        <f t="shared" si="742"/>
        <v>877.17629999999974</v>
      </c>
      <c r="DF120" s="59">
        <f t="shared" si="743"/>
        <v>2899.7694125399994</v>
      </c>
      <c r="DG120" s="60">
        <f t="shared" si="744"/>
        <v>851.75089999999977</v>
      </c>
      <c r="DH120" s="59">
        <f t="shared" si="745"/>
        <v>2815.7181252199994</v>
      </c>
      <c r="DI120" s="60">
        <f t="shared" si="746"/>
        <v>826.32549999999969</v>
      </c>
      <c r="DJ120" s="59">
        <f t="shared" si="747"/>
        <v>2731.6668378999989</v>
      </c>
      <c r="DK120" s="55">
        <f t="shared" si="748"/>
        <v>800.90009999999972</v>
      </c>
      <c r="DL120" s="59">
        <f t="shared" si="749"/>
        <v>2647.6155505799993</v>
      </c>
      <c r="DM120" s="60">
        <f t="shared" si="750"/>
        <v>775.47469999999964</v>
      </c>
      <c r="DN120" s="59">
        <f t="shared" si="751"/>
        <v>2563.5642632599988</v>
      </c>
      <c r="DO120" s="60">
        <f t="shared" si="752"/>
        <v>750.04929999999968</v>
      </c>
      <c r="DP120" s="59">
        <f t="shared" si="753"/>
        <v>2479.5129759399988</v>
      </c>
      <c r="DQ120" s="55">
        <f t="shared" si="754"/>
        <v>724.62389999999959</v>
      </c>
      <c r="DR120" s="59">
        <f t="shared" si="755"/>
        <v>2395.4616886199988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62"/>
        <v>0.91</v>
      </c>
      <c r="DZ120" s="55">
        <f t="shared" si="662"/>
        <v>0.89</v>
      </c>
      <c r="EA120" s="55">
        <f t="shared" si="662"/>
        <v>0.87</v>
      </c>
      <c r="EB120" s="55">
        <f t="shared" si="662"/>
        <v>0.85</v>
      </c>
      <c r="EC120" s="55">
        <f t="shared" si="662"/>
        <v>0.83</v>
      </c>
      <c r="ED120" s="55">
        <f t="shared" si="662"/>
        <v>0.80999999999999994</v>
      </c>
      <c r="EE120" s="55">
        <f t="shared" si="662"/>
        <v>0.78999999999999992</v>
      </c>
      <c r="EF120" s="55">
        <f t="shared" si="662"/>
        <v>0.76999999999999991</v>
      </c>
      <c r="EG120" s="55">
        <f t="shared" si="662"/>
        <v>0.74999999999999989</v>
      </c>
      <c r="EH120" s="55">
        <f t="shared" si="662"/>
        <v>0.72999999999999987</v>
      </c>
      <c r="EI120" s="55">
        <f t="shared" si="662"/>
        <v>0.70999999999999985</v>
      </c>
      <c r="EJ120" s="55">
        <f t="shared" si="662"/>
        <v>0.68999999999999984</v>
      </c>
      <c r="EK120" s="55">
        <f t="shared" si="662"/>
        <v>0.66999999999999982</v>
      </c>
      <c r="EL120" s="55">
        <f t="shared" si="662"/>
        <v>0.6499999999999998</v>
      </c>
      <c r="EM120" s="55">
        <f t="shared" si="662"/>
        <v>0.62999999999999978</v>
      </c>
      <c r="EN120" s="55">
        <f t="shared" si="662"/>
        <v>0.60999999999999976</v>
      </c>
      <c r="EO120" s="55">
        <f t="shared" si="662"/>
        <v>0.58999999999999975</v>
      </c>
      <c r="EP120" s="55">
        <f t="shared" si="662"/>
        <v>0.56999999999999973</v>
      </c>
      <c r="ER120" s="55">
        <f t="shared" si="656"/>
        <v>1156.8557000000001</v>
      </c>
      <c r="ES120" s="55">
        <f t="shared" si="517"/>
        <v>1156.8557000000001</v>
      </c>
      <c r="ET120" s="59">
        <f t="shared" si="756"/>
        <v>3824.3335730600002</v>
      </c>
      <c r="EU120" s="55">
        <f t="shared" si="757"/>
        <v>1122.1500290000001</v>
      </c>
      <c r="EV120" s="59">
        <f t="shared" si="758"/>
        <v>3709.6035658682003</v>
      </c>
      <c r="EW120" s="55">
        <f t="shared" si="759"/>
        <v>1099.012915</v>
      </c>
      <c r="EX120" s="59">
        <f t="shared" si="760"/>
        <v>3633.116894407</v>
      </c>
      <c r="EY120" s="55">
        <f t="shared" si="761"/>
        <v>1075.8758010000001</v>
      </c>
      <c r="EZ120" s="59">
        <f t="shared" si="762"/>
        <v>3556.6302229458006</v>
      </c>
      <c r="FA120" s="57">
        <f t="shared" si="763"/>
        <v>1052.738687</v>
      </c>
      <c r="FB120" s="59">
        <f t="shared" si="764"/>
        <v>3480.1435514846003</v>
      </c>
      <c r="FC120" s="55">
        <f t="shared" si="765"/>
        <v>1029.6015730000001</v>
      </c>
      <c r="FD120" s="59">
        <f t="shared" si="766"/>
        <v>3403.6568800234004</v>
      </c>
      <c r="FE120" s="57">
        <f t="shared" si="767"/>
        <v>1006.464459</v>
      </c>
      <c r="FF120" s="59">
        <f t="shared" si="768"/>
        <v>3327.1702085622001</v>
      </c>
      <c r="FG120" s="60">
        <f t="shared" si="769"/>
        <v>983.32734500000004</v>
      </c>
      <c r="FH120" s="59">
        <f t="shared" si="770"/>
        <v>3250.6835371010002</v>
      </c>
      <c r="FI120" s="57">
        <f t="shared" si="771"/>
        <v>960.19023100000004</v>
      </c>
      <c r="FJ120" s="59">
        <f t="shared" si="772"/>
        <v>3174.1968656398003</v>
      </c>
      <c r="FK120" s="55">
        <f t="shared" si="773"/>
        <v>937.05311700000004</v>
      </c>
      <c r="FL120" s="59">
        <f t="shared" si="774"/>
        <v>3097.7101941786004</v>
      </c>
      <c r="FM120" s="60">
        <f t="shared" si="775"/>
        <v>913.91600299999993</v>
      </c>
      <c r="FN120" s="59">
        <f t="shared" si="776"/>
        <v>3021.2235227173996</v>
      </c>
      <c r="FO120" s="60">
        <f t="shared" si="777"/>
        <v>890.77888899999994</v>
      </c>
      <c r="FP120" s="59">
        <f t="shared" si="778"/>
        <v>2944.7368512561998</v>
      </c>
      <c r="FQ120" s="60">
        <f t="shared" si="779"/>
        <v>867.64177499999994</v>
      </c>
      <c r="FR120" s="59">
        <f t="shared" si="780"/>
        <v>2868.2501797949999</v>
      </c>
      <c r="FS120" s="55">
        <f t="shared" si="781"/>
        <v>844.50466099999994</v>
      </c>
      <c r="FT120" s="59">
        <f t="shared" si="782"/>
        <v>2791.7635083338</v>
      </c>
      <c r="FU120" s="60">
        <f t="shared" si="783"/>
        <v>821.36754699999983</v>
      </c>
      <c r="FV120" s="59">
        <f t="shared" si="784"/>
        <v>2715.2768368725997</v>
      </c>
      <c r="FW120" s="60">
        <f t="shared" si="785"/>
        <v>798.23043299999983</v>
      </c>
      <c r="FX120" s="59">
        <f t="shared" si="786"/>
        <v>2638.7901654113994</v>
      </c>
      <c r="FY120" s="60">
        <f t="shared" si="787"/>
        <v>775.09331899999984</v>
      </c>
      <c r="FZ120" s="59">
        <f t="shared" si="788"/>
        <v>2562.3034939501995</v>
      </c>
      <c r="GA120" s="60">
        <f t="shared" si="789"/>
        <v>751.95620499999984</v>
      </c>
      <c r="GB120" s="59">
        <f t="shared" si="790"/>
        <v>2485.8168224889996</v>
      </c>
      <c r="GC120" s="55">
        <f t="shared" si="791"/>
        <v>728.81909099999984</v>
      </c>
      <c r="GD120" s="59">
        <f t="shared" si="792"/>
        <v>2409.3301510277997</v>
      </c>
      <c r="GE120" s="60">
        <f t="shared" si="793"/>
        <v>705.68197699999973</v>
      </c>
      <c r="GF120" s="59">
        <f t="shared" si="794"/>
        <v>2332.8434795665989</v>
      </c>
      <c r="GG120" s="60">
        <f t="shared" si="795"/>
        <v>682.54486299999974</v>
      </c>
      <c r="GH120" s="59">
        <f t="shared" si="796"/>
        <v>2256.3568081053991</v>
      </c>
      <c r="GI120" s="55">
        <f t="shared" si="797"/>
        <v>659.40774899999974</v>
      </c>
      <c r="GJ120" s="59">
        <f t="shared" si="798"/>
        <v>2179.8701366441992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63"/>
        <v>0.91</v>
      </c>
      <c r="GR120" s="55">
        <f t="shared" si="663"/>
        <v>0.89</v>
      </c>
      <c r="GS120" s="55">
        <f t="shared" si="663"/>
        <v>0.87</v>
      </c>
      <c r="GT120" s="55">
        <f t="shared" si="663"/>
        <v>0.85</v>
      </c>
      <c r="GU120" s="55">
        <f t="shared" si="663"/>
        <v>0.83</v>
      </c>
      <c r="GV120" s="55">
        <f t="shared" si="663"/>
        <v>0.80999999999999994</v>
      </c>
      <c r="GW120" s="55">
        <f t="shared" si="663"/>
        <v>0.78999999999999992</v>
      </c>
      <c r="GX120" s="55">
        <f t="shared" si="663"/>
        <v>0.76999999999999991</v>
      </c>
      <c r="GY120" s="55">
        <f t="shared" si="663"/>
        <v>0.74999999999999989</v>
      </c>
      <c r="GZ120" s="55">
        <f t="shared" si="663"/>
        <v>0.72999999999999987</v>
      </c>
      <c r="HA120" s="55">
        <f t="shared" si="663"/>
        <v>0.70999999999999985</v>
      </c>
      <c r="HB120" s="55">
        <f t="shared" si="663"/>
        <v>0.68999999999999984</v>
      </c>
      <c r="HC120" s="55">
        <f t="shared" si="663"/>
        <v>0.66999999999999982</v>
      </c>
      <c r="HD120" s="55">
        <f t="shared" si="663"/>
        <v>0.6499999999999998</v>
      </c>
      <c r="HE120" s="55">
        <f t="shared" si="663"/>
        <v>0.62999999999999978</v>
      </c>
      <c r="HF120" s="55">
        <f t="shared" si="663"/>
        <v>0.60999999999999976</v>
      </c>
      <c r="HG120" s="55">
        <f t="shared" si="663"/>
        <v>0.58999999999999975</v>
      </c>
      <c r="HH120" s="55">
        <f t="shared" si="663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8"/>
        <v>0</v>
      </c>
      <c r="H121" s="55">
        <f t="shared" si="669"/>
        <v>0</v>
      </c>
      <c r="I121" s="55">
        <f t="shared" si="513"/>
        <v>0</v>
      </c>
      <c r="J121" s="59">
        <f t="shared" si="514"/>
        <v>0</v>
      </c>
      <c r="K121" s="55">
        <f t="shared" si="670"/>
        <v>0</v>
      </c>
      <c r="L121" s="59">
        <f t="shared" si="671"/>
        <v>0</v>
      </c>
      <c r="M121" s="55">
        <f t="shared" si="672"/>
        <v>0</v>
      </c>
      <c r="N121" s="59">
        <f t="shared" si="673"/>
        <v>0</v>
      </c>
      <c r="O121" s="55">
        <f t="shared" si="674"/>
        <v>0</v>
      </c>
      <c r="P121" s="59">
        <f t="shared" si="675"/>
        <v>0</v>
      </c>
      <c r="Q121" s="57">
        <f t="shared" si="676"/>
        <v>0</v>
      </c>
      <c r="R121" s="59">
        <f t="shared" si="677"/>
        <v>0</v>
      </c>
      <c r="S121" s="55">
        <f t="shared" si="678"/>
        <v>0</v>
      </c>
      <c r="T121" s="59">
        <f t="shared" si="679"/>
        <v>0</v>
      </c>
      <c r="U121" s="57">
        <f t="shared" si="680"/>
        <v>0</v>
      </c>
      <c r="V121" s="59">
        <f t="shared" si="681"/>
        <v>0</v>
      </c>
      <c r="W121" s="60">
        <f t="shared" si="682"/>
        <v>0</v>
      </c>
      <c r="X121" s="59">
        <f t="shared" si="683"/>
        <v>0</v>
      </c>
      <c r="Y121" s="57">
        <f t="shared" si="684"/>
        <v>0</v>
      </c>
      <c r="Z121" s="59">
        <f t="shared" si="685"/>
        <v>0</v>
      </c>
      <c r="AA121" s="55">
        <f t="shared" si="686"/>
        <v>0</v>
      </c>
      <c r="AB121" s="59">
        <f t="shared" si="687"/>
        <v>0</v>
      </c>
      <c r="AC121" s="60">
        <f t="shared" si="688"/>
        <v>0</v>
      </c>
      <c r="AD121" s="59">
        <f t="shared" si="689"/>
        <v>0</v>
      </c>
      <c r="AE121" s="60">
        <f t="shared" si="690"/>
        <v>0</v>
      </c>
      <c r="AF121" s="59">
        <f t="shared" si="691"/>
        <v>0</v>
      </c>
      <c r="AG121" s="60">
        <f t="shared" si="692"/>
        <v>0</v>
      </c>
      <c r="AH121" s="59">
        <f t="shared" si="693"/>
        <v>0</v>
      </c>
      <c r="AI121" s="55">
        <f t="shared" si="694"/>
        <v>0</v>
      </c>
      <c r="AJ121" s="59">
        <f t="shared" si="695"/>
        <v>0</v>
      </c>
      <c r="AK121" s="60">
        <f t="shared" si="696"/>
        <v>0</v>
      </c>
      <c r="AL121" s="59">
        <f t="shared" si="697"/>
        <v>0</v>
      </c>
      <c r="AM121" s="60">
        <f t="shared" si="698"/>
        <v>0</v>
      </c>
      <c r="AN121" s="59">
        <f t="shared" si="699"/>
        <v>0</v>
      </c>
      <c r="AO121" s="60">
        <f t="shared" si="700"/>
        <v>0</v>
      </c>
      <c r="AP121" s="59">
        <f t="shared" si="701"/>
        <v>0</v>
      </c>
      <c r="AQ121" s="60">
        <f t="shared" si="702"/>
        <v>0</v>
      </c>
      <c r="AR121" s="59">
        <f t="shared" si="703"/>
        <v>0</v>
      </c>
      <c r="AS121" s="55">
        <f t="shared" si="704"/>
        <v>0</v>
      </c>
      <c r="AT121" s="59">
        <f t="shared" si="705"/>
        <v>0</v>
      </c>
      <c r="AU121" s="60">
        <f t="shared" si="706"/>
        <v>0</v>
      </c>
      <c r="AV121" s="59">
        <f t="shared" si="707"/>
        <v>0</v>
      </c>
      <c r="AW121" s="60">
        <f t="shared" si="708"/>
        <v>0</v>
      </c>
      <c r="AX121" s="59">
        <f t="shared" si="709"/>
        <v>0</v>
      </c>
      <c r="AY121" s="55">
        <f t="shared" si="710"/>
        <v>0</v>
      </c>
      <c r="AZ121" s="59">
        <f t="shared" si="711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12"/>
        <v>0.91</v>
      </c>
      <c r="BH121" s="55">
        <f t="shared" si="712"/>
        <v>0.89</v>
      </c>
      <c r="BI121" s="55">
        <f t="shared" si="712"/>
        <v>0.87</v>
      </c>
      <c r="BJ121" s="55">
        <f t="shared" si="712"/>
        <v>0.85</v>
      </c>
      <c r="BK121" s="55">
        <f t="shared" si="712"/>
        <v>0.83</v>
      </c>
      <c r="BL121" s="55">
        <f t="shared" si="712"/>
        <v>0.80999999999999994</v>
      </c>
      <c r="BM121" s="55">
        <f t="shared" si="712"/>
        <v>0.78999999999999992</v>
      </c>
      <c r="BN121" s="55">
        <f t="shared" si="712"/>
        <v>0.76999999999999991</v>
      </c>
      <c r="BO121" s="55">
        <f t="shared" si="712"/>
        <v>0.74999999999999989</v>
      </c>
      <c r="BP121" s="55">
        <f t="shared" si="712"/>
        <v>0.72999999999999987</v>
      </c>
      <c r="BQ121" s="55">
        <f t="shared" si="712"/>
        <v>0.70999999999999985</v>
      </c>
      <c r="BR121" s="55">
        <f t="shared" si="712"/>
        <v>0.68999999999999984</v>
      </c>
      <c r="BS121" s="55">
        <f t="shared" si="712"/>
        <v>0.66999999999999982</v>
      </c>
      <c r="BT121" s="55">
        <f t="shared" si="712"/>
        <v>0.6499999999999998</v>
      </c>
      <c r="BU121" s="55">
        <f t="shared" si="712"/>
        <v>0.62999999999999978</v>
      </c>
      <c r="BV121" s="55">
        <f t="shared" si="712"/>
        <v>0.60999999999999976</v>
      </c>
      <c r="BW121" s="55">
        <f t="shared" si="712"/>
        <v>0.58999999999999975</v>
      </c>
      <c r="BX121" s="55">
        <f t="shared" si="712"/>
        <v>0.56999999999999973</v>
      </c>
      <c r="BZ121" s="55">
        <f t="shared" si="515"/>
        <v>0</v>
      </c>
      <c r="CA121" s="55">
        <f t="shared" si="516"/>
        <v>0</v>
      </c>
      <c r="CB121" s="59">
        <f t="shared" si="713"/>
        <v>0</v>
      </c>
      <c r="CC121" s="55">
        <f t="shared" si="714"/>
        <v>0</v>
      </c>
      <c r="CD121" s="59">
        <f t="shared" si="715"/>
        <v>0</v>
      </c>
      <c r="CE121" s="55">
        <f t="shared" si="716"/>
        <v>0</v>
      </c>
      <c r="CF121" s="59">
        <f t="shared" si="717"/>
        <v>0</v>
      </c>
      <c r="CG121" s="55">
        <f t="shared" si="718"/>
        <v>0</v>
      </c>
      <c r="CH121" s="59">
        <f t="shared" si="719"/>
        <v>0</v>
      </c>
      <c r="CI121" s="57">
        <f t="shared" si="720"/>
        <v>0</v>
      </c>
      <c r="CJ121" s="59">
        <f t="shared" si="721"/>
        <v>0</v>
      </c>
      <c r="CK121" s="55">
        <f t="shared" si="722"/>
        <v>0</v>
      </c>
      <c r="CL121" s="59">
        <f t="shared" si="723"/>
        <v>0</v>
      </c>
      <c r="CM121" s="57">
        <f t="shared" si="724"/>
        <v>0</v>
      </c>
      <c r="CN121" s="59">
        <f t="shared" si="725"/>
        <v>0</v>
      </c>
      <c r="CO121" s="60">
        <f t="shared" si="726"/>
        <v>0</v>
      </c>
      <c r="CP121" s="59">
        <f t="shared" si="727"/>
        <v>0</v>
      </c>
      <c r="CQ121" s="57">
        <f t="shared" si="728"/>
        <v>0</v>
      </c>
      <c r="CR121" s="59">
        <f t="shared" si="729"/>
        <v>0</v>
      </c>
      <c r="CS121" s="55">
        <f t="shared" si="730"/>
        <v>0</v>
      </c>
      <c r="CT121" s="59">
        <f t="shared" si="731"/>
        <v>0</v>
      </c>
      <c r="CU121" s="60">
        <f t="shared" si="732"/>
        <v>0</v>
      </c>
      <c r="CV121" s="59">
        <f t="shared" si="733"/>
        <v>0</v>
      </c>
      <c r="CW121" s="60">
        <f t="shared" si="734"/>
        <v>0</v>
      </c>
      <c r="CX121" s="59">
        <f t="shared" si="735"/>
        <v>0</v>
      </c>
      <c r="CY121" s="60">
        <f t="shared" si="736"/>
        <v>0</v>
      </c>
      <c r="CZ121" s="59">
        <f t="shared" si="737"/>
        <v>0</v>
      </c>
      <c r="DA121" s="55">
        <f t="shared" si="738"/>
        <v>0</v>
      </c>
      <c r="DB121" s="59">
        <f t="shared" si="739"/>
        <v>0</v>
      </c>
      <c r="DC121" s="60">
        <f t="shared" si="740"/>
        <v>0</v>
      </c>
      <c r="DD121" s="59">
        <f t="shared" si="741"/>
        <v>0</v>
      </c>
      <c r="DE121" s="60">
        <f t="shared" si="742"/>
        <v>0</v>
      </c>
      <c r="DF121" s="59">
        <f t="shared" si="743"/>
        <v>0</v>
      </c>
      <c r="DG121" s="60">
        <f t="shared" si="744"/>
        <v>0</v>
      </c>
      <c r="DH121" s="59">
        <f t="shared" si="745"/>
        <v>0</v>
      </c>
      <c r="DI121" s="60">
        <f t="shared" si="746"/>
        <v>0</v>
      </c>
      <c r="DJ121" s="59">
        <f t="shared" si="747"/>
        <v>0</v>
      </c>
      <c r="DK121" s="55">
        <f t="shared" si="748"/>
        <v>0</v>
      </c>
      <c r="DL121" s="59">
        <f t="shared" si="749"/>
        <v>0</v>
      </c>
      <c r="DM121" s="60">
        <f t="shared" si="750"/>
        <v>0</v>
      </c>
      <c r="DN121" s="59">
        <f t="shared" si="751"/>
        <v>0</v>
      </c>
      <c r="DO121" s="60">
        <f t="shared" si="752"/>
        <v>0</v>
      </c>
      <c r="DP121" s="59">
        <f t="shared" si="753"/>
        <v>0</v>
      </c>
      <c r="DQ121" s="55">
        <f t="shared" si="754"/>
        <v>0</v>
      </c>
      <c r="DR121" s="59">
        <f t="shared" si="755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62"/>
        <v>0.91</v>
      </c>
      <c r="DZ121" s="55">
        <f t="shared" si="662"/>
        <v>0.89</v>
      </c>
      <c r="EA121" s="55">
        <f t="shared" si="662"/>
        <v>0.87</v>
      </c>
      <c r="EB121" s="55">
        <f t="shared" si="662"/>
        <v>0.85</v>
      </c>
      <c r="EC121" s="55">
        <f t="shared" si="662"/>
        <v>0.83</v>
      </c>
      <c r="ED121" s="55">
        <f t="shared" si="662"/>
        <v>0.80999999999999994</v>
      </c>
      <c r="EE121" s="55">
        <f t="shared" si="662"/>
        <v>0.78999999999999992</v>
      </c>
      <c r="EF121" s="55">
        <f t="shared" si="662"/>
        <v>0.76999999999999991</v>
      </c>
      <c r="EG121" s="55">
        <f t="shared" si="662"/>
        <v>0.74999999999999989</v>
      </c>
      <c r="EH121" s="55">
        <f t="shared" si="662"/>
        <v>0.72999999999999987</v>
      </c>
      <c r="EI121" s="55">
        <f t="shared" si="662"/>
        <v>0.70999999999999985</v>
      </c>
      <c r="EJ121" s="55">
        <f t="shared" si="662"/>
        <v>0.68999999999999984</v>
      </c>
      <c r="EK121" s="55">
        <f t="shared" si="662"/>
        <v>0.66999999999999982</v>
      </c>
      <c r="EL121" s="55">
        <f t="shared" si="662"/>
        <v>0.6499999999999998</v>
      </c>
      <c r="EM121" s="55">
        <f t="shared" si="662"/>
        <v>0.62999999999999978</v>
      </c>
      <c r="EN121" s="55">
        <f t="shared" si="662"/>
        <v>0.60999999999999976</v>
      </c>
      <c r="EO121" s="55">
        <f t="shared" si="662"/>
        <v>0.58999999999999975</v>
      </c>
      <c r="EP121" s="55">
        <f t="shared" si="662"/>
        <v>0.56999999999999973</v>
      </c>
      <c r="ER121" s="55">
        <f t="shared" si="656"/>
        <v>0</v>
      </c>
      <c r="ES121" s="55">
        <f t="shared" si="517"/>
        <v>0</v>
      </c>
      <c r="ET121" s="59">
        <f t="shared" si="756"/>
        <v>0</v>
      </c>
      <c r="EU121" s="55">
        <f t="shared" si="757"/>
        <v>0</v>
      </c>
      <c r="EV121" s="59">
        <f t="shared" si="758"/>
        <v>0</v>
      </c>
      <c r="EW121" s="55">
        <f t="shared" si="759"/>
        <v>0</v>
      </c>
      <c r="EX121" s="59">
        <f t="shared" si="760"/>
        <v>0</v>
      </c>
      <c r="EY121" s="55">
        <f t="shared" si="761"/>
        <v>0</v>
      </c>
      <c r="EZ121" s="59">
        <f t="shared" si="762"/>
        <v>0</v>
      </c>
      <c r="FA121" s="57">
        <f t="shared" si="763"/>
        <v>0</v>
      </c>
      <c r="FB121" s="59">
        <f t="shared" si="764"/>
        <v>0</v>
      </c>
      <c r="FC121" s="55">
        <f t="shared" si="765"/>
        <v>0</v>
      </c>
      <c r="FD121" s="59">
        <f t="shared" si="766"/>
        <v>0</v>
      </c>
      <c r="FE121" s="57">
        <f t="shared" si="767"/>
        <v>0</v>
      </c>
      <c r="FF121" s="59">
        <f t="shared" si="768"/>
        <v>0</v>
      </c>
      <c r="FG121" s="60">
        <f t="shared" si="769"/>
        <v>0</v>
      </c>
      <c r="FH121" s="59">
        <f t="shared" si="770"/>
        <v>0</v>
      </c>
      <c r="FI121" s="57">
        <f t="shared" si="771"/>
        <v>0</v>
      </c>
      <c r="FJ121" s="59">
        <f t="shared" si="772"/>
        <v>0</v>
      </c>
      <c r="FK121" s="55">
        <f t="shared" si="773"/>
        <v>0</v>
      </c>
      <c r="FL121" s="59">
        <f t="shared" si="774"/>
        <v>0</v>
      </c>
      <c r="FM121" s="60">
        <f t="shared" si="775"/>
        <v>0</v>
      </c>
      <c r="FN121" s="59">
        <f t="shared" si="776"/>
        <v>0</v>
      </c>
      <c r="FO121" s="60">
        <f t="shared" si="777"/>
        <v>0</v>
      </c>
      <c r="FP121" s="59">
        <f t="shared" si="778"/>
        <v>0</v>
      </c>
      <c r="FQ121" s="60">
        <f t="shared" si="779"/>
        <v>0</v>
      </c>
      <c r="FR121" s="59">
        <f t="shared" si="780"/>
        <v>0</v>
      </c>
      <c r="FS121" s="55">
        <f t="shared" si="781"/>
        <v>0</v>
      </c>
      <c r="FT121" s="59">
        <f t="shared" si="782"/>
        <v>0</v>
      </c>
      <c r="FU121" s="60">
        <f t="shared" si="783"/>
        <v>0</v>
      </c>
      <c r="FV121" s="59">
        <f t="shared" si="784"/>
        <v>0</v>
      </c>
      <c r="FW121" s="60">
        <f t="shared" si="785"/>
        <v>0</v>
      </c>
      <c r="FX121" s="59">
        <f t="shared" si="786"/>
        <v>0</v>
      </c>
      <c r="FY121" s="60">
        <f t="shared" si="787"/>
        <v>0</v>
      </c>
      <c r="FZ121" s="59">
        <f t="shared" si="788"/>
        <v>0</v>
      </c>
      <c r="GA121" s="60">
        <f t="shared" si="789"/>
        <v>0</v>
      </c>
      <c r="GB121" s="59">
        <f t="shared" si="790"/>
        <v>0</v>
      </c>
      <c r="GC121" s="55">
        <f t="shared" si="791"/>
        <v>0</v>
      </c>
      <c r="GD121" s="59">
        <f t="shared" si="792"/>
        <v>0</v>
      </c>
      <c r="GE121" s="60">
        <f t="shared" si="793"/>
        <v>0</v>
      </c>
      <c r="GF121" s="59">
        <f t="shared" si="794"/>
        <v>0</v>
      </c>
      <c r="GG121" s="60">
        <f t="shared" si="795"/>
        <v>0</v>
      </c>
      <c r="GH121" s="59">
        <f t="shared" si="796"/>
        <v>0</v>
      </c>
      <c r="GI121" s="55">
        <f t="shared" si="797"/>
        <v>0</v>
      </c>
      <c r="GJ121" s="59">
        <f t="shared" si="798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63"/>
        <v>0.91</v>
      </c>
      <c r="GR121" s="55">
        <f t="shared" si="663"/>
        <v>0.89</v>
      </c>
      <c r="GS121" s="55">
        <f t="shared" si="663"/>
        <v>0.87</v>
      </c>
      <c r="GT121" s="55">
        <f t="shared" si="663"/>
        <v>0.85</v>
      </c>
      <c r="GU121" s="55">
        <f t="shared" si="663"/>
        <v>0.83</v>
      </c>
      <c r="GV121" s="55">
        <f t="shared" si="663"/>
        <v>0.80999999999999994</v>
      </c>
      <c r="GW121" s="55">
        <f t="shared" si="663"/>
        <v>0.78999999999999992</v>
      </c>
      <c r="GX121" s="55">
        <f t="shared" si="663"/>
        <v>0.76999999999999991</v>
      </c>
      <c r="GY121" s="55">
        <f t="shared" si="663"/>
        <v>0.74999999999999989</v>
      </c>
      <c r="GZ121" s="55">
        <f t="shared" si="663"/>
        <v>0.72999999999999987</v>
      </c>
      <c r="HA121" s="55">
        <f t="shared" si="663"/>
        <v>0.70999999999999985</v>
      </c>
      <c r="HB121" s="55">
        <f t="shared" si="663"/>
        <v>0.68999999999999984</v>
      </c>
      <c r="HC121" s="55">
        <f t="shared" si="663"/>
        <v>0.66999999999999982</v>
      </c>
      <c r="HD121" s="55">
        <f t="shared" si="663"/>
        <v>0.6499999999999998</v>
      </c>
      <c r="HE121" s="55">
        <f t="shared" si="663"/>
        <v>0.62999999999999978</v>
      </c>
      <c r="HF121" s="55">
        <f t="shared" si="663"/>
        <v>0.60999999999999976</v>
      </c>
      <c r="HG121" s="55">
        <f t="shared" si="663"/>
        <v>0.58999999999999975</v>
      </c>
      <c r="HH121" s="55">
        <f t="shared" si="663"/>
        <v>0.56999999999999973</v>
      </c>
    </row>
    <row r="122" spans="1:216" x14ac:dyDescent="0.3">
      <c r="A122" s="2">
        <v>7</v>
      </c>
      <c r="C122" s="38" t="s">
        <v>46</v>
      </c>
      <c r="D122" s="42">
        <f>TRUNC(7388,-1)</f>
        <v>7380</v>
      </c>
      <c r="E122" s="71">
        <f t="shared" si="668"/>
        <v>24390</v>
      </c>
      <c r="H122" s="55">
        <f t="shared" si="669"/>
        <v>8118.0000000000009</v>
      </c>
      <c r="I122" s="55">
        <f t="shared" si="513"/>
        <v>8118.0000000000009</v>
      </c>
      <c r="J122" s="59">
        <f t="shared" si="514"/>
        <v>26836.484400000005</v>
      </c>
      <c r="K122" s="55">
        <f t="shared" si="670"/>
        <v>7874.4600000000009</v>
      </c>
      <c r="L122" s="59">
        <f t="shared" si="671"/>
        <v>26031.389868000002</v>
      </c>
      <c r="M122" s="55">
        <f t="shared" si="672"/>
        <v>7712.1</v>
      </c>
      <c r="N122" s="59">
        <f t="shared" si="673"/>
        <v>25494.660180000003</v>
      </c>
      <c r="O122" s="55">
        <f t="shared" si="674"/>
        <v>7549.7400000000016</v>
      </c>
      <c r="P122" s="59">
        <f t="shared" si="675"/>
        <v>24957.930492000007</v>
      </c>
      <c r="Q122" s="57">
        <f t="shared" si="676"/>
        <v>7387.380000000001</v>
      </c>
      <c r="R122" s="59">
        <f t="shared" si="677"/>
        <v>24421.200804000004</v>
      </c>
      <c r="S122" s="55">
        <f t="shared" si="678"/>
        <v>7225.0200000000013</v>
      </c>
      <c r="T122" s="59">
        <f t="shared" si="679"/>
        <v>23884.471116000004</v>
      </c>
      <c r="U122" s="57">
        <f t="shared" si="680"/>
        <v>7062.6600000000008</v>
      </c>
      <c r="V122" s="59">
        <f t="shared" si="681"/>
        <v>23347.741428000005</v>
      </c>
      <c r="W122" s="60">
        <f t="shared" si="682"/>
        <v>6900.3</v>
      </c>
      <c r="X122" s="59">
        <f t="shared" si="683"/>
        <v>22811.011740000002</v>
      </c>
      <c r="Y122" s="57">
        <f t="shared" si="684"/>
        <v>6737.9400000000005</v>
      </c>
      <c r="Z122" s="59">
        <f t="shared" si="685"/>
        <v>22274.282052000002</v>
      </c>
      <c r="AA122" s="55">
        <f t="shared" si="686"/>
        <v>6575.58</v>
      </c>
      <c r="AB122" s="59">
        <f t="shared" si="687"/>
        <v>21737.552363999999</v>
      </c>
      <c r="AC122" s="60">
        <f t="shared" si="688"/>
        <v>6413.22</v>
      </c>
      <c r="AD122" s="59">
        <f t="shared" si="689"/>
        <v>21200.822676</v>
      </c>
      <c r="AE122" s="60">
        <f t="shared" si="690"/>
        <v>6250.86</v>
      </c>
      <c r="AF122" s="59">
        <f t="shared" si="691"/>
        <v>20664.092988</v>
      </c>
      <c r="AG122" s="60">
        <f t="shared" si="692"/>
        <v>6088.5</v>
      </c>
      <c r="AH122" s="59">
        <f t="shared" si="693"/>
        <v>20127.363300000001</v>
      </c>
      <c r="AI122" s="55">
        <f t="shared" si="694"/>
        <v>5926.1399999999994</v>
      </c>
      <c r="AJ122" s="59">
        <f t="shared" si="695"/>
        <v>19590.633611999998</v>
      </c>
      <c r="AK122" s="60">
        <f t="shared" si="696"/>
        <v>5763.78</v>
      </c>
      <c r="AL122" s="59">
        <f t="shared" si="697"/>
        <v>19053.903923999998</v>
      </c>
      <c r="AM122" s="60">
        <f t="shared" si="698"/>
        <v>5601.4199999999992</v>
      </c>
      <c r="AN122" s="59">
        <f t="shared" si="699"/>
        <v>18517.174235999999</v>
      </c>
      <c r="AO122" s="60">
        <f t="shared" si="700"/>
        <v>5439.0599999999995</v>
      </c>
      <c r="AP122" s="59">
        <f t="shared" si="701"/>
        <v>17980.444547999999</v>
      </c>
      <c r="AQ122" s="60">
        <f t="shared" si="702"/>
        <v>5276.6999999999989</v>
      </c>
      <c r="AR122" s="59">
        <f t="shared" si="703"/>
        <v>17443.714859999996</v>
      </c>
      <c r="AS122" s="55">
        <f t="shared" si="704"/>
        <v>5114.3399999999992</v>
      </c>
      <c r="AT122" s="59">
        <f t="shared" si="705"/>
        <v>16906.985171999997</v>
      </c>
      <c r="AU122" s="60">
        <f t="shared" si="706"/>
        <v>4951.9799999999987</v>
      </c>
      <c r="AV122" s="59">
        <f t="shared" si="707"/>
        <v>16370.255483999996</v>
      </c>
      <c r="AW122" s="60">
        <f t="shared" si="708"/>
        <v>4789.6199999999981</v>
      </c>
      <c r="AX122" s="59">
        <f t="shared" si="709"/>
        <v>15833.525795999994</v>
      </c>
      <c r="AY122" s="55">
        <f t="shared" si="710"/>
        <v>4627.2599999999984</v>
      </c>
      <c r="AZ122" s="59">
        <f t="shared" si="711"/>
        <v>15296.796107999995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12"/>
        <v>0.91</v>
      </c>
      <c r="BH122" s="55">
        <f t="shared" si="712"/>
        <v>0.89</v>
      </c>
      <c r="BI122" s="55">
        <f t="shared" si="712"/>
        <v>0.87</v>
      </c>
      <c r="BJ122" s="55">
        <f t="shared" si="712"/>
        <v>0.85</v>
      </c>
      <c r="BK122" s="55">
        <f t="shared" si="712"/>
        <v>0.83</v>
      </c>
      <c r="BL122" s="55">
        <f t="shared" si="712"/>
        <v>0.80999999999999994</v>
      </c>
      <c r="BM122" s="55">
        <f t="shared" si="712"/>
        <v>0.78999999999999992</v>
      </c>
      <c r="BN122" s="55">
        <f t="shared" si="712"/>
        <v>0.76999999999999991</v>
      </c>
      <c r="BO122" s="55">
        <f t="shared" si="712"/>
        <v>0.74999999999999989</v>
      </c>
      <c r="BP122" s="55">
        <f t="shared" si="712"/>
        <v>0.72999999999999987</v>
      </c>
      <c r="BQ122" s="55">
        <f t="shared" si="712"/>
        <v>0.70999999999999985</v>
      </c>
      <c r="BR122" s="55">
        <f t="shared" si="712"/>
        <v>0.68999999999999984</v>
      </c>
      <c r="BS122" s="55">
        <f t="shared" si="712"/>
        <v>0.66999999999999982</v>
      </c>
      <c r="BT122" s="55">
        <f t="shared" si="712"/>
        <v>0.6499999999999998</v>
      </c>
      <c r="BU122" s="55">
        <f t="shared" si="712"/>
        <v>0.62999999999999978</v>
      </c>
      <c r="BV122" s="55">
        <f t="shared" si="712"/>
        <v>0.60999999999999976</v>
      </c>
      <c r="BW122" s="55">
        <f t="shared" si="712"/>
        <v>0.58999999999999975</v>
      </c>
      <c r="BX122" s="55">
        <f t="shared" si="712"/>
        <v>0.56999999999999973</v>
      </c>
      <c r="BZ122" s="55">
        <f t="shared" si="515"/>
        <v>7387.380000000001</v>
      </c>
      <c r="CA122" s="55">
        <f t="shared" si="516"/>
        <v>7387.380000000001</v>
      </c>
      <c r="CB122" s="59">
        <f t="shared" si="713"/>
        <v>24421.200804000004</v>
      </c>
      <c r="CC122" s="55">
        <f t="shared" si="714"/>
        <v>7165.758600000001</v>
      </c>
      <c r="CD122" s="59">
        <f t="shared" si="715"/>
        <v>23688.564779880006</v>
      </c>
      <c r="CE122" s="55">
        <f t="shared" si="716"/>
        <v>7018.0110000000004</v>
      </c>
      <c r="CF122" s="59">
        <f t="shared" si="717"/>
        <v>23200.140763800002</v>
      </c>
      <c r="CG122" s="55">
        <f t="shared" si="718"/>
        <v>6870.2634000000016</v>
      </c>
      <c r="CH122" s="59">
        <f t="shared" si="719"/>
        <v>22711.716747720006</v>
      </c>
      <c r="CI122" s="57">
        <f t="shared" si="720"/>
        <v>6722.515800000001</v>
      </c>
      <c r="CJ122" s="59">
        <f t="shared" si="721"/>
        <v>22223.292731640006</v>
      </c>
      <c r="CK122" s="55">
        <f t="shared" si="722"/>
        <v>6574.7682000000013</v>
      </c>
      <c r="CL122" s="59">
        <f t="shared" si="723"/>
        <v>21734.868715560006</v>
      </c>
      <c r="CM122" s="57">
        <f t="shared" si="724"/>
        <v>6427.0206000000007</v>
      </c>
      <c r="CN122" s="59">
        <f t="shared" si="725"/>
        <v>21246.444699480002</v>
      </c>
      <c r="CO122" s="60">
        <f t="shared" si="726"/>
        <v>6279.273000000001</v>
      </c>
      <c r="CP122" s="59">
        <f t="shared" si="727"/>
        <v>20758.020683400006</v>
      </c>
      <c r="CQ122" s="57">
        <f t="shared" si="728"/>
        <v>6131.5254000000004</v>
      </c>
      <c r="CR122" s="59">
        <f t="shared" si="729"/>
        <v>20269.596667320002</v>
      </c>
      <c r="CS122" s="55">
        <f t="shared" si="730"/>
        <v>5983.7778000000008</v>
      </c>
      <c r="CT122" s="59">
        <f t="shared" si="731"/>
        <v>19781.172651240002</v>
      </c>
      <c r="CU122" s="60">
        <f t="shared" si="732"/>
        <v>5836.0302000000001</v>
      </c>
      <c r="CV122" s="59">
        <f t="shared" si="733"/>
        <v>19292.748635160002</v>
      </c>
      <c r="CW122" s="60">
        <f t="shared" si="734"/>
        <v>5688.2826000000005</v>
      </c>
      <c r="CX122" s="59">
        <f t="shared" si="735"/>
        <v>18804.324619080002</v>
      </c>
      <c r="CY122" s="60">
        <f t="shared" si="736"/>
        <v>5540.5349999999999</v>
      </c>
      <c r="CZ122" s="59">
        <f t="shared" si="737"/>
        <v>18315.900602999998</v>
      </c>
      <c r="DA122" s="55">
        <f t="shared" si="738"/>
        <v>5392.7874000000002</v>
      </c>
      <c r="DB122" s="59">
        <f t="shared" si="739"/>
        <v>17827.476586920002</v>
      </c>
      <c r="DC122" s="60">
        <f t="shared" si="740"/>
        <v>5245.0397999999996</v>
      </c>
      <c r="DD122" s="59">
        <f t="shared" si="741"/>
        <v>17339.052570839998</v>
      </c>
      <c r="DE122" s="60">
        <f t="shared" si="742"/>
        <v>5097.2921999999999</v>
      </c>
      <c r="DF122" s="59">
        <f t="shared" si="743"/>
        <v>16850.628554759998</v>
      </c>
      <c r="DG122" s="60">
        <f t="shared" si="744"/>
        <v>4949.5445999999993</v>
      </c>
      <c r="DH122" s="59">
        <f t="shared" si="745"/>
        <v>16362.204538679998</v>
      </c>
      <c r="DI122" s="60">
        <f t="shared" si="746"/>
        <v>4801.7969999999996</v>
      </c>
      <c r="DJ122" s="59">
        <f t="shared" si="747"/>
        <v>15873.780522599998</v>
      </c>
      <c r="DK122" s="55">
        <f t="shared" si="748"/>
        <v>4654.049399999999</v>
      </c>
      <c r="DL122" s="59">
        <f t="shared" si="749"/>
        <v>15385.356506519996</v>
      </c>
      <c r="DM122" s="60">
        <f t="shared" si="750"/>
        <v>4506.3017999999993</v>
      </c>
      <c r="DN122" s="59">
        <f t="shared" si="751"/>
        <v>14896.932490439998</v>
      </c>
      <c r="DO122" s="60">
        <f t="shared" si="752"/>
        <v>4358.5541999999987</v>
      </c>
      <c r="DP122" s="59">
        <f t="shared" si="753"/>
        <v>14408.508474359996</v>
      </c>
      <c r="DQ122" s="55">
        <f t="shared" si="754"/>
        <v>4210.806599999999</v>
      </c>
      <c r="DR122" s="59">
        <f t="shared" si="755"/>
        <v>13920.084458279996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62"/>
        <v>0.91</v>
      </c>
      <c r="DZ122" s="55">
        <f t="shared" si="662"/>
        <v>0.89</v>
      </c>
      <c r="EA122" s="55">
        <f t="shared" si="662"/>
        <v>0.87</v>
      </c>
      <c r="EB122" s="55">
        <f t="shared" si="662"/>
        <v>0.85</v>
      </c>
      <c r="EC122" s="55">
        <f t="shared" si="662"/>
        <v>0.83</v>
      </c>
      <c r="ED122" s="55">
        <f t="shared" si="662"/>
        <v>0.80999999999999994</v>
      </c>
      <c r="EE122" s="55">
        <f t="shared" si="662"/>
        <v>0.78999999999999992</v>
      </c>
      <c r="EF122" s="55">
        <f t="shared" si="662"/>
        <v>0.76999999999999991</v>
      </c>
      <c r="EG122" s="55">
        <f t="shared" si="662"/>
        <v>0.74999999999999989</v>
      </c>
      <c r="EH122" s="55">
        <f t="shared" si="662"/>
        <v>0.72999999999999987</v>
      </c>
      <c r="EI122" s="55">
        <f t="shared" si="662"/>
        <v>0.70999999999999985</v>
      </c>
      <c r="EJ122" s="55">
        <f t="shared" si="662"/>
        <v>0.68999999999999984</v>
      </c>
      <c r="EK122" s="55">
        <f t="shared" si="662"/>
        <v>0.66999999999999982</v>
      </c>
      <c r="EL122" s="55">
        <f t="shared" si="662"/>
        <v>0.6499999999999998</v>
      </c>
      <c r="EM122" s="55">
        <f t="shared" si="662"/>
        <v>0.62999999999999978</v>
      </c>
      <c r="EN122" s="55">
        <f t="shared" si="662"/>
        <v>0.60999999999999976</v>
      </c>
      <c r="EO122" s="55">
        <f t="shared" si="662"/>
        <v>0.58999999999999975</v>
      </c>
      <c r="EP122" s="55">
        <f t="shared" si="662"/>
        <v>0.56999999999999973</v>
      </c>
      <c r="ER122" s="55">
        <f t="shared" si="656"/>
        <v>6722.515800000001</v>
      </c>
      <c r="ES122" s="55">
        <f t="shared" si="517"/>
        <v>6722.515800000001</v>
      </c>
      <c r="ET122" s="59">
        <f t="shared" si="756"/>
        <v>22223.292731640006</v>
      </c>
      <c r="EU122" s="55">
        <f t="shared" si="757"/>
        <v>6520.8403260000005</v>
      </c>
      <c r="EV122" s="59">
        <f t="shared" si="758"/>
        <v>21556.593949690803</v>
      </c>
      <c r="EW122" s="55">
        <f t="shared" si="759"/>
        <v>6386.390010000001</v>
      </c>
      <c r="EX122" s="59">
        <f t="shared" si="760"/>
        <v>21112.128095058004</v>
      </c>
      <c r="EY122" s="55">
        <f t="shared" si="761"/>
        <v>6251.9396940000015</v>
      </c>
      <c r="EZ122" s="59">
        <f t="shared" si="762"/>
        <v>20667.662240425205</v>
      </c>
      <c r="FA122" s="57">
        <f t="shared" si="763"/>
        <v>6117.4893780000011</v>
      </c>
      <c r="FB122" s="59">
        <f t="shared" si="764"/>
        <v>20223.196385792406</v>
      </c>
      <c r="FC122" s="55">
        <f t="shared" si="765"/>
        <v>5983.0390620000007</v>
      </c>
      <c r="FD122" s="59">
        <f t="shared" si="766"/>
        <v>19778.730531159603</v>
      </c>
      <c r="FE122" s="57">
        <f t="shared" si="767"/>
        <v>5848.5887460000013</v>
      </c>
      <c r="FF122" s="59">
        <f t="shared" si="768"/>
        <v>19334.264676526804</v>
      </c>
      <c r="FG122" s="60">
        <f t="shared" si="769"/>
        <v>5714.1384300000009</v>
      </c>
      <c r="FH122" s="59">
        <f t="shared" si="770"/>
        <v>18889.798821894005</v>
      </c>
      <c r="FI122" s="57">
        <f t="shared" si="771"/>
        <v>5579.6881140000005</v>
      </c>
      <c r="FJ122" s="59">
        <f t="shared" si="772"/>
        <v>18445.332967261202</v>
      </c>
      <c r="FK122" s="55">
        <f t="shared" si="773"/>
        <v>5445.2377980000001</v>
      </c>
      <c r="FL122" s="59">
        <f t="shared" si="774"/>
        <v>18000.867112628403</v>
      </c>
      <c r="FM122" s="60">
        <f t="shared" si="775"/>
        <v>5310.7874820000006</v>
      </c>
      <c r="FN122" s="59">
        <f t="shared" si="776"/>
        <v>17556.401257995603</v>
      </c>
      <c r="FO122" s="60">
        <f t="shared" si="777"/>
        <v>5176.3371660000003</v>
      </c>
      <c r="FP122" s="59">
        <f t="shared" si="778"/>
        <v>17111.935403362801</v>
      </c>
      <c r="FQ122" s="60">
        <f t="shared" si="779"/>
        <v>5041.8868499999999</v>
      </c>
      <c r="FR122" s="59">
        <f t="shared" si="780"/>
        <v>16667.469548730001</v>
      </c>
      <c r="FS122" s="55">
        <f t="shared" si="781"/>
        <v>4907.4365339999995</v>
      </c>
      <c r="FT122" s="59">
        <f t="shared" si="782"/>
        <v>16223.003694097199</v>
      </c>
      <c r="FU122" s="60">
        <f t="shared" si="783"/>
        <v>4772.986218</v>
      </c>
      <c r="FV122" s="59">
        <f t="shared" si="784"/>
        <v>15778.537839464401</v>
      </c>
      <c r="FW122" s="60">
        <f t="shared" si="785"/>
        <v>4638.5359019999996</v>
      </c>
      <c r="FX122" s="59">
        <f t="shared" si="786"/>
        <v>15334.071984831598</v>
      </c>
      <c r="FY122" s="60">
        <f t="shared" si="787"/>
        <v>4504.0855859999992</v>
      </c>
      <c r="FZ122" s="59">
        <f t="shared" si="788"/>
        <v>14889.606130198797</v>
      </c>
      <c r="GA122" s="60">
        <f t="shared" si="789"/>
        <v>4369.6352699999998</v>
      </c>
      <c r="GB122" s="59">
        <f t="shared" si="790"/>
        <v>14445.140275566</v>
      </c>
      <c r="GC122" s="55">
        <f t="shared" si="791"/>
        <v>4235.1849539999994</v>
      </c>
      <c r="GD122" s="59">
        <f t="shared" si="792"/>
        <v>14000.674420933199</v>
      </c>
      <c r="GE122" s="60">
        <f t="shared" si="793"/>
        <v>4100.734637999999</v>
      </c>
      <c r="GF122" s="59">
        <f t="shared" si="794"/>
        <v>13556.208566300396</v>
      </c>
      <c r="GG122" s="60">
        <f t="shared" si="795"/>
        <v>3966.2843219999991</v>
      </c>
      <c r="GH122" s="59">
        <f t="shared" si="796"/>
        <v>13111.742711667597</v>
      </c>
      <c r="GI122" s="55">
        <f t="shared" si="797"/>
        <v>3831.8340059999987</v>
      </c>
      <c r="GJ122" s="59">
        <f t="shared" si="798"/>
        <v>12667.276857034796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63"/>
        <v>0.91</v>
      </c>
      <c r="GR122" s="55">
        <f t="shared" si="663"/>
        <v>0.89</v>
      </c>
      <c r="GS122" s="55">
        <f t="shared" si="663"/>
        <v>0.87</v>
      </c>
      <c r="GT122" s="55">
        <f t="shared" si="663"/>
        <v>0.85</v>
      </c>
      <c r="GU122" s="55">
        <f t="shared" si="663"/>
        <v>0.83</v>
      </c>
      <c r="GV122" s="55">
        <f t="shared" si="663"/>
        <v>0.80999999999999994</v>
      </c>
      <c r="GW122" s="55">
        <f t="shared" si="663"/>
        <v>0.78999999999999992</v>
      </c>
      <c r="GX122" s="55">
        <f t="shared" si="663"/>
        <v>0.76999999999999991</v>
      </c>
      <c r="GY122" s="55">
        <f t="shared" si="663"/>
        <v>0.74999999999999989</v>
      </c>
      <c r="GZ122" s="55">
        <f t="shared" si="663"/>
        <v>0.72999999999999987</v>
      </c>
      <c r="HA122" s="55">
        <f t="shared" si="663"/>
        <v>0.70999999999999985</v>
      </c>
      <c r="HB122" s="55">
        <f t="shared" si="663"/>
        <v>0.68999999999999984</v>
      </c>
      <c r="HC122" s="55">
        <f t="shared" si="663"/>
        <v>0.66999999999999982</v>
      </c>
      <c r="HD122" s="55">
        <f t="shared" si="663"/>
        <v>0.6499999999999998</v>
      </c>
      <c r="HE122" s="55">
        <f t="shared" si="663"/>
        <v>0.62999999999999978</v>
      </c>
      <c r="HF122" s="55">
        <f t="shared" si="663"/>
        <v>0.60999999999999976</v>
      </c>
      <c r="HG122" s="55">
        <f t="shared" si="663"/>
        <v>0.58999999999999975</v>
      </c>
      <c r="HH122" s="55">
        <f t="shared" si="663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8"/>
        <v>0</v>
      </c>
      <c r="H123" s="55">
        <f t="shared" si="669"/>
        <v>0</v>
      </c>
      <c r="I123" s="55">
        <f t="shared" si="513"/>
        <v>0</v>
      </c>
      <c r="J123" s="59">
        <f t="shared" si="514"/>
        <v>0</v>
      </c>
      <c r="K123" s="55">
        <f t="shared" si="670"/>
        <v>0</v>
      </c>
      <c r="L123" s="59">
        <f t="shared" si="671"/>
        <v>0</v>
      </c>
      <c r="M123" s="55">
        <f t="shared" si="672"/>
        <v>0</v>
      </c>
      <c r="N123" s="59">
        <f t="shared" si="673"/>
        <v>0</v>
      </c>
      <c r="O123" s="55">
        <f t="shared" si="674"/>
        <v>0</v>
      </c>
      <c r="P123" s="59">
        <f t="shared" si="675"/>
        <v>0</v>
      </c>
      <c r="Q123" s="57">
        <f t="shared" si="676"/>
        <v>0</v>
      </c>
      <c r="R123" s="59">
        <f t="shared" si="677"/>
        <v>0</v>
      </c>
      <c r="S123" s="55">
        <f t="shared" si="678"/>
        <v>0</v>
      </c>
      <c r="T123" s="59">
        <f t="shared" si="679"/>
        <v>0</v>
      </c>
      <c r="U123" s="57">
        <f t="shared" si="680"/>
        <v>0</v>
      </c>
      <c r="V123" s="59">
        <f t="shared" si="681"/>
        <v>0</v>
      </c>
      <c r="W123" s="60">
        <f t="shared" si="682"/>
        <v>0</v>
      </c>
      <c r="X123" s="59">
        <f t="shared" si="683"/>
        <v>0</v>
      </c>
      <c r="Y123" s="57">
        <f t="shared" si="684"/>
        <v>0</v>
      </c>
      <c r="Z123" s="59">
        <f t="shared" si="685"/>
        <v>0</v>
      </c>
      <c r="AA123" s="55">
        <f t="shared" si="686"/>
        <v>0</v>
      </c>
      <c r="AB123" s="59">
        <f t="shared" si="687"/>
        <v>0</v>
      </c>
      <c r="AC123" s="60">
        <f t="shared" si="688"/>
        <v>0</v>
      </c>
      <c r="AD123" s="59">
        <f t="shared" si="689"/>
        <v>0</v>
      </c>
      <c r="AE123" s="60">
        <f t="shared" si="690"/>
        <v>0</v>
      </c>
      <c r="AF123" s="59">
        <f t="shared" si="691"/>
        <v>0</v>
      </c>
      <c r="AG123" s="60">
        <f t="shared" si="692"/>
        <v>0</v>
      </c>
      <c r="AH123" s="59">
        <f t="shared" si="693"/>
        <v>0</v>
      </c>
      <c r="AI123" s="55">
        <f t="shared" si="694"/>
        <v>0</v>
      </c>
      <c r="AJ123" s="59">
        <f t="shared" si="695"/>
        <v>0</v>
      </c>
      <c r="AK123" s="60">
        <f t="shared" si="696"/>
        <v>0</v>
      </c>
      <c r="AL123" s="59">
        <f t="shared" si="697"/>
        <v>0</v>
      </c>
      <c r="AM123" s="60">
        <f t="shared" si="698"/>
        <v>0</v>
      </c>
      <c r="AN123" s="59">
        <f t="shared" si="699"/>
        <v>0</v>
      </c>
      <c r="AO123" s="60">
        <f t="shared" si="700"/>
        <v>0</v>
      </c>
      <c r="AP123" s="59">
        <f t="shared" si="701"/>
        <v>0</v>
      </c>
      <c r="AQ123" s="60">
        <f t="shared" si="702"/>
        <v>0</v>
      </c>
      <c r="AR123" s="59">
        <f t="shared" si="703"/>
        <v>0</v>
      </c>
      <c r="AS123" s="55">
        <f t="shared" si="704"/>
        <v>0</v>
      </c>
      <c r="AT123" s="59">
        <f t="shared" si="705"/>
        <v>0</v>
      </c>
      <c r="AU123" s="60">
        <f t="shared" si="706"/>
        <v>0</v>
      </c>
      <c r="AV123" s="59">
        <f t="shared" si="707"/>
        <v>0</v>
      </c>
      <c r="AW123" s="60">
        <f t="shared" si="708"/>
        <v>0</v>
      </c>
      <c r="AX123" s="59">
        <f t="shared" si="709"/>
        <v>0</v>
      </c>
      <c r="AY123" s="55">
        <f t="shared" si="710"/>
        <v>0</v>
      </c>
      <c r="AZ123" s="59">
        <f t="shared" si="711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12"/>
        <v>0.91</v>
      </c>
      <c r="BH123" s="55">
        <f t="shared" si="712"/>
        <v>0.89</v>
      </c>
      <c r="BI123" s="55">
        <f t="shared" si="712"/>
        <v>0.87</v>
      </c>
      <c r="BJ123" s="55">
        <f t="shared" si="712"/>
        <v>0.85</v>
      </c>
      <c r="BK123" s="55">
        <f t="shared" si="712"/>
        <v>0.83</v>
      </c>
      <c r="BL123" s="55">
        <f t="shared" si="712"/>
        <v>0.80999999999999994</v>
      </c>
      <c r="BM123" s="55">
        <f t="shared" si="712"/>
        <v>0.78999999999999992</v>
      </c>
      <c r="BN123" s="55">
        <f t="shared" si="712"/>
        <v>0.76999999999999991</v>
      </c>
      <c r="BO123" s="55">
        <f t="shared" si="712"/>
        <v>0.74999999999999989</v>
      </c>
      <c r="BP123" s="55">
        <f t="shared" si="712"/>
        <v>0.72999999999999987</v>
      </c>
      <c r="BQ123" s="55">
        <f t="shared" si="712"/>
        <v>0.70999999999999985</v>
      </c>
      <c r="BR123" s="55">
        <f t="shared" si="712"/>
        <v>0.68999999999999984</v>
      </c>
      <c r="BS123" s="55">
        <f t="shared" si="712"/>
        <v>0.66999999999999982</v>
      </c>
      <c r="BT123" s="55">
        <f t="shared" si="712"/>
        <v>0.6499999999999998</v>
      </c>
      <c r="BU123" s="55">
        <f t="shared" si="712"/>
        <v>0.62999999999999978</v>
      </c>
      <c r="BV123" s="55">
        <f t="shared" si="712"/>
        <v>0.60999999999999976</v>
      </c>
      <c r="BW123" s="55">
        <f t="shared" si="712"/>
        <v>0.58999999999999975</v>
      </c>
      <c r="BX123" s="55">
        <f t="shared" si="712"/>
        <v>0.56999999999999973</v>
      </c>
      <c r="BZ123" s="55">
        <f t="shared" si="515"/>
        <v>0</v>
      </c>
      <c r="CA123" s="55">
        <f t="shared" si="516"/>
        <v>0</v>
      </c>
      <c r="CB123" s="59">
        <f t="shared" si="713"/>
        <v>0</v>
      </c>
      <c r="CC123" s="55">
        <f t="shared" si="714"/>
        <v>0</v>
      </c>
      <c r="CD123" s="59">
        <f t="shared" si="715"/>
        <v>0</v>
      </c>
      <c r="CE123" s="55">
        <f t="shared" si="716"/>
        <v>0</v>
      </c>
      <c r="CF123" s="59">
        <f t="shared" si="717"/>
        <v>0</v>
      </c>
      <c r="CG123" s="55">
        <f t="shared" si="718"/>
        <v>0</v>
      </c>
      <c r="CH123" s="59">
        <f t="shared" si="719"/>
        <v>0</v>
      </c>
      <c r="CI123" s="57">
        <f t="shared" si="720"/>
        <v>0</v>
      </c>
      <c r="CJ123" s="59">
        <f t="shared" si="721"/>
        <v>0</v>
      </c>
      <c r="CK123" s="55">
        <f t="shared" si="722"/>
        <v>0</v>
      </c>
      <c r="CL123" s="59">
        <f t="shared" si="723"/>
        <v>0</v>
      </c>
      <c r="CM123" s="57">
        <f t="shared" si="724"/>
        <v>0</v>
      </c>
      <c r="CN123" s="59">
        <f t="shared" si="725"/>
        <v>0</v>
      </c>
      <c r="CO123" s="60">
        <f t="shared" si="726"/>
        <v>0</v>
      </c>
      <c r="CP123" s="59">
        <f t="shared" si="727"/>
        <v>0</v>
      </c>
      <c r="CQ123" s="57">
        <f t="shared" si="728"/>
        <v>0</v>
      </c>
      <c r="CR123" s="59">
        <f t="shared" si="729"/>
        <v>0</v>
      </c>
      <c r="CS123" s="55">
        <f t="shared" si="730"/>
        <v>0</v>
      </c>
      <c r="CT123" s="59">
        <f t="shared" si="731"/>
        <v>0</v>
      </c>
      <c r="CU123" s="60">
        <f t="shared" si="732"/>
        <v>0</v>
      </c>
      <c r="CV123" s="59">
        <f t="shared" si="733"/>
        <v>0</v>
      </c>
      <c r="CW123" s="60">
        <f t="shared" si="734"/>
        <v>0</v>
      </c>
      <c r="CX123" s="59">
        <f t="shared" si="735"/>
        <v>0</v>
      </c>
      <c r="CY123" s="60">
        <f t="shared" si="736"/>
        <v>0</v>
      </c>
      <c r="CZ123" s="59">
        <f t="shared" si="737"/>
        <v>0</v>
      </c>
      <c r="DA123" s="55">
        <f t="shared" si="738"/>
        <v>0</v>
      </c>
      <c r="DB123" s="59">
        <f t="shared" si="739"/>
        <v>0</v>
      </c>
      <c r="DC123" s="60">
        <f t="shared" si="740"/>
        <v>0</v>
      </c>
      <c r="DD123" s="59">
        <f t="shared" si="741"/>
        <v>0</v>
      </c>
      <c r="DE123" s="60">
        <f t="shared" si="742"/>
        <v>0</v>
      </c>
      <c r="DF123" s="59">
        <f t="shared" si="743"/>
        <v>0</v>
      </c>
      <c r="DG123" s="60">
        <f t="shared" si="744"/>
        <v>0</v>
      </c>
      <c r="DH123" s="59">
        <f t="shared" si="745"/>
        <v>0</v>
      </c>
      <c r="DI123" s="60">
        <f t="shared" si="746"/>
        <v>0</v>
      </c>
      <c r="DJ123" s="59">
        <f t="shared" si="747"/>
        <v>0</v>
      </c>
      <c r="DK123" s="55">
        <f t="shared" si="748"/>
        <v>0</v>
      </c>
      <c r="DL123" s="59">
        <f t="shared" si="749"/>
        <v>0</v>
      </c>
      <c r="DM123" s="60">
        <f t="shared" si="750"/>
        <v>0</v>
      </c>
      <c r="DN123" s="59">
        <f t="shared" si="751"/>
        <v>0</v>
      </c>
      <c r="DO123" s="60">
        <f t="shared" si="752"/>
        <v>0</v>
      </c>
      <c r="DP123" s="59">
        <f t="shared" si="753"/>
        <v>0</v>
      </c>
      <c r="DQ123" s="55">
        <f t="shared" si="754"/>
        <v>0</v>
      </c>
      <c r="DR123" s="59">
        <f t="shared" si="755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62"/>
        <v>0.91</v>
      </c>
      <c r="DZ123" s="55">
        <f t="shared" si="662"/>
        <v>0.89</v>
      </c>
      <c r="EA123" s="55">
        <f t="shared" si="662"/>
        <v>0.87</v>
      </c>
      <c r="EB123" s="55">
        <f t="shared" ref="EB123:EP123" si="799">+EA123-0.02</f>
        <v>0.85</v>
      </c>
      <c r="EC123" s="55">
        <f t="shared" si="799"/>
        <v>0.83</v>
      </c>
      <c r="ED123" s="55">
        <f t="shared" si="799"/>
        <v>0.80999999999999994</v>
      </c>
      <c r="EE123" s="55">
        <f t="shared" si="799"/>
        <v>0.78999999999999992</v>
      </c>
      <c r="EF123" s="55">
        <f t="shared" si="799"/>
        <v>0.76999999999999991</v>
      </c>
      <c r="EG123" s="55">
        <f t="shared" si="799"/>
        <v>0.74999999999999989</v>
      </c>
      <c r="EH123" s="55">
        <f t="shared" si="799"/>
        <v>0.72999999999999987</v>
      </c>
      <c r="EI123" s="55">
        <f t="shared" si="799"/>
        <v>0.70999999999999985</v>
      </c>
      <c r="EJ123" s="55">
        <f t="shared" si="799"/>
        <v>0.68999999999999984</v>
      </c>
      <c r="EK123" s="55">
        <f t="shared" si="799"/>
        <v>0.66999999999999982</v>
      </c>
      <c r="EL123" s="55">
        <f t="shared" si="799"/>
        <v>0.6499999999999998</v>
      </c>
      <c r="EM123" s="55">
        <f t="shared" si="799"/>
        <v>0.62999999999999978</v>
      </c>
      <c r="EN123" s="55">
        <f t="shared" si="799"/>
        <v>0.60999999999999976</v>
      </c>
      <c r="EO123" s="55">
        <f t="shared" si="799"/>
        <v>0.58999999999999975</v>
      </c>
      <c r="EP123" s="55">
        <f t="shared" si="799"/>
        <v>0.56999999999999973</v>
      </c>
      <c r="ER123" s="55">
        <f t="shared" si="656"/>
        <v>0</v>
      </c>
      <c r="ES123" s="55">
        <f t="shared" si="517"/>
        <v>0</v>
      </c>
      <c r="ET123" s="59">
        <f t="shared" si="756"/>
        <v>0</v>
      </c>
      <c r="EU123" s="55">
        <f t="shared" si="757"/>
        <v>0</v>
      </c>
      <c r="EV123" s="59">
        <f t="shared" si="758"/>
        <v>0</v>
      </c>
      <c r="EW123" s="55">
        <f t="shared" si="759"/>
        <v>0</v>
      </c>
      <c r="EX123" s="59">
        <f t="shared" si="760"/>
        <v>0</v>
      </c>
      <c r="EY123" s="55">
        <f t="shared" si="761"/>
        <v>0</v>
      </c>
      <c r="EZ123" s="59">
        <f t="shared" si="762"/>
        <v>0</v>
      </c>
      <c r="FA123" s="57">
        <f t="shared" si="763"/>
        <v>0</v>
      </c>
      <c r="FB123" s="59">
        <f t="shared" si="764"/>
        <v>0</v>
      </c>
      <c r="FC123" s="55">
        <f t="shared" si="765"/>
        <v>0</v>
      </c>
      <c r="FD123" s="59">
        <f t="shared" si="766"/>
        <v>0</v>
      </c>
      <c r="FE123" s="57">
        <f t="shared" si="767"/>
        <v>0</v>
      </c>
      <c r="FF123" s="59">
        <f t="shared" si="768"/>
        <v>0</v>
      </c>
      <c r="FG123" s="60">
        <f t="shared" si="769"/>
        <v>0</v>
      </c>
      <c r="FH123" s="59">
        <f t="shared" si="770"/>
        <v>0</v>
      </c>
      <c r="FI123" s="57">
        <f t="shared" si="771"/>
        <v>0</v>
      </c>
      <c r="FJ123" s="59">
        <f t="shared" si="772"/>
        <v>0</v>
      </c>
      <c r="FK123" s="55">
        <f t="shared" si="773"/>
        <v>0</v>
      </c>
      <c r="FL123" s="59">
        <f t="shared" si="774"/>
        <v>0</v>
      </c>
      <c r="FM123" s="60">
        <f t="shared" si="775"/>
        <v>0</v>
      </c>
      <c r="FN123" s="59">
        <f t="shared" si="776"/>
        <v>0</v>
      </c>
      <c r="FO123" s="60">
        <f t="shared" si="777"/>
        <v>0</v>
      </c>
      <c r="FP123" s="59">
        <f t="shared" si="778"/>
        <v>0</v>
      </c>
      <c r="FQ123" s="60">
        <f t="shared" si="779"/>
        <v>0</v>
      </c>
      <c r="FR123" s="59">
        <f t="shared" si="780"/>
        <v>0</v>
      </c>
      <c r="FS123" s="55">
        <f t="shared" si="781"/>
        <v>0</v>
      </c>
      <c r="FT123" s="59">
        <f t="shared" si="782"/>
        <v>0</v>
      </c>
      <c r="FU123" s="60">
        <f t="shared" si="783"/>
        <v>0</v>
      </c>
      <c r="FV123" s="59">
        <f t="shared" si="784"/>
        <v>0</v>
      </c>
      <c r="FW123" s="60">
        <f t="shared" si="785"/>
        <v>0</v>
      </c>
      <c r="FX123" s="59">
        <f t="shared" si="786"/>
        <v>0</v>
      </c>
      <c r="FY123" s="60">
        <f t="shared" si="787"/>
        <v>0</v>
      </c>
      <c r="FZ123" s="59">
        <f t="shared" si="788"/>
        <v>0</v>
      </c>
      <c r="GA123" s="60">
        <f t="shared" si="789"/>
        <v>0</v>
      </c>
      <c r="GB123" s="59">
        <f t="shared" si="790"/>
        <v>0</v>
      </c>
      <c r="GC123" s="55">
        <f t="shared" si="791"/>
        <v>0</v>
      </c>
      <c r="GD123" s="59">
        <f t="shared" si="792"/>
        <v>0</v>
      </c>
      <c r="GE123" s="60">
        <f t="shared" si="793"/>
        <v>0</v>
      </c>
      <c r="GF123" s="59">
        <f t="shared" si="794"/>
        <v>0</v>
      </c>
      <c r="GG123" s="60">
        <f t="shared" si="795"/>
        <v>0</v>
      </c>
      <c r="GH123" s="59">
        <f t="shared" si="796"/>
        <v>0</v>
      </c>
      <c r="GI123" s="55">
        <f t="shared" si="797"/>
        <v>0</v>
      </c>
      <c r="GJ123" s="59">
        <f t="shared" si="798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63"/>
        <v>0.91</v>
      </c>
      <c r="GR123" s="55">
        <f t="shared" si="663"/>
        <v>0.89</v>
      </c>
      <c r="GS123" s="55">
        <f t="shared" si="663"/>
        <v>0.87</v>
      </c>
      <c r="GT123" s="55">
        <f t="shared" ref="GT123:HH123" si="800">+GS123-0.02</f>
        <v>0.85</v>
      </c>
      <c r="GU123" s="55">
        <f t="shared" si="800"/>
        <v>0.83</v>
      </c>
      <c r="GV123" s="55">
        <f t="shared" si="800"/>
        <v>0.80999999999999994</v>
      </c>
      <c r="GW123" s="55">
        <f t="shared" si="800"/>
        <v>0.78999999999999992</v>
      </c>
      <c r="GX123" s="55">
        <f t="shared" si="800"/>
        <v>0.76999999999999991</v>
      </c>
      <c r="GY123" s="55">
        <f t="shared" si="800"/>
        <v>0.74999999999999989</v>
      </c>
      <c r="GZ123" s="55">
        <f t="shared" si="800"/>
        <v>0.72999999999999987</v>
      </c>
      <c r="HA123" s="55">
        <f t="shared" si="800"/>
        <v>0.70999999999999985</v>
      </c>
      <c r="HB123" s="55">
        <f t="shared" si="800"/>
        <v>0.68999999999999984</v>
      </c>
      <c r="HC123" s="55">
        <f t="shared" si="800"/>
        <v>0.66999999999999982</v>
      </c>
      <c r="HD123" s="55">
        <f t="shared" si="800"/>
        <v>0.6499999999999998</v>
      </c>
      <c r="HE123" s="55">
        <f t="shared" si="800"/>
        <v>0.62999999999999978</v>
      </c>
      <c r="HF123" s="55">
        <f t="shared" si="800"/>
        <v>0.60999999999999976</v>
      </c>
      <c r="HG123" s="55">
        <f t="shared" si="800"/>
        <v>0.58999999999999975</v>
      </c>
      <c r="HH123" s="55">
        <f t="shared" si="800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TRUNC(14739,-1)</f>
        <v>14730</v>
      </c>
      <c r="E124" s="71">
        <f t="shared" si="668"/>
        <v>48690</v>
      </c>
      <c r="H124" s="55">
        <f t="shared" si="669"/>
        <v>16203.000000000002</v>
      </c>
      <c r="I124" s="55">
        <f t="shared" si="513"/>
        <v>16203.000000000002</v>
      </c>
      <c r="J124" s="59">
        <f t="shared" si="514"/>
        <v>53563.877400000005</v>
      </c>
      <c r="K124" s="55">
        <f t="shared" si="670"/>
        <v>15716.910000000002</v>
      </c>
      <c r="L124" s="59">
        <f t="shared" si="671"/>
        <v>51956.961078000008</v>
      </c>
      <c r="M124" s="55">
        <f t="shared" si="672"/>
        <v>15392.85</v>
      </c>
      <c r="N124" s="59">
        <f t="shared" si="673"/>
        <v>50885.683530000002</v>
      </c>
      <c r="O124" s="55">
        <f t="shared" si="674"/>
        <v>15068.790000000003</v>
      </c>
      <c r="P124" s="59">
        <f t="shared" si="675"/>
        <v>49814.405982000011</v>
      </c>
      <c r="Q124" s="57">
        <f t="shared" si="676"/>
        <v>14744.730000000001</v>
      </c>
      <c r="R124" s="59">
        <f t="shared" si="677"/>
        <v>48743.128434000006</v>
      </c>
      <c r="S124" s="55">
        <f t="shared" si="678"/>
        <v>14420.670000000002</v>
      </c>
      <c r="T124" s="59">
        <f t="shared" si="679"/>
        <v>47671.850886000007</v>
      </c>
      <c r="U124" s="57">
        <f t="shared" si="680"/>
        <v>14096.610000000002</v>
      </c>
      <c r="V124" s="59">
        <f t="shared" si="681"/>
        <v>46600.573338000009</v>
      </c>
      <c r="W124" s="60">
        <f t="shared" si="682"/>
        <v>13772.550000000001</v>
      </c>
      <c r="X124" s="59">
        <f t="shared" si="683"/>
        <v>45529.295790000004</v>
      </c>
      <c r="Y124" s="57">
        <f t="shared" si="684"/>
        <v>13448.490000000002</v>
      </c>
      <c r="Z124" s="59">
        <f t="shared" si="685"/>
        <v>44458.018242000006</v>
      </c>
      <c r="AA124" s="55">
        <f t="shared" si="686"/>
        <v>13124.43</v>
      </c>
      <c r="AB124" s="59">
        <f t="shared" si="687"/>
        <v>43386.740694</v>
      </c>
      <c r="AC124" s="60">
        <f t="shared" si="688"/>
        <v>12800.37</v>
      </c>
      <c r="AD124" s="59">
        <f t="shared" si="689"/>
        <v>42315.463146000002</v>
      </c>
      <c r="AE124" s="60">
        <f t="shared" si="690"/>
        <v>12476.31</v>
      </c>
      <c r="AF124" s="59">
        <f t="shared" si="691"/>
        <v>41244.185597999996</v>
      </c>
      <c r="AG124" s="60">
        <f t="shared" si="692"/>
        <v>12152.25</v>
      </c>
      <c r="AH124" s="59">
        <f t="shared" si="693"/>
        <v>40172.908049999998</v>
      </c>
      <c r="AI124" s="55">
        <f t="shared" si="694"/>
        <v>11828.189999999999</v>
      </c>
      <c r="AJ124" s="59">
        <f t="shared" si="695"/>
        <v>39101.630502</v>
      </c>
      <c r="AK124" s="60">
        <f t="shared" si="696"/>
        <v>11504.13</v>
      </c>
      <c r="AL124" s="59">
        <f t="shared" si="697"/>
        <v>38030.352954000002</v>
      </c>
      <c r="AM124" s="60">
        <f t="shared" si="698"/>
        <v>11180.069999999998</v>
      </c>
      <c r="AN124" s="59">
        <f t="shared" si="699"/>
        <v>36959.075405999996</v>
      </c>
      <c r="AO124" s="60">
        <f t="shared" si="700"/>
        <v>10856.009999999998</v>
      </c>
      <c r="AP124" s="59">
        <f t="shared" si="701"/>
        <v>35887.797857999998</v>
      </c>
      <c r="AQ124" s="60">
        <f t="shared" si="702"/>
        <v>10531.949999999997</v>
      </c>
      <c r="AR124" s="59">
        <f t="shared" si="703"/>
        <v>34816.520309999993</v>
      </c>
      <c r="AS124" s="55">
        <f t="shared" si="704"/>
        <v>10207.889999999998</v>
      </c>
      <c r="AT124" s="59">
        <f t="shared" si="705"/>
        <v>33745.242761999994</v>
      </c>
      <c r="AU124" s="60">
        <f t="shared" si="706"/>
        <v>9883.8299999999981</v>
      </c>
      <c r="AV124" s="59">
        <f t="shared" si="707"/>
        <v>32673.965213999996</v>
      </c>
      <c r="AW124" s="60">
        <f t="shared" si="708"/>
        <v>9559.7699999999968</v>
      </c>
      <c r="AX124" s="59">
        <f t="shared" si="709"/>
        <v>31602.687665999991</v>
      </c>
      <c r="AY124" s="55">
        <f t="shared" si="710"/>
        <v>9235.7099999999973</v>
      </c>
      <c r="AZ124" s="59">
        <f t="shared" si="711"/>
        <v>30531.410117999993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12"/>
        <v>0.91</v>
      </c>
      <c r="BH124" s="55">
        <f t="shared" si="712"/>
        <v>0.89</v>
      </c>
      <c r="BI124" s="55">
        <f t="shared" si="712"/>
        <v>0.87</v>
      </c>
      <c r="BJ124" s="55">
        <f t="shared" si="712"/>
        <v>0.85</v>
      </c>
      <c r="BK124" s="55">
        <f t="shared" si="712"/>
        <v>0.83</v>
      </c>
      <c r="BL124" s="55">
        <f t="shared" si="712"/>
        <v>0.80999999999999994</v>
      </c>
      <c r="BM124" s="55">
        <f t="shared" si="712"/>
        <v>0.78999999999999992</v>
      </c>
      <c r="BN124" s="55">
        <f t="shared" si="712"/>
        <v>0.76999999999999991</v>
      </c>
      <c r="BO124" s="55">
        <f t="shared" si="712"/>
        <v>0.74999999999999989</v>
      </c>
      <c r="BP124" s="55">
        <f t="shared" si="712"/>
        <v>0.72999999999999987</v>
      </c>
      <c r="BQ124" s="55">
        <f t="shared" si="712"/>
        <v>0.70999999999999985</v>
      </c>
      <c r="BR124" s="55">
        <f t="shared" si="712"/>
        <v>0.68999999999999984</v>
      </c>
      <c r="BS124" s="55">
        <f t="shared" si="712"/>
        <v>0.66999999999999982</v>
      </c>
      <c r="BT124" s="55">
        <f t="shared" si="712"/>
        <v>0.6499999999999998</v>
      </c>
      <c r="BU124" s="55">
        <f t="shared" si="712"/>
        <v>0.62999999999999978</v>
      </c>
      <c r="BV124" s="55">
        <f t="shared" si="712"/>
        <v>0.60999999999999976</v>
      </c>
      <c r="BW124" s="55">
        <f t="shared" si="712"/>
        <v>0.58999999999999975</v>
      </c>
      <c r="BX124" s="55">
        <f t="shared" si="712"/>
        <v>0.56999999999999973</v>
      </c>
      <c r="BZ124" s="55">
        <f t="shared" si="515"/>
        <v>14744.730000000001</v>
      </c>
      <c r="CA124" s="55">
        <f t="shared" si="516"/>
        <v>14744.730000000001</v>
      </c>
      <c r="CB124" s="59">
        <f t="shared" si="713"/>
        <v>48743.128434000006</v>
      </c>
      <c r="CC124" s="55">
        <f t="shared" si="714"/>
        <v>14302.3881</v>
      </c>
      <c r="CD124" s="59">
        <f t="shared" si="715"/>
        <v>47280.834580980001</v>
      </c>
      <c r="CE124" s="55">
        <f t="shared" si="716"/>
        <v>14007.4935</v>
      </c>
      <c r="CF124" s="59">
        <f t="shared" si="717"/>
        <v>46305.972012300001</v>
      </c>
      <c r="CG124" s="55">
        <f t="shared" si="718"/>
        <v>13712.598900000003</v>
      </c>
      <c r="CH124" s="59">
        <f t="shared" si="719"/>
        <v>45331.109443620007</v>
      </c>
      <c r="CI124" s="57">
        <f t="shared" si="720"/>
        <v>13417.704300000001</v>
      </c>
      <c r="CJ124" s="59">
        <f t="shared" si="721"/>
        <v>44356.246874940007</v>
      </c>
      <c r="CK124" s="55">
        <f t="shared" si="722"/>
        <v>13122.809700000002</v>
      </c>
      <c r="CL124" s="59">
        <f t="shared" si="723"/>
        <v>43381.384306260006</v>
      </c>
      <c r="CM124" s="57">
        <f t="shared" si="724"/>
        <v>12827.915100000002</v>
      </c>
      <c r="CN124" s="59">
        <f t="shared" si="725"/>
        <v>42406.521737580006</v>
      </c>
      <c r="CO124" s="60">
        <f t="shared" si="726"/>
        <v>12533.020500000001</v>
      </c>
      <c r="CP124" s="59">
        <f t="shared" si="727"/>
        <v>41431.659168900005</v>
      </c>
      <c r="CQ124" s="57">
        <f t="shared" si="728"/>
        <v>12238.125900000001</v>
      </c>
      <c r="CR124" s="59">
        <f t="shared" si="729"/>
        <v>40456.796600220005</v>
      </c>
      <c r="CS124" s="55">
        <f t="shared" si="730"/>
        <v>11943.231299999999</v>
      </c>
      <c r="CT124" s="59">
        <f t="shared" si="731"/>
        <v>39481.934031539997</v>
      </c>
      <c r="CU124" s="60">
        <f t="shared" si="732"/>
        <v>11648.3367</v>
      </c>
      <c r="CV124" s="59">
        <f t="shared" si="733"/>
        <v>38507.071462860004</v>
      </c>
      <c r="CW124" s="60">
        <f t="shared" si="734"/>
        <v>11353.4421</v>
      </c>
      <c r="CX124" s="59">
        <f t="shared" si="735"/>
        <v>37532.208894180003</v>
      </c>
      <c r="CY124" s="60">
        <f t="shared" si="736"/>
        <v>11058.547499999999</v>
      </c>
      <c r="CZ124" s="59">
        <f t="shared" si="737"/>
        <v>36557.346325499995</v>
      </c>
      <c r="DA124" s="55">
        <f t="shared" si="738"/>
        <v>10763.652899999999</v>
      </c>
      <c r="DB124" s="59">
        <f t="shared" si="739"/>
        <v>35582.483756819995</v>
      </c>
      <c r="DC124" s="60">
        <f t="shared" si="740"/>
        <v>10468.7583</v>
      </c>
      <c r="DD124" s="59">
        <f t="shared" si="741"/>
        <v>34607.621188140001</v>
      </c>
      <c r="DE124" s="60">
        <f t="shared" si="742"/>
        <v>10173.863699999998</v>
      </c>
      <c r="DF124" s="59">
        <f t="shared" si="743"/>
        <v>33632.758619459993</v>
      </c>
      <c r="DG124" s="60">
        <f t="shared" si="744"/>
        <v>9878.9690999999984</v>
      </c>
      <c r="DH124" s="59">
        <f t="shared" si="745"/>
        <v>32657.896050779997</v>
      </c>
      <c r="DI124" s="60">
        <f t="shared" si="746"/>
        <v>9584.0744999999988</v>
      </c>
      <c r="DJ124" s="59">
        <f t="shared" si="747"/>
        <v>31683.033482099996</v>
      </c>
      <c r="DK124" s="55">
        <f t="shared" si="748"/>
        <v>9289.1798999999974</v>
      </c>
      <c r="DL124" s="59">
        <f t="shared" si="749"/>
        <v>30708.170913419992</v>
      </c>
      <c r="DM124" s="60">
        <f t="shared" si="750"/>
        <v>8994.2852999999977</v>
      </c>
      <c r="DN124" s="59">
        <f t="shared" si="751"/>
        <v>29733.308344739995</v>
      </c>
      <c r="DO124" s="60">
        <f t="shared" si="752"/>
        <v>8699.3906999999963</v>
      </c>
      <c r="DP124" s="59">
        <f t="shared" si="753"/>
        <v>28758.445776059987</v>
      </c>
      <c r="DQ124" s="55">
        <f t="shared" si="754"/>
        <v>8404.4960999999967</v>
      </c>
      <c r="DR124" s="59">
        <f t="shared" si="755"/>
        <v>27783.58320737999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801">+DX124-0.02</f>
        <v>0.91</v>
      </c>
      <c r="DZ124" s="55">
        <f t="shared" si="801"/>
        <v>0.89</v>
      </c>
      <c r="EA124" s="55">
        <f t="shared" si="801"/>
        <v>0.87</v>
      </c>
      <c r="EB124" s="55">
        <f t="shared" si="801"/>
        <v>0.85</v>
      </c>
      <c r="EC124" s="55">
        <f t="shared" si="801"/>
        <v>0.83</v>
      </c>
      <c r="ED124" s="55">
        <f t="shared" si="801"/>
        <v>0.80999999999999994</v>
      </c>
      <c r="EE124" s="55">
        <f t="shared" si="801"/>
        <v>0.78999999999999992</v>
      </c>
      <c r="EF124" s="55">
        <f t="shared" si="801"/>
        <v>0.76999999999999991</v>
      </c>
      <c r="EG124" s="55">
        <f t="shared" si="801"/>
        <v>0.74999999999999989</v>
      </c>
      <c r="EH124" s="55">
        <f t="shared" si="801"/>
        <v>0.72999999999999987</v>
      </c>
      <c r="EI124" s="55">
        <f t="shared" si="801"/>
        <v>0.70999999999999985</v>
      </c>
      <c r="EJ124" s="55">
        <f t="shared" si="801"/>
        <v>0.68999999999999984</v>
      </c>
      <c r="EK124" s="55">
        <f t="shared" si="801"/>
        <v>0.66999999999999982</v>
      </c>
      <c r="EL124" s="55">
        <f t="shared" si="801"/>
        <v>0.6499999999999998</v>
      </c>
      <c r="EM124" s="55">
        <f t="shared" si="801"/>
        <v>0.62999999999999978</v>
      </c>
      <c r="EN124" s="55">
        <f t="shared" si="801"/>
        <v>0.60999999999999976</v>
      </c>
      <c r="EO124" s="55">
        <f t="shared" si="801"/>
        <v>0.58999999999999975</v>
      </c>
      <c r="EP124" s="55">
        <f t="shared" si="801"/>
        <v>0.56999999999999973</v>
      </c>
      <c r="ER124" s="55">
        <f t="shared" si="656"/>
        <v>13417.704300000001</v>
      </c>
      <c r="ES124" s="55">
        <f t="shared" si="517"/>
        <v>13417.704300000001</v>
      </c>
      <c r="ET124" s="59">
        <f t="shared" si="756"/>
        <v>44356.246874940007</v>
      </c>
      <c r="EU124" s="55">
        <f t="shared" si="757"/>
        <v>13015.173171</v>
      </c>
      <c r="EV124" s="59">
        <f t="shared" si="758"/>
        <v>43025.559468691805</v>
      </c>
      <c r="EW124" s="55">
        <f t="shared" si="759"/>
        <v>12746.819085000001</v>
      </c>
      <c r="EX124" s="59">
        <f t="shared" si="760"/>
        <v>42138.434531193001</v>
      </c>
      <c r="EY124" s="55">
        <f t="shared" si="761"/>
        <v>12478.464999000002</v>
      </c>
      <c r="EZ124" s="59">
        <f t="shared" si="762"/>
        <v>41251.309593694205</v>
      </c>
      <c r="FA124" s="57">
        <f t="shared" si="763"/>
        <v>12210.110913000002</v>
      </c>
      <c r="FB124" s="59">
        <f t="shared" si="764"/>
        <v>40364.184656195408</v>
      </c>
      <c r="FC124" s="55">
        <f t="shared" si="765"/>
        <v>11941.756827000001</v>
      </c>
      <c r="FD124" s="59">
        <f t="shared" si="766"/>
        <v>39477.059718696604</v>
      </c>
      <c r="FE124" s="57">
        <f t="shared" si="767"/>
        <v>11673.402741000002</v>
      </c>
      <c r="FF124" s="59">
        <f t="shared" si="768"/>
        <v>38589.934781197808</v>
      </c>
      <c r="FG124" s="60">
        <f t="shared" si="769"/>
        <v>11405.048655000001</v>
      </c>
      <c r="FH124" s="59">
        <f t="shared" si="770"/>
        <v>37702.809843699004</v>
      </c>
      <c r="FI124" s="57">
        <f t="shared" si="771"/>
        <v>11136.694569000001</v>
      </c>
      <c r="FJ124" s="59">
        <f t="shared" si="772"/>
        <v>36815.684906200207</v>
      </c>
      <c r="FK124" s="55">
        <f t="shared" si="773"/>
        <v>10868.340483</v>
      </c>
      <c r="FL124" s="59">
        <f t="shared" si="774"/>
        <v>35928.559968701404</v>
      </c>
      <c r="FM124" s="60">
        <f t="shared" si="775"/>
        <v>10599.986397000001</v>
      </c>
      <c r="FN124" s="59">
        <f t="shared" si="776"/>
        <v>35041.4350312026</v>
      </c>
      <c r="FO124" s="60">
        <f t="shared" si="777"/>
        <v>10331.632310999999</v>
      </c>
      <c r="FP124" s="59">
        <f t="shared" si="778"/>
        <v>34154.310093703796</v>
      </c>
      <c r="FQ124" s="60">
        <f t="shared" si="779"/>
        <v>10063.278225</v>
      </c>
      <c r="FR124" s="59">
        <f t="shared" si="780"/>
        <v>33267.185156205</v>
      </c>
      <c r="FS124" s="55">
        <f t="shared" si="781"/>
        <v>9794.9241389999988</v>
      </c>
      <c r="FT124" s="59">
        <f t="shared" si="782"/>
        <v>32380.060218706196</v>
      </c>
      <c r="FU124" s="60">
        <f t="shared" si="783"/>
        <v>9526.5700529999995</v>
      </c>
      <c r="FV124" s="59">
        <f t="shared" si="784"/>
        <v>31492.935281207399</v>
      </c>
      <c r="FW124" s="60">
        <f t="shared" si="785"/>
        <v>9258.2159669999983</v>
      </c>
      <c r="FX124" s="59">
        <f t="shared" si="786"/>
        <v>30605.810343708596</v>
      </c>
      <c r="FY124" s="60">
        <f t="shared" si="787"/>
        <v>8989.8618809999989</v>
      </c>
      <c r="FZ124" s="59">
        <f t="shared" si="788"/>
        <v>29718.685406209795</v>
      </c>
      <c r="GA124" s="60">
        <f t="shared" si="789"/>
        <v>8721.5077949999977</v>
      </c>
      <c r="GB124" s="59">
        <f t="shared" si="790"/>
        <v>28831.560468710992</v>
      </c>
      <c r="GC124" s="55">
        <f t="shared" si="791"/>
        <v>8453.1537089999983</v>
      </c>
      <c r="GD124" s="59">
        <f t="shared" si="792"/>
        <v>27944.435531212195</v>
      </c>
      <c r="GE124" s="60">
        <f t="shared" si="793"/>
        <v>8184.7996229999972</v>
      </c>
      <c r="GF124" s="59">
        <f t="shared" si="794"/>
        <v>27057.310593713391</v>
      </c>
      <c r="GG124" s="60">
        <f t="shared" si="795"/>
        <v>7916.4455369999978</v>
      </c>
      <c r="GH124" s="59">
        <f t="shared" si="796"/>
        <v>26170.185656214595</v>
      </c>
      <c r="GI124" s="55">
        <f t="shared" si="797"/>
        <v>7648.0914509999975</v>
      </c>
      <c r="GJ124" s="59">
        <f t="shared" si="798"/>
        <v>25283.060718715791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802">+GP124-0.02</f>
        <v>0.91</v>
      </c>
      <c r="GR124" s="55">
        <f t="shared" si="802"/>
        <v>0.89</v>
      </c>
      <c r="GS124" s="55">
        <f t="shared" si="802"/>
        <v>0.87</v>
      </c>
      <c r="GT124" s="55">
        <f t="shared" si="802"/>
        <v>0.85</v>
      </c>
      <c r="GU124" s="55">
        <f t="shared" si="802"/>
        <v>0.83</v>
      </c>
      <c r="GV124" s="55">
        <f t="shared" si="802"/>
        <v>0.80999999999999994</v>
      </c>
      <c r="GW124" s="55">
        <f t="shared" si="802"/>
        <v>0.78999999999999992</v>
      </c>
      <c r="GX124" s="55">
        <f t="shared" si="802"/>
        <v>0.76999999999999991</v>
      </c>
      <c r="GY124" s="55">
        <f t="shared" si="802"/>
        <v>0.74999999999999989</v>
      </c>
      <c r="GZ124" s="55">
        <f t="shared" si="802"/>
        <v>0.72999999999999987</v>
      </c>
      <c r="HA124" s="55">
        <f t="shared" si="802"/>
        <v>0.70999999999999985</v>
      </c>
      <c r="HB124" s="55">
        <f t="shared" si="802"/>
        <v>0.68999999999999984</v>
      </c>
      <c r="HC124" s="55">
        <f t="shared" si="802"/>
        <v>0.66999999999999982</v>
      </c>
      <c r="HD124" s="55">
        <f t="shared" si="802"/>
        <v>0.6499999999999998</v>
      </c>
      <c r="HE124" s="55">
        <f t="shared" si="802"/>
        <v>0.62999999999999978</v>
      </c>
      <c r="HF124" s="55">
        <f t="shared" si="802"/>
        <v>0.60999999999999976</v>
      </c>
      <c r="HG124" s="55">
        <f t="shared" si="802"/>
        <v>0.58999999999999975</v>
      </c>
      <c r="HH124" s="55">
        <f t="shared" si="802"/>
        <v>0.56999999999999973</v>
      </c>
    </row>
    <row r="125" spans="1:216" x14ac:dyDescent="0.3">
      <c r="A125" s="2">
        <v>10</v>
      </c>
      <c r="C125" s="38" t="s">
        <v>149</v>
      </c>
      <c r="D125" s="42">
        <f>TRUNC(27838,-1)</f>
        <v>27830</v>
      </c>
      <c r="E125" s="71">
        <f t="shared" si="668"/>
        <v>92000</v>
      </c>
      <c r="H125" s="55">
        <f t="shared" si="669"/>
        <v>30613.000000000004</v>
      </c>
      <c r="I125" s="55">
        <f t="shared" si="513"/>
        <v>30613.000000000004</v>
      </c>
      <c r="J125" s="59">
        <f t="shared" si="514"/>
        <v>101200.45540000002</v>
      </c>
      <c r="K125" s="55">
        <f t="shared" si="670"/>
        <v>29694.610000000004</v>
      </c>
      <c r="L125" s="59">
        <f t="shared" si="671"/>
        <v>98164.441738000023</v>
      </c>
      <c r="M125" s="55">
        <f t="shared" si="672"/>
        <v>29082.350000000002</v>
      </c>
      <c r="N125" s="59">
        <f t="shared" si="673"/>
        <v>96140.43263000001</v>
      </c>
      <c r="O125" s="55">
        <f t="shared" si="674"/>
        <v>28470.090000000004</v>
      </c>
      <c r="P125" s="59">
        <f t="shared" si="675"/>
        <v>94116.423522000012</v>
      </c>
      <c r="Q125" s="57">
        <f t="shared" si="676"/>
        <v>27857.830000000005</v>
      </c>
      <c r="R125" s="59">
        <f t="shared" si="677"/>
        <v>92092.414414000013</v>
      </c>
      <c r="S125" s="55">
        <f t="shared" si="678"/>
        <v>27245.570000000003</v>
      </c>
      <c r="T125" s="59">
        <f t="shared" si="679"/>
        <v>90068.405306000015</v>
      </c>
      <c r="U125" s="57">
        <f t="shared" si="680"/>
        <v>26633.31</v>
      </c>
      <c r="V125" s="59">
        <f t="shared" si="681"/>
        <v>88044.396198000002</v>
      </c>
      <c r="W125" s="60">
        <f t="shared" si="682"/>
        <v>26021.050000000003</v>
      </c>
      <c r="X125" s="59">
        <f t="shared" si="683"/>
        <v>86020.387090000018</v>
      </c>
      <c r="Y125" s="57">
        <f t="shared" si="684"/>
        <v>25408.79</v>
      </c>
      <c r="Z125" s="59">
        <f t="shared" si="685"/>
        <v>83996.377982000005</v>
      </c>
      <c r="AA125" s="55">
        <f t="shared" si="686"/>
        <v>24796.530000000002</v>
      </c>
      <c r="AB125" s="59">
        <f t="shared" si="687"/>
        <v>81972.368874000007</v>
      </c>
      <c r="AC125" s="60">
        <f t="shared" si="688"/>
        <v>24184.27</v>
      </c>
      <c r="AD125" s="59">
        <f t="shared" si="689"/>
        <v>79948.359766000009</v>
      </c>
      <c r="AE125" s="60">
        <f t="shared" si="690"/>
        <v>23572.01</v>
      </c>
      <c r="AF125" s="59">
        <f t="shared" si="691"/>
        <v>77924.350657999996</v>
      </c>
      <c r="AG125" s="60">
        <f t="shared" si="692"/>
        <v>22959.75</v>
      </c>
      <c r="AH125" s="59">
        <f t="shared" si="693"/>
        <v>75900.341549999997</v>
      </c>
      <c r="AI125" s="55">
        <f t="shared" si="694"/>
        <v>22347.489999999998</v>
      </c>
      <c r="AJ125" s="59">
        <f t="shared" si="695"/>
        <v>73876.332441999999</v>
      </c>
      <c r="AK125" s="60">
        <f t="shared" si="696"/>
        <v>21735.23</v>
      </c>
      <c r="AL125" s="59">
        <f t="shared" si="697"/>
        <v>71852.323334000001</v>
      </c>
      <c r="AM125" s="60">
        <f t="shared" si="698"/>
        <v>21122.969999999998</v>
      </c>
      <c r="AN125" s="59">
        <f t="shared" si="699"/>
        <v>69828.314225999988</v>
      </c>
      <c r="AO125" s="60">
        <f t="shared" si="700"/>
        <v>20510.709999999995</v>
      </c>
      <c r="AP125" s="59">
        <f t="shared" si="701"/>
        <v>67804.305117999989</v>
      </c>
      <c r="AQ125" s="60">
        <f t="shared" si="702"/>
        <v>19898.449999999997</v>
      </c>
      <c r="AR125" s="59">
        <f t="shared" si="703"/>
        <v>65780.296009999991</v>
      </c>
      <c r="AS125" s="55">
        <f t="shared" si="704"/>
        <v>19286.189999999995</v>
      </c>
      <c r="AT125" s="59">
        <f t="shared" si="705"/>
        <v>63756.286901999985</v>
      </c>
      <c r="AU125" s="60">
        <f t="shared" si="706"/>
        <v>18673.929999999997</v>
      </c>
      <c r="AV125" s="59">
        <f t="shared" si="707"/>
        <v>61732.277793999987</v>
      </c>
      <c r="AW125" s="60">
        <f t="shared" si="708"/>
        <v>18061.669999999995</v>
      </c>
      <c r="AX125" s="59">
        <f t="shared" si="709"/>
        <v>59708.268685999981</v>
      </c>
      <c r="AY125" s="55">
        <f t="shared" si="710"/>
        <v>17449.409999999993</v>
      </c>
      <c r="AZ125" s="59">
        <f t="shared" si="711"/>
        <v>57684.259577999976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12"/>
        <v>0.91</v>
      </c>
      <c r="BH125" s="55">
        <f t="shared" si="712"/>
        <v>0.89</v>
      </c>
      <c r="BI125" s="55">
        <f t="shared" si="712"/>
        <v>0.87</v>
      </c>
      <c r="BJ125" s="55">
        <f t="shared" si="712"/>
        <v>0.85</v>
      </c>
      <c r="BK125" s="55">
        <f t="shared" si="712"/>
        <v>0.83</v>
      </c>
      <c r="BL125" s="55">
        <f t="shared" si="712"/>
        <v>0.80999999999999994</v>
      </c>
      <c r="BM125" s="55">
        <f t="shared" si="712"/>
        <v>0.78999999999999992</v>
      </c>
      <c r="BN125" s="55">
        <f t="shared" si="712"/>
        <v>0.76999999999999991</v>
      </c>
      <c r="BO125" s="55">
        <f t="shared" si="712"/>
        <v>0.74999999999999989</v>
      </c>
      <c r="BP125" s="55">
        <f t="shared" si="712"/>
        <v>0.72999999999999987</v>
      </c>
      <c r="BQ125" s="55">
        <f t="shared" si="712"/>
        <v>0.70999999999999985</v>
      </c>
      <c r="BR125" s="55">
        <f t="shared" si="712"/>
        <v>0.68999999999999984</v>
      </c>
      <c r="BS125" s="55">
        <f t="shared" si="712"/>
        <v>0.66999999999999982</v>
      </c>
      <c r="BT125" s="55">
        <f t="shared" si="712"/>
        <v>0.6499999999999998</v>
      </c>
      <c r="BU125" s="55">
        <f t="shared" si="712"/>
        <v>0.62999999999999978</v>
      </c>
      <c r="BV125" s="55">
        <f t="shared" si="712"/>
        <v>0.60999999999999976</v>
      </c>
      <c r="BW125" s="55">
        <f t="shared" si="712"/>
        <v>0.58999999999999975</v>
      </c>
      <c r="BX125" s="55">
        <f t="shared" si="712"/>
        <v>0.56999999999999973</v>
      </c>
      <c r="BZ125" s="55">
        <f t="shared" si="515"/>
        <v>27857.830000000005</v>
      </c>
      <c r="CA125" s="55">
        <f t="shared" si="516"/>
        <v>27857.830000000005</v>
      </c>
      <c r="CB125" s="59">
        <f t="shared" si="713"/>
        <v>92092.414414000013</v>
      </c>
      <c r="CC125" s="55">
        <f t="shared" si="714"/>
        <v>27022.095100000006</v>
      </c>
      <c r="CD125" s="59">
        <f t="shared" si="715"/>
        <v>89329.641981580018</v>
      </c>
      <c r="CE125" s="55">
        <f t="shared" si="716"/>
        <v>26464.938500000004</v>
      </c>
      <c r="CF125" s="59">
        <f t="shared" si="717"/>
        <v>87487.793693300016</v>
      </c>
      <c r="CG125" s="55">
        <f t="shared" si="718"/>
        <v>25907.781900000005</v>
      </c>
      <c r="CH125" s="59">
        <f t="shared" si="719"/>
        <v>85645.945405020015</v>
      </c>
      <c r="CI125" s="57">
        <f t="shared" si="720"/>
        <v>25350.625300000007</v>
      </c>
      <c r="CJ125" s="59">
        <f t="shared" si="721"/>
        <v>83804.097116740028</v>
      </c>
      <c r="CK125" s="55">
        <f t="shared" si="722"/>
        <v>24793.468700000005</v>
      </c>
      <c r="CL125" s="59">
        <f t="shared" si="723"/>
        <v>81962.248828460011</v>
      </c>
      <c r="CM125" s="57">
        <f t="shared" si="724"/>
        <v>24236.312100000003</v>
      </c>
      <c r="CN125" s="59">
        <f t="shared" si="725"/>
        <v>80120.40054018001</v>
      </c>
      <c r="CO125" s="60">
        <f t="shared" si="726"/>
        <v>23679.155500000004</v>
      </c>
      <c r="CP125" s="59">
        <f t="shared" si="727"/>
        <v>78278.552251900022</v>
      </c>
      <c r="CQ125" s="57">
        <f t="shared" si="728"/>
        <v>23121.998900000002</v>
      </c>
      <c r="CR125" s="59">
        <f t="shared" si="729"/>
        <v>76436.703963620006</v>
      </c>
      <c r="CS125" s="55">
        <f t="shared" si="730"/>
        <v>22564.842300000004</v>
      </c>
      <c r="CT125" s="59">
        <f t="shared" si="731"/>
        <v>74594.855675340019</v>
      </c>
      <c r="CU125" s="60">
        <f t="shared" si="732"/>
        <v>22007.685700000002</v>
      </c>
      <c r="CV125" s="59">
        <f t="shared" si="733"/>
        <v>72753.007387060003</v>
      </c>
      <c r="CW125" s="60">
        <f t="shared" si="734"/>
        <v>21450.5291</v>
      </c>
      <c r="CX125" s="59">
        <f t="shared" si="735"/>
        <v>70911.159098780001</v>
      </c>
      <c r="CY125" s="60">
        <f t="shared" si="736"/>
        <v>20893.372500000001</v>
      </c>
      <c r="CZ125" s="59">
        <f t="shared" si="737"/>
        <v>69069.310810499999</v>
      </c>
      <c r="DA125" s="55">
        <f t="shared" si="738"/>
        <v>20336.215899999999</v>
      </c>
      <c r="DB125" s="59">
        <f t="shared" si="739"/>
        <v>67227.462522219997</v>
      </c>
      <c r="DC125" s="60">
        <f t="shared" si="740"/>
        <v>19779.059300000001</v>
      </c>
      <c r="DD125" s="59">
        <f t="shared" si="741"/>
        <v>65385.614233940003</v>
      </c>
      <c r="DE125" s="60">
        <f t="shared" si="742"/>
        <v>19221.902699999999</v>
      </c>
      <c r="DF125" s="59">
        <f t="shared" si="743"/>
        <v>63543.765945659994</v>
      </c>
      <c r="DG125" s="60">
        <f t="shared" si="744"/>
        <v>18664.7461</v>
      </c>
      <c r="DH125" s="59">
        <f t="shared" si="745"/>
        <v>61701.91765738</v>
      </c>
      <c r="DI125" s="60">
        <f t="shared" si="746"/>
        <v>18107.589499999998</v>
      </c>
      <c r="DJ125" s="59">
        <f t="shared" si="747"/>
        <v>59860.069369099998</v>
      </c>
      <c r="DK125" s="55">
        <f t="shared" si="748"/>
        <v>17550.432899999996</v>
      </c>
      <c r="DL125" s="59">
        <f t="shared" si="749"/>
        <v>58018.221080819989</v>
      </c>
      <c r="DM125" s="60">
        <f t="shared" si="750"/>
        <v>16993.276299999998</v>
      </c>
      <c r="DN125" s="59">
        <f t="shared" si="751"/>
        <v>56176.372792539994</v>
      </c>
      <c r="DO125" s="60">
        <f t="shared" si="752"/>
        <v>16436.119699999996</v>
      </c>
      <c r="DP125" s="59">
        <f t="shared" si="753"/>
        <v>54334.524504259985</v>
      </c>
      <c r="DQ125" s="55">
        <f t="shared" si="754"/>
        <v>15878.963099999995</v>
      </c>
      <c r="DR125" s="59">
        <f t="shared" si="755"/>
        <v>52492.676215979984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801"/>
        <v>0.91</v>
      </c>
      <c r="DZ125" s="55">
        <f t="shared" si="801"/>
        <v>0.89</v>
      </c>
      <c r="EA125" s="55">
        <f t="shared" si="801"/>
        <v>0.87</v>
      </c>
      <c r="EB125" s="55">
        <f t="shared" si="801"/>
        <v>0.85</v>
      </c>
      <c r="EC125" s="55">
        <f t="shared" si="801"/>
        <v>0.83</v>
      </c>
      <c r="ED125" s="55">
        <f t="shared" si="801"/>
        <v>0.80999999999999994</v>
      </c>
      <c r="EE125" s="55">
        <f t="shared" si="801"/>
        <v>0.78999999999999992</v>
      </c>
      <c r="EF125" s="55">
        <f t="shared" si="801"/>
        <v>0.76999999999999991</v>
      </c>
      <c r="EG125" s="55">
        <f t="shared" si="801"/>
        <v>0.74999999999999989</v>
      </c>
      <c r="EH125" s="55">
        <f t="shared" si="801"/>
        <v>0.72999999999999987</v>
      </c>
      <c r="EI125" s="55">
        <f t="shared" si="801"/>
        <v>0.70999999999999985</v>
      </c>
      <c r="EJ125" s="55">
        <f t="shared" si="801"/>
        <v>0.68999999999999984</v>
      </c>
      <c r="EK125" s="55">
        <f t="shared" si="801"/>
        <v>0.66999999999999982</v>
      </c>
      <c r="EL125" s="55">
        <f t="shared" si="801"/>
        <v>0.6499999999999998</v>
      </c>
      <c r="EM125" s="55">
        <f t="shared" si="801"/>
        <v>0.62999999999999978</v>
      </c>
      <c r="EN125" s="55">
        <f t="shared" si="801"/>
        <v>0.60999999999999976</v>
      </c>
      <c r="EO125" s="55">
        <f t="shared" si="801"/>
        <v>0.58999999999999975</v>
      </c>
      <c r="EP125" s="55">
        <f t="shared" si="801"/>
        <v>0.56999999999999973</v>
      </c>
      <c r="ER125" s="55">
        <f t="shared" si="656"/>
        <v>25350.625300000007</v>
      </c>
      <c r="ES125" s="55">
        <f t="shared" si="517"/>
        <v>25350.625300000007</v>
      </c>
      <c r="ET125" s="59">
        <f t="shared" si="756"/>
        <v>83804.097116740028</v>
      </c>
      <c r="EU125" s="55">
        <f t="shared" si="757"/>
        <v>24590.106541000005</v>
      </c>
      <c r="EV125" s="59">
        <f t="shared" si="758"/>
        <v>81289.974203237813</v>
      </c>
      <c r="EW125" s="55">
        <f t="shared" si="759"/>
        <v>24083.094035000006</v>
      </c>
      <c r="EX125" s="59">
        <f t="shared" si="760"/>
        <v>79613.892260903027</v>
      </c>
      <c r="EY125" s="55">
        <f t="shared" si="761"/>
        <v>23576.081529000006</v>
      </c>
      <c r="EZ125" s="59">
        <f t="shared" si="762"/>
        <v>77937.810318568227</v>
      </c>
      <c r="FA125" s="57">
        <f t="shared" si="763"/>
        <v>23069.069023000007</v>
      </c>
      <c r="FB125" s="59">
        <f t="shared" si="764"/>
        <v>76261.728376233426</v>
      </c>
      <c r="FC125" s="55">
        <f t="shared" si="765"/>
        <v>22562.056517000008</v>
      </c>
      <c r="FD125" s="59">
        <f t="shared" si="766"/>
        <v>74585.646433898626</v>
      </c>
      <c r="FE125" s="57">
        <f t="shared" si="767"/>
        <v>22055.044011000005</v>
      </c>
      <c r="FF125" s="59">
        <f t="shared" si="768"/>
        <v>72909.564491563826</v>
      </c>
      <c r="FG125" s="60">
        <f t="shared" si="769"/>
        <v>21548.031505000006</v>
      </c>
      <c r="FH125" s="59">
        <f t="shared" si="770"/>
        <v>71233.482549229026</v>
      </c>
      <c r="FI125" s="57">
        <f t="shared" si="771"/>
        <v>21041.018999000004</v>
      </c>
      <c r="FJ125" s="59">
        <f t="shared" si="772"/>
        <v>69557.400606894211</v>
      </c>
      <c r="FK125" s="55">
        <f t="shared" si="773"/>
        <v>20534.006493000004</v>
      </c>
      <c r="FL125" s="59">
        <f t="shared" si="774"/>
        <v>67881.318664559411</v>
      </c>
      <c r="FM125" s="60">
        <f t="shared" si="775"/>
        <v>20026.993987000005</v>
      </c>
      <c r="FN125" s="59">
        <f t="shared" si="776"/>
        <v>66205.236722224625</v>
      </c>
      <c r="FO125" s="60">
        <f t="shared" si="777"/>
        <v>19519.981481000003</v>
      </c>
      <c r="FP125" s="59">
        <f t="shared" si="778"/>
        <v>64529.15477988981</v>
      </c>
      <c r="FQ125" s="60">
        <f t="shared" si="779"/>
        <v>19012.968975000003</v>
      </c>
      <c r="FR125" s="59">
        <f t="shared" si="780"/>
        <v>62853.07283755501</v>
      </c>
      <c r="FS125" s="55">
        <f t="shared" si="781"/>
        <v>18505.956469000001</v>
      </c>
      <c r="FT125" s="59">
        <f t="shared" si="782"/>
        <v>61176.990895220202</v>
      </c>
      <c r="FU125" s="60">
        <f t="shared" si="783"/>
        <v>17998.943963000002</v>
      </c>
      <c r="FV125" s="59">
        <f t="shared" si="784"/>
        <v>59500.908952885409</v>
      </c>
      <c r="FW125" s="60">
        <f t="shared" si="785"/>
        <v>17491.931457000002</v>
      </c>
      <c r="FX125" s="59">
        <f t="shared" si="786"/>
        <v>57824.827010550609</v>
      </c>
      <c r="FY125" s="60">
        <f t="shared" si="787"/>
        <v>16984.918951</v>
      </c>
      <c r="FZ125" s="59">
        <f t="shared" si="788"/>
        <v>56148.745068215801</v>
      </c>
      <c r="GA125" s="60">
        <f t="shared" si="789"/>
        <v>16477.906445000001</v>
      </c>
      <c r="GB125" s="59">
        <f t="shared" si="790"/>
        <v>54472.663125881001</v>
      </c>
      <c r="GC125" s="55">
        <f t="shared" si="791"/>
        <v>15970.893939</v>
      </c>
      <c r="GD125" s="59">
        <f t="shared" si="792"/>
        <v>52796.581183546201</v>
      </c>
      <c r="GE125" s="60">
        <f t="shared" si="793"/>
        <v>15463.881432999999</v>
      </c>
      <c r="GF125" s="59">
        <f t="shared" si="794"/>
        <v>51120.499241211393</v>
      </c>
      <c r="GG125" s="60">
        <f t="shared" si="795"/>
        <v>14956.868926999998</v>
      </c>
      <c r="GH125" s="59">
        <f t="shared" si="796"/>
        <v>49444.417298876593</v>
      </c>
      <c r="GI125" s="55">
        <f t="shared" si="797"/>
        <v>14449.856420999997</v>
      </c>
      <c r="GJ125" s="59">
        <f t="shared" si="798"/>
        <v>47768.335356541793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802"/>
        <v>0.91</v>
      </c>
      <c r="GR125" s="55">
        <f t="shared" si="802"/>
        <v>0.89</v>
      </c>
      <c r="GS125" s="55">
        <f t="shared" si="802"/>
        <v>0.87</v>
      </c>
      <c r="GT125" s="55">
        <f t="shared" si="802"/>
        <v>0.85</v>
      </c>
      <c r="GU125" s="55">
        <f t="shared" si="802"/>
        <v>0.83</v>
      </c>
      <c r="GV125" s="55">
        <f t="shared" si="802"/>
        <v>0.80999999999999994</v>
      </c>
      <c r="GW125" s="55">
        <f t="shared" si="802"/>
        <v>0.78999999999999992</v>
      </c>
      <c r="GX125" s="55">
        <f t="shared" si="802"/>
        <v>0.76999999999999991</v>
      </c>
      <c r="GY125" s="55">
        <f t="shared" si="802"/>
        <v>0.74999999999999989</v>
      </c>
      <c r="GZ125" s="55">
        <f t="shared" si="802"/>
        <v>0.72999999999999987</v>
      </c>
      <c r="HA125" s="55">
        <f t="shared" si="802"/>
        <v>0.70999999999999985</v>
      </c>
      <c r="HB125" s="55">
        <f t="shared" si="802"/>
        <v>0.68999999999999984</v>
      </c>
      <c r="HC125" s="55">
        <f t="shared" si="802"/>
        <v>0.66999999999999982</v>
      </c>
      <c r="HD125" s="55">
        <f t="shared" si="802"/>
        <v>0.6499999999999998</v>
      </c>
      <c r="HE125" s="55">
        <f t="shared" si="802"/>
        <v>0.62999999999999978</v>
      </c>
      <c r="HF125" s="55">
        <f t="shared" si="802"/>
        <v>0.60999999999999976</v>
      </c>
      <c r="HG125" s="55">
        <f t="shared" si="802"/>
        <v>0.58999999999999975</v>
      </c>
      <c r="HH125" s="55">
        <f t="shared" si="802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TRUNC(3618,-1)</f>
        <v>3610</v>
      </c>
      <c r="E126" s="72">
        <f t="shared" si="668"/>
        <v>11930</v>
      </c>
      <c r="F126" s="54"/>
      <c r="H126" s="55">
        <f t="shared" si="669"/>
        <v>3971.0000000000005</v>
      </c>
      <c r="I126" s="55">
        <f t="shared" si="513"/>
        <v>3971.0000000000005</v>
      </c>
      <c r="J126" s="59">
        <f t="shared" si="514"/>
        <v>13127.331800000002</v>
      </c>
      <c r="K126" s="55">
        <f t="shared" si="670"/>
        <v>3851.8700000000003</v>
      </c>
      <c r="L126" s="59">
        <f t="shared" si="671"/>
        <v>12733.511846000001</v>
      </c>
      <c r="M126" s="55">
        <f t="shared" si="672"/>
        <v>3772.4500000000003</v>
      </c>
      <c r="N126" s="59">
        <f t="shared" si="673"/>
        <v>12470.96521</v>
      </c>
      <c r="O126" s="55">
        <f t="shared" si="674"/>
        <v>3693.0300000000007</v>
      </c>
      <c r="P126" s="59">
        <f t="shared" si="675"/>
        <v>12208.418574000003</v>
      </c>
      <c r="Q126" s="57">
        <f t="shared" si="676"/>
        <v>3613.6100000000006</v>
      </c>
      <c r="R126" s="59">
        <f t="shared" si="677"/>
        <v>11945.871938000002</v>
      </c>
      <c r="S126" s="55">
        <f t="shared" si="678"/>
        <v>3534.1900000000005</v>
      </c>
      <c r="T126" s="59">
        <f t="shared" si="679"/>
        <v>11683.325302000001</v>
      </c>
      <c r="U126" s="57">
        <f t="shared" si="680"/>
        <v>3454.7700000000004</v>
      </c>
      <c r="V126" s="59">
        <f t="shared" si="681"/>
        <v>11420.778666000002</v>
      </c>
      <c r="W126" s="60">
        <f t="shared" si="682"/>
        <v>3375.3500000000004</v>
      </c>
      <c r="X126" s="59">
        <f t="shared" si="683"/>
        <v>11158.232030000001</v>
      </c>
      <c r="Y126" s="57">
        <f t="shared" si="684"/>
        <v>3295.9300000000003</v>
      </c>
      <c r="Z126" s="59">
        <f t="shared" si="685"/>
        <v>10895.685394000002</v>
      </c>
      <c r="AA126" s="55">
        <f t="shared" si="686"/>
        <v>3216.51</v>
      </c>
      <c r="AB126" s="59">
        <f t="shared" si="687"/>
        <v>10633.138758000001</v>
      </c>
      <c r="AC126" s="60">
        <f t="shared" si="688"/>
        <v>3137.09</v>
      </c>
      <c r="AD126" s="59">
        <f t="shared" si="689"/>
        <v>10370.592122</v>
      </c>
      <c r="AE126" s="60">
        <f t="shared" si="690"/>
        <v>3057.67</v>
      </c>
      <c r="AF126" s="59">
        <f t="shared" si="691"/>
        <v>10108.045486000001</v>
      </c>
      <c r="AG126" s="60">
        <f t="shared" si="692"/>
        <v>2978.25</v>
      </c>
      <c r="AH126" s="59">
        <f t="shared" si="693"/>
        <v>9845.4988499999999</v>
      </c>
      <c r="AI126" s="55">
        <f t="shared" si="694"/>
        <v>2898.83</v>
      </c>
      <c r="AJ126" s="59">
        <f t="shared" si="695"/>
        <v>9582.9522140000008</v>
      </c>
      <c r="AK126" s="60">
        <f t="shared" si="696"/>
        <v>2819.41</v>
      </c>
      <c r="AL126" s="59">
        <f t="shared" si="697"/>
        <v>9320.4055779999999</v>
      </c>
      <c r="AM126" s="60">
        <f t="shared" si="698"/>
        <v>2739.99</v>
      </c>
      <c r="AN126" s="59">
        <f t="shared" si="699"/>
        <v>9057.8589419999989</v>
      </c>
      <c r="AO126" s="60">
        <f t="shared" si="700"/>
        <v>2660.5699999999997</v>
      </c>
      <c r="AP126" s="59">
        <f t="shared" si="701"/>
        <v>8795.3123059999998</v>
      </c>
      <c r="AQ126" s="60">
        <f t="shared" si="702"/>
        <v>2581.1499999999996</v>
      </c>
      <c r="AR126" s="59">
        <f t="shared" si="703"/>
        <v>8532.7656699999989</v>
      </c>
      <c r="AS126" s="55">
        <f t="shared" si="704"/>
        <v>2501.7299999999996</v>
      </c>
      <c r="AT126" s="59">
        <f t="shared" si="705"/>
        <v>8270.2190339999979</v>
      </c>
      <c r="AU126" s="60">
        <f t="shared" si="706"/>
        <v>2422.3099999999995</v>
      </c>
      <c r="AV126" s="59">
        <f t="shared" si="707"/>
        <v>8007.6723979999988</v>
      </c>
      <c r="AW126" s="60">
        <f t="shared" si="708"/>
        <v>2342.8899999999994</v>
      </c>
      <c r="AX126" s="59">
        <f t="shared" si="709"/>
        <v>7745.1257619999978</v>
      </c>
      <c r="AY126" s="55">
        <f t="shared" si="710"/>
        <v>2263.4699999999993</v>
      </c>
      <c r="AZ126" s="59">
        <f t="shared" si="711"/>
        <v>7482.5791259999978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12"/>
        <v>0.91</v>
      </c>
      <c r="BH126" s="55">
        <f t="shared" si="712"/>
        <v>0.89</v>
      </c>
      <c r="BI126" s="55">
        <f t="shared" si="712"/>
        <v>0.87</v>
      </c>
      <c r="BJ126" s="55">
        <f t="shared" si="712"/>
        <v>0.85</v>
      </c>
      <c r="BK126" s="55">
        <f t="shared" si="712"/>
        <v>0.83</v>
      </c>
      <c r="BL126" s="55">
        <f t="shared" si="712"/>
        <v>0.80999999999999994</v>
      </c>
      <c r="BM126" s="55">
        <f t="shared" si="712"/>
        <v>0.78999999999999992</v>
      </c>
      <c r="BN126" s="55">
        <f t="shared" si="712"/>
        <v>0.76999999999999991</v>
      </c>
      <c r="BO126" s="55">
        <f t="shared" si="712"/>
        <v>0.74999999999999989</v>
      </c>
      <c r="BP126" s="55">
        <f t="shared" si="712"/>
        <v>0.72999999999999987</v>
      </c>
      <c r="BQ126" s="55">
        <f t="shared" si="712"/>
        <v>0.70999999999999985</v>
      </c>
      <c r="BR126" s="55">
        <f t="shared" si="712"/>
        <v>0.68999999999999984</v>
      </c>
      <c r="BS126" s="55">
        <f t="shared" si="712"/>
        <v>0.66999999999999982</v>
      </c>
      <c r="BT126" s="55">
        <f t="shared" si="712"/>
        <v>0.6499999999999998</v>
      </c>
      <c r="BU126" s="55">
        <f t="shared" si="712"/>
        <v>0.62999999999999978</v>
      </c>
      <c r="BV126" s="55">
        <f t="shared" si="712"/>
        <v>0.60999999999999976</v>
      </c>
      <c r="BW126" s="55">
        <f t="shared" si="712"/>
        <v>0.58999999999999975</v>
      </c>
      <c r="BX126" s="55">
        <f t="shared" si="712"/>
        <v>0.56999999999999973</v>
      </c>
      <c r="BZ126" s="55">
        <f t="shared" si="515"/>
        <v>3613.6100000000006</v>
      </c>
      <c r="CA126" s="55">
        <f t="shared" si="516"/>
        <v>3613.6100000000006</v>
      </c>
      <c r="CB126" s="59">
        <f t="shared" si="713"/>
        <v>11945.871938000002</v>
      </c>
      <c r="CC126" s="55">
        <f t="shared" si="714"/>
        <v>3505.2017000000005</v>
      </c>
      <c r="CD126" s="59">
        <f t="shared" si="715"/>
        <v>11587.495779860003</v>
      </c>
      <c r="CE126" s="55">
        <f t="shared" si="716"/>
        <v>3432.9295000000002</v>
      </c>
      <c r="CF126" s="59">
        <f t="shared" si="717"/>
        <v>11348.578341100001</v>
      </c>
      <c r="CG126" s="55">
        <f t="shared" si="718"/>
        <v>3360.6573000000008</v>
      </c>
      <c r="CH126" s="59">
        <f t="shared" si="719"/>
        <v>11109.660902340003</v>
      </c>
      <c r="CI126" s="57">
        <f t="shared" si="720"/>
        <v>3288.3851000000004</v>
      </c>
      <c r="CJ126" s="59">
        <f t="shared" si="721"/>
        <v>10870.743463580002</v>
      </c>
      <c r="CK126" s="55">
        <f t="shared" si="722"/>
        <v>3216.1129000000005</v>
      </c>
      <c r="CL126" s="59">
        <f t="shared" si="723"/>
        <v>10631.826024820002</v>
      </c>
      <c r="CM126" s="57">
        <f t="shared" si="724"/>
        <v>3143.8407000000007</v>
      </c>
      <c r="CN126" s="59">
        <f t="shared" si="725"/>
        <v>10392.908586060003</v>
      </c>
      <c r="CO126" s="60">
        <f t="shared" si="726"/>
        <v>3071.5685000000003</v>
      </c>
      <c r="CP126" s="59">
        <f t="shared" si="727"/>
        <v>10153.991147300001</v>
      </c>
      <c r="CQ126" s="57">
        <f t="shared" si="728"/>
        <v>2999.2963000000004</v>
      </c>
      <c r="CR126" s="59">
        <f t="shared" si="729"/>
        <v>9915.0737085400015</v>
      </c>
      <c r="CS126" s="55">
        <f t="shared" si="730"/>
        <v>2927.0241000000001</v>
      </c>
      <c r="CT126" s="59">
        <f t="shared" si="731"/>
        <v>9676.15626978</v>
      </c>
      <c r="CU126" s="60">
        <f t="shared" si="732"/>
        <v>2854.7519000000002</v>
      </c>
      <c r="CV126" s="59">
        <f t="shared" si="733"/>
        <v>9437.2388310200004</v>
      </c>
      <c r="CW126" s="60">
        <f t="shared" si="734"/>
        <v>2782.4797000000003</v>
      </c>
      <c r="CX126" s="59">
        <f t="shared" si="735"/>
        <v>9198.3213922600007</v>
      </c>
      <c r="CY126" s="60">
        <f t="shared" si="736"/>
        <v>2710.2075</v>
      </c>
      <c r="CZ126" s="59">
        <f t="shared" si="737"/>
        <v>8959.4039534999993</v>
      </c>
      <c r="DA126" s="55">
        <f t="shared" si="738"/>
        <v>2637.9353000000001</v>
      </c>
      <c r="DB126" s="59">
        <f t="shared" si="739"/>
        <v>8720.4865147399996</v>
      </c>
      <c r="DC126" s="60">
        <f t="shared" si="740"/>
        <v>2565.6630999999998</v>
      </c>
      <c r="DD126" s="59">
        <f t="shared" si="741"/>
        <v>8481.56907598</v>
      </c>
      <c r="DE126" s="60">
        <f t="shared" si="742"/>
        <v>2493.3908999999999</v>
      </c>
      <c r="DF126" s="59">
        <f t="shared" si="743"/>
        <v>8242.6516372200003</v>
      </c>
      <c r="DG126" s="60">
        <f t="shared" si="744"/>
        <v>2421.1186999999995</v>
      </c>
      <c r="DH126" s="59">
        <f t="shared" si="745"/>
        <v>8003.7341984599989</v>
      </c>
      <c r="DI126" s="60">
        <f t="shared" si="746"/>
        <v>2348.8464999999997</v>
      </c>
      <c r="DJ126" s="59">
        <f t="shared" si="747"/>
        <v>7764.8167596999992</v>
      </c>
      <c r="DK126" s="55">
        <f t="shared" si="748"/>
        <v>2276.5742999999998</v>
      </c>
      <c r="DL126" s="59">
        <f t="shared" si="749"/>
        <v>7525.8993209399996</v>
      </c>
      <c r="DM126" s="60">
        <f t="shared" si="750"/>
        <v>2204.3020999999994</v>
      </c>
      <c r="DN126" s="59">
        <f t="shared" si="751"/>
        <v>7286.9818821799981</v>
      </c>
      <c r="DO126" s="60">
        <f t="shared" si="752"/>
        <v>2132.0298999999995</v>
      </c>
      <c r="DP126" s="59">
        <f t="shared" si="753"/>
        <v>7048.0644434199985</v>
      </c>
      <c r="DQ126" s="55">
        <f t="shared" si="754"/>
        <v>2059.7576999999992</v>
      </c>
      <c r="DR126" s="59">
        <f t="shared" si="755"/>
        <v>6809.1470046599979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801"/>
        <v>0.91</v>
      </c>
      <c r="DZ126" s="55">
        <f t="shared" si="801"/>
        <v>0.89</v>
      </c>
      <c r="EA126" s="55">
        <f t="shared" si="801"/>
        <v>0.87</v>
      </c>
      <c r="EB126" s="55">
        <f t="shared" si="801"/>
        <v>0.85</v>
      </c>
      <c r="EC126" s="55">
        <f t="shared" si="801"/>
        <v>0.83</v>
      </c>
      <c r="ED126" s="55">
        <f t="shared" si="801"/>
        <v>0.80999999999999994</v>
      </c>
      <c r="EE126" s="55">
        <f t="shared" si="801"/>
        <v>0.78999999999999992</v>
      </c>
      <c r="EF126" s="55">
        <f t="shared" si="801"/>
        <v>0.76999999999999991</v>
      </c>
      <c r="EG126" s="55">
        <f t="shared" si="801"/>
        <v>0.74999999999999989</v>
      </c>
      <c r="EH126" s="55">
        <f t="shared" si="801"/>
        <v>0.72999999999999987</v>
      </c>
      <c r="EI126" s="55">
        <f t="shared" si="801"/>
        <v>0.70999999999999985</v>
      </c>
      <c r="EJ126" s="55">
        <f t="shared" si="801"/>
        <v>0.68999999999999984</v>
      </c>
      <c r="EK126" s="55">
        <f t="shared" si="801"/>
        <v>0.66999999999999982</v>
      </c>
      <c r="EL126" s="55">
        <f t="shared" si="801"/>
        <v>0.6499999999999998</v>
      </c>
      <c r="EM126" s="55">
        <f t="shared" si="801"/>
        <v>0.62999999999999978</v>
      </c>
      <c r="EN126" s="55">
        <f t="shared" si="801"/>
        <v>0.60999999999999976</v>
      </c>
      <c r="EO126" s="55">
        <f t="shared" si="801"/>
        <v>0.58999999999999975</v>
      </c>
      <c r="EP126" s="55">
        <f t="shared" si="801"/>
        <v>0.56999999999999973</v>
      </c>
      <c r="ER126" s="55">
        <f t="shared" si="656"/>
        <v>3288.3851000000004</v>
      </c>
      <c r="ES126" s="55">
        <f t="shared" si="517"/>
        <v>3288.3851000000004</v>
      </c>
      <c r="ET126" s="59">
        <f t="shared" si="756"/>
        <v>10870.743463580002</v>
      </c>
      <c r="EU126" s="55">
        <f t="shared" si="757"/>
        <v>3189.7335470000003</v>
      </c>
      <c r="EV126" s="59">
        <f t="shared" si="758"/>
        <v>10544.621159672601</v>
      </c>
      <c r="EW126" s="55">
        <f t="shared" si="759"/>
        <v>3123.9658450000002</v>
      </c>
      <c r="EX126" s="59">
        <f t="shared" si="760"/>
        <v>10327.206290401</v>
      </c>
      <c r="EY126" s="55">
        <f t="shared" si="761"/>
        <v>3058.1981430000005</v>
      </c>
      <c r="EZ126" s="59">
        <f t="shared" si="762"/>
        <v>10109.791421129403</v>
      </c>
      <c r="FA126" s="57">
        <f t="shared" si="763"/>
        <v>2992.4304410000004</v>
      </c>
      <c r="FB126" s="59">
        <f t="shared" si="764"/>
        <v>9892.376551857802</v>
      </c>
      <c r="FC126" s="55">
        <f t="shared" si="765"/>
        <v>2926.6627390000003</v>
      </c>
      <c r="FD126" s="59">
        <f t="shared" si="766"/>
        <v>9674.9616825862013</v>
      </c>
      <c r="FE126" s="57">
        <f t="shared" si="767"/>
        <v>2860.8950370000002</v>
      </c>
      <c r="FF126" s="59">
        <f t="shared" si="768"/>
        <v>9457.5468133146005</v>
      </c>
      <c r="FG126" s="60">
        <f t="shared" si="769"/>
        <v>2795.1273350000001</v>
      </c>
      <c r="FH126" s="59">
        <f t="shared" si="770"/>
        <v>9240.1319440429997</v>
      </c>
      <c r="FI126" s="57">
        <f t="shared" si="771"/>
        <v>2729.359633</v>
      </c>
      <c r="FJ126" s="59">
        <f t="shared" si="772"/>
        <v>9022.7170747714008</v>
      </c>
      <c r="FK126" s="55">
        <f t="shared" si="773"/>
        <v>2663.5919309999999</v>
      </c>
      <c r="FL126" s="59">
        <f t="shared" si="774"/>
        <v>8805.3022054998</v>
      </c>
      <c r="FM126" s="60">
        <f t="shared" si="775"/>
        <v>2597.8242290000003</v>
      </c>
      <c r="FN126" s="59">
        <f t="shared" si="776"/>
        <v>8587.8873362282011</v>
      </c>
      <c r="FO126" s="60">
        <f t="shared" si="777"/>
        <v>2532.0565270000002</v>
      </c>
      <c r="FP126" s="59">
        <f t="shared" si="778"/>
        <v>8370.4724669566003</v>
      </c>
      <c r="FQ126" s="60">
        <f t="shared" si="779"/>
        <v>2466.2888250000001</v>
      </c>
      <c r="FR126" s="59">
        <f t="shared" si="780"/>
        <v>8153.0575976850005</v>
      </c>
      <c r="FS126" s="55">
        <f t="shared" si="781"/>
        <v>2400.521123</v>
      </c>
      <c r="FT126" s="59">
        <f t="shared" si="782"/>
        <v>7935.6427284133997</v>
      </c>
      <c r="FU126" s="60">
        <f t="shared" si="783"/>
        <v>2334.7534209999999</v>
      </c>
      <c r="FV126" s="59">
        <f t="shared" si="784"/>
        <v>7718.2278591417999</v>
      </c>
      <c r="FW126" s="60">
        <f t="shared" si="785"/>
        <v>2268.9857189999998</v>
      </c>
      <c r="FX126" s="59">
        <f t="shared" si="786"/>
        <v>7500.8129898701991</v>
      </c>
      <c r="FY126" s="60">
        <f t="shared" si="787"/>
        <v>2203.2180169999997</v>
      </c>
      <c r="FZ126" s="59">
        <f t="shared" si="788"/>
        <v>7283.3981205985992</v>
      </c>
      <c r="GA126" s="60">
        <f t="shared" si="789"/>
        <v>2137.4503149999996</v>
      </c>
      <c r="GB126" s="59">
        <f t="shared" si="790"/>
        <v>7065.9832513269985</v>
      </c>
      <c r="GC126" s="55">
        <f t="shared" si="791"/>
        <v>2071.6826129999995</v>
      </c>
      <c r="GD126" s="59">
        <f t="shared" si="792"/>
        <v>6848.5683820553986</v>
      </c>
      <c r="GE126" s="60">
        <f t="shared" si="793"/>
        <v>2005.9149109999994</v>
      </c>
      <c r="GF126" s="59">
        <f t="shared" si="794"/>
        <v>6631.1535127837979</v>
      </c>
      <c r="GG126" s="60">
        <f t="shared" si="795"/>
        <v>1940.1472089999995</v>
      </c>
      <c r="GH126" s="59">
        <f t="shared" si="796"/>
        <v>6413.7386435121989</v>
      </c>
      <c r="GI126" s="55">
        <f t="shared" si="797"/>
        <v>1874.3795069999994</v>
      </c>
      <c r="GJ126" s="59">
        <f t="shared" si="798"/>
        <v>6196.3237742405981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802"/>
        <v>0.91</v>
      </c>
      <c r="GR126" s="55">
        <f t="shared" si="802"/>
        <v>0.89</v>
      </c>
      <c r="GS126" s="55">
        <f t="shared" si="802"/>
        <v>0.87</v>
      </c>
      <c r="GT126" s="55">
        <f t="shared" si="802"/>
        <v>0.85</v>
      </c>
      <c r="GU126" s="55">
        <f t="shared" si="802"/>
        <v>0.83</v>
      </c>
      <c r="GV126" s="55">
        <f t="shared" si="802"/>
        <v>0.80999999999999994</v>
      </c>
      <c r="GW126" s="55">
        <f t="shared" si="802"/>
        <v>0.78999999999999992</v>
      </c>
      <c r="GX126" s="55">
        <f t="shared" si="802"/>
        <v>0.76999999999999991</v>
      </c>
      <c r="GY126" s="55">
        <f t="shared" si="802"/>
        <v>0.74999999999999989</v>
      </c>
      <c r="GZ126" s="55">
        <f t="shared" si="802"/>
        <v>0.72999999999999987</v>
      </c>
      <c r="HA126" s="55">
        <f t="shared" si="802"/>
        <v>0.70999999999999985</v>
      </c>
      <c r="HB126" s="55">
        <f t="shared" si="802"/>
        <v>0.68999999999999984</v>
      </c>
      <c r="HC126" s="55">
        <f t="shared" si="802"/>
        <v>0.66999999999999982</v>
      </c>
      <c r="HD126" s="55">
        <f t="shared" si="802"/>
        <v>0.6499999999999998</v>
      </c>
      <c r="HE126" s="55">
        <f t="shared" si="802"/>
        <v>0.62999999999999978</v>
      </c>
      <c r="HF126" s="55">
        <f t="shared" si="802"/>
        <v>0.60999999999999976</v>
      </c>
      <c r="HG126" s="55">
        <f t="shared" si="802"/>
        <v>0.58999999999999975</v>
      </c>
      <c r="HH126" s="55">
        <f t="shared" si="802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75140</v>
      </c>
      <c r="E127" s="39">
        <f>SUM(E116:E126)</f>
        <v>248370</v>
      </c>
      <c r="H127" s="55">
        <f t="shared" si="669"/>
        <v>82654</v>
      </c>
      <c r="I127" s="55">
        <f t="shared" si="513"/>
        <v>82654</v>
      </c>
      <c r="J127" s="59">
        <f t="shared" si="514"/>
        <v>273237.5932</v>
      </c>
      <c r="K127" s="55">
        <f t="shared" si="670"/>
        <v>80174.38</v>
      </c>
      <c r="L127" s="59">
        <f t="shared" si="671"/>
        <v>265040.46540400002</v>
      </c>
      <c r="M127" s="55">
        <f t="shared" si="672"/>
        <v>78521.3</v>
      </c>
      <c r="N127" s="59">
        <f t="shared" si="673"/>
        <v>259575.71354000003</v>
      </c>
      <c r="O127" s="55">
        <f t="shared" si="674"/>
        <v>76868.22</v>
      </c>
      <c r="P127" s="59">
        <f t="shared" si="675"/>
        <v>254110.96167600001</v>
      </c>
      <c r="Q127" s="57">
        <f t="shared" si="676"/>
        <v>75215.14</v>
      </c>
      <c r="R127" s="59">
        <f t="shared" si="677"/>
        <v>248646.20981200002</v>
      </c>
      <c r="S127" s="55">
        <f t="shared" si="678"/>
        <v>73562.06</v>
      </c>
      <c r="T127" s="59">
        <f t="shared" si="679"/>
        <v>243181.457948</v>
      </c>
      <c r="U127" s="57">
        <f t="shared" si="680"/>
        <v>71908.98</v>
      </c>
      <c r="V127" s="59">
        <f t="shared" si="681"/>
        <v>237716.706084</v>
      </c>
      <c r="W127" s="60">
        <f t="shared" si="682"/>
        <v>70255.899999999994</v>
      </c>
      <c r="X127" s="59">
        <f t="shared" si="683"/>
        <v>232251.95421999999</v>
      </c>
      <c r="Y127" s="57">
        <f t="shared" si="684"/>
        <v>68602.819999999992</v>
      </c>
      <c r="Z127" s="59">
        <f t="shared" si="685"/>
        <v>226787.20235599999</v>
      </c>
      <c r="AA127" s="55">
        <f t="shared" si="686"/>
        <v>66949.739999999991</v>
      </c>
      <c r="AB127" s="59">
        <f t="shared" si="687"/>
        <v>221322.45049199997</v>
      </c>
      <c r="AC127" s="60">
        <f t="shared" si="688"/>
        <v>65296.659999999996</v>
      </c>
      <c r="AD127" s="59">
        <f t="shared" si="689"/>
        <v>215857.69862799998</v>
      </c>
      <c r="AE127" s="60">
        <f t="shared" si="690"/>
        <v>63643.579999999994</v>
      </c>
      <c r="AF127" s="59">
        <f t="shared" si="691"/>
        <v>210392.94676399999</v>
      </c>
      <c r="AG127" s="60">
        <f t="shared" si="692"/>
        <v>61990.499999999993</v>
      </c>
      <c r="AH127" s="59">
        <f t="shared" si="693"/>
        <v>204928.19489999997</v>
      </c>
      <c r="AI127" s="55">
        <f t="shared" si="694"/>
        <v>60337.419999999991</v>
      </c>
      <c r="AJ127" s="59">
        <f t="shared" si="695"/>
        <v>199463.44303599998</v>
      </c>
      <c r="AK127" s="60">
        <f t="shared" si="696"/>
        <v>58684.339999999989</v>
      </c>
      <c r="AL127" s="59">
        <f t="shared" si="697"/>
        <v>193998.69117199996</v>
      </c>
      <c r="AM127" s="60">
        <f t="shared" si="698"/>
        <v>57031.259999999987</v>
      </c>
      <c r="AN127" s="59">
        <f t="shared" si="699"/>
        <v>188533.93930799997</v>
      </c>
      <c r="AO127" s="60">
        <f t="shared" si="700"/>
        <v>55378.179999999986</v>
      </c>
      <c r="AP127" s="59">
        <f t="shared" si="701"/>
        <v>183069.18744399995</v>
      </c>
      <c r="AQ127" s="60">
        <f t="shared" si="702"/>
        <v>53725.099999999984</v>
      </c>
      <c r="AR127" s="59">
        <f t="shared" si="703"/>
        <v>177604.43557999996</v>
      </c>
      <c r="AS127" s="55">
        <f t="shared" si="704"/>
        <v>52072.019999999982</v>
      </c>
      <c r="AT127" s="59">
        <f t="shared" si="705"/>
        <v>172139.68371599994</v>
      </c>
      <c r="AU127" s="60">
        <f t="shared" si="706"/>
        <v>50418.939999999981</v>
      </c>
      <c r="AV127" s="59">
        <f t="shared" si="707"/>
        <v>166674.93185199995</v>
      </c>
      <c r="AW127" s="60">
        <f t="shared" si="708"/>
        <v>48765.859999999979</v>
      </c>
      <c r="AX127" s="59">
        <f t="shared" si="709"/>
        <v>161210.17998799993</v>
      </c>
      <c r="AY127" s="55">
        <f t="shared" si="710"/>
        <v>47112.779999999977</v>
      </c>
      <c r="AZ127" s="59">
        <f t="shared" si="711"/>
        <v>155745.42812399994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12"/>
        <v>0.91</v>
      </c>
      <c r="BH127" s="55">
        <f t="shared" si="712"/>
        <v>0.89</v>
      </c>
      <c r="BI127" s="55">
        <f t="shared" si="712"/>
        <v>0.87</v>
      </c>
      <c r="BJ127" s="55">
        <f t="shared" si="712"/>
        <v>0.85</v>
      </c>
      <c r="BK127" s="55">
        <f t="shared" si="712"/>
        <v>0.83</v>
      </c>
      <c r="BL127" s="55">
        <f t="shared" si="712"/>
        <v>0.80999999999999994</v>
      </c>
      <c r="BM127" s="55">
        <f t="shared" si="712"/>
        <v>0.78999999999999992</v>
      </c>
      <c r="BN127" s="55">
        <f t="shared" si="712"/>
        <v>0.76999999999999991</v>
      </c>
      <c r="BO127" s="55">
        <f t="shared" si="712"/>
        <v>0.74999999999999989</v>
      </c>
      <c r="BP127" s="55">
        <f t="shared" si="712"/>
        <v>0.72999999999999987</v>
      </c>
      <c r="BQ127" s="55">
        <f t="shared" si="712"/>
        <v>0.70999999999999985</v>
      </c>
      <c r="BR127" s="55">
        <f t="shared" si="712"/>
        <v>0.68999999999999984</v>
      </c>
      <c r="BS127" s="55">
        <f t="shared" si="712"/>
        <v>0.66999999999999982</v>
      </c>
      <c r="BT127" s="55">
        <f t="shared" si="712"/>
        <v>0.6499999999999998</v>
      </c>
      <c r="BU127" s="55">
        <f t="shared" si="712"/>
        <v>0.62999999999999978</v>
      </c>
      <c r="BV127" s="55">
        <f t="shared" si="712"/>
        <v>0.60999999999999976</v>
      </c>
      <c r="BW127" s="55">
        <f t="shared" si="712"/>
        <v>0.58999999999999975</v>
      </c>
      <c r="BX127" s="55">
        <f t="shared" si="712"/>
        <v>0.56999999999999973</v>
      </c>
      <c r="BZ127" s="55">
        <f t="shared" si="515"/>
        <v>75215.14</v>
      </c>
      <c r="CA127" s="55">
        <f t="shared" si="516"/>
        <v>75215.14</v>
      </c>
      <c r="CB127" s="59">
        <f t="shared" si="713"/>
        <v>248646.20981200002</v>
      </c>
      <c r="CC127" s="55">
        <f t="shared" si="714"/>
        <v>72958.685799999992</v>
      </c>
      <c r="CD127" s="59">
        <f t="shared" si="715"/>
        <v>241186.82351763998</v>
      </c>
      <c r="CE127" s="55">
        <f t="shared" si="716"/>
        <v>71454.383000000002</v>
      </c>
      <c r="CF127" s="59">
        <f t="shared" si="717"/>
        <v>236213.89932140001</v>
      </c>
      <c r="CG127" s="55">
        <f t="shared" si="718"/>
        <v>69950.080199999997</v>
      </c>
      <c r="CH127" s="59">
        <f t="shared" si="719"/>
        <v>231240.97512515998</v>
      </c>
      <c r="CI127" s="57">
        <f t="shared" si="720"/>
        <v>68445.777400000006</v>
      </c>
      <c r="CJ127" s="59">
        <f t="shared" si="721"/>
        <v>226268.05092892001</v>
      </c>
      <c r="CK127" s="55">
        <f t="shared" si="722"/>
        <v>66941.474600000001</v>
      </c>
      <c r="CL127" s="59">
        <f t="shared" si="723"/>
        <v>221295.12673268002</v>
      </c>
      <c r="CM127" s="57">
        <f t="shared" si="724"/>
        <v>65437.171799999996</v>
      </c>
      <c r="CN127" s="59">
        <f t="shared" si="725"/>
        <v>216322.20253643999</v>
      </c>
      <c r="CO127" s="60">
        <f t="shared" si="726"/>
        <v>63932.868999999999</v>
      </c>
      <c r="CP127" s="59">
        <f t="shared" si="727"/>
        <v>211349.27834019999</v>
      </c>
      <c r="CQ127" s="57">
        <f t="shared" si="728"/>
        <v>62428.566199999994</v>
      </c>
      <c r="CR127" s="59">
        <f t="shared" si="729"/>
        <v>206376.35414395999</v>
      </c>
      <c r="CS127" s="55">
        <f t="shared" si="730"/>
        <v>60924.263399999996</v>
      </c>
      <c r="CT127" s="59">
        <f t="shared" si="731"/>
        <v>201403.42994772</v>
      </c>
      <c r="CU127" s="60">
        <f t="shared" si="732"/>
        <v>59419.960599999991</v>
      </c>
      <c r="CV127" s="59">
        <f t="shared" si="733"/>
        <v>196430.50575147997</v>
      </c>
      <c r="CW127" s="60">
        <f t="shared" si="734"/>
        <v>57915.657799999994</v>
      </c>
      <c r="CX127" s="59">
        <f t="shared" si="735"/>
        <v>191457.58155523997</v>
      </c>
      <c r="CY127" s="60">
        <f t="shared" si="736"/>
        <v>56411.354999999989</v>
      </c>
      <c r="CZ127" s="59">
        <f t="shared" si="737"/>
        <v>186484.65735899998</v>
      </c>
      <c r="DA127" s="55">
        <f t="shared" si="738"/>
        <v>54907.052199999991</v>
      </c>
      <c r="DB127" s="59">
        <f t="shared" si="739"/>
        <v>181511.73316275998</v>
      </c>
      <c r="DC127" s="60">
        <f t="shared" si="740"/>
        <v>53402.749399999986</v>
      </c>
      <c r="DD127" s="59">
        <f t="shared" si="741"/>
        <v>176538.80896651995</v>
      </c>
      <c r="DE127" s="60">
        <f t="shared" si="742"/>
        <v>51898.446599999988</v>
      </c>
      <c r="DF127" s="59">
        <f t="shared" si="743"/>
        <v>171565.88477027995</v>
      </c>
      <c r="DG127" s="60">
        <f t="shared" si="744"/>
        <v>50394.143799999983</v>
      </c>
      <c r="DH127" s="59">
        <f t="shared" si="745"/>
        <v>166592.96057403996</v>
      </c>
      <c r="DI127" s="60">
        <f t="shared" si="746"/>
        <v>48889.840999999986</v>
      </c>
      <c r="DJ127" s="59">
        <f t="shared" si="747"/>
        <v>161620.03637779996</v>
      </c>
      <c r="DK127" s="55">
        <f t="shared" si="748"/>
        <v>47385.538199999981</v>
      </c>
      <c r="DL127" s="59">
        <f t="shared" si="749"/>
        <v>156647.11218155993</v>
      </c>
      <c r="DM127" s="60">
        <f t="shared" si="750"/>
        <v>45881.235399999983</v>
      </c>
      <c r="DN127" s="59">
        <f t="shared" si="751"/>
        <v>151674.18798531994</v>
      </c>
      <c r="DO127" s="60">
        <f t="shared" si="752"/>
        <v>44376.932599999978</v>
      </c>
      <c r="DP127" s="59">
        <f t="shared" si="753"/>
        <v>146701.26378907994</v>
      </c>
      <c r="DQ127" s="55">
        <f t="shared" si="754"/>
        <v>42872.629799999981</v>
      </c>
      <c r="DR127" s="59">
        <f t="shared" si="755"/>
        <v>141728.33959283994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801"/>
        <v>0.91</v>
      </c>
      <c r="DZ127" s="55">
        <f t="shared" si="801"/>
        <v>0.89</v>
      </c>
      <c r="EA127" s="55">
        <f t="shared" si="801"/>
        <v>0.87</v>
      </c>
      <c r="EB127" s="55">
        <f t="shared" si="801"/>
        <v>0.85</v>
      </c>
      <c r="EC127" s="55">
        <f t="shared" si="801"/>
        <v>0.83</v>
      </c>
      <c r="ED127" s="55">
        <f t="shared" si="801"/>
        <v>0.80999999999999994</v>
      </c>
      <c r="EE127" s="55">
        <f t="shared" si="801"/>
        <v>0.78999999999999992</v>
      </c>
      <c r="EF127" s="55">
        <f t="shared" si="801"/>
        <v>0.76999999999999991</v>
      </c>
      <c r="EG127" s="55">
        <f t="shared" si="801"/>
        <v>0.74999999999999989</v>
      </c>
      <c r="EH127" s="55">
        <f t="shared" si="801"/>
        <v>0.72999999999999987</v>
      </c>
      <c r="EI127" s="55">
        <f t="shared" si="801"/>
        <v>0.70999999999999985</v>
      </c>
      <c r="EJ127" s="55">
        <f t="shared" si="801"/>
        <v>0.68999999999999984</v>
      </c>
      <c r="EK127" s="55">
        <f t="shared" si="801"/>
        <v>0.66999999999999982</v>
      </c>
      <c r="EL127" s="55">
        <f t="shared" si="801"/>
        <v>0.6499999999999998</v>
      </c>
      <c r="EM127" s="55">
        <f t="shared" si="801"/>
        <v>0.62999999999999978</v>
      </c>
      <c r="EN127" s="55">
        <f t="shared" si="801"/>
        <v>0.60999999999999976</v>
      </c>
      <c r="EO127" s="55">
        <f t="shared" si="801"/>
        <v>0.58999999999999975</v>
      </c>
      <c r="EP127" s="55">
        <f t="shared" si="801"/>
        <v>0.56999999999999973</v>
      </c>
      <c r="ER127" s="55">
        <f t="shared" si="656"/>
        <v>68445.777400000006</v>
      </c>
      <c r="ES127" s="55">
        <f t="shared" si="517"/>
        <v>68445.777400000006</v>
      </c>
      <c r="ET127" s="59">
        <f t="shared" si="756"/>
        <v>226268.05092892001</v>
      </c>
      <c r="EU127" s="55">
        <f t="shared" si="757"/>
        <v>66392.404078000007</v>
      </c>
      <c r="EV127" s="59">
        <f t="shared" si="758"/>
        <v>219480.00940105243</v>
      </c>
      <c r="EW127" s="55">
        <f t="shared" si="759"/>
        <v>65023.488530000002</v>
      </c>
      <c r="EX127" s="59">
        <f t="shared" si="760"/>
        <v>214954.648382474</v>
      </c>
      <c r="EY127" s="55">
        <f t="shared" si="761"/>
        <v>63654.572982000012</v>
      </c>
      <c r="EZ127" s="59">
        <f t="shared" si="762"/>
        <v>210429.28736389565</v>
      </c>
      <c r="FA127" s="57">
        <f t="shared" si="763"/>
        <v>62285.657434000008</v>
      </c>
      <c r="FB127" s="59">
        <f t="shared" si="764"/>
        <v>205903.92634531722</v>
      </c>
      <c r="FC127" s="55">
        <f t="shared" si="765"/>
        <v>60916.741886000003</v>
      </c>
      <c r="FD127" s="59">
        <f t="shared" si="766"/>
        <v>201378.56532673881</v>
      </c>
      <c r="FE127" s="57">
        <f t="shared" si="767"/>
        <v>59547.826338000006</v>
      </c>
      <c r="FF127" s="59">
        <f t="shared" si="768"/>
        <v>196853.20430816044</v>
      </c>
      <c r="FG127" s="60">
        <f t="shared" si="769"/>
        <v>58178.910790000002</v>
      </c>
      <c r="FH127" s="59">
        <f t="shared" si="770"/>
        <v>192327.843289582</v>
      </c>
      <c r="FI127" s="57">
        <f t="shared" si="771"/>
        <v>56809.995242000005</v>
      </c>
      <c r="FJ127" s="59">
        <f t="shared" si="772"/>
        <v>187802.48227100362</v>
      </c>
      <c r="FK127" s="55">
        <f t="shared" si="773"/>
        <v>55441.079694</v>
      </c>
      <c r="FL127" s="59">
        <f t="shared" si="774"/>
        <v>183277.12125242519</v>
      </c>
      <c r="FM127" s="60">
        <f t="shared" si="775"/>
        <v>54072.164146000003</v>
      </c>
      <c r="FN127" s="59">
        <f t="shared" si="776"/>
        <v>178751.76023384681</v>
      </c>
      <c r="FO127" s="60">
        <f t="shared" si="777"/>
        <v>52703.248597999998</v>
      </c>
      <c r="FP127" s="59">
        <f t="shared" si="778"/>
        <v>174226.39921526841</v>
      </c>
      <c r="FQ127" s="60">
        <f t="shared" si="779"/>
        <v>51334.333049999994</v>
      </c>
      <c r="FR127" s="59">
        <f t="shared" si="780"/>
        <v>169701.03819668997</v>
      </c>
      <c r="FS127" s="55">
        <f t="shared" si="781"/>
        <v>49965.417501999997</v>
      </c>
      <c r="FT127" s="59">
        <f t="shared" si="782"/>
        <v>165175.6771781116</v>
      </c>
      <c r="FU127" s="60">
        <f t="shared" si="783"/>
        <v>48596.501953999992</v>
      </c>
      <c r="FV127" s="59">
        <f t="shared" si="784"/>
        <v>160650.31615953319</v>
      </c>
      <c r="FW127" s="60">
        <f t="shared" si="785"/>
        <v>47227.586405999995</v>
      </c>
      <c r="FX127" s="59">
        <f t="shared" si="786"/>
        <v>156124.95514095479</v>
      </c>
      <c r="FY127" s="60">
        <f t="shared" si="787"/>
        <v>45858.67085799999</v>
      </c>
      <c r="FZ127" s="59">
        <f t="shared" si="788"/>
        <v>151599.59412237638</v>
      </c>
      <c r="GA127" s="60">
        <f t="shared" si="789"/>
        <v>44489.755309999993</v>
      </c>
      <c r="GB127" s="59">
        <f t="shared" si="790"/>
        <v>147074.23310379797</v>
      </c>
      <c r="GC127" s="55">
        <f t="shared" si="791"/>
        <v>43120.839761999989</v>
      </c>
      <c r="GD127" s="59">
        <f t="shared" si="792"/>
        <v>142548.87208521957</v>
      </c>
      <c r="GE127" s="60">
        <f t="shared" si="793"/>
        <v>41751.924213999984</v>
      </c>
      <c r="GF127" s="59">
        <f t="shared" si="794"/>
        <v>138023.51106664116</v>
      </c>
      <c r="GG127" s="60">
        <f t="shared" si="795"/>
        <v>40383.008665999987</v>
      </c>
      <c r="GH127" s="59">
        <f t="shared" si="796"/>
        <v>133498.15004806276</v>
      </c>
      <c r="GI127" s="55">
        <f t="shared" si="797"/>
        <v>39014.093117999982</v>
      </c>
      <c r="GJ127" s="59">
        <f t="shared" si="798"/>
        <v>128972.78902948434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802"/>
        <v>0.91</v>
      </c>
      <c r="GR127" s="55">
        <f t="shared" si="802"/>
        <v>0.89</v>
      </c>
      <c r="GS127" s="55">
        <f t="shared" si="802"/>
        <v>0.87</v>
      </c>
      <c r="GT127" s="55">
        <f t="shared" si="802"/>
        <v>0.85</v>
      </c>
      <c r="GU127" s="55">
        <f t="shared" si="802"/>
        <v>0.83</v>
      </c>
      <c r="GV127" s="55">
        <f t="shared" si="802"/>
        <v>0.80999999999999994</v>
      </c>
      <c r="GW127" s="55">
        <f t="shared" si="802"/>
        <v>0.78999999999999992</v>
      </c>
      <c r="GX127" s="55">
        <f t="shared" si="802"/>
        <v>0.76999999999999991</v>
      </c>
      <c r="GY127" s="55">
        <f t="shared" si="802"/>
        <v>0.74999999999999989</v>
      </c>
      <c r="GZ127" s="55">
        <f t="shared" si="802"/>
        <v>0.72999999999999987</v>
      </c>
      <c r="HA127" s="55">
        <f t="shared" si="802"/>
        <v>0.70999999999999985</v>
      </c>
      <c r="HB127" s="55">
        <f t="shared" si="802"/>
        <v>0.68999999999999984</v>
      </c>
      <c r="HC127" s="55">
        <f t="shared" si="802"/>
        <v>0.66999999999999982</v>
      </c>
      <c r="HD127" s="55">
        <f t="shared" si="802"/>
        <v>0.6499999999999998</v>
      </c>
      <c r="HE127" s="55">
        <f t="shared" si="802"/>
        <v>0.62999999999999978</v>
      </c>
      <c r="HF127" s="55">
        <f t="shared" si="802"/>
        <v>0.60999999999999976</v>
      </c>
      <c r="HG127" s="55">
        <f t="shared" si="802"/>
        <v>0.58999999999999975</v>
      </c>
      <c r="HH127" s="55">
        <f t="shared" si="802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803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804">+DW128-0.02</f>
        <v>0.91</v>
      </c>
      <c r="DY128" s="61">
        <f t="shared" si="804"/>
        <v>0.89</v>
      </c>
      <c r="DZ128" s="61">
        <f t="shared" si="804"/>
        <v>0.87</v>
      </c>
      <c r="EA128" s="61">
        <f t="shared" si="804"/>
        <v>0.85</v>
      </c>
      <c r="EB128" s="61">
        <f t="shared" si="804"/>
        <v>0.83</v>
      </c>
      <c r="EC128" s="61">
        <f t="shared" si="804"/>
        <v>0.80999999999999994</v>
      </c>
      <c r="ED128" s="61">
        <f t="shared" si="804"/>
        <v>0.78999999999999992</v>
      </c>
      <c r="EE128" s="61">
        <f t="shared" si="804"/>
        <v>0.76999999999999991</v>
      </c>
      <c r="EF128" s="61">
        <f t="shared" si="804"/>
        <v>0.74999999999999989</v>
      </c>
      <c r="EG128" s="61">
        <f t="shared" si="804"/>
        <v>0.72999999999999987</v>
      </c>
      <c r="EH128" s="61">
        <f t="shared" si="804"/>
        <v>0.70999999999999985</v>
      </c>
      <c r="EI128" s="61">
        <f t="shared" si="804"/>
        <v>0.68999999999999984</v>
      </c>
      <c r="EJ128" s="61">
        <f t="shared" si="804"/>
        <v>0.66999999999999982</v>
      </c>
      <c r="EK128" s="61">
        <f t="shared" si="804"/>
        <v>0.6499999999999998</v>
      </c>
      <c r="EL128" s="61">
        <f t="shared" si="804"/>
        <v>0.62999999999999978</v>
      </c>
      <c r="EM128" s="61">
        <f t="shared" si="804"/>
        <v>0.60999999999999976</v>
      </c>
      <c r="EN128" s="61">
        <f t="shared" si="804"/>
        <v>0.58999999999999975</v>
      </c>
      <c r="EO128" s="61">
        <f t="shared" si="804"/>
        <v>0.56999999999999973</v>
      </c>
      <c r="EQ128" s="61">
        <f t="shared" ref="EQ128:EQ129" si="805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806">+GO128-0.02</f>
        <v>0.91</v>
      </c>
      <c r="GQ128" s="61">
        <f t="shared" si="806"/>
        <v>0.89</v>
      </c>
      <c r="GR128" s="61">
        <f t="shared" si="806"/>
        <v>0.87</v>
      </c>
      <c r="GS128" s="61">
        <f t="shared" si="806"/>
        <v>0.85</v>
      </c>
      <c r="GT128" s="61">
        <f t="shared" si="806"/>
        <v>0.83</v>
      </c>
      <c r="GU128" s="61">
        <f t="shared" si="806"/>
        <v>0.80999999999999994</v>
      </c>
      <c r="GV128" s="61">
        <f t="shared" si="806"/>
        <v>0.78999999999999992</v>
      </c>
      <c r="GW128" s="61">
        <f t="shared" si="806"/>
        <v>0.76999999999999991</v>
      </c>
      <c r="GX128" s="61">
        <f t="shared" si="806"/>
        <v>0.74999999999999989</v>
      </c>
      <c r="GY128" s="61">
        <f t="shared" si="806"/>
        <v>0.72999999999999987</v>
      </c>
      <c r="GZ128" s="61">
        <f t="shared" si="806"/>
        <v>0.70999999999999985</v>
      </c>
      <c r="HA128" s="61">
        <f t="shared" si="806"/>
        <v>0.68999999999999984</v>
      </c>
      <c r="HB128" s="61">
        <f t="shared" si="806"/>
        <v>0.66999999999999982</v>
      </c>
      <c r="HC128" s="61">
        <f t="shared" si="806"/>
        <v>0.6499999999999998</v>
      </c>
      <c r="HD128" s="61">
        <f t="shared" si="806"/>
        <v>0.62999999999999978</v>
      </c>
      <c r="HE128" s="61">
        <f t="shared" si="806"/>
        <v>0.60999999999999976</v>
      </c>
      <c r="HF128" s="61">
        <f t="shared" si="806"/>
        <v>0.58999999999999975</v>
      </c>
      <c r="HG128" s="61">
        <f t="shared" si="806"/>
        <v>0.56999999999999973</v>
      </c>
    </row>
    <row r="129" spans="1:216" s="64" customFormat="1" ht="17.25" thickBot="1" x14ac:dyDescent="0.35">
      <c r="B129" s="64" t="s">
        <v>300</v>
      </c>
      <c r="C129" s="64" t="s">
        <v>297</v>
      </c>
      <c r="D129" s="65" t="s">
        <v>271</v>
      </c>
      <c r="E129" s="65" t="s">
        <v>154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803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804"/>
        <v>0.91</v>
      </c>
      <c r="DY129" s="61">
        <f t="shared" si="804"/>
        <v>0.89</v>
      </c>
      <c r="DZ129" s="61">
        <f t="shared" si="804"/>
        <v>0.87</v>
      </c>
      <c r="EA129" s="61">
        <f t="shared" si="804"/>
        <v>0.85</v>
      </c>
      <c r="EB129" s="61">
        <f t="shared" si="804"/>
        <v>0.83</v>
      </c>
      <c r="EC129" s="61">
        <f t="shared" si="804"/>
        <v>0.80999999999999994</v>
      </c>
      <c r="ED129" s="61">
        <f t="shared" si="804"/>
        <v>0.78999999999999992</v>
      </c>
      <c r="EE129" s="61">
        <f t="shared" si="804"/>
        <v>0.76999999999999991</v>
      </c>
      <c r="EF129" s="61">
        <f t="shared" si="804"/>
        <v>0.74999999999999989</v>
      </c>
      <c r="EG129" s="61">
        <f t="shared" si="804"/>
        <v>0.72999999999999987</v>
      </c>
      <c r="EH129" s="61">
        <f t="shared" si="804"/>
        <v>0.70999999999999985</v>
      </c>
      <c r="EI129" s="61">
        <f t="shared" si="804"/>
        <v>0.68999999999999984</v>
      </c>
      <c r="EJ129" s="61">
        <f t="shared" si="804"/>
        <v>0.66999999999999982</v>
      </c>
      <c r="EK129" s="61">
        <f t="shared" si="804"/>
        <v>0.6499999999999998</v>
      </c>
      <c r="EL129" s="61">
        <f t="shared" si="804"/>
        <v>0.62999999999999978</v>
      </c>
      <c r="EM129" s="61">
        <f t="shared" si="804"/>
        <v>0.60999999999999976</v>
      </c>
      <c r="EN129" s="61">
        <f t="shared" si="804"/>
        <v>0.58999999999999975</v>
      </c>
      <c r="EO129" s="61">
        <f t="shared" si="804"/>
        <v>0.56999999999999973</v>
      </c>
      <c r="EQ129" s="61">
        <f t="shared" si="805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806"/>
        <v>0.91</v>
      </c>
      <c r="GQ129" s="61">
        <f t="shared" si="806"/>
        <v>0.89</v>
      </c>
      <c r="GR129" s="61">
        <f t="shared" si="806"/>
        <v>0.87</v>
      </c>
      <c r="GS129" s="61">
        <f t="shared" si="806"/>
        <v>0.85</v>
      </c>
      <c r="GT129" s="61">
        <f t="shared" si="806"/>
        <v>0.83</v>
      </c>
      <c r="GU129" s="61">
        <f t="shared" si="806"/>
        <v>0.80999999999999994</v>
      </c>
      <c r="GV129" s="61">
        <f t="shared" si="806"/>
        <v>0.78999999999999992</v>
      </c>
      <c r="GW129" s="61">
        <f t="shared" si="806"/>
        <v>0.76999999999999991</v>
      </c>
      <c r="GX129" s="61">
        <f t="shared" si="806"/>
        <v>0.74999999999999989</v>
      </c>
      <c r="GY129" s="61">
        <f t="shared" si="806"/>
        <v>0.72999999999999987</v>
      </c>
      <c r="GZ129" s="61">
        <f t="shared" si="806"/>
        <v>0.70999999999999985</v>
      </c>
      <c r="HA129" s="61">
        <f t="shared" si="806"/>
        <v>0.68999999999999984</v>
      </c>
      <c r="HB129" s="61">
        <f t="shared" si="806"/>
        <v>0.66999999999999982</v>
      </c>
      <c r="HC129" s="61">
        <f t="shared" si="806"/>
        <v>0.6499999999999998</v>
      </c>
      <c r="HD129" s="61">
        <f t="shared" si="806"/>
        <v>0.62999999999999978</v>
      </c>
      <c r="HE129" s="61">
        <f t="shared" si="806"/>
        <v>0.60999999999999976</v>
      </c>
      <c r="HF129" s="61">
        <f t="shared" si="806"/>
        <v>0.58999999999999975</v>
      </c>
      <c r="HG129" s="61">
        <f t="shared" si="806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0">
        <f t="shared" ref="E130:E139" si="807">TRUNC(+D130*3.3058,-1)</f>
        <v>0</v>
      </c>
      <c r="H130" s="55">
        <f t="shared" ref="H130:H140" si="808">+D130*1.1</f>
        <v>0</v>
      </c>
      <c r="I130" s="55">
        <f t="shared" si="513"/>
        <v>0</v>
      </c>
      <c r="J130" s="59">
        <f t="shared" si="514"/>
        <v>0</v>
      </c>
      <c r="K130" s="55">
        <f t="shared" ref="K130:K140" si="809">+I130*BD130</f>
        <v>0</v>
      </c>
      <c r="L130" s="59">
        <f t="shared" ref="L130:L140" si="810">+K130*3.3058</f>
        <v>0</v>
      </c>
      <c r="M130" s="55">
        <f t="shared" ref="M130:M140" si="811">+I130*BE130</f>
        <v>0</v>
      </c>
      <c r="N130" s="59">
        <f t="shared" ref="N130:N140" si="812">+M130*3.3058</f>
        <v>0</v>
      </c>
      <c r="O130" s="55">
        <f t="shared" ref="O130:O140" si="813">+I130*BF130</f>
        <v>0</v>
      </c>
      <c r="P130" s="59">
        <f t="shared" ref="P130:P140" si="814">+O130*3.3058</f>
        <v>0</v>
      </c>
      <c r="Q130" s="57">
        <f t="shared" ref="Q130:Q140" si="815">+I130*BG130</f>
        <v>0</v>
      </c>
      <c r="R130" s="59">
        <f t="shared" ref="R130:R140" si="816">+Q130*3.3058</f>
        <v>0</v>
      </c>
      <c r="S130" s="55">
        <f t="shared" ref="S130:S140" si="817">+I130*BH130</f>
        <v>0</v>
      </c>
      <c r="T130" s="59">
        <f t="shared" ref="T130:T140" si="818">+S130*3.3058</f>
        <v>0</v>
      </c>
      <c r="U130" s="57">
        <f t="shared" ref="U130:U140" si="819">+I130*BI130</f>
        <v>0</v>
      </c>
      <c r="V130" s="59">
        <f t="shared" ref="V130:V140" si="820">+U130*3.3058</f>
        <v>0</v>
      </c>
      <c r="W130" s="60">
        <f t="shared" ref="W130:W140" si="821">+I130*BJ130</f>
        <v>0</v>
      </c>
      <c r="X130" s="59">
        <f t="shared" ref="X130:X140" si="822">+W130*3.3058</f>
        <v>0</v>
      </c>
      <c r="Y130" s="57">
        <f t="shared" ref="Y130:Y140" si="823">+I130*BK130</f>
        <v>0</v>
      </c>
      <c r="Z130" s="59">
        <f t="shared" ref="Z130:Z140" si="824">+Y130*3.3058</f>
        <v>0</v>
      </c>
      <c r="AA130" s="55">
        <f t="shared" ref="AA130:AA140" si="825">+I130*BL130</f>
        <v>0</v>
      </c>
      <c r="AB130" s="59">
        <f t="shared" ref="AB130:AB140" si="826">+AA130*3.3058</f>
        <v>0</v>
      </c>
      <c r="AC130" s="60">
        <f t="shared" ref="AC130:AC140" si="827">+I130*BM130</f>
        <v>0</v>
      </c>
      <c r="AD130" s="59">
        <f t="shared" ref="AD130:AD140" si="828">+AC130*3.3058</f>
        <v>0</v>
      </c>
      <c r="AE130" s="60">
        <f t="shared" ref="AE130:AE140" si="829">+I130*BN130</f>
        <v>0</v>
      </c>
      <c r="AF130" s="59">
        <f t="shared" ref="AF130:AF140" si="830">+AE130*3.3058</f>
        <v>0</v>
      </c>
      <c r="AG130" s="60">
        <f t="shared" ref="AG130:AG140" si="831">+I130*BO130</f>
        <v>0</v>
      </c>
      <c r="AH130" s="59">
        <f t="shared" ref="AH130:AH140" si="832">+AG130*3.3058</f>
        <v>0</v>
      </c>
      <c r="AI130" s="55">
        <f t="shared" ref="AI130:AI140" si="833">+I130*BP130</f>
        <v>0</v>
      </c>
      <c r="AJ130" s="59">
        <f t="shared" ref="AJ130:AJ140" si="834">+AI130*3.3058</f>
        <v>0</v>
      </c>
      <c r="AK130" s="60">
        <f t="shared" ref="AK130:AK140" si="835">+I130*BQ130</f>
        <v>0</v>
      </c>
      <c r="AL130" s="59">
        <f t="shared" ref="AL130:AL140" si="836">+AK130*3.3058</f>
        <v>0</v>
      </c>
      <c r="AM130" s="60">
        <f t="shared" ref="AM130:AM140" si="837">+I130*BR130</f>
        <v>0</v>
      </c>
      <c r="AN130" s="59">
        <f t="shared" ref="AN130:AN140" si="838">+AM130*3.3058</f>
        <v>0</v>
      </c>
      <c r="AO130" s="60">
        <f t="shared" ref="AO130:AO140" si="839">+I130*BS130</f>
        <v>0</v>
      </c>
      <c r="AP130" s="59">
        <f t="shared" ref="AP130:AP140" si="840">+AO130*3.3058</f>
        <v>0</v>
      </c>
      <c r="AQ130" s="60">
        <f t="shared" ref="AQ130:AQ140" si="841">+I130*BT130</f>
        <v>0</v>
      </c>
      <c r="AR130" s="59">
        <f t="shared" ref="AR130:AR140" si="842">+AQ130*3.3058</f>
        <v>0</v>
      </c>
      <c r="AS130" s="55">
        <f t="shared" ref="AS130:AS140" si="843">+I130*BU130</f>
        <v>0</v>
      </c>
      <c r="AT130" s="59">
        <f t="shared" ref="AT130:AT140" si="844">+AS130*3.3058</f>
        <v>0</v>
      </c>
      <c r="AU130" s="60">
        <f t="shared" ref="AU130:AU140" si="845">+I130*BV130</f>
        <v>0</v>
      </c>
      <c r="AV130" s="59">
        <f t="shared" ref="AV130:AV140" si="846">+AU130*3.3058</f>
        <v>0</v>
      </c>
      <c r="AW130" s="60">
        <f t="shared" ref="AW130:AW140" si="847">+I130*BW130</f>
        <v>0</v>
      </c>
      <c r="AX130" s="59">
        <f t="shared" ref="AX130:AX140" si="848">+AW130*3.3058</f>
        <v>0</v>
      </c>
      <c r="AY130" s="55">
        <f t="shared" ref="AY130:AY140" si="849">+I130*BX130</f>
        <v>0</v>
      </c>
      <c r="AZ130" s="59">
        <f t="shared" ref="AZ130:AZ140" si="850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51">+BF130-0.02</f>
        <v>0.91</v>
      </c>
      <c r="BH130" s="55">
        <f t="shared" si="851"/>
        <v>0.89</v>
      </c>
      <c r="BI130" s="55">
        <f t="shared" si="851"/>
        <v>0.87</v>
      </c>
      <c r="BJ130" s="55">
        <f t="shared" si="851"/>
        <v>0.85</v>
      </c>
      <c r="BK130" s="55">
        <f t="shared" si="851"/>
        <v>0.83</v>
      </c>
      <c r="BL130" s="55">
        <f t="shared" si="851"/>
        <v>0.80999999999999994</v>
      </c>
      <c r="BM130" s="55">
        <f t="shared" si="851"/>
        <v>0.78999999999999992</v>
      </c>
      <c r="BN130" s="55">
        <f t="shared" si="851"/>
        <v>0.76999999999999991</v>
      </c>
      <c r="BO130" s="55">
        <f t="shared" si="851"/>
        <v>0.74999999999999989</v>
      </c>
      <c r="BP130" s="55">
        <f t="shared" si="851"/>
        <v>0.72999999999999987</v>
      </c>
      <c r="BQ130" s="55">
        <f t="shared" si="851"/>
        <v>0.70999999999999985</v>
      </c>
      <c r="BR130" s="55">
        <f t="shared" si="851"/>
        <v>0.68999999999999984</v>
      </c>
      <c r="BS130" s="55">
        <f t="shared" si="851"/>
        <v>0.66999999999999982</v>
      </c>
      <c r="BT130" s="55">
        <f t="shared" si="851"/>
        <v>0.6499999999999998</v>
      </c>
      <c r="BU130" s="55">
        <f t="shared" si="851"/>
        <v>0.62999999999999978</v>
      </c>
      <c r="BV130" s="55">
        <f t="shared" si="851"/>
        <v>0.60999999999999976</v>
      </c>
      <c r="BW130" s="55">
        <f t="shared" si="851"/>
        <v>0.58999999999999975</v>
      </c>
      <c r="BX130" s="55">
        <f t="shared" si="851"/>
        <v>0.56999999999999973</v>
      </c>
      <c r="BZ130" s="55">
        <f t="shared" si="515"/>
        <v>0</v>
      </c>
      <c r="CA130" s="55">
        <f t="shared" si="516"/>
        <v>0</v>
      </c>
      <c r="CB130" s="59">
        <f t="shared" ref="CB130:CB140" si="852">+CA130*3.3058</f>
        <v>0</v>
      </c>
      <c r="CC130" s="55">
        <f t="shared" ref="CC130:CC140" si="853">+CA130*DV130</f>
        <v>0</v>
      </c>
      <c r="CD130" s="59">
        <f t="shared" ref="CD130:CD140" si="854">+CC130*3.3058</f>
        <v>0</v>
      </c>
      <c r="CE130" s="55">
        <f t="shared" ref="CE130:CE140" si="855">+CA130*DW130</f>
        <v>0</v>
      </c>
      <c r="CF130" s="59">
        <f t="shared" ref="CF130:CF140" si="856">+CE130*3.3058</f>
        <v>0</v>
      </c>
      <c r="CG130" s="55">
        <f t="shared" ref="CG130:CG140" si="857">+CA130*DX130</f>
        <v>0</v>
      </c>
      <c r="CH130" s="59">
        <f t="shared" ref="CH130:CH140" si="858">+CG130*3.3058</f>
        <v>0</v>
      </c>
      <c r="CI130" s="57">
        <f t="shared" ref="CI130:CI140" si="859">+CA130*DY130</f>
        <v>0</v>
      </c>
      <c r="CJ130" s="59">
        <f t="shared" ref="CJ130:CJ140" si="860">+CI130*3.3058</f>
        <v>0</v>
      </c>
      <c r="CK130" s="55">
        <f t="shared" ref="CK130:CK140" si="861">+CA130*DZ130</f>
        <v>0</v>
      </c>
      <c r="CL130" s="59">
        <f t="shared" ref="CL130:CL140" si="862">+CK130*3.3058</f>
        <v>0</v>
      </c>
      <c r="CM130" s="57">
        <f t="shared" ref="CM130:CM140" si="863">+CA130*EA130</f>
        <v>0</v>
      </c>
      <c r="CN130" s="59">
        <f t="shared" ref="CN130:CN140" si="864">+CM130*3.3058</f>
        <v>0</v>
      </c>
      <c r="CO130" s="60">
        <f t="shared" ref="CO130:CO140" si="865">+CA130*EB130</f>
        <v>0</v>
      </c>
      <c r="CP130" s="59">
        <f t="shared" ref="CP130:CP140" si="866">+CO130*3.3058</f>
        <v>0</v>
      </c>
      <c r="CQ130" s="57">
        <f t="shared" ref="CQ130:CQ140" si="867">+CA130*EC130</f>
        <v>0</v>
      </c>
      <c r="CR130" s="59">
        <f t="shared" ref="CR130:CR140" si="868">+CQ130*3.3058</f>
        <v>0</v>
      </c>
      <c r="CS130" s="55">
        <f t="shared" ref="CS130:CS140" si="869">+CA130*ED130</f>
        <v>0</v>
      </c>
      <c r="CT130" s="59">
        <f t="shared" ref="CT130:CT140" si="870">+CS130*3.3058</f>
        <v>0</v>
      </c>
      <c r="CU130" s="60">
        <f t="shared" ref="CU130:CU140" si="871">+CA130*EE130</f>
        <v>0</v>
      </c>
      <c r="CV130" s="59">
        <f t="shared" ref="CV130:CV140" si="872">+CU130*3.3058</f>
        <v>0</v>
      </c>
      <c r="CW130" s="60">
        <f t="shared" ref="CW130:CW140" si="873">+CA130*EF130</f>
        <v>0</v>
      </c>
      <c r="CX130" s="59">
        <f t="shared" ref="CX130:CX140" si="874">+CW130*3.3058</f>
        <v>0</v>
      </c>
      <c r="CY130" s="60">
        <f t="shared" ref="CY130:CY140" si="875">+CA130*EG130</f>
        <v>0</v>
      </c>
      <c r="CZ130" s="59">
        <f t="shared" ref="CZ130:CZ140" si="876">+CY130*3.3058</f>
        <v>0</v>
      </c>
      <c r="DA130" s="55">
        <f t="shared" ref="DA130:DA140" si="877">+CA130*EH130</f>
        <v>0</v>
      </c>
      <c r="DB130" s="59">
        <f t="shared" ref="DB130:DB140" si="878">+DA130*3.3058</f>
        <v>0</v>
      </c>
      <c r="DC130" s="60">
        <f t="shared" ref="DC130:DC140" si="879">+CA130*EI130</f>
        <v>0</v>
      </c>
      <c r="DD130" s="59">
        <f t="shared" ref="DD130:DD140" si="880">+DC130*3.3058</f>
        <v>0</v>
      </c>
      <c r="DE130" s="60">
        <f t="shared" ref="DE130:DE140" si="881">+CA130*EJ130</f>
        <v>0</v>
      </c>
      <c r="DF130" s="59">
        <f t="shared" ref="DF130:DF140" si="882">+DE130*3.3058</f>
        <v>0</v>
      </c>
      <c r="DG130" s="60">
        <f t="shared" ref="DG130:DG140" si="883">+CA130*EK130</f>
        <v>0</v>
      </c>
      <c r="DH130" s="59">
        <f t="shared" ref="DH130:DH140" si="884">+DG130*3.3058</f>
        <v>0</v>
      </c>
      <c r="DI130" s="60">
        <f t="shared" ref="DI130:DI140" si="885">+CA130*EL130</f>
        <v>0</v>
      </c>
      <c r="DJ130" s="59">
        <f t="shared" ref="DJ130:DJ140" si="886">+DI130*3.3058</f>
        <v>0</v>
      </c>
      <c r="DK130" s="55">
        <f t="shared" ref="DK130:DK140" si="887">+CA130*EM130</f>
        <v>0</v>
      </c>
      <c r="DL130" s="59">
        <f t="shared" ref="DL130:DL140" si="888">+DK130*3.3058</f>
        <v>0</v>
      </c>
      <c r="DM130" s="60">
        <f t="shared" ref="DM130:DM140" si="889">+CA130*EN130</f>
        <v>0</v>
      </c>
      <c r="DN130" s="59">
        <f t="shared" ref="DN130:DN140" si="890">+DM130*3.3058</f>
        <v>0</v>
      </c>
      <c r="DO130" s="60">
        <f t="shared" ref="DO130:DO140" si="891">+CA130*EO130</f>
        <v>0</v>
      </c>
      <c r="DP130" s="59">
        <f t="shared" ref="DP130:DP140" si="892">+DO130*3.3058</f>
        <v>0</v>
      </c>
      <c r="DQ130" s="55">
        <f t="shared" ref="DQ130:DQ140" si="893">+CA130*EP130</f>
        <v>0</v>
      </c>
      <c r="DR130" s="59">
        <f t="shared" ref="DR130:DR140" si="894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801"/>
        <v>0.91</v>
      </c>
      <c r="DZ130" s="55">
        <f t="shared" si="801"/>
        <v>0.89</v>
      </c>
      <c r="EA130" s="55">
        <f t="shared" si="801"/>
        <v>0.87</v>
      </c>
      <c r="EB130" s="55">
        <f t="shared" si="801"/>
        <v>0.85</v>
      </c>
      <c r="EC130" s="55">
        <f t="shared" si="801"/>
        <v>0.83</v>
      </c>
      <c r="ED130" s="55">
        <f t="shared" si="801"/>
        <v>0.80999999999999994</v>
      </c>
      <c r="EE130" s="55">
        <f t="shared" si="801"/>
        <v>0.78999999999999992</v>
      </c>
      <c r="EF130" s="55">
        <f t="shared" si="801"/>
        <v>0.76999999999999991</v>
      </c>
      <c r="EG130" s="55">
        <f t="shared" si="801"/>
        <v>0.74999999999999989</v>
      </c>
      <c r="EH130" s="55">
        <f t="shared" si="801"/>
        <v>0.72999999999999987</v>
      </c>
      <c r="EI130" s="55">
        <f t="shared" si="801"/>
        <v>0.70999999999999985</v>
      </c>
      <c r="EJ130" s="55">
        <f t="shared" si="801"/>
        <v>0.68999999999999984</v>
      </c>
      <c r="EK130" s="55">
        <f t="shared" si="801"/>
        <v>0.66999999999999982</v>
      </c>
      <c r="EL130" s="55">
        <f t="shared" si="801"/>
        <v>0.6499999999999998</v>
      </c>
      <c r="EM130" s="55">
        <f t="shared" si="801"/>
        <v>0.62999999999999978</v>
      </c>
      <c r="EN130" s="55">
        <f t="shared" si="801"/>
        <v>0.60999999999999976</v>
      </c>
      <c r="EO130" s="55">
        <f t="shared" si="801"/>
        <v>0.58999999999999975</v>
      </c>
      <c r="EP130" s="55">
        <f t="shared" si="801"/>
        <v>0.56999999999999973</v>
      </c>
      <c r="ER130" s="55">
        <f t="shared" si="656"/>
        <v>0</v>
      </c>
      <c r="ES130" s="55">
        <f t="shared" si="517"/>
        <v>0</v>
      </c>
      <c r="ET130" s="59">
        <f t="shared" ref="ET130:ET140" si="895">+ES130*3.3058</f>
        <v>0</v>
      </c>
      <c r="EU130" s="55">
        <f t="shared" ref="EU130:EU140" si="896">+ES130*GN130</f>
        <v>0</v>
      </c>
      <c r="EV130" s="59">
        <f t="shared" ref="EV130:EV140" si="897">+EU130*3.3058</f>
        <v>0</v>
      </c>
      <c r="EW130" s="55">
        <f t="shared" ref="EW130:EW140" si="898">+ES130*GO130</f>
        <v>0</v>
      </c>
      <c r="EX130" s="59">
        <f t="shared" ref="EX130:EX140" si="899">+EW130*3.3058</f>
        <v>0</v>
      </c>
      <c r="EY130" s="55">
        <f t="shared" ref="EY130:EY140" si="900">+ES130*GP130</f>
        <v>0</v>
      </c>
      <c r="EZ130" s="59">
        <f t="shared" ref="EZ130:EZ140" si="901">+EY130*3.3058</f>
        <v>0</v>
      </c>
      <c r="FA130" s="57">
        <f t="shared" ref="FA130:FA140" si="902">+ES130*GQ130</f>
        <v>0</v>
      </c>
      <c r="FB130" s="59">
        <f t="shared" ref="FB130:FB140" si="903">+FA130*3.3058</f>
        <v>0</v>
      </c>
      <c r="FC130" s="55">
        <f t="shared" ref="FC130:FC140" si="904">+ES130*GR130</f>
        <v>0</v>
      </c>
      <c r="FD130" s="59">
        <f t="shared" ref="FD130:FD140" si="905">+FC130*3.3058</f>
        <v>0</v>
      </c>
      <c r="FE130" s="57">
        <f t="shared" ref="FE130:FE140" si="906">+ES130*GS130</f>
        <v>0</v>
      </c>
      <c r="FF130" s="59">
        <f t="shared" ref="FF130:FF140" si="907">+FE130*3.3058</f>
        <v>0</v>
      </c>
      <c r="FG130" s="60">
        <f t="shared" ref="FG130:FG140" si="908">+ES130*GT130</f>
        <v>0</v>
      </c>
      <c r="FH130" s="59">
        <f t="shared" ref="FH130:FH140" si="909">+FG130*3.3058</f>
        <v>0</v>
      </c>
      <c r="FI130" s="57">
        <f t="shared" ref="FI130:FI140" si="910">+ES130*GU130</f>
        <v>0</v>
      </c>
      <c r="FJ130" s="59">
        <f t="shared" ref="FJ130:FJ140" si="911">+FI130*3.3058</f>
        <v>0</v>
      </c>
      <c r="FK130" s="55">
        <f t="shared" ref="FK130:FK140" si="912">+ES130*GV130</f>
        <v>0</v>
      </c>
      <c r="FL130" s="59">
        <f t="shared" ref="FL130:FL140" si="913">+FK130*3.3058</f>
        <v>0</v>
      </c>
      <c r="FM130" s="60">
        <f t="shared" ref="FM130:FM140" si="914">+ES130*GW130</f>
        <v>0</v>
      </c>
      <c r="FN130" s="59">
        <f t="shared" ref="FN130:FN140" si="915">+FM130*3.3058</f>
        <v>0</v>
      </c>
      <c r="FO130" s="60">
        <f t="shared" ref="FO130:FO140" si="916">+ES130*GX130</f>
        <v>0</v>
      </c>
      <c r="FP130" s="59">
        <f t="shared" ref="FP130:FP140" si="917">+FO130*3.3058</f>
        <v>0</v>
      </c>
      <c r="FQ130" s="60">
        <f t="shared" ref="FQ130:FQ140" si="918">+ES130*GY130</f>
        <v>0</v>
      </c>
      <c r="FR130" s="59">
        <f t="shared" ref="FR130:FR140" si="919">+FQ130*3.3058</f>
        <v>0</v>
      </c>
      <c r="FS130" s="55">
        <f t="shared" ref="FS130:FS140" si="920">+ES130*GZ130</f>
        <v>0</v>
      </c>
      <c r="FT130" s="59">
        <f t="shared" ref="FT130:FT140" si="921">+FS130*3.3058</f>
        <v>0</v>
      </c>
      <c r="FU130" s="60">
        <f t="shared" ref="FU130:FU140" si="922">+ES130*HA130</f>
        <v>0</v>
      </c>
      <c r="FV130" s="59">
        <f t="shared" ref="FV130:FV140" si="923">+FU130*3.3058</f>
        <v>0</v>
      </c>
      <c r="FW130" s="60">
        <f t="shared" ref="FW130:FW140" si="924">+ES130*HB130</f>
        <v>0</v>
      </c>
      <c r="FX130" s="59">
        <f t="shared" ref="FX130:FX140" si="925">+FW130*3.3058</f>
        <v>0</v>
      </c>
      <c r="FY130" s="60">
        <f t="shared" ref="FY130:FY140" si="926">+ES130*HC130</f>
        <v>0</v>
      </c>
      <c r="FZ130" s="59">
        <f t="shared" ref="FZ130:FZ140" si="927">+FY130*3.3058</f>
        <v>0</v>
      </c>
      <c r="GA130" s="60">
        <f t="shared" ref="GA130:GA140" si="928">+ES130*HD130</f>
        <v>0</v>
      </c>
      <c r="GB130" s="59">
        <f t="shared" ref="GB130:GB140" si="929">+GA130*3.3058</f>
        <v>0</v>
      </c>
      <c r="GC130" s="55">
        <f t="shared" ref="GC130:GC140" si="930">+ES130*HE130</f>
        <v>0</v>
      </c>
      <c r="GD130" s="59">
        <f t="shared" ref="GD130:GD140" si="931">+GC130*3.3058</f>
        <v>0</v>
      </c>
      <c r="GE130" s="60">
        <f t="shared" ref="GE130:GE140" si="932">+ES130*HF130</f>
        <v>0</v>
      </c>
      <c r="GF130" s="59">
        <f t="shared" ref="GF130:GF140" si="933">+GE130*3.3058</f>
        <v>0</v>
      </c>
      <c r="GG130" s="60">
        <f t="shared" ref="GG130:GG140" si="934">+ES130*HG130</f>
        <v>0</v>
      </c>
      <c r="GH130" s="59">
        <f t="shared" ref="GH130:GH140" si="935">+GG130*3.3058</f>
        <v>0</v>
      </c>
      <c r="GI130" s="55">
        <f t="shared" ref="GI130:GI140" si="936">+ES130*HH130</f>
        <v>0</v>
      </c>
      <c r="GJ130" s="59">
        <f t="shared" ref="GJ130:GJ140" si="937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802"/>
        <v>0.91</v>
      </c>
      <c r="GR130" s="55">
        <f t="shared" si="802"/>
        <v>0.89</v>
      </c>
      <c r="GS130" s="55">
        <f t="shared" si="802"/>
        <v>0.87</v>
      </c>
      <c r="GT130" s="55">
        <f t="shared" si="802"/>
        <v>0.85</v>
      </c>
      <c r="GU130" s="55">
        <f t="shared" si="802"/>
        <v>0.83</v>
      </c>
      <c r="GV130" s="55">
        <f t="shared" si="802"/>
        <v>0.80999999999999994</v>
      </c>
      <c r="GW130" s="55">
        <f t="shared" si="802"/>
        <v>0.78999999999999992</v>
      </c>
      <c r="GX130" s="55">
        <f t="shared" si="802"/>
        <v>0.76999999999999991</v>
      </c>
      <c r="GY130" s="55">
        <f t="shared" si="802"/>
        <v>0.74999999999999989</v>
      </c>
      <c r="GZ130" s="55">
        <f t="shared" si="802"/>
        <v>0.72999999999999987</v>
      </c>
      <c r="HA130" s="55">
        <f t="shared" si="802"/>
        <v>0.70999999999999985</v>
      </c>
      <c r="HB130" s="55">
        <f t="shared" si="802"/>
        <v>0.68999999999999984</v>
      </c>
      <c r="HC130" s="55">
        <f t="shared" si="802"/>
        <v>0.66999999999999982</v>
      </c>
      <c r="HD130" s="55">
        <f t="shared" si="802"/>
        <v>0.6499999999999998</v>
      </c>
      <c r="HE130" s="55">
        <f t="shared" si="802"/>
        <v>0.62999999999999978</v>
      </c>
      <c r="HF130" s="55">
        <f t="shared" si="802"/>
        <v>0.60999999999999976</v>
      </c>
      <c r="HG130" s="55">
        <f t="shared" si="802"/>
        <v>0.58999999999999975</v>
      </c>
      <c r="HH130" s="55">
        <f t="shared" si="802"/>
        <v>0.56999999999999973</v>
      </c>
    </row>
    <row r="131" spans="1:216" x14ac:dyDescent="0.3">
      <c r="A131" s="2">
        <v>2</v>
      </c>
      <c r="C131" s="38" t="s">
        <v>47</v>
      </c>
      <c r="D131" s="42">
        <f>TRUNC(2454,-1)</f>
        <v>2450</v>
      </c>
      <c r="E131" s="71">
        <f t="shared" si="807"/>
        <v>8090</v>
      </c>
      <c r="H131" s="55">
        <f t="shared" si="808"/>
        <v>2695</v>
      </c>
      <c r="I131" s="55">
        <f t="shared" si="513"/>
        <v>2695</v>
      </c>
      <c r="J131" s="59">
        <f t="shared" si="514"/>
        <v>8909.1309999999994</v>
      </c>
      <c r="K131" s="55">
        <f t="shared" si="809"/>
        <v>2614.15</v>
      </c>
      <c r="L131" s="59">
        <f t="shared" si="810"/>
        <v>8641.85707</v>
      </c>
      <c r="M131" s="55">
        <f t="shared" si="811"/>
        <v>2560.25</v>
      </c>
      <c r="N131" s="59">
        <f t="shared" si="812"/>
        <v>8463.6744500000004</v>
      </c>
      <c r="O131" s="55">
        <f t="shared" si="813"/>
        <v>2506.35</v>
      </c>
      <c r="P131" s="59">
        <f t="shared" si="814"/>
        <v>8285.491829999999</v>
      </c>
      <c r="Q131" s="57">
        <f t="shared" si="815"/>
        <v>2452.4500000000003</v>
      </c>
      <c r="R131" s="59">
        <f t="shared" si="816"/>
        <v>8107.3092100000013</v>
      </c>
      <c r="S131" s="55">
        <f t="shared" si="817"/>
        <v>2398.5500000000002</v>
      </c>
      <c r="T131" s="59">
        <f t="shared" si="818"/>
        <v>7929.1265900000008</v>
      </c>
      <c r="U131" s="57">
        <f t="shared" si="819"/>
        <v>2344.65</v>
      </c>
      <c r="V131" s="59">
        <f t="shared" si="820"/>
        <v>7750.9439700000003</v>
      </c>
      <c r="W131" s="60">
        <f t="shared" si="821"/>
        <v>2290.75</v>
      </c>
      <c r="X131" s="59">
        <f t="shared" si="822"/>
        <v>7572.7613499999998</v>
      </c>
      <c r="Y131" s="57">
        <f t="shared" si="823"/>
        <v>2236.85</v>
      </c>
      <c r="Z131" s="59">
        <f t="shared" si="824"/>
        <v>7394.5787300000002</v>
      </c>
      <c r="AA131" s="55">
        <f t="shared" si="825"/>
        <v>2182.9499999999998</v>
      </c>
      <c r="AB131" s="59">
        <f t="shared" si="826"/>
        <v>7216.3961099999997</v>
      </c>
      <c r="AC131" s="60">
        <f t="shared" si="827"/>
        <v>2129.0499999999997</v>
      </c>
      <c r="AD131" s="59">
        <f t="shared" si="828"/>
        <v>7038.2134899999992</v>
      </c>
      <c r="AE131" s="60">
        <f t="shared" si="829"/>
        <v>2075.1499999999996</v>
      </c>
      <c r="AF131" s="59">
        <f t="shared" si="830"/>
        <v>6860.0308699999987</v>
      </c>
      <c r="AG131" s="60">
        <f t="shared" si="831"/>
        <v>2021.2499999999998</v>
      </c>
      <c r="AH131" s="59">
        <f t="shared" si="832"/>
        <v>6681.8482499999991</v>
      </c>
      <c r="AI131" s="55">
        <f t="shared" si="833"/>
        <v>1967.3499999999997</v>
      </c>
      <c r="AJ131" s="59">
        <f t="shared" si="834"/>
        <v>6503.6656299999995</v>
      </c>
      <c r="AK131" s="60">
        <f t="shared" si="835"/>
        <v>1913.4499999999996</v>
      </c>
      <c r="AL131" s="59">
        <f t="shared" si="836"/>
        <v>6325.483009999999</v>
      </c>
      <c r="AM131" s="60">
        <f t="shared" si="837"/>
        <v>1859.5499999999995</v>
      </c>
      <c r="AN131" s="59">
        <f t="shared" si="838"/>
        <v>6147.3003899999985</v>
      </c>
      <c r="AO131" s="60">
        <f t="shared" si="839"/>
        <v>1805.6499999999994</v>
      </c>
      <c r="AP131" s="59">
        <f t="shared" si="840"/>
        <v>5969.117769999998</v>
      </c>
      <c r="AQ131" s="60">
        <f t="shared" si="841"/>
        <v>1751.7499999999995</v>
      </c>
      <c r="AR131" s="59">
        <f t="shared" si="842"/>
        <v>5790.9351499999984</v>
      </c>
      <c r="AS131" s="55">
        <f t="shared" si="843"/>
        <v>1697.8499999999995</v>
      </c>
      <c r="AT131" s="59">
        <f t="shared" si="844"/>
        <v>5612.7525299999979</v>
      </c>
      <c r="AU131" s="60">
        <f t="shared" si="845"/>
        <v>1643.9499999999994</v>
      </c>
      <c r="AV131" s="59">
        <f t="shared" si="846"/>
        <v>5434.5699099999983</v>
      </c>
      <c r="AW131" s="60">
        <f t="shared" si="847"/>
        <v>1590.0499999999993</v>
      </c>
      <c r="AX131" s="59">
        <f t="shared" si="848"/>
        <v>5256.3872899999978</v>
      </c>
      <c r="AY131" s="55">
        <f t="shared" si="849"/>
        <v>1536.1499999999992</v>
      </c>
      <c r="AZ131" s="59">
        <f t="shared" si="850"/>
        <v>5078.2046699999973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51"/>
        <v>0.91</v>
      </c>
      <c r="BH131" s="55">
        <f t="shared" si="851"/>
        <v>0.89</v>
      </c>
      <c r="BI131" s="55">
        <f t="shared" si="851"/>
        <v>0.87</v>
      </c>
      <c r="BJ131" s="55">
        <f t="shared" si="851"/>
        <v>0.85</v>
      </c>
      <c r="BK131" s="55">
        <f t="shared" si="851"/>
        <v>0.83</v>
      </c>
      <c r="BL131" s="55">
        <f t="shared" si="851"/>
        <v>0.80999999999999994</v>
      </c>
      <c r="BM131" s="55">
        <f t="shared" si="851"/>
        <v>0.78999999999999992</v>
      </c>
      <c r="BN131" s="55">
        <f t="shared" si="851"/>
        <v>0.76999999999999991</v>
      </c>
      <c r="BO131" s="55">
        <f t="shared" si="851"/>
        <v>0.74999999999999989</v>
      </c>
      <c r="BP131" s="55">
        <f t="shared" si="851"/>
        <v>0.72999999999999987</v>
      </c>
      <c r="BQ131" s="55">
        <f t="shared" si="851"/>
        <v>0.70999999999999985</v>
      </c>
      <c r="BR131" s="55">
        <f t="shared" si="851"/>
        <v>0.68999999999999984</v>
      </c>
      <c r="BS131" s="55">
        <f t="shared" si="851"/>
        <v>0.66999999999999982</v>
      </c>
      <c r="BT131" s="55">
        <f t="shared" si="851"/>
        <v>0.6499999999999998</v>
      </c>
      <c r="BU131" s="55">
        <f t="shared" si="851"/>
        <v>0.62999999999999978</v>
      </c>
      <c r="BV131" s="55">
        <f t="shared" si="851"/>
        <v>0.60999999999999976</v>
      </c>
      <c r="BW131" s="55">
        <f t="shared" si="851"/>
        <v>0.58999999999999975</v>
      </c>
      <c r="BX131" s="55">
        <f t="shared" si="851"/>
        <v>0.56999999999999973</v>
      </c>
      <c r="BZ131" s="55">
        <f t="shared" si="515"/>
        <v>2452.4500000000003</v>
      </c>
      <c r="CA131" s="55">
        <f t="shared" si="516"/>
        <v>2452.4500000000003</v>
      </c>
      <c r="CB131" s="59">
        <f t="shared" si="852"/>
        <v>8107.3092100000013</v>
      </c>
      <c r="CC131" s="55">
        <f t="shared" si="853"/>
        <v>2378.8765000000003</v>
      </c>
      <c r="CD131" s="59">
        <f t="shared" si="854"/>
        <v>7864.089933700001</v>
      </c>
      <c r="CE131" s="55">
        <f t="shared" si="855"/>
        <v>2329.8275000000003</v>
      </c>
      <c r="CF131" s="59">
        <f t="shared" si="856"/>
        <v>7701.9437495000011</v>
      </c>
      <c r="CG131" s="55">
        <f t="shared" si="857"/>
        <v>2280.7785000000003</v>
      </c>
      <c r="CH131" s="59">
        <f t="shared" si="858"/>
        <v>7539.7975653000012</v>
      </c>
      <c r="CI131" s="57">
        <f t="shared" si="859"/>
        <v>2231.7295000000004</v>
      </c>
      <c r="CJ131" s="59">
        <f t="shared" si="860"/>
        <v>7377.6513811000013</v>
      </c>
      <c r="CK131" s="55">
        <f t="shared" si="861"/>
        <v>2182.6805000000004</v>
      </c>
      <c r="CL131" s="59">
        <f t="shared" si="862"/>
        <v>7215.5051969000015</v>
      </c>
      <c r="CM131" s="57">
        <f t="shared" si="863"/>
        <v>2133.6315000000004</v>
      </c>
      <c r="CN131" s="59">
        <f t="shared" si="864"/>
        <v>7053.3590127000016</v>
      </c>
      <c r="CO131" s="60">
        <f t="shared" si="865"/>
        <v>2084.5825</v>
      </c>
      <c r="CP131" s="59">
        <f t="shared" si="866"/>
        <v>6891.2128284999999</v>
      </c>
      <c r="CQ131" s="57">
        <f t="shared" si="867"/>
        <v>2035.5335000000002</v>
      </c>
      <c r="CR131" s="59">
        <f t="shared" si="868"/>
        <v>6729.0666443000009</v>
      </c>
      <c r="CS131" s="55">
        <f t="shared" si="869"/>
        <v>1986.4845</v>
      </c>
      <c r="CT131" s="59">
        <f t="shared" si="870"/>
        <v>6566.9204601000001</v>
      </c>
      <c r="CU131" s="60">
        <f t="shared" si="871"/>
        <v>1937.4355</v>
      </c>
      <c r="CV131" s="59">
        <f t="shared" si="872"/>
        <v>6404.7742759000002</v>
      </c>
      <c r="CW131" s="60">
        <f t="shared" si="873"/>
        <v>1888.3865000000001</v>
      </c>
      <c r="CX131" s="59">
        <f t="shared" si="874"/>
        <v>6242.6280917000004</v>
      </c>
      <c r="CY131" s="60">
        <f t="shared" si="875"/>
        <v>1839.3374999999999</v>
      </c>
      <c r="CZ131" s="59">
        <f t="shared" si="876"/>
        <v>6080.4819074999996</v>
      </c>
      <c r="DA131" s="55">
        <f t="shared" si="877"/>
        <v>1790.2884999999999</v>
      </c>
      <c r="DB131" s="59">
        <f t="shared" si="878"/>
        <v>5918.3357232999997</v>
      </c>
      <c r="DC131" s="60">
        <f t="shared" si="879"/>
        <v>1741.2394999999999</v>
      </c>
      <c r="DD131" s="59">
        <f t="shared" si="880"/>
        <v>5756.1895390999998</v>
      </c>
      <c r="DE131" s="60">
        <f t="shared" si="881"/>
        <v>1692.1904999999997</v>
      </c>
      <c r="DF131" s="59">
        <f t="shared" si="882"/>
        <v>5594.043354899999</v>
      </c>
      <c r="DG131" s="60">
        <f t="shared" si="883"/>
        <v>1643.1414999999997</v>
      </c>
      <c r="DH131" s="59">
        <f t="shared" si="884"/>
        <v>5431.8971706999992</v>
      </c>
      <c r="DI131" s="60">
        <f t="shared" si="885"/>
        <v>1594.0924999999997</v>
      </c>
      <c r="DJ131" s="59">
        <f t="shared" si="886"/>
        <v>5269.7509864999993</v>
      </c>
      <c r="DK131" s="55">
        <f t="shared" si="887"/>
        <v>1545.0434999999995</v>
      </c>
      <c r="DL131" s="59">
        <f t="shared" si="888"/>
        <v>5107.6048022999985</v>
      </c>
      <c r="DM131" s="60">
        <f t="shared" si="889"/>
        <v>1495.9944999999996</v>
      </c>
      <c r="DN131" s="59">
        <f t="shared" si="890"/>
        <v>4945.4586180999986</v>
      </c>
      <c r="DO131" s="60">
        <f t="shared" si="891"/>
        <v>1446.9454999999996</v>
      </c>
      <c r="DP131" s="59">
        <f t="shared" si="892"/>
        <v>4783.3124338999987</v>
      </c>
      <c r="DQ131" s="55">
        <f t="shared" si="893"/>
        <v>1397.8964999999994</v>
      </c>
      <c r="DR131" s="59">
        <f t="shared" si="894"/>
        <v>4621.1662496999979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801"/>
        <v>0.91</v>
      </c>
      <c r="DZ131" s="55">
        <f t="shared" si="801"/>
        <v>0.89</v>
      </c>
      <c r="EA131" s="55">
        <f t="shared" si="801"/>
        <v>0.87</v>
      </c>
      <c r="EB131" s="55">
        <f t="shared" si="801"/>
        <v>0.85</v>
      </c>
      <c r="EC131" s="55">
        <f t="shared" si="801"/>
        <v>0.83</v>
      </c>
      <c r="ED131" s="55">
        <f t="shared" si="801"/>
        <v>0.80999999999999994</v>
      </c>
      <c r="EE131" s="55">
        <f t="shared" si="801"/>
        <v>0.78999999999999992</v>
      </c>
      <c r="EF131" s="55">
        <f t="shared" si="801"/>
        <v>0.76999999999999991</v>
      </c>
      <c r="EG131" s="55">
        <f t="shared" si="801"/>
        <v>0.74999999999999989</v>
      </c>
      <c r="EH131" s="55">
        <f t="shared" si="801"/>
        <v>0.72999999999999987</v>
      </c>
      <c r="EI131" s="55">
        <f t="shared" si="801"/>
        <v>0.70999999999999985</v>
      </c>
      <c r="EJ131" s="55">
        <f t="shared" si="801"/>
        <v>0.68999999999999984</v>
      </c>
      <c r="EK131" s="55">
        <f t="shared" si="801"/>
        <v>0.66999999999999982</v>
      </c>
      <c r="EL131" s="55">
        <f t="shared" si="801"/>
        <v>0.6499999999999998</v>
      </c>
      <c r="EM131" s="55">
        <f t="shared" si="801"/>
        <v>0.62999999999999978</v>
      </c>
      <c r="EN131" s="55">
        <f t="shared" si="801"/>
        <v>0.60999999999999976</v>
      </c>
      <c r="EO131" s="55">
        <f t="shared" si="801"/>
        <v>0.58999999999999975</v>
      </c>
      <c r="EP131" s="55">
        <f t="shared" si="801"/>
        <v>0.56999999999999973</v>
      </c>
      <c r="ER131" s="55">
        <f t="shared" si="656"/>
        <v>2231.7295000000004</v>
      </c>
      <c r="ES131" s="55">
        <f t="shared" si="517"/>
        <v>2231.7295000000004</v>
      </c>
      <c r="ET131" s="59">
        <f t="shared" si="895"/>
        <v>7377.6513811000013</v>
      </c>
      <c r="EU131" s="55">
        <f t="shared" si="896"/>
        <v>2164.7776150000004</v>
      </c>
      <c r="EV131" s="59">
        <f t="shared" si="897"/>
        <v>7156.3218396670018</v>
      </c>
      <c r="EW131" s="55">
        <f t="shared" si="898"/>
        <v>2120.1430250000003</v>
      </c>
      <c r="EX131" s="59">
        <f t="shared" si="899"/>
        <v>7008.7688120450011</v>
      </c>
      <c r="EY131" s="55">
        <f t="shared" si="900"/>
        <v>2075.5084350000006</v>
      </c>
      <c r="EZ131" s="59">
        <f t="shared" si="901"/>
        <v>6861.2157844230023</v>
      </c>
      <c r="FA131" s="57">
        <f t="shared" si="902"/>
        <v>2030.8738450000003</v>
      </c>
      <c r="FB131" s="59">
        <f t="shared" si="903"/>
        <v>6713.6627568010008</v>
      </c>
      <c r="FC131" s="55">
        <f t="shared" si="904"/>
        <v>1986.2392550000004</v>
      </c>
      <c r="FD131" s="59">
        <f t="shared" si="905"/>
        <v>6566.1097291790011</v>
      </c>
      <c r="FE131" s="57">
        <f t="shared" si="906"/>
        <v>1941.6046650000003</v>
      </c>
      <c r="FF131" s="59">
        <f t="shared" si="907"/>
        <v>6418.5567015570014</v>
      </c>
      <c r="FG131" s="60">
        <f t="shared" si="908"/>
        <v>1896.9700750000002</v>
      </c>
      <c r="FH131" s="59">
        <f t="shared" si="909"/>
        <v>6271.0036739350007</v>
      </c>
      <c r="FI131" s="57">
        <f t="shared" si="910"/>
        <v>1852.3354850000003</v>
      </c>
      <c r="FJ131" s="59">
        <f t="shared" si="911"/>
        <v>6123.450646313001</v>
      </c>
      <c r="FK131" s="55">
        <f t="shared" si="912"/>
        <v>1807.7008950000002</v>
      </c>
      <c r="FL131" s="59">
        <f t="shared" si="913"/>
        <v>5975.8976186910004</v>
      </c>
      <c r="FM131" s="60">
        <f t="shared" si="914"/>
        <v>1763.0663050000001</v>
      </c>
      <c r="FN131" s="59">
        <f t="shared" si="915"/>
        <v>5828.3445910690007</v>
      </c>
      <c r="FO131" s="60">
        <f t="shared" si="916"/>
        <v>1718.4317150000002</v>
      </c>
      <c r="FP131" s="59">
        <f t="shared" si="917"/>
        <v>5680.791563447001</v>
      </c>
      <c r="FQ131" s="60">
        <f t="shared" si="918"/>
        <v>1673.7971250000001</v>
      </c>
      <c r="FR131" s="59">
        <f t="shared" si="919"/>
        <v>5533.2385358250003</v>
      </c>
      <c r="FS131" s="55">
        <f t="shared" si="920"/>
        <v>1629.1625349999999</v>
      </c>
      <c r="FT131" s="59">
        <f t="shared" si="921"/>
        <v>5385.6855082029997</v>
      </c>
      <c r="FU131" s="60">
        <f t="shared" si="922"/>
        <v>1584.527945</v>
      </c>
      <c r="FV131" s="59">
        <f t="shared" si="923"/>
        <v>5238.132480581</v>
      </c>
      <c r="FW131" s="60">
        <f t="shared" si="924"/>
        <v>1539.8933549999999</v>
      </c>
      <c r="FX131" s="59">
        <f t="shared" si="925"/>
        <v>5090.5794529590003</v>
      </c>
      <c r="FY131" s="60">
        <f t="shared" si="926"/>
        <v>1495.2587649999998</v>
      </c>
      <c r="FZ131" s="59">
        <f t="shared" si="927"/>
        <v>4943.0264253369996</v>
      </c>
      <c r="GA131" s="60">
        <f t="shared" si="928"/>
        <v>1450.6241749999997</v>
      </c>
      <c r="GB131" s="59">
        <f t="shared" si="929"/>
        <v>4795.473397714999</v>
      </c>
      <c r="GC131" s="55">
        <f t="shared" si="930"/>
        <v>1405.9895849999998</v>
      </c>
      <c r="GD131" s="59">
        <f t="shared" si="931"/>
        <v>4647.9203700929993</v>
      </c>
      <c r="GE131" s="60">
        <f t="shared" si="932"/>
        <v>1361.3549949999997</v>
      </c>
      <c r="GF131" s="59">
        <f t="shared" si="933"/>
        <v>4500.3673424709987</v>
      </c>
      <c r="GG131" s="60">
        <f t="shared" si="934"/>
        <v>1316.7204049999996</v>
      </c>
      <c r="GH131" s="59">
        <f t="shared" si="935"/>
        <v>4352.8143148489989</v>
      </c>
      <c r="GI131" s="55">
        <f t="shared" si="936"/>
        <v>1272.0858149999997</v>
      </c>
      <c r="GJ131" s="59">
        <f t="shared" si="937"/>
        <v>4205.2612872269992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802"/>
        <v>0.91</v>
      </c>
      <c r="GR131" s="55">
        <f t="shared" si="802"/>
        <v>0.89</v>
      </c>
      <c r="GS131" s="55">
        <f t="shared" si="802"/>
        <v>0.87</v>
      </c>
      <c r="GT131" s="55">
        <f t="shared" si="802"/>
        <v>0.85</v>
      </c>
      <c r="GU131" s="55">
        <f t="shared" si="802"/>
        <v>0.83</v>
      </c>
      <c r="GV131" s="55">
        <f t="shared" si="802"/>
        <v>0.80999999999999994</v>
      </c>
      <c r="GW131" s="55">
        <f t="shared" si="802"/>
        <v>0.78999999999999992</v>
      </c>
      <c r="GX131" s="55">
        <f t="shared" si="802"/>
        <v>0.76999999999999991</v>
      </c>
      <c r="GY131" s="55">
        <f t="shared" si="802"/>
        <v>0.74999999999999989</v>
      </c>
      <c r="GZ131" s="55">
        <f t="shared" si="802"/>
        <v>0.72999999999999987</v>
      </c>
      <c r="HA131" s="55">
        <f t="shared" si="802"/>
        <v>0.70999999999999985</v>
      </c>
      <c r="HB131" s="55">
        <f t="shared" si="802"/>
        <v>0.68999999999999984</v>
      </c>
      <c r="HC131" s="55">
        <f t="shared" si="802"/>
        <v>0.66999999999999982</v>
      </c>
      <c r="HD131" s="55">
        <f t="shared" si="802"/>
        <v>0.6499999999999998</v>
      </c>
      <c r="HE131" s="55">
        <f t="shared" si="802"/>
        <v>0.62999999999999978</v>
      </c>
      <c r="HF131" s="55">
        <f t="shared" si="802"/>
        <v>0.60999999999999976</v>
      </c>
      <c r="HG131" s="55">
        <f t="shared" si="802"/>
        <v>0.58999999999999975</v>
      </c>
      <c r="HH131" s="55">
        <f t="shared" si="802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807"/>
        <v>0</v>
      </c>
      <c r="H132" s="55">
        <f t="shared" si="808"/>
        <v>0</v>
      </c>
      <c r="I132" s="55">
        <f t="shared" si="513"/>
        <v>0</v>
      </c>
      <c r="J132" s="59">
        <f t="shared" si="514"/>
        <v>0</v>
      </c>
      <c r="K132" s="55">
        <f t="shared" si="809"/>
        <v>0</v>
      </c>
      <c r="L132" s="59">
        <f t="shared" si="810"/>
        <v>0</v>
      </c>
      <c r="M132" s="55">
        <f t="shared" si="811"/>
        <v>0</v>
      </c>
      <c r="N132" s="59">
        <f t="shared" si="812"/>
        <v>0</v>
      </c>
      <c r="O132" s="55">
        <f t="shared" si="813"/>
        <v>0</v>
      </c>
      <c r="P132" s="59">
        <f t="shared" si="814"/>
        <v>0</v>
      </c>
      <c r="Q132" s="57">
        <f t="shared" si="815"/>
        <v>0</v>
      </c>
      <c r="R132" s="59">
        <f t="shared" si="816"/>
        <v>0</v>
      </c>
      <c r="S132" s="55">
        <f t="shared" si="817"/>
        <v>0</v>
      </c>
      <c r="T132" s="59">
        <f t="shared" si="818"/>
        <v>0</v>
      </c>
      <c r="U132" s="57">
        <f t="shared" si="819"/>
        <v>0</v>
      </c>
      <c r="V132" s="59">
        <f t="shared" si="820"/>
        <v>0</v>
      </c>
      <c r="W132" s="60">
        <f t="shared" si="821"/>
        <v>0</v>
      </c>
      <c r="X132" s="59">
        <f t="shared" si="822"/>
        <v>0</v>
      </c>
      <c r="Y132" s="57">
        <f t="shared" si="823"/>
        <v>0</v>
      </c>
      <c r="Z132" s="59">
        <f t="shared" si="824"/>
        <v>0</v>
      </c>
      <c r="AA132" s="55">
        <f t="shared" si="825"/>
        <v>0</v>
      </c>
      <c r="AB132" s="59">
        <f t="shared" si="826"/>
        <v>0</v>
      </c>
      <c r="AC132" s="60">
        <f t="shared" si="827"/>
        <v>0</v>
      </c>
      <c r="AD132" s="59">
        <f t="shared" si="828"/>
        <v>0</v>
      </c>
      <c r="AE132" s="60">
        <f t="shared" si="829"/>
        <v>0</v>
      </c>
      <c r="AF132" s="59">
        <f t="shared" si="830"/>
        <v>0</v>
      </c>
      <c r="AG132" s="60">
        <f t="shared" si="831"/>
        <v>0</v>
      </c>
      <c r="AH132" s="59">
        <f t="shared" si="832"/>
        <v>0</v>
      </c>
      <c r="AI132" s="55">
        <f t="shared" si="833"/>
        <v>0</v>
      </c>
      <c r="AJ132" s="59">
        <f t="shared" si="834"/>
        <v>0</v>
      </c>
      <c r="AK132" s="60">
        <f t="shared" si="835"/>
        <v>0</v>
      </c>
      <c r="AL132" s="59">
        <f t="shared" si="836"/>
        <v>0</v>
      </c>
      <c r="AM132" s="60">
        <f t="shared" si="837"/>
        <v>0</v>
      </c>
      <c r="AN132" s="59">
        <f t="shared" si="838"/>
        <v>0</v>
      </c>
      <c r="AO132" s="60">
        <f t="shared" si="839"/>
        <v>0</v>
      </c>
      <c r="AP132" s="59">
        <f t="shared" si="840"/>
        <v>0</v>
      </c>
      <c r="AQ132" s="60">
        <f t="shared" si="841"/>
        <v>0</v>
      </c>
      <c r="AR132" s="59">
        <f t="shared" si="842"/>
        <v>0</v>
      </c>
      <c r="AS132" s="55">
        <f t="shared" si="843"/>
        <v>0</v>
      </c>
      <c r="AT132" s="59">
        <f t="shared" si="844"/>
        <v>0</v>
      </c>
      <c r="AU132" s="60">
        <f t="shared" si="845"/>
        <v>0</v>
      </c>
      <c r="AV132" s="59">
        <f t="shared" si="846"/>
        <v>0</v>
      </c>
      <c r="AW132" s="60">
        <f t="shared" si="847"/>
        <v>0</v>
      </c>
      <c r="AX132" s="59">
        <f t="shared" si="848"/>
        <v>0</v>
      </c>
      <c r="AY132" s="55">
        <f t="shared" si="849"/>
        <v>0</v>
      </c>
      <c r="AZ132" s="59">
        <f t="shared" si="85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51"/>
        <v>0.91</v>
      </c>
      <c r="BH132" s="55">
        <f t="shared" si="851"/>
        <v>0.89</v>
      </c>
      <c r="BI132" s="55">
        <f t="shared" si="851"/>
        <v>0.87</v>
      </c>
      <c r="BJ132" s="55">
        <f t="shared" si="851"/>
        <v>0.85</v>
      </c>
      <c r="BK132" s="55">
        <f t="shared" si="851"/>
        <v>0.83</v>
      </c>
      <c r="BL132" s="55">
        <f t="shared" si="851"/>
        <v>0.80999999999999994</v>
      </c>
      <c r="BM132" s="55">
        <f t="shared" si="851"/>
        <v>0.78999999999999992</v>
      </c>
      <c r="BN132" s="55">
        <f t="shared" si="851"/>
        <v>0.76999999999999991</v>
      </c>
      <c r="BO132" s="55">
        <f t="shared" si="851"/>
        <v>0.74999999999999989</v>
      </c>
      <c r="BP132" s="55">
        <f t="shared" si="851"/>
        <v>0.72999999999999987</v>
      </c>
      <c r="BQ132" s="55">
        <f t="shared" si="851"/>
        <v>0.70999999999999985</v>
      </c>
      <c r="BR132" s="55">
        <f t="shared" si="851"/>
        <v>0.68999999999999984</v>
      </c>
      <c r="BS132" s="55">
        <f t="shared" si="851"/>
        <v>0.66999999999999982</v>
      </c>
      <c r="BT132" s="55">
        <f t="shared" si="851"/>
        <v>0.6499999999999998</v>
      </c>
      <c r="BU132" s="55">
        <f t="shared" si="851"/>
        <v>0.62999999999999978</v>
      </c>
      <c r="BV132" s="55">
        <f t="shared" si="851"/>
        <v>0.60999999999999976</v>
      </c>
      <c r="BW132" s="55">
        <f t="shared" si="851"/>
        <v>0.58999999999999975</v>
      </c>
      <c r="BX132" s="55">
        <f t="shared" si="851"/>
        <v>0.56999999999999973</v>
      </c>
      <c r="BZ132" s="55">
        <f t="shared" si="515"/>
        <v>0</v>
      </c>
      <c r="CA132" s="55">
        <f t="shared" si="516"/>
        <v>0</v>
      </c>
      <c r="CB132" s="59">
        <f t="shared" si="852"/>
        <v>0</v>
      </c>
      <c r="CC132" s="55">
        <f t="shared" si="853"/>
        <v>0</v>
      </c>
      <c r="CD132" s="59">
        <f t="shared" si="854"/>
        <v>0</v>
      </c>
      <c r="CE132" s="55">
        <f t="shared" si="855"/>
        <v>0</v>
      </c>
      <c r="CF132" s="59">
        <f t="shared" si="856"/>
        <v>0</v>
      </c>
      <c r="CG132" s="55">
        <f t="shared" si="857"/>
        <v>0</v>
      </c>
      <c r="CH132" s="59">
        <f t="shared" si="858"/>
        <v>0</v>
      </c>
      <c r="CI132" s="57">
        <f t="shared" si="859"/>
        <v>0</v>
      </c>
      <c r="CJ132" s="59">
        <f t="shared" si="860"/>
        <v>0</v>
      </c>
      <c r="CK132" s="55">
        <f t="shared" si="861"/>
        <v>0</v>
      </c>
      <c r="CL132" s="59">
        <f t="shared" si="862"/>
        <v>0</v>
      </c>
      <c r="CM132" s="57">
        <f t="shared" si="863"/>
        <v>0</v>
      </c>
      <c r="CN132" s="59">
        <f t="shared" si="864"/>
        <v>0</v>
      </c>
      <c r="CO132" s="60">
        <f t="shared" si="865"/>
        <v>0</v>
      </c>
      <c r="CP132" s="59">
        <f t="shared" si="866"/>
        <v>0</v>
      </c>
      <c r="CQ132" s="57">
        <f t="shared" si="867"/>
        <v>0</v>
      </c>
      <c r="CR132" s="59">
        <f t="shared" si="868"/>
        <v>0</v>
      </c>
      <c r="CS132" s="55">
        <f t="shared" si="869"/>
        <v>0</v>
      </c>
      <c r="CT132" s="59">
        <f t="shared" si="870"/>
        <v>0</v>
      </c>
      <c r="CU132" s="60">
        <f t="shared" si="871"/>
        <v>0</v>
      </c>
      <c r="CV132" s="59">
        <f t="shared" si="872"/>
        <v>0</v>
      </c>
      <c r="CW132" s="60">
        <f t="shared" si="873"/>
        <v>0</v>
      </c>
      <c r="CX132" s="59">
        <f t="shared" si="874"/>
        <v>0</v>
      </c>
      <c r="CY132" s="60">
        <f t="shared" si="875"/>
        <v>0</v>
      </c>
      <c r="CZ132" s="59">
        <f t="shared" si="876"/>
        <v>0</v>
      </c>
      <c r="DA132" s="55">
        <f t="shared" si="877"/>
        <v>0</v>
      </c>
      <c r="DB132" s="59">
        <f t="shared" si="878"/>
        <v>0</v>
      </c>
      <c r="DC132" s="60">
        <f t="shared" si="879"/>
        <v>0</v>
      </c>
      <c r="DD132" s="59">
        <f t="shared" si="880"/>
        <v>0</v>
      </c>
      <c r="DE132" s="60">
        <f t="shared" si="881"/>
        <v>0</v>
      </c>
      <c r="DF132" s="59">
        <f t="shared" si="882"/>
        <v>0</v>
      </c>
      <c r="DG132" s="60">
        <f t="shared" si="883"/>
        <v>0</v>
      </c>
      <c r="DH132" s="59">
        <f t="shared" si="884"/>
        <v>0</v>
      </c>
      <c r="DI132" s="60">
        <f t="shared" si="885"/>
        <v>0</v>
      </c>
      <c r="DJ132" s="59">
        <f t="shared" si="886"/>
        <v>0</v>
      </c>
      <c r="DK132" s="55">
        <f t="shared" si="887"/>
        <v>0</v>
      </c>
      <c r="DL132" s="59">
        <f t="shared" si="888"/>
        <v>0</v>
      </c>
      <c r="DM132" s="60">
        <f t="shared" si="889"/>
        <v>0</v>
      </c>
      <c r="DN132" s="59">
        <f t="shared" si="890"/>
        <v>0</v>
      </c>
      <c r="DO132" s="60">
        <f t="shared" si="891"/>
        <v>0</v>
      </c>
      <c r="DP132" s="59">
        <f t="shared" si="892"/>
        <v>0</v>
      </c>
      <c r="DQ132" s="55">
        <f t="shared" si="893"/>
        <v>0</v>
      </c>
      <c r="DR132" s="59">
        <f t="shared" si="89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801"/>
        <v>0.91</v>
      </c>
      <c r="DZ132" s="55">
        <f t="shared" si="801"/>
        <v>0.89</v>
      </c>
      <c r="EA132" s="55">
        <f t="shared" si="801"/>
        <v>0.87</v>
      </c>
      <c r="EB132" s="55">
        <f t="shared" si="801"/>
        <v>0.85</v>
      </c>
      <c r="EC132" s="55">
        <f t="shared" si="801"/>
        <v>0.83</v>
      </c>
      <c r="ED132" s="55">
        <f t="shared" si="801"/>
        <v>0.80999999999999994</v>
      </c>
      <c r="EE132" s="55">
        <f t="shared" si="801"/>
        <v>0.78999999999999992</v>
      </c>
      <c r="EF132" s="55">
        <f t="shared" si="801"/>
        <v>0.76999999999999991</v>
      </c>
      <c r="EG132" s="55">
        <f t="shared" si="801"/>
        <v>0.74999999999999989</v>
      </c>
      <c r="EH132" s="55">
        <f t="shared" si="801"/>
        <v>0.72999999999999987</v>
      </c>
      <c r="EI132" s="55">
        <f t="shared" si="801"/>
        <v>0.70999999999999985</v>
      </c>
      <c r="EJ132" s="55">
        <f t="shared" si="801"/>
        <v>0.68999999999999984</v>
      </c>
      <c r="EK132" s="55">
        <f t="shared" si="801"/>
        <v>0.66999999999999982</v>
      </c>
      <c r="EL132" s="55">
        <f t="shared" si="801"/>
        <v>0.6499999999999998</v>
      </c>
      <c r="EM132" s="55">
        <f t="shared" si="801"/>
        <v>0.62999999999999978</v>
      </c>
      <c r="EN132" s="55">
        <f t="shared" si="801"/>
        <v>0.60999999999999976</v>
      </c>
      <c r="EO132" s="55">
        <f t="shared" si="801"/>
        <v>0.58999999999999975</v>
      </c>
      <c r="EP132" s="55">
        <f t="shared" si="801"/>
        <v>0.56999999999999973</v>
      </c>
      <c r="ER132" s="55">
        <f t="shared" si="656"/>
        <v>0</v>
      </c>
      <c r="ES132" s="55">
        <f t="shared" si="517"/>
        <v>0</v>
      </c>
      <c r="ET132" s="59">
        <f t="shared" si="895"/>
        <v>0</v>
      </c>
      <c r="EU132" s="55">
        <f t="shared" si="896"/>
        <v>0</v>
      </c>
      <c r="EV132" s="59">
        <f t="shared" si="897"/>
        <v>0</v>
      </c>
      <c r="EW132" s="55">
        <f t="shared" si="898"/>
        <v>0</v>
      </c>
      <c r="EX132" s="59">
        <f t="shared" si="899"/>
        <v>0</v>
      </c>
      <c r="EY132" s="55">
        <f t="shared" si="900"/>
        <v>0</v>
      </c>
      <c r="EZ132" s="59">
        <f t="shared" si="901"/>
        <v>0</v>
      </c>
      <c r="FA132" s="57">
        <f t="shared" si="902"/>
        <v>0</v>
      </c>
      <c r="FB132" s="59">
        <f t="shared" si="903"/>
        <v>0</v>
      </c>
      <c r="FC132" s="55">
        <f t="shared" si="904"/>
        <v>0</v>
      </c>
      <c r="FD132" s="59">
        <f t="shared" si="905"/>
        <v>0</v>
      </c>
      <c r="FE132" s="57">
        <f t="shared" si="906"/>
        <v>0</v>
      </c>
      <c r="FF132" s="59">
        <f t="shared" si="907"/>
        <v>0</v>
      </c>
      <c r="FG132" s="60">
        <f t="shared" si="908"/>
        <v>0</v>
      </c>
      <c r="FH132" s="59">
        <f t="shared" si="909"/>
        <v>0</v>
      </c>
      <c r="FI132" s="57">
        <f t="shared" si="910"/>
        <v>0</v>
      </c>
      <c r="FJ132" s="59">
        <f t="shared" si="911"/>
        <v>0</v>
      </c>
      <c r="FK132" s="55">
        <f t="shared" si="912"/>
        <v>0</v>
      </c>
      <c r="FL132" s="59">
        <f t="shared" si="913"/>
        <v>0</v>
      </c>
      <c r="FM132" s="60">
        <f t="shared" si="914"/>
        <v>0</v>
      </c>
      <c r="FN132" s="59">
        <f t="shared" si="915"/>
        <v>0</v>
      </c>
      <c r="FO132" s="60">
        <f t="shared" si="916"/>
        <v>0</v>
      </c>
      <c r="FP132" s="59">
        <f t="shared" si="917"/>
        <v>0</v>
      </c>
      <c r="FQ132" s="60">
        <f t="shared" si="918"/>
        <v>0</v>
      </c>
      <c r="FR132" s="59">
        <f t="shared" si="919"/>
        <v>0</v>
      </c>
      <c r="FS132" s="55">
        <f t="shared" si="920"/>
        <v>0</v>
      </c>
      <c r="FT132" s="59">
        <f t="shared" si="921"/>
        <v>0</v>
      </c>
      <c r="FU132" s="60">
        <f t="shared" si="922"/>
        <v>0</v>
      </c>
      <c r="FV132" s="59">
        <f t="shared" si="923"/>
        <v>0</v>
      </c>
      <c r="FW132" s="60">
        <f t="shared" si="924"/>
        <v>0</v>
      </c>
      <c r="FX132" s="59">
        <f t="shared" si="925"/>
        <v>0</v>
      </c>
      <c r="FY132" s="60">
        <f t="shared" si="926"/>
        <v>0</v>
      </c>
      <c r="FZ132" s="59">
        <f t="shared" si="927"/>
        <v>0</v>
      </c>
      <c r="GA132" s="60">
        <f t="shared" si="928"/>
        <v>0</v>
      </c>
      <c r="GB132" s="59">
        <f t="shared" si="929"/>
        <v>0</v>
      </c>
      <c r="GC132" s="55">
        <f t="shared" si="930"/>
        <v>0</v>
      </c>
      <c r="GD132" s="59">
        <f t="shared" si="931"/>
        <v>0</v>
      </c>
      <c r="GE132" s="60">
        <f t="shared" si="932"/>
        <v>0</v>
      </c>
      <c r="GF132" s="59">
        <f t="shared" si="933"/>
        <v>0</v>
      </c>
      <c r="GG132" s="60">
        <f t="shared" si="934"/>
        <v>0</v>
      </c>
      <c r="GH132" s="59">
        <f t="shared" si="935"/>
        <v>0</v>
      </c>
      <c r="GI132" s="55">
        <f t="shared" si="936"/>
        <v>0</v>
      </c>
      <c r="GJ132" s="59">
        <f t="shared" si="93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802"/>
        <v>0.91</v>
      </c>
      <c r="GR132" s="55">
        <f t="shared" si="802"/>
        <v>0.89</v>
      </c>
      <c r="GS132" s="55">
        <f t="shared" si="802"/>
        <v>0.87</v>
      </c>
      <c r="GT132" s="55">
        <f t="shared" si="802"/>
        <v>0.85</v>
      </c>
      <c r="GU132" s="55">
        <f t="shared" si="802"/>
        <v>0.83</v>
      </c>
      <c r="GV132" s="55">
        <f t="shared" si="802"/>
        <v>0.80999999999999994</v>
      </c>
      <c r="GW132" s="55">
        <f t="shared" si="802"/>
        <v>0.78999999999999992</v>
      </c>
      <c r="GX132" s="55">
        <f t="shared" si="802"/>
        <v>0.76999999999999991</v>
      </c>
      <c r="GY132" s="55">
        <f t="shared" si="802"/>
        <v>0.74999999999999989</v>
      </c>
      <c r="GZ132" s="55">
        <f t="shared" si="802"/>
        <v>0.72999999999999987</v>
      </c>
      <c r="HA132" s="55">
        <f t="shared" si="802"/>
        <v>0.70999999999999985</v>
      </c>
      <c r="HB132" s="55">
        <f t="shared" si="802"/>
        <v>0.68999999999999984</v>
      </c>
      <c r="HC132" s="55">
        <f t="shared" si="802"/>
        <v>0.66999999999999982</v>
      </c>
      <c r="HD132" s="55">
        <f t="shared" si="802"/>
        <v>0.6499999999999998</v>
      </c>
      <c r="HE132" s="55">
        <f t="shared" si="802"/>
        <v>0.62999999999999978</v>
      </c>
      <c r="HF132" s="55">
        <f t="shared" si="802"/>
        <v>0.60999999999999976</v>
      </c>
      <c r="HG132" s="55">
        <f t="shared" si="802"/>
        <v>0.58999999999999975</v>
      </c>
      <c r="HH132" s="55">
        <f t="shared" si="802"/>
        <v>0.56999999999999973</v>
      </c>
    </row>
    <row r="133" spans="1:216" x14ac:dyDescent="0.3">
      <c r="A133" s="2">
        <v>4</v>
      </c>
      <c r="C133" s="38" t="s">
        <v>61</v>
      </c>
      <c r="D133" s="42">
        <f>TRUNC(1519,-1)</f>
        <v>1510</v>
      </c>
      <c r="E133" s="71">
        <f t="shared" si="807"/>
        <v>4990</v>
      </c>
      <c r="H133" s="55">
        <f t="shared" si="808"/>
        <v>1661.0000000000002</v>
      </c>
      <c r="I133" s="55">
        <f t="shared" si="513"/>
        <v>1661.0000000000002</v>
      </c>
      <c r="J133" s="59">
        <f t="shared" si="514"/>
        <v>5490.9338000000007</v>
      </c>
      <c r="K133" s="55">
        <f t="shared" si="809"/>
        <v>1611.17</v>
      </c>
      <c r="L133" s="59">
        <f t="shared" si="810"/>
        <v>5326.2057860000004</v>
      </c>
      <c r="M133" s="55">
        <f t="shared" si="811"/>
        <v>1577.95</v>
      </c>
      <c r="N133" s="59">
        <f t="shared" si="812"/>
        <v>5216.3871100000006</v>
      </c>
      <c r="O133" s="55">
        <f t="shared" si="813"/>
        <v>1544.7300000000002</v>
      </c>
      <c r="P133" s="59">
        <f t="shared" si="814"/>
        <v>5106.5684340000007</v>
      </c>
      <c r="Q133" s="57">
        <f t="shared" si="815"/>
        <v>1511.5100000000002</v>
      </c>
      <c r="R133" s="59">
        <f t="shared" si="816"/>
        <v>4996.7497580000008</v>
      </c>
      <c r="S133" s="55">
        <f t="shared" si="817"/>
        <v>1478.2900000000002</v>
      </c>
      <c r="T133" s="59">
        <f t="shared" si="818"/>
        <v>4886.931082000001</v>
      </c>
      <c r="U133" s="57">
        <f t="shared" si="819"/>
        <v>1445.0700000000002</v>
      </c>
      <c r="V133" s="59">
        <f t="shared" si="820"/>
        <v>4777.1124060000002</v>
      </c>
      <c r="W133" s="60">
        <f t="shared" si="821"/>
        <v>1411.8500000000001</v>
      </c>
      <c r="X133" s="59">
        <f t="shared" si="822"/>
        <v>4667.2937300000003</v>
      </c>
      <c r="Y133" s="57">
        <f t="shared" si="823"/>
        <v>1378.63</v>
      </c>
      <c r="Z133" s="59">
        <f t="shared" si="824"/>
        <v>4557.4750540000005</v>
      </c>
      <c r="AA133" s="55">
        <f t="shared" si="825"/>
        <v>1345.41</v>
      </c>
      <c r="AB133" s="59">
        <f t="shared" si="826"/>
        <v>4447.6563780000006</v>
      </c>
      <c r="AC133" s="60">
        <f t="shared" si="827"/>
        <v>1312.19</v>
      </c>
      <c r="AD133" s="59">
        <f t="shared" si="828"/>
        <v>4337.8377020000007</v>
      </c>
      <c r="AE133" s="60">
        <f t="shared" si="829"/>
        <v>1278.97</v>
      </c>
      <c r="AF133" s="59">
        <f t="shared" si="830"/>
        <v>4228.0190259999999</v>
      </c>
      <c r="AG133" s="60">
        <f t="shared" si="831"/>
        <v>1245.75</v>
      </c>
      <c r="AH133" s="59">
        <f t="shared" si="832"/>
        <v>4118.2003500000001</v>
      </c>
      <c r="AI133" s="55">
        <f t="shared" si="833"/>
        <v>1212.53</v>
      </c>
      <c r="AJ133" s="59">
        <f t="shared" si="834"/>
        <v>4008.3816740000002</v>
      </c>
      <c r="AK133" s="60">
        <f t="shared" si="835"/>
        <v>1179.31</v>
      </c>
      <c r="AL133" s="59">
        <f t="shared" si="836"/>
        <v>3898.5629979999999</v>
      </c>
      <c r="AM133" s="60">
        <f t="shared" si="837"/>
        <v>1146.0899999999999</v>
      </c>
      <c r="AN133" s="59">
        <f t="shared" si="838"/>
        <v>3788.744322</v>
      </c>
      <c r="AO133" s="60">
        <f t="shared" si="839"/>
        <v>1112.8699999999999</v>
      </c>
      <c r="AP133" s="59">
        <f t="shared" si="840"/>
        <v>3678.9256459999997</v>
      </c>
      <c r="AQ133" s="60">
        <f t="shared" si="841"/>
        <v>1079.6499999999999</v>
      </c>
      <c r="AR133" s="59">
        <f t="shared" si="842"/>
        <v>3569.1069699999998</v>
      </c>
      <c r="AS133" s="55">
        <f t="shared" si="843"/>
        <v>1046.4299999999998</v>
      </c>
      <c r="AT133" s="59">
        <f t="shared" si="844"/>
        <v>3459.2882939999995</v>
      </c>
      <c r="AU133" s="60">
        <f t="shared" si="845"/>
        <v>1013.2099999999997</v>
      </c>
      <c r="AV133" s="59">
        <f t="shared" si="846"/>
        <v>3349.4696179999992</v>
      </c>
      <c r="AW133" s="60">
        <f t="shared" si="847"/>
        <v>979.98999999999967</v>
      </c>
      <c r="AX133" s="59">
        <f t="shared" si="848"/>
        <v>3239.6509419999988</v>
      </c>
      <c r="AY133" s="55">
        <f t="shared" si="849"/>
        <v>946.76999999999964</v>
      </c>
      <c r="AZ133" s="59">
        <f t="shared" si="850"/>
        <v>3129.832265999999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51"/>
        <v>0.91</v>
      </c>
      <c r="BH133" s="55">
        <f t="shared" si="851"/>
        <v>0.89</v>
      </c>
      <c r="BI133" s="55">
        <f t="shared" si="851"/>
        <v>0.87</v>
      </c>
      <c r="BJ133" s="55">
        <f t="shared" si="851"/>
        <v>0.85</v>
      </c>
      <c r="BK133" s="55">
        <f t="shared" si="851"/>
        <v>0.83</v>
      </c>
      <c r="BL133" s="55">
        <f t="shared" si="851"/>
        <v>0.80999999999999994</v>
      </c>
      <c r="BM133" s="55">
        <f t="shared" si="851"/>
        <v>0.78999999999999992</v>
      </c>
      <c r="BN133" s="55">
        <f t="shared" si="851"/>
        <v>0.76999999999999991</v>
      </c>
      <c r="BO133" s="55">
        <f t="shared" si="851"/>
        <v>0.74999999999999989</v>
      </c>
      <c r="BP133" s="55">
        <f t="shared" si="851"/>
        <v>0.72999999999999987</v>
      </c>
      <c r="BQ133" s="55">
        <f t="shared" si="851"/>
        <v>0.70999999999999985</v>
      </c>
      <c r="BR133" s="55">
        <f t="shared" si="851"/>
        <v>0.68999999999999984</v>
      </c>
      <c r="BS133" s="55">
        <f t="shared" si="851"/>
        <v>0.66999999999999982</v>
      </c>
      <c r="BT133" s="55">
        <f t="shared" si="851"/>
        <v>0.6499999999999998</v>
      </c>
      <c r="BU133" s="55">
        <f t="shared" si="851"/>
        <v>0.62999999999999978</v>
      </c>
      <c r="BV133" s="55">
        <f t="shared" si="851"/>
        <v>0.60999999999999976</v>
      </c>
      <c r="BW133" s="55">
        <f t="shared" si="851"/>
        <v>0.58999999999999975</v>
      </c>
      <c r="BX133" s="55">
        <f t="shared" si="851"/>
        <v>0.56999999999999973</v>
      </c>
      <c r="BZ133" s="55">
        <f t="shared" si="515"/>
        <v>1511.5100000000002</v>
      </c>
      <c r="CA133" s="55">
        <f t="shared" si="516"/>
        <v>1511.5100000000002</v>
      </c>
      <c r="CB133" s="59">
        <f t="shared" si="852"/>
        <v>4996.7497580000008</v>
      </c>
      <c r="CC133" s="55">
        <f t="shared" si="853"/>
        <v>1466.1647000000003</v>
      </c>
      <c r="CD133" s="59">
        <f t="shared" si="854"/>
        <v>4846.8472652600012</v>
      </c>
      <c r="CE133" s="55">
        <f t="shared" si="855"/>
        <v>1435.9345000000001</v>
      </c>
      <c r="CF133" s="59">
        <f t="shared" si="856"/>
        <v>4746.9122701000006</v>
      </c>
      <c r="CG133" s="55">
        <f t="shared" si="857"/>
        <v>1405.7043000000003</v>
      </c>
      <c r="CH133" s="59">
        <f t="shared" si="858"/>
        <v>4646.9772749400008</v>
      </c>
      <c r="CI133" s="57">
        <f t="shared" si="859"/>
        <v>1375.4741000000001</v>
      </c>
      <c r="CJ133" s="59">
        <f t="shared" si="860"/>
        <v>4547.0422797800002</v>
      </c>
      <c r="CK133" s="55">
        <f t="shared" si="861"/>
        <v>1345.2439000000002</v>
      </c>
      <c r="CL133" s="59">
        <f t="shared" si="862"/>
        <v>4447.1072846200004</v>
      </c>
      <c r="CM133" s="57">
        <f t="shared" si="863"/>
        <v>1315.0137000000002</v>
      </c>
      <c r="CN133" s="59">
        <f t="shared" si="864"/>
        <v>4347.1722894600007</v>
      </c>
      <c r="CO133" s="60">
        <f t="shared" si="865"/>
        <v>1284.7835000000002</v>
      </c>
      <c r="CP133" s="59">
        <f t="shared" si="866"/>
        <v>4247.2372943000009</v>
      </c>
      <c r="CQ133" s="57">
        <f t="shared" si="867"/>
        <v>1254.5533</v>
      </c>
      <c r="CR133" s="59">
        <f t="shared" si="868"/>
        <v>4147.3022991400003</v>
      </c>
      <c r="CS133" s="55">
        <f t="shared" si="869"/>
        <v>1224.3231000000001</v>
      </c>
      <c r="CT133" s="59">
        <f t="shared" si="870"/>
        <v>4047.3673039800001</v>
      </c>
      <c r="CU133" s="60">
        <f t="shared" si="871"/>
        <v>1194.0929000000001</v>
      </c>
      <c r="CV133" s="59">
        <f t="shared" si="872"/>
        <v>3947.4323088200003</v>
      </c>
      <c r="CW133" s="60">
        <f t="shared" si="873"/>
        <v>1163.8627000000001</v>
      </c>
      <c r="CX133" s="59">
        <f t="shared" si="874"/>
        <v>3847.4973136600006</v>
      </c>
      <c r="CY133" s="60">
        <f t="shared" si="875"/>
        <v>1133.6324999999999</v>
      </c>
      <c r="CZ133" s="59">
        <f t="shared" si="876"/>
        <v>3747.5623184999999</v>
      </c>
      <c r="DA133" s="55">
        <f t="shared" si="877"/>
        <v>1103.4023</v>
      </c>
      <c r="DB133" s="59">
        <f t="shared" si="878"/>
        <v>3647.6273233399997</v>
      </c>
      <c r="DC133" s="60">
        <f t="shared" si="879"/>
        <v>1073.1721</v>
      </c>
      <c r="DD133" s="59">
        <f t="shared" si="880"/>
        <v>3547.69232818</v>
      </c>
      <c r="DE133" s="60">
        <f t="shared" si="881"/>
        <v>1042.9418999999998</v>
      </c>
      <c r="DF133" s="59">
        <f t="shared" si="882"/>
        <v>3447.7573330199994</v>
      </c>
      <c r="DG133" s="60">
        <f t="shared" si="883"/>
        <v>1012.7116999999998</v>
      </c>
      <c r="DH133" s="59">
        <f t="shared" si="884"/>
        <v>3347.8223378599996</v>
      </c>
      <c r="DI133" s="60">
        <f t="shared" si="885"/>
        <v>982.48149999999987</v>
      </c>
      <c r="DJ133" s="59">
        <f t="shared" si="886"/>
        <v>3247.8873426999999</v>
      </c>
      <c r="DK133" s="55">
        <f t="shared" si="887"/>
        <v>952.25129999999979</v>
      </c>
      <c r="DL133" s="59">
        <f t="shared" si="888"/>
        <v>3147.9523475399992</v>
      </c>
      <c r="DM133" s="60">
        <f t="shared" si="889"/>
        <v>922.02109999999982</v>
      </c>
      <c r="DN133" s="59">
        <f t="shared" si="890"/>
        <v>3048.0173523799995</v>
      </c>
      <c r="DO133" s="60">
        <f t="shared" si="891"/>
        <v>891.79089999999974</v>
      </c>
      <c r="DP133" s="59">
        <f t="shared" si="892"/>
        <v>2948.0823572199993</v>
      </c>
      <c r="DQ133" s="55">
        <f t="shared" si="893"/>
        <v>861.56069999999977</v>
      </c>
      <c r="DR133" s="59">
        <f t="shared" si="894"/>
        <v>2848.1473620599995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801"/>
        <v>0.91</v>
      </c>
      <c r="DZ133" s="55">
        <f t="shared" si="801"/>
        <v>0.89</v>
      </c>
      <c r="EA133" s="55">
        <f t="shared" si="801"/>
        <v>0.87</v>
      </c>
      <c r="EB133" s="55">
        <f t="shared" si="801"/>
        <v>0.85</v>
      </c>
      <c r="EC133" s="55">
        <f t="shared" si="801"/>
        <v>0.83</v>
      </c>
      <c r="ED133" s="55">
        <f t="shared" si="801"/>
        <v>0.80999999999999994</v>
      </c>
      <c r="EE133" s="55">
        <f t="shared" si="801"/>
        <v>0.78999999999999992</v>
      </c>
      <c r="EF133" s="55">
        <f t="shared" si="801"/>
        <v>0.76999999999999991</v>
      </c>
      <c r="EG133" s="55">
        <f t="shared" si="801"/>
        <v>0.74999999999999989</v>
      </c>
      <c r="EH133" s="55">
        <f t="shared" si="801"/>
        <v>0.72999999999999987</v>
      </c>
      <c r="EI133" s="55">
        <f t="shared" si="801"/>
        <v>0.70999999999999985</v>
      </c>
      <c r="EJ133" s="55">
        <f t="shared" si="801"/>
        <v>0.68999999999999984</v>
      </c>
      <c r="EK133" s="55">
        <f t="shared" si="801"/>
        <v>0.66999999999999982</v>
      </c>
      <c r="EL133" s="55">
        <f t="shared" si="801"/>
        <v>0.6499999999999998</v>
      </c>
      <c r="EM133" s="55">
        <f t="shared" si="801"/>
        <v>0.62999999999999978</v>
      </c>
      <c r="EN133" s="55">
        <f t="shared" si="801"/>
        <v>0.60999999999999976</v>
      </c>
      <c r="EO133" s="55">
        <f t="shared" si="801"/>
        <v>0.58999999999999975</v>
      </c>
      <c r="EP133" s="55">
        <f t="shared" si="801"/>
        <v>0.56999999999999973</v>
      </c>
      <c r="ER133" s="55">
        <f t="shared" si="656"/>
        <v>1375.4741000000001</v>
      </c>
      <c r="ES133" s="55">
        <f t="shared" si="517"/>
        <v>1375.4741000000001</v>
      </c>
      <c r="ET133" s="59">
        <f t="shared" si="895"/>
        <v>4547.0422797800002</v>
      </c>
      <c r="EU133" s="55">
        <f t="shared" si="896"/>
        <v>1334.209877</v>
      </c>
      <c r="EV133" s="59">
        <f t="shared" si="897"/>
        <v>4410.6310113866002</v>
      </c>
      <c r="EW133" s="55">
        <f t="shared" si="898"/>
        <v>1306.7003950000001</v>
      </c>
      <c r="EX133" s="59">
        <f t="shared" si="899"/>
        <v>4319.6901657910003</v>
      </c>
      <c r="EY133" s="55">
        <f t="shared" si="900"/>
        <v>1279.1909130000001</v>
      </c>
      <c r="EZ133" s="59">
        <f t="shared" si="901"/>
        <v>4228.7493201954003</v>
      </c>
      <c r="FA133" s="57">
        <f t="shared" si="902"/>
        <v>1251.6814310000002</v>
      </c>
      <c r="FB133" s="59">
        <f t="shared" si="903"/>
        <v>4137.8084745998003</v>
      </c>
      <c r="FC133" s="55">
        <f t="shared" si="904"/>
        <v>1224.171949</v>
      </c>
      <c r="FD133" s="59">
        <f t="shared" si="905"/>
        <v>4046.8676290042004</v>
      </c>
      <c r="FE133" s="57">
        <f t="shared" si="906"/>
        <v>1196.6624670000001</v>
      </c>
      <c r="FF133" s="59">
        <f t="shared" si="907"/>
        <v>3955.9267834086004</v>
      </c>
      <c r="FG133" s="60">
        <f t="shared" si="908"/>
        <v>1169.1529850000002</v>
      </c>
      <c r="FH133" s="59">
        <f t="shared" si="909"/>
        <v>3864.9859378130009</v>
      </c>
      <c r="FI133" s="57">
        <f t="shared" si="910"/>
        <v>1141.643503</v>
      </c>
      <c r="FJ133" s="59">
        <f t="shared" si="911"/>
        <v>3774.0450922174</v>
      </c>
      <c r="FK133" s="55">
        <f t="shared" si="912"/>
        <v>1114.1340210000001</v>
      </c>
      <c r="FL133" s="59">
        <f t="shared" si="913"/>
        <v>3683.1042466218005</v>
      </c>
      <c r="FM133" s="60">
        <f t="shared" si="914"/>
        <v>1086.6245389999999</v>
      </c>
      <c r="FN133" s="59">
        <f t="shared" si="915"/>
        <v>3592.1634010261996</v>
      </c>
      <c r="FO133" s="60">
        <f t="shared" si="916"/>
        <v>1059.115057</v>
      </c>
      <c r="FP133" s="59">
        <f t="shared" si="917"/>
        <v>3501.2225554306001</v>
      </c>
      <c r="FQ133" s="60">
        <f t="shared" si="918"/>
        <v>1031.605575</v>
      </c>
      <c r="FR133" s="59">
        <f t="shared" si="919"/>
        <v>3410.2817098350001</v>
      </c>
      <c r="FS133" s="55">
        <f t="shared" si="920"/>
        <v>1004.0960929999999</v>
      </c>
      <c r="FT133" s="59">
        <f t="shared" si="921"/>
        <v>3319.3408642393997</v>
      </c>
      <c r="FU133" s="60">
        <f t="shared" si="922"/>
        <v>976.58661099999995</v>
      </c>
      <c r="FV133" s="59">
        <f t="shared" si="923"/>
        <v>3228.4000186437997</v>
      </c>
      <c r="FW133" s="60">
        <f t="shared" si="924"/>
        <v>949.0771289999999</v>
      </c>
      <c r="FX133" s="59">
        <f t="shared" si="925"/>
        <v>3137.4591730481998</v>
      </c>
      <c r="FY133" s="60">
        <f t="shared" si="926"/>
        <v>921.56764699999985</v>
      </c>
      <c r="FZ133" s="59">
        <f t="shared" si="927"/>
        <v>3046.5183274525994</v>
      </c>
      <c r="GA133" s="60">
        <f t="shared" si="928"/>
        <v>894.0581649999998</v>
      </c>
      <c r="GB133" s="59">
        <f t="shared" si="929"/>
        <v>2955.5774818569994</v>
      </c>
      <c r="GC133" s="55">
        <f t="shared" si="930"/>
        <v>866.54868299999976</v>
      </c>
      <c r="GD133" s="59">
        <f t="shared" si="931"/>
        <v>2864.6366362613994</v>
      </c>
      <c r="GE133" s="60">
        <f t="shared" si="932"/>
        <v>839.03920099999971</v>
      </c>
      <c r="GF133" s="59">
        <f t="shared" si="933"/>
        <v>2773.695790665799</v>
      </c>
      <c r="GG133" s="60">
        <f t="shared" si="934"/>
        <v>811.52971899999977</v>
      </c>
      <c r="GH133" s="59">
        <f t="shared" si="935"/>
        <v>2682.7549450701995</v>
      </c>
      <c r="GI133" s="55">
        <f t="shared" si="936"/>
        <v>784.02023699999972</v>
      </c>
      <c r="GJ133" s="59">
        <f t="shared" si="937"/>
        <v>2591.8140994745991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802"/>
        <v>0.91</v>
      </c>
      <c r="GR133" s="55">
        <f t="shared" si="802"/>
        <v>0.89</v>
      </c>
      <c r="GS133" s="55">
        <f t="shared" si="802"/>
        <v>0.87</v>
      </c>
      <c r="GT133" s="55">
        <f t="shared" si="802"/>
        <v>0.85</v>
      </c>
      <c r="GU133" s="55">
        <f t="shared" si="802"/>
        <v>0.83</v>
      </c>
      <c r="GV133" s="55">
        <f t="shared" si="802"/>
        <v>0.80999999999999994</v>
      </c>
      <c r="GW133" s="55">
        <f t="shared" si="802"/>
        <v>0.78999999999999992</v>
      </c>
      <c r="GX133" s="55">
        <f t="shared" si="802"/>
        <v>0.76999999999999991</v>
      </c>
      <c r="GY133" s="55">
        <f t="shared" si="802"/>
        <v>0.74999999999999989</v>
      </c>
      <c r="GZ133" s="55">
        <f t="shared" si="802"/>
        <v>0.72999999999999987</v>
      </c>
      <c r="HA133" s="55">
        <f t="shared" si="802"/>
        <v>0.70999999999999985</v>
      </c>
      <c r="HB133" s="55">
        <f t="shared" si="802"/>
        <v>0.68999999999999984</v>
      </c>
      <c r="HC133" s="55">
        <f t="shared" si="802"/>
        <v>0.66999999999999982</v>
      </c>
      <c r="HD133" s="55">
        <f t="shared" si="802"/>
        <v>0.6499999999999998</v>
      </c>
      <c r="HE133" s="55">
        <f t="shared" si="802"/>
        <v>0.62999999999999978</v>
      </c>
      <c r="HF133" s="55">
        <f t="shared" si="802"/>
        <v>0.60999999999999976</v>
      </c>
      <c r="HG133" s="55">
        <f t="shared" si="802"/>
        <v>0.58999999999999975</v>
      </c>
      <c r="HH133" s="55">
        <f t="shared" si="802"/>
        <v>0.56999999999999973</v>
      </c>
    </row>
    <row r="134" spans="1:216" x14ac:dyDescent="0.3">
      <c r="A134" s="2">
        <v>5</v>
      </c>
      <c r="C134" s="38" t="s">
        <v>57</v>
      </c>
      <c r="D134" s="42">
        <f>TRUNC(2347,-1)</f>
        <v>2340</v>
      </c>
      <c r="E134" s="71">
        <f t="shared" si="807"/>
        <v>7730</v>
      </c>
      <c r="H134" s="55">
        <f t="shared" si="808"/>
        <v>2574</v>
      </c>
      <c r="I134" s="55">
        <f t="shared" si="513"/>
        <v>2574</v>
      </c>
      <c r="J134" s="59">
        <f t="shared" si="514"/>
        <v>8509.1291999999994</v>
      </c>
      <c r="K134" s="55">
        <f t="shared" si="809"/>
        <v>2496.7799999999997</v>
      </c>
      <c r="L134" s="59">
        <f t="shared" si="810"/>
        <v>8253.8553240000001</v>
      </c>
      <c r="M134" s="55">
        <f t="shared" si="811"/>
        <v>2445.2999999999997</v>
      </c>
      <c r="N134" s="59">
        <f t="shared" si="812"/>
        <v>8083.6727399999991</v>
      </c>
      <c r="O134" s="55">
        <f t="shared" si="813"/>
        <v>2393.8200000000002</v>
      </c>
      <c r="P134" s="59">
        <f t="shared" si="814"/>
        <v>7913.4901560000008</v>
      </c>
      <c r="Q134" s="57">
        <f t="shared" si="815"/>
        <v>2342.34</v>
      </c>
      <c r="R134" s="59">
        <f t="shared" si="816"/>
        <v>7743.3075720000006</v>
      </c>
      <c r="S134" s="55">
        <f t="shared" si="817"/>
        <v>2290.86</v>
      </c>
      <c r="T134" s="59">
        <f t="shared" si="818"/>
        <v>7573.1249880000005</v>
      </c>
      <c r="U134" s="57">
        <f t="shared" si="819"/>
        <v>2239.38</v>
      </c>
      <c r="V134" s="59">
        <f t="shared" si="820"/>
        <v>7402.9424040000004</v>
      </c>
      <c r="W134" s="60">
        <f t="shared" si="821"/>
        <v>2187.9</v>
      </c>
      <c r="X134" s="59">
        <f t="shared" si="822"/>
        <v>7232.7598200000002</v>
      </c>
      <c r="Y134" s="57">
        <f t="shared" si="823"/>
        <v>2136.42</v>
      </c>
      <c r="Z134" s="59">
        <f t="shared" si="824"/>
        <v>7062.5772360000001</v>
      </c>
      <c r="AA134" s="55">
        <f t="shared" si="825"/>
        <v>2084.94</v>
      </c>
      <c r="AB134" s="59">
        <f t="shared" si="826"/>
        <v>6892.394652</v>
      </c>
      <c r="AC134" s="60">
        <f t="shared" si="827"/>
        <v>2033.4599999999998</v>
      </c>
      <c r="AD134" s="59">
        <f t="shared" si="828"/>
        <v>6722.2120679999998</v>
      </c>
      <c r="AE134" s="60">
        <f t="shared" si="829"/>
        <v>1981.9799999999998</v>
      </c>
      <c r="AF134" s="59">
        <f t="shared" si="830"/>
        <v>6552.0294839999997</v>
      </c>
      <c r="AG134" s="60">
        <f t="shared" si="831"/>
        <v>1930.4999999999998</v>
      </c>
      <c r="AH134" s="59">
        <f t="shared" si="832"/>
        <v>6381.8468999999996</v>
      </c>
      <c r="AI134" s="55">
        <f t="shared" si="833"/>
        <v>1879.0199999999998</v>
      </c>
      <c r="AJ134" s="59">
        <f t="shared" si="834"/>
        <v>6211.6643159999994</v>
      </c>
      <c r="AK134" s="60">
        <f t="shared" si="835"/>
        <v>1827.5399999999997</v>
      </c>
      <c r="AL134" s="59">
        <f t="shared" si="836"/>
        <v>6041.4817319999993</v>
      </c>
      <c r="AM134" s="60">
        <f t="shared" si="837"/>
        <v>1776.0599999999995</v>
      </c>
      <c r="AN134" s="59">
        <f t="shared" si="838"/>
        <v>5871.2991479999982</v>
      </c>
      <c r="AO134" s="60">
        <f t="shared" si="839"/>
        <v>1724.5799999999995</v>
      </c>
      <c r="AP134" s="59">
        <f t="shared" si="840"/>
        <v>5701.1165639999981</v>
      </c>
      <c r="AQ134" s="60">
        <f t="shared" si="841"/>
        <v>1673.0999999999995</v>
      </c>
      <c r="AR134" s="59">
        <f t="shared" si="842"/>
        <v>5530.933979999998</v>
      </c>
      <c r="AS134" s="55">
        <f t="shared" si="843"/>
        <v>1621.6199999999994</v>
      </c>
      <c r="AT134" s="59">
        <f t="shared" si="844"/>
        <v>5360.7513959999978</v>
      </c>
      <c r="AU134" s="60">
        <f t="shared" si="845"/>
        <v>1570.1399999999994</v>
      </c>
      <c r="AV134" s="59">
        <f t="shared" si="846"/>
        <v>5190.5688119999986</v>
      </c>
      <c r="AW134" s="60">
        <f t="shared" si="847"/>
        <v>1518.6599999999994</v>
      </c>
      <c r="AX134" s="59">
        <f t="shared" si="848"/>
        <v>5020.3862279999985</v>
      </c>
      <c r="AY134" s="55">
        <f t="shared" si="849"/>
        <v>1467.1799999999994</v>
      </c>
      <c r="AZ134" s="59">
        <f t="shared" si="850"/>
        <v>4850.2036439999983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51"/>
        <v>0.91</v>
      </c>
      <c r="BH134" s="55">
        <f t="shared" si="851"/>
        <v>0.89</v>
      </c>
      <c r="BI134" s="55">
        <f t="shared" si="851"/>
        <v>0.87</v>
      </c>
      <c r="BJ134" s="55">
        <f t="shared" si="851"/>
        <v>0.85</v>
      </c>
      <c r="BK134" s="55">
        <f t="shared" si="851"/>
        <v>0.83</v>
      </c>
      <c r="BL134" s="55">
        <f t="shared" si="851"/>
        <v>0.80999999999999994</v>
      </c>
      <c r="BM134" s="55">
        <f t="shared" si="851"/>
        <v>0.78999999999999992</v>
      </c>
      <c r="BN134" s="55">
        <f t="shared" si="851"/>
        <v>0.76999999999999991</v>
      </c>
      <c r="BO134" s="55">
        <f t="shared" si="851"/>
        <v>0.74999999999999989</v>
      </c>
      <c r="BP134" s="55">
        <f t="shared" si="851"/>
        <v>0.72999999999999987</v>
      </c>
      <c r="BQ134" s="55">
        <f t="shared" si="851"/>
        <v>0.70999999999999985</v>
      </c>
      <c r="BR134" s="55">
        <f t="shared" si="851"/>
        <v>0.68999999999999984</v>
      </c>
      <c r="BS134" s="55">
        <f t="shared" si="851"/>
        <v>0.66999999999999982</v>
      </c>
      <c r="BT134" s="55">
        <f t="shared" si="851"/>
        <v>0.6499999999999998</v>
      </c>
      <c r="BU134" s="55">
        <f t="shared" si="851"/>
        <v>0.62999999999999978</v>
      </c>
      <c r="BV134" s="55">
        <f t="shared" si="851"/>
        <v>0.60999999999999976</v>
      </c>
      <c r="BW134" s="55">
        <f t="shared" si="851"/>
        <v>0.58999999999999975</v>
      </c>
      <c r="BX134" s="55">
        <f t="shared" si="851"/>
        <v>0.56999999999999973</v>
      </c>
      <c r="BZ134" s="55">
        <f t="shared" si="515"/>
        <v>2342.34</v>
      </c>
      <c r="CA134" s="55">
        <f t="shared" si="516"/>
        <v>2342.34</v>
      </c>
      <c r="CB134" s="59">
        <f t="shared" si="852"/>
        <v>7743.3075720000006</v>
      </c>
      <c r="CC134" s="55">
        <f t="shared" si="853"/>
        <v>2272.0698000000002</v>
      </c>
      <c r="CD134" s="59">
        <f t="shared" si="854"/>
        <v>7511.008344840001</v>
      </c>
      <c r="CE134" s="55">
        <f t="shared" si="855"/>
        <v>2225.223</v>
      </c>
      <c r="CF134" s="59">
        <f t="shared" si="856"/>
        <v>7356.1421934</v>
      </c>
      <c r="CG134" s="55">
        <f t="shared" si="857"/>
        <v>2178.3762000000002</v>
      </c>
      <c r="CH134" s="59">
        <f t="shared" si="858"/>
        <v>7201.2760419600008</v>
      </c>
      <c r="CI134" s="57">
        <f t="shared" si="859"/>
        <v>2131.5294000000004</v>
      </c>
      <c r="CJ134" s="59">
        <f t="shared" si="860"/>
        <v>7046.4098905200017</v>
      </c>
      <c r="CK134" s="55">
        <f t="shared" si="861"/>
        <v>2084.6826000000001</v>
      </c>
      <c r="CL134" s="59">
        <f t="shared" si="862"/>
        <v>6891.5437390800007</v>
      </c>
      <c r="CM134" s="57">
        <f t="shared" si="863"/>
        <v>2037.8358000000001</v>
      </c>
      <c r="CN134" s="59">
        <f t="shared" si="864"/>
        <v>6736.6775876400006</v>
      </c>
      <c r="CO134" s="60">
        <f t="shared" si="865"/>
        <v>1990.989</v>
      </c>
      <c r="CP134" s="59">
        <f t="shared" si="866"/>
        <v>6581.8114362000006</v>
      </c>
      <c r="CQ134" s="57">
        <f t="shared" si="867"/>
        <v>1944.1422</v>
      </c>
      <c r="CR134" s="59">
        <f t="shared" si="868"/>
        <v>6426.9452847600005</v>
      </c>
      <c r="CS134" s="55">
        <f t="shared" si="869"/>
        <v>1897.2954</v>
      </c>
      <c r="CT134" s="59">
        <f t="shared" si="870"/>
        <v>6272.0791333200004</v>
      </c>
      <c r="CU134" s="60">
        <f t="shared" si="871"/>
        <v>1850.4485999999999</v>
      </c>
      <c r="CV134" s="59">
        <f t="shared" si="872"/>
        <v>6117.2129818800004</v>
      </c>
      <c r="CW134" s="60">
        <f t="shared" si="873"/>
        <v>1803.6017999999999</v>
      </c>
      <c r="CX134" s="59">
        <f t="shared" si="874"/>
        <v>5962.3468304399994</v>
      </c>
      <c r="CY134" s="60">
        <f t="shared" si="875"/>
        <v>1756.7549999999999</v>
      </c>
      <c r="CZ134" s="59">
        <f t="shared" si="876"/>
        <v>5807.4806789999993</v>
      </c>
      <c r="DA134" s="55">
        <f t="shared" si="877"/>
        <v>1709.9081999999999</v>
      </c>
      <c r="DB134" s="59">
        <f t="shared" si="878"/>
        <v>5652.6145275599993</v>
      </c>
      <c r="DC134" s="60">
        <f t="shared" si="879"/>
        <v>1663.0613999999998</v>
      </c>
      <c r="DD134" s="59">
        <f t="shared" si="880"/>
        <v>5497.7483761199992</v>
      </c>
      <c r="DE134" s="60">
        <f t="shared" si="881"/>
        <v>1616.2145999999998</v>
      </c>
      <c r="DF134" s="59">
        <f t="shared" si="882"/>
        <v>5342.8822246799991</v>
      </c>
      <c r="DG134" s="60">
        <f t="shared" si="883"/>
        <v>1569.3677999999998</v>
      </c>
      <c r="DH134" s="59">
        <f t="shared" si="884"/>
        <v>5188.0160732399991</v>
      </c>
      <c r="DI134" s="60">
        <f t="shared" si="885"/>
        <v>1522.5209999999997</v>
      </c>
      <c r="DJ134" s="59">
        <f t="shared" si="886"/>
        <v>5033.149921799999</v>
      </c>
      <c r="DK134" s="55">
        <f t="shared" si="887"/>
        <v>1475.6741999999995</v>
      </c>
      <c r="DL134" s="59">
        <f t="shared" si="888"/>
        <v>4878.283770359998</v>
      </c>
      <c r="DM134" s="60">
        <f t="shared" si="889"/>
        <v>1428.8273999999994</v>
      </c>
      <c r="DN134" s="59">
        <f t="shared" si="890"/>
        <v>4723.4176189199979</v>
      </c>
      <c r="DO134" s="60">
        <f t="shared" si="891"/>
        <v>1381.9805999999994</v>
      </c>
      <c r="DP134" s="59">
        <f t="shared" si="892"/>
        <v>4568.5514674799979</v>
      </c>
      <c r="DQ134" s="55">
        <f t="shared" si="893"/>
        <v>1335.1337999999994</v>
      </c>
      <c r="DR134" s="59">
        <f t="shared" si="894"/>
        <v>4413.6853160399978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801"/>
        <v>0.91</v>
      </c>
      <c r="DZ134" s="55">
        <f t="shared" si="801"/>
        <v>0.89</v>
      </c>
      <c r="EA134" s="55">
        <f t="shared" si="801"/>
        <v>0.87</v>
      </c>
      <c r="EB134" s="55">
        <f t="shared" si="801"/>
        <v>0.85</v>
      </c>
      <c r="EC134" s="55">
        <f t="shared" si="801"/>
        <v>0.83</v>
      </c>
      <c r="ED134" s="55">
        <f t="shared" si="801"/>
        <v>0.80999999999999994</v>
      </c>
      <c r="EE134" s="55">
        <f t="shared" si="801"/>
        <v>0.78999999999999992</v>
      </c>
      <c r="EF134" s="55">
        <f t="shared" si="801"/>
        <v>0.76999999999999991</v>
      </c>
      <c r="EG134" s="55">
        <f t="shared" si="801"/>
        <v>0.74999999999999989</v>
      </c>
      <c r="EH134" s="55">
        <f t="shared" si="801"/>
        <v>0.72999999999999987</v>
      </c>
      <c r="EI134" s="55">
        <f t="shared" si="801"/>
        <v>0.70999999999999985</v>
      </c>
      <c r="EJ134" s="55">
        <f t="shared" si="801"/>
        <v>0.68999999999999984</v>
      </c>
      <c r="EK134" s="55">
        <f t="shared" si="801"/>
        <v>0.66999999999999982</v>
      </c>
      <c r="EL134" s="55">
        <f t="shared" si="801"/>
        <v>0.6499999999999998</v>
      </c>
      <c r="EM134" s="55">
        <f t="shared" si="801"/>
        <v>0.62999999999999978</v>
      </c>
      <c r="EN134" s="55">
        <f t="shared" si="801"/>
        <v>0.60999999999999976</v>
      </c>
      <c r="EO134" s="55">
        <f t="shared" si="801"/>
        <v>0.58999999999999975</v>
      </c>
      <c r="EP134" s="55">
        <f t="shared" si="801"/>
        <v>0.56999999999999973</v>
      </c>
      <c r="ER134" s="55">
        <f t="shared" si="656"/>
        <v>2131.5294000000004</v>
      </c>
      <c r="ES134" s="55">
        <f t="shared" si="517"/>
        <v>2131.5294000000004</v>
      </c>
      <c r="ET134" s="59">
        <f t="shared" si="895"/>
        <v>7046.4098905200017</v>
      </c>
      <c r="EU134" s="55">
        <f t="shared" si="896"/>
        <v>2067.5835180000004</v>
      </c>
      <c r="EV134" s="59">
        <f t="shared" si="897"/>
        <v>6835.0175938044013</v>
      </c>
      <c r="EW134" s="55">
        <f t="shared" si="898"/>
        <v>2024.9529300000002</v>
      </c>
      <c r="EX134" s="59">
        <f t="shared" si="899"/>
        <v>6694.0893959940004</v>
      </c>
      <c r="EY134" s="55">
        <f t="shared" si="900"/>
        <v>1982.3223420000004</v>
      </c>
      <c r="EZ134" s="59">
        <f t="shared" si="901"/>
        <v>6553.1611981836013</v>
      </c>
      <c r="FA134" s="57">
        <f t="shared" si="902"/>
        <v>1939.6917540000004</v>
      </c>
      <c r="FB134" s="59">
        <f t="shared" si="903"/>
        <v>6412.2330003732013</v>
      </c>
      <c r="FC134" s="55">
        <f t="shared" si="904"/>
        <v>1897.0611660000004</v>
      </c>
      <c r="FD134" s="59">
        <f t="shared" si="905"/>
        <v>6271.3048025628013</v>
      </c>
      <c r="FE134" s="57">
        <f t="shared" si="906"/>
        <v>1854.4305780000002</v>
      </c>
      <c r="FF134" s="59">
        <f t="shared" si="907"/>
        <v>6130.3766047524005</v>
      </c>
      <c r="FG134" s="60">
        <f t="shared" si="908"/>
        <v>1811.7999900000002</v>
      </c>
      <c r="FH134" s="59">
        <f t="shared" si="909"/>
        <v>5989.4484069420005</v>
      </c>
      <c r="FI134" s="57">
        <f t="shared" si="910"/>
        <v>1769.1694020000002</v>
      </c>
      <c r="FJ134" s="59">
        <f t="shared" si="911"/>
        <v>5848.5202091316005</v>
      </c>
      <c r="FK134" s="55">
        <f t="shared" si="912"/>
        <v>1726.5388140000002</v>
      </c>
      <c r="FL134" s="59">
        <f t="shared" si="913"/>
        <v>5707.5920113212005</v>
      </c>
      <c r="FM134" s="60">
        <f t="shared" si="914"/>
        <v>1683.908226</v>
      </c>
      <c r="FN134" s="59">
        <f t="shared" si="915"/>
        <v>5566.6638135108005</v>
      </c>
      <c r="FO134" s="60">
        <f t="shared" si="916"/>
        <v>1641.277638</v>
      </c>
      <c r="FP134" s="59">
        <f t="shared" si="917"/>
        <v>5425.7356157004006</v>
      </c>
      <c r="FQ134" s="60">
        <f t="shared" si="918"/>
        <v>1598.64705</v>
      </c>
      <c r="FR134" s="59">
        <f t="shared" si="919"/>
        <v>5284.8074178900006</v>
      </c>
      <c r="FS134" s="55">
        <f t="shared" si="920"/>
        <v>1556.016462</v>
      </c>
      <c r="FT134" s="59">
        <f t="shared" si="921"/>
        <v>5143.8792200796006</v>
      </c>
      <c r="FU134" s="60">
        <f t="shared" si="922"/>
        <v>1513.3858739999998</v>
      </c>
      <c r="FV134" s="59">
        <f t="shared" si="923"/>
        <v>5002.9510222691997</v>
      </c>
      <c r="FW134" s="60">
        <f t="shared" si="924"/>
        <v>1470.7552859999998</v>
      </c>
      <c r="FX134" s="59">
        <f t="shared" si="925"/>
        <v>4862.0228244587997</v>
      </c>
      <c r="FY134" s="60">
        <f t="shared" si="926"/>
        <v>1428.1246979999999</v>
      </c>
      <c r="FZ134" s="59">
        <f t="shared" si="927"/>
        <v>4721.0946266483998</v>
      </c>
      <c r="GA134" s="60">
        <f t="shared" si="928"/>
        <v>1385.4941099999999</v>
      </c>
      <c r="GB134" s="59">
        <f t="shared" si="929"/>
        <v>4580.1664288379998</v>
      </c>
      <c r="GC134" s="55">
        <f t="shared" si="930"/>
        <v>1342.8635219999996</v>
      </c>
      <c r="GD134" s="59">
        <f t="shared" si="931"/>
        <v>4439.2382310275989</v>
      </c>
      <c r="GE134" s="60">
        <f t="shared" si="932"/>
        <v>1300.2329339999997</v>
      </c>
      <c r="GF134" s="59">
        <f t="shared" si="933"/>
        <v>4298.3100332171989</v>
      </c>
      <c r="GG134" s="60">
        <f t="shared" si="934"/>
        <v>1257.6023459999997</v>
      </c>
      <c r="GH134" s="59">
        <f t="shared" si="935"/>
        <v>4157.3818354067989</v>
      </c>
      <c r="GI134" s="55">
        <f t="shared" si="936"/>
        <v>1214.9717579999997</v>
      </c>
      <c r="GJ134" s="59">
        <f t="shared" si="937"/>
        <v>4016.4536375963989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802"/>
        <v>0.91</v>
      </c>
      <c r="GR134" s="55">
        <f t="shared" si="802"/>
        <v>0.89</v>
      </c>
      <c r="GS134" s="55">
        <f t="shared" si="802"/>
        <v>0.87</v>
      </c>
      <c r="GT134" s="55">
        <f t="shared" si="802"/>
        <v>0.85</v>
      </c>
      <c r="GU134" s="55">
        <f t="shared" si="802"/>
        <v>0.83</v>
      </c>
      <c r="GV134" s="55">
        <f t="shared" si="802"/>
        <v>0.80999999999999994</v>
      </c>
      <c r="GW134" s="55">
        <f t="shared" si="802"/>
        <v>0.78999999999999992</v>
      </c>
      <c r="GX134" s="55">
        <f t="shared" si="802"/>
        <v>0.76999999999999991</v>
      </c>
      <c r="GY134" s="55">
        <f t="shared" si="802"/>
        <v>0.74999999999999989</v>
      </c>
      <c r="GZ134" s="55">
        <f t="shared" si="802"/>
        <v>0.72999999999999987</v>
      </c>
      <c r="HA134" s="55">
        <f t="shared" si="802"/>
        <v>0.70999999999999985</v>
      </c>
      <c r="HB134" s="55">
        <f t="shared" si="802"/>
        <v>0.68999999999999984</v>
      </c>
      <c r="HC134" s="55">
        <f t="shared" si="802"/>
        <v>0.66999999999999982</v>
      </c>
      <c r="HD134" s="55">
        <f t="shared" si="802"/>
        <v>0.6499999999999998</v>
      </c>
      <c r="HE134" s="55">
        <f t="shared" si="802"/>
        <v>0.62999999999999978</v>
      </c>
      <c r="HF134" s="55">
        <f t="shared" si="802"/>
        <v>0.60999999999999976</v>
      </c>
      <c r="HG134" s="55">
        <f t="shared" si="802"/>
        <v>0.58999999999999975</v>
      </c>
      <c r="HH134" s="55">
        <f t="shared" si="802"/>
        <v>0.56999999999999973</v>
      </c>
    </row>
    <row r="135" spans="1:216" x14ac:dyDescent="0.3">
      <c r="A135" s="2">
        <v>6</v>
      </c>
      <c r="C135" s="38" t="s">
        <v>59</v>
      </c>
      <c r="D135" s="42">
        <f>TRUNC(12954,-1)</f>
        <v>12950</v>
      </c>
      <c r="E135" s="71">
        <f t="shared" si="807"/>
        <v>42810</v>
      </c>
      <c r="H135" s="55">
        <f t="shared" si="808"/>
        <v>14245.000000000002</v>
      </c>
      <c r="I135" s="55">
        <f t="shared" si="513"/>
        <v>14245.000000000002</v>
      </c>
      <c r="J135" s="59">
        <f t="shared" si="514"/>
        <v>47091.121000000006</v>
      </c>
      <c r="K135" s="55">
        <f t="shared" si="809"/>
        <v>13817.650000000001</v>
      </c>
      <c r="L135" s="59">
        <f t="shared" si="810"/>
        <v>45678.387370000004</v>
      </c>
      <c r="M135" s="55">
        <f t="shared" si="811"/>
        <v>13532.750000000002</v>
      </c>
      <c r="N135" s="59">
        <f t="shared" si="812"/>
        <v>44736.564950000007</v>
      </c>
      <c r="O135" s="55">
        <f t="shared" si="813"/>
        <v>13247.850000000002</v>
      </c>
      <c r="P135" s="59">
        <f t="shared" si="814"/>
        <v>43794.74253000001</v>
      </c>
      <c r="Q135" s="57">
        <f t="shared" si="815"/>
        <v>12962.950000000003</v>
      </c>
      <c r="R135" s="59">
        <f t="shared" si="816"/>
        <v>42852.920110000006</v>
      </c>
      <c r="S135" s="55">
        <f t="shared" si="817"/>
        <v>12678.050000000001</v>
      </c>
      <c r="T135" s="59">
        <f t="shared" si="818"/>
        <v>41911.097690000002</v>
      </c>
      <c r="U135" s="57">
        <f t="shared" si="819"/>
        <v>12393.150000000001</v>
      </c>
      <c r="V135" s="59">
        <f t="shared" si="820"/>
        <v>40969.275270000006</v>
      </c>
      <c r="W135" s="60">
        <f t="shared" si="821"/>
        <v>12108.250000000002</v>
      </c>
      <c r="X135" s="59">
        <f t="shared" si="822"/>
        <v>40027.452850000009</v>
      </c>
      <c r="Y135" s="57">
        <f t="shared" si="823"/>
        <v>11823.35</v>
      </c>
      <c r="Z135" s="59">
        <f t="shared" si="824"/>
        <v>39085.630430000005</v>
      </c>
      <c r="AA135" s="55">
        <f t="shared" si="825"/>
        <v>11538.45</v>
      </c>
      <c r="AB135" s="59">
        <f t="shared" si="826"/>
        <v>38143.808010000001</v>
      </c>
      <c r="AC135" s="60">
        <f t="shared" si="827"/>
        <v>11253.550000000001</v>
      </c>
      <c r="AD135" s="59">
        <f t="shared" si="828"/>
        <v>37201.985590000004</v>
      </c>
      <c r="AE135" s="60">
        <f t="shared" si="829"/>
        <v>10968.65</v>
      </c>
      <c r="AF135" s="59">
        <f t="shared" si="830"/>
        <v>36260.16317</v>
      </c>
      <c r="AG135" s="60">
        <f t="shared" si="831"/>
        <v>10683.75</v>
      </c>
      <c r="AH135" s="59">
        <f t="shared" si="832"/>
        <v>35318.340750000003</v>
      </c>
      <c r="AI135" s="55">
        <f t="shared" si="833"/>
        <v>10398.85</v>
      </c>
      <c r="AJ135" s="59">
        <f t="shared" si="834"/>
        <v>34376.518329999999</v>
      </c>
      <c r="AK135" s="60">
        <f t="shared" si="835"/>
        <v>10113.949999999999</v>
      </c>
      <c r="AL135" s="59">
        <f t="shared" si="836"/>
        <v>33434.695909999995</v>
      </c>
      <c r="AM135" s="60">
        <f t="shared" si="837"/>
        <v>9829.0499999999993</v>
      </c>
      <c r="AN135" s="59">
        <f t="shared" si="838"/>
        <v>32492.873489999998</v>
      </c>
      <c r="AO135" s="60">
        <f t="shared" si="839"/>
        <v>9544.1499999999978</v>
      </c>
      <c r="AP135" s="59">
        <f t="shared" si="840"/>
        <v>31551.051069999994</v>
      </c>
      <c r="AQ135" s="60">
        <f t="shared" si="841"/>
        <v>9259.2499999999982</v>
      </c>
      <c r="AR135" s="59">
        <f t="shared" si="842"/>
        <v>30609.228649999994</v>
      </c>
      <c r="AS135" s="55">
        <f t="shared" si="843"/>
        <v>8974.3499999999985</v>
      </c>
      <c r="AT135" s="59">
        <f t="shared" si="844"/>
        <v>29667.406229999997</v>
      </c>
      <c r="AU135" s="60">
        <f t="shared" si="845"/>
        <v>8689.4499999999971</v>
      </c>
      <c r="AV135" s="59">
        <f t="shared" si="846"/>
        <v>28725.583809999993</v>
      </c>
      <c r="AW135" s="60">
        <f t="shared" si="847"/>
        <v>8404.5499999999975</v>
      </c>
      <c r="AX135" s="59">
        <f t="shared" si="848"/>
        <v>27783.761389999992</v>
      </c>
      <c r="AY135" s="55">
        <f t="shared" si="849"/>
        <v>8119.6499999999969</v>
      </c>
      <c r="AZ135" s="59">
        <f t="shared" si="850"/>
        <v>26841.938969999992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51"/>
        <v>0.91</v>
      </c>
      <c r="BH135" s="55">
        <f t="shared" si="851"/>
        <v>0.89</v>
      </c>
      <c r="BI135" s="55">
        <f t="shared" si="851"/>
        <v>0.87</v>
      </c>
      <c r="BJ135" s="55">
        <f t="shared" si="851"/>
        <v>0.85</v>
      </c>
      <c r="BK135" s="55">
        <f t="shared" si="851"/>
        <v>0.83</v>
      </c>
      <c r="BL135" s="55">
        <f t="shared" si="851"/>
        <v>0.80999999999999994</v>
      </c>
      <c r="BM135" s="55">
        <f t="shared" si="851"/>
        <v>0.78999999999999992</v>
      </c>
      <c r="BN135" s="55">
        <f t="shared" si="851"/>
        <v>0.76999999999999991</v>
      </c>
      <c r="BO135" s="55">
        <f t="shared" si="851"/>
        <v>0.74999999999999989</v>
      </c>
      <c r="BP135" s="55">
        <f t="shared" si="851"/>
        <v>0.72999999999999987</v>
      </c>
      <c r="BQ135" s="55">
        <f t="shared" si="851"/>
        <v>0.70999999999999985</v>
      </c>
      <c r="BR135" s="55">
        <f t="shared" si="851"/>
        <v>0.68999999999999984</v>
      </c>
      <c r="BS135" s="55">
        <f t="shared" si="851"/>
        <v>0.66999999999999982</v>
      </c>
      <c r="BT135" s="55">
        <f t="shared" si="851"/>
        <v>0.6499999999999998</v>
      </c>
      <c r="BU135" s="55">
        <f t="shared" si="851"/>
        <v>0.62999999999999978</v>
      </c>
      <c r="BV135" s="55">
        <f t="shared" si="851"/>
        <v>0.60999999999999976</v>
      </c>
      <c r="BW135" s="55">
        <f t="shared" si="851"/>
        <v>0.58999999999999975</v>
      </c>
      <c r="BX135" s="55">
        <f t="shared" si="851"/>
        <v>0.56999999999999973</v>
      </c>
      <c r="BZ135" s="55">
        <f t="shared" si="515"/>
        <v>12962.950000000003</v>
      </c>
      <c r="CA135" s="55">
        <f t="shared" si="516"/>
        <v>12962.950000000003</v>
      </c>
      <c r="CB135" s="59">
        <f t="shared" si="852"/>
        <v>42852.920110000006</v>
      </c>
      <c r="CC135" s="55">
        <f t="shared" si="853"/>
        <v>12574.061500000002</v>
      </c>
      <c r="CD135" s="59">
        <f t="shared" si="854"/>
        <v>41567.332506700004</v>
      </c>
      <c r="CE135" s="55">
        <f t="shared" si="855"/>
        <v>12314.802500000002</v>
      </c>
      <c r="CF135" s="59">
        <f t="shared" si="856"/>
        <v>40710.274104500008</v>
      </c>
      <c r="CG135" s="55">
        <f t="shared" si="857"/>
        <v>12055.543500000003</v>
      </c>
      <c r="CH135" s="59">
        <f t="shared" si="858"/>
        <v>39853.215702300011</v>
      </c>
      <c r="CI135" s="57">
        <f t="shared" si="859"/>
        <v>11796.284500000003</v>
      </c>
      <c r="CJ135" s="59">
        <f t="shared" si="860"/>
        <v>38996.157300100014</v>
      </c>
      <c r="CK135" s="55">
        <f t="shared" si="861"/>
        <v>11537.025500000002</v>
      </c>
      <c r="CL135" s="59">
        <f t="shared" si="862"/>
        <v>38139.098897900003</v>
      </c>
      <c r="CM135" s="57">
        <f t="shared" si="863"/>
        <v>11277.766500000002</v>
      </c>
      <c r="CN135" s="59">
        <f t="shared" si="864"/>
        <v>37282.040495700006</v>
      </c>
      <c r="CO135" s="60">
        <f t="shared" si="865"/>
        <v>11018.507500000002</v>
      </c>
      <c r="CP135" s="59">
        <f t="shared" si="866"/>
        <v>36424.982093500003</v>
      </c>
      <c r="CQ135" s="57">
        <f t="shared" si="867"/>
        <v>10759.248500000002</v>
      </c>
      <c r="CR135" s="59">
        <f t="shared" si="868"/>
        <v>35567.923691300006</v>
      </c>
      <c r="CS135" s="55">
        <f t="shared" si="869"/>
        <v>10499.989500000001</v>
      </c>
      <c r="CT135" s="59">
        <f t="shared" si="870"/>
        <v>34710.865289100009</v>
      </c>
      <c r="CU135" s="60">
        <f t="shared" si="871"/>
        <v>10240.730500000001</v>
      </c>
      <c r="CV135" s="59">
        <f t="shared" si="872"/>
        <v>33853.806886900005</v>
      </c>
      <c r="CW135" s="60">
        <f t="shared" si="873"/>
        <v>9981.4715000000015</v>
      </c>
      <c r="CX135" s="59">
        <f t="shared" si="874"/>
        <v>32996.748484700009</v>
      </c>
      <c r="CY135" s="60">
        <f t="shared" si="875"/>
        <v>9722.2124999999996</v>
      </c>
      <c r="CZ135" s="59">
        <f t="shared" si="876"/>
        <v>32139.690082500001</v>
      </c>
      <c r="DA135" s="55">
        <f t="shared" si="877"/>
        <v>9462.9534999999996</v>
      </c>
      <c r="DB135" s="59">
        <f t="shared" si="878"/>
        <v>31282.631680300001</v>
      </c>
      <c r="DC135" s="60">
        <f t="shared" si="879"/>
        <v>9203.6944999999996</v>
      </c>
      <c r="DD135" s="59">
        <f t="shared" si="880"/>
        <v>30425.573278100001</v>
      </c>
      <c r="DE135" s="60">
        <f t="shared" si="881"/>
        <v>8944.4354999999996</v>
      </c>
      <c r="DF135" s="59">
        <f t="shared" si="882"/>
        <v>29568.5148759</v>
      </c>
      <c r="DG135" s="60">
        <f t="shared" si="883"/>
        <v>8685.1764999999996</v>
      </c>
      <c r="DH135" s="59">
        <f t="shared" si="884"/>
        <v>28711.4564737</v>
      </c>
      <c r="DI135" s="60">
        <f t="shared" si="885"/>
        <v>8425.9174999999996</v>
      </c>
      <c r="DJ135" s="59">
        <f t="shared" si="886"/>
        <v>27854.3980715</v>
      </c>
      <c r="DK135" s="55">
        <f t="shared" si="887"/>
        <v>8166.6584999999986</v>
      </c>
      <c r="DL135" s="59">
        <f t="shared" si="888"/>
        <v>26997.339669299996</v>
      </c>
      <c r="DM135" s="60">
        <f t="shared" si="889"/>
        <v>7907.3994999999986</v>
      </c>
      <c r="DN135" s="59">
        <f t="shared" si="890"/>
        <v>26140.281267099996</v>
      </c>
      <c r="DO135" s="60">
        <f t="shared" si="891"/>
        <v>7648.1404999999986</v>
      </c>
      <c r="DP135" s="59">
        <f t="shared" si="892"/>
        <v>25283.222864899995</v>
      </c>
      <c r="DQ135" s="55">
        <f t="shared" si="893"/>
        <v>7388.8814999999977</v>
      </c>
      <c r="DR135" s="59">
        <f t="shared" si="894"/>
        <v>24426.164462699991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801"/>
        <v>0.91</v>
      </c>
      <c r="DZ135" s="55">
        <f t="shared" si="801"/>
        <v>0.89</v>
      </c>
      <c r="EA135" s="55">
        <f t="shared" si="801"/>
        <v>0.87</v>
      </c>
      <c r="EB135" s="55">
        <f t="shared" si="801"/>
        <v>0.85</v>
      </c>
      <c r="EC135" s="55">
        <f t="shared" si="801"/>
        <v>0.83</v>
      </c>
      <c r="ED135" s="55">
        <f t="shared" si="801"/>
        <v>0.80999999999999994</v>
      </c>
      <c r="EE135" s="55">
        <f t="shared" si="801"/>
        <v>0.78999999999999992</v>
      </c>
      <c r="EF135" s="55">
        <f t="shared" si="801"/>
        <v>0.76999999999999991</v>
      </c>
      <c r="EG135" s="55">
        <f t="shared" si="801"/>
        <v>0.74999999999999989</v>
      </c>
      <c r="EH135" s="55">
        <f t="shared" si="801"/>
        <v>0.72999999999999987</v>
      </c>
      <c r="EI135" s="55">
        <f t="shared" si="801"/>
        <v>0.70999999999999985</v>
      </c>
      <c r="EJ135" s="55">
        <f t="shared" si="801"/>
        <v>0.68999999999999984</v>
      </c>
      <c r="EK135" s="55">
        <f t="shared" si="801"/>
        <v>0.66999999999999982</v>
      </c>
      <c r="EL135" s="55">
        <f t="shared" si="801"/>
        <v>0.6499999999999998</v>
      </c>
      <c r="EM135" s="55">
        <f t="shared" si="801"/>
        <v>0.62999999999999978</v>
      </c>
      <c r="EN135" s="55">
        <f t="shared" si="801"/>
        <v>0.60999999999999976</v>
      </c>
      <c r="EO135" s="55">
        <f t="shared" si="801"/>
        <v>0.58999999999999975</v>
      </c>
      <c r="EP135" s="55">
        <f t="shared" si="801"/>
        <v>0.56999999999999973</v>
      </c>
      <c r="ER135" s="55">
        <f t="shared" si="656"/>
        <v>11796.284500000003</v>
      </c>
      <c r="ES135" s="55">
        <f t="shared" si="517"/>
        <v>11796.284500000003</v>
      </c>
      <c r="ET135" s="59">
        <f t="shared" si="895"/>
        <v>38996.157300100014</v>
      </c>
      <c r="EU135" s="55">
        <f t="shared" si="896"/>
        <v>11442.395965000003</v>
      </c>
      <c r="EV135" s="59">
        <f t="shared" si="897"/>
        <v>37826.272581097015</v>
      </c>
      <c r="EW135" s="55">
        <f t="shared" si="898"/>
        <v>11206.470275000003</v>
      </c>
      <c r="EX135" s="59">
        <f t="shared" si="899"/>
        <v>37046.349435095013</v>
      </c>
      <c r="EY135" s="55">
        <f t="shared" si="900"/>
        <v>10970.544585000003</v>
      </c>
      <c r="EZ135" s="59">
        <f t="shared" si="901"/>
        <v>36266.426289093011</v>
      </c>
      <c r="FA135" s="57">
        <f t="shared" si="902"/>
        <v>10734.618895000003</v>
      </c>
      <c r="FB135" s="59">
        <f t="shared" si="903"/>
        <v>35486.503143091009</v>
      </c>
      <c r="FC135" s="55">
        <f t="shared" si="904"/>
        <v>10498.693205000003</v>
      </c>
      <c r="FD135" s="59">
        <f t="shared" si="905"/>
        <v>34706.579997089015</v>
      </c>
      <c r="FE135" s="57">
        <f t="shared" si="906"/>
        <v>10262.767515000003</v>
      </c>
      <c r="FF135" s="59">
        <f t="shared" si="907"/>
        <v>33926.656851087013</v>
      </c>
      <c r="FG135" s="60">
        <f t="shared" si="908"/>
        <v>10026.841825000003</v>
      </c>
      <c r="FH135" s="59">
        <f t="shared" si="909"/>
        <v>33146.733705085011</v>
      </c>
      <c r="FI135" s="57">
        <f t="shared" si="910"/>
        <v>9790.9161350000031</v>
      </c>
      <c r="FJ135" s="59">
        <f t="shared" si="911"/>
        <v>32366.810559083013</v>
      </c>
      <c r="FK135" s="55">
        <f t="shared" si="912"/>
        <v>9554.9904450000013</v>
      </c>
      <c r="FL135" s="59">
        <f t="shared" si="913"/>
        <v>31586.887413081004</v>
      </c>
      <c r="FM135" s="60">
        <f t="shared" si="914"/>
        <v>9319.0647550000012</v>
      </c>
      <c r="FN135" s="59">
        <f t="shared" si="915"/>
        <v>30806.964267079005</v>
      </c>
      <c r="FO135" s="60">
        <f t="shared" si="916"/>
        <v>9083.1390650000012</v>
      </c>
      <c r="FP135" s="59">
        <f t="shared" si="917"/>
        <v>30027.041121077003</v>
      </c>
      <c r="FQ135" s="60">
        <f t="shared" si="918"/>
        <v>8847.2133750000012</v>
      </c>
      <c r="FR135" s="59">
        <f t="shared" si="919"/>
        <v>29247.117975075005</v>
      </c>
      <c r="FS135" s="55">
        <f t="shared" si="920"/>
        <v>8611.2876850000011</v>
      </c>
      <c r="FT135" s="59">
        <f t="shared" si="921"/>
        <v>28467.194829073003</v>
      </c>
      <c r="FU135" s="60">
        <f t="shared" si="922"/>
        <v>8375.3619950000011</v>
      </c>
      <c r="FV135" s="59">
        <f t="shared" si="923"/>
        <v>27687.271683071005</v>
      </c>
      <c r="FW135" s="60">
        <f t="shared" si="924"/>
        <v>8139.4363050000002</v>
      </c>
      <c r="FX135" s="59">
        <f t="shared" si="925"/>
        <v>26907.348537069</v>
      </c>
      <c r="FY135" s="60">
        <f t="shared" si="926"/>
        <v>7903.5106150000001</v>
      </c>
      <c r="FZ135" s="59">
        <f t="shared" si="927"/>
        <v>26127.425391067001</v>
      </c>
      <c r="GA135" s="60">
        <f t="shared" si="928"/>
        <v>7667.5849250000001</v>
      </c>
      <c r="GB135" s="59">
        <f t="shared" si="929"/>
        <v>25347.502245064999</v>
      </c>
      <c r="GC135" s="55">
        <f t="shared" si="930"/>
        <v>7431.6592349999992</v>
      </c>
      <c r="GD135" s="59">
        <f t="shared" si="931"/>
        <v>24567.579099062998</v>
      </c>
      <c r="GE135" s="60">
        <f t="shared" si="932"/>
        <v>7195.7335449999991</v>
      </c>
      <c r="GF135" s="59">
        <f t="shared" si="933"/>
        <v>23787.655953060999</v>
      </c>
      <c r="GG135" s="60">
        <f t="shared" si="934"/>
        <v>6959.8078549999991</v>
      </c>
      <c r="GH135" s="59">
        <f t="shared" si="935"/>
        <v>23007.732807058997</v>
      </c>
      <c r="GI135" s="55">
        <f t="shared" si="936"/>
        <v>6723.8821649999991</v>
      </c>
      <c r="GJ135" s="59">
        <f t="shared" si="937"/>
        <v>22227.809661056999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802"/>
        <v>0.91</v>
      </c>
      <c r="GR135" s="55">
        <f t="shared" si="802"/>
        <v>0.89</v>
      </c>
      <c r="GS135" s="55">
        <f t="shared" si="802"/>
        <v>0.87</v>
      </c>
      <c r="GT135" s="55">
        <f t="shared" si="802"/>
        <v>0.85</v>
      </c>
      <c r="GU135" s="55">
        <f t="shared" si="802"/>
        <v>0.83</v>
      </c>
      <c r="GV135" s="55">
        <f t="shared" si="802"/>
        <v>0.80999999999999994</v>
      </c>
      <c r="GW135" s="55">
        <f t="shared" si="802"/>
        <v>0.78999999999999992</v>
      </c>
      <c r="GX135" s="55">
        <f t="shared" si="802"/>
        <v>0.76999999999999991</v>
      </c>
      <c r="GY135" s="55">
        <f t="shared" si="802"/>
        <v>0.74999999999999989</v>
      </c>
      <c r="GZ135" s="55">
        <f t="shared" si="802"/>
        <v>0.72999999999999987</v>
      </c>
      <c r="HA135" s="55">
        <f t="shared" si="802"/>
        <v>0.70999999999999985</v>
      </c>
      <c r="HB135" s="55">
        <f t="shared" si="802"/>
        <v>0.68999999999999984</v>
      </c>
      <c r="HC135" s="55">
        <f t="shared" si="802"/>
        <v>0.66999999999999982</v>
      </c>
      <c r="HD135" s="55">
        <f t="shared" si="802"/>
        <v>0.6499999999999998</v>
      </c>
      <c r="HE135" s="55">
        <f t="shared" si="802"/>
        <v>0.62999999999999978</v>
      </c>
      <c r="HF135" s="55">
        <f t="shared" si="802"/>
        <v>0.60999999999999976</v>
      </c>
      <c r="HG135" s="55">
        <f t="shared" si="802"/>
        <v>0.58999999999999975</v>
      </c>
      <c r="HH135" s="55">
        <f t="shared" si="802"/>
        <v>0.56999999999999973</v>
      </c>
    </row>
    <row r="136" spans="1:216" x14ac:dyDescent="0.3">
      <c r="A136" s="2">
        <v>7</v>
      </c>
      <c r="C136" s="38" t="s">
        <v>58</v>
      </c>
      <c r="D136" s="42">
        <f>TRUNC(6986,-1)</f>
        <v>6980</v>
      </c>
      <c r="E136" s="71">
        <f t="shared" si="807"/>
        <v>23070</v>
      </c>
      <c r="H136" s="55">
        <f t="shared" si="808"/>
        <v>7678.0000000000009</v>
      </c>
      <c r="I136" s="55">
        <f t="shared" si="513"/>
        <v>7678.0000000000009</v>
      </c>
      <c r="J136" s="59">
        <f t="shared" si="514"/>
        <v>25381.932400000005</v>
      </c>
      <c r="K136" s="55">
        <f t="shared" si="809"/>
        <v>7447.6600000000008</v>
      </c>
      <c r="L136" s="59">
        <f t="shared" si="810"/>
        <v>24620.474428000001</v>
      </c>
      <c r="M136" s="55">
        <f t="shared" si="811"/>
        <v>7294.1</v>
      </c>
      <c r="N136" s="59">
        <f t="shared" si="812"/>
        <v>24112.835780000001</v>
      </c>
      <c r="O136" s="55">
        <f t="shared" si="813"/>
        <v>7140.5400000000009</v>
      </c>
      <c r="P136" s="59">
        <f t="shared" si="814"/>
        <v>23605.197132000005</v>
      </c>
      <c r="Q136" s="57">
        <f t="shared" si="815"/>
        <v>6986.9800000000014</v>
      </c>
      <c r="R136" s="59">
        <f t="shared" si="816"/>
        <v>23097.558484000005</v>
      </c>
      <c r="S136" s="55">
        <f t="shared" si="817"/>
        <v>6833.420000000001</v>
      </c>
      <c r="T136" s="59">
        <f t="shared" si="818"/>
        <v>22589.919836000005</v>
      </c>
      <c r="U136" s="57">
        <f t="shared" si="819"/>
        <v>6679.8600000000006</v>
      </c>
      <c r="V136" s="59">
        <f t="shared" si="820"/>
        <v>22082.281188000001</v>
      </c>
      <c r="W136" s="60">
        <f t="shared" si="821"/>
        <v>6526.3</v>
      </c>
      <c r="X136" s="59">
        <f t="shared" si="822"/>
        <v>21574.642540000001</v>
      </c>
      <c r="Y136" s="57">
        <f t="shared" si="823"/>
        <v>6372.7400000000007</v>
      </c>
      <c r="Z136" s="59">
        <f t="shared" si="824"/>
        <v>21067.003892000004</v>
      </c>
      <c r="AA136" s="55">
        <f t="shared" si="825"/>
        <v>6219.18</v>
      </c>
      <c r="AB136" s="59">
        <f t="shared" si="826"/>
        <v>20559.365244000001</v>
      </c>
      <c r="AC136" s="60">
        <f t="shared" si="827"/>
        <v>6065.62</v>
      </c>
      <c r="AD136" s="59">
        <f t="shared" si="828"/>
        <v>20051.726596</v>
      </c>
      <c r="AE136" s="60">
        <f t="shared" si="829"/>
        <v>5912.06</v>
      </c>
      <c r="AF136" s="59">
        <f t="shared" si="830"/>
        <v>19544.087948</v>
      </c>
      <c r="AG136" s="60">
        <f t="shared" si="831"/>
        <v>5758.5</v>
      </c>
      <c r="AH136" s="59">
        <f t="shared" si="832"/>
        <v>19036.4493</v>
      </c>
      <c r="AI136" s="55">
        <f t="shared" si="833"/>
        <v>5604.94</v>
      </c>
      <c r="AJ136" s="59">
        <f t="shared" si="834"/>
        <v>18528.810652</v>
      </c>
      <c r="AK136" s="60">
        <f t="shared" si="835"/>
        <v>5451.3799999999992</v>
      </c>
      <c r="AL136" s="59">
        <f t="shared" si="836"/>
        <v>18021.172003999996</v>
      </c>
      <c r="AM136" s="60">
        <f t="shared" si="837"/>
        <v>5297.82</v>
      </c>
      <c r="AN136" s="59">
        <f t="shared" si="838"/>
        <v>17513.533356</v>
      </c>
      <c r="AO136" s="60">
        <f t="shared" si="839"/>
        <v>5144.2599999999993</v>
      </c>
      <c r="AP136" s="59">
        <f t="shared" si="840"/>
        <v>17005.894708</v>
      </c>
      <c r="AQ136" s="60">
        <f t="shared" si="841"/>
        <v>4990.6999999999989</v>
      </c>
      <c r="AR136" s="59">
        <f t="shared" si="842"/>
        <v>16498.256059999996</v>
      </c>
      <c r="AS136" s="55">
        <f t="shared" si="843"/>
        <v>4837.1399999999985</v>
      </c>
      <c r="AT136" s="59">
        <f t="shared" si="844"/>
        <v>15990.617411999996</v>
      </c>
      <c r="AU136" s="60">
        <f t="shared" si="845"/>
        <v>4683.579999999999</v>
      </c>
      <c r="AV136" s="59">
        <f t="shared" si="846"/>
        <v>15482.978763999998</v>
      </c>
      <c r="AW136" s="60">
        <f t="shared" si="847"/>
        <v>4530.0199999999986</v>
      </c>
      <c r="AX136" s="59">
        <f t="shared" si="848"/>
        <v>14975.340115999996</v>
      </c>
      <c r="AY136" s="55">
        <f t="shared" si="849"/>
        <v>4376.4599999999982</v>
      </c>
      <c r="AZ136" s="59">
        <f t="shared" si="850"/>
        <v>14467.701467999994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51"/>
        <v>0.91</v>
      </c>
      <c r="BH136" s="55">
        <f t="shared" si="851"/>
        <v>0.89</v>
      </c>
      <c r="BI136" s="55">
        <f t="shared" si="851"/>
        <v>0.87</v>
      </c>
      <c r="BJ136" s="55">
        <f t="shared" si="851"/>
        <v>0.85</v>
      </c>
      <c r="BK136" s="55">
        <f t="shared" si="851"/>
        <v>0.83</v>
      </c>
      <c r="BL136" s="55">
        <f t="shared" si="851"/>
        <v>0.80999999999999994</v>
      </c>
      <c r="BM136" s="55">
        <f t="shared" si="851"/>
        <v>0.78999999999999992</v>
      </c>
      <c r="BN136" s="55">
        <f t="shared" si="851"/>
        <v>0.76999999999999991</v>
      </c>
      <c r="BO136" s="55">
        <f t="shared" si="851"/>
        <v>0.74999999999999989</v>
      </c>
      <c r="BP136" s="55">
        <f t="shared" si="851"/>
        <v>0.72999999999999987</v>
      </c>
      <c r="BQ136" s="55">
        <f t="shared" si="851"/>
        <v>0.70999999999999985</v>
      </c>
      <c r="BR136" s="55">
        <f t="shared" si="851"/>
        <v>0.68999999999999984</v>
      </c>
      <c r="BS136" s="55">
        <f t="shared" si="851"/>
        <v>0.66999999999999982</v>
      </c>
      <c r="BT136" s="55">
        <f t="shared" si="851"/>
        <v>0.6499999999999998</v>
      </c>
      <c r="BU136" s="55">
        <f t="shared" si="851"/>
        <v>0.62999999999999978</v>
      </c>
      <c r="BV136" s="55">
        <f t="shared" si="851"/>
        <v>0.60999999999999976</v>
      </c>
      <c r="BW136" s="55">
        <f t="shared" si="851"/>
        <v>0.58999999999999975</v>
      </c>
      <c r="BX136" s="55">
        <f t="shared" si="851"/>
        <v>0.56999999999999973</v>
      </c>
      <c r="BZ136" s="55">
        <f t="shared" si="515"/>
        <v>6986.9800000000014</v>
      </c>
      <c r="CA136" s="55">
        <f t="shared" si="516"/>
        <v>6986.9800000000014</v>
      </c>
      <c r="CB136" s="59">
        <f t="shared" si="852"/>
        <v>23097.558484000005</v>
      </c>
      <c r="CC136" s="55">
        <f t="shared" si="853"/>
        <v>6777.3706000000011</v>
      </c>
      <c r="CD136" s="59">
        <f t="shared" si="854"/>
        <v>22404.631729480003</v>
      </c>
      <c r="CE136" s="55">
        <f t="shared" si="855"/>
        <v>6637.6310000000012</v>
      </c>
      <c r="CF136" s="59">
        <f t="shared" si="856"/>
        <v>21942.680559800003</v>
      </c>
      <c r="CG136" s="55">
        <f t="shared" si="857"/>
        <v>6497.8914000000013</v>
      </c>
      <c r="CH136" s="59">
        <f t="shared" si="858"/>
        <v>21480.729390120006</v>
      </c>
      <c r="CI136" s="57">
        <f t="shared" si="859"/>
        <v>6358.1518000000015</v>
      </c>
      <c r="CJ136" s="59">
        <f t="shared" si="860"/>
        <v>21018.778220440006</v>
      </c>
      <c r="CK136" s="55">
        <f t="shared" si="861"/>
        <v>6218.4122000000016</v>
      </c>
      <c r="CL136" s="59">
        <f t="shared" si="862"/>
        <v>20556.827050760006</v>
      </c>
      <c r="CM136" s="57">
        <f t="shared" si="863"/>
        <v>6078.6726000000008</v>
      </c>
      <c r="CN136" s="59">
        <f t="shared" si="864"/>
        <v>20094.875881080003</v>
      </c>
      <c r="CO136" s="60">
        <f t="shared" si="865"/>
        <v>5938.9330000000009</v>
      </c>
      <c r="CP136" s="59">
        <f t="shared" si="866"/>
        <v>19632.924711400003</v>
      </c>
      <c r="CQ136" s="57">
        <f t="shared" si="867"/>
        <v>5799.193400000001</v>
      </c>
      <c r="CR136" s="59">
        <f t="shared" si="868"/>
        <v>19170.973541720003</v>
      </c>
      <c r="CS136" s="55">
        <f t="shared" si="869"/>
        <v>5659.4538000000011</v>
      </c>
      <c r="CT136" s="59">
        <f t="shared" si="870"/>
        <v>18709.022372040003</v>
      </c>
      <c r="CU136" s="60">
        <f t="shared" si="871"/>
        <v>5519.7142000000003</v>
      </c>
      <c r="CV136" s="59">
        <f t="shared" si="872"/>
        <v>18247.071202360003</v>
      </c>
      <c r="CW136" s="60">
        <f t="shared" si="873"/>
        <v>5379.9746000000005</v>
      </c>
      <c r="CX136" s="59">
        <f t="shared" si="874"/>
        <v>17785.120032680003</v>
      </c>
      <c r="CY136" s="60">
        <f t="shared" si="875"/>
        <v>5240.2350000000006</v>
      </c>
      <c r="CZ136" s="59">
        <f t="shared" si="876"/>
        <v>17323.168863000003</v>
      </c>
      <c r="DA136" s="55">
        <f t="shared" si="877"/>
        <v>5100.4953999999998</v>
      </c>
      <c r="DB136" s="59">
        <f t="shared" si="878"/>
        <v>16861.217693319999</v>
      </c>
      <c r="DC136" s="60">
        <f t="shared" si="879"/>
        <v>4960.7557999999999</v>
      </c>
      <c r="DD136" s="59">
        <f t="shared" si="880"/>
        <v>16399.266523639999</v>
      </c>
      <c r="DE136" s="60">
        <f t="shared" si="881"/>
        <v>4821.0162</v>
      </c>
      <c r="DF136" s="59">
        <f t="shared" si="882"/>
        <v>15937.315353960001</v>
      </c>
      <c r="DG136" s="60">
        <f t="shared" si="883"/>
        <v>4681.2765999999992</v>
      </c>
      <c r="DH136" s="59">
        <f t="shared" si="884"/>
        <v>15475.364184279997</v>
      </c>
      <c r="DI136" s="60">
        <f t="shared" si="885"/>
        <v>4541.5369999999994</v>
      </c>
      <c r="DJ136" s="59">
        <f t="shared" si="886"/>
        <v>15013.413014599999</v>
      </c>
      <c r="DK136" s="55">
        <f t="shared" si="887"/>
        <v>4401.7973999999995</v>
      </c>
      <c r="DL136" s="59">
        <f t="shared" si="888"/>
        <v>14551.461844919999</v>
      </c>
      <c r="DM136" s="60">
        <f t="shared" si="889"/>
        <v>4262.0577999999996</v>
      </c>
      <c r="DN136" s="59">
        <f t="shared" si="890"/>
        <v>14089.510675239999</v>
      </c>
      <c r="DO136" s="60">
        <f t="shared" si="891"/>
        <v>4122.3181999999988</v>
      </c>
      <c r="DP136" s="59">
        <f t="shared" si="892"/>
        <v>13627.559505559997</v>
      </c>
      <c r="DQ136" s="55">
        <f t="shared" si="893"/>
        <v>3982.5785999999989</v>
      </c>
      <c r="DR136" s="59">
        <f t="shared" si="894"/>
        <v>13165.608335879997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801"/>
        <v>0.91</v>
      </c>
      <c r="DZ136" s="55">
        <f t="shared" si="801"/>
        <v>0.89</v>
      </c>
      <c r="EA136" s="55">
        <f t="shared" si="801"/>
        <v>0.87</v>
      </c>
      <c r="EB136" s="55">
        <f t="shared" si="801"/>
        <v>0.85</v>
      </c>
      <c r="EC136" s="55">
        <f t="shared" si="801"/>
        <v>0.83</v>
      </c>
      <c r="ED136" s="55">
        <f t="shared" si="801"/>
        <v>0.80999999999999994</v>
      </c>
      <c r="EE136" s="55">
        <f t="shared" si="801"/>
        <v>0.78999999999999992</v>
      </c>
      <c r="EF136" s="55">
        <f t="shared" si="801"/>
        <v>0.76999999999999991</v>
      </c>
      <c r="EG136" s="55">
        <f t="shared" si="801"/>
        <v>0.74999999999999989</v>
      </c>
      <c r="EH136" s="55">
        <f t="shared" si="801"/>
        <v>0.72999999999999987</v>
      </c>
      <c r="EI136" s="55">
        <f t="shared" si="801"/>
        <v>0.70999999999999985</v>
      </c>
      <c r="EJ136" s="55">
        <f t="shared" si="801"/>
        <v>0.68999999999999984</v>
      </c>
      <c r="EK136" s="55">
        <f t="shared" si="801"/>
        <v>0.66999999999999982</v>
      </c>
      <c r="EL136" s="55">
        <f t="shared" si="801"/>
        <v>0.6499999999999998</v>
      </c>
      <c r="EM136" s="55">
        <f t="shared" si="801"/>
        <v>0.62999999999999978</v>
      </c>
      <c r="EN136" s="55">
        <f t="shared" si="801"/>
        <v>0.60999999999999976</v>
      </c>
      <c r="EO136" s="55">
        <f t="shared" si="801"/>
        <v>0.58999999999999975</v>
      </c>
      <c r="EP136" s="55">
        <f t="shared" si="801"/>
        <v>0.56999999999999973</v>
      </c>
      <c r="ER136" s="55">
        <f t="shared" si="656"/>
        <v>6358.1518000000015</v>
      </c>
      <c r="ES136" s="55">
        <f t="shared" si="517"/>
        <v>6358.1518000000015</v>
      </c>
      <c r="ET136" s="59">
        <f t="shared" si="895"/>
        <v>21018.778220440006</v>
      </c>
      <c r="EU136" s="55">
        <f t="shared" si="896"/>
        <v>6167.4072460000016</v>
      </c>
      <c r="EV136" s="59">
        <f t="shared" si="897"/>
        <v>20388.214873826804</v>
      </c>
      <c r="EW136" s="55">
        <f t="shared" si="898"/>
        <v>6040.2442100000007</v>
      </c>
      <c r="EX136" s="59">
        <f t="shared" si="899"/>
        <v>19967.839309418003</v>
      </c>
      <c r="EY136" s="55">
        <f t="shared" si="900"/>
        <v>5913.0811740000017</v>
      </c>
      <c r="EZ136" s="59">
        <f t="shared" si="901"/>
        <v>19547.463745009205</v>
      </c>
      <c r="FA136" s="57">
        <f t="shared" si="902"/>
        <v>5785.9181380000018</v>
      </c>
      <c r="FB136" s="59">
        <f t="shared" si="903"/>
        <v>19127.088180600407</v>
      </c>
      <c r="FC136" s="55">
        <f t="shared" si="904"/>
        <v>5658.755102000001</v>
      </c>
      <c r="FD136" s="59">
        <f t="shared" si="905"/>
        <v>18706.712616191602</v>
      </c>
      <c r="FE136" s="57">
        <f t="shared" si="906"/>
        <v>5531.5920660000011</v>
      </c>
      <c r="FF136" s="59">
        <f t="shared" si="907"/>
        <v>18286.337051782804</v>
      </c>
      <c r="FG136" s="60">
        <f t="shared" si="908"/>
        <v>5404.4290300000011</v>
      </c>
      <c r="FH136" s="59">
        <f t="shared" si="909"/>
        <v>17865.961487374003</v>
      </c>
      <c r="FI136" s="57">
        <f t="shared" si="910"/>
        <v>5277.2659940000012</v>
      </c>
      <c r="FJ136" s="59">
        <f t="shared" si="911"/>
        <v>17445.585922965205</v>
      </c>
      <c r="FK136" s="55">
        <f t="shared" si="912"/>
        <v>5150.1029580000004</v>
      </c>
      <c r="FL136" s="59">
        <f t="shared" si="913"/>
        <v>17025.2103585564</v>
      </c>
      <c r="FM136" s="60">
        <f t="shared" si="914"/>
        <v>5022.9399220000005</v>
      </c>
      <c r="FN136" s="59">
        <f t="shared" si="915"/>
        <v>16604.834794147602</v>
      </c>
      <c r="FO136" s="60">
        <f t="shared" si="916"/>
        <v>4895.7768860000006</v>
      </c>
      <c r="FP136" s="59">
        <f t="shared" si="917"/>
        <v>16184.459229738803</v>
      </c>
      <c r="FQ136" s="60">
        <f t="shared" si="918"/>
        <v>4768.6138500000006</v>
      </c>
      <c r="FR136" s="59">
        <f t="shared" si="919"/>
        <v>15764.083665330003</v>
      </c>
      <c r="FS136" s="55">
        <f t="shared" si="920"/>
        <v>4641.4508139999998</v>
      </c>
      <c r="FT136" s="59">
        <f t="shared" si="921"/>
        <v>15343.7081009212</v>
      </c>
      <c r="FU136" s="60">
        <f t="shared" si="922"/>
        <v>4514.2877779999999</v>
      </c>
      <c r="FV136" s="59">
        <f t="shared" si="923"/>
        <v>14923.3325365124</v>
      </c>
      <c r="FW136" s="60">
        <f t="shared" si="924"/>
        <v>4387.124742</v>
      </c>
      <c r="FX136" s="59">
        <f t="shared" si="925"/>
        <v>14502.9569721036</v>
      </c>
      <c r="FY136" s="60">
        <f t="shared" si="926"/>
        <v>4259.961706</v>
      </c>
      <c r="FZ136" s="59">
        <f t="shared" si="927"/>
        <v>14082.581407694801</v>
      </c>
      <c r="GA136" s="60">
        <f t="shared" si="928"/>
        <v>4132.7986700000001</v>
      </c>
      <c r="GB136" s="59">
        <f t="shared" si="929"/>
        <v>13662.205843286001</v>
      </c>
      <c r="GC136" s="55">
        <f t="shared" si="930"/>
        <v>4005.6356339999998</v>
      </c>
      <c r="GD136" s="59">
        <f t="shared" si="931"/>
        <v>13241.8302788772</v>
      </c>
      <c r="GE136" s="60">
        <f t="shared" si="932"/>
        <v>3878.4725979999994</v>
      </c>
      <c r="GF136" s="59">
        <f t="shared" si="933"/>
        <v>12821.454714468398</v>
      </c>
      <c r="GG136" s="60">
        <f t="shared" si="934"/>
        <v>3751.3095619999995</v>
      </c>
      <c r="GH136" s="59">
        <f t="shared" si="935"/>
        <v>12401.079150059599</v>
      </c>
      <c r="GI136" s="55">
        <f t="shared" si="936"/>
        <v>3624.1465259999991</v>
      </c>
      <c r="GJ136" s="59">
        <f t="shared" si="937"/>
        <v>11980.703585650797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802"/>
        <v>0.91</v>
      </c>
      <c r="GR136" s="55">
        <f t="shared" si="802"/>
        <v>0.89</v>
      </c>
      <c r="GS136" s="55">
        <f t="shared" si="802"/>
        <v>0.87</v>
      </c>
      <c r="GT136" s="55">
        <f t="shared" si="802"/>
        <v>0.85</v>
      </c>
      <c r="GU136" s="55">
        <f t="shared" si="802"/>
        <v>0.83</v>
      </c>
      <c r="GV136" s="55">
        <f t="shared" si="802"/>
        <v>0.80999999999999994</v>
      </c>
      <c r="GW136" s="55">
        <f t="shared" si="802"/>
        <v>0.78999999999999992</v>
      </c>
      <c r="GX136" s="55">
        <f t="shared" si="802"/>
        <v>0.76999999999999991</v>
      </c>
      <c r="GY136" s="55">
        <f t="shared" si="802"/>
        <v>0.74999999999999989</v>
      </c>
      <c r="GZ136" s="55">
        <f t="shared" si="802"/>
        <v>0.72999999999999987</v>
      </c>
      <c r="HA136" s="55">
        <f t="shared" si="802"/>
        <v>0.70999999999999985</v>
      </c>
      <c r="HB136" s="55">
        <f t="shared" si="802"/>
        <v>0.68999999999999984</v>
      </c>
      <c r="HC136" s="55">
        <f t="shared" si="802"/>
        <v>0.66999999999999982</v>
      </c>
      <c r="HD136" s="55">
        <f t="shared" si="802"/>
        <v>0.6499999999999998</v>
      </c>
      <c r="HE136" s="55">
        <f t="shared" si="802"/>
        <v>0.62999999999999978</v>
      </c>
      <c r="HF136" s="55">
        <f t="shared" si="802"/>
        <v>0.60999999999999976</v>
      </c>
      <c r="HG136" s="55">
        <f t="shared" si="802"/>
        <v>0.58999999999999975</v>
      </c>
      <c r="HH136" s="55">
        <f t="shared" si="802"/>
        <v>0.56999999999999973</v>
      </c>
    </row>
    <row r="137" spans="1:216" x14ac:dyDescent="0.3">
      <c r="A137" s="2">
        <v>8</v>
      </c>
      <c r="C137" s="38" t="s">
        <v>62</v>
      </c>
      <c r="D137" s="42">
        <f>TRUNC(6323,-1)</f>
        <v>6320</v>
      </c>
      <c r="E137" s="71">
        <f t="shared" si="807"/>
        <v>20890</v>
      </c>
      <c r="H137" s="55">
        <f t="shared" si="808"/>
        <v>6952.0000000000009</v>
      </c>
      <c r="I137" s="55">
        <f t="shared" si="513"/>
        <v>6952.0000000000009</v>
      </c>
      <c r="J137" s="59">
        <f t="shared" si="514"/>
        <v>22981.921600000005</v>
      </c>
      <c r="K137" s="55">
        <f t="shared" si="809"/>
        <v>6743.4400000000005</v>
      </c>
      <c r="L137" s="59">
        <f t="shared" si="810"/>
        <v>22292.463952000002</v>
      </c>
      <c r="M137" s="55">
        <f t="shared" si="811"/>
        <v>6604.4000000000005</v>
      </c>
      <c r="N137" s="59">
        <f t="shared" si="812"/>
        <v>21832.825520000002</v>
      </c>
      <c r="O137" s="55">
        <f t="shared" si="813"/>
        <v>6465.3600000000015</v>
      </c>
      <c r="P137" s="59">
        <f t="shared" si="814"/>
        <v>21373.187088000006</v>
      </c>
      <c r="Q137" s="57">
        <f t="shared" si="815"/>
        <v>6326.3200000000006</v>
      </c>
      <c r="R137" s="59">
        <f t="shared" si="816"/>
        <v>20913.548656000003</v>
      </c>
      <c r="S137" s="55">
        <f t="shared" si="817"/>
        <v>6187.2800000000007</v>
      </c>
      <c r="T137" s="59">
        <f t="shared" si="818"/>
        <v>20453.910224000003</v>
      </c>
      <c r="U137" s="57">
        <f t="shared" si="819"/>
        <v>6048.2400000000007</v>
      </c>
      <c r="V137" s="59">
        <f t="shared" si="820"/>
        <v>19994.271792000003</v>
      </c>
      <c r="W137" s="60">
        <f t="shared" si="821"/>
        <v>5909.2000000000007</v>
      </c>
      <c r="X137" s="59">
        <f t="shared" si="822"/>
        <v>19534.633360000003</v>
      </c>
      <c r="Y137" s="57">
        <f t="shared" si="823"/>
        <v>5770.1600000000008</v>
      </c>
      <c r="Z137" s="59">
        <f t="shared" si="824"/>
        <v>19074.994928000004</v>
      </c>
      <c r="AA137" s="55">
        <f t="shared" si="825"/>
        <v>5631.12</v>
      </c>
      <c r="AB137" s="59">
        <f t="shared" si="826"/>
        <v>18615.356496</v>
      </c>
      <c r="AC137" s="60">
        <f t="shared" si="827"/>
        <v>5492.08</v>
      </c>
      <c r="AD137" s="59">
        <f t="shared" si="828"/>
        <v>18155.718064000001</v>
      </c>
      <c r="AE137" s="60">
        <f t="shared" si="829"/>
        <v>5353.04</v>
      </c>
      <c r="AF137" s="59">
        <f t="shared" si="830"/>
        <v>17696.079632000001</v>
      </c>
      <c r="AG137" s="60">
        <f t="shared" si="831"/>
        <v>5214</v>
      </c>
      <c r="AH137" s="59">
        <f t="shared" si="832"/>
        <v>17236.441200000001</v>
      </c>
      <c r="AI137" s="55">
        <f t="shared" si="833"/>
        <v>5074.96</v>
      </c>
      <c r="AJ137" s="59">
        <f t="shared" si="834"/>
        <v>16776.802768000001</v>
      </c>
      <c r="AK137" s="60">
        <f t="shared" si="835"/>
        <v>4935.92</v>
      </c>
      <c r="AL137" s="59">
        <f t="shared" si="836"/>
        <v>16317.164336</v>
      </c>
      <c r="AM137" s="60">
        <f t="shared" si="837"/>
        <v>4796.8799999999992</v>
      </c>
      <c r="AN137" s="59">
        <f t="shared" si="838"/>
        <v>15857.525903999998</v>
      </c>
      <c r="AO137" s="60">
        <f t="shared" si="839"/>
        <v>4657.8399999999992</v>
      </c>
      <c r="AP137" s="59">
        <f t="shared" si="840"/>
        <v>15397.887471999999</v>
      </c>
      <c r="AQ137" s="60">
        <f t="shared" si="841"/>
        <v>4518.7999999999993</v>
      </c>
      <c r="AR137" s="59">
        <f t="shared" si="842"/>
        <v>14938.249039999999</v>
      </c>
      <c r="AS137" s="55">
        <f t="shared" si="843"/>
        <v>4379.7599999999993</v>
      </c>
      <c r="AT137" s="59">
        <f t="shared" si="844"/>
        <v>14478.610607999997</v>
      </c>
      <c r="AU137" s="60">
        <f t="shared" si="845"/>
        <v>4240.7199999999993</v>
      </c>
      <c r="AV137" s="59">
        <f t="shared" si="846"/>
        <v>14018.972175999997</v>
      </c>
      <c r="AW137" s="60">
        <f t="shared" si="847"/>
        <v>4101.6799999999985</v>
      </c>
      <c r="AX137" s="59">
        <f t="shared" si="848"/>
        <v>13559.333743999996</v>
      </c>
      <c r="AY137" s="55">
        <f t="shared" si="849"/>
        <v>3962.6399999999985</v>
      </c>
      <c r="AZ137" s="59">
        <f t="shared" si="850"/>
        <v>13099.695311999996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51"/>
        <v>0.91</v>
      </c>
      <c r="BH137" s="55">
        <f t="shared" si="851"/>
        <v>0.89</v>
      </c>
      <c r="BI137" s="55">
        <f t="shared" si="851"/>
        <v>0.87</v>
      </c>
      <c r="BJ137" s="55">
        <f t="shared" si="851"/>
        <v>0.85</v>
      </c>
      <c r="BK137" s="55">
        <f t="shared" si="851"/>
        <v>0.83</v>
      </c>
      <c r="BL137" s="55">
        <f t="shared" si="851"/>
        <v>0.80999999999999994</v>
      </c>
      <c r="BM137" s="55">
        <f t="shared" si="851"/>
        <v>0.78999999999999992</v>
      </c>
      <c r="BN137" s="55">
        <f t="shared" si="851"/>
        <v>0.76999999999999991</v>
      </c>
      <c r="BO137" s="55">
        <f t="shared" si="851"/>
        <v>0.74999999999999989</v>
      </c>
      <c r="BP137" s="55">
        <f t="shared" si="851"/>
        <v>0.72999999999999987</v>
      </c>
      <c r="BQ137" s="55">
        <f t="shared" si="851"/>
        <v>0.70999999999999985</v>
      </c>
      <c r="BR137" s="55">
        <f t="shared" si="851"/>
        <v>0.68999999999999984</v>
      </c>
      <c r="BS137" s="55">
        <f t="shared" si="851"/>
        <v>0.66999999999999982</v>
      </c>
      <c r="BT137" s="55">
        <f t="shared" si="851"/>
        <v>0.6499999999999998</v>
      </c>
      <c r="BU137" s="55">
        <f t="shared" si="851"/>
        <v>0.62999999999999978</v>
      </c>
      <c r="BV137" s="55">
        <f t="shared" si="851"/>
        <v>0.60999999999999976</v>
      </c>
      <c r="BW137" s="55">
        <f t="shared" si="851"/>
        <v>0.58999999999999975</v>
      </c>
      <c r="BX137" s="55">
        <f t="shared" si="851"/>
        <v>0.56999999999999973</v>
      </c>
      <c r="BZ137" s="55">
        <f t="shared" si="515"/>
        <v>6326.3200000000006</v>
      </c>
      <c r="CA137" s="55">
        <f t="shared" si="516"/>
        <v>6326.3200000000006</v>
      </c>
      <c r="CB137" s="59">
        <f t="shared" si="852"/>
        <v>20913.548656000003</v>
      </c>
      <c r="CC137" s="55">
        <f t="shared" si="853"/>
        <v>6136.5304000000006</v>
      </c>
      <c r="CD137" s="59">
        <f t="shared" si="854"/>
        <v>20286.142196320001</v>
      </c>
      <c r="CE137" s="55">
        <f t="shared" si="855"/>
        <v>6010.0039999999999</v>
      </c>
      <c r="CF137" s="59">
        <f t="shared" si="856"/>
        <v>19867.8712232</v>
      </c>
      <c r="CG137" s="55">
        <f t="shared" si="857"/>
        <v>5883.4776000000011</v>
      </c>
      <c r="CH137" s="59">
        <f t="shared" si="858"/>
        <v>19449.600250080002</v>
      </c>
      <c r="CI137" s="57">
        <f t="shared" si="859"/>
        <v>5756.9512000000004</v>
      </c>
      <c r="CJ137" s="59">
        <f t="shared" si="860"/>
        <v>19031.329276960001</v>
      </c>
      <c r="CK137" s="55">
        <f t="shared" si="861"/>
        <v>5630.4248000000007</v>
      </c>
      <c r="CL137" s="59">
        <f t="shared" si="862"/>
        <v>18613.058303840004</v>
      </c>
      <c r="CM137" s="57">
        <f t="shared" si="863"/>
        <v>5503.8984000000009</v>
      </c>
      <c r="CN137" s="59">
        <f t="shared" si="864"/>
        <v>18194.787330720003</v>
      </c>
      <c r="CO137" s="60">
        <f t="shared" si="865"/>
        <v>5377.3720000000003</v>
      </c>
      <c r="CP137" s="59">
        <f t="shared" si="866"/>
        <v>17776.516357600001</v>
      </c>
      <c r="CQ137" s="57">
        <f t="shared" si="867"/>
        <v>5250.8456000000006</v>
      </c>
      <c r="CR137" s="59">
        <f t="shared" si="868"/>
        <v>17358.245384480004</v>
      </c>
      <c r="CS137" s="55">
        <f t="shared" si="869"/>
        <v>5124.3191999999999</v>
      </c>
      <c r="CT137" s="59">
        <f t="shared" si="870"/>
        <v>16939.974411359999</v>
      </c>
      <c r="CU137" s="60">
        <f t="shared" si="871"/>
        <v>4997.7928000000002</v>
      </c>
      <c r="CV137" s="59">
        <f t="shared" si="872"/>
        <v>16521.703438240002</v>
      </c>
      <c r="CW137" s="60">
        <f t="shared" si="873"/>
        <v>4871.2663999999995</v>
      </c>
      <c r="CX137" s="59">
        <f t="shared" si="874"/>
        <v>16103.432465119999</v>
      </c>
      <c r="CY137" s="60">
        <f t="shared" si="875"/>
        <v>4744.74</v>
      </c>
      <c r="CZ137" s="59">
        <f t="shared" si="876"/>
        <v>15685.161491999999</v>
      </c>
      <c r="DA137" s="55">
        <f t="shared" si="877"/>
        <v>4618.2136</v>
      </c>
      <c r="DB137" s="59">
        <f t="shared" si="878"/>
        <v>15266.89051888</v>
      </c>
      <c r="DC137" s="60">
        <f t="shared" si="879"/>
        <v>4491.6871999999994</v>
      </c>
      <c r="DD137" s="59">
        <f t="shared" si="880"/>
        <v>14848.619545759999</v>
      </c>
      <c r="DE137" s="60">
        <f t="shared" si="881"/>
        <v>4365.1607999999997</v>
      </c>
      <c r="DF137" s="59">
        <f t="shared" si="882"/>
        <v>14430.348572639999</v>
      </c>
      <c r="DG137" s="60">
        <f t="shared" si="883"/>
        <v>4238.634399999999</v>
      </c>
      <c r="DH137" s="59">
        <f t="shared" si="884"/>
        <v>14012.077599519997</v>
      </c>
      <c r="DI137" s="60">
        <f t="shared" si="885"/>
        <v>4112.1079999999993</v>
      </c>
      <c r="DJ137" s="59">
        <f t="shared" si="886"/>
        <v>13593.806626399997</v>
      </c>
      <c r="DK137" s="55">
        <f t="shared" si="887"/>
        <v>3985.5815999999991</v>
      </c>
      <c r="DL137" s="59">
        <f t="shared" si="888"/>
        <v>13175.535653279998</v>
      </c>
      <c r="DM137" s="60">
        <f t="shared" si="889"/>
        <v>3859.0551999999989</v>
      </c>
      <c r="DN137" s="59">
        <f t="shared" si="890"/>
        <v>12757.264680159997</v>
      </c>
      <c r="DO137" s="60">
        <f t="shared" si="891"/>
        <v>3732.5287999999987</v>
      </c>
      <c r="DP137" s="59">
        <f t="shared" si="892"/>
        <v>12338.993707039996</v>
      </c>
      <c r="DQ137" s="55">
        <f t="shared" si="893"/>
        <v>3606.0023999999985</v>
      </c>
      <c r="DR137" s="59">
        <f t="shared" si="894"/>
        <v>11920.722733919994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801"/>
        <v>0.91</v>
      </c>
      <c r="DZ137" s="55">
        <f t="shared" si="801"/>
        <v>0.89</v>
      </c>
      <c r="EA137" s="55">
        <f t="shared" si="801"/>
        <v>0.87</v>
      </c>
      <c r="EB137" s="55">
        <f t="shared" si="801"/>
        <v>0.85</v>
      </c>
      <c r="EC137" s="55">
        <f t="shared" si="801"/>
        <v>0.83</v>
      </c>
      <c r="ED137" s="55">
        <f t="shared" si="801"/>
        <v>0.80999999999999994</v>
      </c>
      <c r="EE137" s="55">
        <f t="shared" si="801"/>
        <v>0.78999999999999992</v>
      </c>
      <c r="EF137" s="55">
        <f t="shared" si="801"/>
        <v>0.76999999999999991</v>
      </c>
      <c r="EG137" s="55">
        <f t="shared" si="801"/>
        <v>0.74999999999999989</v>
      </c>
      <c r="EH137" s="55">
        <f t="shared" si="801"/>
        <v>0.72999999999999987</v>
      </c>
      <c r="EI137" s="55">
        <f t="shared" si="801"/>
        <v>0.70999999999999985</v>
      </c>
      <c r="EJ137" s="55">
        <f t="shared" si="801"/>
        <v>0.68999999999999984</v>
      </c>
      <c r="EK137" s="55">
        <f t="shared" si="801"/>
        <v>0.66999999999999982</v>
      </c>
      <c r="EL137" s="55">
        <f t="shared" si="801"/>
        <v>0.6499999999999998</v>
      </c>
      <c r="EM137" s="55">
        <f t="shared" si="801"/>
        <v>0.62999999999999978</v>
      </c>
      <c r="EN137" s="55">
        <f t="shared" si="801"/>
        <v>0.60999999999999976</v>
      </c>
      <c r="EO137" s="55">
        <f t="shared" si="801"/>
        <v>0.58999999999999975</v>
      </c>
      <c r="EP137" s="55">
        <f t="shared" si="801"/>
        <v>0.56999999999999973</v>
      </c>
      <c r="ER137" s="55">
        <f t="shared" si="656"/>
        <v>5756.9512000000004</v>
      </c>
      <c r="ES137" s="55">
        <f t="shared" si="517"/>
        <v>5756.9512000000004</v>
      </c>
      <c r="ET137" s="59">
        <f t="shared" si="895"/>
        <v>19031.329276960001</v>
      </c>
      <c r="EU137" s="55">
        <f t="shared" si="896"/>
        <v>5584.2426640000003</v>
      </c>
      <c r="EV137" s="59">
        <f t="shared" si="897"/>
        <v>18460.389398651201</v>
      </c>
      <c r="EW137" s="55">
        <f t="shared" si="898"/>
        <v>5469.1036400000003</v>
      </c>
      <c r="EX137" s="59">
        <f t="shared" si="899"/>
        <v>18079.762813112</v>
      </c>
      <c r="EY137" s="55">
        <f t="shared" si="900"/>
        <v>5353.9646160000011</v>
      </c>
      <c r="EZ137" s="59">
        <f t="shared" si="901"/>
        <v>17699.136227572802</v>
      </c>
      <c r="FA137" s="57">
        <f t="shared" si="902"/>
        <v>5238.8255920000001</v>
      </c>
      <c r="FB137" s="59">
        <f t="shared" si="903"/>
        <v>17318.509642033601</v>
      </c>
      <c r="FC137" s="55">
        <f t="shared" si="904"/>
        <v>5123.6865680000001</v>
      </c>
      <c r="FD137" s="59">
        <f t="shared" si="905"/>
        <v>16937.8830564944</v>
      </c>
      <c r="FE137" s="57">
        <f t="shared" si="906"/>
        <v>5008.547544</v>
      </c>
      <c r="FF137" s="59">
        <f t="shared" si="907"/>
        <v>16557.256470955199</v>
      </c>
      <c r="FG137" s="60">
        <f t="shared" si="908"/>
        <v>4893.40852</v>
      </c>
      <c r="FH137" s="59">
        <f t="shared" si="909"/>
        <v>16176.629885416</v>
      </c>
      <c r="FI137" s="57">
        <f t="shared" si="910"/>
        <v>4778.2694959999999</v>
      </c>
      <c r="FJ137" s="59">
        <f t="shared" si="911"/>
        <v>15796.0032998768</v>
      </c>
      <c r="FK137" s="55">
        <f t="shared" si="912"/>
        <v>4663.1304719999998</v>
      </c>
      <c r="FL137" s="59">
        <f t="shared" si="913"/>
        <v>15415.376714337599</v>
      </c>
      <c r="FM137" s="60">
        <f t="shared" si="914"/>
        <v>4547.9914479999998</v>
      </c>
      <c r="FN137" s="59">
        <f t="shared" si="915"/>
        <v>15034.7501287984</v>
      </c>
      <c r="FO137" s="60">
        <f t="shared" si="916"/>
        <v>4432.8524239999997</v>
      </c>
      <c r="FP137" s="59">
        <f t="shared" si="917"/>
        <v>14654.1235432592</v>
      </c>
      <c r="FQ137" s="60">
        <f t="shared" si="918"/>
        <v>4317.7133999999996</v>
      </c>
      <c r="FR137" s="59">
        <f t="shared" si="919"/>
        <v>14273.496957719999</v>
      </c>
      <c r="FS137" s="55">
        <f t="shared" si="920"/>
        <v>4202.5743759999996</v>
      </c>
      <c r="FT137" s="59">
        <f t="shared" si="921"/>
        <v>13892.8703721808</v>
      </c>
      <c r="FU137" s="60">
        <f t="shared" si="922"/>
        <v>4087.4353519999995</v>
      </c>
      <c r="FV137" s="59">
        <f t="shared" si="923"/>
        <v>13512.243786641598</v>
      </c>
      <c r="FW137" s="60">
        <f t="shared" si="924"/>
        <v>3972.2963279999994</v>
      </c>
      <c r="FX137" s="59">
        <f t="shared" si="925"/>
        <v>13131.617201102399</v>
      </c>
      <c r="FY137" s="60">
        <f t="shared" si="926"/>
        <v>3857.1573039999994</v>
      </c>
      <c r="FZ137" s="59">
        <f t="shared" si="927"/>
        <v>12750.990615563198</v>
      </c>
      <c r="GA137" s="60">
        <f t="shared" si="928"/>
        <v>3742.0182799999993</v>
      </c>
      <c r="GB137" s="59">
        <f t="shared" si="929"/>
        <v>12370.364030023999</v>
      </c>
      <c r="GC137" s="55">
        <f t="shared" si="930"/>
        <v>3626.8792559999988</v>
      </c>
      <c r="GD137" s="59">
        <f t="shared" si="931"/>
        <v>11989.737444484796</v>
      </c>
      <c r="GE137" s="60">
        <f t="shared" si="932"/>
        <v>3511.7402319999987</v>
      </c>
      <c r="GF137" s="59">
        <f t="shared" si="933"/>
        <v>11609.110858945596</v>
      </c>
      <c r="GG137" s="60">
        <f t="shared" si="934"/>
        <v>3396.6012079999987</v>
      </c>
      <c r="GH137" s="59">
        <f t="shared" si="935"/>
        <v>11228.484273406395</v>
      </c>
      <c r="GI137" s="55">
        <f t="shared" si="936"/>
        <v>3281.4621839999986</v>
      </c>
      <c r="GJ137" s="59">
        <f t="shared" si="937"/>
        <v>10847.857687867196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802"/>
        <v>0.91</v>
      </c>
      <c r="GR137" s="55">
        <f t="shared" si="802"/>
        <v>0.89</v>
      </c>
      <c r="GS137" s="55">
        <f t="shared" si="802"/>
        <v>0.87</v>
      </c>
      <c r="GT137" s="55">
        <f t="shared" si="802"/>
        <v>0.85</v>
      </c>
      <c r="GU137" s="55">
        <f t="shared" si="802"/>
        <v>0.83</v>
      </c>
      <c r="GV137" s="55">
        <f t="shared" si="802"/>
        <v>0.80999999999999994</v>
      </c>
      <c r="GW137" s="55">
        <f t="shared" si="802"/>
        <v>0.78999999999999992</v>
      </c>
      <c r="GX137" s="55">
        <f t="shared" si="802"/>
        <v>0.76999999999999991</v>
      </c>
      <c r="GY137" s="55">
        <f t="shared" si="802"/>
        <v>0.74999999999999989</v>
      </c>
      <c r="GZ137" s="55">
        <f t="shared" si="802"/>
        <v>0.72999999999999987</v>
      </c>
      <c r="HA137" s="55">
        <f t="shared" si="802"/>
        <v>0.70999999999999985</v>
      </c>
      <c r="HB137" s="55">
        <f t="shared" si="802"/>
        <v>0.68999999999999984</v>
      </c>
      <c r="HC137" s="55">
        <f t="shared" si="802"/>
        <v>0.66999999999999982</v>
      </c>
      <c r="HD137" s="55">
        <f t="shared" si="802"/>
        <v>0.6499999999999998</v>
      </c>
      <c r="HE137" s="55">
        <f t="shared" si="802"/>
        <v>0.62999999999999978</v>
      </c>
      <c r="HF137" s="55">
        <f t="shared" si="802"/>
        <v>0.60999999999999976</v>
      </c>
      <c r="HG137" s="55">
        <f t="shared" si="802"/>
        <v>0.58999999999999975</v>
      </c>
      <c r="HH137" s="55">
        <f t="shared" si="802"/>
        <v>0.56999999999999973</v>
      </c>
    </row>
    <row r="138" spans="1:216" x14ac:dyDescent="0.3">
      <c r="A138" s="2">
        <v>9</v>
      </c>
      <c r="C138" s="38" t="s">
        <v>63</v>
      </c>
      <c r="D138" s="42">
        <f>TRUNC(24489,-1)</f>
        <v>24480</v>
      </c>
      <c r="E138" s="71">
        <f t="shared" si="807"/>
        <v>80920</v>
      </c>
      <c r="H138" s="55">
        <f t="shared" si="808"/>
        <v>26928.000000000004</v>
      </c>
      <c r="I138" s="55">
        <f t="shared" si="513"/>
        <v>26928.000000000004</v>
      </c>
      <c r="J138" s="59">
        <f t="shared" si="514"/>
        <v>89018.582400000014</v>
      </c>
      <c r="K138" s="55">
        <f t="shared" si="809"/>
        <v>26120.160000000003</v>
      </c>
      <c r="L138" s="59">
        <f t="shared" si="810"/>
        <v>86348.024928000013</v>
      </c>
      <c r="M138" s="55">
        <f t="shared" si="811"/>
        <v>25581.600000000002</v>
      </c>
      <c r="N138" s="59">
        <f t="shared" si="812"/>
        <v>84567.653280000013</v>
      </c>
      <c r="O138" s="55">
        <f t="shared" si="813"/>
        <v>25043.040000000005</v>
      </c>
      <c r="P138" s="59">
        <f t="shared" si="814"/>
        <v>82787.281632000013</v>
      </c>
      <c r="Q138" s="57">
        <f t="shared" si="815"/>
        <v>24504.480000000003</v>
      </c>
      <c r="R138" s="59">
        <f t="shared" si="816"/>
        <v>81006.909984000013</v>
      </c>
      <c r="S138" s="55">
        <f t="shared" si="817"/>
        <v>23965.920000000002</v>
      </c>
      <c r="T138" s="59">
        <f t="shared" si="818"/>
        <v>79226.538336000012</v>
      </c>
      <c r="U138" s="57">
        <f t="shared" si="819"/>
        <v>23427.360000000004</v>
      </c>
      <c r="V138" s="59">
        <f t="shared" si="820"/>
        <v>77446.166688000012</v>
      </c>
      <c r="W138" s="60">
        <f t="shared" si="821"/>
        <v>22888.800000000003</v>
      </c>
      <c r="X138" s="59">
        <f t="shared" si="822"/>
        <v>75665.795040000012</v>
      </c>
      <c r="Y138" s="57">
        <f t="shared" si="823"/>
        <v>22350.240000000002</v>
      </c>
      <c r="Z138" s="59">
        <f t="shared" si="824"/>
        <v>73885.423392000012</v>
      </c>
      <c r="AA138" s="55">
        <f t="shared" si="825"/>
        <v>21811.68</v>
      </c>
      <c r="AB138" s="59">
        <f t="shared" si="826"/>
        <v>72105.051743999997</v>
      </c>
      <c r="AC138" s="60">
        <f t="shared" si="827"/>
        <v>21273.120000000003</v>
      </c>
      <c r="AD138" s="59">
        <f t="shared" si="828"/>
        <v>70324.680096000011</v>
      </c>
      <c r="AE138" s="60">
        <f t="shared" si="829"/>
        <v>20734.560000000001</v>
      </c>
      <c r="AF138" s="59">
        <f t="shared" si="830"/>
        <v>68544.308448000011</v>
      </c>
      <c r="AG138" s="60">
        <f t="shared" si="831"/>
        <v>20196</v>
      </c>
      <c r="AH138" s="59">
        <f t="shared" si="832"/>
        <v>66763.936799999996</v>
      </c>
      <c r="AI138" s="55">
        <f t="shared" si="833"/>
        <v>19657.439999999999</v>
      </c>
      <c r="AJ138" s="59">
        <f t="shared" si="834"/>
        <v>64983.565151999996</v>
      </c>
      <c r="AK138" s="60">
        <f t="shared" si="835"/>
        <v>19118.879999999997</v>
      </c>
      <c r="AL138" s="59">
        <f t="shared" si="836"/>
        <v>63203.193503999995</v>
      </c>
      <c r="AM138" s="60">
        <f t="shared" si="837"/>
        <v>18580.32</v>
      </c>
      <c r="AN138" s="59">
        <f t="shared" si="838"/>
        <v>61422.821856000002</v>
      </c>
      <c r="AO138" s="60">
        <f t="shared" si="839"/>
        <v>18041.759999999998</v>
      </c>
      <c r="AP138" s="59">
        <f t="shared" si="840"/>
        <v>59642.450207999995</v>
      </c>
      <c r="AQ138" s="60">
        <f t="shared" si="841"/>
        <v>17503.199999999997</v>
      </c>
      <c r="AR138" s="59">
        <f t="shared" si="842"/>
        <v>57862.078559999994</v>
      </c>
      <c r="AS138" s="55">
        <f t="shared" si="843"/>
        <v>16964.639999999996</v>
      </c>
      <c r="AT138" s="59">
        <f t="shared" si="844"/>
        <v>56081.706911999987</v>
      </c>
      <c r="AU138" s="60">
        <f t="shared" si="845"/>
        <v>16426.079999999994</v>
      </c>
      <c r="AV138" s="59">
        <f t="shared" si="846"/>
        <v>54301.335263999979</v>
      </c>
      <c r="AW138" s="60">
        <f t="shared" si="847"/>
        <v>15887.519999999995</v>
      </c>
      <c r="AX138" s="59">
        <f t="shared" si="848"/>
        <v>52520.963615999986</v>
      </c>
      <c r="AY138" s="55">
        <f t="shared" si="849"/>
        <v>15348.959999999995</v>
      </c>
      <c r="AZ138" s="59">
        <f t="shared" si="850"/>
        <v>50740.591967999986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51"/>
        <v>0.91</v>
      </c>
      <c r="BH138" s="55">
        <f t="shared" si="851"/>
        <v>0.89</v>
      </c>
      <c r="BI138" s="55">
        <f t="shared" si="851"/>
        <v>0.87</v>
      </c>
      <c r="BJ138" s="55">
        <f t="shared" si="851"/>
        <v>0.85</v>
      </c>
      <c r="BK138" s="55">
        <f t="shared" si="851"/>
        <v>0.83</v>
      </c>
      <c r="BL138" s="55">
        <f t="shared" si="851"/>
        <v>0.80999999999999994</v>
      </c>
      <c r="BM138" s="55">
        <f t="shared" si="851"/>
        <v>0.78999999999999992</v>
      </c>
      <c r="BN138" s="55">
        <f t="shared" si="851"/>
        <v>0.76999999999999991</v>
      </c>
      <c r="BO138" s="55">
        <f t="shared" si="851"/>
        <v>0.74999999999999989</v>
      </c>
      <c r="BP138" s="55">
        <f t="shared" si="851"/>
        <v>0.72999999999999987</v>
      </c>
      <c r="BQ138" s="55">
        <f t="shared" si="851"/>
        <v>0.70999999999999985</v>
      </c>
      <c r="BR138" s="55">
        <f t="shared" si="851"/>
        <v>0.68999999999999984</v>
      </c>
      <c r="BS138" s="55">
        <f t="shared" si="851"/>
        <v>0.66999999999999982</v>
      </c>
      <c r="BT138" s="55">
        <f t="shared" si="851"/>
        <v>0.6499999999999998</v>
      </c>
      <c r="BU138" s="55">
        <f t="shared" si="851"/>
        <v>0.62999999999999978</v>
      </c>
      <c r="BV138" s="55">
        <f t="shared" si="851"/>
        <v>0.60999999999999976</v>
      </c>
      <c r="BW138" s="55">
        <f t="shared" si="851"/>
        <v>0.58999999999999975</v>
      </c>
      <c r="BX138" s="55">
        <f t="shared" si="851"/>
        <v>0.56999999999999973</v>
      </c>
      <c r="BZ138" s="55">
        <f t="shared" si="515"/>
        <v>24504.480000000003</v>
      </c>
      <c r="CA138" s="55">
        <f t="shared" si="516"/>
        <v>24504.480000000003</v>
      </c>
      <c r="CB138" s="59">
        <f t="shared" si="852"/>
        <v>81006.909984000013</v>
      </c>
      <c r="CC138" s="55">
        <f t="shared" si="853"/>
        <v>23769.345600000004</v>
      </c>
      <c r="CD138" s="59">
        <f t="shared" si="854"/>
        <v>78576.702684480013</v>
      </c>
      <c r="CE138" s="55">
        <f t="shared" si="855"/>
        <v>23279.256000000001</v>
      </c>
      <c r="CF138" s="59">
        <f t="shared" si="856"/>
        <v>76956.564484800008</v>
      </c>
      <c r="CG138" s="55">
        <f t="shared" si="857"/>
        <v>22789.166400000006</v>
      </c>
      <c r="CH138" s="59">
        <f t="shared" si="858"/>
        <v>75336.426285120018</v>
      </c>
      <c r="CI138" s="57">
        <f t="shared" si="859"/>
        <v>22299.076800000003</v>
      </c>
      <c r="CJ138" s="59">
        <f t="shared" si="860"/>
        <v>73716.288085440014</v>
      </c>
      <c r="CK138" s="55">
        <f t="shared" si="861"/>
        <v>21808.987200000003</v>
      </c>
      <c r="CL138" s="59">
        <f t="shared" si="862"/>
        <v>72096.149885760009</v>
      </c>
      <c r="CM138" s="57">
        <f t="shared" si="863"/>
        <v>21318.897600000004</v>
      </c>
      <c r="CN138" s="59">
        <f t="shared" si="864"/>
        <v>70476.011686080019</v>
      </c>
      <c r="CO138" s="60">
        <f t="shared" si="865"/>
        <v>20828.808000000001</v>
      </c>
      <c r="CP138" s="59">
        <f t="shared" si="866"/>
        <v>68855.8734864</v>
      </c>
      <c r="CQ138" s="57">
        <f t="shared" si="867"/>
        <v>20338.718400000002</v>
      </c>
      <c r="CR138" s="59">
        <f t="shared" si="868"/>
        <v>67235.73528672001</v>
      </c>
      <c r="CS138" s="55">
        <f t="shared" si="869"/>
        <v>19848.628800000002</v>
      </c>
      <c r="CT138" s="59">
        <f t="shared" si="870"/>
        <v>65615.597087040005</v>
      </c>
      <c r="CU138" s="60">
        <f t="shared" si="871"/>
        <v>19358.539199999999</v>
      </c>
      <c r="CV138" s="59">
        <f t="shared" si="872"/>
        <v>63995.458887360001</v>
      </c>
      <c r="CW138" s="60">
        <f t="shared" si="873"/>
        <v>18868.4496</v>
      </c>
      <c r="CX138" s="59">
        <f t="shared" si="874"/>
        <v>62375.320687680003</v>
      </c>
      <c r="CY138" s="60">
        <f t="shared" si="875"/>
        <v>18378.36</v>
      </c>
      <c r="CZ138" s="59">
        <f t="shared" si="876"/>
        <v>60755.182488000006</v>
      </c>
      <c r="DA138" s="55">
        <f t="shared" si="877"/>
        <v>17888.270399999998</v>
      </c>
      <c r="DB138" s="59">
        <f t="shared" si="878"/>
        <v>59135.044288319994</v>
      </c>
      <c r="DC138" s="60">
        <f t="shared" si="879"/>
        <v>17398.180799999998</v>
      </c>
      <c r="DD138" s="59">
        <f t="shared" si="880"/>
        <v>57514.906088639997</v>
      </c>
      <c r="DE138" s="60">
        <f t="shared" si="881"/>
        <v>16908.091199999999</v>
      </c>
      <c r="DF138" s="59">
        <f t="shared" si="882"/>
        <v>55894.767888959999</v>
      </c>
      <c r="DG138" s="60">
        <f t="shared" si="883"/>
        <v>16418.001599999996</v>
      </c>
      <c r="DH138" s="59">
        <f t="shared" si="884"/>
        <v>54274.629689279987</v>
      </c>
      <c r="DI138" s="60">
        <f t="shared" si="885"/>
        <v>15927.911999999997</v>
      </c>
      <c r="DJ138" s="59">
        <f t="shared" si="886"/>
        <v>52654.49148959999</v>
      </c>
      <c r="DK138" s="55">
        <f t="shared" si="887"/>
        <v>15437.822399999997</v>
      </c>
      <c r="DL138" s="59">
        <f t="shared" si="888"/>
        <v>51034.353289919993</v>
      </c>
      <c r="DM138" s="60">
        <f t="shared" si="889"/>
        <v>14947.732799999996</v>
      </c>
      <c r="DN138" s="59">
        <f t="shared" si="890"/>
        <v>49414.215090239988</v>
      </c>
      <c r="DO138" s="60">
        <f t="shared" si="891"/>
        <v>14457.643199999995</v>
      </c>
      <c r="DP138" s="59">
        <f t="shared" si="892"/>
        <v>47794.076890559983</v>
      </c>
      <c r="DQ138" s="55">
        <f t="shared" si="893"/>
        <v>13967.553599999996</v>
      </c>
      <c r="DR138" s="59">
        <f t="shared" si="894"/>
        <v>46173.938690879986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801"/>
        <v>0.91</v>
      </c>
      <c r="DZ138" s="55">
        <f t="shared" si="801"/>
        <v>0.89</v>
      </c>
      <c r="EA138" s="55">
        <f t="shared" si="801"/>
        <v>0.87</v>
      </c>
      <c r="EB138" s="55">
        <f t="shared" ref="EB138:EP138" si="938">+EA138-0.02</f>
        <v>0.85</v>
      </c>
      <c r="EC138" s="55">
        <f t="shared" si="938"/>
        <v>0.83</v>
      </c>
      <c r="ED138" s="55">
        <f t="shared" si="938"/>
        <v>0.80999999999999994</v>
      </c>
      <c r="EE138" s="55">
        <f t="shared" si="938"/>
        <v>0.78999999999999992</v>
      </c>
      <c r="EF138" s="55">
        <f t="shared" si="938"/>
        <v>0.76999999999999991</v>
      </c>
      <c r="EG138" s="55">
        <f t="shared" si="938"/>
        <v>0.74999999999999989</v>
      </c>
      <c r="EH138" s="55">
        <f t="shared" si="938"/>
        <v>0.72999999999999987</v>
      </c>
      <c r="EI138" s="55">
        <f t="shared" si="938"/>
        <v>0.70999999999999985</v>
      </c>
      <c r="EJ138" s="55">
        <f t="shared" si="938"/>
        <v>0.68999999999999984</v>
      </c>
      <c r="EK138" s="55">
        <f t="shared" si="938"/>
        <v>0.66999999999999982</v>
      </c>
      <c r="EL138" s="55">
        <f t="shared" si="938"/>
        <v>0.6499999999999998</v>
      </c>
      <c r="EM138" s="55">
        <f t="shared" si="938"/>
        <v>0.62999999999999978</v>
      </c>
      <c r="EN138" s="55">
        <f t="shared" si="938"/>
        <v>0.60999999999999976</v>
      </c>
      <c r="EO138" s="55">
        <f t="shared" si="938"/>
        <v>0.58999999999999975</v>
      </c>
      <c r="EP138" s="55">
        <f t="shared" si="938"/>
        <v>0.56999999999999973</v>
      </c>
      <c r="ER138" s="55">
        <f t="shared" si="656"/>
        <v>22299.076800000003</v>
      </c>
      <c r="ES138" s="55">
        <f t="shared" si="517"/>
        <v>22299.076800000003</v>
      </c>
      <c r="ET138" s="59">
        <f t="shared" si="895"/>
        <v>73716.288085440014</v>
      </c>
      <c r="EU138" s="55">
        <f t="shared" si="896"/>
        <v>21630.104496000004</v>
      </c>
      <c r="EV138" s="59">
        <f t="shared" si="897"/>
        <v>71504.799442876814</v>
      </c>
      <c r="EW138" s="55">
        <f t="shared" si="898"/>
        <v>21184.122960000001</v>
      </c>
      <c r="EX138" s="59">
        <f t="shared" si="899"/>
        <v>70030.473681168005</v>
      </c>
      <c r="EY138" s="55">
        <f t="shared" si="900"/>
        <v>20738.141424000005</v>
      </c>
      <c r="EZ138" s="59">
        <f t="shared" si="901"/>
        <v>68556.147919459225</v>
      </c>
      <c r="FA138" s="57">
        <f t="shared" si="902"/>
        <v>20292.159888000002</v>
      </c>
      <c r="FB138" s="59">
        <f t="shared" si="903"/>
        <v>67081.822157750401</v>
      </c>
      <c r="FC138" s="55">
        <f t="shared" si="904"/>
        <v>19846.178352000003</v>
      </c>
      <c r="FD138" s="59">
        <f t="shared" si="905"/>
        <v>65607.496396041606</v>
      </c>
      <c r="FE138" s="57">
        <f t="shared" si="906"/>
        <v>19400.196816000003</v>
      </c>
      <c r="FF138" s="59">
        <f t="shared" si="907"/>
        <v>64133.170634332811</v>
      </c>
      <c r="FG138" s="60">
        <f t="shared" si="908"/>
        <v>18954.21528</v>
      </c>
      <c r="FH138" s="59">
        <f t="shared" si="909"/>
        <v>62658.844872624002</v>
      </c>
      <c r="FI138" s="57">
        <f t="shared" si="910"/>
        <v>18508.233744000001</v>
      </c>
      <c r="FJ138" s="59">
        <f t="shared" si="911"/>
        <v>61184.519110915207</v>
      </c>
      <c r="FK138" s="55">
        <f t="shared" si="912"/>
        <v>18062.252208000002</v>
      </c>
      <c r="FL138" s="59">
        <f t="shared" si="913"/>
        <v>59710.193349206405</v>
      </c>
      <c r="FM138" s="60">
        <f t="shared" si="914"/>
        <v>17616.270671999999</v>
      </c>
      <c r="FN138" s="59">
        <f t="shared" si="915"/>
        <v>58235.867587497596</v>
      </c>
      <c r="FO138" s="60">
        <f t="shared" si="916"/>
        <v>17170.289135999999</v>
      </c>
      <c r="FP138" s="59">
        <f t="shared" si="917"/>
        <v>56761.541825788801</v>
      </c>
      <c r="FQ138" s="60">
        <f t="shared" si="918"/>
        <v>16724.3076</v>
      </c>
      <c r="FR138" s="59">
        <f t="shared" si="919"/>
        <v>55287.216064079999</v>
      </c>
      <c r="FS138" s="55">
        <f t="shared" si="920"/>
        <v>16278.326063999999</v>
      </c>
      <c r="FT138" s="59">
        <f t="shared" si="921"/>
        <v>53812.890302371197</v>
      </c>
      <c r="FU138" s="60">
        <f t="shared" si="922"/>
        <v>15832.344527999998</v>
      </c>
      <c r="FV138" s="59">
        <f t="shared" si="923"/>
        <v>52338.564540662395</v>
      </c>
      <c r="FW138" s="60">
        <f t="shared" si="924"/>
        <v>15386.362991999998</v>
      </c>
      <c r="FX138" s="59">
        <f t="shared" si="925"/>
        <v>50864.238778953593</v>
      </c>
      <c r="FY138" s="60">
        <f t="shared" si="926"/>
        <v>14940.381455999997</v>
      </c>
      <c r="FZ138" s="59">
        <f t="shared" si="927"/>
        <v>49389.913017244791</v>
      </c>
      <c r="GA138" s="60">
        <f t="shared" si="928"/>
        <v>14494.399919999998</v>
      </c>
      <c r="GB138" s="59">
        <f t="shared" si="929"/>
        <v>47915.587255535997</v>
      </c>
      <c r="GC138" s="55">
        <f t="shared" si="930"/>
        <v>14048.418383999997</v>
      </c>
      <c r="GD138" s="59">
        <f t="shared" si="931"/>
        <v>46441.261493827187</v>
      </c>
      <c r="GE138" s="60">
        <f t="shared" si="932"/>
        <v>13602.436847999996</v>
      </c>
      <c r="GF138" s="59">
        <f t="shared" si="933"/>
        <v>44966.935732118385</v>
      </c>
      <c r="GG138" s="60">
        <f t="shared" si="934"/>
        <v>13156.455311999996</v>
      </c>
      <c r="GH138" s="59">
        <f t="shared" si="935"/>
        <v>43492.60997040959</v>
      </c>
      <c r="GI138" s="55">
        <f t="shared" si="936"/>
        <v>12710.473775999995</v>
      </c>
      <c r="GJ138" s="59">
        <f t="shared" si="937"/>
        <v>42018.284208700788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802"/>
        <v>0.91</v>
      </c>
      <c r="GR138" s="55">
        <f t="shared" si="802"/>
        <v>0.89</v>
      </c>
      <c r="GS138" s="55">
        <f t="shared" si="802"/>
        <v>0.87</v>
      </c>
      <c r="GT138" s="55">
        <f t="shared" ref="GT138:HH138" si="939">+GS138-0.02</f>
        <v>0.85</v>
      </c>
      <c r="GU138" s="55">
        <f t="shared" si="939"/>
        <v>0.83</v>
      </c>
      <c r="GV138" s="55">
        <f t="shared" si="939"/>
        <v>0.80999999999999994</v>
      </c>
      <c r="GW138" s="55">
        <f t="shared" si="939"/>
        <v>0.78999999999999992</v>
      </c>
      <c r="GX138" s="55">
        <f t="shared" si="939"/>
        <v>0.76999999999999991</v>
      </c>
      <c r="GY138" s="55">
        <f t="shared" si="939"/>
        <v>0.74999999999999989</v>
      </c>
      <c r="GZ138" s="55">
        <f t="shared" si="939"/>
        <v>0.72999999999999987</v>
      </c>
      <c r="HA138" s="55">
        <f t="shared" si="939"/>
        <v>0.70999999999999985</v>
      </c>
      <c r="HB138" s="55">
        <f t="shared" si="939"/>
        <v>0.68999999999999984</v>
      </c>
      <c r="HC138" s="55">
        <f t="shared" si="939"/>
        <v>0.66999999999999982</v>
      </c>
      <c r="HD138" s="55">
        <f t="shared" si="939"/>
        <v>0.6499999999999998</v>
      </c>
      <c r="HE138" s="55">
        <f t="shared" si="939"/>
        <v>0.62999999999999978</v>
      </c>
      <c r="HF138" s="55">
        <f t="shared" si="939"/>
        <v>0.60999999999999976</v>
      </c>
      <c r="HG138" s="55">
        <f t="shared" si="939"/>
        <v>0.58999999999999975</v>
      </c>
      <c r="HH138" s="55">
        <f t="shared" si="939"/>
        <v>0.56999999999999973</v>
      </c>
    </row>
    <row r="139" spans="1:216" ht="17.25" thickBot="1" x14ac:dyDescent="0.35">
      <c r="A139" s="2">
        <v>10</v>
      </c>
      <c r="C139" s="38" t="s">
        <v>149</v>
      </c>
      <c r="D139" s="43">
        <v>0</v>
      </c>
      <c r="E139" s="72">
        <f t="shared" si="807"/>
        <v>0</v>
      </c>
      <c r="H139" s="55">
        <f t="shared" si="808"/>
        <v>0</v>
      </c>
      <c r="I139" s="55">
        <f t="shared" si="513"/>
        <v>0</v>
      </c>
      <c r="J139" s="59">
        <f t="shared" si="514"/>
        <v>0</v>
      </c>
      <c r="K139" s="55">
        <f t="shared" si="809"/>
        <v>0</v>
      </c>
      <c r="L139" s="59">
        <f t="shared" si="810"/>
        <v>0</v>
      </c>
      <c r="M139" s="55">
        <f t="shared" si="811"/>
        <v>0</v>
      </c>
      <c r="N139" s="59">
        <f t="shared" si="812"/>
        <v>0</v>
      </c>
      <c r="O139" s="55">
        <f t="shared" si="813"/>
        <v>0</v>
      </c>
      <c r="P139" s="59">
        <f t="shared" si="814"/>
        <v>0</v>
      </c>
      <c r="Q139" s="57">
        <f t="shared" si="815"/>
        <v>0</v>
      </c>
      <c r="R139" s="59">
        <f t="shared" si="816"/>
        <v>0</v>
      </c>
      <c r="S139" s="55">
        <f t="shared" si="817"/>
        <v>0</v>
      </c>
      <c r="T139" s="59">
        <f t="shared" si="818"/>
        <v>0</v>
      </c>
      <c r="U139" s="57">
        <f t="shared" si="819"/>
        <v>0</v>
      </c>
      <c r="V139" s="59">
        <f t="shared" si="820"/>
        <v>0</v>
      </c>
      <c r="W139" s="60">
        <f t="shared" si="821"/>
        <v>0</v>
      </c>
      <c r="X139" s="59">
        <f t="shared" si="822"/>
        <v>0</v>
      </c>
      <c r="Y139" s="57">
        <f t="shared" si="823"/>
        <v>0</v>
      </c>
      <c r="Z139" s="59">
        <f t="shared" si="824"/>
        <v>0</v>
      </c>
      <c r="AA139" s="55">
        <f t="shared" si="825"/>
        <v>0</v>
      </c>
      <c r="AB139" s="59">
        <f t="shared" si="826"/>
        <v>0</v>
      </c>
      <c r="AC139" s="60">
        <f t="shared" si="827"/>
        <v>0</v>
      </c>
      <c r="AD139" s="59">
        <f t="shared" si="828"/>
        <v>0</v>
      </c>
      <c r="AE139" s="60">
        <f t="shared" si="829"/>
        <v>0</v>
      </c>
      <c r="AF139" s="59">
        <f t="shared" si="830"/>
        <v>0</v>
      </c>
      <c r="AG139" s="60">
        <f t="shared" si="831"/>
        <v>0</v>
      </c>
      <c r="AH139" s="59">
        <f t="shared" si="832"/>
        <v>0</v>
      </c>
      <c r="AI139" s="55">
        <f t="shared" si="833"/>
        <v>0</v>
      </c>
      <c r="AJ139" s="59">
        <f t="shared" si="834"/>
        <v>0</v>
      </c>
      <c r="AK139" s="60">
        <f t="shared" si="835"/>
        <v>0</v>
      </c>
      <c r="AL139" s="59">
        <f t="shared" si="836"/>
        <v>0</v>
      </c>
      <c r="AM139" s="60">
        <f t="shared" si="837"/>
        <v>0</v>
      </c>
      <c r="AN139" s="59">
        <f t="shared" si="838"/>
        <v>0</v>
      </c>
      <c r="AO139" s="60">
        <f t="shared" si="839"/>
        <v>0</v>
      </c>
      <c r="AP139" s="59">
        <f t="shared" si="840"/>
        <v>0</v>
      </c>
      <c r="AQ139" s="60">
        <f t="shared" si="841"/>
        <v>0</v>
      </c>
      <c r="AR139" s="59">
        <f t="shared" si="842"/>
        <v>0</v>
      </c>
      <c r="AS139" s="55">
        <f t="shared" si="843"/>
        <v>0</v>
      </c>
      <c r="AT139" s="59">
        <f t="shared" si="844"/>
        <v>0</v>
      </c>
      <c r="AU139" s="60">
        <f t="shared" si="845"/>
        <v>0</v>
      </c>
      <c r="AV139" s="59">
        <f t="shared" si="846"/>
        <v>0</v>
      </c>
      <c r="AW139" s="60">
        <f t="shared" si="847"/>
        <v>0</v>
      </c>
      <c r="AX139" s="59">
        <f t="shared" si="848"/>
        <v>0</v>
      </c>
      <c r="AY139" s="55">
        <f t="shared" si="849"/>
        <v>0</v>
      </c>
      <c r="AZ139" s="59">
        <f t="shared" si="85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51"/>
        <v>0.91</v>
      </c>
      <c r="BH139" s="55">
        <f t="shared" si="851"/>
        <v>0.89</v>
      </c>
      <c r="BI139" s="55">
        <f t="shared" si="851"/>
        <v>0.87</v>
      </c>
      <c r="BJ139" s="55">
        <f t="shared" si="851"/>
        <v>0.85</v>
      </c>
      <c r="BK139" s="55">
        <f t="shared" si="851"/>
        <v>0.83</v>
      </c>
      <c r="BL139" s="55">
        <f t="shared" si="851"/>
        <v>0.80999999999999994</v>
      </c>
      <c r="BM139" s="55">
        <f t="shared" si="851"/>
        <v>0.78999999999999992</v>
      </c>
      <c r="BN139" s="55">
        <f t="shared" si="851"/>
        <v>0.76999999999999991</v>
      </c>
      <c r="BO139" s="55">
        <f t="shared" si="851"/>
        <v>0.74999999999999989</v>
      </c>
      <c r="BP139" s="55">
        <f t="shared" si="851"/>
        <v>0.72999999999999987</v>
      </c>
      <c r="BQ139" s="55">
        <f t="shared" si="851"/>
        <v>0.70999999999999985</v>
      </c>
      <c r="BR139" s="55">
        <f t="shared" si="851"/>
        <v>0.68999999999999984</v>
      </c>
      <c r="BS139" s="55">
        <f t="shared" si="851"/>
        <v>0.66999999999999982</v>
      </c>
      <c r="BT139" s="55">
        <f t="shared" si="851"/>
        <v>0.6499999999999998</v>
      </c>
      <c r="BU139" s="55">
        <f t="shared" si="851"/>
        <v>0.62999999999999978</v>
      </c>
      <c r="BV139" s="55">
        <f t="shared" si="851"/>
        <v>0.60999999999999976</v>
      </c>
      <c r="BW139" s="55">
        <f t="shared" si="851"/>
        <v>0.58999999999999975</v>
      </c>
      <c r="BX139" s="55">
        <f t="shared" si="851"/>
        <v>0.56999999999999973</v>
      </c>
      <c r="BZ139" s="55">
        <f t="shared" si="515"/>
        <v>0</v>
      </c>
      <c r="CA139" s="55">
        <f t="shared" si="516"/>
        <v>0</v>
      </c>
      <c r="CB139" s="59">
        <f t="shared" si="852"/>
        <v>0</v>
      </c>
      <c r="CC139" s="55">
        <f t="shared" si="853"/>
        <v>0</v>
      </c>
      <c r="CD139" s="59">
        <f t="shared" si="854"/>
        <v>0</v>
      </c>
      <c r="CE139" s="55">
        <f t="shared" si="855"/>
        <v>0</v>
      </c>
      <c r="CF139" s="59">
        <f t="shared" si="856"/>
        <v>0</v>
      </c>
      <c r="CG139" s="55">
        <f t="shared" si="857"/>
        <v>0</v>
      </c>
      <c r="CH139" s="59">
        <f t="shared" si="858"/>
        <v>0</v>
      </c>
      <c r="CI139" s="57">
        <f t="shared" si="859"/>
        <v>0</v>
      </c>
      <c r="CJ139" s="59">
        <f t="shared" si="860"/>
        <v>0</v>
      </c>
      <c r="CK139" s="55">
        <f t="shared" si="861"/>
        <v>0</v>
      </c>
      <c r="CL139" s="59">
        <f t="shared" si="862"/>
        <v>0</v>
      </c>
      <c r="CM139" s="57">
        <f t="shared" si="863"/>
        <v>0</v>
      </c>
      <c r="CN139" s="59">
        <f t="shared" si="864"/>
        <v>0</v>
      </c>
      <c r="CO139" s="60">
        <f t="shared" si="865"/>
        <v>0</v>
      </c>
      <c r="CP139" s="59">
        <f t="shared" si="866"/>
        <v>0</v>
      </c>
      <c r="CQ139" s="57">
        <f t="shared" si="867"/>
        <v>0</v>
      </c>
      <c r="CR139" s="59">
        <f t="shared" si="868"/>
        <v>0</v>
      </c>
      <c r="CS139" s="55">
        <f t="shared" si="869"/>
        <v>0</v>
      </c>
      <c r="CT139" s="59">
        <f t="shared" si="870"/>
        <v>0</v>
      </c>
      <c r="CU139" s="60">
        <f t="shared" si="871"/>
        <v>0</v>
      </c>
      <c r="CV139" s="59">
        <f t="shared" si="872"/>
        <v>0</v>
      </c>
      <c r="CW139" s="60">
        <f t="shared" si="873"/>
        <v>0</v>
      </c>
      <c r="CX139" s="59">
        <f t="shared" si="874"/>
        <v>0</v>
      </c>
      <c r="CY139" s="60">
        <f t="shared" si="875"/>
        <v>0</v>
      </c>
      <c r="CZ139" s="59">
        <f t="shared" si="876"/>
        <v>0</v>
      </c>
      <c r="DA139" s="55">
        <f t="shared" si="877"/>
        <v>0</v>
      </c>
      <c r="DB139" s="59">
        <f t="shared" si="878"/>
        <v>0</v>
      </c>
      <c r="DC139" s="60">
        <f t="shared" si="879"/>
        <v>0</v>
      </c>
      <c r="DD139" s="59">
        <f t="shared" si="880"/>
        <v>0</v>
      </c>
      <c r="DE139" s="60">
        <f t="shared" si="881"/>
        <v>0</v>
      </c>
      <c r="DF139" s="59">
        <f t="shared" si="882"/>
        <v>0</v>
      </c>
      <c r="DG139" s="60">
        <f t="shared" si="883"/>
        <v>0</v>
      </c>
      <c r="DH139" s="59">
        <f t="shared" si="884"/>
        <v>0</v>
      </c>
      <c r="DI139" s="60">
        <f t="shared" si="885"/>
        <v>0</v>
      </c>
      <c r="DJ139" s="59">
        <f t="shared" si="886"/>
        <v>0</v>
      </c>
      <c r="DK139" s="55">
        <f t="shared" si="887"/>
        <v>0</v>
      </c>
      <c r="DL139" s="59">
        <f t="shared" si="888"/>
        <v>0</v>
      </c>
      <c r="DM139" s="60">
        <f t="shared" si="889"/>
        <v>0</v>
      </c>
      <c r="DN139" s="59">
        <f t="shared" si="890"/>
        <v>0</v>
      </c>
      <c r="DO139" s="60">
        <f t="shared" si="891"/>
        <v>0</v>
      </c>
      <c r="DP139" s="59">
        <f t="shared" si="892"/>
        <v>0</v>
      </c>
      <c r="DQ139" s="55">
        <f t="shared" si="893"/>
        <v>0</v>
      </c>
      <c r="DR139" s="59">
        <f t="shared" si="89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40">+DX139-0.02</f>
        <v>0.91</v>
      </c>
      <c r="DZ139" s="55">
        <f t="shared" si="940"/>
        <v>0.89</v>
      </c>
      <c r="EA139" s="55">
        <f t="shared" si="940"/>
        <v>0.87</v>
      </c>
      <c r="EB139" s="55">
        <f t="shared" si="940"/>
        <v>0.85</v>
      </c>
      <c r="EC139" s="55">
        <f t="shared" si="940"/>
        <v>0.83</v>
      </c>
      <c r="ED139" s="55">
        <f t="shared" si="940"/>
        <v>0.80999999999999994</v>
      </c>
      <c r="EE139" s="55">
        <f t="shared" si="940"/>
        <v>0.78999999999999992</v>
      </c>
      <c r="EF139" s="55">
        <f t="shared" si="940"/>
        <v>0.76999999999999991</v>
      </c>
      <c r="EG139" s="55">
        <f t="shared" si="940"/>
        <v>0.74999999999999989</v>
      </c>
      <c r="EH139" s="55">
        <f t="shared" si="940"/>
        <v>0.72999999999999987</v>
      </c>
      <c r="EI139" s="55">
        <f t="shared" si="940"/>
        <v>0.70999999999999985</v>
      </c>
      <c r="EJ139" s="55">
        <f t="shared" si="940"/>
        <v>0.68999999999999984</v>
      </c>
      <c r="EK139" s="55">
        <f t="shared" si="940"/>
        <v>0.66999999999999982</v>
      </c>
      <c r="EL139" s="55">
        <f t="shared" si="940"/>
        <v>0.6499999999999998</v>
      </c>
      <c r="EM139" s="55">
        <f t="shared" si="940"/>
        <v>0.62999999999999978</v>
      </c>
      <c r="EN139" s="55">
        <f t="shared" si="940"/>
        <v>0.60999999999999976</v>
      </c>
      <c r="EO139" s="55">
        <f t="shared" si="940"/>
        <v>0.58999999999999975</v>
      </c>
      <c r="EP139" s="55">
        <f t="shared" si="940"/>
        <v>0.56999999999999973</v>
      </c>
      <c r="ER139" s="55">
        <f t="shared" si="656"/>
        <v>0</v>
      </c>
      <c r="ES139" s="55">
        <f t="shared" si="517"/>
        <v>0</v>
      </c>
      <c r="ET139" s="59">
        <f t="shared" si="895"/>
        <v>0</v>
      </c>
      <c r="EU139" s="55">
        <f t="shared" si="896"/>
        <v>0</v>
      </c>
      <c r="EV139" s="59">
        <f t="shared" si="897"/>
        <v>0</v>
      </c>
      <c r="EW139" s="55">
        <f t="shared" si="898"/>
        <v>0</v>
      </c>
      <c r="EX139" s="59">
        <f t="shared" si="899"/>
        <v>0</v>
      </c>
      <c r="EY139" s="55">
        <f t="shared" si="900"/>
        <v>0</v>
      </c>
      <c r="EZ139" s="59">
        <f t="shared" si="901"/>
        <v>0</v>
      </c>
      <c r="FA139" s="57">
        <f t="shared" si="902"/>
        <v>0</v>
      </c>
      <c r="FB139" s="59">
        <f t="shared" si="903"/>
        <v>0</v>
      </c>
      <c r="FC139" s="55">
        <f t="shared" si="904"/>
        <v>0</v>
      </c>
      <c r="FD139" s="59">
        <f t="shared" si="905"/>
        <v>0</v>
      </c>
      <c r="FE139" s="57">
        <f t="shared" si="906"/>
        <v>0</v>
      </c>
      <c r="FF139" s="59">
        <f t="shared" si="907"/>
        <v>0</v>
      </c>
      <c r="FG139" s="60">
        <f t="shared" si="908"/>
        <v>0</v>
      </c>
      <c r="FH139" s="59">
        <f t="shared" si="909"/>
        <v>0</v>
      </c>
      <c r="FI139" s="57">
        <f t="shared" si="910"/>
        <v>0</v>
      </c>
      <c r="FJ139" s="59">
        <f t="shared" si="911"/>
        <v>0</v>
      </c>
      <c r="FK139" s="55">
        <f t="shared" si="912"/>
        <v>0</v>
      </c>
      <c r="FL139" s="59">
        <f t="shared" si="913"/>
        <v>0</v>
      </c>
      <c r="FM139" s="60">
        <f t="shared" si="914"/>
        <v>0</v>
      </c>
      <c r="FN139" s="59">
        <f t="shared" si="915"/>
        <v>0</v>
      </c>
      <c r="FO139" s="60">
        <f t="shared" si="916"/>
        <v>0</v>
      </c>
      <c r="FP139" s="59">
        <f t="shared" si="917"/>
        <v>0</v>
      </c>
      <c r="FQ139" s="60">
        <f t="shared" si="918"/>
        <v>0</v>
      </c>
      <c r="FR139" s="59">
        <f t="shared" si="919"/>
        <v>0</v>
      </c>
      <c r="FS139" s="55">
        <f t="shared" si="920"/>
        <v>0</v>
      </c>
      <c r="FT139" s="59">
        <f t="shared" si="921"/>
        <v>0</v>
      </c>
      <c r="FU139" s="60">
        <f t="shared" si="922"/>
        <v>0</v>
      </c>
      <c r="FV139" s="59">
        <f t="shared" si="923"/>
        <v>0</v>
      </c>
      <c r="FW139" s="60">
        <f t="shared" si="924"/>
        <v>0</v>
      </c>
      <c r="FX139" s="59">
        <f t="shared" si="925"/>
        <v>0</v>
      </c>
      <c r="FY139" s="60">
        <f t="shared" si="926"/>
        <v>0</v>
      </c>
      <c r="FZ139" s="59">
        <f t="shared" si="927"/>
        <v>0</v>
      </c>
      <c r="GA139" s="60">
        <f t="shared" si="928"/>
        <v>0</v>
      </c>
      <c r="GB139" s="59">
        <f t="shared" si="929"/>
        <v>0</v>
      </c>
      <c r="GC139" s="55">
        <f t="shared" si="930"/>
        <v>0</v>
      </c>
      <c r="GD139" s="59">
        <f t="shared" si="931"/>
        <v>0</v>
      </c>
      <c r="GE139" s="60">
        <f t="shared" si="932"/>
        <v>0</v>
      </c>
      <c r="GF139" s="59">
        <f t="shared" si="933"/>
        <v>0</v>
      </c>
      <c r="GG139" s="60">
        <f t="shared" si="934"/>
        <v>0</v>
      </c>
      <c r="GH139" s="59">
        <f t="shared" si="935"/>
        <v>0</v>
      </c>
      <c r="GI139" s="55">
        <f t="shared" si="936"/>
        <v>0</v>
      </c>
      <c r="GJ139" s="59">
        <f t="shared" si="93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41">+GP139-0.02</f>
        <v>0.91</v>
      </c>
      <c r="GR139" s="55">
        <f t="shared" si="941"/>
        <v>0.89</v>
      </c>
      <c r="GS139" s="55">
        <f t="shared" si="941"/>
        <v>0.87</v>
      </c>
      <c r="GT139" s="55">
        <f t="shared" si="941"/>
        <v>0.85</v>
      </c>
      <c r="GU139" s="55">
        <f t="shared" si="941"/>
        <v>0.83</v>
      </c>
      <c r="GV139" s="55">
        <f t="shared" si="941"/>
        <v>0.80999999999999994</v>
      </c>
      <c r="GW139" s="55">
        <f t="shared" si="941"/>
        <v>0.78999999999999992</v>
      </c>
      <c r="GX139" s="55">
        <f t="shared" si="941"/>
        <v>0.76999999999999991</v>
      </c>
      <c r="GY139" s="55">
        <f t="shared" si="941"/>
        <v>0.74999999999999989</v>
      </c>
      <c r="GZ139" s="55">
        <f t="shared" si="941"/>
        <v>0.72999999999999987</v>
      </c>
      <c r="HA139" s="55">
        <f t="shared" si="941"/>
        <v>0.70999999999999985</v>
      </c>
      <c r="HB139" s="55">
        <f t="shared" si="941"/>
        <v>0.68999999999999984</v>
      </c>
      <c r="HC139" s="55">
        <f t="shared" si="941"/>
        <v>0.66999999999999982</v>
      </c>
      <c r="HD139" s="55">
        <f t="shared" si="941"/>
        <v>0.6499999999999998</v>
      </c>
      <c r="HE139" s="55">
        <f t="shared" si="941"/>
        <v>0.62999999999999978</v>
      </c>
      <c r="HF139" s="55">
        <f t="shared" si="941"/>
        <v>0.60999999999999976</v>
      </c>
      <c r="HG139" s="55">
        <f t="shared" si="941"/>
        <v>0.58999999999999975</v>
      </c>
      <c r="HH139" s="55">
        <f t="shared" si="94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57030</v>
      </c>
      <c r="E140" s="39">
        <f>SUM(E130:E139)</f>
        <v>188500</v>
      </c>
      <c r="H140" s="55">
        <f t="shared" si="808"/>
        <v>62733.000000000007</v>
      </c>
      <c r="I140" s="55">
        <f t="shared" si="513"/>
        <v>62733.000000000007</v>
      </c>
      <c r="J140" s="59">
        <f t="shared" si="514"/>
        <v>207382.75140000004</v>
      </c>
      <c r="K140" s="55">
        <f t="shared" si="809"/>
        <v>60851.01</v>
      </c>
      <c r="L140" s="59">
        <f t="shared" si="810"/>
        <v>201161.26885800002</v>
      </c>
      <c r="M140" s="55">
        <f t="shared" si="811"/>
        <v>59596.350000000006</v>
      </c>
      <c r="N140" s="59">
        <f t="shared" si="812"/>
        <v>197013.61383000002</v>
      </c>
      <c r="O140" s="55">
        <f t="shared" si="813"/>
        <v>58341.69000000001</v>
      </c>
      <c r="P140" s="59">
        <f t="shared" si="814"/>
        <v>192865.95880200004</v>
      </c>
      <c r="Q140" s="57">
        <f t="shared" si="815"/>
        <v>57087.030000000006</v>
      </c>
      <c r="R140" s="59">
        <f t="shared" si="816"/>
        <v>188718.30377400003</v>
      </c>
      <c r="S140" s="55">
        <f t="shared" si="817"/>
        <v>55832.37000000001</v>
      </c>
      <c r="T140" s="59">
        <f t="shared" si="818"/>
        <v>184570.64874600005</v>
      </c>
      <c r="U140" s="57">
        <f t="shared" si="819"/>
        <v>54577.710000000006</v>
      </c>
      <c r="V140" s="59">
        <f t="shared" si="820"/>
        <v>180422.99371800001</v>
      </c>
      <c r="W140" s="60">
        <f t="shared" si="821"/>
        <v>53323.05</v>
      </c>
      <c r="X140" s="59">
        <f t="shared" si="822"/>
        <v>176275.33869</v>
      </c>
      <c r="Y140" s="57">
        <f t="shared" si="823"/>
        <v>52068.390000000007</v>
      </c>
      <c r="Z140" s="59">
        <f t="shared" si="824"/>
        <v>172127.68366200002</v>
      </c>
      <c r="AA140" s="55">
        <f t="shared" si="825"/>
        <v>50813.73</v>
      </c>
      <c r="AB140" s="59">
        <f t="shared" si="826"/>
        <v>167980.02863400002</v>
      </c>
      <c r="AC140" s="60">
        <f t="shared" si="827"/>
        <v>49559.07</v>
      </c>
      <c r="AD140" s="59">
        <f t="shared" si="828"/>
        <v>163832.37360600001</v>
      </c>
      <c r="AE140" s="60">
        <f t="shared" si="829"/>
        <v>48304.409999999996</v>
      </c>
      <c r="AF140" s="59">
        <f t="shared" si="830"/>
        <v>159684.718578</v>
      </c>
      <c r="AG140" s="60">
        <f t="shared" si="831"/>
        <v>47049.75</v>
      </c>
      <c r="AH140" s="59">
        <f t="shared" si="832"/>
        <v>155537.06354999999</v>
      </c>
      <c r="AI140" s="55">
        <f t="shared" si="833"/>
        <v>45795.09</v>
      </c>
      <c r="AJ140" s="59">
        <f t="shared" si="834"/>
        <v>151389.40852199998</v>
      </c>
      <c r="AK140" s="60">
        <f t="shared" si="835"/>
        <v>44540.429999999993</v>
      </c>
      <c r="AL140" s="59">
        <f t="shared" si="836"/>
        <v>147241.75349399998</v>
      </c>
      <c r="AM140" s="60">
        <f t="shared" si="837"/>
        <v>43285.77</v>
      </c>
      <c r="AN140" s="59">
        <f t="shared" si="838"/>
        <v>143094.098466</v>
      </c>
      <c r="AO140" s="60">
        <f t="shared" si="839"/>
        <v>42031.109999999993</v>
      </c>
      <c r="AP140" s="59">
        <f t="shared" si="840"/>
        <v>138946.44343799999</v>
      </c>
      <c r="AQ140" s="60">
        <f t="shared" si="841"/>
        <v>40776.44999999999</v>
      </c>
      <c r="AR140" s="59">
        <f t="shared" si="842"/>
        <v>134798.78840999998</v>
      </c>
      <c r="AS140" s="55">
        <f t="shared" si="843"/>
        <v>39521.789999999994</v>
      </c>
      <c r="AT140" s="59">
        <f t="shared" si="844"/>
        <v>130651.13338199999</v>
      </c>
      <c r="AU140" s="60">
        <f t="shared" si="845"/>
        <v>38267.12999999999</v>
      </c>
      <c r="AV140" s="59">
        <f t="shared" si="846"/>
        <v>126503.47835399998</v>
      </c>
      <c r="AW140" s="60">
        <f t="shared" si="847"/>
        <v>37012.469999999987</v>
      </c>
      <c r="AX140" s="59">
        <f t="shared" si="848"/>
        <v>122355.82332599995</v>
      </c>
      <c r="AY140" s="55">
        <f t="shared" si="849"/>
        <v>35757.80999999999</v>
      </c>
      <c r="AZ140" s="59">
        <f t="shared" si="850"/>
        <v>118208.16829799998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51"/>
        <v>0.91</v>
      </c>
      <c r="BH140" s="55">
        <f t="shared" si="851"/>
        <v>0.89</v>
      </c>
      <c r="BI140" s="55">
        <f t="shared" si="851"/>
        <v>0.87</v>
      </c>
      <c r="BJ140" s="55">
        <f t="shared" si="851"/>
        <v>0.85</v>
      </c>
      <c r="BK140" s="55">
        <f t="shared" si="851"/>
        <v>0.83</v>
      </c>
      <c r="BL140" s="55">
        <f t="shared" si="851"/>
        <v>0.80999999999999994</v>
      </c>
      <c r="BM140" s="55">
        <f t="shared" si="851"/>
        <v>0.78999999999999992</v>
      </c>
      <c r="BN140" s="55">
        <f t="shared" si="851"/>
        <v>0.76999999999999991</v>
      </c>
      <c r="BO140" s="55">
        <f t="shared" si="851"/>
        <v>0.74999999999999989</v>
      </c>
      <c r="BP140" s="55">
        <f t="shared" si="851"/>
        <v>0.72999999999999987</v>
      </c>
      <c r="BQ140" s="55">
        <f t="shared" si="851"/>
        <v>0.70999999999999985</v>
      </c>
      <c r="BR140" s="55">
        <f t="shared" si="851"/>
        <v>0.68999999999999984</v>
      </c>
      <c r="BS140" s="55">
        <f t="shared" si="851"/>
        <v>0.66999999999999982</v>
      </c>
      <c r="BT140" s="55">
        <f t="shared" si="851"/>
        <v>0.6499999999999998</v>
      </c>
      <c r="BU140" s="55">
        <f t="shared" si="851"/>
        <v>0.62999999999999978</v>
      </c>
      <c r="BV140" s="55">
        <f t="shared" si="851"/>
        <v>0.60999999999999976</v>
      </c>
      <c r="BW140" s="55">
        <f t="shared" si="851"/>
        <v>0.58999999999999975</v>
      </c>
      <c r="BX140" s="55">
        <f t="shared" si="851"/>
        <v>0.56999999999999973</v>
      </c>
      <c r="BZ140" s="55">
        <f t="shared" si="515"/>
        <v>57087.030000000006</v>
      </c>
      <c r="CA140" s="55">
        <f t="shared" si="516"/>
        <v>57087.030000000006</v>
      </c>
      <c r="CB140" s="59">
        <f t="shared" si="852"/>
        <v>188718.30377400003</v>
      </c>
      <c r="CC140" s="55">
        <f t="shared" si="853"/>
        <v>55374.419100000006</v>
      </c>
      <c r="CD140" s="59">
        <f t="shared" si="854"/>
        <v>183056.75466078002</v>
      </c>
      <c r="CE140" s="55">
        <f t="shared" si="855"/>
        <v>54232.678500000002</v>
      </c>
      <c r="CF140" s="59">
        <f t="shared" si="856"/>
        <v>179282.38858530001</v>
      </c>
      <c r="CG140" s="55">
        <f t="shared" si="857"/>
        <v>53090.937900000012</v>
      </c>
      <c r="CH140" s="59">
        <f t="shared" si="858"/>
        <v>175508.02250982003</v>
      </c>
      <c r="CI140" s="57">
        <f t="shared" si="859"/>
        <v>51949.197300000007</v>
      </c>
      <c r="CJ140" s="59">
        <f t="shared" si="860"/>
        <v>171733.65643434002</v>
      </c>
      <c r="CK140" s="55">
        <f t="shared" si="861"/>
        <v>50807.45670000001</v>
      </c>
      <c r="CL140" s="59">
        <f t="shared" si="862"/>
        <v>167959.29035886005</v>
      </c>
      <c r="CM140" s="57">
        <f t="shared" si="863"/>
        <v>49665.716100000005</v>
      </c>
      <c r="CN140" s="59">
        <f t="shared" si="864"/>
        <v>164184.92428338001</v>
      </c>
      <c r="CO140" s="60">
        <f t="shared" si="865"/>
        <v>48523.9755</v>
      </c>
      <c r="CP140" s="59">
        <f t="shared" si="866"/>
        <v>160410.5582079</v>
      </c>
      <c r="CQ140" s="57">
        <f t="shared" si="867"/>
        <v>47382.234900000003</v>
      </c>
      <c r="CR140" s="59">
        <f t="shared" si="868"/>
        <v>156636.19213242002</v>
      </c>
      <c r="CS140" s="55">
        <f t="shared" si="869"/>
        <v>46240.494299999998</v>
      </c>
      <c r="CT140" s="59">
        <f t="shared" si="870"/>
        <v>152861.82605693999</v>
      </c>
      <c r="CU140" s="60">
        <f t="shared" si="871"/>
        <v>45098.753700000001</v>
      </c>
      <c r="CV140" s="59">
        <f t="shared" si="872"/>
        <v>149087.45998146001</v>
      </c>
      <c r="CW140" s="60">
        <f t="shared" si="873"/>
        <v>43957.013099999996</v>
      </c>
      <c r="CX140" s="59">
        <f t="shared" si="874"/>
        <v>145313.09390598</v>
      </c>
      <c r="CY140" s="60">
        <f t="shared" si="875"/>
        <v>42815.272499999999</v>
      </c>
      <c r="CZ140" s="59">
        <f t="shared" si="876"/>
        <v>141538.72783049999</v>
      </c>
      <c r="DA140" s="55">
        <f t="shared" si="877"/>
        <v>41673.531899999994</v>
      </c>
      <c r="DB140" s="59">
        <f t="shared" si="878"/>
        <v>137764.36175501999</v>
      </c>
      <c r="DC140" s="60">
        <f t="shared" si="879"/>
        <v>40531.791299999997</v>
      </c>
      <c r="DD140" s="59">
        <f t="shared" si="880"/>
        <v>133989.99567954001</v>
      </c>
      <c r="DE140" s="60">
        <f t="shared" si="881"/>
        <v>39390.050699999993</v>
      </c>
      <c r="DF140" s="59">
        <f t="shared" si="882"/>
        <v>130215.62960405998</v>
      </c>
      <c r="DG140" s="60">
        <f t="shared" si="883"/>
        <v>38248.310099999995</v>
      </c>
      <c r="DH140" s="59">
        <f t="shared" si="884"/>
        <v>126441.26352857999</v>
      </c>
      <c r="DI140" s="60">
        <f t="shared" si="885"/>
        <v>37106.569499999991</v>
      </c>
      <c r="DJ140" s="59">
        <f t="shared" si="886"/>
        <v>122666.89745309997</v>
      </c>
      <c r="DK140" s="55">
        <f t="shared" si="887"/>
        <v>35964.828899999993</v>
      </c>
      <c r="DL140" s="59">
        <f t="shared" si="888"/>
        <v>118892.53137761998</v>
      </c>
      <c r="DM140" s="60">
        <f t="shared" si="889"/>
        <v>34823.088299999989</v>
      </c>
      <c r="DN140" s="59">
        <f t="shared" si="890"/>
        <v>115118.16530213997</v>
      </c>
      <c r="DO140" s="60">
        <f t="shared" si="891"/>
        <v>33681.347699999991</v>
      </c>
      <c r="DP140" s="59">
        <f t="shared" si="892"/>
        <v>111343.79922665998</v>
      </c>
      <c r="DQ140" s="55">
        <f t="shared" si="893"/>
        <v>32539.607099999987</v>
      </c>
      <c r="DR140" s="59">
        <f t="shared" si="894"/>
        <v>107569.43315117995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40"/>
        <v>0.91</v>
      </c>
      <c r="DZ140" s="55">
        <f t="shared" si="940"/>
        <v>0.89</v>
      </c>
      <c r="EA140" s="55">
        <f t="shared" si="940"/>
        <v>0.87</v>
      </c>
      <c r="EB140" s="55">
        <f t="shared" si="940"/>
        <v>0.85</v>
      </c>
      <c r="EC140" s="55">
        <f t="shared" si="940"/>
        <v>0.83</v>
      </c>
      <c r="ED140" s="55">
        <f t="shared" si="940"/>
        <v>0.80999999999999994</v>
      </c>
      <c r="EE140" s="55">
        <f t="shared" si="940"/>
        <v>0.78999999999999992</v>
      </c>
      <c r="EF140" s="55">
        <f t="shared" si="940"/>
        <v>0.76999999999999991</v>
      </c>
      <c r="EG140" s="55">
        <f t="shared" si="940"/>
        <v>0.74999999999999989</v>
      </c>
      <c r="EH140" s="55">
        <f t="shared" si="940"/>
        <v>0.72999999999999987</v>
      </c>
      <c r="EI140" s="55">
        <f t="shared" si="940"/>
        <v>0.70999999999999985</v>
      </c>
      <c r="EJ140" s="55">
        <f t="shared" si="940"/>
        <v>0.68999999999999984</v>
      </c>
      <c r="EK140" s="55">
        <f t="shared" si="940"/>
        <v>0.66999999999999982</v>
      </c>
      <c r="EL140" s="55">
        <f t="shared" si="940"/>
        <v>0.6499999999999998</v>
      </c>
      <c r="EM140" s="55">
        <f t="shared" si="940"/>
        <v>0.62999999999999978</v>
      </c>
      <c r="EN140" s="55">
        <f t="shared" si="940"/>
        <v>0.60999999999999976</v>
      </c>
      <c r="EO140" s="55">
        <f t="shared" si="940"/>
        <v>0.58999999999999975</v>
      </c>
      <c r="EP140" s="55">
        <f t="shared" si="940"/>
        <v>0.56999999999999973</v>
      </c>
      <c r="ER140" s="55">
        <f t="shared" si="656"/>
        <v>51949.197300000007</v>
      </c>
      <c r="ES140" s="55">
        <f t="shared" si="517"/>
        <v>51949.197300000007</v>
      </c>
      <c r="ET140" s="59">
        <f t="shared" si="895"/>
        <v>171733.65643434002</v>
      </c>
      <c r="EU140" s="55">
        <f t="shared" si="896"/>
        <v>50390.721381000003</v>
      </c>
      <c r="EV140" s="59">
        <f t="shared" si="897"/>
        <v>166581.64674130981</v>
      </c>
      <c r="EW140" s="55">
        <f t="shared" si="898"/>
        <v>49351.737435000003</v>
      </c>
      <c r="EX140" s="59">
        <f t="shared" si="899"/>
        <v>163146.973612623</v>
      </c>
      <c r="EY140" s="55">
        <f t="shared" si="900"/>
        <v>48312.75348900001</v>
      </c>
      <c r="EZ140" s="59">
        <f t="shared" si="901"/>
        <v>159712.30048393624</v>
      </c>
      <c r="FA140" s="57">
        <f t="shared" si="902"/>
        <v>47273.769543000009</v>
      </c>
      <c r="FB140" s="59">
        <f t="shared" si="903"/>
        <v>156277.62735524942</v>
      </c>
      <c r="FC140" s="55">
        <f t="shared" si="904"/>
        <v>46234.785597000009</v>
      </c>
      <c r="FD140" s="59">
        <f t="shared" si="905"/>
        <v>152842.95422656264</v>
      </c>
      <c r="FE140" s="57">
        <f t="shared" si="906"/>
        <v>45195.801651000009</v>
      </c>
      <c r="FF140" s="59">
        <f t="shared" si="907"/>
        <v>149408.28109787582</v>
      </c>
      <c r="FG140" s="60">
        <f t="shared" si="908"/>
        <v>44156.817705000001</v>
      </c>
      <c r="FH140" s="59">
        <f t="shared" si="909"/>
        <v>145973.607969189</v>
      </c>
      <c r="FI140" s="57">
        <f t="shared" si="910"/>
        <v>43117.833759000001</v>
      </c>
      <c r="FJ140" s="59">
        <f t="shared" si="911"/>
        <v>142538.93484050222</v>
      </c>
      <c r="FK140" s="55">
        <f t="shared" si="912"/>
        <v>42078.849813000001</v>
      </c>
      <c r="FL140" s="59">
        <f t="shared" si="913"/>
        <v>139104.2617118154</v>
      </c>
      <c r="FM140" s="60">
        <f t="shared" si="914"/>
        <v>41039.865867</v>
      </c>
      <c r="FN140" s="59">
        <f t="shared" si="915"/>
        <v>135669.58858312861</v>
      </c>
      <c r="FO140" s="60">
        <f t="shared" si="916"/>
        <v>40000.881921</v>
      </c>
      <c r="FP140" s="59">
        <f t="shared" si="917"/>
        <v>132234.9154544418</v>
      </c>
      <c r="FQ140" s="60">
        <f t="shared" si="918"/>
        <v>38961.897975</v>
      </c>
      <c r="FR140" s="59">
        <f t="shared" si="919"/>
        <v>128800.242325755</v>
      </c>
      <c r="FS140" s="55">
        <f t="shared" si="920"/>
        <v>37922.914029</v>
      </c>
      <c r="FT140" s="59">
        <f t="shared" si="921"/>
        <v>125365.56919706819</v>
      </c>
      <c r="FU140" s="60">
        <f t="shared" si="922"/>
        <v>36883.930082999999</v>
      </c>
      <c r="FV140" s="59">
        <f t="shared" si="923"/>
        <v>121930.89606838141</v>
      </c>
      <c r="FW140" s="60">
        <f t="shared" si="924"/>
        <v>35844.946136999999</v>
      </c>
      <c r="FX140" s="59">
        <f t="shared" si="925"/>
        <v>118496.22293969461</v>
      </c>
      <c r="FY140" s="60">
        <f t="shared" si="926"/>
        <v>34805.962190999999</v>
      </c>
      <c r="FZ140" s="59">
        <f t="shared" si="927"/>
        <v>115061.5498110078</v>
      </c>
      <c r="GA140" s="60">
        <f t="shared" si="928"/>
        <v>33766.978244999991</v>
      </c>
      <c r="GB140" s="59">
        <f t="shared" si="929"/>
        <v>111626.87668232097</v>
      </c>
      <c r="GC140" s="55">
        <f t="shared" si="930"/>
        <v>32727.994298999994</v>
      </c>
      <c r="GD140" s="59">
        <f t="shared" si="931"/>
        <v>108192.20355363419</v>
      </c>
      <c r="GE140" s="60">
        <f t="shared" si="932"/>
        <v>31689.010352999991</v>
      </c>
      <c r="GF140" s="59">
        <f t="shared" si="933"/>
        <v>104757.53042494737</v>
      </c>
      <c r="GG140" s="60">
        <f t="shared" si="934"/>
        <v>30650.02640699999</v>
      </c>
      <c r="GH140" s="59">
        <f t="shared" si="935"/>
        <v>101322.85729626057</v>
      </c>
      <c r="GI140" s="55">
        <f t="shared" si="936"/>
        <v>29611.04246099999</v>
      </c>
      <c r="GJ140" s="59">
        <f t="shared" si="937"/>
        <v>97888.184167573767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41"/>
        <v>0.91</v>
      </c>
      <c r="GR140" s="55">
        <f t="shared" si="941"/>
        <v>0.89</v>
      </c>
      <c r="GS140" s="55">
        <f t="shared" si="941"/>
        <v>0.87</v>
      </c>
      <c r="GT140" s="55">
        <f t="shared" si="941"/>
        <v>0.85</v>
      </c>
      <c r="GU140" s="55">
        <f t="shared" si="941"/>
        <v>0.83</v>
      </c>
      <c r="GV140" s="55">
        <f t="shared" si="941"/>
        <v>0.80999999999999994</v>
      </c>
      <c r="GW140" s="55">
        <f t="shared" si="941"/>
        <v>0.78999999999999992</v>
      </c>
      <c r="GX140" s="55">
        <f t="shared" si="941"/>
        <v>0.76999999999999991</v>
      </c>
      <c r="GY140" s="55">
        <f t="shared" si="941"/>
        <v>0.74999999999999989</v>
      </c>
      <c r="GZ140" s="55">
        <f t="shared" si="941"/>
        <v>0.72999999999999987</v>
      </c>
      <c r="HA140" s="55">
        <f t="shared" si="941"/>
        <v>0.70999999999999985</v>
      </c>
      <c r="HB140" s="55">
        <f t="shared" si="941"/>
        <v>0.68999999999999984</v>
      </c>
      <c r="HC140" s="55">
        <f t="shared" si="941"/>
        <v>0.66999999999999982</v>
      </c>
      <c r="HD140" s="55">
        <f t="shared" si="941"/>
        <v>0.6499999999999998</v>
      </c>
      <c r="HE140" s="55">
        <f t="shared" si="941"/>
        <v>0.62999999999999978</v>
      </c>
      <c r="HF140" s="55">
        <f t="shared" si="941"/>
        <v>0.60999999999999976</v>
      </c>
      <c r="HG140" s="55">
        <f t="shared" si="941"/>
        <v>0.58999999999999975</v>
      </c>
      <c r="HH140" s="55">
        <f t="shared" si="94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4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43">+DW141-0.02</f>
        <v>0.91</v>
      </c>
      <c r="DY141" s="61">
        <f t="shared" si="943"/>
        <v>0.89</v>
      </c>
      <c r="DZ141" s="61">
        <f t="shared" si="943"/>
        <v>0.87</v>
      </c>
      <c r="EA141" s="61">
        <f t="shared" si="943"/>
        <v>0.85</v>
      </c>
      <c r="EB141" s="61">
        <f t="shared" si="943"/>
        <v>0.83</v>
      </c>
      <c r="EC141" s="61">
        <f t="shared" si="943"/>
        <v>0.80999999999999994</v>
      </c>
      <c r="ED141" s="61">
        <f t="shared" si="943"/>
        <v>0.78999999999999992</v>
      </c>
      <c r="EE141" s="61">
        <f t="shared" si="943"/>
        <v>0.76999999999999991</v>
      </c>
      <c r="EF141" s="61">
        <f t="shared" si="943"/>
        <v>0.74999999999999989</v>
      </c>
      <c r="EG141" s="61">
        <f t="shared" si="943"/>
        <v>0.72999999999999987</v>
      </c>
      <c r="EH141" s="61">
        <f t="shared" si="943"/>
        <v>0.70999999999999985</v>
      </c>
      <c r="EI141" s="61">
        <f t="shared" si="943"/>
        <v>0.68999999999999984</v>
      </c>
      <c r="EJ141" s="61">
        <f t="shared" si="943"/>
        <v>0.66999999999999982</v>
      </c>
      <c r="EK141" s="61">
        <f t="shared" si="943"/>
        <v>0.6499999999999998</v>
      </c>
      <c r="EL141" s="61">
        <f t="shared" si="943"/>
        <v>0.62999999999999978</v>
      </c>
      <c r="EM141" s="61">
        <f t="shared" si="943"/>
        <v>0.60999999999999976</v>
      </c>
      <c r="EN141" s="61">
        <f t="shared" si="943"/>
        <v>0.58999999999999975</v>
      </c>
      <c r="EO141" s="61">
        <f t="shared" si="943"/>
        <v>0.56999999999999973</v>
      </c>
      <c r="EQ141" s="61">
        <f t="shared" ref="EQ141:EQ142" si="94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45">+GO141-0.02</f>
        <v>0.91</v>
      </c>
      <c r="GQ141" s="61">
        <f t="shared" si="945"/>
        <v>0.89</v>
      </c>
      <c r="GR141" s="61">
        <f t="shared" si="945"/>
        <v>0.87</v>
      </c>
      <c r="GS141" s="61">
        <f t="shared" si="945"/>
        <v>0.85</v>
      </c>
      <c r="GT141" s="61">
        <f t="shared" si="945"/>
        <v>0.83</v>
      </c>
      <c r="GU141" s="61">
        <f t="shared" si="945"/>
        <v>0.80999999999999994</v>
      </c>
      <c r="GV141" s="61">
        <f t="shared" si="945"/>
        <v>0.78999999999999992</v>
      </c>
      <c r="GW141" s="61">
        <f t="shared" si="945"/>
        <v>0.76999999999999991</v>
      </c>
      <c r="GX141" s="61">
        <f t="shared" si="945"/>
        <v>0.74999999999999989</v>
      </c>
      <c r="GY141" s="61">
        <f t="shared" si="945"/>
        <v>0.72999999999999987</v>
      </c>
      <c r="GZ141" s="61">
        <f t="shared" si="945"/>
        <v>0.70999999999999985</v>
      </c>
      <c r="HA141" s="61">
        <f t="shared" si="945"/>
        <v>0.68999999999999984</v>
      </c>
      <c r="HB141" s="61">
        <f t="shared" si="945"/>
        <v>0.66999999999999982</v>
      </c>
      <c r="HC141" s="61">
        <f t="shared" si="945"/>
        <v>0.6499999999999998</v>
      </c>
      <c r="HD141" s="61">
        <f t="shared" si="945"/>
        <v>0.62999999999999978</v>
      </c>
      <c r="HE141" s="61">
        <f t="shared" si="945"/>
        <v>0.60999999999999976</v>
      </c>
      <c r="HF141" s="61">
        <f t="shared" si="945"/>
        <v>0.58999999999999975</v>
      </c>
      <c r="HG141" s="61">
        <f t="shared" si="945"/>
        <v>0.56999999999999973</v>
      </c>
    </row>
    <row r="142" spans="1:216" s="64" customFormat="1" ht="17.25" thickBot="1" x14ac:dyDescent="0.35">
      <c r="B142" s="64" t="s">
        <v>301</v>
      </c>
      <c r="C142" s="64" t="s">
        <v>297</v>
      </c>
      <c r="D142" s="65" t="s">
        <v>271</v>
      </c>
      <c r="E142" s="65" t="s">
        <v>154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4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43"/>
        <v>0.91</v>
      </c>
      <c r="DY142" s="61">
        <f t="shared" si="943"/>
        <v>0.89</v>
      </c>
      <c r="DZ142" s="61">
        <f t="shared" si="943"/>
        <v>0.87</v>
      </c>
      <c r="EA142" s="61">
        <f t="shared" si="943"/>
        <v>0.85</v>
      </c>
      <c r="EB142" s="61">
        <f t="shared" si="943"/>
        <v>0.83</v>
      </c>
      <c r="EC142" s="61">
        <f t="shared" si="943"/>
        <v>0.80999999999999994</v>
      </c>
      <c r="ED142" s="61">
        <f t="shared" si="943"/>
        <v>0.78999999999999992</v>
      </c>
      <c r="EE142" s="61">
        <f t="shared" si="943"/>
        <v>0.76999999999999991</v>
      </c>
      <c r="EF142" s="61">
        <f t="shared" si="943"/>
        <v>0.74999999999999989</v>
      </c>
      <c r="EG142" s="61">
        <f t="shared" si="943"/>
        <v>0.72999999999999987</v>
      </c>
      <c r="EH142" s="61">
        <f t="shared" si="943"/>
        <v>0.70999999999999985</v>
      </c>
      <c r="EI142" s="61">
        <f t="shared" si="943"/>
        <v>0.68999999999999984</v>
      </c>
      <c r="EJ142" s="61">
        <f t="shared" si="943"/>
        <v>0.66999999999999982</v>
      </c>
      <c r="EK142" s="61">
        <f t="shared" si="943"/>
        <v>0.6499999999999998</v>
      </c>
      <c r="EL142" s="61">
        <f t="shared" si="943"/>
        <v>0.62999999999999978</v>
      </c>
      <c r="EM142" s="61">
        <f t="shared" si="943"/>
        <v>0.60999999999999976</v>
      </c>
      <c r="EN142" s="61">
        <f t="shared" si="943"/>
        <v>0.58999999999999975</v>
      </c>
      <c r="EO142" s="61">
        <f t="shared" si="943"/>
        <v>0.56999999999999973</v>
      </c>
      <c r="EQ142" s="61">
        <f t="shared" si="94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45"/>
        <v>0.91</v>
      </c>
      <c r="GQ142" s="61">
        <f t="shared" si="945"/>
        <v>0.89</v>
      </c>
      <c r="GR142" s="61">
        <f t="shared" si="945"/>
        <v>0.87</v>
      </c>
      <c r="GS142" s="61">
        <f t="shared" si="945"/>
        <v>0.85</v>
      </c>
      <c r="GT142" s="61">
        <f t="shared" si="945"/>
        <v>0.83</v>
      </c>
      <c r="GU142" s="61">
        <f t="shared" si="945"/>
        <v>0.80999999999999994</v>
      </c>
      <c r="GV142" s="61">
        <f t="shared" si="945"/>
        <v>0.78999999999999992</v>
      </c>
      <c r="GW142" s="61">
        <f t="shared" si="945"/>
        <v>0.76999999999999991</v>
      </c>
      <c r="GX142" s="61">
        <f t="shared" si="945"/>
        <v>0.74999999999999989</v>
      </c>
      <c r="GY142" s="61">
        <f t="shared" si="945"/>
        <v>0.72999999999999987</v>
      </c>
      <c r="GZ142" s="61">
        <f t="shared" si="945"/>
        <v>0.70999999999999985</v>
      </c>
      <c r="HA142" s="61">
        <f t="shared" si="945"/>
        <v>0.68999999999999984</v>
      </c>
      <c r="HB142" s="61">
        <f t="shared" si="945"/>
        <v>0.66999999999999982</v>
      </c>
      <c r="HC142" s="61">
        <f t="shared" si="945"/>
        <v>0.6499999999999998</v>
      </c>
      <c r="HD142" s="61">
        <f t="shared" si="945"/>
        <v>0.62999999999999978</v>
      </c>
      <c r="HE142" s="61">
        <f t="shared" si="945"/>
        <v>0.60999999999999976</v>
      </c>
      <c r="HF142" s="61">
        <f t="shared" si="945"/>
        <v>0.58999999999999975</v>
      </c>
      <c r="HG142" s="61">
        <f t="shared" si="945"/>
        <v>0.56999999999999973</v>
      </c>
    </row>
    <row r="143" spans="1:216" x14ac:dyDescent="0.3">
      <c r="A143" s="2">
        <v>1</v>
      </c>
      <c r="C143" s="38" t="s">
        <v>48</v>
      </c>
      <c r="D143" s="40">
        <f>TRUNC(5170+2332,-1)</f>
        <v>7500</v>
      </c>
      <c r="E143" s="70">
        <f>TRUNC(+D143*3.3058,-1)</f>
        <v>24790</v>
      </c>
      <c r="H143" s="55">
        <f t="shared" ref="H143:H148" si="946">+D143*1.1</f>
        <v>8250</v>
      </c>
      <c r="I143" s="55">
        <f t="shared" si="513"/>
        <v>8250</v>
      </c>
      <c r="J143" s="59">
        <f t="shared" si="514"/>
        <v>27272.850000000002</v>
      </c>
      <c r="K143" s="55">
        <f t="shared" ref="K143:K148" si="947">+I143*BD143</f>
        <v>8002.5</v>
      </c>
      <c r="L143" s="59">
        <f t="shared" ref="L143:L148" si="948">+K143*3.3058</f>
        <v>26454.664499999999</v>
      </c>
      <c r="M143" s="55">
        <f t="shared" ref="M143:M148" si="949">+I143*BE143</f>
        <v>7837.5</v>
      </c>
      <c r="N143" s="59">
        <f t="shared" ref="N143:N148" si="950">+M143*3.3058</f>
        <v>25909.2075</v>
      </c>
      <c r="O143" s="55">
        <f t="shared" ref="O143:O148" si="951">+I143*BF143</f>
        <v>7672.5</v>
      </c>
      <c r="P143" s="59">
        <f t="shared" ref="P143:P148" si="952">+O143*3.3058</f>
        <v>25363.750500000002</v>
      </c>
      <c r="Q143" s="57">
        <f t="shared" ref="Q143:Q148" si="953">+I143*BG143</f>
        <v>7507.5</v>
      </c>
      <c r="R143" s="59">
        <f t="shared" ref="R143:R148" si="954">+Q143*3.3058</f>
        <v>24818.2935</v>
      </c>
      <c r="S143" s="55">
        <f t="shared" ref="S143:S148" si="955">+I143*BH143</f>
        <v>7342.5</v>
      </c>
      <c r="T143" s="59">
        <f t="shared" ref="T143:T148" si="956">+S143*3.3058</f>
        <v>24272.836500000001</v>
      </c>
      <c r="U143" s="57">
        <f t="shared" ref="U143:U148" si="957">+I143*BI143</f>
        <v>7177.5</v>
      </c>
      <c r="V143" s="59">
        <f t="shared" ref="V143:V148" si="958">+U143*3.3058</f>
        <v>23727.379499999999</v>
      </c>
      <c r="W143" s="60">
        <f t="shared" ref="W143:W148" si="959">+I143*BJ143</f>
        <v>7012.5</v>
      </c>
      <c r="X143" s="59">
        <f t="shared" ref="X143:X148" si="960">+W143*3.3058</f>
        <v>23181.922500000001</v>
      </c>
      <c r="Y143" s="57">
        <f t="shared" ref="Y143:Y148" si="961">+I143*BK143</f>
        <v>6847.5</v>
      </c>
      <c r="Z143" s="59">
        <f t="shared" ref="Z143:Z148" si="962">+Y143*3.3058</f>
        <v>22636.465500000002</v>
      </c>
      <c r="AA143" s="55">
        <f t="shared" ref="AA143:AA148" si="963">+I143*BL143</f>
        <v>6682.4999999999991</v>
      </c>
      <c r="AB143" s="59">
        <f t="shared" ref="AB143:AB148" si="964">+AA143*3.3058</f>
        <v>22091.008499999996</v>
      </c>
      <c r="AC143" s="60">
        <f t="shared" ref="AC143:AC148" si="965">+I143*BM143</f>
        <v>6517.4999999999991</v>
      </c>
      <c r="AD143" s="59">
        <f t="shared" ref="AD143:AD148" si="966">+AC143*3.3058</f>
        <v>21545.551499999998</v>
      </c>
      <c r="AE143" s="60">
        <f t="shared" ref="AE143:AE148" si="967">+I143*BN143</f>
        <v>6352.4999999999991</v>
      </c>
      <c r="AF143" s="59">
        <f t="shared" ref="AF143:AF148" si="968">+AE143*3.3058</f>
        <v>21000.094499999999</v>
      </c>
      <c r="AG143" s="60">
        <f t="shared" ref="AG143:AG148" si="969">+I143*BO143</f>
        <v>6187.4999999999991</v>
      </c>
      <c r="AH143" s="59">
        <f t="shared" ref="AH143:AH148" si="970">+AG143*3.3058</f>
        <v>20454.637499999997</v>
      </c>
      <c r="AI143" s="55">
        <f t="shared" ref="AI143:AI148" si="971">+I143*BP143</f>
        <v>6022.4999999999991</v>
      </c>
      <c r="AJ143" s="59">
        <f t="shared" ref="AJ143:AJ148" si="972">+AI143*3.3058</f>
        <v>19909.180499999999</v>
      </c>
      <c r="AK143" s="60">
        <f t="shared" ref="AK143:AK148" si="973">+I143*BQ143</f>
        <v>5857.4999999999991</v>
      </c>
      <c r="AL143" s="59">
        <f t="shared" ref="AL143:AL148" si="974">+AK143*3.3058</f>
        <v>19363.723499999996</v>
      </c>
      <c r="AM143" s="60">
        <f t="shared" ref="AM143:AM148" si="975">+I143*BR143</f>
        <v>5692.4999999999991</v>
      </c>
      <c r="AN143" s="59">
        <f t="shared" ref="AN143:AN148" si="976">+AM143*3.3058</f>
        <v>18818.266499999998</v>
      </c>
      <c r="AO143" s="60">
        <f t="shared" ref="AO143:AO148" si="977">+I143*BS143</f>
        <v>5527.4999999999982</v>
      </c>
      <c r="AP143" s="59">
        <f t="shared" ref="AP143:AP148" si="978">+AO143*3.3058</f>
        <v>18272.809499999996</v>
      </c>
      <c r="AQ143" s="60">
        <f t="shared" ref="AQ143:AQ148" si="979">+I143*BT143</f>
        <v>5362.4999999999982</v>
      </c>
      <c r="AR143" s="59">
        <f t="shared" ref="AR143:AR148" si="980">+AQ143*3.3058</f>
        <v>17727.352499999994</v>
      </c>
      <c r="AS143" s="55">
        <f t="shared" ref="AS143:AS148" si="981">+I143*BU143</f>
        <v>5197.4999999999982</v>
      </c>
      <c r="AT143" s="59">
        <f t="shared" ref="AT143:AT148" si="982">+AS143*3.3058</f>
        <v>17181.895499999995</v>
      </c>
      <c r="AU143" s="60">
        <f t="shared" ref="AU143:AU148" si="983">+I143*BV143</f>
        <v>5032.4999999999982</v>
      </c>
      <c r="AV143" s="59">
        <f t="shared" ref="AV143:AV148" si="984">+AU143*3.3058</f>
        <v>16636.438499999993</v>
      </c>
      <c r="AW143" s="60">
        <f t="shared" ref="AW143:AW148" si="985">+I143*BW143</f>
        <v>4867.4999999999982</v>
      </c>
      <c r="AX143" s="59">
        <f t="shared" ref="AX143:AX148" si="986">+AW143*3.3058</f>
        <v>16090.981499999994</v>
      </c>
      <c r="AY143" s="55">
        <f t="shared" ref="AY143:AY148" si="987">+I143*BX143</f>
        <v>4702.4999999999982</v>
      </c>
      <c r="AZ143" s="59">
        <f t="shared" ref="AZ143:AZ148" si="988">+AY143*3.3058</f>
        <v>15545.524499999994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89">+BF143-0.02</f>
        <v>0.91</v>
      </c>
      <c r="BH143" s="55">
        <f t="shared" si="989"/>
        <v>0.89</v>
      </c>
      <c r="BI143" s="55">
        <f t="shared" si="989"/>
        <v>0.87</v>
      </c>
      <c r="BJ143" s="55">
        <f t="shared" si="989"/>
        <v>0.85</v>
      </c>
      <c r="BK143" s="55">
        <f t="shared" si="989"/>
        <v>0.83</v>
      </c>
      <c r="BL143" s="55">
        <f t="shared" si="989"/>
        <v>0.80999999999999994</v>
      </c>
      <c r="BM143" s="55">
        <f t="shared" si="989"/>
        <v>0.78999999999999992</v>
      </c>
      <c r="BN143" s="55">
        <f t="shared" si="989"/>
        <v>0.76999999999999991</v>
      </c>
      <c r="BO143" s="55">
        <f t="shared" si="989"/>
        <v>0.74999999999999989</v>
      </c>
      <c r="BP143" s="55">
        <f t="shared" si="989"/>
        <v>0.72999999999999987</v>
      </c>
      <c r="BQ143" s="55">
        <f t="shared" si="989"/>
        <v>0.70999999999999985</v>
      </c>
      <c r="BR143" s="55">
        <f t="shared" si="989"/>
        <v>0.68999999999999984</v>
      </c>
      <c r="BS143" s="55">
        <f t="shared" si="989"/>
        <v>0.66999999999999982</v>
      </c>
      <c r="BT143" s="55">
        <f t="shared" si="989"/>
        <v>0.6499999999999998</v>
      </c>
      <c r="BU143" s="55">
        <f t="shared" si="989"/>
        <v>0.62999999999999978</v>
      </c>
      <c r="BV143" s="55">
        <f t="shared" si="989"/>
        <v>0.60999999999999976</v>
      </c>
      <c r="BW143" s="55">
        <f t="shared" si="989"/>
        <v>0.58999999999999975</v>
      </c>
      <c r="BX143" s="55">
        <f t="shared" si="989"/>
        <v>0.56999999999999973</v>
      </c>
      <c r="BZ143" s="55">
        <f t="shared" si="515"/>
        <v>7507.5</v>
      </c>
      <c r="CA143" s="55">
        <f t="shared" si="516"/>
        <v>7507.5</v>
      </c>
      <c r="CB143" s="59">
        <f t="shared" ref="CB143:CB148" si="990">+CA143*3.3058</f>
        <v>24818.2935</v>
      </c>
      <c r="CC143" s="55">
        <f t="shared" ref="CC143:CC148" si="991">+CA143*DV143</f>
        <v>7282.2749999999996</v>
      </c>
      <c r="CD143" s="59">
        <f t="shared" ref="CD143:CD148" si="992">+CC143*3.3058</f>
        <v>24073.744694999998</v>
      </c>
      <c r="CE143" s="55">
        <f t="shared" ref="CE143:CE148" si="993">+CA143*DW143</f>
        <v>7132.125</v>
      </c>
      <c r="CF143" s="59">
        <f t="shared" ref="CF143:CF148" si="994">+CE143*3.3058</f>
        <v>23577.378825</v>
      </c>
      <c r="CG143" s="55">
        <f t="shared" ref="CG143:CG148" si="995">+CA143*DX143</f>
        <v>6981.9750000000004</v>
      </c>
      <c r="CH143" s="59">
        <f t="shared" ref="CH143:CH148" si="996">+CG143*3.3058</f>
        <v>23081.012955000002</v>
      </c>
      <c r="CI143" s="57">
        <f t="shared" ref="CI143:CI148" si="997">+CA143*DY143</f>
        <v>6831.8249999999998</v>
      </c>
      <c r="CJ143" s="59">
        <f t="shared" ref="CJ143:CJ148" si="998">+CI143*3.3058</f>
        <v>22584.647085000001</v>
      </c>
      <c r="CK143" s="55">
        <f t="shared" ref="CK143:CK148" si="999">+CA143*DZ143</f>
        <v>6681.6750000000002</v>
      </c>
      <c r="CL143" s="59">
        <f t="shared" ref="CL143:CL148" si="1000">+CK143*3.3058</f>
        <v>22088.281215000003</v>
      </c>
      <c r="CM143" s="57">
        <f t="shared" ref="CM143:CM148" si="1001">+CA143*EA143</f>
        <v>6531.5249999999996</v>
      </c>
      <c r="CN143" s="59">
        <f t="shared" ref="CN143:CN148" si="1002">+CM143*3.3058</f>
        <v>21591.915344999998</v>
      </c>
      <c r="CO143" s="60">
        <f t="shared" ref="CO143:CO148" si="1003">+CA143*EB143</f>
        <v>6381.375</v>
      </c>
      <c r="CP143" s="59">
        <f t="shared" ref="CP143:CP148" si="1004">+CO143*3.3058</f>
        <v>21095.549475</v>
      </c>
      <c r="CQ143" s="57">
        <f t="shared" ref="CQ143:CQ148" si="1005">+CA143*EC143</f>
        <v>6231.2249999999995</v>
      </c>
      <c r="CR143" s="59">
        <f t="shared" ref="CR143:CR148" si="1006">+CQ143*3.3058</f>
        <v>20599.183604999998</v>
      </c>
      <c r="CS143" s="55">
        <f t="shared" ref="CS143:CS148" si="1007">+CA143*ED143</f>
        <v>6081.0749999999998</v>
      </c>
      <c r="CT143" s="59">
        <f t="shared" ref="CT143:CT148" si="1008">+CS143*3.3058</f>
        <v>20102.817735000001</v>
      </c>
      <c r="CU143" s="60">
        <f t="shared" ref="CU143:CU148" si="1009">+CA143*EE143</f>
        <v>5930.9249999999993</v>
      </c>
      <c r="CV143" s="59">
        <f t="shared" ref="CV143:CV148" si="1010">+CU143*3.3058</f>
        <v>19606.451864999999</v>
      </c>
      <c r="CW143" s="60">
        <f t="shared" ref="CW143:CW148" si="1011">+CA143*EF143</f>
        <v>5780.7749999999996</v>
      </c>
      <c r="CX143" s="59">
        <f t="shared" ref="CX143:CX148" si="1012">+CW143*3.3058</f>
        <v>19110.085994999998</v>
      </c>
      <c r="CY143" s="60">
        <f t="shared" ref="CY143:CY148" si="1013">+CA143*EG143</f>
        <v>5630.6249999999991</v>
      </c>
      <c r="CZ143" s="59">
        <f t="shared" ref="CZ143:CZ148" si="1014">+CY143*3.3058</f>
        <v>18613.720124999996</v>
      </c>
      <c r="DA143" s="55">
        <f t="shared" ref="DA143:DA148" si="1015">+CA143*EH143</f>
        <v>5480.4749999999995</v>
      </c>
      <c r="DB143" s="59">
        <f t="shared" ref="DB143:DB148" si="1016">+DA143*3.3058</f>
        <v>18117.354254999998</v>
      </c>
      <c r="DC143" s="60">
        <f t="shared" ref="DC143:DC148" si="1017">+CA143*EI143</f>
        <v>5330.3249999999989</v>
      </c>
      <c r="DD143" s="59">
        <f t="shared" ref="DD143:DD148" si="1018">+DC143*3.3058</f>
        <v>17620.988384999997</v>
      </c>
      <c r="DE143" s="60">
        <f t="shared" ref="DE143:DE148" si="1019">+CA143*EJ143</f>
        <v>5180.1749999999984</v>
      </c>
      <c r="DF143" s="59">
        <f t="shared" ref="DF143:DF148" si="1020">+DE143*3.3058</f>
        <v>17124.622514999995</v>
      </c>
      <c r="DG143" s="60">
        <f t="shared" ref="DG143:DG148" si="1021">+CA143*EK143</f>
        <v>5030.0249999999987</v>
      </c>
      <c r="DH143" s="59">
        <f t="shared" ref="DH143:DH148" si="1022">+DG143*3.3058</f>
        <v>16628.256644999998</v>
      </c>
      <c r="DI143" s="60">
        <f t="shared" ref="DI143:DI148" si="1023">+CA143*EL143</f>
        <v>4879.8749999999982</v>
      </c>
      <c r="DJ143" s="59">
        <f t="shared" ref="DJ143:DJ148" si="1024">+DI143*3.3058</f>
        <v>16131.890774999994</v>
      </c>
      <c r="DK143" s="55">
        <f t="shared" ref="DK143:DK148" si="1025">+CA143*EM143</f>
        <v>4729.7249999999985</v>
      </c>
      <c r="DL143" s="59">
        <f t="shared" ref="DL143:DL148" si="1026">+DK143*3.3058</f>
        <v>15635.524904999995</v>
      </c>
      <c r="DM143" s="60">
        <f t="shared" ref="DM143:DM148" si="1027">+CA143*EN143</f>
        <v>4579.574999999998</v>
      </c>
      <c r="DN143" s="59">
        <f t="shared" ref="DN143:DN148" si="1028">+DM143*3.3058</f>
        <v>15139.159034999993</v>
      </c>
      <c r="DO143" s="60">
        <f t="shared" ref="DO143:DO148" si="1029">+CA143*EO143</f>
        <v>4429.4249999999984</v>
      </c>
      <c r="DP143" s="59">
        <f t="shared" ref="DP143:DP148" si="1030">+DO143*3.3058</f>
        <v>14642.793164999995</v>
      </c>
      <c r="DQ143" s="55">
        <f t="shared" ref="DQ143:DQ148" si="1031">+CA143*EP143</f>
        <v>4279.2749999999978</v>
      </c>
      <c r="DR143" s="59">
        <f t="shared" ref="DR143:DR148" si="1032">+DQ143*3.3058</f>
        <v>14146.427294999992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40"/>
        <v>0.91</v>
      </c>
      <c r="DZ143" s="55">
        <f t="shared" si="940"/>
        <v>0.89</v>
      </c>
      <c r="EA143" s="55">
        <f t="shared" si="940"/>
        <v>0.87</v>
      </c>
      <c r="EB143" s="55">
        <f t="shared" si="940"/>
        <v>0.85</v>
      </c>
      <c r="EC143" s="55">
        <f t="shared" si="940"/>
        <v>0.83</v>
      </c>
      <c r="ED143" s="55">
        <f t="shared" si="940"/>
        <v>0.80999999999999994</v>
      </c>
      <c r="EE143" s="55">
        <f t="shared" si="940"/>
        <v>0.78999999999999992</v>
      </c>
      <c r="EF143" s="55">
        <f t="shared" si="940"/>
        <v>0.76999999999999991</v>
      </c>
      <c r="EG143" s="55">
        <f t="shared" si="940"/>
        <v>0.74999999999999989</v>
      </c>
      <c r="EH143" s="55">
        <f t="shared" si="940"/>
        <v>0.72999999999999987</v>
      </c>
      <c r="EI143" s="55">
        <f t="shared" si="940"/>
        <v>0.70999999999999985</v>
      </c>
      <c r="EJ143" s="55">
        <f t="shared" si="940"/>
        <v>0.68999999999999984</v>
      </c>
      <c r="EK143" s="55">
        <f t="shared" si="940"/>
        <v>0.66999999999999982</v>
      </c>
      <c r="EL143" s="55">
        <f t="shared" si="940"/>
        <v>0.6499999999999998</v>
      </c>
      <c r="EM143" s="55">
        <f t="shared" si="940"/>
        <v>0.62999999999999978</v>
      </c>
      <c r="EN143" s="55">
        <f t="shared" si="940"/>
        <v>0.60999999999999976</v>
      </c>
      <c r="EO143" s="55">
        <f t="shared" si="940"/>
        <v>0.58999999999999975</v>
      </c>
      <c r="EP143" s="55">
        <f t="shared" si="940"/>
        <v>0.56999999999999973</v>
      </c>
      <c r="ER143" s="55">
        <f t="shared" si="656"/>
        <v>6831.8249999999998</v>
      </c>
      <c r="ES143" s="55">
        <f t="shared" si="517"/>
        <v>6831.8249999999998</v>
      </c>
      <c r="ET143" s="59">
        <f t="shared" ref="ET143:ET148" si="1033">+ES143*3.3058</f>
        <v>22584.647085000001</v>
      </c>
      <c r="EU143" s="55">
        <f t="shared" ref="EU143:EU148" si="1034">+ES143*GN143</f>
        <v>6626.8702499999999</v>
      </c>
      <c r="EV143" s="59">
        <f t="shared" ref="EV143:EV148" si="1035">+EU143*3.3058</f>
        <v>21907.107672450002</v>
      </c>
      <c r="EW143" s="55">
        <f t="shared" ref="EW143:EW148" si="1036">+ES143*GO143</f>
        <v>6490.2337499999994</v>
      </c>
      <c r="EX143" s="59">
        <f t="shared" ref="EX143:EX148" si="1037">+EW143*3.3058</f>
        <v>21455.414730749999</v>
      </c>
      <c r="EY143" s="55">
        <f t="shared" ref="EY143:EY148" si="1038">+ES143*GP143</f>
        <v>6353.5972499999998</v>
      </c>
      <c r="EZ143" s="59">
        <f t="shared" ref="EZ143:EZ148" si="1039">+EY143*3.3058</f>
        <v>21003.72178905</v>
      </c>
      <c r="FA143" s="57">
        <f t="shared" ref="FA143:FA148" si="1040">+ES143*GQ143</f>
        <v>6216.9607500000002</v>
      </c>
      <c r="FB143" s="59">
        <f t="shared" ref="FB143:FB148" si="1041">+FA143*3.3058</f>
        <v>20552.02884735</v>
      </c>
      <c r="FC143" s="55">
        <f t="shared" ref="FC143:FC148" si="1042">+ES143*GR143</f>
        <v>6080.3242499999997</v>
      </c>
      <c r="FD143" s="59">
        <f t="shared" ref="FD143:FD148" si="1043">+FC143*3.3058</f>
        <v>20100.335905649998</v>
      </c>
      <c r="FE143" s="57">
        <f t="shared" ref="FE143:FE148" si="1044">+ES143*GS143</f>
        <v>5943.6877500000001</v>
      </c>
      <c r="FF143" s="59">
        <f t="shared" ref="FF143:FF148" si="1045">+FE143*3.3058</f>
        <v>19648.642963950002</v>
      </c>
      <c r="FG143" s="60">
        <f t="shared" ref="FG143:FG148" si="1046">+ES143*GT143</f>
        <v>5807.0512499999995</v>
      </c>
      <c r="FH143" s="59">
        <f t="shared" ref="FH143:FH148" si="1047">+FG143*3.3058</f>
        <v>19196.950022249999</v>
      </c>
      <c r="FI143" s="57">
        <f t="shared" ref="FI143:FI148" si="1048">+ES143*GU143</f>
        <v>5670.4147499999999</v>
      </c>
      <c r="FJ143" s="59">
        <f t="shared" ref="FJ143:FJ148" si="1049">+FI143*3.3058</f>
        <v>18745.25708055</v>
      </c>
      <c r="FK143" s="55">
        <f t="shared" ref="FK143:FK148" si="1050">+ES143*GV143</f>
        <v>5533.7782499999994</v>
      </c>
      <c r="FL143" s="59">
        <f t="shared" ref="FL143:FL148" si="1051">+FK143*3.3058</f>
        <v>18293.564138849997</v>
      </c>
      <c r="FM143" s="60">
        <f t="shared" ref="FM143:FM148" si="1052">+ES143*GW143</f>
        <v>5397.1417499999998</v>
      </c>
      <c r="FN143" s="59">
        <f t="shared" ref="FN143:FN148" si="1053">+FM143*3.3058</f>
        <v>17841.871197149998</v>
      </c>
      <c r="FO143" s="60">
        <f t="shared" ref="FO143:FO148" si="1054">+ES143*GX143</f>
        <v>5260.5052499999993</v>
      </c>
      <c r="FP143" s="59">
        <f t="shared" ref="FP143:FP148" si="1055">+FO143*3.3058</f>
        <v>17390.178255449999</v>
      </c>
      <c r="FQ143" s="60">
        <f t="shared" ref="FQ143:FQ148" si="1056">+ES143*GY143</f>
        <v>5123.8687499999987</v>
      </c>
      <c r="FR143" s="59">
        <f t="shared" ref="FR143:FR148" si="1057">+FQ143*3.3058</f>
        <v>16938.485313749996</v>
      </c>
      <c r="FS143" s="55">
        <f t="shared" ref="FS143:FS148" si="1058">+ES143*GZ143</f>
        <v>4987.2322499999991</v>
      </c>
      <c r="FT143" s="59">
        <f t="shared" ref="FT143:FT148" si="1059">+FS143*3.3058</f>
        <v>16486.792372049997</v>
      </c>
      <c r="FU143" s="60">
        <f t="shared" ref="FU143:FU148" si="1060">+ES143*HA143</f>
        <v>4850.5957499999986</v>
      </c>
      <c r="FV143" s="59">
        <f t="shared" ref="FV143:FV148" si="1061">+FU143*3.3058</f>
        <v>16035.099430349996</v>
      </c>
      <c r="FW143" s="60">
        <f t="shared" ref="FW143:FW148" si="1062">+ES143*HB143</f>
        <v>4713.959249999999</v>
      </c>
      <c r="FX143" s="59">
        <f t="shared" ref="FX143:FX148" si="1063">+FW143*3.3058</f>
        <v>15583.406488649996</v>
      </c>
      <c r="FY143" s="60">
        <f t="shared" ref="FY143:FY148" si="1064">+ES143*HC143</f>
        <v>4577.3227499999985</v>
      </c>
      <c r="FZ143" s="59">
        <f t="shared" ref="FZ143:FZ148" si="1065">+FY143*3.3058</f>
        <v>15131.713546949995</v>
      </c>
      <c r="GA143" s="60">
        <f t="shared" ref="GA143:GA148" si="1066">+ES143*HD143</f>
        <v>4440.6862499999988</v>
      </c>
      <c r="GB143" s="59">
        <f t="shared" ref="GB143:GB148" si="1067">+GA143*3.3058</f>
        <v>14680.020605249996</v>
      </c>
      <c r="GC143" s="55">
        <f t="shared" ref="GC143:GC148" si="1068">+ES143*HE143</f>
        <v>4304.0497499999983</v>
      </c>
      <c r="GD143" s="59">
        <f t="shared" ref="GD143:GD148" si="1069">+GC143*3.3058</f>
        <v>14228.327663549995</v>
      </c>
      <c r="GE143" s="60">
        <f t="shared" ref="GE143:GE148" si="1070">+ES143*HF143</f>
        <v>4167.4132499999987</v>
      </c>
      <c r="GF143" s="59">
        <f t="shared" ref="GF143:GF148" si="1071">+GE143*3.3058</f>
        <v>13776.634721849996</v>
      </c>
      <c r="GG143" s="60">
        <f t="shared" ref="GG143:GG148" si="1072">+ES143*HG143</f>
        <v>4030.7767499999982</v>
      </c>
      <c r="GH143" s="59">
        <f t="shared" ref="GH143:GH148" si="1073">+GG143*3.3058</f>
        <v>13324.941780149995</v>
      </c>
      <c r="GI143" s="55">
        <f t="shared" ref="GI143:GI148" si="1074">+ES143*HH143</f>
        <v>3894.1402499999981</v>
      </c>
      <c r="GJ143" s="59">
        <f t="shared" ref="GJ143:GJ148" si="1075">+GI143*3.3058</f>
        <v>12873.248838449994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41"/>
        <v>0.91</v>
      </c>
      <c r="GR143" s="55">
        <f t="shared" si="941"/>
        <v>0.89</v>
      </c>
      <c r="GS143" s="55">
        <f t="shared" si="941"/>
        <v>0.87</v>
      </c>
      <c r="GT143" s="55">
        <f t="shared" si="941"/>
        <v>0.85</v>
      </c>
      <c r="GU143" s="55">
        <f t="shared" si="941"/>
        <v>0.83</v>
      </c>
      <c r="GV143" s="55">
        <f t="shared" si="941"/>
        <v>0.80999999999999994</v>
      </c>
      <c r="GW143" s="55">
        <f t="shared" si="941"/>
        <v>0.78999999999999992</v>
      </c>
      <c r="GX143" s="55">
        <f t="shared" si="941"/>
        <v>0.76999999999999991</v>
      </c>
      <c r="GY143" s="55">
        <f t="shared" si="941"/>
        <v>0.74999999999999989</v>
      </c>
      <c r="GZ143" s="55">
        <f t="shared" si="941"/>
        <v>0.72999999999999987</v>
      </c>
      <c r="HA143" s="55">
        <f t="shared" si="941"/>
        <v>0.70999999999999985</v>
      </c>
      <c r="HB143" s="55">
        <f t="shared" si="941"/>
        <v>0.68999999999999984</v>
      </c>
      <c r="HC143" s="55">
        <f t="shared" si="941"/>
        <v>0.66999999999999982</v>
      </c>
      <c r="HD143" s="55">
        <f t="shared" si="941"/>
        <v>0.6499999999999998</v>
      </c>
      <c r="HE143" s="55">
        <f t="shared" si="941"/>
        <v>0.62999999999999978</v>
      </c>
      <c r="HF143" s="55">
        <f t="shared" si="941"/>
        <v>0.60999999999999976</v>
      </c>
      <c r="HG143" s="55">
        <f t="shared" si="941"/>
        <v>0.58999999999999975</v>
      </c>
      <c r="HH143" s="55">
        <f t="shared" si="941"/>
        <v>0.56999999999999973</v>
      </c>
    </row>
    <row r="144" spans="1:216" x14ac:dyDescent="0.3">
      <c r="A144" s="2">
        <v>2</v>
      </c>
      <c r="C144" s="38" t="s">
        <v>49</v>
      </c>
      <c r="D144" s="42">
        <f>TRUNC(9958,-1)</f>
        <v>9950</v>
      </c>
      <c r="E144" s="71">
        <f>TRUNC(+D144*3.3058,-1)</f>
        <v>32890</v>
      </c>
      <c r="H144" s="55">
        <f t="shared" si="946"/>
        <v>10945</v>
      </c>
      <c r="I144" s="55">
        <f t="shared" si="513"/>
        <v>10945</v>
      </c>
      <c r="J144" s="59">
        <f t="shared" si="514"/>
        <v>36181.981</v>
      </c>
      <c r="K144" s="55">
        <f t="shared" si="947"/>
        <v>10616.65</v>
      </c>
      <c r="L144" s="59">
        <f t="shared" si="948"/>
        <v>35096.521569999997</v>
      </c>
      <c r="M144" s="55">
        <f t="shared" si="949"/>
        <v>10397.75</v>
      </c>
      <c r="N144" s="59">
        <f t="shared" si="950"/>
        <v>34372.881950000003</v>
      </c>
      <c r="O144" s="55">
        <f t="shared" si="951"/>
        <v>10178.85</v>
      </c>
      <c r="P144" s="59">
        <f t="shared" si="952"/>
        <v>33649.242330000001</v>
      </c>
      <c r="Q144" s="57">
        <f t="shared" si="953"/>
        <v>9959.9500000000007</v>
      </c>
      <c r="R144" s="59">
        <f t="shared" si="954"/>
        <v>32925.602710000006</v>
      </c>
      <c r="S144" s="55">
        <f t="shared" si="955"/>
        <v>9741.0499999999993</v>
      </c>
      <c r="T144" s="59">
        <f t="shared" si="956"/>
        <v>32201.963089999997</v>
      </c>
      <c r="U144" s="57">
        <f t="shared" si="957"/>
        <v>9522.15</v>
      </c>
      <c r="V144" s="59">
        <f t="shared" si="958"/>
        <v>31478.323469999999</v>
      </c>
      <c r="W144" s="60">
        <f t="shared" si="959"/>
        <v>9303.25</v>
      </c>
      <c r="X144" s="59">
        <f t="shared" si="960"/>
        <v>30754.683850000001</v>
      </c>
      <c r="Y144" s="57">
        <f t="shared" si="961"/>
        <v>9084.35</v>
      </c>
      <c r="Z144" s="59">
        <f t="shared" si="962"/>
        <v>30031.044230000003</v>
      </c>
      <c r="AA144" s="55">
        <f t="shared" si="963"/>
        <v>8865.4499999999989</v>
      </c>
      <c r="AB144" s="59">
        <f t="shared" si="964"/>
        <v>29307.404609999998</v>
      </c>
      <c r="AC144" s="60">
        <f t="shared" si="965"/>
        <v>8646.5499999999993</v>
      </c>
      <c r="AD144" s="59">
        <f t="shared" si="966"/>
        <v>28583.76499</v>
      </c>
      <c r="AE144" s="60">
        <f t="shared" si="967"/>
        <v>8427.65</v>
      </c>
      <c r="AF144" s="59">
        <f t="shared" si="968"/>
        <v>27860.125369999998</v>
      </c>
      <c r="AG144" s="60">
        <f t="shared" si="969"/>
        <v>8208.7499999999982</v>
      </c>
      <c r="AH144" s="59">
        <f t="shared" si="970"/>
        <v>27136.485749999996</v>
      </c>
      <c r="AI144" s="55">
        <f t="shared" si="971"/>
        <v>7989.8499999999985</v>
      </c>
      <c r="AJ144" s="59">
        <f t="shared" si="972"/>
        <v>26412.846129999994</v>
      </c>
      <c r="AK144" s="60">
        <f t="shared" si="973"/>
        <v>7770.949999999998</v>
      </c>
      <c r="AL144" s="59">
        <f t="shared" si="974"/>
        <v>25689.206509999993</v>
      </c>
      <c r="AM144" s="60">
        <f t="shared" si="975"/>
        <v>7552.0499999999984</v>
      </c>
      <c r="AN144" s="59">
        <f t="shared" si="976"/>
        <v>24965.566889999995</v>
      </c>
      <c r="AO144" s="60">
        <f t="shared" si="977"/>
        <v>7333.1499999999978</v>
      </c>
      <c r="AP144" s="59">
        <f t="shared" si="978"/>
        <v>24241.927269999993</v>
      </c>
      <c r="AQ144" s="60">
        <f t="shared" si="979"/>
        <v>7114.2499999999982</v>
      </c>
      <c r="AR144" s="59">
        <f t="shared" si="980"/>
        <v>23518.287649999995</v>
      </c>
      <c r="AS144" s="55">
        <f t="shared" si="981"/>
        <v>6895.3499999999976</v>
      </c>
      <c r="AT144" s="59">
        <f t="shared" si="982"/>
        <v>22794.648029999993</v>
      </c>
      <c r="AU144" s="60">
        <f t="shared" si="983"/>
        <v>6676.4499999999971</v>
      </c>
      <c r="AV144" s="59">
        <f t="shared" si="984"/>
        <v>22071.008409999991</v>
      </c>
      <c r="AW144" s="60">
        <f t="shared" si="985"/>
        <v>6457.5499999999975</v>
      </c>
      <c r="AX144" s="59">
        <f t="shared" si="986"/>
        <v>21347.368789999993</v>
      </c>
      <c r="AY144" s="55">
        <f t="shared" si="987"/>
        <v>6238.6499999999969</v>
      </c>
      <c r="AZ144" s="59">
        <f t="shared" si="988"/>
        <v>20623.729169999991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89"/>
        <v>0.91</v>
      </c>
      <c r="BH144" s="55">
        <f t="shared" si="989"/>
        <v>0.89</v>
      </c>
      <c r="BI144" s="55">
        <f t="shared" si="989"/>
        <v>0.87</v>
      </c>
      <c r="BJ144" s="55">
        <f t="shared" si="989"/>
        <v>0.85</v>
      </c>
      <c r="BK144" s="55">
        <f t="shared" si="989"/>
        <v>0.83</v>
      </c>
      <c r="BL144" s="55">
        <f t="shared" si="989"/>
        <v>0.80999999999999994</v>
      </c>
      <c r="BM144" s="55">
        <f t="shared" si="989"/>
        <v>0.78999999999999992</v>
      </c>
      <c r="BN144" s="55">
        <f t="shared" si="989"/>
        <v>0.76999999999999991</v>
      </c>
      <c r="BO144" s="55">
        <f t="shared" si="989"/>
        <v>0.74999999999999989</v>
      </c>
      <c r="BP144" s="55">
        <f t="shared" si="989"/>
        <v>0.72999999999999987</v>
      </c>
      <c r="BQ144" s="55">
        <f t="shared" si="989"/>
        <v>0.70999999999999985</v>
      </c>
      <c r="BR144" s="55">
        <f t="shared" si="989"/>
        <v>0.68999999999999984</v>
      </c>
      <c r="BS144" s="55">
        <f t="shared" si="989"/>
        <v>0.66999999999999982</v>
      </c>
      <c r="BT144" s="55">
        <f t="shared" si="989"/>
        <v>0.6499999999999998</v>
      </c>
      <c r="BU144" s="55">
        <f t="shared" si="989"/>
        <v>0.62999999999999978</v>
      </c>
      <c r="BV144" s="55">
        <f t="shared" si="989"/>
        <v>0.60999999999999976</v>
      </c>
      <c r="BW144" s="55">
        <f t="shared" si="989"/>
        <v>0.58999999999999975</v>
      </c>
      <c r="BX144" s="55">
        <f t="shared" si="989"/>
        <v>0.56999999999999973</v>
      </c>
      <c r="BZ144" s="55">
        <f t="shared" si="515"/>
        <v>9959.9500000000007</v>
      </c>
      <c r="CA144" s="55">
        <f t="shared" si="516"/>
        <v>9959.9500000000007</v>
      </c>
      <c r="CB144" s="59">
        <f t="shared" si="990"/>
        <v>32925.602710000006</v>
      </c>
      <c r="CC144" s="55">
        <f t="shared" si="991"/>
        <v>9661.1514999999999</v>
      </c>
      <c r="CD144" s="59">
        <f t="shared" si="992"/>
        <v>31937.834628700002</v>
      </c>
      <c r="CE144" s="55">
        <f t="shared" si="993"/>
        <v>9461.9524999999994</v>
      </c>
      <c r="CF144" s="59">
        <f t="shared" si="994"/>
        <v>31279.322574499998</v>
      </c>
      <c r="CG144" s="55">
        <f t="shared" si="995"/>
        <v>9262.7535000000007</v>
      </c>
      <c r="CH144" s="59">
        <f t="shared" si="996"/>
        <v>30620.810520300001</v>
      </c>
      <c r="CI144" s="57">
        <f t="shared" si="997"/>
        <v>9063.5545000000002</v>
      </c>
      <c r="CJ144" s="59">
        <f t="shared" si="998"/>
        <v>29962.298466100001</v>
      </c>
      <c r="CK144" s="55">
        <f t="shared" si="999"/>
        <v>8864.3555000000015</v>
      </c>
      <c r="CL144" s="59">
        <f t="shared" si="1000"/>
        <v>29303.786411900004</v>
      </c>
      <c r="CM144" s="57">
        <f t="shared" si="1001"/>
        <v>8665.156500000001</v>
      </c>
      <c r="CN144" s="59">
        <f t="shared" si="1002"/>
        <v>28645.274357700004</v>
      </c>
      <c r="CO144" s="60">
        <f t="shared" si="1003"/>
        <v>8465.9575000000004</v>
      </c>
      <c r="CP144" s="59">
        <f t="shared" si="1004"/>
        <v>27986.762303500003</v>
      </c>
      <c r="CQ144" s="57">
        <f t="shared" si="1005"/>
        <v>8266.7584999999999</v>
      </c>
      <c r="CR144" s="59">
        <f t="shared" si="1006"/>
        <v>27328.250249299999</v>
      </c>
      <c r="CS144" s="55">
        <f t="shared" si="1007"/>
        <v>8067.5595000000003</v>
      </c>
      <c r="CT144" s="59">
        <f t="shared" si="1008"/>
        <v>26669.738195100002</v>
      </c>
      <c r="CU144" s="60">
        <f t="shared" si="1009"/>
        <v>7868.3604999999998</v>
      </c>
      <c r="CV144" s="59">
        <f t="shared" si="1010"/>
        <v>26011.226140899998</v>
      </c>
      <c r="CW144" s="60">
        <f t="shared" si="1011"/>
        <v>7669.1614999999993</v>
      </c>
      <c r="CX144" s="59">
        <f t="shared" si="1012"/>
        <v>25352.714086699998</v>
      </c>
      <c r="CY144" s="60">
        <f t="shared" si="1013"/>
        <v>7469.9624999999996</v>
      </c>
      <c r="CZ144" s="59">
        <f t="shared" si="1014"/>
        <v>24694.202032499998</v>
      </c>
      <c r="DA144" s="55">
        <f t="shared" si="1015"/>
        <v>7270.7634999999991</v>
      </c>
      <c r="DB144" s="59">
        <f t="shared" si="1016"/>
        <v>24035.689978299997</v>
      </c>
      <c r="DC144" s="60">
        <f t="shared" si="1017"/>
        <v>7071.5644999999995</v>
      </c>
      <c r="DD144" s="59">
        <f t="shared" si="1018"/>
        <v>23377.1779241</v>
      </c>
      <c r="DE144" s="60">
        <f t="shared" si="1019"/>
        <v>6872.365499999999</v>
      </c>
      <c r="DF144" s="59">
        <f t="shared" si="1020"/>
        <v>22718.665869899996</v>
      </c>
      <c r="DG144" s="60">
        <f t="shared" si="1021"/>
        <v>6673.1664999999985</v>
      </c>
      <c r="DH144" s="59">
        <f t="shared" si="1022"/>
        <v>22060.153815699996</v>
      </c>
      <c r="DI144" s="60">
        <f t="shared" si="1023"/>
        <v>6473.9674999999988</v>
      </c>
      <c r="DJ144" s="59">
        <f t="shared" si="1024"/>
        <v>21401.641761499995</v>
      </c>
      <c r="DK144" s="55">
        <f t="shared" si="1025"/>
        <v>6274.7684999999983</v>
      </c>
      <c r="DL144" s="59">
        <f t="shared" si="1026"/>
        <v>20743.129707299995</v>
      </c>
      <c r="DM144" s="60">
        <f t="shared" si="1027"/>
        <v>6075.5694999999978</v>
      </c>
      <c r="DN144" s="59">
        <f t="shared" si="1028"/>
        <v>20084.617653099995</v>
      </c>
      <c r="DO144" s="60">
        <f t="shared" si="1029"/>
        <v>5876.3704999999982</v>
      </c>
      <c r="DP144" s="59">
        <f t="shared" si="1030"/>
        <v>19426.105598899994</v>
      </c>
      <c r="DQ144" s="55">
        <f t="shared" si="1031"/>
        <v>5677.1714999999976</v>
      </c>
      <c r="DR144" s="59">
        <f t="shared" si="1032"/>
        <v>18767.593544699994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40"/>
        <v>0.91</v>
      </c>
      <c r="DZ144" s="55">
        <f t="shared" si="940"/>
        <v>0.89</v>
      </c>
      <c r="EA144" s="55">
        <f t="shared" si="940"/>
        <v>0.87</v>
      </c>
      <c r="EB144" s="55">
        <f t="shared" si="940"/>
        <v>0.85</v>
      </c>
      <c r="EC144" s="55">
        <f t="shared" si="940"/>
        <v>0.83</v>
      </c>
      <c r="ED144" s="55">
        <f t="shared" si="940"/>
        <v>0.80999999999999994</v>
      </c>
      <c r="EE144" s="55">
        <f t="shared" si="940"/>
        <v>0.78999999999999992</v>
      </c>
      <c r="EF144" s="55">
        <f t="shared" si="940"/>
        <v>0.76999999999999991</v>
      </c>
      <c r="EG144" s="55">
        <f t="shared" si="940"/>
        <v>0.74999999999999989</v>
      </c>
      <c r="EH144" s="55">
        <f t="shared" si="940"/>
        <v>0.72999999999999987</v>
      </c>
      <c r="EI144" s="55">
        <f t="shared" si="940"/>
        <v>0.70999999999999985</v>
      </c>
      <c r="EJ144" s="55">
        <f t="shared" si="940"/>
        <v>0.68999999999999984</v>
      </c>
      <c r="EK144" s="55">
        <f t="shared" si="940"/>
        <v>0.66999999999999982</v>
      </c>
      <c r="EL144" s="55">
        <f t="shared" si="940"/>
        <v>0.6499999999999998</v>
      </c>
      <c r="EM144" s="55">
        <f t="shared" si="940"/>
        <v>0.62999999999999978</v>
      </c>
      <c r="EN144" s="55">
        <f t="shared" si="940"/>
        <v>0.60999999999999976</v>
      </c>
      <c r="EO144" s="55">
        <f t="shared" si="940"/>
        <v>0.58999999999999975</v>
      </c>
      <c r="EP144" s="55">
        <f t="shared" si="940"/>
        <v>0.56999999999999973</v>
      </c>
      <c r="ER144" s="55">
        <f t="shared" si="656"/>
        <v>9063.5545000000002</v>
      </c>
      <c r="ES144" s="55">
        <f t="shared" si="517"/>
        <v>9063.5545000000002</v>
      </c>
      <c r="ET144" s="59">
        <f t="shared" si="1033"/>
        <v>29962.298466100001</v>
      </c>
      <c r="EU144" s="55">
        <f t="shared" si="1034"/>
        <v>8791.6478650000008</v>
      </c>
      <c r="EV144" s="59">
        <f t="shared" si="1035"/>
        <v>29063.429512117003</v>
      </c>
      <c r="EW144" s="55">
        <f t="shared" si="1036"/>
        <v>8610.3767750000006</v>
      </c>
      <c r="EX144" s="59">
        <f t="shared" si="1037"/>
        <v>28464.183542795003</v>
      </c>
      <c r="EY144" s="55">
        <f t="shared" si="1038"/>
        <v>8429.1056850000004</v>
      </c>
      <c r="EZ144" s="59">
        <f t="shared" si="1039"/>
        <v>27864.937573473002</v>
      </c>
      <c r="FA144" s="57">
        <f t="shared" si="1040"/>
        <v>8247.8345950000003</v>
      </c>
      <c r="FB144" s="59">
        <f t="shared" si="1041"/>
        <v>27265.691604151001</v>
      </c>
      <c r="FC144" s="55">
        <f t="shared" si="1042"/>
        <v>8066.5635050000001</v>
      </c>
      <c r="FD144" s="59">
        <f t="shared" si="1043"/>
        <v>26666.445634829</v>
      </c>
      <c r="FE144" s="57">
        <f t="shared" si="1044"/>
        <v>7885.2924149999999</v>
      </c>
      <c r="FF144" s="59">
        <f t="shared" si="1045"/>
        <v>26067.199665507</v>
      </c>
      <c r="FG144" s="60">
        <f t="shared" si="1046"/>
        <v>7704.0213249999997</v>
      </c>
      <c r="FH144" s="59">
        <f t="shared" si="1047"/>
        <v>25467.953696184999</v>
      </c>
      <c r="FI144" s="57">
        <f t="shared" si="1048"/>
        <v>7522.7502349999995</v>
      </c>
      <c r="FJ144" s="59">
        <f t="shared" si="1049"/>
        <v>24868.707726862998</v>
      </c>
      <c r="FK144" s="55">
        <f t="shared" si="1050"/>
        <v>7341.4791449999993</v>
      </c>
      <c r="FL144" s="59">
        <f t="shared" si="1051"/>
        <v>24269.461757540997</v>
      </c>
      <c r="FM144" s="60">
        <f t="shared" si="1052"/>
        <v>7160.2080549999991</v>
      </c>
      <c r="FN144" s="59">
        <f t="shared" si="1053"/>
        <v>23670.215788218997</v>
      </c>
      <c r="FO144" s="60">
        <f t="shared" si="1054"/>
        <v>6978.936964999999</v>
      </c>
      <c r="FP144" s="59">
        <f t="shared" si="1055"/>
        <v>23070.969818896996</v>
      </c>
      <c r="FQ144" s="60">
        <f t="shared" si="1056"/>
        <v>6797.6658749999988</v>
      </c>
      <c r="FR144" s="59">
        <f t="shared" si="1057"/>
        <v>22471.723849574995</v>
      </c>
      <c r="FS144" s="55">
        <f t="shared" si="1058"/>
        <v>6616.3947849999986</v>
      </c>
      <c r="FT144" s="59">
        <f t="shared" si="1059"/>
        <v>21872.477880252995</v>
      </c>
      <c r="FU144" s="60">
        <f t="shared" si="1060"/>
        <v>6435.1236949999984</v>
      </c>
      <c r="FV144" s="59">
        <f t="shared" si="1061"/>
        <v>21273.231910930994</v>
      </c>
      <c r="FW144" s="60">
        <f t="shared" si="1062"/>
        <v>6253.8526049999982</v>
      </c>
      <c r="FX144" s="59">
        <f t="shared" si="1063"/>
        <v>20673.985941608993</v>
      </c>
      <c r="FY144" s="60">
        <f t="shared" si="1064"/>
        <v>6072.581514999998</v>
      </c>
      <c r="FZ144" s="59">
        <f t="shared" si="1065"/>
        <v>20074.739972286992</v>
      </c>
      <c r="GA144" s="60">
        <f t="shared" si="1066"/>
        <v>5891.3104249999988</v>
      </c>
      <c r="GB144" s="59">
        <f t="shared" si="1067"/>
        <v>19475.494002964995</v>
      </c>
      <c r="GC144" s="55">
        <f t="shared" si="1068"/>
        <v>5710.0393349999986</v>
      </c>
      <c r="GD144" s="59">
        <f t="shared" si="1069"/>
        <v>18876.248033642994</v>
      </c>
      <c r="GE144" s="60">
        <f t="shared" si="1070"/>
        <v>5528.7682449999984</v>
      </c>
      <c r="GF144" s="59">
        <f t="shared" si="1071"/>
        <v>18277.002064320994</v>
      </c>
      <c r="GG144" s="60">
        <f t="shared" si="1072"/>
        <v>5347.4971549999982</v>
      </c>
      <c r="GH144" s="59">
        <f t="shared" si="1073"/>
        <v>17677.756094998993</v>
      </c>
      <c r="GI144" s="55">
        <f t="shared" si="1074"/>
        <v>5166.226064999998</v>
      </c>
      <c r="GJ144" s="59">
        <f t="shared" si="1075"/>
        <v>17078.510125676992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41"/>
        <v>0.91</v>
      </c>
      <c r="GR144" s="55">
        <f t="shared" si="941"/>
        <v>0.89</v>
      </c>
      <c r="GS144" s="55">
        <f t="shared" si="941"/>
        <v>0.87</v>
      </c>
      <c r="GT144" s="55">
        <f t="shared" si="941"/>
        <v>0.85</v>
      </c>
      <c r="GU144" s="55">
        <f t="shared" si="941"/>
        <v>0.83</v>
      </c>
      <c r="GV144" s="55">
        <f t="shared" si="941"/>
        <v>0.80999999999999994</v>
      </c>
      <c r="GW144" s="55">
        <f t="shared" si="941"/>
        <v>0.78999999999999992</v>
      </c>
      <c r="GX144" s="55">
        <f t="shared" si="941"/>
        <v>0.76999999999999991</v>
      </c>
      <c r="GY144" s="55">
        <f t="shared" si="941"/>
        <v>0.74999999999999989</v>
      </c>
      <c r="GZ144" s="55">
        <f t="shared" si="941"/>
        <v>0.72999999999999987</v>
      </c>
      <c r="HA144" s="55">
        <f t="shared" si="941"/>
        <v>0.70999999999999985</v>
      </c>
      <c r="HB144" s="55">
        <f t="shared" si="941"/>
        <v>0.68999999999999984</v>
      </c>
      <c r="HC144" s="55">
        <f t="shared" si="941"/>
        <v>0.66999999999999982</v>
      </c>
      <c r="HD144" s="55">
        <f t="shared" si="941"/>
        <v>0.6499999999999998</v>
      </c>
      <c r="HE144" s="55">
        <f t="shared" si="941"/>
        <v>0.62999999999999978</v>
      </c>
      <c r="HF144" s="55">
        <f t="shared" si="941"/>
        <v>0.60999999999999976</v>
      </c>
      <c r="HG144" s="55">
        <f t="shared" si="941"/>
        <v>0.58999999999999975</v>
      </c>
      <c r="HH144" s="55">
        <f t="shared" si="941"/>
        <v>0.56999999999999973</v>
      </c>
    </row>
    <row r="145" spans="1:216" x14ac:dyDescent="0.3">
      <c r="A145" s="2">
        <v>3</v>
      </c>
      <c r="C145" s="38" t="s">
        <v>50</v>
      </c>
      <c r="D145" s="42">
        <f>TRUNC(3191,-1)</f>
        <v>3190</v>
      </c>
      <c r="E145" s="71">
        <f>TRUNC(+D145*3.3058,-1)</f>
        <v>10540</v>
      </c>
      <c r="H145" s="55">
        <f t="shared" si="946"/>
        <v>3509.0000000000005</v>
      </c>
      <c r="I145" s="55">
        <f t="shared" si="513"/>
        <v>3509.0000000000005</v>
      </c>
      <c r="J145" s="59">
        <f t="shared" si="514"/>
        <v>11600.052200000002</v>
      </c>
      <c r="K145" s="55">
        <f t="shared" si="947"/>
        <v>3403.7300000000005</v>
      </c>
      <c r="L145" s="59">
        <f t="shared" si="948"/>
        <v>11252.050634000001</v>
      </c>
      <c r="M145" s="55">
        <f t="shared" si="949"/>
        <v>3333.55</v>
      </c>
      <c r="N145" s="59">
        <f t="shared" si="950"/>
        <v>11020.049590000001</v>
      </c>
      <c r="O145" s="55">
        <f t="shared" si="951"/>
        <v>3263.3700000000008</v>
      </c>
      <c r="P145" s="59">
        <f t="shared" si="952"/>
        <v>10788.048546000004</v>
      </c>
      <c r="Q145" s="57">
        <f t="shared" si="953"/>
        <v>3193.1900000000005</v>
      </c>
      <c r="R145" s="59">
        <f t="shared" si="954"/>
        <v>10556.047502000001</v>
      </c>
      <c r="S145" s="55">
        <f t="shared" si="955"/>
        <v>3123.0100000000007</v>
      </c>
      <c r="T145" s="59">
        <f t="shared" si="956"/>
        <v>10324.046458000003</v>
      </c>
      <c r="U145" s="57">
        <f t="shared" si="957"/>
        <v>3052.8300000000004</v>
      </c>
      <c r="V145" s="59">
        <f t="shared" si="958"/>
        <v>10092.045414000002</v>
      </c>
      <c r="W145" s="60">
        <f t="shared" si="959"/>
        <v>2982.65</v>
      </c>
      <c r="X145" s="59">
        <f t="shared" si="960"/>
        <v>9860.0443699999996</v>
      </c>
      <c r="Y145" s="57">
        <f t="shared" si="961"/>
        <v>2912.4700000000003</v>
      </c>
      <c r="Z145" s="59">
        <f t="shared" si="962"/>
        <v>9628.0433260000009</v>
      </c>
      <c r="AA145" s="55">
        <f t="shared" si="963"/>
        <v>2842.29</v>
      </c>
      <c r="AB145" s="59">
        <f t="shared" si="964"/>
        <v>9396.0422820000003</v>
      </c>
      <c r="AC145" s="60">
        <f t="shared" si="965"/>
        <v>2772.11</v>
      </c>
      <c r="AD145" s="59">
        <f t="shared" si="966"/>
        <v>9164.0412379999998</v>
      </c>
      <c r="AE145" s="60">
        <f t="shared" si="967"/>
        <v>2701.93</v>
      </c>
      <c r="AF145" s="59">
        <f t="shared" si="968"/>
        <v>8932.0401939999992</v>
      </c>
      <c r="AG145" s="60">
        <f t="shared" si="969"/>
        <v>2631.75</v>
      </c>
      <c r="AH145" s="59">
        <f t="shared" si="970"/>
        <v>8700.0391500000005</v>
      </c>
      <c r="AI145" s="55">
        <f t="shared" si="971"/>
        <v>2561.5699999999997</v>
      </c>
      <c r="AJ145" s="59">
        <f t="shared" si="972"/>
        <v>8468.038106</v>
      </c>
      <c r="AK145" s="60">
        <f t="shared" si="973"/>
        <v>2491.39</v>
      </c>
      <c r="AL145" s="59">
        <f t="shared" si="974"/>
        <v>8236.0370619999994</v>
      </c>
      <c r="AM145" s="60">
        <f t="shared" si="975"/>
        <v>2421.2099999999996</v>
      </c>
      <c r="AN145" s="59">
        <f t="shared" si="976"/>
        <v>8004.0360179999989</v>
      </c>
      <c r="AO145" s="60">
        <f t="shared" si="977"/>
        <v>2351.0299999999997</v>
      </c>
      <c r="AP145" s="59">
        <f t="shared" si="978"/>
        <v>7772.0349739999992</v>
      </c>
      <c r="AQ145" s="60">
        <f t="shared" si="979"/>
        <v>2280.8499999999995</v>
      </c>
      <c r="AR145" s="59">
        <f t="shared" si="980"/>
        <v>7540.0339299999987</v>
      </c>
      <c r="AS145" s="55">
        <f t="shared" si="981"/>
        <v>2210.6699999999996</v>
      </c>
      <c r="AT145" s="59">
        <f t="shared" si="982"/>
        <v>7308.0328859999991</v>
      </c>
      <c r="AU145" s="60">
        <f t="shared" si="983"/>
        <v>2140.4899999999993</v>
      </c>
      <c r="AV145" s="59">
        <f t="shared" si="984"/>
        <v>7076.0318419999976</v>
      </c>
      <c r="AW145" s="60">
        <f t="shared" si="985"/>
        <v>2070.3099999999995</v>
      </c>
      <c r="AX145" s="59">
        <f t="shared" si="986"/>
        <v>6844.0307979999989</v>
      </c>
      <c r="AY145" s="55">
        <f t="shared" si="987"/>
        <v>2000.1299999999992</v>
      </c>
      <c r="AZ145" s="59">
        <f t="shared" si="988"/>
        <v>6612.0297539999974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89"/>
        <v>0.91</v>
      </c>
      <c r="BH145" s="55">
        <f t="shared" si="989"/>
        <v>0.89</v>
      </c>
      <c r="BI145" s="55">
        <f t="shared" si="989"/>
        <v>0.87</v>
      </c>
      <c r="BJ145" s="55">
        <f t="shared" si="989"/>
        <v>0.85</v>
      </c>
      <c r="BK145" s="55">
        <f t="shared" si="989"/>
        <v>0.83</v>
      </c>
      <c r="BL145" s="55">
        <f t="shared" si="989"/>
        <v>0.80999999999999994</v>
      </c>
      <c r="BM145" s="55">
        <f t="shared" si="989"/>
        <v>0.78999999999999992</v>
      </c>
      <c r="BN145" s="55">
        <f t="shared" si="989"/>
        <v>0.76999999999999991</v>
      </c>
      <c r="BO145" s="55">
        <f t="shared" si="989"/>
        <v>0.74999999999999989</v>
      </c>
      <c r="BP145" s="55">
        <f t="shared" si="989"/>
        <v>0.72999999999999987</v>
      </c>
      <c r="BQ145" s="55">
        <f t="shared" si="989"/>
        <v>0.70999999999999985</v>
      </c>
      <c r="BR145" s="55">
        <f t="shared" si="989"/>
        <v>0.68999999999999984</v>
      </c>
      <c r="BS145" s="55">
        <f t="shared" si="989"/>
        <v>0.66999999999999982</v>
      </c>
      <c r="BT145" s="55">
        <f t="shared" si="989"/>
        <v>0.6499999999999998</v>
      </c>
      <c r="BU145" s="55">
        <f t="shared" si="989"/>
        <v>0.62999999999999978</v>
      </c>
      <c r="BV145" s="55">
        <f t="shared" si="989"/>
        <v>0.60999999999999976</v>
      </c>
      <c r="BW145" s="55">
        <f t="shared" si="989"/>
        <v>0.58999999999999975</v>
      </c>
      <c r="BX145" s="55">
        <f t="shared" si="989"/>
        <v>0.56999999999999973</v>
      </c>
      <c r="BZ145" s="55">
        <f t="shared" si="515"/>
        <v>3193.1900000000005</v>
      </c>
      <c r="CA145" s="55">
        <f t="shared" si="516"/>
        <v>3193.1900000000005</v>
      </c>
      <c r="CB145" s="59">
        <f t="shared" si="990"/>
        <v>10556.047502000001</v>
      </c>
      <c r="CC145" s="55">
        <f t="shared" si="991"/>
        <v>3097.3943000000004</v>
      </c>
      <c r="CD145" s="59">
        <f t="shared" si="992"/>
        <v>10239.366076940001</v>
      </c>
      <c r="CE145" s="55">
        <f t="shared" si="993"/>
        <v>3033.5305000000003</v>
      </c>
      <c r="CF145" s="59">
        <f t="shared" si="994"/>
        <v>10028.245126900001</v>
      </c>
      <c r="CG145" s="55">
        <f t="shared" si="995"/>
        <v>2969.6667000000007</v>
      </c>
      <c r="CH145" s="59">
        <f t="shared" si="996"/>
        <v>9817.124176860003</v>
      </c>
      <c r="CI145" s="57">
        <f t="shared" si="997"/>
        <v>2905.8029000000006</v>
      </c>
      <c r="CJ145" s="59">
        <f t="shared" si="998"/>
        <v>9606.003226820003</v>
      </c>
      <c r="CK145" s="55">
        <f t="shared" si="999"/>
        <v>2841.9391000000005</v>
      </c>
      <c r="CL145" s="59">
        <f t="shared" si="1000"/>
        <v>9394.8822767800011</v>
      </c>
      <c r="CM145" s="57">
        <f t="shared" si="1001"/>
        <v>2778.0753000000004</v>
      </c>
      <c r="CN145" s="59">
        <f t="shared" si="1002"/>
        <v>9183.7613267400011</v>
      </c>
      <c r="CO145" s="60">
        <f t="shared" si="1003"/>
        <v>2714.2115000000003</v>
      </c>
      <c r="CP145" s="59">
        <f t="shared" si="1004"/>
        <v>8972.6403767000011</v>
      </c>
      <c r="CQ145" s="57">
        <f t="shared" si="1005"/>
        <v>2650.3477000000003</v>
      </c>
      <c r="CR145" s="59">
        <f t="shared" si="1006"/>
        <v>8761.519426660001</v>
      </c>
      <c r="CS145" s="55">
        <f t="shared" si="1007"/>
        <v>2586.4839000000002</v>
      </c>
      <c r="CT145" s="59">
        <f t="shared" si="1008"/>
        <v>8550.398476620001</v>
      </c>
      <c r="CU145" s="60">
        <f t="shared" si="1009"/>
        <v>2522.6201000000001</v>
      </c>
      <c r="CV145" s="59">
        <f t="shared" si="1010"/>
        <v>8339.277526580001</v>
      </c>
      <c r="CW145" s="60">
        <f t="shared" si="1011"/>
        <v>2458.7563</v>
      </c>
      <c r="CX145" s="59">
        <f t="shared" si="1012"/>
        <v>8128.1565765400001</v>
      </c>
      <c r="CY145" s="60">
        <f t="shared" si="1013"/>
        <v>2394.8924999999999</v>
      </c>
      <c r="CZ145" s="59">
        <f t="shared" si="1014"/>
        <v>7917.0356265</v>
      </c>
      <c r="DA145" s="55">
        <f t="shared" si="1015"/>
        <v>2331.0286999999998</v>
      </c>
      <c r="DB145" s="59">
        <f t="shared" si="1016"/>
        <v>7705.91467646</v>
      </c>
      <c r="DC145" s="60">
        <f t="shared" si="1017"/>
        <v>2267.1648999999998</v>
      </c>
      <c r="DD145" s="59">
        <f t="shared" si="1018"/>
        <v>7494.7937264199991</v>
      </c>
      <c r="DE145" s="60">
        <f t="shared" si="1019"/>
        <v>2203.3010999999997</v>
      </c>
      <c r="DF145" s="59">
        <f t="shared" si="1020"/>
        <v>7283.672776379999</v>
      </c>
      <c r="DG145" s="60">
        <f t="shared" si="1021"/>
        <v>2139.4372999999996</v>
      </c>
      <c r="DH145" s="59">
        <f t="shared" si="1022"/>
        <v>7072.551826339999</v>
      </c>
      <c r="DI145" s="60">
        <f t="shared" si="1023"/>
        <v>2075.5734999999995</v>
      </c>
      <c r="DJ145" s="59">
        <f t="shared" si="1024"/>
        <v>6861.4308762999981</v>
      </c>
      <c r="DK145" s="55">
        <f t="shared" si="1025"/>
        <v>2011.7096999999997</v>
      </c>
      <c r="DL145" s="59">
        <f t="shared" si="1026"/>
        <v>6650.309926259999</v>
      </c>
      <c r="DM145" s="60">
        <f t="shared" si="1027"/>
        <v>1947.8458999999996</v>
      </c>
      <c r="DN145" s="59">
        <f t="shared" si="1028"/>
        <v>6439.1889762199989</v>
      </c>
      <c r="DO145" s="60">
        <f t="shared" si="1029"/>
        <v>1883.9820999999995</v>
      </c>
      <c r="DP145" s="59">
        <f t="shared" si="1030"/>
        <v>6228.068026179998</v>
      </c>
      <c r="DQ145" s="55">
        <f t="shared" si="1031"/>
        <v>1820.1182999999994</v>
      </c>
      <c r="DR145" s="59">
        <f t="shared" si="1032"/>
        <v>6016.947076139998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40"/>
        <v>0.91</v>
      </c>
      <c r="DZ145" s="55">
        <f t="shared" si="940"/>
        <v>0.89</v>
      </c>
      <c r="EA145" s="55">
        <f t="shared" si="940"/>
        <v>0.87</v>
      </c>
      <c r="EB145" s="55">
        <f t="shared" si="940"/>
        <v>0.85</v>
      </c>
      <c r="EC145" s="55">
        <f t="shared" si="940"/>
        <v>0.83</v>
      </c>
      <c r="ED145" s="55">
        <f t="shared" si="940"/>
        <v>0.80999999999999994</v>
      </c>
      <c r="EE145" s="55">
        <f t="shared" si="940"/>
        <v>0.78999999999999992</v>
      </c>
      <c r="EF145" s="55">
        <f t="shared" si="940"/>
        <v>0.76999999999999991</v>
      </c>
      <c r="EG145" s="55">
        <f t="shared" si="940"/>
        <v>0.74999999999999989</v>
      </c>
      <c r="EH145" s="55">
        <f t="shared" si="940"/>
        <v>0.72999999999999987</v>
      </c>
      <c r="EI145" s="55">
        <f t="shared" si="940"/>
        <v>0.70999999999999985</v>
      </c>
      <c r="EJ145" s="55">
        <f t="shared" si="940"/>
        <v>0.68999999999999984</v>
      </c>
      <c r="EK145" s="55">
        <f t="shared" si="940"/>
        <v>0.66999999999999982</v>
      </c>
      <c r="EL145" s="55">
        <f t="shared" si="940"/>
        <v>0.6499999999999998</v>
      </c>
      <c r="EM145" s="55">
        <f t="shared" si="940"/>
        <v>0.62999999999999978</v>
      </c>
      <c r="EN145" s="55">
        <f t="shared" si="940"/>
        <v>0.60999999999999976</v>
      </c>
      <c r="EO145" s="55">
        <f t="shared" si="940"/>
        <v>0.58999999999999975</v>
      </c>
      <c r="EP145" s="55">
        <f t="shared" si="940"/>
        <v>0.56999999999999973</v>
      </c>
      <c r="ER145" s="55">
        <f t="shared" si="656"/>
        <v>2905.8029000000006</v>
      </c>
      <c r="ES145" s="55">
        <f t="shared" si="517"/>
        <v>2905.8029000000006</v>
      </c>
      <c r="ET145" s="59">
        <f t="shared" si="1033"/>
        <v>9606.003226820003</v>
      </c>
      <c r="EU145" s="55">
        <f t="shared" si="1034"/>
        <v>2818.6288130000007</v>
      </c>
      <c r="EV145" s="59">
        <f t="shared" si="1035"/>
        <v>9317.8231300154021</v>
      </c>
      <c r="EW145" s="55">
        <f t="shared" si="1036"/>
        <v>2760.5127550000007</v>
      </c>
      <c r="EX145" s="59">
        <f t="shared" si="1037"/>
        <v>9125.7030654790015</v>
      </c>
      <c r="EY145" s="55">
        <f t="shared" si="1038"/>
        <v>2702.3966970000006</v>
      </c>
      <c r="EZ145" s="59">
        <f t="shared" si="1039"/>
        <v>8933.5830009426027</v>
      </c>
      <c r="FA145" s="57">
        <f t="shared" si="1040"/>
        <v>2644.2806390000005</v>
      </c>
      <c r="FB145" s="59">
        <f t="shared" si="1041"/>
        <v>8741.4629364062021</v>
      </c>
      <c r="FC145" s="55">
        <f t="shared" si="1042"/>
        <v>2586.1645810000005</v>
      </c>
      <c r="FD145" s="59">
        <f t="shared" si="1043"/>
        <v>8549.3428718698015</v>
      </c>
      <c r="FE145" s="57">
        <f t="shared" si="1044"/>
        <v>2528.0485230000004</v>
      </c>
      <c r="FF145" s="59">
        <f t="shared" si="1045"/>
        <v>8357.2228073334009</v>
      </c>
      <c r="FG145" s="60">
        <f t="shared" si="1046"/>
        <v>2469.9324650000003</v>
      </c>
      <c r="FH145" s="59">
        <f t="shared" si="1047"/>
        <v>8165.1027427970012</v>
      </c>
      <c r="FI145" s="57">
        <f t="shared" si="1048"/>
        <v>2411.8164070000003</v>
      </c>
      <c r="FJ145" s="59">
        <f t="shared" si="1049"/>
        <v>7972.9826782606015</v>
      </c>
      <c r="FK145" s="55">
        <f t="shared" si="1050"/>
        <v>2353.7003490000002</v>
      </c>
      <c r="FL145" s="59">
        <f t="shared" si="1051"/>
        <v>7780.8626137242009</v>
      </c>
      <c r="FM145" s="60">
        <f t="shared" si="1052"/>
        <v>2295.5842910000001</v>
      </c>
      <c r="FN145" s="59">
        <f t="shared" si="1053"/>
        <v>7588.7425491878003</v>
      </c>
      <c r="FO145" s="60">
        <f t="shared" si="1054"/>
        <v>2237.4682330000001</v>
      </c>
      <c r="FP145" s="59">
        <f t="shared" si="1055"/>
        <v>7396.6224846514006</v>
      </c>
      <c r="FQ145" s="60">
        <f t="shared" si="1056"/>
        <v>2179.352175</v>
      </c>
      <c r="FR145" s="59">
        <f t="shared" si="1057"/>
        <v>7204.5024201149999</v>
      </c>
      <c r="FS145" s="55">
        <f t="shared" si="1058"/>
        <v>2121.2361169999999</v>
      </c>
      <c r="FT145" s="59">
        <f t="shared" si="1059"/>
        <v>7012.3823555786003</v>
      </c>
      <c r="FU145" s="60">
        <f t="shared" si="1060"/>
        <v>2063.1200589999999</v>
      </c>
      <c r="FV145" s="59">
        <f t="shared" si="1061"/>
        <v>6820.2622910421996</v>
      </c>
      <c r="FW145" s="60">
        <f t="shared" si="1062"/>
        <v>2005.004001</v>
      </c>
      <c r="FX145" s="59">
        <f t="shared" si="1063"/>
        <v>6628.1422265058</v>
      </c>
      <c r="FY145" s="60">
        <f t="shared" si="1064"/>
        <v>1946.887943</v>
      </c>
      <c r="FZ145" s="59">
        <f t="shared" si="1065"/>
        <v>6436.0221619694003</v>
      </c>
      <c r="GA145" s="60">
        <f t="shared" si="1066"/>
        <v>1888.7718849999999</v>
      </c>
      <c r="GB145" s="59">
        <f t="shared" si="1067"/>
        <v>6243.9020974329997</v>
      </c>
      <c r="GC145" s="55">
        <f t="shared" si="1068"/>
        <v>1830.6558269999998</v>
      </c>
      <c r="GD145" s="59">
        <f t="shared" si="1069"/>
        <v>6051.7820328966</v>
      </c>
      <c r="GE145" s="60">
        <f t="shared" si="1070"/>
        <v>1772.5397689999998</v>
      </c>
      <c r="GF145" s="59">
        <f t="shared" si="1071"/>
        <v>5859.6619683601994</v>
      </c>
      <c r="GG145" s="60">
        <f t="shared" si="1072"/>
        <v>1714.4237109999997</v>
      </c>
      <c r="GH145" s="59">
        <f t="shared" si="1073"/>
        <v>5667.5419038237987</v>
      </c>
      <c r="GI145" s="55">
        <f t="shared" si="1074"/>
        <v>1656.3076529999996</v>
      </c>
      <c r="GJ145" s="59">
        <f t="shared" si="1075"/>
        <v>5475.4218392873991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41"/>
        <v>0.91</v>
      </c>
      <c r="GR145" s="55">
        <f t="shared" si="941"/>
        <v>0.89</v>
      </c>
      <c r="GS145" s="55">
        <f t="shared" si="941"/>
        <v>0.87</v>
      </c>
      <c r="GT145" s="55">
        <f t="shared" si="941"/>
        <v>0.85</v>
      </c>
      <c r="GU145" s="55">
        <f t="shared" si="941"/>
        <v>0.83</v>
      </c>
      <c r="GV145" s="55">
        <f t="shared" si="941"/>
        <v>0.80999999999999994</v>
      </c>
      <c r="GW145" s="55">
        <f t="shared" si="941"/>
        <v>0.78999999999999992</v>
      </c>
      <c r="GX145" s="55">
        <f t="shared" si="941"/>
        <v>0.76999999999999991</v>
      </c>
      <c r="GY145" s="55">
        <f t="shared" si="941"/>
        <v>0.74999999999999989</v>
      </c>
      <c r="GZ145" s="55">
        <f t="shared" si="941"/>
        <v>0.72999999999999987</v>
      </c>
      <c r="HA145" s="55">
        <f t="shared" si="941"/>
        <v>0.70999999999999985</v>
      </c>
      <c r="HB145" s="55">
        <f t="shared" si="941"/>
        <v>0.68999999999999984</v>
      </c>
      <c r="HC145" s="55">
        <f t="shared" si="941"/>
        <v>0.66999999999999982</v>
      </c>
      <c r="HD145" s="55">
        <f t="shared" si="941"/>
        <v>0.6499999999999998</v>
      </c>
      <c r="HE145" s="55">
        <f t="shared" si="941"/>
        <v>0.62999999999999978</v>
      </c>
      <c r="HF145" s="55">
        <f t="shared" si="941"/>
        <v>0.60999999999999976</v>
      </c>
      <c r="HG145" s="55">
        <f t="shared" si="941"/>
        <v>0.58999999999999975</v>
      </c>
      <c r="HH145" s="55">
        <f t="shared" si="941"/>
        <v>0.56999999999999973</v>
      </c>
    </row>
    <row r="146" spans="1:216" x14ac:dyDescent="0.3">
      <c r="A146" s="2">
        <v>4</v>
      </c>
      <c r="C146" s="38" t="s">
        <v>47</v>
      </c>
      <c r="D146" s="42">
        <f>TRUNC(5023+627,-1)</f>
        <v>5650</v>
      </c>
      <c r="E146" s="71">
        <f>TRUNC(+D146*3.3058,-1)</f>
        <v>18670</v>
      </c>
      <c r="F146" s="2" t="s">
        <v>312</v>
      </c>
      <c r="H146" s="55">
        <f t="shared" si="946"/>
        <v>6215.0000000000009</v>
      </c>
      <c r="I146" s="55">
        <f t="shared" si="513"/>
        <v>6215.0000000000009</v>
      </c>
      <c r="J146" s="59">
        <f t="shared" si="514"/>
        <v>20545.547000000002</v>
      </c>
      <c r="K146" s="55">
        <f t="shared" si="947"/>
        <v>6028.5500000000011</v>
      </c>
      <c r="L146" s="59">
        <f t="shared" si="948"/>
        <v>19929.180590000004</v>
      </c>
      <c r="M146" s="55">
        <f t="shared" si="949"/>
        <v>5904.2500000000009</v>
      </c>
      <c r="N146" s="59">
        <f t="shared" si="950"/>
        <v>19518.269650000002</v>
      </c>
      <c r="O146" s="55">
        <f t="shared" si="951"/>
        <v>5779.9500000000007</v>
      </c>
      <c r="P146" s="59">
        <f t="shared" si="952"/>
        <v>19107.358710000004</v>
      </c>
      <c r="Q146" s="57">
        <f t="shared" si="953"/>
        <v>5655.6500000000015</v>
      </c>
      <c r="R146" s="59">
        <f t="shared" si="954"/>
        <v>18696.447770000006</v>
      </c>
      <c r="S146" s="55">
        <f t="shared" si="955"/>
        <v>5531.3500000000013</v>
      </c>
      <c r="T146" s="59">
        <f t="shared" si="956"/>
        <v>18285.536830000005</v>
      </c>
      <c r="U146" s="57">
        <f t="shared" si="957"/>
        <v>5407.0500000000011</v>
      </c>
      <c r="V146" s="59">
        <f t="shared" si="958"/>
        <v>17874.625890000003</v>
      </c>
      <c r="W146" s="60">
        <f t="shared" si="959"/>
        <v>5282.7500000000009</v>
      </c>
      <c r="X146" s="59">
        <f t="shared" si="960"/>
        <v>17463.714950000005</v>
      </c>
      <c r="Y146" s="57">
        <f t="shared" si="961"/>
        <v>5158.4500000000007</v>
      </c>
      <c r="Z146" s="59">
        <f t="shared" si="962"/>
        <v>17052.804010000003</v>
      </c>
      <c r="AA146" s="55">
        <f t="shared" si="963"/>
        <v>5034.1500000000005</v>
      </c>
      <c r="AB146" s="59">
        <f t="shared" si="964"/>
        <v>16641.893070000002</v>
      </c>
      <c r="AC146" s="60">
        <f t="shared" si="965"/>
        <v>4909.8500000000004</v>
      </c>
      <c r="AD146" s="59">
        <f t="shared" si="966"/>
        <v>16230.982130000002</v>
      </c>
      <c r="AE146" s="60">
        <f t="shared" si="967"/>
        <v>4785.55</v>
      </c>
      <c r="AF146" s="59">
        <f t="shared" si="968"/>
        <v>15820.071190000001</v>
      </c>
      <c r="AG146" s="60">
        <f t="shared" si="969"/>
        <v>4661.25</v>
      </c>
      <c r="AH146" s="59">
        <f t="shared" si="970"/>
        <v>15409.160250000001</v>
      </c>
      <c r="AI146" s="55">
        <f t="shared" si="971"/>
        <v>4536.95</v>
      </c>
      <c r="AJ146" s="59">
        <f t="shared" si="972"/>
        <v>14998.249309999999</v>
      </c>
      <c r="AK146" s="60">
        <f t="shared" si="973"/>
        <v>4412.6499999999996</v>
      </c>
      <c r="AL146" s="59">
        <f t="shared" si="974"/>
        <v>14587.338369999999</v>
      </c>
      <c r="AM146" s="60">
        <f t="shared" si="975"/>
        <v>4288.3499999999995</v>
      </c>
      <c r="AN146" s="59">
        <f t="shared" si="976"/>
        <v>14176.427429999998</v>
      </c>
      <c r="AO146" s="60">
        <f t="shared" si="977"/>
        <v>4164.0499999999993</v>
      </c>
      <c r="AP146" s="59">
        <f t="shared" si="978"/>
        <v>13765.516489999998</v>
      </c>
      <c r="AQ146" s="60">
        <f t="shared" si="979"/>
        <v>4039.7499999999995</v>
      </c>
      <c r="AR146" s="59">
        <f t="shared" si="980"/>
        <v>13354.605549999998</v>
      </c>
      <c r="AS146" s="55">
        <f t="shared" si="981"/>
        <v>3915.4499999999994</v>
      </c>
      <c r="AT146" s="59">
        <f t="shared" si="982"/>
        <v>12943.694609999999</v>
      </c>
      <c r="AU146" s="60">
        <f t="shared" si="983"/>
        <v>3791.1499999999992</v>
      </c>
      <c r="AV146" s="59">
        <f t="shared" si="984"/>
        <v>12532.783669999997</v>
      </c>
      <c r="AW146" s="60">
        <f t="shared" si="985"/>
        <v>3666.849999999999</v>
      </c>
      <c r="AX146" s="59">
        <f t="shared" si="986"/>
        <v>12121.872729999997</v>
      </c>
      <c r="AY146" s="55">
        <f t="shared" si="987"/>
        <v>3542.5499999999988</v>
      </c>
      <c r="AZ146" s="59">
        <f t="shared" si="988"/>
        <v>11710.961789999996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89"/>
        <v>0.91</v>
      </c>
      <c r="BH146" s="55">
        <f t="shared" si="989"/>
        <v>0.89</v>
      </c>
      <c r="BI146" s="55">
        <f t="shared" si="989"/>
        <v>0.87</v>
      </c>
      <c r="BJ146" s="55">
        <f t="shared" si="989"/>
        <v>0.85</v>
      </c>
      <c r="BK146" s="55">
        <f t="shared" si="989"/>
        <v>0.83</v>
      </c>
      <c r="BL146" s="55">
        <f t="shared" si="989"/>
        <v>0.80999999999999994</v>
      </c>
      <c r="BM146" s="55">
        <f t="shared" si="989"/>
        <v>0.78999999999999992</v>
      </c>
      <c r="BN146" s="55">
        <f t="shared" si="989"/>
        <v>0.76999999999999991</v>
      </c>
      <c r="BO146" s="55">
        <f t="shared" si="989"/>
        <v>0.74999999999999989</v>
      </c>
      <c r="BP146" s="55">
        <f t="shared" si="989"/>
        <v>0.72999999999999987</v>
      </c>
      <c r="BQ146" s="55">
        <f t="shared" si="989"/>
        <v>0.70999999999999985</v>
      </c>
      <c r="BR146" s="55">
        <f t="shared" si="989"/>
        <v>0.68999999999999984</v>
      </c>
      <c r="BS146" s="55">
        <f t="shared" si="989"/>
        <v>0.66999999999999982</v>
      </c>
      <c r="BT146" s="55">
        <f t="shared" si="989"/>
        <v>0.6499999999999998</v>
      </c>
      <c r="BU146" s="55">
        <f t="shared" si="989"/>
        <v>0.62999999999999978</v>
      </c>
      <c r="BV146" s="55">
        <f t="shared" si="989"/>
        <v>0.60999999999999976</v>
      </c>
      <c r="BW146" s="55">
        <f t="shared" si="989"/>
        <v>0.58999999999999975</v>
      </c>
      <c r="BX146" s="55">
        <f t="shared" si="989"/>
        <v>0.56999999999999973</v>
      </c>
      <c r="BZ146" s="55">
        <f t="shared" si="515"/>
        <v>5655.6500000000015</v>
      </c>
      <c r="CA146" s="55">
        <f t="shared" si="516"/>
        <v>5655.6500000000015</v>
      </c>
      <c r="CB146" s="59">
        <f t="shared" si="990"/>
        <v>18696.447770000006</v>
      </c>
      <c r="CC146" s="55">
        <f t="shared" si="991"/>
        <v>5485.9805000000015</v>
      </c>
      <c r="CD146" s="59">
        <f t="shared" si="992"/>
        <v>18135.554336900004</v>
      </c>
      <c r="CE146" s="55">
        <f t="shared" si="993"/>
        <v>5372.8675000000012</v>
      </c>
      <c r="CF146" s="59">
        <f t="shared" si="994"/>
        <v>17761.625381500005</v>
      </c>
      <c r="CG146" s="55">
        <f t="shared" si="995"/>
        <v>5259.7545000000018</v>
      </c>
      <c r="CH146" s="59">
        <f t="shared" si="996"/>
        <v>17387.696426100007</v>
      </c>
      <c r="CI146" s="57">
        <f t="shared" si="997"/>
        <v>5146.6415000000015</v>
      </c>
      <c r="CJ146" s="59">
        <f t="shared" si="998"/>
        <v>17013.767470700004</v>
      </c>
      <c r="CK146" s="55">
        <f t="shared" si="999"/>
        <v>5033.5285000000013</v>
      </c>
      <c r="CL146" s="59">
        <f t="shared" si="1000"/>
        <v>16639.838515300005</v>
      </c>
      <c r="CM146" s="57">
        <f t="shared" si="1001"/>
        <v>4920.415500000001</v>
      </c>
      <c r="CN146" s="59">
        <f t="shared" si="1002"/>
        <v>16265.909559900003</v>
      </c>
      <c r="CO146" s="60">
        <f t="shared" si="1003"/>
        <v>4807.3025000000007</v>
      </c>
      <c r="CP146" s="59">
        <f t="shared" si="1004"/>
        <v>15891.980604500002</v>
      </c>
      <c r="CQ146" s="57">
        <f t="shared" si="1005"/>
        <v>4694.1895000000013</v>
      </c>
      <c r="CR146" s="59">
        <f t="shared" si="1006"/>
        <v>15518.051649100005</v>
      </c>
      <c r="CS146" s="55">
        <f t="shared" si="1007"/>
        <v>4581.076500000001</v>
      </c>
      <c r="CT146" s="59">
        <f t="shared" si="1008"/>
        <v>15144.122693700003</v>
      </c>
      <c r="CU146" s="60">
        <f t="shared" si="1009"/>
        <v>4467.9635000000007</v>
      </c>
      <c r="CV146" s="59">
        <f t="shared" si="1010"/>
        <v>14770.193738300002</v>
      </c>
      <c r="CW146" s="60">
        <f t="shared" si="1011"/>
        <v>4354.8505000000005</v>
      </c>
      <c r="CX146" s="59">
        <f t="shared" si="1012"/>
        <v>14396.264782900002</v>
      </c>
      <c r="CY146" s="60">
        <f t="shared" si="1013"/>
        <v>4241.7375000000002</v>
      </c>
      <c r="CZ146" s="59">
        <f t="shared" si="1014"/>
        <v>14022.335827500001</v>
      </c>
      <c r="DA146" s="55">
        <f t="shared" si="1015"/>
        <v>4128.6244999999999</v>
      </c>
      <c r="DB146" s="59">
        <f t="shared" si="1016"/>
        <v>13648.4068721</v>
      </c>
      <c r="DC146" s="60">
        <f t="shared" si="1017"/>
        <v>4015.5115000000001</v>
      </c>
      <c r="DD146" s="59">
        <f t="shared" si="1018"/>
        <v>13274.4779167</v>
      </c>
      <c r="DE146" s="60">
        <f t="shared" si="1019"/>
        <v>3902.3985000000002</v>
      </c>
      <c r="DF146" s="59">
        <f t="shared" si="1020"/>
        <v>12900.548961300001</v>
      </c>
      <c r="DG146" s="60">
        <f t="shared" si="1021"/>
        <v>3789.2855</v>
      </c>
      <c r="DH146" s="59">
        <f t="shared" si="1022"/>
        <v>12526.6200059</v>
      </c>
      <c r="DI146" s="60">
        <f t="shared" si="1023"/>
        <v>3676.1724999999997</v>
      </c>
      <c r="DJ146" s="59">
        <f t="shared" si="1024"/>
        <v>12152.6910505</v>
      </c>
      <c r="DK146" s="55">
        <f t="shared" si="1025"/>
        <v>3563.0594999999998</v>
      </c>
      <c r="DL146" s="59">
        <f t="shared" si="1026"/>
        <v>11778.762095099999</v>
      </c>
      <c r="DM146" s="60">
        <f t="shared" si="1027"/>
        <v>3449.9464999999996</v>
      </c>
      <c r="DN146" s="59">
        <f t="shared" si="1028"/>
        <v>11404.833139699998</v>
      </c>
      <c r="DO146" s="60">
        <f t="shared" si="1029"/>
        <v>3336.8334999999993</v>
      </c>
      <c r="DP146" s="59">
        <f t="shared" si="1030"/>
        <v>11030.904184299998</v>
      </c>
      <c r="DQ146" s="55">
        <f t="shared" si="1031"/>
        <v>3223.7204999999994</v>
      </c>
      <c r="DR146" s="59">
        <f t="shared" si="1032"/>
        <v>10656.975228899999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40"/>
        <v>0.91</v>
      </c>
      <c r="DZ146" s="55">
        <f t="shared" si="940"/>
        <v>0.89</v>
      </c>
      <c r="EA146" s="55">
        <f t="shared" si="940"/>
        <v>0.87</v>
      </c>
      <c r="EB146" s="55">
        <f t="shared" si="940"/>
        <v>0.85</v>
      </c>
      <c r="EC146" s="55">
        <f t="shared" si="940"/>
        <v>0.83</v>
      </c>
      <c r="ED146" s="55">
        <f t="shared" si="940"/>
        <v>0.80999999999999994</v>
      </c>
      <c r="EE146" s="55">
        <f t="shared" si="940"/>
        <v>0.78999999999999992</v>
      </c>
      <c r="EF146" s="55">
        <f t="shared" si="940"/>
        <v>0.76999999999999991</v>
      </c>
      <c r="EG146" s="55">
        <f t="shared" si="940"/>
        <v>0.74999999999999989</v>
      </c>
      <c r="EH146" s="55">
        <f t="shared" si="940"/>
        <v>0.72999999999999987</v>
      </c>
      <c r="EI146" s="55">
        <f t="shared" si="940"/>
        <v>0.70999999999999985</v>
      </c>
      <c r="EJ146" s="55">
        <f t="shared" si="940"/>
        <v>0.68999999999999984</v>
      </c>
      <c r="EK146" s="55">
        <f t="shared" si="940"/>
        <v>0.66999999999999982</v>
      </c>
      <c r="EL146" s="55">
        <f t="shared" si="940"/>
        <v>0.6499999999999998</v>
      </c>
      <c r="EM146" s="55">
        <f t="shared" si="940"/>
        <v>0.62999999999999978</v>
      </c>
      <c r="EN146" s="55">
        <f t="shared" si="940"/>
        <v>0.60999999999999976</v>
      </c>
      <c r="EO146" s="55">
        <f t="shared" si="940"/>
        <v>0.58999999999999975</v>
      </c>
      <c r="EP146" s="55">
        <f t="shared" si="940"/>
        <v>0.56999999999999973</v>
      </c>
      <c r="ER146" s="55">
        <f t="shared" si="656"/>
        <v>5146.6415000000015</v>
      </c>
      <c r="ES146" s="55">
        <f t="shared" si="517"/>
        <v>5146.6415000000015</v>
      </c>
      <c r="ET146" s="59">
        <f t="shared" si="1033"/>
        <v>17013.767470700004</v>
      </c>
      <c r="EU146" s="55">
        <f t="shared" si="1034"/>
        <v>4992.242255000001</v>
      </c>
      <c r="EV146" s="59">
        <f t="shared" si="1035"/>
        <v>16503.354446579004</v>
      </c>
      <c r="EW146" s="55">
        <f t="shared" si="1036"/>
        <v>4889.3094250000013</v>
      </c>
      <c r="EX146" s="59">
        <f t="shared" si="1037"/>
        <v>16163.079097165004</v>
      </c>
      <c r="EY146" s="55">
        <f t="shared" si="1038"/>
        <v>4786.3765950000015</v>
      </c>
      <c r="EZ146" s="59">
        <f t="shared" si="1039"/>
        <v>15822.803747751006</v>
      </c>
      <c r="FA146" s="57">
        <f t="shared" si="1040"/>
        <v>4683.4437650000018</v>
      </c>
      <c r="FB146" s="59">
        <f t="shared" si="1041"/>
        <v>15482.528398337006</v>
      </c>
      <c r="FC146" s="55">
        <f t="shared" si="1042"/>
        <v>4580.5109350000012</v>
      </c>
      <c r="FD146" s="59">
        <f t="shared" si="1043"/>
        <v>15142.253048923005</v>
      </c>
      <c r="FE146" s="57">
        <f t="shared" si="1044"/>
        <v>4477.5781050000014</v>
      </c>
      <c r="FF146" s="59">
        <f t="shared" si="1045"/>
        <v>14801.977699509005</v>
      </c>
      <c r="FG146" s="60">
        <f t="shared" si="1046"/>
        <v>4374.6452750000008</v>
      </c>
      <c r="FH146" s="59">
        <f t="shared" si="1047"/>
        <v>14461.702350095004</v>
      </c>
      <c r="FI146" s="57">
        <f t="shared" si="1048"/>
        <v>4271.712445000001</v>
      </c>
      <c r="FJ146" s="59">
        <f t="shared" si="1049"/>
        <v>14121.427000681004</v>
      </c>
      <c r="FK146" s="55">
        <f t="shared" si="1050"/>
        <v>4168.7796150000013</v>
      </c>
      <c r="FL146" s="59">
        <f t="shared" si="1051"/>
        <v>13781.151651267004</v>
      </c>
      <c r="FM146" s="60">
        <f t="shared" si="1052"/>
        <v>4065.8467850000006</v>
      </c>
      <c r="FN146" s="59">
        <f t="shared" si="1053"/>
        <v>13440.876301853003</v>
      </c>
      <c r="FO146" s="60">
        <f t="shared" si="1054"/>
        <v>3962.9139550000009</v>
      </c>
      <c r="FP146" s="59">
        <f t="shared" si="1055"/>
        <v>13100.600952439003</v>
      </c>
      <c r="FQ146" s="60">
        <f t="shared" si="1056"/>
        <v>3859.9811250000007</v>
      </c>
      <c r="FR146" s="59">
        <f t="shared" si="1057"/>
        <v>12760.325603025003</v>
      </c>
      <c r="FS146" s="55">
        <f t="shared" si="1058"/>
        <v>3757.0482950000005</v>
      </c>
      <c r="FT146" s="59">
        <f t="shared" si="1059"/>
        <v>12420.050253611002</v>
      </c>
      <c r="FU146" s="60">
        <f t="shared" si="1060"/>
        <v>3654.1154650000003</v>
      </c>
      <c r="FV146" s="59">
        <f t="shared" si="1061"/>
        <v>12079.774904197002</v>
      </c>
      <c r="FW146" s="60">
        <f t="shared" si="1062"/>
        <v>3551.1826350000001</v>
      </c>
      <c r="FX146" s="59">
        <f t="shared" si="1063"/>
        <v>11739.499554783</v>
      </c>
      <c r="FY146" s="60">
        <f t="shared" si="1064"/>
        <v>3448.2498049999999</v>
      </c>
      <c r="FZ146" s="59">
        <f t="shared" si="1065"/>
        <v>11399.224205369001</v>
      </c>
      <c r="GA146" s="60">
        <f t="shared" si="1066"/>
        <v>3345.3169750000002</v>
      </c>
      <c r="GB146" s="59">
        <f t="shared" si="1067"/>
        <v>11058.948855955001</v>
      </c>
      <c r="GC146" s="55">
        <f t="shared" si="1068"/>
        <v>3242.384145</v>
      </c>
      <c r="GD146" s="59">
        <f t="shared" si="1069"/>
        <v>10718.673506540999</v>
      </c>
      <c r="GE146" s="60">
        <f t="shared" si="1070"/>
        <v>3139.4513149999998</v>
      </c>
      <c r="GF146" s="59">
        <f t="shared" si="1071"/>
        <v>10378.398157127</v>
      </c>
      <c r="GG146" s="60">
        <f t="shared" si="1072"/>
        <v>3036.5184849999996</v>
      </c>
      <c r="GH146" s="59">
        <f t="shared" si="1073"/>
        <v>10038.122807712998</v>
      </c>
      <c r="GI146" s="55">
        <f t="shared" si="1074"/>
        <v>2933.5856549999994</v>
      </c>
      <c r="GJ146" s="59">
        <f t="shared" si="1075"/>
        <v>9697.8474582989984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41"/>
        <v>0.91</v>
      </c>
      <c r="GR146" s="55">
        <f t="shared" si="941"/>
        <v>0.89</v>
      </c>
      <c r="GS146" s="55">
        <f t="shared" si="941"/>
        <v>0.87</v>
      </c>
      <c r="GT146" s="55">
        <f t="shared" si="941"/>
        <v>0.85</v>
      </c>
      <c r="GU146" s="55">
        <f t="shared" si="941"/>
        <v>0.83</v>
      </c>
      <c r="GV146" s="55">
        <f t="shared" si="941"/>
        <v>0.80999999999999994</v>
      </c>
      <c r="GW146" s="55">
        <f t="shared" si="941"/>
        <v>0.78999999999999992</v>
      </c>
      <c r="GX146" s="55">
        <f t="shared" si="941"/>
        <v>0.76999999999999991</v>
      </c>
      <c r="GY146" s="55">
        <f t="shared" si="941"/>
        <v>0.74999999999999989</v>
      </c>
      <c r="GZ146" s="55">
        <f t="shared" si="941"/>
        <v>0.72999999999999987</v>
      </c>
      <c r="HA146" s="55">
        <f t="shared" si="941"/>
        <v>0.70999999999999985</v>
      </c>
      <c r="HB146" s="55">
        <f t="shared" si="941"/>
        <v>0.68999999999999984</v>
      </c>
      <c r="HC146" s="55">
        <f t="shared" si="941"/>
        <v>0.66999999999999982</v>
      </c>
      <c r="HD146" s="55">
        <f t="shared" si="941"/>
        <v>0.6499999999999998</v>
      </c>
      <c r="HE146" s="55">
        <f t="shared" si="941"/>
        <v>0.62999999999999978</v>
      </c>
      <c r="HF146" s="55">
        <f t="shared" si="941"/>
        <v>0.60999999999999976</v>
      </c>
      <c r="HG146" s="55">
        <f t="shared" si="941"/>
        <v>0.58999999999999975</v>
      </c>
      <c r="HH146" s="55">
        <f t="shared" si="941"/>
        <v>0.56999999999999973</v>
      </c>
    </row>
    <row r="147" spans="1:216" ht="17.25" thickBot="1" x14ac:dyDescent="0.35">
      <c r="A147" s="2">
        <v>5</v>
      </c>
      <c r="C147" s="38" t="s">
        <v>149</v>
      </c>
      <c r="D147" s="43">
        <f>TRUNC(32155,-1)</f>
        <v>32150</v>
      </c>
      <c r="E147" s="72">
        <f>TRUNC(+D147*3.3058,-1)</f>
        <v>106280</v>
      </c>
      <c r="H147" s="55">
        <f t="shared" si="946"/>
        <v>35365</v>
      </c>
      <c r="I147" s="55">
        <f t="shared" si="513"/>
        <v>35365</v>
      </c>
      <c r="J147" s="59">
        <f t="shared" si="514"/>
        <v>116909.617</v>
      </c>
      <c r="K147" s="55">
        <f t="shared" si="947"/>
        <v>34304.049999999996</v>
      </c>
      <c r="L147" s="59">
        <f t="shared" si="948"/>
        <v>113402.32848999999</v>
      </c>
      <c r="M147" s="55">
        <f t="shared" si="949"/>
        <v>33596.75</v>
      </c>
      <c r="N147" s="59">
        <f t="shared" si="950"/>
        <v>111064.13615000001</v>
      </c>
      <c r="O147" s="55">
        <f t="shared" si="951"/>
        <v>32889.450000000004</v>
      </c>
      <c r="P147" s="59">
        <f t="shared" si="952"/>
        <v>108725.94381000001</v>
      </c>
      <c r="Q147" s="57">
        <f t="shared" si="953"/>
        <v>32182.15</v>
      </c>
      <c r="R147" s="59">
        <f t="shared" si="954"/>
        <v>106387.75147</v>
      </c>
      <c r="S147" s="55">
        <f t="shared" si="955"/>
        <v>31474.850000000002</v>
      </c>
      <c r="T147" s="59">
        <f t="shared" si="956"/>
        <v>104049.55913000001</v>
      </c>
      <c r="U147" s="57">
        <f t="shared" si="957"/>
        <v>30767.55</v>
      </c>
      <c r="V147" s="59">
        <f t="shared" si="958"/>
        <v>101711.36679</v>
      </c>
      <c r="W147" s="60">
        <f t="shared" si="959"/>
        <v>30060.25</v>
      </c>
      <c r="X147" s="59">
        <f t="shared" si="960"/>
        <v>99373.174450000006</v>
      </c>
      <c r="Y147" s="57">
        <f t="shared" si="961"/>
        <v>29352.949999999997</v>
      </c>
      <c r="Z147" s="59">
        <f t="shared" si="962"/>
        <v>97034.982109999997</v>
      </c>
      <c r="AA147" s="55">
        <f t="shared" si="963"/>
        <v>28645.649999999998</v>
      </c>
      <c r="AB147" s="59">
        <f t="shared" si="964"/>
        <v>94696.789769999988</v>
      </c>
      <c r="AC147" s="60">
        <f t="shared" si="965"/>
        <v>27938.35</v>
      </c>
      <c r="AD147" s="59">
        <f t="shared" si="966"/>
        <v>92358.597429999994</v>
      </c>
      <c r="AE147" s="60">
        <f t="shared" si="967"/>
        <v>27231.049999999996</v>
      </c>
      <c r="AF147" s="59">
        <f t="shared" si="968"/>
        <v>90020.405089999986</v>
      </c>
      <c r="AG147" s="60">
        <f t="shared" si="969"/>
        <v>26523.749999999996</v>
      </c>
      <c r="AH147" s="59">
        <f t="shared" si="970"/>
        <v>87682.212749999992</v>
      </c>
      <c r="AI147" s="55">
        <f t="shared" si="971"/>
        <v>25816.449999999997</v>
      </c>
      <c r="AJ147" s="59">
        <f t="shared" si="972"/>
        <v>85344.020409999997</v>
      </c>
      <c r="AK147" s="60">
        <f t="shared" si="973"/>
        <v>25109.149999999994</v>
      </c>
      <c r="AL147" s="59">
        <f t="shared" si="974"/>
        <v>83005.828069999989</v>
      </c>
      <c r="AM147" s="60">
        <f t="shared" si="975"/>
        <v>24401.849999999995</v>
      </c>
      <c r="AN147" s="59">
        <f t="shared" si="976"/>
        <v>80667.63572999998</v>
      </c>
      <c r="AO147" s="60">
        <f t="shared" si="977"/>
        <v>23694.549999999992</v>
      </c>
      <c r="AP147" s="59">
        <f t="shared" si="978"/>
        <v>78329.443389999971</v>
      </c>
      <c r="AQ147" s="60">
        <f t="shared" si="979"/>
        <v>22987.249999999993</v>
      </c>
      <c r="AR147" s="59">
        <f t="shared" si="980"/>
        <v>75991.251049999977</v>
      </c>
      <c r="AS147" s="55">
        <f t="shared" si="981"/>
        <v>22279.949999999993</v>
      </c>
      <c r="AT147" s="59">
        <f t="shared" si="982"/>
        <v>73653.058709999983</v>
      </c>
      <c r="AU147" s="60">
        <f t="shared" si="983"/>
        <v>21572.649999999991</v>
      </c>
      <c r="AV147" s="59">
        <f t="shared" si="984"/>
        <v>71314.866369999974</v>
      </c>
      <c r="AW147" s="60">
        <f t="shared" si="985"/>
        <v>20865.349999999991</v>
      </c>
      <c r="AX147" s="59">
        <f t="shared" si="986"/>
        <v>68976.674029999966</v>
      </c>
      <c r="AY147" s="55">
        <f t="shared" si="987"/>
        <v>20158.049999999992</v>
      </c>
      <c r="AZ147" s="59">
        <f t="shared" si="988"/>
        <v>66638.481689999971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89"/>
        <v>0.91</v>
      </c>
      <c r="BH147" s="55">
        <f t="shared" si="989"/>
        <v>0.89</v>
      </c>
      <c r="BI147" s="55">
        <f t="shared" si="989"/>
        <v>0.87</v>
      </c>
      <c r="BJ147" s="55">
        <f t="shared" si="989"/>
        <v>0.85</v>
      </c>
      <c r="BK147" s="55">
        <f t="shared" si="989"/>
        <v>0.83</v>
      </c>
      <c r="BL147" s="55">
        <f t="shared" si="989"/>
        <v>0.80999999999999994</v>
      </c>
      <c r="BM147" s="55">
        <f t="shared" si="989"/>
        <v>0.78999999999999992</v>
      </c>
      <c r="BN147" s="55">
        <f t="shared" si="989"/>
        <v>0.76999999999999991</v>
      </c>
      <c r="BO147" s="55">
        <f t="shared" si="989"/>
        <v>0.74999999999999989</v>
      </c>
      <c r="BP147" s="55">
        <f t="shared" si="989"/>
        <v>0.72999999999999987</v>
      </c>
      <c r="BQ147" s="55">
        <f t="shared" si="989"/>
        <v>0.70999999999999985</v>
      </c>
      <c r="BR147" s="55">
        <f t="shared" si="989"/>
        <v>0.68999999999999984</v>
      </c>
      <c r="BS147" s="55">
        <f t="shared" si="989"/>
        <v>0.66999999999999982</v>
      </c>
      <c r="BT147" s="55">
        <f t="shared" si="989"/>
        <v>0.6499999999999998</v>
      </c>
      <c r="BU147" s="55">
        <f t="shared" si="989"/>
        <v>0.62999999999999978</v>
      </c>
      <c r="BV147" s="55">
        <f t="shared" si="989"/>
        <v>0.60999999999999976</v>
      </c>
      <c r="BW147" s="55">
        <f t="shared" si="989"/>
        <v>0.58999999999999975</v>
      </c>
      <c r="BX147" s="55">
        <f t="shared" si="989"/>
        <v>0.56999999999999973</v>
      </c>
      <c r="BZ147" s="55">
        <f t="shared" si="515"/>
        <v>32182.15</v>
      </c>
      <c r="CA147" s="55">
        <f t="shared" si="516"/>
        <v>32182.15</v>
      </c>
      <c r="CB147" s="59">
        <f t="shared" si="990"/>
        <v>106387.75147</v>
      </c>
      <c r="CC147" s="55">
        <f t="shared" si="991"/>
        <v>31216.6855</v>
      </c>
      <c r="CD147" s="59">
        <f t="shared" si="992"/>
        <v>103196.11892589999</v>
      </c>
      <c r="CE147" s="55">
        <f t="shared" si="993"/>
        <v>30573.0425</v>
      </c>
      <c r="CF147" s="59">
        <f t="shared" si="994"/>
        <v>101068.3638965</v>
      </c>
      <c r="CG147" s="55">
        <f t="shared" si="995"/>
        <v>29929.399500000003</v>
      </c>
      <c r="CH147" s="59">
        <f t="shared" si="996"/>
        <v>98940.608867100018</v>
      </c>
      <c r="CI147" s="57">
        <f t="shared" si="997"/>
        <v>29285.756500000003</v>
      </c>
      <c r="CJ147" s="59">
        <f t="shared" si="998"/>
        <v>96812.853837700008</v>
      </c>
      <c r="CK147" s="55">
        <f t="shared" si="999"/>
        <v>28642.113500000003</v>
      </c>
      <c r="CL147" s="59">
        <f t="shared" si="1000"/>
        <v>94685.098808300012</v>
      </c>
      <c r="CM147" s="57">
        <f t="shared" si="1001"/>
        <v>27998.470499999999</v>
      </c>
      <c r="CN147" s="59">
        <f t="shared" si="1002"/>
        <v>92557.343778900002</v>
      </c>
      <c r="CO147" s="60">
        <f t="shared" si="1003"/>
        <v>27354.827499999999</v>
      </c>
      <c r="CP147" s="59">
        <f t="shared" si="1004"/>
        <v>90429.588749500006</v>
      </c>
      <c r="CQ147" s="57">
        <f t="shared" si="1005"/>
        <v>26711.184499999999</v>
      </c>
      <c r="CR147" s="59">
        <f t="shared" si="1006"/>
        <v>88301.833720099996</v>
      </c>
      <c r="CS147" s="55">
        <f t="shared" si="1007"/>
        <v>26067.541499999999</v>
      </c>
      <c r="CT147" s="59">
        <f t="shared" si="1008"/>
        <v>86174.0786907</v>
      </c>
      <c r="CU147" s="60">
        <f t="shared" si="1009"/>
        <v>25423.898499999999</v>
      </c>
      <c r="CV147" s="59">
        <f t="shared" si="1010"/>
        <v>84046.323661300004</v>
      </c>
      <c r="CW147" s="60">
        <f t="shared" si="1011"/>
        <v>24780.255499999999</v>
      </c>
      <c r="CX147" s="59">
        <f t="shared" si="1012"/>
        <v>81918.568631899994</v>
      </c>
      <c r="CY147" s="60">
        <f t="shared" si="1013"/>
        <v>24136.612499999999</v>
      </c>
      <c r="CZ147" s="59">
        <f t="shared" si="1014"/>
        <v>79790.813602499999</v>
      </c>
      <c r="DA147" s="55">
        <f t="shared" si="1015"/>
        <v>23492.969499999996</v>
      </c>
      <c r="DB147" s="59">
        <f t="shared" si="1016"/>
        <v>77663.058573099988</v>
      </c>
      <c r="DC147" s="60">
        <f t="shared" si="1017"/>
        <v>22849.326499999996</v>
      </c>
      <c r="DD147" s="59">
        <f t="shared" si="1018"/>
        <v>75535.303543699993</v>
      </c>
      <c r="DE147" s="60">
        <f t="shared" si="1019"/>
        <v>22205.683499999996</v>
      </c>
      <c r="DF147" s="59">
        <f t="shared" si="1020"/>
        <v>73407.548514299982</v>
      </c>
      <c r="DG147" s="60">
        <f t="shared" si="1021"/>
        <v>21562.040499999996</v>
      </c>
      <c r="DH147" s="59">
        <f t="shared" si="1022"/>
        <v>71279.793484899987</v>
      </c>
      <c r="DI147" s="60">
        <f t="shared" si="1023"/>
        <v>20918.397499999995</v>
      </c>
      <c r="DJ147" s="59">
        <f t="shared" si="1024"/>
        <v>69152.038455499991</v>
      </c>
      <c r="DK147" s="55">
        <f t="shared" si="1025"/>
        <v>20274.754499999995</v>
      </c>
      <c r="DL147" s="59">
        <f t="shared" si="1026"/>
        <v>67024.283426099981</v>
      </c>
      <c r="DM147" s="60">
        <f t="shared" si="1027"/>
        <v>19631.111499999992</v>
      </c>
      <c r="DN147" s="59">
        <f t="shared" si="1028"/>
        <v>64896.528396699978</v>
      </c>
      <c r="DO147" s="60">
        <f t="shared" si="1029"/>
        <v>18987.468499999992</v>
      </c>
      <c r="DP147" s="59">
        <f t="shared" si="1030"/>
        <v>62768.773367299975</v>
      </c>
      <c r="DQ147" s="55">
        <f t="shared" si="1031"/>
        <v>18343.825499999992</v>
      </c>
      <c r="DR147" s="59">
        <f t="shared" si="1032"/>
        <v>60641.018337899972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40"/>
        <v>0.91</v>
      </c>
      <c r="DZ147" s="55">
        <f t="shared" si="940"/>
        <v>0.89</v>
      </c>
      <c r="EA147" s="55">
        <f t="shared" si="940"/>
        <v>0.87</v>
      </c>
      <c r="EB147" s="55">
        <f t="shared" si="940"/>
        <v>0.85</v>
      </c>
      <c r="EC147" s="55">
        <f t="shared" si="940"/>
        <v>0.83</v>
      </c>
      <c r="ED147" s="55">
        <f t="shared" si="940"/>
        <v>0.80999999999999994</v>
      </c>
      <c r="EE147" s="55">
        <f t="shared" si="940"/>
        <v>0.78999999999999992</v>
      </c>
      <c r="EF147" s="55">
        <f t="shared" si="940"/>
        <v>0.76999999999999991</v>
      </c>
      <c r="EG147" s="55">
        <f t="shared" si="940"/>
        <v>0.74999999999999989</v>
      </c>
      <c r="EH147" s="55">
        <f t="shared" si="940"/>
        <v>0.72999999999999987</v>
      </c>
      <c r="EI147" s="55">
        <f t="shared" si="940"/>
        <v>0.70999999999999985</v>
      </c>
      <c r="EJ147" s="55">
        <f t="shared" si="940"/>
        <v>0.68999999999999984</v>
      </c>
      <c r="EK147" s="55">
        <f t="shared" si="940"/>
        <v>0.66999999999999982</v>
      </c>
      <c r="EL147" s="55">
        <f t="shared" si="940"/>
        <v>0.6499999999999998</v>
      </c>
      <c r="EM147" s="55">
        <f t="shared" si="940"/>
        <v>0.62999999999999978</v>
      </c>
      <c r="EN147" s="55">
        <f t="shared" si="940"/>
        <v>0.60999999999999976</v>
      </c>
      <c r="EO147" s="55">
        <f t="shared" si="940"/>
        <v>0.58999999999999975</v>
      </c>
      <c r="EP147" s="55">
        <f t="shared" si="940"/>
        <v>0.56999999999999973</v>
      </c>
      <c r="ER147" s="55">
        <f t="shared" si="656"/>
        <v>29285.756500000003</v>
      </c>
      <c r="ES147" s="55">
        <f t="shared" si="517"/>
        <v>29285.756500000003</v>
      </c>
      <c r="ET147" s="59">
        <f t="shared" si="1033"/>
        <v>96812.853837700008</v>
      </c>
      <c r="EU147" s="55">
        <f t="shared" si="1034"/>
        <v>28407.183805000001</v>
      </c>
      <c r="EV147" s="59">
        <f t="shared" si="1035"/>
        <v>93908.468222569005</v>
      </c>
      <c r="EW147" s="55">
        <f t="shared" si="1036"/>
        <v>27821.468675</v>
      </c>
      <c r="EX147" s="59">
        <f t="shared" si="1037"/>
        <v>91972.211145815003</v>
      </c>
      <c r="EY147" s="55">
        <f t="shared" si="1038"/>
        <v>27235.753545000003</v>
      </c>
      <c r="EZ147" s="59">
        <f t="shared" si="1039"/>
        <v>90035.954069061016</v>
      </c>
      <c r="FA147" s="57">
        <f t="shared" si="1040"/>
        <v>26650.038415000003</v>
      </c>
      <c r="FB147" s="59">
        <f t="shared" si="1041"/>
        <v>88099.696992307014</v>
      </c>
      <c r="FC147" s="55">
        <f t="shared" si="1042"/>
        <v>26064.323285000002</v>
      </c>
      <c r="FD147" s="59">
        <f t="shared" si="1043"/>
        <v>86163.439915553012</v>
      </c>
      <c r="FE147" s="57">
        <f t="shared" si="1044"/>
        <v>25478.608155000002</v>
      </c>
      <c r="FF147" s="59">
        <f t="shared" si="1045"/>
        <v>84227.18283879901</v>
      </c>
      <c r="FG147" s="60">
        <f t="shared" si="1046"/>
        <v>24892.893025000001</v>
      </c>
      <c r="FH147" s="59">
        <f t="shared" si="1047"/>
        <v>82290.925762045008</v>
      </c>
      <c r="FI147" s="57">
        <f t="shared" si="1048"/>
        <v>24307.177895000001</v>
      </c>
      <c r="FJ147" s="59">
        <f t="shared" si="1049"/>
        <v>80354.668685291006</v>
      </c>
      <c r="FK147" s="55">
        <f t="shared" si="1050"/>
        <v>23721.462765</v>
      </c>
      <c r="FL147" s="59">
        <f t="shared" si="1051"/>
        <v>78418.411608537004</v>
      </c>
      <c r="FM147" s="60">
        <f t="shared" si="1052"/>
        <v>23135.747635</v>
      </c>
      <c r="FN147" s="59">
        <f t="shared" si="1053"/>
        <v>76482.154531783002</v>
      </c>
      <c r="FO147" s="60">
        <f t="shared" si="1054"/>
        <v>22550.032504999999</v>
      </c>
      <c r="FP147" s="59">
        <f t="shared" si="1055"/>
        <v>74545.897455029</v>
      </c>
      <c r="FQ147" s="60">
        <f t="shared" si="1056"/>
        <v>21964.317374999999</v>
      </c>
      <c r="FR147" s="59">
        <f t="shared" si="1057"/>
        <v>72609.640378274999</v>
      </c>
      <c r="FS147" s="55">
        <f t="shared" si="1058"/>
        <v>21378.602244999998</v>
      </c>
      <c r="FT147" s="59">
        <f t="shared" si="1059"/>
        <v>70673.383301520997</v>
      </c>
      <c r="FU147" s="60">
        <f t="shared" si="1060"/>
        <v>20792.887114999998</v>
      </c>
      <c r="FV147" s="59">
        <f t="shared" si="1061"/>
        <v>68737.126224766995</v>
      </c>
      <c r="FW147" s="60">
        <f t="shared" si="1062"/>
        <v>20207.171984999997</v>
      </c>
      <c r="FX147" s="59">
        <f t="shared" si="1063"/>
        <v>66800.869148012993</v>
      </c>
      <c r="FY147" s="60">
        <f t="shared" si="1064"/>
        <v>19621.456854999997</v>
      </c>
      <c r="FZ147" s="59">
        <f t="shared" si="1065"/>
        <v>64864.612071258991</v>
      </c>
      <c r="GA147" s="60">
        <f t="shared" si="1066"/>
        <v>19035.741724999996</v>
      </c>
      <c r="GB147" s="59">
        <f t="shared" si="1067"/>
        <v>62928.354994504989</v>
      </c>
      <c r="GC147" s="55">
        <f t="shared" si="1068"/>
        <v>18450.026594999996</v>
      </c>
      <c r="GD147" s="59">
        <f t="shared" si="1069"/>
        <v>60992.097917750987</v>
      </c>
      <c r="GE147" s="60">
        <f t="shared" si="1070"/>
        <v>17864.311464999995</v>
      </c>
      <c r="GF147" s="59">
        <f t="shared" si="1071"/>
        <v>59055.840840996985</v>
      </c>
      <c r="GG147" s="60">
        <f t="shared" si="1072"/>
        <v>17278.596334999995</v>
      </c>
      <c r="GH147" s="59">
        <f t="shared" si="1073"/>
        <v>57119.583764242983</v>
      </c>
      <c r="GI147" s="55">
        <f t="shared" si="1074"/>
        <v>16692.881204999994</v>
      </c>
      <c r="GJ147" s="59">
        <f t="shared" si="1075"/>
        <v>55183.326687488981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41"/>
        <v>0.91</v>
      </c>
      <c r="GR147" s="55">
        <f t="shared" si="941"/>
        <v>0.89</v>
      </c>
      <c r="GS147" s="55">
        <f t="shared" si="941"/>
        <v>0.87</v>
      </c>
      <c r="GT147" s="55">
        <f t="shared" si="941"/>
        <v>0.85</v>
      </c>
      <c r="GU147" s="55">
        <f t="shared" si="941"/>
        <v>0.83</v>
      </c>
      <c r="GV147" s="55">
        <f t="shared" si="941"/>
        <v>0.80999999999999994</v>
      </c>
      <c r="GW147" s="55">
        <f t="shared" si="941"/>
        <v>0.78999999999999992</v>
      </c>
      <c r="GX147" s="55">
        <f t="shared" si="941"/>
        <v>0.76999999999999991</v>
      </c>
      <c r="GY147" s="55">
        <f t="shared" si="941"/>
        <v>0.74999999999999989</v>
      </c>
      <c r="GZ147" s="55">
        <f t="shared" si="941"/>
        <v>0.72999999999999987</v>
      </c>
      <c r="HA147" s="55">
        <f t="shared" si="941"/>
        <v>0.70999999999999985</v>
      </c>
      <c r="HB147" s="55">
        <f t="shared" si="941"/>
        <v>0.68999999999999984</v>
      </c>
      <c r="HC147" s="55">
        <f t="shared" si="941"/>
        <v>0.66999999999999982</v>
      </c>
      <c r="HD147" s="55">
        <f t="shared" si="941"/>
        <v>0.6499999999999998</v>
      </c>
      <c r="HE147" s="55">
        <f t="shared" si="941"/>
        <v>0.62999999999999978</v>
      </c>
      <c r="HF147" s="55">
        <f t="shared" si="941"/>
        <v>0.60999999999999976</v>
      </c>
      <c r="HG147" s="55">
        <f t="shared" si="941"/>
        <v>0.58999999999999975</v>
      </c>
      <c r="HH147" s="55">
        <f t="shared" si="94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58440</v>
      </c>
      <c r="E148" s="39">
        <f>SUM(E143:E147)</f>
        <v>193170</v>
      </c>
      <c r="H148" s="55">
        <f t="shared" si="946"/>
        <v>64284.000000000007</v>
      </c>
      <c r="I148" s="55">
        <f t="shared" ref="I148:I155" si="1076">+H148</f>
        <v>64284.000000000007</v>
      </c>
      <c r="J148" s="59">
        <f t="shared" ref="J148:J155" si="1077">+I148*3.3058</f>
        <v>212510.04720000003</v>
      </c>
      <c r="K148" s="55">
        <f t="shared" si="947"/>
        <v>62355.48</v>
      </c>
      <c r="L148" s="59">
        <f t="shared" si="948"/>
        <v>206134.74578400003</v>
      </c>
      <c r="M148" s="55">
        <f t="shared" si="949"/>
        <v>61069.8</v>
      </c>
      <c r="N148" s="59">
        <f t="shared" si="950"/>
        <v>201884.54484000002</v>
      </c>
      <c r="O148" s="55">
        <f t="shared" si="951"/>
        <v>59784.12000000001</v>
      </c>
      <c r="P148" s="59">
        <f t="shared" si="952"/>
        <v>197634.34389600003</v>
      </c>
      <c r="Q148" s="57">
        <f t="shared" si="953"/>
        <v>58498.44000000001</v>
      </c>
      <c r="R148" s="59">
        <f t="shared" si="954"/>
        <v>193384.14295200002</v>
      </c>
      <c r="S148" s="55">
        <f t="shared" si="955"/>
        <v>57212.760000000009</v>
      </c>
      <c r="T148" s="59">
        <f t="shared" si="956"/>
        <v>189133.94200800004</v>
      </c>
      <c r="U148" s="57">
        <f t="shared" si="957"/>
        <v>55927.080000000009</v>
      </c>
      <c r="V148" s="59">
        <f t="shared" si="958"/>
        <v>184883.74106400003</v>
      </c>
      <c r="W148" s="60">
        <f t="shared" si="959"/>
        <v>54641.4</v>
      </c>
      <c r="X148" s="59">
        <f t="shared" si="960"/>
        <v>180633.54012000002</v>
      </c>
      <c r="Y148" s="57">
        <f t="shared" si="961"/>
        <v>53355.72</v>
      </c>
      <c r="Z148" s="59">
        <f t="shared" si="962"/>
        <v>176383.33917600001</v>
      </c>
      <c r="AA148" s="55">
        <f t="shared" si="963"/>
        <v>52070.04</v>
      </c>
      <c r="AB148" s="59">
        <f t="shared" si="964"/>
        <v>172133.138232</v>
      </c>
      <c r="AC148" s="60">
        <f t="shared" si="965"/>
        <v>50784.36</v>
      </c>
      <c r="AD148" s="59">
        <f t="shared" si="966"/>
        <v>167882.93728800002</v>
      </c>
      <c r="AE148" s="60">
        <f t="shared" si="967"/>
        <v>49498.68</v>
      </c>
      <c r="AF148" s="59">
        <f t="shared" si="968"/>
        <v>163632.736344</v>
      </c>
      <c r="AG148" s="60">
        <f t="shared" si="969"/>
        <v>48213</v>
      </c>
      <c r="AH148" s="59">
        <f t="shared" si="970"/>
        <v>159382.53539999999</v>
      </c>
      <c r="AI148" s="55">
        <f t="shared" si="971"/>
        <v>46927.32</v>
      </c>
      <c r="AJ148" s="59">
        <f t="shared" si="972"/>
        <v>155132.33445600001</v>
      </c>
      <c r="AK148" s="60">
        <f t="shared" si="973"/>
        <v>45641.639999999992</v>
      </c>
      <c r="AL148" s="59">
        <f t="shared" si="974"/>
        <v>150882.13351199997</v>
      </c>
      <c r="AM148" s="60">
        <f t="shared" si="975"/>
        <v>44355.959999999992</v>
      </c>
      <c r="AN148" s="59">
        <f t="shared" si="976"/>
        <v>146631.93256799999</v>
      </c>
      <c r="AO148" s="60">
        <f t="shared" si="977"/>
        <v>43070.279999999992</v>
      </c>
      <c r="AP148" s="59">
        <f t="shared" si="978"/>
        <v>142381.73162399998</v>
      </c>
      <c r="AQ148" s="60">
        <f t="shared" si="979"/>
        <v>41784.599999999991</v>
      </c>
      <c r="AR148" s="59">
        <f t="shared" si="980"/>
        <v>138131.53067999997</v>
      </c>
      <c r="AS148" s="55">
        <f t="shared" si="981"/>
        <v>40498.919999999991</v>
      </c>
      <c r="AT148" s="59">
        <f t="shared" si="982"/>
        <v>133881.32973599999</v>
      </c>
      <c r="AU148" s="60">
        <f t="shared" si="983"/>
        <v>39213.239999999991</v>
      </c>
      <c r="AV148" s="59">
        <f t="shared" si="984"/>
        <v>129631.12879199997</v>
      </c>
      <c r="AW148" s="60">
        <f t="shared" si="985"/>
        <v>37927.55999999999</v>
      </c>
      <c r="AX148" s="59">
        <f t="shared" si="986"/>
        <v>125380.92784799998</v>
      </c>
      <c r="AY148" s="55">
        <f t="shared" si="987"/>
        <v>36641.87999999999</v>
      </c>
      <c r="AZ148" s="59">
        <f t="shared" si="988"/>
        <v>121130.72690399997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89"/>
        <v>0.91</v>
      </c>
      <c r="BH148" s="55">
        <f t="shared" si="989"/>
        <v>0.89</v>
      </c>
      <c r="BI148" s="55">
        <f t="shared" si="989"/>
        <v>0.87</v>
      </c>
      <c r="BJ148" s="55">
        <f t="shared" si="989"/>
        <v>0.85</v>
      </c>
      <c r="BK148" s="55">
        <f t="shared" si="989"/>
        <v>0.83</v>
      </c>
      <c r="BL148" s="55">
        <f t="shared" si="989"/>
        <v>0.80999999999999994</v>
      </c>
      <c r="BM148" s="55">
        <f t="shared" si="989"/>
        <v>0.78999999999999992</v>
      </c>
      <c r="BN148" s="55">
        <f t="shared" si="989"/>
        <v>0.76999999999999991</v>
      </c>
      <c r="BO148" s="55">
        <f t="shared" si="989"/>
        <v>0.74999999999999989</v>
      </c>
      <c r="BP148" s="55">
        <f t="shared" si="989"/>
        <v>0.72999999999999987</v>
      </c>
      <c r="BQ148" s="55">
        <f t="shared" si="989"/>
        <v>0.70999999999999985</v>
      </c>
      <c r="BR148" s="55">
        <f t="shared" si="989"/>
        <v>0.68999999999999984</v>
      </c>
      <c r="BS148" s="55">
        <f t="shared" si="989"/>
        <v>0.66999999999999982</v>
      </c>
      <c r="BT148" s="55">
        <f t="shared" si="989"/>
        <v>0.6499999999999998</v>
      </c>
      <c r="BU148" s="55">
        <f t="shared" si="989"/>
        <v>0.62999999999999978</v>
      </c>
      <c r="BV148" s="55">
        <f t="shared" si="989"/>
        <v>0.60999999999999976</v>
      </c>
      <c r="BW148" s="55">
        <f t="shared" si="989"/>
        <v>0.58999999999999975</v>
      </c>
      <c r="BX148" s="55">
        <f t="shared" si="989"/>
        <v>0.56999999999999973</v>
      </c>
      <c r="BZ148" s="55">
        <f t="shared" ref="BZ148:BZ155" si="1078">+H148*0.91</f>
        <v>58498.44000000001</v>
      </c>
      <c r="CA148" s="55">
        <f t="shared" ref="CA148:CA155" si="1079">+BZ148</f>
        <v>58498.44000000001</v>
      </c>
      <c r="CB148" s="59">
        <f t="shared" si="990"/>
        <v>193384.14295200002</v>
      </c>
      <c r="CC148" s="55">
        <f t="shared" si="991"/>
        <v>56743.486800000006</v>
      </c>
      <c r="CD148" s="59">
        <f t="shared" si="992"/>
        <v>187582.61866344002</v>
      </c>
      <c r="CE148" s="55">
        <f t="shared" si="993"/>
        <v>55573.518000000004</v>
      </c>
      <c r="CF148" s="59">
        <f t="shared" si="994"/>
        <v>183714.93580440001</v>
      </c>
      <c r="CG148" s="55">
        <f t="shared" si="995"/>
        <v>54403.549200000009</v>
      </c>
      <c r="CH148" s="59">
        <f t="shared" si="996"/>
        <v>179847.25294536003</v>
      </c>
      <c r="CI148" s="57">
        <f t="shared" si="997"/>
        <v>53233.580400000013</v>
      </c>
      <c r="CJ148" s="59">
        <f t="shared" si="998"/>
        <v>175979.57008632005</v>
      </c>
      <c r="CK148" s="55">
        <f t="shared" si="999"/>
        <v>52063.611600000011</v>
      </c>
      <c r="CL148" s="59">
        <f t="shared" si="1000"/>
        <v>172111.88722728004</v>
      </c>
      <c r="CM148" s="57">
        <f t="shared" si="1001"/>
        <v>50893.642800000009</v>
      </c>
      <c r="CN148" s="59">
        <f t="shared" si="1002"/>
        <v>168244.20436824003</v>
      </c>
      <c r="CO148" s="60">
        <f t="shared" si="1003"/>
        <v>49723.674000000006</v>
      </c>
      <c r="CP148" s="59">
        <f t="shared" si="1004"/>
        <v>164376.52150920001</v>
      </c>
      <c r="CQ148" s="57">
        <f t="shared" si="1005"/>
        <v>48553.705200000004</v>
      </c>
      <c r="CR148" s="59">
        <f t="shared" si="1006"/>
        <v>160508.83865016</v>
      </c>
      <c r="CS148" s="55">
        <f t="shared" si="1007"/>
        <v>47383.736400000002</v>
      </c>
      <c r="CT148" s="59">
        <f t="shared" si="1008"/>
        <v>156641.15579112002</v>
      </c>
      <c r="CU148" s="60">
        <f t="shared" si="1009"/>
        <v>46213.767600000006</v>
      </c>
      <c r="CV148" s="59">
        <f t="shared" si="1010"/>
        <v>152773.47293208001</v>
      </c>
      <c r="CW148" s="60">
        <f t="shared" si="1011"/>
        <v>45043.798800000004</v>
      </c>
      <c r="CX148" s="59">
        <f t="shared" si="1012"/>
        <v>148905.79007304003</v>
      </c>
      <c r="CY148" s="60">
        <f t="shared" si="1013"/>
        <v>43873.83</v>
      </c>
      <c r="CZ148" s="59">
        <f t="shared" si="1014"/>
        <v>145038.10721400002</v>
      </c>
      <c r="DA148" s="55">
        <f t="shared" si="1015"/>
        <v>42703.861199999999</v>
      </c>
      <c r="DB148" s="59">
        <f t="shared" si="1016"/>
        <v>141170.42435496001</v>
      </c>
      <c r="DC148" s="60">
        <f t="shared" si="1017"/>
        <v>41533.892399999997</v>
      </c>
      <c r="DD148" s="59">
        <f t="shared" si="1018"/>
        <v>137302.74149592</v>
      </c>
      <c r="DE148" s="60">
        <f t="shared" si="1019"/>
        <v>40363.923599999995</v>
      </c>
      <c r="DF148" s="59">
        <f t="shared" si="1020"/>
        <v>133435.05863687998</v>
      </c>
      <c r="DG148" s="60">
        <f t="shared" si="1021"/>
        <v>39193.954799999992</v>
      </c>
      <c r="DH148" s="59">
        <f t="shared" si="1022"/>
        <v>129567.37577783997</v>
      </c>
      <c r="DI148" s="60">
        <f t="shared" si="1023"/>
        <v>38023.985999999997</v>
      </c>
      <c r="DJ148" s="59">
        <f t="shared" si="1024"/>
        <v>125699.69291879999</v>
      </c>
      <c r="DK148" s="55">
        <f t="shared" si="1025"/>
        <v>36854.017199999995</v>
      </c>
      <c r="DL148" s="59">
        <f t="shared" si="1026"/>
        <v>121832.01005975998</v>
      </c>
      <c r="DM148" s="60">
        <f t="shared" si="1027"/>
        <v>35684.048399999992</v>
      </c>
      <c r="DN148" s="59">
        <f t="shared" si="1028"/>
        <v>117964.32720071997</v>
      </c>
      <c r="DO148" s="60">
        <f t="shared" si="1029"/>
        <v>34514.07959999999</v>
      </c>
      <c r="DP148" s="59">
        <f t="shared" si="1030"/>
        <v>114096.64434167997</v>
      </c>
      <c r="DQ148" s="55">
        <f t="shared" si="1031"/>
        <v>33344.110799999988</v>
      </c>
      <c r="DR148" s="59">
        <f t="shared" si="1032"/>
        <v>110228.96148263996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40"/>
        <v>0.91</v>
      </c>
      <c r="DZ148" s="55">
        <f t="shared" si="940"/>
        <v>0.89</v>
      </c>
      <c r="EA148" s="55">
        <f t="shared" si="940"/>
        <v>0.87</v>
      </c>
      <c r="EB148" s="55">
        <f t="shared" si="940"/>
        <v>0.85</v>
      </c>
      <c r="EC148" s="55">
        <f t="shared" si="940"/>
        <v>0.83</v>
      </c>
      <c r="ED148" s="55">
        <f t="shared" si="940"/>
        <v>0.80999999999999994</v>
      </c>
      <c r="EE148" s="55">
        <f t="shared" si="940"/>
        <v>0.78999999999999992</v>
      </c>
      <c r="EF148" s="55">
        <f t="shared" si="940"/>
        <v>0.76999999999999991</v>
      </c>
      <c r="EG148" s="55">
        <f t="shared" si="940"/>
        <v>0.74999999999999989</v>
      </c>
      <c r="EH148" s="55">
        <f t="shared" si="940"/>
        <v>0.72999999999999987</v>
      </c>
      <c r="EI148" s="55">
        <f t="shared" si="940"/>
        <v>0.70999999999999985</v>
      </c>
      <c r="EJ148" s="55">
        <f t="shared" si="940"/>
        <v>0.68999999999999984</v>
      </c>
      <c r="EK148" s="55">
        <f t="shared" si="940"/>
        <v>0.66999999999999982</v>
      </c>
      <c r="EL148" s="55">
        <f t="shared" si="940"/>
        <v>0.6499999999999998</v>
      </c>
      <c r="EM148" s="55">
        <f t="shared" si="940"/>
        <v>0.62999999999999978</v>
      </c>
      <c r="EN148" s="55">
        <f t="shared" si="940"/>
        <v>0.60999999999999976</v>
      </c>
      <c r="EO148" s="55">
        <f t="shared" si="940"/>
        <v>0.58999999999999975</v>
      </c>
      <c r="EP148" s="55">
        <f t="shared" si="940"/>
        <v>0.56999999999999973</v>
      </c>
      <c r="ER148" s="55">
        <f t="shared" si="656"/>
        <v>53233.580400000013</v>
      </c>
      <c r="ES148" s="55">
        <f t="shared" ref="ES148:ES155" si="1080">+ER148</f>
        <v>53233.580400000013</v>
      </c>
      <c r="ET148" s="59">
        <f t="shared" si="1033"/>
        <v>175979.57008632005</v>
      </c>
      <c r="EU148" s="55">
        <f t="shared" si="1034"/>
        <v>51636.572988000014</v>
      </c>
      <c r="EV148" s="59">
        <f t="shared" si="1035"/>
        <v>170700.18298373045</v>
      </c>
      <c r="EW148" s="55">
        <f t="shared" si="1036"/>
        <v>50571.90138000001</v>
      </c>
      <c r="EX148" s="59">
        <f t="shared" si="1037"/>
        <v>167180.59158200404</v>
      </c>
      <c r="EY148" s="55">
        <f t="shared" si="1038"/>
        <v>49507.229772000013</v>
      </c>
      <c r="EZ148" s="59">
        <f t="shared" si="1039"/>
        <v>163661.00018027765</v>
      </c>
      <c r="FA148" s="57">
        <f t="shared" si="1040"/>
        <v>48442.558164000016</v>
      </c>
      <c r="FB148" s="59">
        <f t="shared" si="1041"/>
        <v>160141.40877855127</v>
      </c>
      <c r="FC148" s="55">
        <f t="shared" si="1042"/>
        <v>47377.886556000012</v>
      </c>
      <c r="FD148" s="59">
        <f t="shared" si="1043"/>
        <v>156621.81737682485</v>
      </c>
      <c r="FE148" s="57">
        <f t="shared" si="1044"/>
        <v>46313.214948000008</v>
      </c>
      <c r="FF148" s="59">
        <f t="shared" si="1045"/>
        <v>153102.22597509844</v>
      </c>
      <c r="FG148" s="60">
        <f t="shared" si="1046"/>
        <v>45248.543340000011</v>
      </c>
      <c r="FH148" s="59">
        <f t="shared" si="1047"/>
        <v>149582.63457337205</v>
      </c>
      <c r="FI148" s="57">
        <f t="shared" si="1048"/>
        <v>44183.871732000007</v>
      </c>
      <c r="FJ148" s="59">
        <f t="shared" si="1049"/>
        <v>146063.04317164564</v>
      </c>
      <c r="FK148" s="55">
        <f t="shared" si="1050"/>
        <v>43119.20012400001</v>
      </c>
      <c r="FL148" s="59">
        <f t="shared" si="1051"/>
        <v>142543.45176991922</v>
      </c>
      <c r="FM148" s="60">
        <f t="shared" si="1052"/>
        <v>42054.528516000006</v>
      </c>
      <c r="FN148" s="59">
        <f t="shared" si="1053"/>
        <v>139023.86036819284</v>
      </c>
      <c r="FO148" s="60">
        <f t="shared" si="1054"/>
        <v>40989.856908000009</v>
      </c>
      <c r="FP148" s="59">
        <f t="shared" si="1055"/>
        <v>135504.26896646642</v>
      </c>
      <c r="FQ148" s="60">
        <f t="shared" si="1056"/>
        <v>39925.185300000005</v>
      </c>
      <c r="FR148" s="59">
        <f t="shared" si="1057"/>
        <v>131984.67756474001</v>
      </c>
      <c r="FS148" s="55">
        <f t="shared" si="1058"/>
        <v>38860.513692</v>
      </c>
      <c r="FT148" s="59">
        <f t="shared" si="1059"/>
        <v>128465.08616301361</v>
      </c>
      <c r="FU148" s="60">
        <f t="shared" si="1060"/>
        <v>37795.842084000004</v>
      </c>
      <c r="FV148" s="59">
        <f t="shared" si="1061"/>
        <v>124945.49476128722</v>
      </c>
      <c r="FW148" s="60">
        <f t="shared" si="1062"/>
        <v>36731.170475999999</v>
      </c>
      <c r="FX148" s="59">
        <f t="shared" si="1063"/>
        <v>121425.90335956081</v>
      </c>
      <c r="FY148" s="60">
        <f t="shared" si="1064"/>
        <v>35666.498868000002</v>
      </c>
      <c r="FZ148" s="59">
        <f t="shared" si="1065"/>
        <v>117906.3119578344</v>
      </c>
      <c r="GA148" s="60">
        <f t="shared" si="1066"/>
        <v>34601.827259999998</v>
      </c>
      <c r="GB148" s="59">
        <f t="shared" si="1067"/>
        <v>114386.72055610799</v>
      </c>
      <c r="GC148" s="55">
        <f t="shared" si="1068"/>
        <v>33537.155651999994</v>
      </c>
      <c r="GD148" s="59">
        <f t="shared" si="1069"/>
        <v>110867.12915438159</v>
      </c>
      <c r="GE148" s="60">
        <f t="shared" si="1070"/>
        <v>32472.484043999997</v>
      </c>
      <c r="GF148" s="59">
        <f t="shared" si="1071"/>
        <v>107347.53775265519</v>
      </c>
      <c r="GG148" s="60">
        <f t="shared" si="1072"/>
        <v>31407.812435999993</v>
      </c>
      <c r="GH148" s="59">
        <f t="shared" si="1073"/>
        <v>103827.94635092877</v>
      </c>
      <c r="GI148" s="55">
        <f t="shared" si="1074"/>
        <v>30343.140827999992</v>
      </c>
      <c r="GJ148" s="59">
        <f t="shared" si="1075"/>
        <v>100308.35494920237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41"/>
        <v>0.91</v>
      </c>
      <c r="GR148" s="55">
        <f t="shared" si="941"/>
        <v>0.89</v>
      </c>
      <c r="GS148" s="55">
        <f t="shared" si="941"/>
        <v>0.87</v>
      </c>
      <c r="GT148" s="55">
        <f t="shared" si="941"/>
        <v>0.85</v>
      </c>
      <c r="GU148" s="55">
        <f t="shared" si="941"/>
        <v>0.83</v>
      </c>
      <c r="GV148" s="55">
        <f t="shared" si="941"/>
        <v>0.80999999999999994</v>
      </c>
      <c r="GW148" s="55">
        <f t="shared" si="941"/>
        <v>0.78999999999999992</v>
      </c>
      <c r="GX148" s="55">
        <f t="shared" si="941"/>
        <v>0.76999999999999991</v>
      </c>
      <c r="GY148" s="55">
        <f t="shared" si="941"/>
        <v>0.74999999999999989</v>
      </c>
      <c r="GZ148" s="55">
        <f t="shared" si="941"/>
        <v>0.72999999999999987</v>
      </c>
      <c r="HA148" s="55">
        <f t="shared" si="941"/>
        <v>0.70999999999999985</v>
      </c>
      <c r="HB148" s="55">
        <f t="shared" si="941"/>
        <v>0.68999999999999984</v>
      </c>
      <c r="HC148" s="55">
        <f t="shared" si="941"/>
        <v>0.66999999999999982</v>
      </c>
      <c r="HD148" s="55">
        <f t="shared" si="941"/>
        <v>0.6499999999999998</v>
      </c>
      <c r="HE148" s="55">
        <f t="shared" si="941"/>
        <v>0.62999999999999978</v>
      </c>
      <c r="HF148" s="55">
        <f t="shared" si="941"/>
        <v>0.60999999999999976</v>
      </c>
      <c r="HG148" s="55">
        <f t="shared" si="941"/>
        <v>0.58999999999999975</v>
      </c>
      <c r="HH148" s="55">
        <f t="shared" si="94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8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82">+DW149-0.02</f>
        <v>0.91</v>
      </c>
      <c r="DY149" s="61">
        <f t="shared" si="1082"/>
        <v>0.89</v>
      </c>
      <c r="DZ149" s="61">
        <f t="shared" si="1082"/>
        <v>0.87</v>
      </c>
      <c r="EA149" s="61">
        <f t="shared" si="1082"/>
        <v>0.85</v>
      </c>
      <c r="EB149" s="61">
        <f t="shared" si="1082"/>
        <v>0.83</v>
      </c>
      <c r="EC149" s="61">
        <f t="shared" si="1082"/>
        <v>0.80999999999999994</v>
      </c>
      <c r="ED149" s="61">
        <f t="shared" si="1082"/>
        <v>0.78999999999999992</v>
      </c>
      <c r="EE149" s="61">
        <f t="shared" si="1082"/>
        <v>0.76999999999999991</v>
      </c>
      <c r="EF149" s="61">
        <f t="shared" si="1082"/>
        <v>0.74999999999999989</v>
      </c>
      <c r="EG149" s="61">
        <f t="shared" si="1082"/>
        <v>0.72999999999999987</v>
      </c>
      <c r="EH149" s="61">
        <f t="shared" si="1082"/>
        <v>0.70999999999999985</v>
      </c>
      <c r="EI149" s="61">
        <f t="shared" si="1082"/>
        <v>0.68999999999999984</v>
      </c>
      <c r="EJ149" s="61">
        <f t="shared" si="1082"/>
        <v>0.66999999999999982</v>
      </c>
      <c r="EK149" s="61">
        <f t="shared" si="1082"/>
        <v>0.6499999999999998</v>
      </c>
      <c r="EL149" s="61">
        <f t="shared" si="1082"/>
        <v>0.62999999999999978</v>
      </c>
      <c r="EM149" s="61">
        <f t="shared" si="1082"/>
        <v>0.60999999999999976</v>
      </c>
      <c r="EN149" s="61">
        <f t="shared" si="1082"/>
        <v>0.58999999999999975</v>
      </c>
      <c r="EO149" s="61">
        <f t="shared" si="1082"/>
        <v>0.56999999999999973</v>
      </c>
      <c r="EQ149" s="61">
        <f t="shared" ref="EQ149:EQ150" si="108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84">+GO149-0.02</f>
        <v>0.91</v>
      </c>
      <c r="GQ149" s="61">
        <f t="shared" si="1084"/>
        <v>0.89</v>
      </c>
      <c r="GR149" s="61">
        <f t="shared" si="1084"/>
        <v>0.87</v>
      </c>
      <c r="GS149" s="61">
        <f t="shared" si="1084"/>
        <v>0.85</v>
      </c>
      <c r="GT149" s="61">
        <f t="shared" si="1084"/>
        <v>0.83</v>
      </c>
      <c r="GU149" s="61">
        <f t="shared" si="1084"/>
        <v>0.80999999999999994</v>
      </c>
      <c r="GV149" s="61">
        <f t="shared" si="1084"/>
        <v>0.78999999999999992</v>
      </c>
      <c r="GW149" s="61">
        <f t="shared" si="1084"/>
        <v>0.76999999999999991</v>
      </c>
      <c r="GX149" s="61">
        <f t="shared" si="1084"/>
        <v>0.74999999999999989</v>
      </c>
      <c r="GY149" s="61">
        <f t="shared" si="1084"/>
        <v>0.72999999999999987</v>
      </c>
      <c r="GZ149" s="61">
        <f t="shared" si="1084"/>
        <v>0.70999999999999985</v>
      </c>
      <c r="HA149" s="61">
        <f t="shared" si="1084"/>
        <v>0.68999999999999984</v>
      </c>
      <c r="HB149" s="61">
        <f t="shared" si="1084"/>
        <v>0.66999999999999982</v>
      </c>
      <c r="HC149" s="61">
        <f t="shared" si="1084"/>
        <v>0.6499999999999998</v>
      </c>
      <c r="HD149" s="61">
        <f t="shared" si="1084"/>
        <v>0.62999999999999978</v>
      </c>
      <c r="HE149" s="61">
        <f t="shared" si="1084"/>
        <v>0.60999999999999976</v>
      </c>
      <c r="HF149" s="61">
        <f t="shared" si="1084"/>
        <v>0.58999999999999975</v>
      </c>
      <c r="HG149" s="61">
        <f t="shared" si="1084"/>
        <v>0.56999999999999973</v>
      </c>
    </row>
    <row r="150" spans="1:216" s="64" customFormat="1" ht="17.25" thickBot="1" x14ac:dyDescent="0.35">
      <c r="B150" s="64" t="s">
        <v>302</v>
      </c>
      <c r="C150" s="64" t="s">
        <v>297</v>
      </c>
      <c r="D150" s="65" t="s">
        <v>271</v>
      </c>
      <c r="E150" s="65" t="s">
        <v>154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8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82"/>
        <v>0.91</v>
      </c>
      <c r="DY150" s="61">
        <f t="shared" si="1082"/>
        <v>0.89</v>
      </c>
      <c r="DZ150" s="61">
        <f t="shared" si="1082"/>
        <v>0.87</v>
      </c>
      <c r="EA150" s="61">
        <f t="shared" si="1082"/>
        <v>0.85</v>
      </c>
      <c r="EB150" s="61">
        <f t="shared" si="1082"/>
        <v>0.83</v>
      </c>
      <c r="EC150" s="61">
        <f t="shared" si="1082"/>
        <v>0.80999999999999994</v>
      </c>
      <c r="ED150" s="61">
        <f t="shared" si="1082"/>
        <v>0.78999999999999992</v>
      </c>
      <c r="EE150" s="61">
        <f t="shared" si="1082"/>
        <v>0.76999999999999991</v>
      </c>
      <c r="EF150" s="61">
        <f t="shared" si="1082"/>
        <v>0.74999999999999989</v>
      </c>
      <c r="EG150" s="61">
        <f t="shared" si="1082"/>
        <v>0.72999999999999987</v>
      </c>
      <c r="EH150" s="61">
        <f t="shared" si="1082"/>
        <v>0.70999999999999985</v>
      </c>
      <c r="EI150" s="61">
        <f t="shared" si="1082"/>
        <v>0.68999999999999984</v>
      </c>
      <c r="EJ150" s="61">
        <f t="shared" si="1082"/>
        <v>0.66999999999999982</v>
      </c>
      <c r="EK150" s="61">
        <f t="shared" si="1082"/>
        <v>0.6499999999999998</v>
      </c>
      <c r="EL150" s="61">
        <f t="shared" si="1082"/>
        <v>0.62999999999999978</v>
      </c>
      <c r="EM150" s="61">
        <f t="shared" si="1082"/>
        <v>0.60999999999999976</v>
      </c>
      <c r="EN150" s="61">
        <f t="shared" si="1082"/>
        <v>0.58999999999999975</v>
      </c>
      <c r="EO150" s="61">
        <f t="shared" si="1082"/>
        <v>0.56999999999999973</v>
      </c>
      <c r="EQ150" s="61">
        <f t="shared" si="108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84"/>
        <v>0.91</v>
      </c>
      <c r="GQ150" s="61">
        <f t="shared" si="1084"/>
        <v>0.89</v>
      </c>
      <c r="GR150" s="61">
        <f t="shared" si="1084"/>
        <v>0.87</v>
      </c>
      <c r="GS150" s="61">
        <f t="shared" si="1084"/>
        <v>0.85</v>
      </c>
      <c r="GT150" s="61">
        <f t="shared" si="1084"/>
        <v>0.83</v>
      </c>
      <c r="GU150" s="61">
        <f t="shared" si="1084"/>
        <v>0.80999999999999994</v>
      </c>
      <c r="GV150" s="61">
        <f t="shared" si="1084"/>
        <v>0.78999999999999992</v>
      </c>
      <c r="GW150" s="61">
        <f t="shared" si="1084"/>
        <v>0.76999999999999991</v>
      </c>
      <c r="GX150" s="61">
        <f t="shared" si="1084"/>
        <v>0.74999999999999989</v>
      </c>
      <c r="GY150" s="61">
        <f t="shared" si="1084"/>
        <v>0.72999999999999987</v>
      </c>
      <c r="GZ150" s="61">
        <f t="shared" si="1084"/>
        <v>0.70999999999999985</v>
      </c>
      <c r="HA150" s="61">
        <f t="shared" si="1084"/>
        <v>0.68999999999999984</v>
      </c>
      <c r="HB150" s="61">
        <f t="shared" si="1084"/>
        <v>0.66999999999999982</v>
      </c>
      <c r="HC150" s="61">
        <f t="shared" si="1084"/>
        <v>0.6499999999999998</v>
      </c>
      <c r="HD150" s="61">
        <f t="shared" si="1084"/>
        <v>0.62999999999999978</v>
      </c>
      <c r="HE150" s="61">
        <f t="shared" si="1084"/>
        <v>0.60999999999999976</v>
      </c>
      <c r="HF150" s="61">
        <f t="shared" si="1084"/>
        <v>0.58999999999999975</v>
      </c>
      <c r="HG150" s="61">
        <f t="shared" si="1084"/>
        <v>0.56999999999999973</v>
      </c>
    </row>
    <row r="151" spans="1:216" x14ac:dyDescent="0.3">
      <c r="A151" s="2">
        <v>1</v>
      </c>
      <c r="C151" s="38" t="s">
        <v>51</v>
      </c>
      <c r="D151" s="40">
        <f>TRUNC(17149,-1)</f>
        <v>17140</v>
      </c>
      <c r="E151" s="70">
        <f>TRUNC(+D151*3.3058,-1)</f>
        <v>56660</v>
      </c>
      <c r="H151" s="55">
        <f t="shared" ref="H151:H155" si="1085">+D151*1.1</f>
        <v>18854</v>
      </c>
      <c r="I151" s="55">
        <f t="shared" si="1076"/>
        <v>18854</v>
      </c>
      <c r="J151" s="59">
        <f t="shared" si="1077"/>
        <v>62327.553200000002</v>
      </c>
      <c r="K151" s="55">
        <f t="shared" ref="K151:K155" si="1086">+I151*BD151</f>
        <v>18288.38</v>
      </c>
      <c r="L151" s="59">
        <f t="shared" ref="L151:L155" si="1087">+K151*3.3058</f>
        <v>60457.726604000003</v>
      </c>
      <c r="M151" s="55">
        <f t="shared" ref="M151:M155" si="1088">+I151*BE151</f>
        <v>17911.3</v>
      </c>
      <c r="N151" s="59">
        <f t="shared" ref="N151:N155" si="1089">+M151*3.3058</f>
        <v>59211.175539999997</v>
      </c>
      <c r="O151" s="55">
        <f>+I151*BF151</f>
        <v>17534.22</v>
      </c>
      <c r="P151" s="59">
        <f t="shared" ref="P151:P155" si="1090">+O151*3.3058</f>
        <v>57964.624476000005</v>
      </c>
      <c r="Q151" s="57">
        <f>+I151*BG151</f>
        <v>17157.14</v>
      </c>
      <c r="R151" s="59">
        <f t="shared" ref="R151:R155" si="1091">+Q151*3.3058</f>
        <v>56718.073411999998</v>
      </c>
      <c r="S151" s="55">
        <f>+I151*BH151</f>
        <v>16780.060000000001</v>
      </c>
      <c r="T151" s="59">
        <f t="shared" ref="T151:T155" si="1092">+S151*3.3058</f>
        <v>55471.522348000006</v>
      </c>
      <c r="U151" s="57">
        <f>+I151*BI151</f>
        <v>16402.98</v>
      </c>
      <c r="V151" s="59">
        <f t="shared" ref="V151:V155" si="1093">+U151*3.3058</f>
        <v>54224.971283999999</v>
      </c>
      <c r="W151" s="60">
        <f>+I151*BJ151</f>
        <v>16025.9</v>
      </c>
      <c r="X151" s="59">
        <f t="shared" ref="X151:X155" si="1094">+W151*3.3058</f>
        <v>52978.42022</v>
      </c>
      <c r="Y151" s="57">
        <f>+I151*BK151</f>
        <v>15648.82</v>
      </c>
      <c r="Z151" s="59">
        <f t="shared" ref="Z151:Z155" si="1095">+Y151*3.3058</f>
        <v>51731.869156000001</v>
      </c>
      <c r="AA151" s="55">
        <f>+I151*BL151</f>
        <v>15271.74</v>
      </c>
      <c r="AB151" s="59">
        <f t="shared" ref="AB151:AB155" si="1096">+AA151*3.3058</f>
        <v>50485.318092000001</v>
      </c>
      <c r="AC151" s="60">
        <f>+I151*BM151</f>
        <v>14894.659999999998</v>
      </c>
      <c r="AD151" s="59">
        <f t="shared" ref="AD151:AD155" si="1097">+AC151*3.3058</f>
        <v>49238.767027999995</v>
      </c>
      <c r="AE151" s="60">
        <f>+I151*BN151</f>
        <v>14517.579999999998</v>
      </c>
      <c r="AF151" s="59">
        <f t="shared" ref="AF151:AF155" si="1098">+AE151*3.3058</f>
        <v>47992.215963999995</v>
      </c>
      <c r="AG151" s="60">
        <f>+I151*BO151</f>
        <v>14140.499999999998</v>
      </c>
      <c r="AH151" s="59">
        <f t="shared" ref="AH151:AH155" si="1099">+AG151*3.3058</f>
        <v>46745.664899999996</v>
      </c>
      <c r="AI151" s="55">
        <f>+I151*BP151</f>
        <v>13763.419999999998</v>
      </c>
      <c r="AJ151" s="59">
        <f t="shared" ref="AJ151:AJ155" si="1100">+AI151*3.3058</f>
        <v>45499.113835999997</v>
      </c>
      <c r="AK151" s="60">
        <f>+I151*BQ151</f>
        <v>13386.339999999997</v>
      </c>
      <c r="AL151" s="59">
        <f t="shared" ref="AL151:AL155" si="1101">+AK151*3.3058</f>
        <v>44252.56277199999</v>
      </c>
      <c r="AM151" s="60">
        <f>+I151*BR151</f>
        <v>13009.259999999997</v>
      </c>
      <c r="AN151" s="59">
        <f t="shared" ref="AN151:AN155" si="1102">+AM151*3.3058</f>
        <v>43006.011707999991</v>
      </c>
      <c r="AO151" s="60">
        <f>+I151*BS151</f>
        <v>12632.179999999997</v>
      </c>
      <c r="AP151" s="59">
        <f t="shared" ref="AP151:AP155" si="1103">+AO151*3.3058</f>
        <v>41759.460643999992</v>
      </c>
      <c r="AQ151" s="60">
        <f>+I151*BT151</f>
        <v>12255.099999999997</v>
      </c>
      <c r="AR151" s="59">
        <f t="shared" ref="AR151:AR155" si="1104">+AQ151*3.3058</f>
        <v>40512.909579999992</v>
      </c>
      <c r="AS151" s="55">
        <f>+I151*BU151</f>
        <v>11878.019999999997</v>
      </c>
      <c r="AT151" s="59">
        <f t="shared" ref="AT151:AT155" si="1105">+AS151*3.3058</f>
        <v>39266.358515999993</v>
      </c>
      <c r="AU151" s="60">
        <f>+I151*BV151</f>
        <v>11500.939999999995</v>
      </c>
      <c r="AV151" s="59">
        <f t="shared" ref="AV151:AV155" si="1106">+AU151*3.3058</f>
        <v>38019.807451999986</v>
      </c>
      <c r="AW151" s="60">
        <f>+I151*BW151</f>
        <v>11123.859999999995</v>
      </c>
      <c r="AX151" s="59">
        <f t="shared" ref="AX151:AX155" si="1107">+AW151*3.3058</f>
        <v>36773.256387999987</v>
      </c>
      <c r="AY151" s="55">
        <f>+I151*BX151</f>
        <v>10746.779999999995</v>
      </c>
      <c r="AZ151" s="59">
        <f t="shared" ref="AZ151:AZ155" si="1108">+AY151*3.3058</f>
        <v>35526.705323999988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109">+BF151-0.02</f>
        <v>0.91</v>
      </c>
      <c r="BH151" s="55">
        <f t="shared" si="1109"/>
        <v>0.89</v>
      </c>
      <c r="BI151" s="55">
        <f t="shared" si="1109"/>
        <v>0.87</v>
      </c>
      <c r="BJ151" s="55">
        <f t="shared" si="1109"/>
        <v>0.85</v>
      </c>
      <c r="BK151" s="55">
        <f t="shared" si="1109"/>
        <v>0.83</v>
      </c>
      <c r="BL151" s="55">
        <f t="shared" si="1109"/>
        <v>0.80999999999999994</v>
      </c>
      <c r="BM151" s="55">
        <f t="shared" si="1109"/>
        <v>0.78999999999999992</v>
      </c>
      <c r="BN151" s="55">
        <f t="shared" si="1109"/>
        <v>0.76999999999999991</v>
      </c>
      <c r="BO151" s="55">
        <f t="shared" si="1109"/>
        <v>0.74999999999999989</v>
      </c>
      <c r="BP151" s="55">
        <f t="shared" si="1109"/>
        <v>0.72999999999999987</v>
      </c>
      <c r="BQ151" s="55">
        <f t="shared" si="1109"/>
        <v>0.70999999999999985</v>
      </c>
      <c r="BR151" s="55">
        <f t="shared" si="1109"/>
        <v>0.68999999999999984</v>
      </c>
      <c r="BS151" s="55">
        <f t="shared" si="1109"/>
        <v>0.66999999999999982</v>
      </c>
      <c r="BT151" s="55">
        <f t="shared" si="1109"/>
        <v>0.6499999999999998</v>
      </c>
      <c r="BU151" s="55">
        <f t="shared" si="1109"/>
        <v>0.62999999999999978</v>
      </c>
      <c r="BV151" s="55">
        <f t="shared" si="1109"/>
        <v>0.60999999999999976</v>
      </c>
      <c r="BW151" s="55">
        <f t="shared" si="1109"/>
        <v>0.58999999999999975</v>
      </c>
      <c r="BX151" s="55">
        <f t="shared" si="1109"/>
        <v>0.56999999999999973</v>
      </c>
      <c r="BZ151" s="55">
        <f t="shared" si="1078"/>
        <v>17157.14</v>
      </c>
      <c r="CA151" s="55">
        <f t="shared" si="1079"/>
        <v>17157.14</v>
      </c>
      <c r="CB151" s="59">
        <f t="shared" ref="CB151:CB155" si="1110">+CA151*3.3058</f>
        <v>56718.073411999998</v>
      </c>
      <c r="CC151" s="55">
        <f t="shared" ref="CC151:CC155" si="1111">+CA151*DV151</f>
        <v>16642.425799999997</v>
      </c>
      <c r="CD151" s="59">
        <f t="shared" ref="CD151:CD155" si="1112">+CC151*3.3058</f>
        <v>55016.531209639994</v>
      </c>
      <c r="CE151" s="55">
        <f t="shared" ref="CE151:CE155" si="1113">+CA151*DW151</f>
        <v>16299.282999999999</v>
      </c>
      <c r="CF151" s="59">
        <f t="shared" ref="CF151:CF155" si="1114">+CE151*3.3058</f>
        <v>53882.169741400001</v>
      </c>
      <c r="CG151" s="55">
        <f>+CA151*DX151</f>
        <v>15956.1402</v>
      </c>
      <c r="CH151" s="59">
        <f t="shared" ref="CH151:CH155" si="1115">+CG151*3.3058</f>
        <v>52747.808273160001</v>
      </c>
      <c r="CI151" s="57">
        <f>+CA151*DY151</f>
        <v>15612.9974</v>
      </c>
      <c r="CJ151" s="59">
        <f t="shared" ref="CJ151:CJ155" si="1116">+CI151*3.3058</f>
        <v>51613.44680492</v>
      </c>
      <c r="CK151" s="55">
        <f>+CA151*DZ151</f>
        <v>15269.854600000001</v>
      </c>
      <c r="CL151" s="59">
        <f t="shared" ref="CL151:CL155" si="1117">+CK151*3.3058</f>
        <v>50479.08533668</v>
      </c>
      <c r="CM151" s="57">
        <f>+CA151*EA151</f>
        <v>14926.711799999999</v>
      </c>
      <c r="CN151" s="59">
        <f t="shared" ref="CN151:CN155" si="1118">+CM151*3.3058</f>
        <v>49344.72386844</v>
      </c>
      <c r="CO151" s="60">
        <f>+CA151*EB151</f>
        <v>14583.569</v>
      </c>
      <c r="CP151" s="59">
        <f t="shared" ref="CP151:CP155" si="1119">+CO151*3.3058</f>
        <v>48210.3624002</v>
      </c>
      <c r="CQ151" s="57">
        <f>+CA151*EC151</f>
        <v>14240.426199999998</v>
      </c>
      <c r="CR151" s="59">
        <f t="shared" ref="CR151:CR155" si="1120">+CQ151*3.3058</f>
        <v>47076.000931959992</v>
      </c>
      <c r="CS151" s="55">
        <f>+CA151*ED151</f>
        <v>13897.283399999998</v>
      </c>
      <c r="CT151" s="59">
        <f t="shared" ref="CT151:CT155" si="1121">+CS151*3.3058</f>
        <v>45941.639463719999</v>
      </c>
      <c r="CU151" s="60">
        <f>+CA151*EE151</f>
        <v>13554.140599999999</v>
      </c>
      <c r="CV151" s="59">
        <f t="shared" ref="CV151:CV155" si="1122">+CU151*3.3058</f>
        <v>44807.277995479999</v>
      </c>
      <c r="CW151" s="60">
        <f>+CA151*EF151</f>
        <v>13210.997799999997</v>
      </c>
      <c r="CX151" s="59">
        <f t="shared" ref="CX151:CX155" si="1123">+CW151*3.3058</f>
        <v>43672.916527239991</v>
      </c>
      <c r="CY151" s="60">
        <f>+CA151*EG151</f>
        <v>12867.854999999998</v>
      </c>
      <c r="CZ151" s="59">
        <f t="shared" ref="CZ151:CZ155" si="1124">+CY151*3.3058</f>
        <v>42538.555058999991</v>
      </c>
      <c r="DA151" s="55">
        <f>+CA151*EH151</f>
        <v>12524.712199999998</v>
      </c>
      <c r="DB151" s="59">
        <f t="shared" ref="DB151:DB155" si="1125">+DA151*3.3058</f>
        <v>41404.193590759998</v>
      </c>
      <c r="DC151" s="60">
        <f>+CA151*EI151</f>
        <v>12181.569399999997</v>
      </c>
      <c r="DD151" s="59">
        <f t="shared" ref="DD151:DD155" si="1126">+DC151*3.3058</f>
        <v>40269.832122519991</v>
      </c>
      <c r="DE151" s="60">
        <f>+CA151*EJ151</f>
        <v>11838.426599999997</v>
      </c>
      <c r="DF151" s="59">
        <f t="shared" ref="DF151:DF155" si="1127">+DE151*3.3058</f>
        <v>39135.47065427999</v>
      </c>
      <c r="DG151" s="60">
        <f>+CA151*EK151</f>
        <v>11495.283799999996</v>
      </c>
      <c r="DH151" s="59">
        <f t="shared" ref="DH151:DH155" si="1128">+DG151*3.3058</f>
        <v>38001.109186039983</v>
      </c>
      <c r="DI151" s="60">
        <f>+CA151*EL151</f>
        <v>11152.140999999996</v>
      </c>
      <c r="DJ151" s="59">
        <f t="shared" ref="DJ151:DJ155" si="1129">+DI151*3.3058</f>
        <v>36866.74771779999</v>
      </c>
      <c r="DK151" s="55">
        <f>+CA151*EM151</f>
        <v>10808.998199999996</v>
      </c>
      <c r="DL151" s="59">
        <f t="shared" ref="DL151:DL155" si="1130">+DK151*3.3058</f>
        <v>35732.38624955999</v>
      </c>
      <c r="DM151" s="60">
        <f>+CA151*EN151</f>
        <v>10465.855399999995</v>
      </c>
      <c r="DN151" s="59">
        <f t="shared" ref="DN151:DN155" si="1131">+DM151*3.3058</f>
        <v>34598.024781319982</v>
      </c>
      <c r="DO151" s="60">
        <f>+CA151*EO151</f>
        <v>10122.712599999995</v>
      </c>
      <c r="DP151" s="59">
        <f t="shared" ref="DP151:DP155" si="1132">+DO151*3.3058</f>
        <v>33463.663313079982</v>
      </c>
      <c r="DQ151" s="55">
        <f>+CA151*EP151</f>
        <v>9779.5697999999957</v>
      </c>
      <c r="DR151" s="59">
        <f t="shared" ref="DR151:DR155" si="1133">+DQ151*3.3058</f>
        <v>32329.301844839985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40"/>
        <v>0.91</v>
      </c>
      <c r="DZ151" s="55">
        <f t="shared" si="940"/>
        <v>0.89</v>
      </c>
      <c r="EA151" s="55">
        <f t="shared" si="940"/>
        <v>0.87</v>
      </c>
      <c r="EB151" s="55">
        <f t="shared" si="940"/>
        <v>0.85</v>
      </c>
      <c r="EC151" s="55">
        <f t="shared" si="940"/>
        <v>0.83</v>
      </c>
      <c r="ED151" s="55">
        <f t="shared" si="940"/>
        <v>0.80999999999999994</v>
      </c>
      <c r="EE151" s="55">
        <f t="shared" si="940"/>
        <v>0.78999999999999992</v>
      </c>
      <c r="EF151" s="55">
        <f t="shared" si="940"/>
        <v>0.76999999999999991</v>
      </c>
      <c r="EG151" s="55">
        <f t="shared" si="940"/>
        <v>0.74999999999999989</v>
      </c>
      <c r="EH151" s="55">
        <f t="shared" si="940"/>
        <v>0.72999999999999987</v>
      </c>
      <c r="EI151" s="55">
        <f t="shared" si="940"/>
        <v>0.70999999999999985</v>
      </c>
      <c r="EJ151" s="55">
        <f t="shared" si="940"/>
        <v>0.68999999999999984</v>
      </c>
      <c r="EK151" s="55">
        <f t="shared" si="940"/>
        <v>0.66999999999999982</v>
      </c>
      <c r="EL151" s="55">
        <f t="shared" si="940"/>
        <v>0.6499999999999998</v>
      </c>
      <c r="EM151" s="55">
        <f t="shared" si="940"/>
        <v>0.62999999999999978</v>
      </c>
      <c r="EN151" s="55">
        <f t="shared" si="940"/>
        <v>0.60999999999999976</v>
      </c>
      <c r="EO151" s="55">
        <f t="shared" si="940"/>
        <v>0.58999999999999975</v>
      </c>
      <c r="EP151" s="55">
        <f t="shared" si="940"/>
        <v>0.56999999999999973</v>
      </c>
      <c r="ER151" s="55">
        <f t="shared" si="656"/>
        <v>15612.9974</v>
      </c>
      <c r="ES151" s="55">
        <f t="shared" si="1080"/>
        <v>15612.9974</v>
      </c>
      <c r="ET151" s="59">
        <f t="shared" ref="ET151:ET155" si="1134">+ES151*3.3058</f>
        <v>51613.44680492</v>
      </c>
      <c r="EU151" s="55">
        <f t="shared" ref="EU151:EU155" si="1135">+ES151*GN151</f>
        <v>15144.607478</v>
      </c>
      <c r="EV151" s="59">
        <f t="shared" ref="EV151:EV155" si="1136">+EU151*3.3058</f>
        <v>50065.043400772403</v>
      </c>
      <c r="EW151" s="55">
        <f t="shared" ref="EW151:EW155" si="1137">+ES151*GO151</f>
        <v>14832.347529999999</v>
      </c>
      <c r="EX151" s="59">
        <f t="shared" ref="EX151:EX155" si="1138">+EW151*3.3058</f>
        <v>49032.774464673996</v>
      </c>
      <c r="EY151" s="55">
        <f>+ES151*GP151</f>
        <v>14520.087582</v>
      </c>
      <c r="EZ151" s="59">
        <f t="shared" ref="EZ151:EZ155" si="1139">+EY151*3.3058</f>
        <v>48000.505528575603</v>
      </c>
      <c r="FA151" s="57">
        <f>+ES151*GQ151</f>
        <v>14207.827634000001</v>
      </c>
      <c r="FB151" s="59">
        <f t="shared" ref="FB151:FB155" si="1140">+FA151*3.3058</f>
        <v>46968.236592477202</v>
      </c>
      <c r="FC151" s="55">
        <f>+ES151*GR151</f>
        <v>13895.567686</v>
      </c>
      <c r="FD151" s="59">
        <f t="shared" ref="FD151:FD155" si="1141">+FC151*3.3058</f>
        <v>45935.967656378802</v>
      </c>
      <c r="FE151" s="57">
        <f>+ES151*GS151</f>
        <v>13583.307738</v>
      </c>
      <c r="FF151" s="59">
        <f t="shared" ref="FF151:FF155" si="1142">+FE151*3.3058</f>
        <v>44903.698720280401</v>
      </c>
      <c r="FG151" s="60">
        <f>+ES151*GT151</f>
        <v>13271.047790000001</v>
      </c>
      <c r="FH151" s="59">
        <f t="shared" ref="FH151:FH155" si="1143">+FG151*3.3058</f>
        <v>43871.429784182001</v>
      </c>
      <c r="FI151" s="57">
        <f>+ES151*GU151</f>
        <v>12958.787842</v>
      </c>
      <c r="FJ151" s="59">
        <f t="shared" ref="FJ151:FJ155" si="1144">+FI151*3.3058</f>
        <v>42839.1608480836</v>
      </c>
      <c r="FK151" s="55">
        <f>+ES151*GV151</f>
        <v>12646.527893999999</v>
      </c>
      <c r="FL151" s="59">
        <f t="shared" ref="FL151:FL155" si="1145">+FK151*3.3058</f>
        <v>41806.8919119852</v>
      </c>
      <c r="FM151" s="60">
        <f>+ES151*GW151</f>
        <v>12334.267945999998</v>
      </c>
      <c r="FN151" s="59">
        <f t="shared" ref="FN151:FN155" si="1146">+FM151*3.3058</f>
        <v>40774.622975886792</v>
      </c>
      <c r="FO151" s="60">
        <f>+ES151*GX151</f>
        <v>12022.007997999999</v>
      </c>
      <c r="FP151" s="59">
        <f t="shared" ref="FP151:FP155" si="1147">+FO151*3.3058</f>
        <v>39742.354039788399</v>
      </c>
      <c r="FQ151" s="60">
        <f>+ES151*GY151</f>
        <v>11709.748049999998</v>
      </c>
      <c r="FR151" s="59">
        <f t="shared" ref="FR151:FR155" si="1148">+FQ151*3.3058</f>
        <v>38710.085103689999</v>
      </c>
      <c r="FS151" s="55">
        <f>+ES151*GZ151</f>
        <v>11397.488101999998</v>
      </c>
      <c r="FT151" s="59">
        <f t="shared" ref="FT151:FT155" si="1149">+FS151*3.3058</f>
        <v>37677.816167591591</v>
      </c>
      <c r="FU151" s="60">
        <f>+ES151*HA151</f>
        <v>11085.228153999999</v>
      </c>
      <c r="FV151" s="59">
        <f t="shared" ref="FV151:FV155" si="1150">+FU151*3.3058</f>
        <v>36645.547231493198</v>
      </c>
      <c r="FW151" s="60">
        <f>+ES151*HB151</f>
        <v>10772.968205999998</v>
      </c>
      <c r="FX151" s="59">
        <f t="shared" ref="FX151:FX155" si="1151">+FW151*3.3058</f>
        <v>35613.27829539479</v>
      </c>
      <c r="FY151" s="60">
        <f>+ES151*HC151</f>
        <v>10460.708257999997</v>
      </c>
      <c r="FZ151" s="59">
        <f t="shared" ref="FZ151:FZ155" si="1152">+FY151*3.3058</f>
        <v>34581.009359296389</v>
      </c>
      <c r="GA151" s="60">
        <f>+ES151*HD151</f>
        <v>10148.448309999996</v>
      </c>
      <c r="GB151" s="59">
        <f t="shared" ref="GB151:GB155" si="1153">+GA151*3.3058</f>
        <v>33548.740423197989</v>
      </c>
      <c r="GC151" s="55">
        <f>+ES151*HE151</f>
        <v>9836.1883619999971</v>
      </c>
      <c r="GD151" s="59">
        <f t="shared" ref="GD151:GD155" si="1154">+GC151*3.3058</f>
        <v>32516.471487099592</v>
      </c>
      <c r="GE151" s="60">
        <f>+ES151*HF151</f>
        <v>9523.9284139999963</v>
      </c>
      <c r="GF151" s="59">
        <f t="shared" ref="GF151:GF155" si="1155">+GE151*3.3058</f>
        <v>31484.202551001188</v>
      </c>
      <c r="GG151" s="60">
        <f>+ES151*HG151</f>
        <v>9211.6684659999955</v>
      </c>
      <c r="GH151" s="59">
        <f t="shared" ref="GH151:GH155" si="1156">+GG151*3.3058</f>
        <v>30451.933614902788</v>
      </c>
      <c r="GI151" s="55">
        <f>+ES151*HH151</f>
        <v>8899.4085179999965</v>
      </c>
      <c r="GJ151" s="59">
        <f t="shared" ref="GJ151:GJ155" si="1157">+GI151*3.3058</f>
        <v>29419.664678804391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41"/>
        <v>0.91</v>
      </c>
      <c r="GR151" s="55">
        <f t="shared" si="941"/>
        <v>0.89</v>
      </c>
      <c r="GS151" s="55">
        <f t="shared" si="941"/>
        <v>0.87</v>
      </c>
      <c r="GT151" s="55">
        <f t="shared" si="941"/>
        <v>0.85</v>
      </c>
      <c r="GU151" s="55">
        <f t="shared" si="941"/>
        <v>0.83</v>
      </c>
      <c r="GV151" s="55">
        <f t="shared" si="941"/>
        <v>0.80999999999999994</v>
      </c>
      <c r="GW151" s="55">
        <f t="shared" si="941"/>
        <v>0.78999999999999992</v>
      </c>
      <c r="GX151" s="55">
        <f t="shared" si="941"/>
        <v>0.76999999999999991</v>
      </c>
      <c r="GY151" s="55">
        <f t="shared" si="941"/>
        <v>0.74999999999999989</v>
      </c>
      <c r="GZ151" s="55">
        <f t="shared" si="941"/>
        <v>0.72999999999999987</v>
      </c>
      <c r="HA151" s="55">
        <f t="shared" si="941"/>
        <v>0.70999999999999985</v>
      </c>
      <c r="HB151" s="55">
        <f t="shared" si="941"/>
        <v>0.68999999999999984</v>
      </c>
      <c r="HC151" s="55">
        <f t="shared" si="941"/>
        <v>0.66999999999999982</v>
      </c>
      <c r="HD151" s="55">
        <f t="shared" si="941"/>
        <v>0.6499999999999998</v>
      </c>
      <c r="HE151" s="55">
        <f t="shared" si="941"/>
        <v>0.62999999999999978</v>
      </c>
      <c r="HF151" s="55">
        <f t="shared" si="941"/>
        <v>0.60999999999999976</v>
      </c>
      <c r="HG151" s="55">
        <f t="shared" si="941"/>
        <v>0.58999999999999975</v>
      </c>
      <c r="HH151" s="55">
        <f t="shared" si="94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85"/>
        <v>0</v>
      </c>
      <c r="I152" s="55">
        <f t="shared" si="1076"/>
        <v>0</v>
      </c>
      <c r="J152" s="59">
        <f t="shared" si="1077"/>
        <v>0</v>
      </c>
      <c r="K152" s="55">
        <f t="shared" si="1086"/>
        <v>0</v>
      </c>
      <c r="L152" s="59">
        <f t="shared" si="1087"/>
        <v>0</v>
      </c>
      <c r="M152" s="55">
        <f t="shared" si="1088"/>
        <v>0</v>
      </c>
      <c r="N152" s="59">
        <f t="shared" si="1089"/>
        <v>0</v>
      </c>
      <c r="O152" s="55">
        <f>+I152*BF152</f>
        <v>0</v>
      </c>
      <c r="P152" s="59">
        <f t="shared" si="1090"/>
        <v>0</v>
      </c>
      <c r="Q152" s="57">
        <f>+I152*BG152</f>
        <v>0</v>
      </c>
      <c r="R152" s="59">
        <f t="shared" si="1091"/>
        <v>0</v>
      </c>
      <c r="S152" s="55">
        <f>+I152*BH152</f>
        <v>0</v>
      </c>
      <c r="T152" s="59">
        <f t="shared" si="1092"/>
        <v>0</v>
      </c>
      <c r="U152" s="57">
        <f>+I152*BI152</f>
        <v>0</v>
      </c>
      <c r="V152" s="59">
        <f t="shared" si="1093"/>
        <v>0</v>
      </c>
      <c r="W152" s="60">
        <f>+I152*BJ152</f>
        <v>0</v>
      </c>
      <c r="X152" s="59">
        <f t="shared" si="1094"/>
        <v>0</v>
      </c>
      <c r="Y152" s="57">
        <f>+I152*BK152</f>
        <v>0</v>
      </c>
      <c r="Z152" s="59">
        <f t="shared" si="1095"/>
        <v>0</v>
      </c>
      <c r="AA152" s="55">
        <f>+I152*BL152</f>
        <v>0</v>
      </c>
      <c r="AB152" s="59">
        <f t="shared" si="1096"/>
        <v>0</v>
      </c>
      <c r="AC152" s="60">
        <f>+I152*BM152</f>
        <v>0</v>
      </c>
      <c r="AD152" s="59">
        <f t="shared" si="1097"/>
        <v>0</v>
      </c>
      <c r="AE152" s="60">
        <f>+I152*BN152</f>
        <v>0</v>
      </c>
      <c r="AF152" s="59">
        <f t="shared" si="1098"/>
        <v>0</v>
      </c>
      <c r="AG152" s="60">
        <f>+I152*BO152</f>
        <v>0</v>
      </c>
      <c r="AH152" s="59">
        <f t="shared" si="1099"/>
        <v>0</v>
      </c>
      <c r="AI152" s="55">
        <f>+I152*BP152</f>
        <v>0</v>
      </c>
      <c r="AJ152" s="59">
        <f t="shared" si="1100"/>
        <v>0</v>
      </c>
      <c r="AK152" s="60">
        <f>+I152*BQ152</f>
        <v>0</v>
      </c>
      <c r="AL152" s="59">
        <f t="shared" si="1101"/>
        <v>0</v>
      </c>
      <c r="AM152" s="60">
        <f>+I152*BR152</f>
        <v>0</v>
      </c>
      <c r="AN152" s="59">
        <f t="shared" si="1102"/>
        <v>0</v>
      </c>
      <c r="AO152" s="60">
        <f>+I152*BS152</f>
        <v>0</v>
      </c>
      <c r="AP152" s="59">
        <f t="shared" si="1103"/>
        <v>0</v>
      </c>
      <c r="AQ152" s="60">
        <f>+I152*BT152</f>
        <v>0</v>
      </c>
      <c r="AR152" s="59">
        <f t="shared" si="1104"/>
        <v>0</v>
      </c>
      <c r="AS152" s="55">
        <f>+I152*BU152</f>
        <v>0</v>
      </c>
      <c r="AT152" s="59">
        <f t="shared" si="1105"/>
        <v>0</v>
      </c>
      <c r="AU152" s="60">
        <f>+I152*BV152</f>
        <v>0</v>
      </c>
      <c r="AV152" s="59">
        <f t="shared" si="1106"/>
        <v>0</v>
      </c>
      <c r="AW152" s="60">
        <f>+I152*BW152</f>
        <v>0</v>
      </c>
      <c r="AX152" s="59">
        <f t="shared" si="1107"/>
        <v>0</v>
      </c>
      <c r="AY152" s="55">
        <f>+I152*BX152</f>
        <v>0</v>
      </c>
      <c r="AZ152" s="59">
        <f t="shared" si="1108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109"/>
        <v>0.91</v>
      </c>
      <c r="BH152" s="55">
        <f t="shared" si="1109"/>
        <v>0.89</v>
      </c>
      <c r="BI152" s="55">
        <f t="shared" si="1109"/>
        <v>0.87</v>
      </c>
      <c r="BJ152" s="55">
        <f t="shared" si="1109"/>
        <v>0.85</v>
      </c>
      <c r="BK152" s="55">
        <f t="shared" si="1109"/>
        <v>0.83</v>
      </c>
      <c r="BL152" s="55">
        <f t="shared" si="1109"/>
        <v>0.80999999999999994</v>
      </c>
      <c r="BM152" s="55">
        <f t="shared" si="1109"/>
        <v>0.78999999999999992</v>
      </c>
      <c r="BN152" s="55">
        <f t="shared" si="1109"/>
        <v>0.76999999999999991</v>
      </c>
      <c r="BO152" s="55">
        <f t="shared" si="1109"/>
        <v>0.74999999999999989</v>
      </c>
      <c r="BP152" s="55">
        <f t="shared" si="1109"/>
        <v>0.72999999999999987</v>
      </c>
      <c r="BQ152" s="55">
        <f t="shared" si="1109"/>
        <v>0.70999999999999985</v>
      </c>
      <c r="BR152" s="55">
        <f t="shared" si="1109"/>
        <v>0.68999999999999984</v>
      </c>
      <c r="BS152" s="55">
        <f t="shared" si="1109"/>
        <v>0.66999999999999982</v>
      </c>
      <c r="BT152" s="55">
        <f t="shared" si="1109"/>
        <v>0.6499999999999998</v>
      </c>
      <c r="BU152" s="55">
        <f t="shared" si="1109"/>
        <v>0.62999999999999978</v>
      </c>
      <c r="BV152" s="55">
        <f t="shared" si="1109"/>
        <v>0.60999999999999976</v>
      </c>
      <c r="BW152" s="55">
        <f t="shared" si="1109"/>
        <v>0.58999999999999975</v>
      </c>
      <c r="BX152" s="55">
        <f t="shared" si="1109"/>
        <v>0.56999999999999973</v>
      </c>
      <c r="BZ152" s="55">
        <f t="shared" si="1078"/>
        <v>0</v>
      </c>
      <c r="CA152" s="55">
        <f t="shared" si="1079"/>
        <v>0</v>
      </c>
      <c r="CB152" s="59">
        <f t="shared" si="1110"/>
        <v>0</v>
      </c>
      <c r="CC152" s="55">
        <f t="shared" si="1111"/>
        <v>0</v>
      </c>
      <c r="CD152" s="59">
        <f t="shared" si="1112"/>
        <v>0</v>
      </c>
      <c r="CE152" s="55">
        <f t="shared" si="1113"/>
        <v>0</v>
      </c>
      <c r="CF152" s="59">
        <f t="shared" si="1114"/>
        <v>0</v>
      </c>
      <c r="CG152" s="55">
        <f>+CA152*DX152</f>
        <v>0</v>
      </c>
      <c r="CH152" s="59">
        <f t="shared" si="1115"/>
        <v>0</v>
      </c>
      <c r="CI152" s="57">
        <f>+CA152*DY152</f>
        <v>0</v>
      </c>
      <c r="CJ152" s="59">
        <f t="shared" si="1116"/>
        <v>0</v>
      </c>
      <c r="CK152" s="55">
        <f>+CA152*DZ152</f>
        <v>0</v>
      </c>
      <c r="CL152" s="59">
        <f t="shared" si="1117"/>
        <v>0</v>
      </c>
      <c r="CM152" s="57">
        <f>+CA152*EA152</f>
        <v>0</v>
      </c>
      <c r="CN152" s="59">
        <f t="shared" si="1118"/>
        <v>0</v>
      </c>
      <c r="CO152" s="60">
        <f>+CA152*EB152</f>
        <v>0</v>
      </c>
      <c r="CP152" s="59">
        <f t="shared" si="1119"/>
        <v>0</v>
      </c>
      <c r="CQ152" s="57">
        <f>+CA152*EC152</f>
        <v>0</v>
      </c>
      <c r="CR152" s="59">
        <f t="shared" si="1120"/>
        <v>0</v>
      </c>
      <c r="CS152" s="55">
        <f>+CA152*ED152</f>
        <v>0</v>
      </c>
      <c r="CT152" s="59">
        <f t="shared" si="1121"/>
        <v>0</v>
      </c>
      <c r="CU152" s="60">
        <f>+CA152*EE152</f>
        <v>0</v>
      </c>
      <c r="CV152" s="59">
        <f t="shared" si="1122"/>
        <v>0</v>
      </c>
      <c r="CW152" s="60">
        <f>+CA152*EF152</f>
        <v>0</v>
      </c>
      <c r="CX152" s="59">
        <f t="shared" si="1123"/>
        <v>0</v>
      </c>
      <c r="CY152" s="60">
        <f>+CA152*EG152</f>
        <v>0</v>
      </c>
      <c r="CZ152" s="59">
        <f t="shared" si="1124"/>
        <v>0</v>
      </c>
      <c r="DA152" s="55">
        <f>+CA152*EH152</f>
        <v>0</v>
      </c>
      <c r="DB152" s="59">
        <f t="shared" si="1125"/>
        <v>0</v>
      </c>
      <c r="DC152" s="60">
        <f>+CA152*EI152</f>
        <v>0</v>
      </c>
      <c r="DD152" s="59">
        <f t="shared" si="1126"/>
        <v>0</v>
      </c>
      <c r="DE152" s="60">
        <f>+CA152*EJ152</f>
        <v>0</v>
      </c>
      <c r="DF152" s="59">
        <f t="shared" si="1127"/>
        <v>0</v>
      </c>
      <c r="DG152" s="60">
        <f>+CA152*EK152</f>
        <v>0</v>
      </c>
      <c r="DH152" s="59">
        <f t="shared" si="1128"/>
        <v>0</v>
      </c>
      <c r="DI152" s="60">
        <f>+CA152*EL152</f>
        <v>0</v>
      </c>
      <c r="DJ152" s="59">
        <f t="shared" si="1129"/>
        <v>0</v>
      </c>
      <c r="DK152" s="55">
        <f>+CA152*EM152</f>
        <v>0</v>
      </c>
      <c r="DL152" s="59">
        <f t="shared" si="1130"/>
        <v>0</v>
      </c>
      <c r="DM152" s="60">
        <f>+CA152*EN152</f>
        <v>0</v>
      </c>
      <c r="DN152" s="59">
        <f t="shared" si="1131"/>
        <v>0</v>
      </c>
      <c r="DO152" s="60">
        <f>+CA152*EO152</f>
        <v>0</v>
      </c>
      <c r="DP152" s="59">
        <f t="shared" si="1132"/>
        <v>0</v>
      </c>
      <c r="DQ152" s="55">
        <f>+CA152*EP152</f>
        <v>0</v>
      </c>
      <c r="DR152" s="59">
        <f t="shared" si="1133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40"/>
        <v>0.91</v>
      </c>
      <c r="DZ152" s="55">
        <f t="shared" si="940"/>
        <v>0.89</v>
      </c>
      <c r="EA152" s="55">
        <f t="shared" si="940"/>
        <v>0.87</v>
      </c>
      <c r="EB152" s="55">
        <f t="shared" si="940"/>
        <v>0.85</v>
      </c>
      <c r="EC152" s="55">
        <f t="shared" si="940"/>
        <v>0.83</v>
      </c>
      <c r="ED152" s="55">
        <f t="shared" si="940"/>
        <v>0.80999999999999994</v>
      </c>
      <c r="EE152" s="55">
        <f t="shared" si="940"/>
        <v>0.78999999999999992</v>
      </c>
      <c r="EF152" s="55">
        <f t="shared" si="940"/>
        <v>0.76999999999999991</v>
      </c>
      <c r="EG152" s="55">
        <f t="shared" si="940"/>
        <v>0.74999999999999989</v>
      </c>
      <c r="EH152" s="55">
        <f t="shared" si="940"/>
        <v>0.72999999999999987</v>
      </c>
      <c r="EI152" s="55">
        <f t="shared" si="940"/>
        <v>0.70999999999999985</v>
      </c>
      <c r="EJ152" s="55">
        <f t="shared" si="940"/>
        <v>0.68999999999999984</v>
      </c>
      <c r="EK152" s="55">
        <f t="shared" si="940"/>
        <v>0.66999999999999982</v>
      </c>
      <c r="EL152" s="55">
        <f t="shared" si="940"/>
        <v>0.6499999999999998</v>
      </c>
      <c r="EM152" s="55">
        <f t="shared" si="940"/>
        <v>0.62999999999999978</v>
      </c>
      <c r="EN152" s="55">
        <f t="shared" si="940"/>
        <v>0.60999999999999976</v>
      </c>
      <c r="EO152" s="55">
        <f t="shared" si="940"/>
        <v>0.58999999999999975</v>
      </c>
      <c r="EP152" s="55">
        <f t="shared" si="940"/>
        <v>0.56999999999999973</v>
      </c>
      <c r="ER152" s="55">
        <f t="shared" si="656"/>
        <v>0</v>
      </c>
      <c r="ES152" s="55">
        <f t="shared" si="1080"/>
        <v>0</v>
      </c>
      <c r="ET152" s="59">
        <f t="shared" si="1134"/>
        <v>0</v>
      </c>
      <c r="EU152" s="55">
        <f t="shared" si="1135"/>
        <v>0</v>
      </c>
      <c r="EV152" s="59">
        <f t="shared" si="1136"/>
        <v>0</v>
      </c>
      <c r="EW152" s="55">
        <f t="shared" si="1137"/>
        <v>0</v>
      </c>
      <c r="EX152" s="59">
        <f t="shared" si="1138"/>
        <v>0</v>
      </c>
      <c r="EY152" s="55">
        <f>+ES152*GP152</f>
        <v>0</v>
      </c>
      <c r="EZ152" s="59">
        <f t="shared" si="1139"/>
        <v>0</v>
      </c>
      <c r="FA152" s="57">
        <f>+ES152*GQ152</f>
        <v>0</v>
      </c>
      <c r="FB152" s="59">
        <f t="shared" si="1140"/>
        <v>0</v>
      </c>
      <c r="FC152" s="55">
        <f>+ES152*GR152</f>
        <v>0</v>
      </c>
      <c r="FD152" s="59">
        <f t="shared" si="1141"/>
        <v>0</v>
      </c>
      <c r="FE152" s="57">
        <f>+ES152*GS152</f>
        <v>0</v>
      </c>
      <c r="FF152" s="59">
        <f t="shared" si="1142"/>
        <v>0</v>
      </c>
      <c r="FG152" s="60">
        <f>+ES152*GT152</f>
        <v>0</v>
      </c>
      <c r="FH152" s="59">
        <f t="shared" si="1143"/>
        <v>0</v>
      </c>
      <c r="FI152" s="57">
        <f>+ES152*GU152</f>
        <v>0</v>
      </c>
      <c r="FJ152" s="59">
        <f t="shared" si="1144"/>
        <v>0</v>
      </c>
      <c r="FK152" s="55">
        <f>+ES152*GV152</f>
        <v>0</v>
      </c>
      <c r="FL152" s="59">
        <f t="shared" si="1145"/>
        <v>0</v>
      </c>
      <c r="FM152" s="60">
        <f>+ES152*GW152</f>
        <v>0</v>
      </c>
      <c r="FN152" s="59">
        <f t="shared" si="1146"/>
        <v>0</v>
      </c>
      <c r="FO152" s="60">
        <f>+ES152*GX152</f>
        <v>0</v>
      </c>
      <c r="FP152" s="59">
        <f t="shared" si="1147"/>
        <v>0</v>
      </c>
      <c r="FQ152" s="60">
        <f>+ES152*GY152</f>
        <v>0</v>
      </c>
      <c r="FR152" s="59">
        <f t="shared" si="1148"/>
        <v>0</v>
      </c>
      <c r="FS152" s="55">
        <f>+ES152*GZ152</f>
        <v>0</v>
      </c>
      <c r="FT152" s="59">
        <f t="shared" si="1149"/>
        <v>0</v>
      </c>
      <c r="FU152" s="60">
        <f>+ES152*HA152</f>
        <v>0</v>
      </c>
      <c r="FV152" s="59">
        <f t="shared" si="1150"/>
        <v>0</v>
      </c>
      <c r="FW152" s="60">
        <f>+ES152*HB152</f>
        <v>0</v>
      </c>
      <c r="FX152" s="59">
        <f t="shared" si="1151"/>
        <v>0</v>
      </c>
      <c r="FY152" s="60">
        <f>+ES152*HC152</f>
        <v>0</v>
      </c>
      <c r="FZ152" s="59">
        <f t="shared" si="1152"/>
        <v>0</v>
      </c>
      <c r="GA152" s="60">
        <f>+ES152*HD152</f>
        <v>0</v>
      </c>
      <c r="GB152" s="59">
        <f t="shared" si="1153"/>
        <v>0</v>
      </c>
      <c r="GC152" s="55">
        <f>+ES152*HE152</f>
        <v>0</v>
      </c>
      <c r="GD152" s="59">
        <f t="shared" si="1154"/>
        <v>0</v>
      </c>
      <c r="GE152" s="60">
        <f>+ES152*HF152</f>
        <v>0</v>
      </c>
      <c r="GF152" s="59">
        <f t="shared" si="1155"/>
        <v>0</v>
      </c>
      <c r="GG152" s="60">
        <f>+ES152*HG152</f>
        <v>0</v>
      </c>
      <c r="GH152" s="59">
        <f t="shared" si="1156"/>
        <v>0</v>
      </c>
      <c r="GI152" s="55">
        <f>+ES152*HH152</f>
        <v>0</v>
      </c>
      <c r="GJ152" s="59">
        <f t="shared" si="1157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41"/>
        <v>0.91</v>
      </c>
      <c r="GR152" s="55">
        <f t="shared" si="941"/>
        <v>0.89</v>
      </c>
      <c r="GS152" s="55">
        <f t="shared" si="941"/>
        <v>0.87</v>
      </c>
      <c r="GT152" s="55">
        <f t="shared" si="941"/>
        <v>0.85</v>
      </c>
      <c r="GU152" s="55">
        <f t="shared" si="941"/>
        <v>0.83</v>
      </c>
      <c r="GV152" s="55">
        <f t="shared" si="941"/>
        <v>0.80999999999999994</v>
      </c>
      <c r="GW152" s="55">
        <f t="shared" si="941"/>
        <v>0.78999999999999992</v>
      </c>
      <c r="GX152" s="55">
        <f t="shared" si="941"/>
        <v>0.76999999999999991</v>
      </c>
      <c r="GY152" s="55">
        <f t="shared" si="941"/>
        <v>0.74999999999999989</v>
      </c>
      <c r="GZ152" s="55">
        <f t="shared" si="941"/>
        <v>0.72999999999999987</v>
      </c>
      <c r="HA152" s="55">
        <f t="shared" si="941"/>
        <v>0.70999999999999985</v>
      </c>
      <c r="HB152" s="55">
        <f t="shared" si="941"/>
        <v>0.68999999999999984</v>
      </c>
      <c r="HC152" s="55">
        <f t="shared" si="941"/>
        <v>0.66999999999999982</v>
      </c>
      <c r="HD152" s="55">
        <f t="shared" si="941"/>
        <v>0.6499999999999998</v>
      </c>
      <c r="HE152" s="55">
        <f t="shared" si="941"/>
        <v>0.62999999999999978</v>
      </c>
      <c r="HF152" s="55">
        <f t="shared" si="941"/>
        <v>0.60999999999999976</v>
      </c>
      <c r="HG152" s="55">
        <f t="shared" si="941"/>
        <v>0.58999999999999975</v>
      </c>
      <c r="HH152" s="55">
        <f t="shared" si="941"/>
        <v>0.56999999999999973</v>
      </c>
    </row>
    <row r="153" spans="1:216" x14ac:dyDescent="0.3">
      <c r="A153" s="2">
        <v>3</v>
      </c>
      <c r="C153" s="38" t="s">
        <v>47</v>
      </c>
      <c r="D153" s="42">
        <f>TRUNC(7249,-1)</f>
        <v>7240</v>
      </c>
      <c r="E153" s="71">
        <f>TRUNC(+D153*3.3058,-1)</f>
        <v>23930</v>
      </c>
      <c r="F153" s="2" t="s">
        <v>313</v>
      </c>
      <c r="H153" s="55">
        <f t="shared" si="1085"/>
        <v>7964.0000000000009</v>
      </c>
      <c r="I153" s="55">
        <f t="shared" si="1076"/>
        <v>7964.0000000000009</v>
      </c>
      <c r="J153" s="59">
        <f t="shared" si="1077"/>
        <v>26327.391200000002</v>
      </c>
      <c r="K153" s="55">
        <f t="shared" si="1086"/>
        <v>7725.0800000000008</v>
      </c>
      <c r="L153" s="59">
        <f t="shared" si="1087"/>
        <v>25537.569464000004</v>
      </c>
      <c r="M153" s="55">
        <f t="shared" si="1088"/>
        <v>7565.8</v>
      </c>
      <c r="N153" s="59">
        <f t="shared" si="1089"/>
        <v>25011.021640000003</v>
      </c>
      <c r="O153" s="55">
        <f>+I153*BF153</f>
        <v>7406.5200000000013</v>
      </c>
      <c r="P153" s="59">
        <f t="shared" si="1090"/>
        <v>24484.473816000005</v>
      </c>
      <c r="Q153" s="57">
        <f>+I153*BG153</f>
        <v>7247.2400000000007</v>
      </c>
      <c r="R153" s="59">
        <f t="shared" si="1091"/>
        <v>23957.925992000004</v>
      </c>
      <c r="S153" s="55">
        <f>+I153*BH153</f>
        <v>7087.9600000000009</v>
      </c>
      <c r="T153" s="59">
        <f t="shared" si="1092"/>
        <v>23431.378168000003</v>
      </c>
      <c r="U153" s="57">
        <f>+I153*BI153</f>
        <v>6928.6800000000012</v>
      </c>
      <c r="V153" s="59">
        <f t="shared" si="1093"/>
        <v>22904.830344000005</v>
      </c>
      <c r="W153" s="60">
        <f>+I153*BJ153</f>
        <v>6769.4000000000005</v>
      </c>
      <c r="X153" s="59">
        <f t="shared" si="1094"/>
        <v>22378.282520000001</v>
      </c>
      <c r="Y153" s="57">
        <f>+I153*BK153</f>
        <v>6610.1200000000008</v>
      </c>
      <c r="Z153" s="59">
        <f t="shared" si="1095"/>
        <v>21851.734696000003</v>
      </c>
      <c r="AA153" s="55">
        <f>+I153*BL153</f>
        <v>6450.84</v>
      </c>
      <c r="AB153" s="59">
        <f t="shared" si="1096"/>
        <v>21325.186872000002</v>
      </c>
      <c r="AC153" s="60">
        <f>+I153*BM153</f>
        <v>6291.56</v>
      </c>
      <c r="AD153" s="59">
        <f t="shared" si="1097"/>
        <v>20798.639048000001</v>
      </c>
      <c r="AE153" s="60">
        <f>+I153*BN153</f>
        <v>6132.28</v>
      </c>
      <c r="AF153" s="59">
        <f t="shared" si="1098"/>
        <v>20272.091224</v>
      </c>
      <c r="AG153" s="60">
        <f>+I153*BO153</f>
        <v>5973</v>
      </c>
      <c r="AH153" s="59">
        <f t="shared" si="1099"/>
        <v>19745.543399999999</v>
      </c>
      <c r="AI153" s="55">
        <f>+I153*BP153</f>
        <v>5813.7199999999993</v>
      </c>
      <c r="AJ153" s="59">
        <f t="shared" si="1100"/>
        <v>19218.995575999998</v>
      </c>
      <c r="AK153" s="60">
        <f>+I153*BQ153</f>
        <v>5654.44</v>
      </c>
      <c r="AL153" s="59">
        <f t="shared" si="1101"/>
        <v>18692.447752</v>
      </c>
      <c r="AM153" s="60">
        <f>+I153*BR153</f>
        <v>5495.1599999999989</v>
      </c>
      <c r="AN153" s="59">
        <f t="shared" si="1102"/>
        <v>18165.899927999995</v>
      </c>
      <c r="AO153" s="60">
        <f>+I153*BS153</f>
        <v>5335.8799999999992</v>
      </c>
      <c r="AP153" s="59">
        <f t="shared" si="1103"/>
        <v>17639.352103999998</v>
      </c>
      <c r="AQ153" s="60">
        <f>+I153*BT153</f>
        <v>5176.5999999999985</v>
      </c>
      <c r="AR153" s="59">
        <f t="shared" si="1104"/>
        <v>17112.804279999997</v>
      </c>
      <c r="AS153" s="55">
        <f>+I153*BU153</f>
        <v>5017.3199999999988</v>
      </c>
      <c r="AT153" s="59">
        <f t="shared" si="1105"/>
        <v>16586.256455999996</v>
      </c>
      <c r="AU153" s="60">
        <f>+I153*BV153</f>
        <v>4858.0399999999991</v>
      </c>
      <c r="AV153" s="59">
        <f t="shared" si="1106"/>
        <v>16059.708631999998</v>
      </c>
      <c r="AW153" s="60">
        <f>+I153*BW153</f>
        <v>4698.7599999999984</v>
      </c>
      <c r="AX153" s="59">
        <f t="shared" si="1107"/>
        <v>15533.160807999995</v>
      </c>
      <c r="AY153" s="55">
        <f>+I153*BX153</f>
        <v>4539.4799999999987</v>
      </c>
      <c r="AZ153" s="59">
        <f t="shared" si="1108"/>
        <v>15006.612983999996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109"/>
        <v>0.91</v>
      </c>
      <c r="BH153" s="55">
        <f t="shared" si="1109"/>
        <v>0.89</v>
      </c>
      <c r="BI153" s="55">
        <f t="shared" si="1109"/>
        <v>0.87</v>
      </c>
      <c r="BJ153" s="55">
        <f t="shared" si="1109"/>
        <v>0.85</v>
      </c>
      <c r="BK153" s="55">
        <f t="shared" si="1109"/>
        <v>0.83</v>
      </c>
      <c r="BL153" s="55">
        <f t="shared" si="1109"/>
        <v>0.80999999999999994</v>
      </c>
      <c r="BM153" s="55">
        <f t="shared" si="1109"/>
        <v>0.78999999999999992</v>
      </c>
      <c r="BN153" s="55">
        <f t="shared" si="1109"/>
        <v>0.76999999999999991</v>
      </c>
      <c r="BO153" s="55">
        <f t="shared" si="1109"/>
        <v>0.74999999999999989</v>
      </c>
      <c r="BP153" s="55">
        <f t="shared" si="1109"/>
        <v>0.72999999999999987</v>
      </c>
      <c r="BQ153" s="55">
        <f t="shared" si="1109"/>
        <v>0.70999999999999985</v>
      </c>
      <c r="BR153" s="55">
        <f t="shared" si="1109"/>
        <v>0.68999999999999984</v>
      </c>
      <c r="BS153" s="55">
        <f t="shared" si="1109"/>
        <v>0.66999999999999982</v>
      </c>
      <c r="BT153" s="55">
        <f t="shared" si="1109"/>
        <v>0.6499999999999998</v>
      </c>
      <c r="BU153" s="55">
        <f t="shared" si="1109"/>
        <v>0.62999999999999978</v>
      </c>
      <c r="BV153" s="55">
        <f t="shared" si="1109"/>
        <v>0.60999999999999976</v>
      </c>
      <c r="BW153" s="55">
        <f t="shared" si="1109"/>
        <v>0.58999999999999975</v>
      </c>
      <c r="BX153" s="55">
        <f t="shared" si="1109"/>
        <v>0.56999999999999973</v>
      </c>
      <c r="BZ153" s="55">
        <f t="shared" si="1078"/>
        <v>7247.2400000000007</v>
      </c>
      <c r="CA153" s="55">
        <f t="shared" si="1079"/>
        <v>7247.2400000000007</v>
      </c>
      <c r="CB153" s="59">
        <f t="shared" si="1110"/>
        <v>23957.925992000004</v>
      </c>
      <c r="CC153" s="55">
        <f t="shared" si="1111"/>
        <v>7029.8228000000008</v>
      </c>
      <c r="CD153" s="59">
        <f t="shared" si="1112"/>
        <v>23239.188212240002</v>
      </c>
      <c r="CE153" s="55">
        <f t="shared" si="1113"/>
        <v>6884.8780000000006</v>
      </c>
      <c r="CF153" s="59">
        <f t="shared" si="1114"/>
        <v>22760.029692400003</v>
      </c>
      <c r="CG153" s="55">
        <f>+CA153*DX153</f>
        <v>6739.9332000000013</v>
      </c>
      <c r="CH153" s="59">
        <f t="shared" si="1115"/>
        <v>22280.871172560004</v>
      </c>
      <c r="CI153" s="57">
        <f>+CA153*DY153</f>
        <v>6594.9884000000011</v>
      </c>
      <c r="CJ153" s="59">
        <f t="shared" si="1116"/>
        <v>21801.712652720005</v>
      </c>
      <c r="CK153" s="55">
        <f>+CA153*DZ153</f>
        <v>6450.0436000000009</v>
      </c>
      <c r="CL153" s="59">
        <f t="shared" si="1117"/>
        <v>21322.554132880003</v>
      </c>
      <c r="CM153" s="57">
        <f>+CA153*EA153</f>
        <v>6305.0988000000007</v>
      </c>
      <c r="CN153" s="59">
        <f t="shared" si="1118"/>
        <v>20843.395613040004</v>
      </c>
      <c r="CO153" s="60">
        <f>+CA153*EB153</f>
        <v>6160.1540000000005</v>
      </c>
      <c r="CP153" s="59">
        <f t="shared" si="1119"/>
        <v>20364.237093200001</v>
      </c>
      <c r="CQ153" s="57">
        <f>+CA153*EC153</f>
        <v>6015.2092000000002</v>
      </c>
      <c r="CR153" s="59">
        <f t="shared" si="1120"/>
        <v>19885.078573360002</v>
      </c>
      <c r="CS153" s="55">
        <f>+CA153*ED153</f>
        <v>5870.2644</v>
      </c>
      <c r="CT153" s="59">
        <f t="shared" si="1121"/>
        <v>19405.92005352</v>
      </c>
      <c r="CU153" s="60">
        <f>+CA153*EE153</f>
        <v>5725.3195999999998</v>
      </c>
      <c r="CV153" s="59">
        <f t="shared" si="1122"/>
        <v>18926.761533680001</v>
      </c>
      <c r="CW153" s="60">
        <f>+CA153*EF153</f>
        <v>5580.3747999999996</v>
      </c>
      <c r="CX153" s="59">
        <f t="shared" si="1123"/>
        <v>18447.603013839998</v>
      </c>
      <c r="CY153" s="60">
        <f>+CA153*EG153</f>
        <v>5435.4299999999994</v>
      </c>
      <c r="CZ153" s="59">
        <f t="shared" si="1124"/>
        <v>17968.444493999999</v>
      </c>
      <c r="DA153" s="55">
        <f>+CA153*EH153</f>
        <v>5290.4851999999992</v>
      </c>
      <c r="DB153" s="59">
        <f t="shared" si="1125"/>
        <v>17489.285974159997</v>
      </c>
      <c r="DC153" s="60">
        <f>+CA153*EI153</f>
        <v>5145.5403999999999</v>
      </c>
      <c r="DD153" s="59">
        <f t="shared" si="1126"/>
        <v>17010.127454320002</v>
      </c>
      <c r="DE153" s="60">
        <f>+CA153*EJ153</f>
        <v>5000.5955999999996</v>
      </c>
      <c r="DF153" s="59">
        <f t="shared" si="1127"/>
        <v>16530.968934479999</v>
      </c>
      <c r="DG153" s="60">
        <f>+CA153*EK153</f>
        <v>4855.6507999999994</v>
      </c>
      <c r="DH153" s="59">
        <f t="shared" si="1128"/>
        <v>16051.810414639998</v>
      </c>
      <c r="DI153" s="60">
        <f>+CA153*EL153</f>
        <v>4710.7059999999992</v>
      </c>
      <c r="DJ153" s="59">
        <f t="shared" si="1129"/>
        <v>15572.651894799998</v>
      </c>
      <c r="DK153" s="55">
        <f>+CA153*EM153</f>
        <v>4565.761199999999</v>
      </c>
      <c r="DL153" s="59">
        <f t="shared" si="1130"/>
        <v>15093.493374959997</v>
      </c>
      <c r="DM153" s="60">
        <f>+CA153*EN153</f>
        <v>4420.8163999999988</v>
      </c>
      <c r="DN153" s="59">
        <f t="shared" si="1131"/>
        <v>14614.334855119996</v>
      </c>
      <c r="DO153" s="60">
        <f>+CA153*EO153</f>
        <v>4275.8715999999986</v>
      </c>
      <c r="DP153" s="59">
        <f t="shared" si="1132"/>
        <v>14135.176335279995</v>
      </c>
      <c r="DQ153" s="55">
        <f>+CA153*EP153</f>
        <v>4130.9267999999984</v>
      </c>
      <c r="DR153" s="59">
        <f t="shared" si="1133"/>
        <v>13656.017815439995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40"/>
        <v>0.91</v>
      </c>
      <c r="DZ153" s="55">
        <f t="shared" si="940"/>
        <v>0.89</v>
      </c>
      <c r="EA153" s="55">
        <f t="shared" si="940"/>
        <v>0.87</v>
      </c>
      <c r="EB153" s="55">
        <f t="shared" ref="EB153:EP153" si="1158">+EA153-0.02</f>
        <v>0.85</v>
      </c>
      <c r="EC153" s="55">
        <f t="shared" si="1158"/>
        <v>0.83</v>
      </c>
      <c r="ED153" s="55">
        <f t="shared" si="1158"/>
        <v>0.80999999999999994</v>
      </c>
      <c r="EE153" s="55">
        <f t="shared" si="1158"/>
        <v>0.78999999999999992</v>
      </c>
      <c r="EF153" s="55">
        <f t="shared" si="1158"/>
        <v>0.76999999999999991</v>
      </c>
      <c r="EG153" s="55">
        <f t="shared" si="1158"/>
        <v>0.74999999999999989</v>
      </c>
      <c r="EH153" s="55">
        <f t="shared" si="1158"/>
        <v>0.72999999999999987</v>
      </c>
      <c r="EI153" s="55">
        <f t="shared" si="1158"/>
        <v>0.70999999999999985</v>
      </c>
      <c r="EJ153" s="55">
        <f t="shared" si="1158"/>
        <v>0.68999999999999984</v>
      </c>
      <c r="EK153" s="55">
        <f t="shared" si="1158"/>
        <v>0.66999999999999982</v>
      </c>
      <c r="EL153" s="55">
        <f t="shared" si="1158"/>
        <v>0.6499999999999998</v>
      </c>
      <c r="EM153" s="55">
        <f t="shared" si="1158"/>
        <v>0.62999999999999978</v>
      </c>
      <c r="EN153" s="55">
        <f t="shared" si="1158"/>
        <v>0.60999999999999976</v>
      </c>
      <c r="EO153" s="55">
        <f t="shared" si="1158"/>
        <v>0.58999999999999975</v>
      </c>
      <c r="EP153" s="55">
        <f t="shared" si="1158"/>
        <v>0.56999999999999973</v>
      </c>
      <c r="ER153" s="55">
        <f t="shared" si="656"/>
        <v>6594.9884000000011</v>
      </c>
      <c r="ES153" s="55">
        <f t="shared" si="1080"/>
        <v>6594.9884000000011</v>
      </c>
      <c r="ET153" s="59">
        <f t="shared" si="1134"/>
        <v>21801.712652720005</v>
      </c>
      <c r="EU153" s="55">
        <f t="shared" si="1135"/>
        <v>6397.1387480000012</v>
      </c>
      <c r="EV153" s="59">
        <f t="shared" si="1136"/>
        <v>21147.661273138405</v>
      </c>
      <c r="EW153" s="55">
        <f t="shared" si="1137"/>
        <v>6265.238980000001</v>
      </c>
      <c r="EX153" s="59">
        <f t="shared" si="1138"/>
        <v>20711.627020084004</v>
      </c>
      <c r="EY153" s="55">
        <f>+ES153*GP153</f>
        <v>6133.3392120000017</v>
      </c>
      <c r="EZ153" s="59">
        <f t="shared" si="1139"/>
        <v>20275.592767029608</v>
      </c>
      <c r="FA153" s="57">
        <f>+ES153*GQ153</f>
        <v>6001.4394440000015</v>
      </c>
      <c r="FB153" s="59">
        <f t="shared" si="1140"/>
        <v>19839.558513975204</v>
      </c>
      <c r="FC153" s="55">
        <f>+ES153*GR153</f>
        <v>5869.5396760000012</v>
      </c>
      <c r="FD153" s="59">
        <f t="shared" si="1141"/>
        <v>19403.524260920803</v>
      </c>
      <c r="FE153" s="57">
        <f>+ES153*GS153</f>
        <v>5737.639908000001</v>
      </c>
      <c r="FF153" s="59">
        <f t="shared" si="1142"/>
        <v>18967.490007866403</v>
      </c>
      <c r="FG153" s="60">
        <f>+ES153*GT153</f>
        <v>5605.7401400000008</v>
      </c>
      <c r="FH153" s="59">
        <f t="shared" si="1143"/>
        <v>18531.455754812003</v>
      </c>
      <c r="FI153" s="57">
        <f>+ES153*GU153</f>
        <v>5473.8403720000006</v>
      </c>
      <c r="FJ153" s="59">
        <f t="shared" si="1144"/>
        <v>18095.421501757603</v>
      </c>
      <c r="FK153" s="55">
        <f>+ES153*GV153</f>
        <v>5341.9406040000003</v>
      </c>
      <c r="FL153" s="59">
        <f t="shared" si="1145"/>
        <v>17659.387248703202</v>
      </c>
      <c r="FM153" s="60">
        <f>+ES153*GW153</f>
        <v>5210.0408360000001</v>
      </c>
      <c r="FN153" s="59">
        <f t="shared" si="1146"/>
        <v>17223.352995648802</v>
      </c>
      <c r="FO153" s="60">
        <f>+ES153*GX153</f>
        <v>5078.1410679999999</v>
      </c>
      <c r="FP153" s="59">
        <f t="shared" si="1147"/>
        <v>16787.318742594402</v>
      </c>
      <c r="FQ153" s="60">
        <f>+ES153*GY153</f>
        <v>4946.2412999999997</v>
      </c>
      <c r="FR153" s="59">
        <f t="shared" si="1148"/>
        <v>16351.284489539999</v>
      </c>
      <c r="FS153" s="55">
        <f>+ES153*GZ153</f>
        <v>4814.3415320000004</v>
      </c>
      <c r="FT153" s="59">
        <f t="shared" si="1149"/>
        <v>15915.250236485601</v>
      </c>
      <c r="FU153" s="60">
        <f>+ES153*HA153</f>
        <v>4682.4417640000001</v>
      </c>
      <c r="FV153" s="59">
        <f t="shared" si="1150"/>
        <v>15479.215983431201</v>
      </c>
      <c r="FW153" s="60">
        <f>+ES153*HB153</f>
        <v>4550.5419959999999</v>
      </c>
      <c r="FX153" s="59">
        <f t="shared" si="1151"/>
        <v>15043.1817303768</v>
      </c>
      <c r="FY153" s="60">
        <f>+ES153*HC153</f>
        <v>4418.6422279999997</v>
      </c>
      <c r="FZ153" s="59">
        <f t="shared" si="1152"/>
        <v>14607.1474773224</v>
      </c>
      <c r="GA153" s="60">
        <f>+ES153*HD153</f>
        <v>4286.7424599999995</v>
      </c>
      <c r="GB153" s="59">
        <f t="shared" si="1153"/>
        <v>14171.113224267998</v>
      </c>
      <c r="GC153" s="55">
        <f>+ES153*HE153</f>
        <v>4154.8426919999993</v>
      </c>
      <c r="GD153" s="59">
        <f t="shared" si="1154"/>
        <v>13735.078971213597</v>
      </c>
      <c r="GE153" s="60">
        <f>+ES153*HF153</f>
        <v>4022.942923999999</v>
      </c>
      <c r="GF153" s="59">
        <f t="shared" si="1155"/>
        <v>13299.044718159197</v>
      </c>
      <c r="GG153" s="60">
        <f>+ES153*HG153</f>
        <v>3891.0431559999988</v>
      </c>
      <c r="GH153" s="59">
        <f t="shared" si="1156"/>
        <v>12863.010465104797</v>
      </c>
      <c r="GI153" s="55">
        <f>+ES153*HH153</f>
        <v>3759.143387999999</v>
      </c>
      <c r="GJ153" s="59">
        <f t="shared" si="1157"/>
        <v>12426.976212050396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41"/>
        <v>0.91</v>
      </c>
      <c r="GR153" s="55">
        <f t="shared" si="941"/>
        <v>0.89</v>
      </c>
      <c r="GS153" s="55">
        <f t="shared" si="941"/>
        <v>0.87</v>
      </c>
      <c r="GT153" s="55">
        <f t="shared" ref="GT153:HH153" si="1159">+GS153-0.02</f>
        <v>0.85</v>
      </c>
      <c r="GU153" s="55">
        <f t="shared" si="1159"/>
        <v>0.83</v>
      </c>
      <c r="GV153" s="55">
        <f t="shared" si="1159"/>
        <v>0.80999999999999994</v>
      </c>
      <c r="GW153" s="55">
        <f t="shared" si="1159"/>
        <v>0.78999999999999992</v>
      </c>
      <c r="GX153" s="55">
        <f t="shared" si="1159"/>
        <v>0.76999999999999991</v>
      </c>
      <c r="GY153" s="55">
        <f t="shared" si="1159"/>
        <v>0.74999999999999989</v>
      </c>
      <c r="GZ153" s="55">
        <f t="shared" si="1159"/>
        <v>0.72999999999999987</v>
      </c>
      <c r="HA153" s="55">
        <f t="shared" si="1159"/>
        <v>0.70999999999999985</v>
      </c>
      <c r="HB153" s="55">
        <f t="shared" si="1159"/>
        <v>0.68999999999999984</v>
      </c>
      <c r="HC153" s="55">
        <f t="shared" si="1159"/>
        <v>0.66999999999999982</v>
      </c>
      <c r="HD153" s="55">
        <f t="shared" si="1159"/>
        <v>0.6499999999999998</v>
      </c>
      <c r="HE153" s="55">
        <f t="shared" si="1159"/>
        <v>0.62999999999999978</v>
      </c>
      <c r="HF153" s="55">
        <f t="shared" si="1159"/>
        <v>0.60999999999999976</v>
      </c>
      <c r="HG153" s="55">
        <f t="shared" si="1159"/>
        <v>0.58999999999999975</v>
      </c>
      <c r="HH153" s="55">
        <f t="shared" si="1159"/>
        <v>0.56999999999999973</v>
      </c>
    </row>
    <row r="154" spans="1:216" ht="17.25" thickBot="1" x14ac:dyDescent="0.35">
      <c r="A154" s="2">
        <v>4</v>
      </c>
      <c r="C154" s="38" t="s">
        <v>149</v>
      </c>
      <c r="D154" s="43">
        <f>TRUNC(7522,-1)</f>
        <v>7520</v>
      </c>
      <c r="E154" s="72">
        <f>TRUNC(+D154*3.3058,-1)</f>
        <v>24850</v>
      </c>
      <c r="H154" s="55">
        <f t="shared" si="1085"/>
        <v>8272</v>
      </c>
      <c r="I154" s="55">
        <f t="shared" si="1076"/>
        <v>8272</v>
      </c>
      <c r="J154" s="59">
        <f t="shared" si="1077"/>
        <v>27345.577600000001</v>
      </c>
      <c r="K154" s="55">
        <f t="shared" si="1086"/>
        <v>8023.84</v>
      </c>
      <c r="L154" s="59">
        <f t="shared" si="1087"/>
        <v>26525.210272</v>
      </c>
      <c r="M154" s="55">
        <f t="shared" si="1088"/>
        <v>7858.4</v>
      </c>
      <c r="N154" s="59">
        <f t="shared" si="1089"/>
        <v>25978.298719999999</v>
      </c>
      <c r="O154" s="55">
        <f>+I154*BF154</f>
        <v>7692.96</v>
      </c>
      <c r="P154" s="59">
        <f t="shared" si="1090"/>
        <v>25431.387168000001</v>
      </c>
      <c r="Q154" s="57">
        <f>+I154*BG154</f>
        <v>7527.52</v>
      </c>
      <c r="R154" s="59">
        <f t="shared" si="1091"/>
        <v>24884.475616000003</v>
      </c>
      <c r="S154" s="55">
        <f>+I154*BH154</f>
        <v>7362.08</v>
      </c>
      <c r="T154" s="59">
        <f t="shared" si="1092"/>
        <v>24337.564064000002</v>
      </c>
      <c r="U154" s="57">
        <f>+I154*BI154</f>
        <v>7196.64</v>
      </c>
      <c r="V154" s="59">
        <f t="shared" si="1093"/>
        <v>23790.652512000001</v>
      </c>
      <c r="W154" s="60">
        <f>+I154*BJ154</f>
        <v>7031.2</v>
      </c>
      <c r="X154" s="59">
        <f t="shared" si="1094"/>
        <v>23243.740959999999</v>
      </c>
      <c r="Y154" s="57">
        <f>+I154*BK154</f>
        <v>6865.7599999999993</v>
      </c>
      <c r="Z154" s="59">
        <f t="shared" si="1095"/>
        <v>22696.829407999998</v>
      </c>
      <c r="AA154" s="55">
        <f>+I154*BL154</f>
        <v>6700.32</v>
      </c>
      <c r="AB154" s="59">
        <f t="shared" si="1096"/>
        <v>22149.917856</v>
      </c>
      <c r="AC154" s="60">
        <f>+I154*BM154</f>
        <v>6534.8799999999992</v>
      </c>
      <c r="AD154" s="59">
        <f t="shared" si="1097"/>
        <v>21603.006303999999</v>
      </c>
      <c r="AE154" s="60">
        <f>+I154*BN154</f>
        <v>6369.44</v>
      </c>
      <c r="AF154" s="59">
        <f t="shared" si="1098"/>
        <v>21056.094752000001</v>
      </c>
      <c r="AG154" s="60">
        <f>+I154*BO154</f>
        <v>6203.9999999999991</v>
      </c>
      <c r="AH154" s="59">
        <f t="shared" si="1099"/>
        <v>20509.183199999996</v>
      </c>
      <c r="AI154" s="55">
        <f>+I154*BP154</f>
        <v>6038.5599999999986</v>
      </c>
      <c r="AJ154" s="59">
        <f t="shared" si="1100"/>
        <v>19962.271647999994</v>
      </c>
      <c r="AK154" s="60">
        <f>+I154*BQ154</f>
        <v>5873.119999999999</v>
      </c>
      <c r="AL154" s="59">
        <f t="shared" si="1101"/>
        <v>19415.360095999997</v>
      </c>
      <c r="AM154" s="60">
        <f>+I154*BR154</f>
        <v>5707.6799999999985</v>
      </c>
      <c r="AN154" s="59">
        <f t="shared" si="1102"/>
        <v>18868.448543999995</v>
      </c>
      <c r="AO154" s="60">
        <f>+I154*BS154</f>
        <v>5542.2399999999989</v>
      </c>
      <c r="AP154" s="59">
        <f t="shared" si="1103"/>
        <v>18321.536991999998</v>
      </c>
      <c r="AQ154" s="60">
        <f>+I154*BT154</f>
        <v>5376.7999999999984</v>
      </c>
      <c r="AR154" s="59">
        <f t="shared" si="1104"/>
        <v>17774.625439999996</v>
      </c>
      <c r="AS154" s="55">
        <f>+I154*BU154</f>
        <v>5211.3599999999979</v>
      </c>
      <c r="AT154" s="59">
        <f t="shared" si="1105"/>
        <v>17227.713887999995</v>
      </c>
      <c r="AU154" s="60">
        <f>+I154*BV154</f>
        <v>5045.9199999999983</v>
      </c>
      <c r="AV154" s="59">
        <f t="shared" si="1106"/>
        <v>16680.802335999993</v>
      </c>
      <c r="AW154" s="60">
        <f>+I154*BW154</f>
        <v>4880.4799999999977</v>
      </c>
      <c r="AX154" s="59">
        <f t="shared" si="1107"/>
        <v>16133.890783999994</v>
      </c>
      <c r="AY154" s="55">
        <f>+I154*BX154</f>
        <v>4715.0399999999981</v>
      </c>
      <c r="AZ154" s="59">
        <f t="shared" si="1108"/>
        <v>15586.979231999994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109"/>
        <v>0.91</v>
      </c>
      <c r="BH154" s="55">
        <f t="shared" si="1109"/>
        <v>0.89</v>
      </c>
      <c r="BI154" s="55">
        <f t="shared" si="1109"/>
        <v>0.87</v>
      </c>
      <c r="BJ154" s="55">
        <f t="shared" si="1109"/>
        <v>0.85</v>
      </c>
      <c r="BK154" s="55">
        <f t="shared" si="1109"/>
        <v>0.83</v>
      </c>
      <c r="BL154" s="55">
        <f t="shared" si="1109"/>
        <v>0.80999999999999994</v>
      </c>
      <c r="BM154" s="55">
        <f t="shared" si="1109"/>
        <v>0.78999999999999992</v>
      </c>
      <c r="BN154" s="55">
        <f t="shared" si="1109"/>
        <v>0.76999999999999991</v>
      </c>
      <c r="BO154" s="55">
        <f t="shared" si="1109"/>
        <v>0.74999999999999989</v>
      </c>
      <c r="BP154" s="55">
        <f t="shared" si="1109"/>
        <v>0.72999999999999987</v>
      </c>
      <c r="BQ154" s="55">
        <f t="shared" si="1109"/>
        <v>0.70999999999999985</v>
      </c>
      <c r="BR154" s="55">
        <f t="shared" si="1109"/>
        <v>0.68999999999999984</v>
      </c>
      <c r="BS154" s="55">
        <f t="shared" si="1109"/>
        <v>0.66999999999999982</v>
      </c>
      <c r="BT154" s="55">
        <f t="shared" si="1109"/>
        <v>0.6499999999999998</v>
      </c>
      <c r="BU154" s="55">
        <f t="shared" si="1109"/>
        <v>0.62999999999999978</v>
      </c>
      <c r="BV154" s="55">
        <f t="shared" si="1109"/>
        <v>0.60999999999999976</v>
      </c>
      <c r="BW154" s="55">
        <f t="shared" si="1109"/>
        <v>0.58999999999999975</v>
      </c>
      <c r="BX154" s="55">
        <f t="shared" si="1109"/>
        <v>0.56999999999999973</v>
      </c>
      <c r="BZ154" s="55">
        <f t="shared" si="1078"/>
        <v>7527.52</v>
      </c>
      <c r="CA154" s="55">
        <f t="shared" si="1079"/>
        <v>7527.52</v>
      </c>
      <c r="CB154" s="59">
        <f t="shared" si="1110"/>
        <v>24884.475616000003</v>
      </c>
      <c r="CC154" s="55">
        <f t="shared" si="1111"/>
        <v>7301.6944000000003</v>
      </c>
      <c r="CD154" s="59">
        <f t="shared" si="1112"/>
        <v>24137.941347520002</v>
      </c>
      <c r="CE154" s="55">
        <f t="shared" si="1113"/>
        <v>7151.1440000000002</v>
      </c>
      <c r="CF154" s="59">
        <f t="shared" si="1114"/>
        <v>23640.251835200001</v>
      </c>
      <c r="CG154" s="55">
        <f>+CA154*DX154</f>
        <v>7000.5936000000011</v>
      </c>
      <c r="CH154" s="59">
        <f t="shared" si="1115"/>
        <v>23142.562322880003</v>
      </c>
      <c r="CI154" s="57">
        <f>+CA154*DY154</f>
        <v>6850.043200000001</v>
      </c>
      <c r="CJ154" s="59">
        <f t="shared" si="1116"/>
        <v>22644.872810560002</v>
      </c>
      <c r="CK154" s="55">
        <f>+CA154*DZ154</f>
        <v>6699.4928000000009</v>
      </c>
      <c r="CL154" s="59">
        <f t="shared" si="1117"/>
        <v>22147.183298240005</v>
      </c>
      <c r="CM154" s="57">
        <f>+CA154*EA154</f>
        <v>6548.9423999999999</v>
      </c>
      <c r="CN154" s="59">
        <f t="shared" si="1118"/>
        <v>21649.49378592</v>
      </c>
      <c r="CO154" s="60">
        <f>+CA154*EB154</f>
        <v>6398.3919999999998</v>
      </c>
      <c r="CP154" s="59">
        <f t="shared" si="1119"/>
        <v>21151.804273599999</v>
      </c>
      <c r="CQ154" s="57">
        <f>+CA154*EC154</f>
        <v>6247.8415999999997</v>
      </c>
      <c r="CR154" s="59">
        <f t="shared" si="1120"/>
        <v>20654.114761280001</v>
      </c>
      <c r="CS154" s="55">
        <f>+CA154*ED154</f>
        <v>6097.2911999999997</v>
      </c>
      <c r="CT154" s="59">
        <f t="shared" si="1121"/>
        <v>20156.42524896</v>
      </c>
      <c r="CU154" s="60">
        <f>+CA154*EE154</f>
        <v>5946.7407999999996</v>
      </c>
      <c r="CV154" s="59">
        <f t="shared" si="1122"/>
        <v>19658.735736639999</v>
      </c>
      <c r="CW154" s="60">
        <f>+CA154*EF154</f>
        <v>5796.1903999999995</v>
      </c>
      <c r="CX154" s="59">
        <f t="shared" si="1123"/>
        <v>19161.046224319998</v>
      </c>
      <c r="CY154" s="60">
        <f>+CA154*EG154</f>
        <v>5645.6399999999994</v>
      </c>
      <c r="CZ154" s="59">
        <f t="shared" si="1124"/>
        <v>18663.356711999997</v>
      </c>
      <c r="DA154" s="55">
        <f>+CA154*EH154</f>
        <v>5495.0895999999993</v>
      </c>
      <c r="DB154" s="59">
        <f t="shared" si="1125"/>
        <v>18165.66719968</v>
      </c>
      <c r="DC154" s="60">
        <f>+CA154*EI154</f>
        <v>5344.5391999999993</v>
      </c>
      <c r="DD154" s="59">
        <f t="shared" si="1126"/>
        <v>17667.977687359999</v>
      </c>
      <c r="DE154" s="60">
        <f>+CA154*EJ154</f>
        <v>5193.9887999999992</v>
      </c>
      <c r="DF154" s="59">
        <f t="shared" si="1127"/>
        <v>17170.288175039997</v>
      </c>
      <c r="DG154" s="60">
        <f>+CA154*EK154</f>
        <v>5043.4383999999991</v>
      </c>
      <c r="DH154" s="59">
        <f t="shared" si="1128"/>
        <v>16672.598662719996</v>
      </c>
      <c r="DI154" s="60">
        <f>+CA154*EL154</f>
        <v>4892.887999999999</v>
      </c>
      <c r="DJ154" s="59">
        <f t="shared" si="1129"/>
        <v>16174.909150399997</v>
      </c>
      <c r="DK154" s="55">
        <f>+CA154*EM154</f>
        <v>4742.3375999999989</v>
      </c>
      <c r="DL154" s="59">
        <f t="shared" si="1130"/>
        <v>15677.219638079996</v>
      </c>
      <c r="DM154" s="60">
        <f>+CA154*EN154</f>
        <v>4591.7871999999988</v>
      </c>
      <c r="DN154" s="59">
        <f t="shared" si="1131"/>
        <v>15179.530125759997</v>
      </c>
      <c r="DO154" s="60">
        <f>+CA154*EO154</f>
        <v>4441.2367999999988</v>
      </c>
      <c r="DP154" s="59">
        <f t="shared" si="1132"/>
        <v>14681.840613439996</v>
      </c>
      <c r="DQ154" s="55">
        <f>+CA154*EP154</f>
        <v>4290.6863999999978</v>
      </c>
      <c r="DR154" s="59">
        <f t="shared" si="1133"/>
        <v>14184.151101119993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60">+DX154-0.02</f>
        <v>0.91</v>
      </c>
      <c r="DZ154" s="55">
        <f t="shared" si="1160"/>
        <v>0.89</v>
      </c>
      <c r="EA154" s="55">
        <f t="shared" si="1160"/>
        <v>0.87</v>
      </c>
      <c r="EB154" s="55">
        <f t="shared" si="1160"/>
        <v>0.85</v>
      </c>
      <c r="EC154" s="55">
        <f t="shared" si="1160"/>
        <v>0.83</v>
      </c>
      <c r="ED154" s="55">
        <f t="shared" si="1160"/>
        <v>0.80999999999999994</v>
      </c>
      <c r="EE154" s="55">
        <f t="shared" si="1160"/>
        <v>0.78999999999999992</v>
      </c>
      <c r="EF154" s="55">
        <f t="shared" si="1160"/>
        <v>0.76999999999999991</v>
      </c>
      <c r="EG154" s="55">
        <f t="shared" si="1160"/>
        <v>0.74999999999999989</v>
      </c>
      <c r="EH154" s="55">
        <f t="shared" si="1160"/>
        <v>0.72999999999999987</v>
      </c>
      <c r="EI154" s="55">
        <f t="shared" si="1160"/>
        <v>0.70999999999999985</v>
      </c>
      <c r="EJ154" s="55">
        <f t="shared" si="1160"/>
        <v>0.68999999999999984</v>
      </c>
      <c r="EK154" s="55">
        <f t="shared" si="1160"/>
        <v>0.66999999999999982</v>
      </c>
      <c r="EL154" s="55">
        <f t="shared" si="1160"/>
        <v>0.6499999999999998</v>
      </c>
      <c r="EM154" s="55">
        <f t="shared" si="1160"/>
        <v>0.62999999999999978</v>
      </c>
      <c r="EN154" s="55">
        <f t="shared" si="1160"/>
        <v>0.60999999999999976</v>
      </c>
      <c r="EO154" s="55">
        <f t="shared" si="1160"/>
        <v>0.58999999999999975</v>
      </c>
      <c r="EP154" s="55">
        <f t="shared" si="1160"/>
        <v>0.56999999999999973</v>
      </c>
      <c r="ER154" s="55">
        <f t="shared" si="656"/>
        <v>6850.043200000001</v>
      </c>
      <c r="ES154" s="55">
        <f t="shared" si="1080"/>
        <v>6850.043200000001</v>
      </c>
      <c r="ET154" s="59">
        <f t="shared" si="1134"/>
        <v>22644.872810560002</v>
      </c>
      <c r="EU154" s="55">
        <f t="shared" si="1135"/>
        <v>6644.5419040000006</v>
      </c>
      <c r="EV154" s="59">
        <f t="shared" si="1136"/>
        <v>21965.526626243201</v>
      </c>
      <c r="EW154" s="55">
        <f t="shared" si="1137"/>
        <v>6507.541040000001</v>
      </c>
      <c r="EX154" s="59">
        <f t="shared" si="1138"/>
        <v>21512.629170032003</v>
      </c>
      <c r="EY154" s="55">
        <f>+ES154*GP154</f>
        <v>6370.5401760000013</v>
      </c>
      <c r="EZ154" s="59">
        <f t="shared" si="1139"/>
        <v>21059.731713820805</v>
      </c>
      <c r="FA154" s="57">
        <f>+ES154*GQ154</f>
        <v>6233.5393120000008</v>
      </c>
      <c r="FB154" s="59">
        <f t="shared" si="1140"/>
        <v>20606.834257609604</v>
      </c>
      <c r="FC154" s="55">
        <f>+ES154*GR154</f>
        <v>6096.5384480000012</v>
      </c>
      <c r="FD154" s="59">
        <f t="shared" si="1141"/>
        <v>20153.936801398406</v>
      </c>
      <c r="FE154" s="57">
        <f>+ES154*GS154</f>
        <v>5959.5375840000006</v>
      </c>
      <c r="FF154" s="59">
        <f t="shared" si="1142"/>
        <v>19701.039345187204</v>
      </c>
      <c r="FG154" s="60">
        <f>+ES154*GT154</f>
        <v>5822.536720000001</v>
      </c>
      <c r="FH154" s="59">
        <f t="shared" si="1143"/>
        <v>19248.141888976003</v>
      </c>
      <c r="FI154" s="57">
        <f>+ES154*GU154</f>
        <v>5685.5358560000004</v>
      </c>
      <c r="FJ154" s="59">
        <f t="shared" si="1144"/>
        <v>18795.244432764801</v>
      </c>
      <c r="FK154" s="55">
        <f>+ES154*GV154</f>
        <v>5548.5349920000008</v>
      </c>
      <c r="FL154" s="59">
        <f t="shared" si="1145"/>
        <v>18342.346976553603</v>
      </c>
      <c r="FM154" s="60">
        <f>+ES154*GW154</f>
        <v>5411.5341280000002</v>
      </c>
      <c r="FN154" s="59">
        <f t="shared" si="1146"/>
        <v>17889.449520342401</v>
      </c>
      <c r="FO154" s="60">
        <f>+ES154*GX154</f>
        <v>5274.5332639999997</v>
      </c>
      <c r="FP154" s="59">
        <f t="shared" si="1147"/>
        <v>17436.5520641312</v>
      </c>
      <c r="FQ154" s="60">
        <f>+ES154*GY154</f>
        <v>5137.5324000000001</v>
      </c>
      <c r="FR154" s="59">
        <f t="shared" si="1148"/>
        <v>16983.654607920002</v>
      </c>
      <c r="FS154" s="55">
        <f>+ES154*GZ154</f>
        <v>5000.5315359999995</v>
      </c>
      <c r="FT154" s="59">
        <f t="shared" si="1149"/>
        <v>16530.7571517088</v>
      </c>
      <c r="FU154" s="60">
        <f>+ES154*HA154</f>
        <v>4863.5306719999999</v>
      </c>
      <c r="FV154" s="59">
        <f t="shared" si="1150"/>
        <v>16077.8596954976</v>
      </c>
      <c r="FW154" s="60">
        <f>+ES154*HB154</f>
        <v>4726.5298079999993</v>
      </c>
      <c r="FX154" s="59">
        <f t="shared" si="1151"/>
        <v>15624.962239286398</v>
      </c>
      <c r="FY154" s="60">
        <f>+ES154*HC154</f>
        <v>4589.5289439999997</v>
      </c>
      <c r="FZ154" s="59">
        <f t="shared" si="1152"/>
        <v>15172.064783075199</v>
      </c>
      <c r="GA154" s="60">
        <f>+ES154*HD154</f>
        <v>4452.5280799999991</v>
      </c>
      <c r="GB154" s="59">
        <f t="shared" si="1153"/>
        <v>14719.167326863997</v>
      </c>
      <c r="GC154" s="55">
        <f>+ES154*HE154</f>
        <v>4315.5272159999995</v>
      </c>
      <c r="GD154" s="59">
        <f t="shared" si="1154"/>
        <v>14266.269870652799</v>
      </c>
      <c r="GE154" s="60">
        <f>+ES154*HF154</f>
        <v>4178.526351999999</v>
      </c>
      <c r="GF154" s="59">
        <f t="shared" si="1155"/>
        <v>13813.372414441597</v>
      </c>
      <c r="GG154" s="60">
        <f>+ES154*HG154</f>
        <v>4041.5254879999989</v>
      </c>
      <c r="GH154" s="59">
        <f t="shared" si="1156"/>
        <v>13360.474958230396</v>
      </c>
      <c r="GI154" s="55">
        <f>+ES154*HH154</f>
        <v>3904.5246239999988</v>
      </c>
      <c r="GJ154" s="59">
        <f t="shared" si="1157"/>
        <v>12907.577502019196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61">+GP154-0.02</f>
        <v>0.91</v>
      </c>
      <c r="GR154" s="55">
        <f t="shared" si="1161"/>
        <v>0.89</v>
      </c>
      <c r="GS154" s="55">
        <f t="shared" si="1161"/>
        <v>0.87</v>
      </c>
      <c r="GT154" s="55">
        <f t="shared" si="1161"/>
        <v>0.85</v>
      </c>
      <c r="GU154" s="55">
        <f t="shared" si="1161"/>
        <v>0.83</v>
      </c>
      <c r="GV154" s="55">
        <f t="shared" si="1161"/>
        <v>0.80999999999999994</v>
      </c>
      <c r="GW154" s="55">
        <f t="shared" si="1161"/>
        <v>0.78999999999999992</v>
      </c>
      <c r="GX154" s="55">
        <f t="shared" si="1161"/>
        <v>0.76999999999999991</v>
      </c>
      <c r="GY154" s="55">
        <f t="shared" si="1161"/>
        <v>0.74999999999999989</v>
      </c>
      <c r="GZ154" s="55">
        <f t="shared" si="1161"/>
        <v>0.72999999999999987</v>
      </c>
      <c r="HA154" s="55">
        <f t="shared" si="1161"/>
        <v>0.70999999999999985</v>
      </c>
      <c r="HB154" s="55">
        <f t="shared" si="1161"/>
        <v>0.68999999999999984</v>
      </c>
      <c r="HC154" s="55">
        <f t="shared" si="1161"/>
        <v>0.66999999999999982</v>
      </c>
      <c r="HD154" s="55">
        <f t="shared" si="1161"/>
        <v>0.6499999999999998</v>
      </c>
      <c r="HE154" s="55">
        <f t="shared" si="1161"/>
        <v>0.62999999999999978</v>
      </c>
      <c r="HF154" s="55">
        <f t="shared" si="1161"/>
        <v>0.60999999999999976</v>
      </c>
      <c r="HG154" s="55">
        <f t="shared" si="1161"/>
        <v>0.58999999999999975</v>
      </c>
      <c r="HH154" s="55">
        <f t="shared" si="1161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31900</v>
      </c>
      <c r="E155" s="39">
        <f>SUM(E151:E154)</f>
        <v>105440</v>
      </c>
      <c r="H155" s="55">
        <f t="shared" si="1085"/>
        <v>35090</v>
      </c>
      <c r="I155" s="55">
        <f t="shared" si="1076"/>
        <v>35090</v>
      </c>
      <c r="J155" s="59">
        <f t="shared" si="1077"/>
        <v>116000.522</v>
      </c>
      <c r="K155" s="55">
        <f t="shared" si="1086"/>
        <v>34037.299999999996</v>
      </c>
      <c r="L155" s="59">
        <f t="shared" si="1087"/>
        <v>112520.50633999999</v>
      </c>
      <c r="M155" s="55">
        <f t="shared" si="1088"/>
        <v>33335.5</v>
      </c>
      <c r="N155" s="59">
        <f t="shared" si="1089"/>
        <v>110200.49590000001</v>
      </c>
      <c r="O155" s="55">
        <f>+I155*BF155</f>
        <v>32633.7</v>
      </c>
      <c r="P155" s="59">
        <f t="shared" si="1090"/>
        <v>107880.48546000001</v>
      </c>
      <c r="Q155" s="57">
        <f>+I155*BG155</f>
        <v>31931.9</v>
      </c>
      <c r="R155" s="59">
        <f t="shared" si="1091"/>
        <v>105560.47502000001</v>
      </c>
      <c r="S155" s="55">
        <f>+I155*BH155</f>
        <v>31230.100000000002</v>
      </c>
      <c r="T155" s="59">
        <f t="shared" si="1092"/>
        <v>103240.46458000001</v>
      </c>
      <c r="U155" s="57">
        <f>+I155*BI155</f>
        <v>30528.3</v>
      </c>
      <c r="V155" s="59">
        <f t="shared" si="1093"/>
        <v>100920.45414</v>
      </c>
      <c r="W155" s="60">
        <f>+I155*BJ155</f>
        <v>29826.5</v>
      </c>
      <c r="X155" s="59">
        <f t="shared" si="1094"/>
        <v>98600.443700000003</v>
      </c>
      <c r="Y155" s="57">
        <f>+I155*BK155</f>
        <v>29124.699999999997</v>
      </c>
      <c r="Z155" s="59">
        <f t="shared" si="1095"/>
        <v>96280.433259999991</v>
      </c>
      <c r="AA155" s="55">
        <f>+I155*BL155</f>
        <v>28422.899999999998</v>
      </c>
      <c r="AB155" s="59">
        <f t="shared" si="1096"/>
        <v>93960.422819999992</v>
      </c>
      <c r="AC155" s="60">
        <f>+I155*BM155</f>
        <v>27721.1</v>
      </c>
      <c r="AD155" s="59">
        <f t="shared" si="1097"/>
        <v>91640.412379999994</v>
      </c>
      <c r="AE155" s="60">
        <f>+I155*BN155</f>
        <v>27019.299999999996</v>
      </c>
      <c r="AF155" s="59">
        <f t="shared" si="1098"/>
        <v>89320.401939999982</v>
      </c>
      <c r="AG155" s="60">
        <f>+I155*BO155</f>
        <v>26317.499999999996</v>
      </c>
      <c r="AH155" s="59">
        <f t="shared" si="1099"/>
        <v>87000.391499999983</v>
      </c>
      <c r="AI155" s="55">
        <f>+I155*BP155</f>
        <v>25615.699999999997</v>
      </c>
      <c r="AJ155" s="59">
        <f t="shared" si="1100"/>
        <v>84680.381059999985</v>
      </c>
      <c r="AK155" s="60">
        <f>+I155*BQ155</f>
        <v>24913.899999999994</v>
      </c>
      <c r="AL155" s="59">
        <f t="shared" si="1101"/>
        <v>82360.370619999987</v>
      </c>
      <c r="AM155" s="60">
        <f>+I155*BR155</f>
        <v>24212.099999999995</v>
      </c>
      <c r="AN155" s="59">
        <f t="shared" si="1102"/>
        <v>80040.360179999989</v>
      </c>
      <c r="AO155" s="60">
        <f>+I155*BS155</f>
        <v>23510.299999999992</v>
      </c>
      <c r="AP155" s="59">
        <f t="shared" si="1103"/>
        <v>77720.349739999976</v>
      </c>
      <c r="AQ155" s="60">
        <f>+I155*BT155</f>
        <v>22808.499999999993</v>
      </c>
      <c r="AR155" s="59">
        <f t="shared" si="1104"/>
        <v>75400.339299999978</v>
      </c>
      <c r="AS155" s="55">
        <f>+I155*BU155</f>
        <v>22106.699999999993</v>
      </c>
      <c r="AT155" s="59">
        <f t="shared" si="1105"/>
        <v>73080.32885999998</v>
      </c>
      <c r="AU155" s="60">
        <f>+I155*BV155</f>
        <v>21404.899999999991</v>
      </c>
      <c r="AV155" s="59">
        <f t="shared" si="1106"/>
        <v>70760.318419999967</v>
      </c>
      <c r="AW155" s="60">
        <f>+I155*BW155</f>
        <v>20703.099999999991</v>
      </c>
      <c r="AX155" s="59">
        <f t="shared" si="1107"/>
        <v>68440.307979999969</v>
      </c>
      <c r="AY155" s="55">
        <f>+I155*BX155</f>
        <v>20001.299999999992</v>
      </c>
      <c r="AZ155" s="59">
        <f t="shared" si="1108"/>
        <v>66120.29753999997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109"/>
        <v>0.91</v>
      </c>
      <c r="BH155" s="55">
        <f t="shared" si="1109"/>
        <v>0.89</v>
      </c>
      <c r="BI155" s="55">
        <f t="shared" si="1109"/>
        <v>0.87</v>
      </c>
      <c r="BJ155" s="55">
        <f t="shared" si="1109"/>
        <v>0.85</v>
      </c>
      <c r="BK155" s="55">
        <f t="shared" si="1109"/>
        <v>0.83</v>
      </c>
      <c r="BL155" s="55">
        <f t="shared" si="1109"/>
        <v>0.80999999999999994</v>
      </c>
      <c r="BM155" s="55">
        <f t="shared" si="1109"/>
        <v>0.78999999999999992</v>
      </c>
      <c r="BN155" s="55">
        <f t="shared" si="1109"/>
        <v>0.76999999999999991</v>
      </c>
      <c r="BO155" s="55">
        <f t="shared" si="1109"/>
        <v>0.74999999999999989</v>
      </c>
      <c r="BP155" s="55">
        <f t="shared" si="1109"/>
        <v>0.72999999999999987</v>
      </c>
      <c r="BQ155" s="55">
        <f t="shared" si="1109"/>
        <v>0.70999999999999985</v>
      </c>
      <c r="BR155" s="55">
        <f t="shared" si="1109"/>
        <v>0.68999999999999984</v>
      </c>
      <c r="BS155" s="55">
        <f t="shared" si="1109"/>
        <v>0.66999999999999982</v>
      </c>
      <c r="BT155" s="55">
        <f t="shared" si="1109"/>
        <v>0.6499999999999998</v>
      </c>
      <c r="BU155" s="55">
        <f t="shared" si="1109"/>
        <v>0.62999999999999978</v>
      </c>
      <c r="BV155" s="55">
        <f t="shared" si="1109"/>
        <v>0.60999999999999976</v>
      </c>
      <c r="BW155" s="55">
        <f t="shared" si="1109"/>
        <v>0.58999999999999975</v>
      </c>
      <c r="BX155" s="55">
        <f t="shared" si="1109"/>
        <v>0.56999999999999973</v>
      </c>
      <c r="BZ155" s="55">
        <f t="shared" si="1078"/>
        <v>31931.9</v>
      </c>
      <c r="CA155" s="55">
        <f t="shared" si="1079"/>
        <v>31931.9</v>
      </c>
      <c r="CB155" s="59">
        <f t="shared" si="1110"/>
        <v>105560.47502000001</v>
      </c>
      <c r="CC155" s="55">
        <f t="shared" si="1111"/>
        <v>30973.942999999999</v>
      </c>
      <c r="CD155" s="59">
        <f t="shared" si="1112"/>
        <v>102393.6607694</v>
      </c>
      <c r="CE155" s="55">
        <f t="shared" si="1113"/>
        <v>30335.305</v>
      </c>
      <c r="CF155" s="59">
        <f t="shared" si="1114"/>
        <v>100282.451269</v>
      </c>
      <c r="CG155" s="55">
        <f>+CA155*DX155</f>
        <v>29696.667000000001</v>
      </c>
      <c r="CH155" s="59">
        <f t="shared" si="1115"/>
        <v>98171.241768600012</v>
      </c>
      <c r="CI155" s="57">
        <f>+CA155*DY155</f>
        <v>29058.029000000002</v>
      </c>
      <c r="CJ155" s="59">
        <f t="shared" si="1116"/>
        <v>96060.032268200011</v>
      </c>
      <c r="CK155" s="55">
        <f>+CA155*DZ155</f>
        <v>28419.391000000003</v>
      </c>
      <c r="CL155" s="59">
        <f t="shared" si="1117"/>
        <v>93948.822767800011</v>
      </c>
      <c r="CM155" s="57">
        <f>+CA155*EA155</f>
        <v>27780.753000000001</v>
      </c>
      <c r="CN155" s="59">
        <f t="shared" si="1118"/>
        <v>91837.613267400011</v>
      </c>
      <c r="CO155" s="60">
        <f>+CA155*EB155</f>
        <v>27142.115000000002</v>
      </c>
      <c r="CP155" s="59">
        <f t="shared" si="1119"/>
        <v>89726.403767000011</v>
      </c>
      <c r="CQ155" s="57">
        <f>+CA155*EC155</f>
        <v>26503.476999999999</v>
      </c>
      <c r="CR155" s="59">
        <f t="shared" si="1120"/>
        <v>87615.194266599996</v>
      </c>
      <c r="CS155" s="55">
        <f>+CA155*ED155</f>
        <v>25864.839</v>
      </c>
      <c r="CT155" s="59">
        <f t="shared" si="1121"/>
        <v>85503.984766199996</v>
      </c>
      <c r="CU155" s="60">
        <f>+CA155*EE155</f>
        <v>25226.200999999997</v>
      </c>
      <c r="CV155" s="59">
        <f t="shared" si="1122"/>
        <v>83392.775265799995</v>
      </c>
      <c r="CW155" s="60">
        <f>+CA155*EF155</f>
        <v>24587.562999999998</v>
      </c>
      <c r="CX155" s="59">
        <f t="shared" si="1123"/>
        <v>81281.565765399995</v>
      </c>
      <c r="CY155" s="60">
        <f>+CA155*EG155</f>
        <v>23948.924999999999</v>
      </c>
      <c r="CZ155" s="59">
        <f t="shared" si="1124"/>
        <v>79170.356264999995</v>
      </c>
      <c r="DA155" s="55">
        <f>+CA155*EH155</f>
        <v>23310.286999999997</v>
      </c>
      <c r="DB155" s="59">
        <f t="shared" si="1125"/>
        <v>77059.146764599995</v>
      </c>
      <c r="DC155" s="60">
        <f>+CA155*EI155</f>
        <v>22671.648999999998</v>
      </c>
      <c r="DD155" s="59">
        <f t="shared" si="1126"/>
        <v>74947.937264199994</v>
      </c>
      <c r="DE155" s="60">
        <f>+CA155*EJ155</f>
        <v>22033.010999999995</v>
      </c>
      <c r="DF155" s="59">
        <f t="shared" si="1127"/>
        <v>72836.72776379998</v>
      </c>
      <c r="DG155" s="60">
        <f>+CA155*EK155</f>
        <v>21394.372999999996</v>
      </c>
      <c r="DH155" s="59">
        <f t="shared" si="1128"/>
        <v>70725.518263399994</v>
      </c>
      <c r="DI155" s="60">
        <f>+CA155*EL155</f>
        <v>20755.734999999993</v>
      </c>
      <c r="DJ155" s="59">
        <f t="shared" si="1129"/>
        <v>68614.308762999979</v>
      </c>
      <c r="DK155" s="55">
        <f>+CA155*EM155</f>
        <v>20117.096999999994</v>
      </c>
      <c r="DL155" s="59">
        <f t="shared" si="1130"/>
        <v>66503.099262599979</v>
      </c>
      <c r="DM155" s="60">
        <f>+CA155*EN155</f>
        <v>19478.458999999992</v>
      </c>
      <c r="DN155" s="59">
        <f t="shared" si="1131"/>
        <v>64391.889762199971</v>
      </c>
      <c r="DO155" s="60">
        <f>+CA155*EO155</f>
        <v>18839.820999999993</v>
      </c>
      <c r="DP155" s="59">
        <f t="shared" si="1132"/>
        <v>62280.680261799978</v>
      </c>
      <c r="DQ155" s="55">
        <f>+CA155*EP155</f>
        <v>18201.182999999994</v>
      </c>
      <c r="DR155" s="59">
        <f t="shared" si="1133"/>
        <v>60169.470761399978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60"/>
        <v>0.91</v>
      </c>
      <c r="DZ155" s="55">
        <f t="shared" si="1160"/>
        <v>0.89</v>
      </c>
      <c r="EA155" s="55">
        <f t="shared" si="1160"/>
        <v>0.87</v>
      </c>
      <c r="EB155" s="55">
        <f t="shared" si="1160"/>
        <v>0.85</v>
      </c>
      <c r="EC155" s="55">
        <f t="shared" si="1160"/>
        <v>0.83</v>
      </c>
      <c r="ED155" s="55">
        <f t="shared" si="1160"/>
        <v>0.80999999999999994</v>
      </c>
      <c r="EE155" s="55">
        <f t="shared" si="1160"/>
        <v>0.78999999999999992</v>
      </c>
      <c r="EF155" s="55">
        <f t="shared" si="1160"/>
        <v>0.76999999999999991</v>
      </c>
      <c r="EG155" s="55">
        <f t="shared" si="1160"/>
        <v>0.74999999999999989</v>
      </c>
      <c r="EH155" s="55">
        <f t="shared" si="1160"/>
        <v>0.72999999999999987</v>
      </c>
      <c r="EI155" s="55">
        <f t="shared" si="1160"/>
        <v>0.70999999999999985</v>
      </c>
      <c r="EJ155" s="55">
        <f t="shared" si="1160"/>
        <v>0.68999999999999984</v>
      </c>
      <c r="EK155" s="55">
        <f t="shared" si="1160"/>
        <v>0.66999999999999982</v>
      </c>
      <c r="EL155" s="55">
        <f t="shared" si="1160"/>
        <v>0.6499999999999998</v>
      </c>
      <c r="EM155" s="55">
        <f t="shared" si="1160"/>
        <v>0.62999999999999978</v>
      </c>
      <c r="EN155" s="55">
        <f t="shared" si="1160"/>
        <v>0.60999999999999976</v>
      </c>
      <c r="EO155" s="55">
        <f t="shared" si="1160"/>
        <v>0.58999999999999975</v>
      </c>
      <c r="EP155" s="55">
        <f t="shared" si="1160"/>
        <v>0.56999999999999973</v>
      </c>
      <c r="ER155" s="55">
        <f t="shared" si="656"/>
        <v>29058.029000000002</v>
      </c>
      <c r="ES155" s="55">
        <f t="shared" si="1080"/>
        <v>29058.029000000002</v>
      </c>
      <c r="ET155" s="59">
        <f t="shared" si="1134"/>
        <v>96060.032268200011</v>
      </c>
      <c r="EU155" s="55">
        <f t="shared" si="1135"/>
        <v>28186.288130000001</v>
      </c>
      <c r="EV155" s="59">
        <f t="shared" si="1136"/>
        <v>93178.231300154002</v>
      </c>
      <c r="EW155" s="55">
        <f t="shared" si="1137"/>
        <v>27605.127550000001</v>
      </c>
      <c r="EX155" s="59">
        <f t="shared" si="1138"/>
        <v>91257.030654790011</v>
      </c>
      <c r="EY155" s="55">
        <f>+ES155*GP155</f>
        <v>27023.966970000005</v>
      </c>
      <c r="EZ155" s="59">
        <f t="shared" si="1139"/>
        <v>89335.830009426019</v>
      </c>
      <c r="FA155" s="57">
        <f>+ES155*GQ155</f>
        <v>26442.806390000002</v>
      </c>
      <c r="FB155" s="59">
        <f t="shared" si="1140"/>
        <v>87414.629364062013</v>
      </c>
      <c r="FC155" s="55">
        <f>+ES155*GR155</f>
        <v>25861.645810000002</v>
      </c>
      <c r="FD155" s="59">
        <f t="shared" si="1141"/>
        <v>85493.428718698007</v>
      </c>
      <c r="FE155" s="57">
        <f>+ES155*GS155</f>
        <v>25280.485230000002</v>
      </c>
      <c r="FF155" s="59">
        <f t="shared" si="1142"/>
        <v>83572.228073334016</v>
      </c>
      <c r="FG155" s="60">
        <f>+ES155*GT155</f>
        <v>24699.324650000002</v>
      </c>
      <c r="FH155" s="59">
        <f t="shared" si="1143"/>
        <v>81651.02742797001</v>
      </c>
      <c r="FI155" s="57">
        <f>+ES155*GU155</f>
        <v>24118.164070000003</v>
      </c>
      <c r="FJ155" s="59">
        <f t="shared" si="1144"/>
        <v>79729.826782606004</v>
      </c>
      <c r="FK155" s="55">
        <f>+ES155*GV155</f>
        <v>23537.003489999999</v>
      </c>
      <c r="FL155" s="59">
        <f t="shared" si="1145"/>
        <v>77808.626137241998</v>
      </c>
      <c r="FM155" s="60">
        <f>+ES155*GW155</f>
        <v>22955.842909999999</v>
      </c>
      <c r="FN155" s="59">
        <f t="shared" si="1146"/>
        <v>75887.425491878006</v>
      </c>
      <c r="FO155" s="60">
        <f>+ES155*GX155</f>
        <v>22374.68233</v>
      </c>
      <c r="FP155" s="59">
        <f t="shared" si="1147"/>
        <v>73966.224846514</v>
      </c>
      <c r="FQ155" s="60">
        <f>+ES155*GY155</f>
        <v>21793.52175</v>
      </c>
      <c r="FR155" s="59">
        <f t="shared" si="1148"/>
        <v>72045.024201149994</v>
      </c>
      <c r="FS155" s="55">
        <f>+ES155*GZ155</f>
        <v>21212.361169999996</v>
      </c>
      <c r="FT155" s="59">
        <f t="shared" si="1149"/>
        <v>70123.823555785988</v>
      </c>
      <c r="FU155" s="60">
        <f>+ES155*HA155</f>
        <v>20631.200589999997</v>
      </c>
      <c r="FV155" s="59">
        <f t="shared" si="1150"/>
        <v>68202.622910421996</v>
      </c>
      <c r="FW155" s="60">
        <f>+ES155*HB155</f>
        <v>20050.040009999997</v>
      </c>
      <c r="FX155" s="59">
        <f t="shared" si="1151"/>
        <v>66281.42226505799</v>
      </c>
      <c r="FY155" s="60">
        <f>+ES155*HC155</f>
        <v>19468.879429999997</v>
      </c>
      <c r="FZ155" s="59">
        <f t="shared" si="1152"/>
        <v>64360.221619693992</v>
      </c>
      <c r="GA155" s="60">
        <f>+ES155*HD155</f>
        <v>18887.718849999997</v>
      </c>
      <c r="GB155" s="59">
        <f t="shared" si="1153"/>
        <v>62439.020974329993</v>
      </c>
      <c r="GC155" s="55">
        <f>+ES155*HE155</f>
        <v>18306.558269999994</v>
      </c>
      <c r="GD155" s="59">
        <f t="shared" si="1154"/>
        <v>60517.82032896598</v>
      </c>
      <c r="GE155" s="60">
        <f>+ES155*HF155</f>
        <v>17725.397689999994</v>
      </c>
      <c r="GF155" s="59">
        <f t="shared" si="1155"/>
        <v>58596.619683601981</v>
      </c>
      <c r="GG155" s="60">
        <f>+ES155*HG155</f>
        <v>17144.237109999995</v>
      </c>
      <c r="GH155" s="59">
        <f t="shared" si="1156"/>
        <v>56675.419038237982</v>
      </c>
      <c r="GI155" s="55">
        <f>+ES155*HH155</f>
        <v>16563.076529999995</v>
      </c>
      <c r="GJ155" s="59">
        <f t="shared" si="1157"/>
        <v>54754.218392873983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61"/>
        <v>0.91</v>
      </c>
      <c r="GR155" s="55">
        <f t="shared" si="1161"/>
        <v>0.89</v>
      </c>
      <c r="GS155" s="55">
        <f t="shared" si="1161"/>
        <v>0.87</v>
      </c>
      <c r="GT155" s="55">
        <f t="shared" si="1161"/>
        <v>0.85</v>
      </c>
      <c r="GU155" s="55">
        <f t="shared" si="1161"/>
        <v>0.83</v>
      </c>
      <c r="GV155" s="55">
        <f t="shared" si="1161"/>
        <v>0.80999999999999994</v>
      </c>
      <c r="GW155" s="55">
        <f t="shared" si="1161"/>
        <v>0.78999999999999992</v>
      </c>
      <c r="GX155" s="55">
        <f t="shared" si="1161"/>
        <v>0.76999999999999991</v>
      </c>
      <c r="GY155" s="55">
        <f t="shared" si="1161"/>
        <v>0.74999999999999989</v>
      </c>
      <c r="GZ155" s="55">
        <f t="shared" si="1161"/>
        <v>0.72999999999999987</v>
      </c>
      <c r="HA155" s="55">
        <f t="shared" si="1161"/>
        <v>0.70999999999999985</v>
      </c>
      <c r="HB155" s="55">
        <f t="shared" si="1161"/>
        <v>0.68999999999999984</v>
      </c>
      <c r="HC155" s="55">
        <f t="shared" si="1161"/>
        <v>0.66999999999999982</v>
      </c>
      <c r="HD155" s="55">
        <f t="shared" si="1161"/>
        <v>0.6499999999999998</v>
      </c>
      <c r="HE155" s="55">
        <f t="shared" si="1161"/>
        <v>0.62999999999999978</v>
      </c>
      <c r="HF155" s="55">
        <f t="shared" si="1161"/>
        <v>0.60999999999999976</v>
      </c>
      <c r="HG155" s="55">
        <f t="shared" si="1161"/>
        <v>0.58999999999999975</v>
      </c>
      <c r="HH155" s="55">
        <f t="shared" si="1161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2020-12-15T01:06:18Z</dcterms:modified>
</cp:coreProperties>
</file>