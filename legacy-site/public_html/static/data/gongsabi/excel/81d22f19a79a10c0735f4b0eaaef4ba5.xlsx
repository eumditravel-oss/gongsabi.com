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88" i="4"/>
  <c r="D68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126" i="4" l="1"/>
  <c r="D125" i="4"/>
  <c r="D124" i="4"/>
  <c r="D119" i="4"/>
  <c r="D112" i="4"/>
  <c r="D111" i="4"/>
  <c r="D110" i="4"/>
  <c r="D94" i="4"/>
  <c r="D87" i="4"/>
  <c r="D86" i="4"/>
  <c r="D84" i="4"/>
  <c r="D78" i="4"/>
  <c r="D57" i="4"/>
  <c r="E59" i="4" l="1"/>
  <c r="D18" i="4" l="1"/>
  <c r="E18" i="4" s="1"/>
  <c r="E151" i="4"/>
  <c r="E152" i="4"/>
  <c r="E153" i="4"/>
  <c r="E154" i="4"/>
  <c r="E155" i="4"/>
  <c r="E143" i="4"/>
  <c r="E148" i="4" s="1"/>
  <c r="E144" i="4"/>
  <c r="E145" i="4"/>
  <c r="E146" i="4"/>
  <c r="E147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25" i="4"/>
  <c r="D7" i="4"/>
  <c r="D127" i="4"/>
  <c r="D23" i="4" s="1"/>
  <c r="E23" i="4" s="1"/>
  <c r="D113" i="4"/>
  <c r="D22" i="4" s="1"/>
  <c r="E22" i="4" s="1"/>
  <c r="D89" i="4"/>
  <c r="D21" i="4" s="1"/>
  <c r="D60" i="4"/>
  <c r="D20" i="4" s="1"/>
  <c r="E20" i="4" s="1"/>
  <c r="D54" i="4"/>
  <c r="D19" i="4" s="1"/>
  <c r="D155" i="4"/>
  <c r="D26" i="4" s="1"/>
  <c r="E26" i="4" s="1"/>
  <c r="D148" i="4"/>
  <c r="D140" i="4"/>
  <c r="D25" i="4"/>
  <c r="D24" i="4"/>
  <c r="E24" i="4" s="1"/>
  <c r="V34" i="4"/>
  <c r="V63" i="4"/>
  <c r="T34" i="4"/>
  <c r="T63" i="4"/>
  <c r="O31" i="1"/>
  <c r="M31" i="1"/>
  <c r="E127" i="4" l="1"/>
  <c r="E21" i="4"/>
  <c r="D27" i="4"/>
  <c r="E27" i="4" s="1"/>
  <c r="E113" i="4"/>
  <c r="E89" i="4"/>
  <c r="E19" i="4"/>
  <c r="E54" i="4"/>
  <c r="E28" i="4" l="1"/>
  <c r="D28" i="4"/>
</calcChain>
</file>

<file path=xl/sharedStrings.xml><?xml version="1.0" encoding="utf-8"?>
<sst xmlns="http://schemas.openxmlformats.org/spreadsheetml/2006/main" count="586" uniqueCount="272">
  <si>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</si>
  <si>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</si>
  <si>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</si>
  <si>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</si>
  <si>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</si>
  <si>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</si>
  <si>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</si>
  <si>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</si>
  <si>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</si>
  <si>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</si>
  <si>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</si>
  <si>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</si>
  <si>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</si>
  <si>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</si>
  <si>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</si>
  <si>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</si>
  <si>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</si>
  <si>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</si>
  <si>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</si>
  <si>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</si>
  <si>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</si>
  <si>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</si>
  <si>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</si>
  <si>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</si>
  <si>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</si>
  <si>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</si>
  <si>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</si>
  <si>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</si>
  <si>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</si>
  <si>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</si>
  <si>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</si>
  <si>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</si>
  <si>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</si>
  <si>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</si>
  <si>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</si>
  <si>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</si>
  <si>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</si>
  <si>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</si>
  <si>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</si>
  <si>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</si>
  <si>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</si>
  <si>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</si>
  <si>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</si>
  <si>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</si>
  <si>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</si>
  <si>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</si>
  <si>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</si>
  <si>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</si>
  <si>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</si>
  <si>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</si>
  <si>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</si>
  <si>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</si>
  <si>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</si>
  <si>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</si>
  <si>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</si>
  <si>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</si>
  <si>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</si>
  <si>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</si>
  <si>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</si>
  <si>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</si>
  <si>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</si>
  <si>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</si>
  <si>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</si>
  <si>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</si>
  <si>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</si>
  <si>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</si>
  <si>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</si>
  <si>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</si>
  <si>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</si>
  <si>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</si>
  <si>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</si>
  <si>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</si>
  <si>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</si>
  <si>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</si>
  <si>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</si>
  <si>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</si>
  <si>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</si>
  <si>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</si>
  <si>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</si>
  <si>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</si>
  <si>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</si>
  <si>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</si>
  <si>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</si>
  <si>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</si>
  <si>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</si>
  <si>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</si>
  <si>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</si>
  <si>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</si>
  <si>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</si>
  <si>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</si>
  <si>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</si>
  <si>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</si>
  <si>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</si>
  <si>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</si>
  <si>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</si>
  <si>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1000~3000</t>
    <phoneticPr fontId="2" type="noConversion"/>
  </si>
  <si>
    <t>5000~10000</t>
    <phoneticPr fontId="2" type="noConversion"/>
  </si>
  <si>
    <t>20000~30000</t>
    <phoneticPr fontId="2" type="noConversion"/>
  </si>
  <si>
    <t>40000~50000</t>
    <phoneticPr fontId="2" type="noConversion"/>
  </si>
  <si>
    <t>1000 M2 만</t>
    <phoneticPr fontId="2" type="noConversion"/>
  </si>
  <si>
    <t>~ 60,000 미만</t>
    <phoneticPr fontId="2" type="noConversion"/>
  </si>
  <si>
    <t>300~1000</t>
    <phoneticPr fontId="2" type="noConversion"/>
  </si>
  <si>
    <t>면적(M2)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</si>
  <si>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</si>
  <si>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</si>
  <si>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</si>
  <si>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</si>
  <si>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</si>
  <si>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</si>
  <si>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</si>
  <si>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</si>
  <si>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</si>
  <si>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</si>
  <si>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</si>
  <si>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</si>
  <si>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</si>
  <si>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</si>
  <si>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</si>
  <si>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</si>
  <si>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</si>
  <si>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</si>
  <si>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</si>
  <si>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</si>
  <si>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</si>
  <si>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</si>
  <si>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</si>
  <si>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</si>
  <si>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</si>
  <si>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</si>
  <si>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</si>
  <si>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</si>
  <si>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</si>
  <si>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</si>
  <si>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</si>
  <si>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</si>
  <si>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</si>
  <si>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</si>
  <si>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</si>
  <si>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</si>
  <si>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</si>
  <si>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</si>
  <si>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</si>
  <si>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</si>
  <si>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</si>
  <si>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</si>
  <si>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</si>
  <si>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</si>
  <si>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</si>
  <si>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</si>
  <si>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</si>
  <si>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</si>
  <si>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</si>
  <si>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</si>
  <si>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</si>
  <si>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</si>
  <si>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</si>
  <si>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</si>
  <si>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</si>
  <si>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</si>
  <si>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</si>
  <si>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</si>
  <si>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</si>
  <si>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</si>
  <si>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</si>
  <si>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</si>
  <si>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</si>
  <si>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</si>
  <si>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</si>
  <si>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</si>
  <si>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</si>
  <si>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</si>
  <si>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마감공사</t>
    <phoneticPr fontId="2" type="noConversion"/>
  </si>
  <si>
    <t>전등전열설비</t>
    <phoneticPr fontId="2" type="noConversion"/>
  </si>
  <si>
    <t>경기도</t>
  </si>
  <si>
    <t>중고등학교1</t>
    <phoneticPr fontId="2" type="noConversion"/>
  </si>
  <si>
    <t>관급자재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</si>
  <si>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</si>
  <si>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</si>
  <si>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</si>
  <si>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</si>
  <si>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</si>
  <si>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</si>
  <si>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</si>
  <si>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</si>
  <si>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</si>
  <si>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</si>
  <si>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</si>
  <si>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</si>
  <si>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</si>
  <si>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</si>
  <si>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</si>
  <si>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</si>
  <si>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</si>
  <si>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</si>
  <si>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</si>
  <si>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</si>
  <si>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</si>
  <si>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</si>
  <si>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</si>
  <si>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</si>
  <si>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</si>
  <si>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</si>
  <si>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</si>
  <si>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</si>
  <si>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</si>
  <si>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</si>
  <si>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</si>
  <si>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방송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</si>
  <si>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</si>
  <si>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</si>
  <si>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</si>
  <si>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</si>
  <si>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</si>
  <si>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</si>
  <si>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</si>
  <si>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</si>
  <si>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</si>
  <si>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</si>
  <si>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</si>
  <si>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</si>
  <si>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</si>
  <si>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</si>
  <si>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</si>
  <si>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</si>
  <si>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</si>
  <si>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</si>
  <si>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</si>
  <si>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</si>
  <si>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공조닥트공사</t>
    <phoneticPr fontId="2" type="noConversion"/>
  </si>
  <si>
    <t>비상등설비공사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</si>
  <si>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</si>
  <si>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</si>
  <si>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</si>
  <si>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경상도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</si>
  <si>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</si>
  <si>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</si>
  <si>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</si>
  <si>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</si>
  <si>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</si>
  <si>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동력공사</t>
    <phoneticPr fontId="2" type="noConversion"/>
  </si>
  <si>
    <t>제주도</t>
    <phoneticPr fontId="2" type="noConversion"/>
  </si>
  <si>
    <t>2012년</t>
  </si>
  <si>
    <t>배기닥트공사</t>
    <phoneticPr fontId="2" type="noConversion"/>
  </si>
  <si>
    <t>보안등설비공사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</si>
  <si>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</si>
  <si>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</si>
  <si>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</si>
  <si>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</si>
  <si>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</si>
  <si>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</si>
  <si>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</si>
  <si>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</si>
  <si>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</si>
  <si>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</si>
  <si>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</si>
  <si>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</si>
  <si>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</si>
  <si>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2017년</t>
  </si>
  <si>
    <t>2018년</t>
  </si>
  <si>
    <t>T.A.B</t>
    <phoneticPr fontId="2" type="noConversion"/>
  </si>
  <si>
    <t>T.A.B</t>
    <phoneticPr fontId="2" type="noConversion"/>
  </si>
  <si>
    <t>관급자재</t>
    <phoneticPr fontId="2" type="noConversion"/>
  </si>
  <si>
    <t>2019년</t>
  </si>
  <si>
    <t>2020년</t>
  </si>
  <si>
    <t>연도설치</t>
    <phoneticPr fontId="2" type="noConversion"/>
  </si>
  <si>
    <t>2004년</t>
  </si>
  <si>
    <t>기타설비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</si>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</sst>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0</v>
      </c>
      <c r="B2" s="68" t="s">
        <v>1</v>
      </c>
      <c r="C2" s="69"/>
      <c r="D2" s="68" t="s">
        <v>2</v>
      </c>
      <c r="E2" s="69"/>
      <c r="F2" s="68" t="s">
        <v>102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69</v>
      </c>
      <c r="O2" s="69"/>
      <c r="P2" s="68" t="s">
        <v>9</v>
      </c>
      <c r="Q2" s="69"/>
      <c r="R2" s="62" t="s">
        <v>180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103</v>
      </c>
      <c r="U3" s="57"/>
      <c r="V3" s="56" t="s">
        <v>104</v>
      </c>
      <c r="W3" s="57"/>
      <c r="X3" s="56" t="s">
        <v>105</v>
      </c>
      <c r="Y3" s="57"/>
      <c r="Z3" s="56" t="s">
        <v>106</v>
      </c>
      <c r="AA3" s="57"/>
      <c r="AB3" s="56" t="s">
        <v>107</v>
      </c>
      <c r="AC3" s="57"/>
      <c r="AD3" s="56" t="s">
        <v>108</v>
      </c>
      <c r="AE3" s="57"/>
      <c r="AF3" s="56" t="s">
        <v>109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181</v>
      </c>
      <c r="F5" s="5">
        <v>1</v>
      </c>
      <c r="G5" s="17" t="s">
        <v>99</v>
      </c>
      <c r="H5" s="5">
        <v>1</v>
      </c>
      <c r="I5" s="1" t="s">
        <v>182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183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147</v>
      </c>
      <c r="AD5" s="28">
        <v>1</v>
      </c>
      <c r="AE5" s="29" t="s">
        <v>53</v>
      </c>
      <c r="AF5" s="28">
        <v>1</v>
      </c>
      <c r="AG5" s="42" t="s">
        <v>184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101</v>
      </c>
      <c r="F6" s="5">
        <v>2</v>
      </c>
      <c r="G6" s="17" t="s">
        <v>185</v>
      </c>
      <c r="H6" s="5">
        <v>2</v>
      </c>
      <c r="I6" s="1" t="s">
        <v>186</v>
      </c>
      <c r="J6" s="19">
        <v>2</v>
      </c>
      <c r="K6" s="1" t="s">
        <v>187</v>
      </c>
      <c r="L6" s="5">
        <v>2</v>
      </c>
      <c r="M6" s="6" t="s">
        <v>7</v>
      </c>
      <c r="N6" s="5">
        <v>2</v>
      </c>
      <c r="O6" s="6" t="s">
        <v>188</v>
      </c>
      <c r="P6" s="5">
        <v>2</v>
      </c>
      <c r="Q6" s="1" t="s">
        <v>10</v>
      </c>
      <c r="R6" s="28">
        <v>2</v>
      </c>
      <c r="S6" s="29" t="s">
        <v>191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196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95</v>
      </c>
      <c r="F7" s="5">
        <v>3</v>
      </c>
      <c r="G7" s="17" t="s">
        <v>201</v>
      </c>
      <c r="H7" s="5">
        <v>3</v>
      </c>
      <c r="I7" s="1" t="s">
        <v>87</v>
      </c>
      <c r="J7" s="19">
        <v>3</v>
      </c>
      <c r="K7" s="1" t="s">
        <v>202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203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204</v>
      </c>
      <c r="F8" s="5">
        <v>4</v>
      </c>
      <c r="G8" s="17" t="s">
        <v>205</v>
      </c>
      <c r="H8" s="5">
        <v>4</v>
      </c>
      <c r="I8" s="1" t="s">
        <v>88</v>
      </c>
      <c r="J8" s="19">
        <v>4</v>
      </c>
      <c r="K8" s="1" t="s">
        <v>206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207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175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96</v>
      </c>
      <c r="F9" s="5">
        <v>5</v>
      </c>
      <c r="G9" s="17" t="s">
        <v>208</v>
      </c>
      <c r="H9" s="5">
        <v>5</v>
      </c>
      <c r="I9" s="1" t="s">
        <v>89</v>
      </c>
      <c r="J9" s="19">
        <v>5</v>
      </c>
      <c r="K9" s="1" t="s">
        <v>209</v>
      </c>
      <c r="L9" s="5"/>
      <c r="M9" s="6"/>
      <c r="N9" s="5"/>
      <c r="O9" s="6"/>
      <c r="P9" s="5">
        <v>5</v>
      </c>
      <c r="Q9" s="1" t="s">
        <v>210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175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211</v>
      </c>
      <c r="F10" s="5">
        <v>6</v>
      </c>
      <c r="G10" s="17" t="s">
        <v>100</v>
      </c>
      <c r="H10" s="5">
        <v>6</v>
      </c>
      <c r="I10" s="1" t="s">
        <v>212</v>
      </c>
      <c r="J10" s="19">
        <v>6</v>
      </c>
      <c r="K10" s="1" t="s">
        <v>213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214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97</v>
      </c>
      <c r="F11" s="5">
        <v>7</v>
      </c>
      <c r="G11" s="17" t="s">
        <v>215</v>
      </c>
      <c r="H11" s="5">
        <v>7</v>
      </c>
      <c r="I11" s="1" t="s">
        <v>90</v>
      </c>
      <c r="J11" s="19">
        <v>7</v>
      </c>
      <c r="K11" s="1" t="s">
        <v>216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156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217</v>
      </c>
      <c r="F12" s="5">
        <v>8</v>
      </c>
      <c r="G12" s="17" t="s">
        <v>218</v>
      </c>
      <c r="H12" s="5">
        <v>8</v>
      </c>
      <c r="I12" s="1" t="s">
        <v>91</v>
      </c>
      <c r="J12" s="19">
        <v>8</v>
      </c>
      <c r="K12" s="1" t="s">
        <v>219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220</v>
      </c>
      <c r="X12" s="28">
        <v>8</v>
      </c>
      <c r="Y12" s="29" t="s">
        <v>51</v>
      </c>
      <c r="Z12" s="28">
        <v>8</v>
      </c>
      <c r="AA12" s="29" t="s">
        <v>221</v>
      </c>
      <c r="AB12" s="28">
        <v>8</v>
      </c>
      <c r="AC12" s="29" t="s">
        <v>222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223</v>
      </c>
      <c r="D13" s="5">
        <v>9</v>
      </c>
      <c r="E13" s="1" t="s">
        <v>98</v>
      </c>
      <c r="F13" s="5"/>
      <c r="G13" s="17"/>
      <c r="H13" s="5">
        <v>9</v>
      </c>
      <c r="I13" s="1" t="s">
        <v>92</v>
      </c>
      <c r="J13" s="19">
        <v>9</v>
      </c>
      <c r="K13" s="1" t="s">
        <v>224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225</v>
      </c>
      <c r="X13" s="28">
        <v>9</v>
      </c>
      <c r="Y13" s="29" t="s">
        <v>151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226</v>
      </c>
      <c r="F14" s="5"/>
      <c r="G14" s="17"/>
      <c r="H14" s="5">
        <v>10</v>
      </c>
      <c r="I14" s="1" t="s">
        <v>93</v>
      </c>
      <c r="J14" s="19">
        <v>10</v>
      </c>
      <c r="K14" s="1" t="s">
        <v>227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228</v>
      </c>
      <c r="X14" s="28">
        <v>10</v>
      </c>
      <c r="Y14" s="29" t="s">
        <v>229</v>
      </c>
      <c r="Z14" s="28">
        <v>10</v>
      </c>
      <c r="AA14" s="29" t="s">
        <v>175</v>
      </c>
      <c r="AB14" s="28">
        <v>10</v>
      </c>
      <c r="AC14" s="29" t="s">
        <v>175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94</v>
      </c>
      <c r="J15" s="19">
        <v>11</v>
      </c>
      <c r="K15" s="1" t="s">
        <v>230</v>
      </c>
      <c r="L15" s="5"/>
      <c r="M15" s="6"/>
      <c r="N15" s="5"/>
      <c r="O15" s="6"/>
      <c r="P15" s="5"/>
      <c r="Q15" s="1"/>
      <c r="R15" s="28">
        <v>11</v>
      </c>
      <c r="S15" s="29" t="s">
        <v>231</v>
      </c>
      <c r="T15" s="28"/>
      <c r="U15" s="29"/>
      <c r="V15" s="28">
        <v>11</v>
      </c>
      <c r="W15" s="29" t="s">
        <v>232</v>
      </c>
      <c r="X15" s="28">
        <v>11</v>
      </c>
      <c r="Y15" s="29" t="s">
        <v>136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233</v>
      </c>
      <c r="J16" s="19">
        <v>12</v>
      </c>
      <c r="K16" s="1" t="s">
        <v>234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144</v>
      </c>
      <c r="X16" s="28">
        <v>12</v>
      </c>
      <c r="Y16" s="29" t="s">
        <v>235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236</v>
      </c>
      <c r="D17" s="5"/>
      <c r="E17" s="1"/>
      <c r="F17" s="17"/>
      <c r="G17" s="17"/>
      <c r="H17" s="5">
        <v>13</v>
      </c>
      <c r="I17" s="1" t="s">
        <v>237</v>
      </c>
      <c r="J17" s="19">
        <v>13</v>
      </c>
      <c r="K17" s="1" t="s">
        <v>238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137</v>
      </c>
      <c r="X17" s="28">
        <v>13</v>
      </c>
      <c r="Y17" s="29" t="s">
        <v>239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240</v>
      </c>
      <c r="J18" s="19">
        <v>14</v>
      </c>
      <c r="K18" s="1" t="s">
        <v>241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242</v>
      </c>
      <c r="X18" s="28">
        <v>14</v>
      </c>
      <c r="Y18" s="29" t="s">
        <v>243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244</v>
      </c>
      <c r="L19" s="5"/>
      <c r="M19" s="6"/>
      <c r="N19" s="5"/>
      <c r="O19" s="6"/>
      <c r="P19" s="5"/>
      <c r="Q19" s="1"/>
      <c r="R19" s="28">
        <v>15</v>
      </c>
      <c r="S19" s="29" t="s">
        <v>245</v>
      </c>
      <c r="T19" s="28"/>
      <c r="U19" s="29"/>
      <c r="V19" s="28">
        <v>15</v>
      </c>
      <c r="W19" s="29" t="s">
        <v>246</v>
      </c>
      <c r="X19" s="28">
        <v>15</v>
      </c>
      <c r="Y19" s="29" t="s">
        <v>148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247</v>
      </c>
      <c r="L20" s="5"/>
      <c r="M20" s="6"/>
      <c r="N20" s="5"/>
      <c r="O20" s="6"/>
      <c r="P20" s="5"/>
      <c r="Q20" s="1"/>
      <c r="R20" s="28">
        <v>16</v>
      </c>
      <c r="S20" s="29" t="s">
        <v>248</v>
      </c>
      <c r="T20" s="28"/>
      <c r="U20" s="29"/>
      <c r="V20" s="28">
        <v>16</v>
      </c>
      <c r="W20" s="29" t="s">
        <v>249</v>
      </c>
      <c r="X20" s="28">
        <v>16</v>
      </c>
      <c r="Y20" s="29" t="s">
        <v>250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251</v>
      </c>
      <c r="L21" s="5"/>
      <c r="M21" s="6"/>
      <c r="N21" s="5"/>
      <c r="O21" s="6"/>
      <c r="P21" s="5"/>
      <c r="Q21" s="1"/>
      <c r="R21" s="28">
        <v>17</v>
      </c>
      <c r="S21" s="29" t="s">
        <v>252</v>
      </c>
      <c r="T21" s="28"/>
      <c r="U21" s="29"/>
      <c r="V21" s="28">
        <v>17</v>
      </c>
      <c r="W21" s="29" t="s">
        <v>253</v>
      </c>
      <c r="X21" s="28">
        <v>17</v>
      </c>
      <c r="Y21" s="29" t="s">
        <v>254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255</v>
      </c>
      <c r="L22" s="5"/>
      <c r="M22" s="6"/>
      <c r="N22" s="5"/>
      <c r="O22" s="6"/>
      <c r="P22" s="5"/>
      <c r="Q22" s="1"/>
      <c r="R22" s="28">
        <v>18</v>
      </c>
      <c r="S22" s="29" t="s">
        <v>256</v>
      </c>
      <c r="T22" s="28"/>
      <c r="U22" s="29"/>
      <c r="V22" s="28">
        <v>18</v>
      </c>
      <c r="W22" s="29" t="s">
        <v>157</v>
      </c>
      <c r="X22" s="28">
        <v>18</v>
      </c>
      <c r="Y22" s="29" t="s">
        <v>132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257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155</v>
      </c>
      <c r="X23" s="28">
        <v>19</v>
      </c>
      <c r="Y23" s="29" t="s">
        <v>131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258</v>
      </c>
      <c r="L24" s="5"/>
      <c r="M24" s="6"/>
      <c r="N24" s="5"/>
      <c r="O24" s="6"/>
      <c r="P24" s="5"/>
      <c r="Q24" s="1"/>
      <c r="R24" s="28">
        <v>20</v>
      </c>
      <c r="S24" s="29" t="s">
        <v>175</v>
      </c>
      <c r="T24" s="28"/>
      <c r="U24" s="29"/>
      <c r="V24" s="28">
        <v>20</v>
      </c>
      <c r="W24" s="29" t="s">
        <v>259</v>
      </c>
      <c r="X24" s="28">
        <v>20</v>
      </c>
      <c r="Y24" s="29" t="s">
        <v>175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262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263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264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175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5" sqref="E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0</v>
      </c>
      <c r="I1" s="68" t="s">
        <v>1</v>
      </c>
      <c r="J1" s="69"/>
      <c r="K1" s="68" t="s">
        <v>2</v>
      </c>
      <c r="L1" s="69"/>
      <c r="M1" s="68" t="s">
        <v>102</v>
      </c>
      <c r="N1" s="69"/>
      <c r="O1" s="68" t="s">
        <v>3</v>
      </c>
      <c r="P1" s="69"/>
      <c r="Q1" s="68" t="s">
        <v>4</v>
      </c>
      <c r="R1" s="69"/>
      <c r="S1" s="68" t="s">
        <v>5</v>
      </c>
      <c r="T1" s="69"/>
      <c r="U1" s="68" t="s">
        <v>69</v>
      </c>
      <c r="V1" s="69"/>
      <c r="W1" s="68" t="s">
        <v>9</v>
      </c>
      <c r="X1" s="69"/>
      <c r="Y1" s="62" t="s">
        <v>180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110</v>
      </c>
      <c r="C2" s="36" t="s">
        <v>174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103</v>
      </c>
      <c r="AB2" s="57"/>
      <c r="AC2" s="56" t="s">
        <v>104</v>
      </c>
      <c r="AD2" s="57"/>
      <c r="AE2" s="56" t="s">
        <v>105</v>
      </c>
      <c r="AF2" s="57"/>
      <c r="AG2" s="56" t="s">
        <v>106</v>
      </c>
      <c r="AH2" s="57"/>
      <c r="AI2" s="56" t="s">
        <v>107</v>
      </c>
      <c r="AJ2" s="57"/>
      <c r="AK2" s="56" t="s">
        <v>108</v>
      </c>
      <c r="AL2" s="57"/>
      <c r="AM2" s="56" t="s">
        <v>109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111</v>
      </c>
      <c r="C4" s="36" t="s">
        <v>170</v>
      </c>
      <c r="H4" s="4">
        <v>1</v>
      </c>
      <c r="I4" s="5">
        <v>1</v>
      </c>
      <c r="J4" s="17" t="s">
        <v>72</v>
      </c>
      <c r="K4" s="5">
        <v>1</v>
      </c>
      <c r="L4" s="1" t="s">
        <v>181</v>
      </c>
      <c r="M4" s="5">
        <v>1</v>
      </c>
      <c r="N4" s="17" t="s">
        <v>99</v>
      </c>
      <c r="O4" s="5">
        <v>1</v>
      </c>
      <c r="P4" s="1" t="s">
        <v>182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183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147</v>
      </c>
      <c r="AK4" s="28">
        <v>1</v>
      </c>
      <c r="AL4" s="29" t="s">
        <v>53</v>
      </c>
      <c r="AM4" s="28">
        <v>1</v>
      </c>
      <c r="AN4" s="42" t="s">
        <v>184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101</v>
      </c>
      <c r="M5" s="5">
        <v>2</v>
      </c>
      <c r="N5" s="17" t="s">
        <v>185</v>
      </c>
      <c r="O5" s="5">
        <v>2</v>
      </c>
      <c r="P5" s="1" t="s">
        <v>186</v>
      </c>
      <c r="Q5" s="19">
        <v>2</v>
      </c>
      <c r="R5" s="1" t="s">
        <v>187</v>
      </c>
      <c r="S5" s="5">
        <v>2</v>
      </c>
      <c r="T5" s="6" t="s">
        <v>7</v>
      </c>
      <c r="U5" s="5">
        <v>2</v>
      </c>
      <c r="V5" s="6" t="s">
        <v>189</v>
      </c>
      <c r="W5" s="5">
        <v>2</v>
      </c>
      <c r="X5" s="1" t="s">
        <v>190</v>
      </c>
      <c r="Y5" s="28">
        <v>2</v>
      </c>
      <c r="Z5" s="29" t="s">
        <v>192</v>
      </c>
      <c r="AA5" s="28">
        <v>2</v>
      </c>
      <c r="AB5" s="29" t="s">
        <v>193</v>
      </c>
      <c r="AC5" s="28">
        <v>2</v>
      </c>
      <c r="AD5" s="29" t="s">
        <v>194</v>
      </c>
      <c r="AE5" s="28">
        <v>2</v>
      </c>
      <c r="AF5" s="29" t="s">
        <v>195</v>
      </c>
      <c r="AG5" s="28">
        <v>2</v>
      </c>
      <c r="AH5" s="29" t="s">
        <v>197</v>
      </c>
      <c r="AI5" s="28">
        <v>2</v>
      </c>
      <c r="AJ5" s="29" t="s">
        <v>198</v>
      </c>
      <c r="AK5" s="28">
        <v>2</v>
      </c>
      <c r="AL5" s="29" t="s">
        <v>199</v>
      </c>
      <c r="AM5" s="28">
        <v>2</v>
      </c>
      <c r="AN5" s="42" t="s">
        <v>200</v>
      </c>
    </row>
    <row r="6" spans="1:40" ht="17.25" thickBot="1" x14ac:dyDescent="0.35">
      <c r="A6" s="2">
        <v>3</v>
      </c>
      <c r="B6" s="2" t="s">
        <v>167</v>
      </c>
      <c r="C6" s="2" t="s">
        <v>112</v>
      </c>
      <c r="D6" s="35" t="s">
        <v>268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95</v>
      </c>
      <c r="M6" s="5">
        <v>3</v>
      </c>
      <c r="N6" s="17" t="s">
        <v>201</v>
      </c>
      <c r="O6" s="5">
        <v>3</v>
      </c>
      <c r="P6" s="1" t="s">
        <v>87</v>
      </c>
      <c r="Q6" s="19">
        <v>3</v>
      </c>
      <c r="R6" s="1" t="s">
        <v>202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203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9996</v>
      </c>
      <c r="D7" s="36">
        <f>+C7/3.3058</f>
        <v>3023.7763930062315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204</v>
      </c>
      <c r="M7" s="5">
        <v>4</v>
      </c>
      <c r="N7" s="17" t="s">
        <v>205</v>
      </c>
      <c r="O7" s="5">
        <v>4</v>
      </c>
      <c r="P7" s="1" t="s">
        <v>88</v>
      </c>
      <c r="Q7" s="19">
        <v>4</v>
      </c>
      <c r="R7" s="1" t="s">
        <v>206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207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175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96</v>
      </c>
      <c r="M8" s="5">
        <v>5</v>
      </c>
      <c r="N8" s="17" t="s">
        <v>208</v>
      </c>
      <c r="O8" s="5">
        <v>5</v>
      </c>
      <c r="P8" s="1" t="s">
        <v>89</v>
      </c>
      <c r="Q8" s="19">
        <v>5</v>
      </c>
      <c r="R8" s="1" t="s">
        <v>209</v>
      </c>
      <c r="S8" s="5"/>
      <c r="T8" s="6"/>
      <c r="U8" s="5"/>
      <c r="V8" s="6"/>
      <c r="W8" s="5">
        <v>5</v>
      </c>
      <c r="X8" s="1" t="s">
        <v>210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175</v>
      </c>
      <c r="AM8" s="28"/>
      <c r="AN8" s="29"/>
    </row>
    <row r="9" spans="1:40" ht="17.25" thickBot="1" x14ac:dyDescent="0.35">
      <c r="A9" s="2">
        <v>4</v>
      </c>
      <c r="B9" s="2" t="s">
        <v>113</v>
      </c>
      <c r="C9" s="36" t="s">
        <v>173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211</v>
      </c>
      <c r="M9" s="5">
        <v>6</v>
      </c>
      <c r="N9" s="17" t="s">
        <v>100</v>
      </c>
      <c r="O9" s="5">
        <v>6</v>
      </c>
      <c r="P9" s="1" t="s">
        <v>212</v>
      </c>
      <c r="Q9" s="19">
        <v>6</v>
      </c>
      <c r="R9" s="1" t="s">
        <v>213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214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97</v>
      </c>
      <c r="M10" s="5">
        <v>7</v>
      </c>
      <c r="N10" s="17" t="s">
        <v>215</v>
      </c>
      <c r="O10" s="5">
        <v>7</v>
      </c>
      <c r="P10" s="1" t="s">
        <v>90</v>
      </c>
      <c r="Q10" s="19">
        <v>7</v>
      </c>
      <c r="R10" s="1" t="s">
        <v>216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156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114</v>
      </c>
      <c r="C11" s="36" t="s">
        <v>265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217</v>
      </c>
      <c r="M11" s="5">
        <v>8</v>
      </c>
      <c r="N11" s="17" t="s">
        <v>218</v>
      </c>
      <c r="O11" s="5">
        <v>8</v>
      </c>
      <c r="P11" s="1" t="s">
        <v>91</v>
      </c>
      <c r="Q11" s="19">
        <v>8</v>
      </c>
      <c r="R11" s="1" t="s">
        <v>219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220</v>
      </c>
      <c r="AE11" s="28">
        <v>8</v>
      </c>
      <c r="AF11" s="29" t="s">
        <v>51</v>
      </c>
      <c r="AG11" s="28">
        <v>8</v>
      </c>
      <c r="AH11" s="29" t="s">
        <v>221</v>
      </c>
      <c r="AI11" s="28">
        <v>8</v>
      </c>
      <c r="AJ11" s="29" t="s">
        <v>222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223</v>
      </c>
      <c r="K12" s="5">
        <v>9</v>
      </c>
      <c r="L12" s="1" t="s">
        <v>98</v>
      </c>
      <c r="M12" s="5"/>
      <c r="N12" s="17"/>
      <c r="O12" s="5">
        <v>9</v>
      </c>
      <c r="P12" s="1" t="s">
        <v>92</v>
      </c>
      <c r="Q12" s="19">
        <v>9</v>
      </c>
      <c r="R12" s="1" t="s">
        <v>224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225</v>
      </c>
      <c r="AE12" s="28">
        <v>9</v>
      </c>
      <c r="AF12" s="29" t="s">
        <v>151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115</v>
      </c>
      <c r="C13" s="36" t="s">
        <v>130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226</v>
      </c>
      <c r="M13" s="5"/>
      <c r="N13" s="17"/>
      <c r="O13" s="5">
        <v>10</v>
      </c>
      <c r="P13" s="1" t="s">
        <v>93</v>
      </c>
      <c r="Q13" s="19">
        <v>10</v>
      </c>
      <c r="R13" s="1" t="s">
        <v>227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228</v>
      </c>
      <c r="AE13" s="28">
        <v>10</v>
      </c>
      <c r="AF13" s="29" t="s">
        <v>229</v>
      </c>
      <c r="AG13" s="28">
        <v>10</v>
      </c>
      <c r="AH13" s="29" t="s">
        <v>175</v>
      </c>
      <c r="AI13" s="28">
        <v>10</v>
      </c>
      <c r="AJ13" s="29" t="s">
        <v>175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94</v>
      </c>
      <c r="Q14" s="19">
        <v>11</v>
      </c>
      <c r="R14" s="1" t="s">
        <v>230</v>
      </c>
      <c r="S14" s="5"/>
      <c r="T14" s="6"/>
      <c r="U14" s="5"/>
      <c r="V14" s="6"/>
      <c r="W14" s="5"/>
      <c r="X14" s="1"/>
      <c r="Y14" s="28">
        <v>11</v>
      </c>
      <c r="Z14" s="29" t="s">
        <v>231</v>
      </c>
      <c r="AA14" s="28"/>
      <c r="AB14" s="29"/>
      <c r="AC14" s="28">
        <v>11</v>
      </c>
      <c r="AD14" s="29" t="s">
        <v>232</v>
      </c>
      <c r="AE14" s="28">
        <v>11</v>
      </c>
      <c r="AF14" s="29" t="s">
        <v>136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116</v>
      </c>
      <c r="C15" s="36" t="s">
        <v>166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233</v>
      </c>
      <c r="Q15" s="19">
        <v>12</v>
      </c>
      <c r="R15" s="1" t="s">
        <v>234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144</v>
      </c>
      <c r="AE15" s="28">
        <v>12</v>
      </c>
      <c r="AF15" s="29" t="s">
        <v>235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236</v>
      </c>
      <c r="K16" s="5"/>
      <c r="L16" s="1"/>
      <c r="M16" s="17"/>
      <c r="N16" s="17"/>
      <c r="O16" s="5">
        <v>13</v>
      </c>
      <c r="P16" s="1" t="s">
        <v>237</v>
      </c>
      <c r="Q16" s="19">
        <v>13</v>
      </c>
      <c r="R16" s="1" t="s">
        <v>238</v>
      </c>
      <c r="S16" s="5"/>
      <c r="T16" s="6"/>
      <c r="U16" s="5"/>
      <c r="V16" s="6"/>
      <c r="W16" s="5"/>
      <c r="X16" s="1"/>
      <c r="Y16" s="28">
        <v>13</v>
      </c>
      <c r="Z16" s="29" t="s">
        <v>29</v>
      </c>
      <c r="AA16" s="28"/>
      <c r="AB16" s="29"/>
      <c r="AC16" s="28">
        <v>13</v>
      </c>
      <c r="AD16" s="29" t="s">
        <v>137</v>
      </c>
      <c r="AE16" s="28">
        <v>13</v>
      </c>
      <c r="AF16" s="29" t="s">
        <v>239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117</v>
      </c>
      <c r="C17" s="2" t="s">
        <v>121</v>
      </c>
      <c r="D17" s="2" t="s">
        <v>269</v>
      </c>
      <c r="E17" s="35" t="s">
        <v>176</v>
      </c>
      <c r="H17" s="4">
        <f t="shared" si="0"/>
        <v>14</v>
      </c>
      <c r="I17" s="5">
        <f t="shared" si="0"/>
        <v>14</v>
      </c>
      <c r="J17" s="17" t="s">
        <v>81</v>
      </c>
      <c r="K17" s="17"/>
      <c r="L17" s="1"/>
      <c r="M17" s="17"/>
      <c r="N17" s="23"/>
      <c r="O17" s="5">
        <v>14</v>
      </c>
      <c r="P17" s="1" t="s">
        <v>240</v>
      </c>
      <c r="Q17" s="19">
        <v>14</v>
      </c>
      <c r="R17" s="1" t="s">
        <v>241</v>
      </c>
      <c r="S17" s="5"/>
      <c r="T17" s="6"/>
      <c r="U17" s="5"/>
      <c r="V17" s="6"/>
      <c r="W17" s="5"/>
      <c r="X17" s="1"/>
      <c r="Y17" s="28">
        <v>14</v>
      </c>
      <c r="Z17" s="29" t="s">
        <v>30</v>
      </c>
      <c r="AA17" s="28"/>
      <c r="AB17" s="29"/>
      <c r="AC17" s="28">
        <v>14</v>
      </c>
      <c r="AD17" s="29" t="s">
        <v>242</v>
      </c>
      <c r="AE17" s="28">
        <v>14</v>
      </c>
      <c r="AF17" s="29" t="s">
        <v>243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82</v>
      </c>
      <c r="K18" s="5"/>
      <c r="L18" s="1"/>
      <c r="M18" s="17"/>
      <c r="N18" s="17"/>
      <c r="O18" s="5"/>
      <c r="P18" s="1"/>
      <c r="Q18" s="19">
        <v>15</v>
      </c>
      <c r="R18" s="1" t="s">
        <v>244</v>
      </c>
      <c r="S18" s="5"/>
      <c r="T18" s="6"/>
      <c r="U18" s="5"/>
      <c r="V18" s="6"/>
      <c r="W18" s="5"/>
      <c r="X18" s="1"/>
      <c r="Y18" s="28">
        <v>15</v>
      </c>
      <c r="Z18" s="29" t="s">
        <v>245</v>
      </c>
      <c r="AA18" s="28"/>
      <c r="AB18" s="29"/>
      <c r="AC18" s="28">
        <v>15</v>
      </c>
      <c r="AD18" s="29" t="s">
        <v>246</v>
      </c>
      <c r="AE18" s="28">
        <v>15</v>
      </c>
      <c r="AF18" s="29" t="s">
        <v>148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119</v>
      </c>
      <c r="D19" s="74">
        <f>+D54</f>
        <v>381370</v>
      </c>
      <c r="E19" s="52">
        <f>+D19*3.3058</f>
        <v>1260732.946</v>
      </c>
      <c r="H19" s="4">
        <f t="shared" si="0"/>
        <v>16</v>
      </c>
      <c r="I19" s="5">
        <f t="shared" si="0"/>
        <v>16</v>
      </c>
      <c r="J19" s="17" t="s">
        <v>83</v>
      </c>
      <c r="K19" s="5"/>
      <c r="L19" s="1"/>
      <c r="M19" s="17"/>
      <c r="N19" s="17"/>
      <c r="O19" s="5"/>
      <c r="P19" s="1"/>
      <c r="Q19" s="19">
        <v>16</v>
      </c>
      <c r="R19" s="1" t="s">
        <v>247</v>
      </c>
      <c r="S19" s="5"/>
      <c r="T19" s="6"/>
      <c r="U19" s="5"/>
      <c r="V19" s="6"/>
      <c r="W19" s="5"/>
      <c r="X19" s="1"/>
      <c r="Y19" s="28">
        <v>16</v>
      </c>
      <c r="Z19" s="29" t="s">
        <v>248</v>
      </c>
      <c r="AA19" s="28"/>
      <c r="AB19" s="29"/>
      <c r="AC19" s="28">
        <v>16</v>
      </c>
      <c r="AD19" s="29" t="s">
        <v>249</v>
      </c>
      <c r="AE19" s="28">
        <v>16</v>
      </c>
      <c r="AF19" s="29" t="s">
        <v>250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74">
        <f>+D60</f>
        <v>18260</v>
      </c>
      <c r="E20" s="52">
        <f t="shared" ref="E20:E24" si="1">+D20*3.3058</f>
        <v>60363.908000000003</v>
      </c>
      <c r="H20" s="4">
        <f t="shared" si="0"/>
        <v>17</v>
      </c>
      <c r="I20" s="5">
        <f t="shared" si="0"/>
        <v>17</v>
      </c>
      <c r="J20" s="17" t="s">
        <v>52</v>
      </c>
      <c r="K20" s="5"/>
      <c r="L20" s="1"/>
      <c r="M20" s="17"/>
      <c r="N20" s="17"/>
      <c r="O20" s="5"/>
      <c r="P20" s="1"/>
      <c r="Q20" s="19">
        <v>17</v>
      </c>
      <c r="R20" s="1" t="s">
        <v>251</v>
      </c>
      <c r="S20" s="5"/>
      <c r="T20" s="6"/>
      <c r="U20" s="5"/>
      <c r="V20" s="6"/>
      <c r="W20" s="5"/>
      <c r="X20" s="1"/>
      <c r="Y20" s="28">
        <v>17</v>
      </c>
      <c r="Z20" s="29" t="s">
        <v>252</v>
      </c>
      <c r="AA20" s="28"/>
      <c r="AB20" s="29"/>
      <c r="AC20" s="28">
        <v>17</v>
      </c>
      <c r="AD20" s="29" t="s">
        <v>253</v>
      </c>
      <c r="AE20" s="28">
        <v>17</v>
      </c>
      <c r="AF20" s="29" t="s">
        <v>254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74">
        <f>+D89</f>
        <v>96770</v>
      </c>
      <c r="E21" s="52">
        <f t="shared" si="1"/>
        <v>319902.266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255</v>
      </c>
      <c r="S21" s="5"/>
      <c r="T21" s="6"/>
      <c r="U21" s="5"/>
      <c r="V21" s="6"/>
      <c r="W21" s="5"/>
      <c r="X21" s="1"/>
      <c r="Y21" s="28">
        <v>18</v>
      </c>
      <c r="Z21" s="29" t="s">
        <v>256</v>
      </c>
      <c r="AA21" s="28"/>
      <c r="AB21" s="29"/>
      <c r="AC21" s="28">
        <v>18</v>
      </c>
      <c r="AD21" s="29" t="s">
        <v>157</v>
      </c>
      <c r="AE21" s="28">
        <v>18</v>
      </c>
      <c r="AF21" s="29" t="s">
        <v>132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74">
        <f>+D113</f>
        <v>53030</v>
      </c>
      <c r="E22" s="52">
        <f t="shared" si="1"/>
        <v>175306.57399999999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257</v>
      </c>
      <c r="S22" s="5"/>
      <c r="T22" s="6"/>
      <c r="U22" s="5"/>
      <c r="V22" s="6"/>
      <c r="W22" s="5"/>
      <c r="X22" s="1"/>
      <c r="Y22" s="28">
        <v>19</v>
      </c>
      <c r="Z22" s="29" t="s">
        <v>31</v>
      </c>
      <c r="AA22" s="28"/>
      <c r="AB22" s="29"/>
      <c r="AC22" s="28">
        <v>19</v>
      </c>
      <c r="AD22" s="29" t="s">
        <v>155</v>
      </c>
      <c r="AE22" s="28">
        <v>19</v>
      </c>
      <c r="AF22" s="29" t="s">
        <v>131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74">
        <f>+D127</f>
        <v>22030</v>
      </c>
      <c r="E23" s="52">
        <f t="shared" si="1"/>
        <v>72826.774000000005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258</v>
      </c>
      <c r="S23" s="5"/>
      <c r="T23" s="6"/>
      <c r="U23" s="5"/>
      <c r="V23" s="6"/>
      <c r="W23" s="5"/>
      <c r="X23" s="1"/>
      <c r="Y23" s="28">
        <v>20</v>
      </c>
      <c r="Z23" s="29" t="s">
        <v>175</v>
      </c>
      <c r="AA23" s="28"/>
      <c r="AB23" s="29"/>
      <c r="AC23" s="28">
        <v>20</v>
      </c>
      <c r="AD23" s="29" t="s">
        <v>260</v>
      </c>
      <c r="AE23" s="28">
        <v>20</v>
      </c>
      <c r="AF23" s="29" t="s">
        <v>261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74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262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40</v>
      </c>
      <c r="AE24" s="28">
        <v>21</v>
      </c>
      <c r="AF24" s="29" t="s">
        <v>52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263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264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42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178</v>
      </c>
      <c r="D27" s="75">
        <f>TRUNC(SUM(D18:D26)*0.275,-1)</f>
        <v>157150</v>
      </c>
      <c r="E27" s="53">
        <f>+D27*3.3058</f>
        <v>519506.47000000003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43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179</v>
      </c>
      <c r="D28" s="55">
        <f>SUM(D18:D27)</f>
        <v>728610</v>
      </c>
      <c r="E28" s="35">
        <f>SUM(E18:E27)</f>
        <v>2408638.9380000001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175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52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159</v>
      </c>
      <c r="C30" s="2" t="s">
        <v>121</v>
      </c>
      <c r="D30" s="2" t="s">
        <v>270</v>
      </c>
      <c r="E30" s="35" t="s">
        <v>176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159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160</v>
      </c>
      <c r="C33" s="2" t="s">
        <v>121</v>
      </c>
      <c r="D33" s="2" t="s">
        <v>270</v>
      </c>
      <c r="E33" s="35" t="s">
        <v>176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31320</v>
      </c>
      <c r="E34" s="47">
        <f>+D34*3.3058</f>
        <v>103537.656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155660</v>
      </c>
      <c r="E35" s="48">
        <f>+D35*3.3058</f>
        <v>514580.82800000004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267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164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161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162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163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194390</v>
      </c>
      <c r="E52" s="48">
        <f t="shared" si="2"/>
        <v>642614.46200000006</v>
      </c>
      <c r="F52" s="2" t="s">
        <v>171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165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120</v>
      </c>
      <c r="D54" s="44">
        <f>SUM(D34:D53)</f>
        <v>381370</v>
      </c>
      <c r="E54" s="45">
        <f>SUM(E34:E53)</f>
        <v>1260732.946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123</v>
      </c>
      <c r="C56" s="2" t="s">
        <v>121</v>
      </c>
      <c r="D56" s="2" t="s">
        <v>271</v>
      </c>
      <c r="E56" s="35" t="s">
        <v>176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f>TRUNC(18265.7006802721,-1)</f>
        <v>18260</v>
      </c>
      <c r="E57" s="47">
        <f>+D57*3.3058</f>
        <v>60363.908000000003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120</v>
      </c>
      <c r="D60" s="50">
        <f>SUM(D57:D59)</f>
        <v>18260</v>
      </c>
      <c r="E60" s="45">
        <f>SUM(E57:E59)</f>
        <v>60363.908000000003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124</v>
      </c>
      <c r="C62" s="2" t="s">
        <v>121</v>
      </c>
      <c r="D62" s="2" t="s">
        <v>271</v>
      </c>
      <c r="E62" s="35" t="s">
        <v>176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214</v>
      </c>
      <c r="D68" s="77">
        <f>TRUNC(4140.09673869548,-1)</f>
        <v>4140</v>
      </c>
      <c r="E68" s="48">
        <f t="shared" si="3"/>
        <v>13686.012000000001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156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135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169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153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149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144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137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150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152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138</v>
      </c>
      <c r="D78" s="77">
        <f>TRUNC(4671.26200480192,-1)</f>
        <v>4670</v>
      </c>
      <c r="E78" s="48">
        <f t="shared" si="3"/>
        <v>15438.086000000001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139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157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155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158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f>TRUNC(431.84743897559,-1)</f>
        <v>430</v>
      </c>
      <c r="E84" s="48">
        <f t="shared" si="3"/>
        <v>1421.4940000000001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f>TRUNC(19665.3467386955,-1)</f>
        <v>19660</v>
      </c>
      <c r="E86" s="48">
        <f t="shared" si="3"/>
        <v>64992.027999999998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175</v>
      </c>
      <c r="D87" s="77">
        <f>TRUNC(62257.8031212485,-1)</f>
        <v>62250</v>
      </c>
      <c r="E87" s="48">
        <f>+D87*3.3058</f>
        <v>205786.05000000002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f>TRUNC(5622.07573029212,-1)</f>
        <v>5620</v>
      </c>
      <c r="E88" s="49">
        <f>+D88*3.3058</f>
        <v>18578.596000000001</v>
      </c>
      <c r="F88" s="2" t="s">
        <v>266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120</v>
      </c>
      <c r="D89" s="44">
        <f>SUM(D63:D88)</f>
        <v>96770</v>
      </c>
      <c r="E89" s="45">
        <f>SUM(E63:E88)</f>
        <v>319902.26600000006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125</v>
      </c>
      <c r="C91" s="2" t="s">
        <v>121</v>
      </c>
      <c r="D91" s="2" t="s">
        <v>271</v>
      </c>
      <c r="E91" s="35" t="s">
        <v>177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f>TRUNC(27466.0910364146,-1)</f>
        <v>27460</v>
      </c>
      <c r="E94" s="48">
        <f t="shared" ref="E94:E111" si="4">+D94*3.3058</f>
        <v>90777.267999999996</v>
      </c>
      <c r="F94" s="2" t="s">
        <v>172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151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133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136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141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143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145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148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134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146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132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131</v>
      </c>
      <c r="D110" s="77">
        <f>TRUNC(8159.4243697479,-1)</f>
        <v>8150</v>
      </c>
      <c r="E110" s="48">
        <f t="shared" si="4"/>
        <v>26942.27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165</v>
      </c>
      <c r="D111" s="77">
        <f>TRUNC(16331.5326130452,-1)</f>
        <v>16330</v>
      </c>
      <c r="E111" s="48">
        <f t="shared" si="4"/>
        <v>53983.714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f>TRUNC(1099.81682673069,-1)</f>
        <v>1090</v>
      </c>
      <c r="E112" s="49">
        <f>+D112*3.3058</f>
        <v>3603.3220000000001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120</v>
      </c>
      <c r="D113" s="44">
        <f>SUM(D92:D112)</f>
        <v>53030</v>
      </c>
      <c r="E113" s="45">
        <f>SUM(E92:E112)</f>
        <v>175306.57400000002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126</v>
      </c>
      <c r="C115" s="2" t="s">
        <v>121</v>
      </c>
      <c r="D115" s="2" t="s">
        <v>271</v>
      </c>
      <c r="E115" s="35" t="s">
        <v>122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140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168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154</v>
      </c>
      <c r="D119" s="77">
        <f>TRUNC(2575.64355742297,-1)</f>
        <v>2570</v>
      </c>
      <c r="E119" s="48">
        <f t="shared" si="5"/>
        <v>8495.9060000000009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142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f>TRUNC(9637.65846338535,-1)</f>
        <v>9630</v>
      </c>
      <c r="E124" s="48">
        <f t="shared" si="5"/>
        <v>31834.853999999999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165</v>
      </c>
      <c r="D125" s="77">
        <f>TRUNC(6959.28371348539,-1)</f>
        <v>6950</v>
      </c>
      <c r="E125" s="48">
        <f t="shared" si="5"/>
        <v>22975.31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f>TRUNC(2889.84843937575,-1)</f>
        <v>2880</v>
      </c>
      <c r="E126" s="49">
        <f>+D126*3.3058</f>
        <v>9520.7039999999997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120</v>
      </c>
      <c r="D127" s="44">
        <f>SUM(D116:D126)</f>
        <v>22030</v>
      </c>
      <c r="E127" s="45">
        <f>SUM(E116:E126)</f>
        <v>72826.774000000005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127</v>
      </c>
      <c r="C129" s="2" t="s">
        <v>121</v>
      </c>
      <c r="D129" s="2" t="s">
        <v>271</v>
      </c>
      <c r="E129" s="35" t="s">
        <v>122</v>
      </c>
    </row>
    <row r="130" spans="1:23" x14ac:dyDescent="0.3">
      <c r="A130" s="2">
        <v>1</v>
      </c>
      <c r="C130" s="42" t="s">
        <v>147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165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120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128</v>
      </c>
      <c r="C142" s="2" t="s">
        <v>121</v>
      </c>
      <c r="D142" s="2" t="s">
        <v>271</v>
      </c>
      <c r="E142" s="35" t="s">
        <v>122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165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129</v>
      </c>
      <c r="C150" s="2" t="s">
        <v>121</v>
      </c>
      <c r="D150" s="2" t="s">
        <v>271</v>
      </c>
      <c r="E150" s="35" t="s">
        <v>122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165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2020-04-28T02:28:27Z</dcterms:modified>
</cp:coreProperties>
</file>