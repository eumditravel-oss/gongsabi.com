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2" i="4" l="1"/>
  <c r="D44" i="4"/>
  <c r="E44" i="4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D48" i="4" l="1"/>
  <c r="D47" i="4"/>
  <c r="D46" i="4"/>
  <c r="D45" i="4"/>
  <c r="D42" i="4"/>
  <c r="D41" i="4"/>
  <c r="D39" i="4"/>
  <c r="D43" i="4"/>
  <c r="D37" i="4"/>
  <c r="D36" i="4"/>
  <c r="D35" i="4"/>
  <c r="D34" i="4"/>
  <c r="D153" i="4"/>
  <c r="D152" i="4"/>
  <c r="D151" i="4"/>
  <c r="D146" i="4"/>
  <c r="D144" i="4"/>
  <c r="D57" i="4"/>
  <c r="D88" i="4"/>
  <c r="D71" i="4"/>
  <c r="D84" i="4"/>
  <c r="D66" i="4"/>
  <c r="D73" i="4"/>
  <c r="D78" i="4"/>
  <c r="D86" i="4"/>
  <c r="D65" i="4"/>
  <c r="D63" i="4"/>
  <c r="D102" i="4"/>
  <c r="D96" i="4"/>
  <c r="D94" i="4"/>
  <c r="D92" i="4"/>
  <c r="D98" i="4"/>
  <c r="D93" i="4"/>
  <c r="D112" i="4"/>
  <c r="D110" i="4"/>
  <c r="D109" i="4"/>
  <c r="D126" i="4"/>
  <c r="D119" i="4"/>
  <c r="D116" i="4"/>
  <c r="D117" i="4"/>
  <c r="D120" i="4"/>
  <c r="E59" i="4" l="1"/>
  <c r="D54" i="4" l="1"/>
  <c r="D19" i="4" s="1"/>
  <c r="E19" i="4" s="1"/>
  <c r="D18" i="4"/>
  <c r="E18" i="4" s="1"/>
  <c r="D89" i="4"/>
  <c r="D21" i="4" s="1"/>
  <c r="E21" i="4" s="1"/>
  <c r="D7" i="4"/>
  <c r="E151" i="4"/>
  <c r="E152" i="4"/>
  <c r="E153" i="4"/>
  <c r="E154" i="4"/>
  <c r="E143" i="4"/>
  <c r="E144" i="4"/>
  <c r="E145" i="4"/>
  <c r="E146" i="4"/>
  <c r="E147" i="4"/>
  <c r="E148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60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D113" i="4"/>
  <c r="D22" i="4" s="1"/>
  <c r="E22" i="4" s="1"/>
  <c r="D155" i="4"/>
  <c r="D26" i="4" s="1"/>
  <c r="E26" i="4" s="1"/>
  <c r="D60" i="4"/>
  <c r="D20" i="4" s="1"/>
  <c r="E20" i="4" s="1"/>
  <c r="D127" i="4"/>
  <c r="D23" i="4" s="1"/>
  <c r="D140" i="4"/>
  <c r="D24" i="4" s="1"/>
  <c r="E24" i="4" s="1"/>
  <c r="D148" i="4"/>
  <c r="D25" i="4" s="1"/>
  <c r="E25" i="4" s="1"/>
  <c r="V34" i="4"/>
  <c r="V63" i="4"/>
  <c r="T34" i="4"/>
  <c r="T63" i="4"/>
  <c r="O31" i="1"/>
  <c r="M31" i="1"/>
  <c r="E155" i="4" l="1"/>
  <c r="E140" i="4"/>
  <c r="E54" i="4"/>
  <c r="E89" i="4"/>
  <c r="E113" i="4"/>
  <c r="E127" i="4"/>
  <c r="D27" i="4"/>
  <c r="E27" i="4" s="1"/>
  <c r="E23" i="4"/>
  <c r="D28" i="4" l="1"/>
  <c r="E28" i="4"/>
</calcChain>
</file>

<file path=xl/sharedStrings.xml><?xml version="1.0" encoding="utf-8"?>
<sst xmlns="http://schemas.openxmlformats.org/spreadsheetml/2006/main" count="593" uniqueCount="404">
  <si>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</si>
  <si>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</si>
  <si>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</si>
  <si>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</si>
  <si>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</si>
  <si>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</si>
  <si>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</si>
  <si>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</si>
  <si>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</si>
  <si>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</si>
  <si>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</si>
  <si>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</si>
  <si>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</si>
  <si>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</si>
  <si>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</si>
  <si>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</si>
  <si>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</si>
  <si>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</si>
  <si>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</si>
  <si>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</si>
  <si>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</si>
  <si>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</si>
  <si>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</si>
  <si>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</si>
  <si>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</si>
  <si>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</si>
  <si>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</si>
  <si>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</si>
  <si>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</si>
  <si>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</si>
  <si>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</si>
  <si>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</si>
  <si>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</si>
  <si>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</si>
  <si>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</si>
  <si>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</si>
  <si>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</si>
  <si>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</si>
  <si>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</si>
  <si>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</si>
  <si>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</si>
  <si>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</si>
  <si>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</si>
  <si>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</si>
  <si>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</si>
  <si>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</si>
  <si>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</si>
  <si>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</si>
  <si>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</si>
  <si>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</si>
  <si>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</si>
  <si>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</si>
  <si>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</si>
  <si>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</si>
  <si>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</si>
  <si>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</si>
  <si>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</si>
  <si>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</si>
  <si>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</si>
  <si>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</si>
  <si>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</si>
  <si>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</si>
  <si>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</si>
  <si>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</si>
  <si>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</si>
  <si>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</si>
  <si>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</si>
  <si>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</si>
  <si>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</si>
  <si>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</si>
  <si>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</si>
  <si>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</si>
  <si>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</si>
  <si>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</si>
  <si>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</si>
  <si>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</si>
  <si>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</si>
  <si>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</si>
  <si>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</si>
  <si>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</si>
  <si>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</si>
  <si>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</si>
  <si>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</si>
  <si>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</si>
  <si>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</si>
  <si>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</si>
  <si>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</si>
  <si>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</si>
  <si>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</si>
  <si>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</si>
  <si>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</si>
  <si>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</si>
  <si>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</si>
  <si>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충청도</t>
    <phoneticPr fontId="2" type="noConversion"/>
  </si>
  <si>
    <t>1000~3000</t>
    <phoneticPr fontId="2" type="noConversion"/>
  </si>
  <si>
    <t>5000~10000</t>
    <phoneticPr fontId="2" type="noConversion"/>
  </si>
  <si>
    <t>40000~50000</t>
    <phoneticPr fontId="2" type="noConversion"/>
  </si>
  <si>
    <t>~ 5,000 미만</t>
    <phoneticPr fontId="2" type="noConversion"/>
  </si>
  <si>
    <t>~ 20,000 미만</t>
    <phoneticPr fontId="2" type="noConversion"/>
  </si>
  <si>
    <t>~ 100,000 미만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</si>
  <si>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</si>
  <si>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</si>
  <si>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</si>
  <si>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</si>
  <si>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</si>
  <si>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</si>
  <si>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</si>
  <si>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</si>
  <si>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</si>
  <si>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</si>
  <si>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</si>
  <si>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</si>
  <si>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</si>
  <si>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</si>
  <si>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</si>
  <si>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</si>
  <si>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</si>
  <si>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</si>
  <si>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</si>
  <si>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</si>
  <si>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</si>
  <si>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</si>
  <si>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</si>
  <si>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</si>
  <si>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</si>
  <si>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</si>
  <si>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</si>
  <si>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</si>
  <si>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</si>
  <si>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</si>
  <si>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</si>
  <si>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</si>
  <si>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</si>
  <si>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</si>
  <si>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</si>
  <si>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</si>
  <si>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</si>
  <si>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</si>
  <si>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</si>
  <si>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</si>
  <si>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</si>
  <si>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</si>
  <si>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</si>
  <si>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</si>
  <si>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</si>
  <si>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</si>
  <si>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</si>
  <si>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</si>
  <si>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</si>
  <si>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</si>
  <si>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</si>
  <si>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</si>
  <si>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</si>
  <si>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</si>
  <si>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</si>
  <si>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</si>
  <si>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</si>
  <si>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</si>
  <si>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</si>
  <si>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</si>
  <si>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</si>
  <si>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</si>
  <si>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</si>
  <si>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</si>
  <si>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</si>
  <si>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</si>
  <si>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</si>
  <si>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</si>
  <si>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</si>
  <si>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</si>
  <si>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</si>
  <si>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</si>
  <si>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</si>
  <si>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</si>
  <si>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</si>
  <si>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00노인복지회관신축공사</t>
  </si>
  <si>
    <t>기타</t>
  </si>
  <si>
    <t>대구시</t>
  </si>
  <si>
    <t>전화 설비공사,LAN 설비공사</t>
    <phoneticPr fontId="2" type="noConversion"/>
  </si>
  <si>
    <t>방범 설비공사</t>
  </si>
  <si>
    <t>22.9KV전기 인입 설비공사</t>
  </si>
  <si>
    <t>옥외 외등 설비공사</t>
  </si>
  <si>
    <t>폐열회수환기장치설치</t>
  </si>
  <si>
    <t>배수공,주요자재대,부대공</t>
    <phoneticPr fontId="2" type="noConversion"/>
  </si>
  <si>
    <t>토공,포장공,분수설치공</t>
    <phoneticPr fontId="2" type="noConversion"/>
  </si>
  <si>
    <t>미장및방수공사</t>
  </si>
  <si>
    <t>타일및석공사</t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</si>
  <si>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</si>
  <si>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</si>
  <si>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</si>
  <si>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</si>
  <si>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</si>
  <si>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</si>
  <si>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</si>
  <si>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</si>
  <si>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</si>
  <si>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</si>
  <si>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</si>
  <si>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</si>
  <si>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</si>
  <si>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</si>
  <si>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</si>
  <si>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경기도</t>
    <phoneticPr fontId="2" type="noConversion"/>
  </si>
  <si>
    <t>2000년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</si>
  <si>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</si>
  <si>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</si>
  <si>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</si>
  <si>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</si>
  <si>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</si>
  <si>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</si>
  <si>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</si>
  <si>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</si>
  <si>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</si>
  <si>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</si>
  <si>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</si>
  <si>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</si>
  <si>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</si>
  <si>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</si>
  <si>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</si>
  <si>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</si>
  <si>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</si>
  <si>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</si>
  <si>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</si>
  <si>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</si>
  <si>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</si>
  <si>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</si>
  <si>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</si>
  <si>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</si>
  <si>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</si>
  <si>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</si>
  <si>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</si>
  <si>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</si>
  <si>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</si>
  <si>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</si>
  <si>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</si>
  <si>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</si>
  <si>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</si>
  <si>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</si>
  <si>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</si>
  <si>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</si>
  <si>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</si>
  <si>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</si>
  <si>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</si>
  <si>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</si>
  <si>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</si>
  <si>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</si>
  <si>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</si>
  <si>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</si>
  <si>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</si>
  <si>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</si>
  <si>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</si>
  <si>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</si>
  <si>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</si>
  <si>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</si>
  <si>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</si>
  <si>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</si>
  <si>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</si>
  <si>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2003년</t>
    <phoneticPr fontId="2" type="noConversion"/>
  </si>
  <si>
    <t>전기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</si>
  <si>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</si>
  <si>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</si>
  <si>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</si>
  <si>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</si>
  <si>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</si>
  <si>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</si>
  <si>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</si>
  <si>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</si>
  <si>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10000~20000</t>
    <phoneticPr fontId="2" type="noConversion"/>
  </si>
  <si>
    <t>~ 60,000 미만</t>
    <phoneticPr fontId="2" type="noConversion"/>
  </si>
  <si>
    <t>~ 60,000 미만</t>
    <phoneticPr fontId="2" type="noConversion"/>
  </si>
  <si>
    <t>대구시</t>
    <phoneticPr fontId="2" type="noConversion"/>
  </si>
  <si>
    <t>대구시</t>
    <phoneticPr fontId="2" type="noConversion"/>
  </si>
  <si>
    <t>2004년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</si>
  <si>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</si>
  <si>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</si>
  <si>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</si>
  <si>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</si>
  <si>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</si>
  <si>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</si>
  <si>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</si>
  <si>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</si>
  <si>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</si>
  <si>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</si>
  <si>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</si>
  <si>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</si>
  <si>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</si>
  <si>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</si>
  <si>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</si>
  <si>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</si>
  <si>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</si>
  <si>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</si>
  <si>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</si>
  <si>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</si>
  <si>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</si>
  <si>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</si>
  <si>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</si>
  <si>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30000~40000</t>
    <phoneticPr fontId="2" type="noConversion"/>
  </si>
  <si>
    <t>~ 150,000 초과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</si>
  <si>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</si>
  <si>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</si>
  <si>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</si>
  <si>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</si>
  <si>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</si>
  <si>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</si>
  <si>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</si>
  <si>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통신 TRAY 공사</t>
    <phoneticPr fontId="2" type="noConversion"/>
  </si>
  <si>
    <t>유도등</t>
    <phoneticPr fontId="2" type="noConversion"/>
  </si>
  <si>
    <t>유도등</t>
    <phoneticPr fontId="2" type="noConversion"/>
  </si>
  <si>
    <t>판매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</si>
  <si>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</si>
  <si>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</si>
  <si>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</si>
  <si>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</si>
  <si>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</si>
  <si>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</si>
  <si>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</si>
  <si>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</si>
  <si>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</si>
  <si>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</si>
  <si>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</si>
  <si>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</si>
  <si>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</si>
  <si>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</si>
  <si>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</si>
  <si>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</si>
  <si>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</si>
  <si>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</si>
  <si>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</si>
  <si>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</si>
  <si>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</si>
  <si>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</si>
  <si>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</si>
  <si>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</si>
  <si>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</si>
  <si>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</si>
  <si>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</si>
  <si>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</si>
  <si>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</si>
  <si>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</si>
  <si>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</si>
  <si>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</si>
  <si>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</si>
  <si>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</si>
  <si>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</si>
  <si>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보일러연도설치공사</t>
    <phoneticPr fontId="2" type="noConversion"/>
  </si>
  <si>
    <t>변전실설비공사</t>
    <phoneticPr fontId="2" type="noConversion"/>
  </si>
  <si>
    <t>변전실설비공사</t>
    <phoneticPr fontId="2" type="noConversion"/>
  </si>
  <si>
    <t>업무</t>
    <phoneticPr fontId="2" type="noConversion"/>
  </si>
  <si>
    <t>업무</t>
    <phoneticPr fontId="2" type="noConversion"/>
  </si>
  <si>
    <t>전라도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</si>
  <si>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</si>
  <si>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</si>
  <si>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</si>
  <si>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</si>
  <si>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자동제어공사</t>
    <phoneticPr fontId="2" type="noConversion"/>
  </si>
  <si>
    <t>동력공사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</si>
  <si>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</si>
  <si>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</si>
  <si>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</si>
  <si>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</si>
  <si>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</si>
  <si>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</si>
  <si>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</si>
  <si>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</si>
  <si>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</si>
  <si>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</si>
  <si>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</si>
  <si>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</si>
  <si>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</si>
  <si>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</si>
  <si>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</si>
  <si>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</si>
  <si>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</si>
  <si>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냉난방기설치공사</t>
    <phoneticPr fontId="2" type="noConversion"/>
  </si>
  <si>
    <t>난방설비공사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</si>
  <si>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</si>
  <si>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</si>
  <si>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</si>
  <si>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</si>
  <si>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</si>
  <si>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</si>
  <si>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</si>
  <si>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</si>
  <si>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</si>
  <si>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</si>
  <si>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</si>
  <si>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</si>
  <si>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</si>
  <si>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</si>
  <si>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</si>
  <si>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G.H.P 설치공사</t>
    <phoneticPr fontId="2" type="noConversion"/>
  </si>
  <si>
    <t>인입공사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</si>
  <si>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</si>
  <si>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</si>
  <si>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</si>
  <si>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</si>
  <si>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</si>
  <si>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</si>
  <si>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</si>
  <si>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</si>
  <si>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</si>
  <si>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</si>
  <si>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창호</t>
    <phoneticPr fontId="2" type="noConversion"/>
  </si>
  <si>
    <t>토공사,기타공사,골재대및운반비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</si>
</sst>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41" fontId="0" fillId="0" borderId="30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10" sqref="G9:G1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8" t="s">
        <v>0</v>
      </c>
      <c r="B2" s="71" t="s">
        <v>1</v>
      </c>
      <c r="C2" s="72"/>
      <c r="D2" s="71" t="s">
        <v>2</v>
      </c>
      <c r="E2" s="72"/>
      <c r="F2" s="71" t="s">
        <v>102</v>
      </c>
      <c r="G2" s="72"/>
      <c r="H2" s="71" t="s">
        <v>3</v>
      </c>
      <c r="I2" s="72"/>
      <c r="J2" s="71" t="s">
        <v>4</v>
      </c>
      <c r="K2" s="72"/>
      <c r="L2" s="71" t="s">
        <v>5</v>
      </c>
      <c r="M2" s="72"/>
      <c r="N2" s="71" t="s">
        <v>69</v>
      </c>
      <c r="O2" s="72"/>
      <c r="P2" s="71" t="s">
        <v>9</v>
      </c>
      <c r="Q2" s="72"/>
      <c r="R2" s="65" t="s">
        <v>103</v>
      </c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7"/>
    </row>
    <row r="3" spans="1:33" x14ac:dyDescent="0.3">
      <c r="A3" s="69"/>
      <c r="B3" s="73"/>
      <c r="C3" s="74"/>
      <c r="D3" s="73"/>
      <c r="E3" s="74"/>
      <c r="F3" s="73"/>
      <c r="G3" s="74"/>
      <c r="H3" s="73"/>
      <c r="I3" s="74"/>
      <c r="J3" s="73"/>
      <c r="K3" s="74"/>
      <c r="L3" s="73"/>
      <c r="M3" s="74"/>
      <c r="N3" s="73"/>
      <c r="O3" s="74"/>
      <c r="P3" s="73"/>
      <c r="Q3" s="74"/>
      <c r="R3" s="59" t="s">
        <v>10</v>
      </c>
      <c r="S3" s="60"/>
      <c r="T3" s="59" t="s">
        <v>104</v>
      </c>
      <c r="U3" s="60"/>
      <c r="V3" s="59" t="s">
        <v>105</v>
      </c>
      <c r="W3" s="60"/>
      <c r="X3" s="59" t="s">
        <v>106</v>
      </c>
      <c r="Y3" s="60"/>
      <c r="Z3" s="59" t="s">
        <v>107</v>
      </c>
      <c r="AA3" s="60"/>
      <c r="AB3" s="59" t="s">
        <v>108</v>
      </c>
      <c r="AC3" s="60"/>
      <c r="AD3" s="59" t="s">
        <v>109</v>
      </c>
      <c r="AE3" s="60"/>
      <c r="AF3" s="59" t="s">
        <v>110</v>
      </c>
      <c r="AG3" s="60"/>
    </row>
    <row r="4" spans="1:33" x14ac:dyDescent="0.3">
      <c r="A4" s="70"/>
      <c r="B4" s="75"/>
      <c r="C4" s="76"/>
      <c r="D4" s="75"/>
      <c r="E4" s="76"/>
      <c r="F4" s="75"/>
      <c r="G4" s="76"/>
      <c r="H4" s="75"/>
      <c r="I4" s="76"/>
      <c r="J4" s="75"/>
      <c r="K4" s="76"/>
      <c r="L4" s="75"/>
      <c r="M4" s="76"/>
      <c r="N4" s="75"/>
      <c r="O4" s="76"/>
      <c r="P4" s="75"/>
      <c r="Q4" s="76"/>
      <c r="R4" s="61"/>
      <c r="S4" s="62"/>
      <c r="T4" s="61"/>
      <c r="U4" s="62"/>
      <c r="V4" s="61"/>
      <c r="W4" s="62"/>
      <c r="X4" s="61"/>
      <c r="Y4" s="62"/>
      <c r="Z4" s="61"/>
      <c r="AA4" s="62"/>
      <c r="AB4" s="61"/>
      <c r="AC4" s="62"/>
      <c r="AD4" s="61"/>
      <c r="AE4" s="62"/>
      <c r="AF4" s="61"/>
      <c r="AG4" s="62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100</v>
      </c>
      <c r="F5" s="5">
        <v>1</v>
      </c>
      <c r="G5" s="17" t="s">
        <v>193</v>
      </c>
      <c r="H5" s="5">
        <v>1</v>
      </c>
      <c r="I5" s="1" t="s">
        <v>194</v>
      </c>
      <c r="J5" s="19">
        <v>1</v>
      </c>
      <c r="K5" s="1" t="s">
        <v>85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195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196</v>
      </c>
      <c r="AD5" s="28">
        <v>1</v>
      </c>
      <c r="AE5" s="29" t="s">
        <v>53</v>
      </c>
      <c r="AF5" s="28">
        <v>1</v>
      </c>
      <c r="AG5" s="42" t="s">
        <v>197</v>
      </c>
    </row>
    <row r="6" spans="1:33" x14ac:dyDescent="0.3">
      <c r="A6" s="4">
        <f>+A5+1</f>
        <v>2</v>
      </c>
      <c r="B6" s="5">
        <f>+B5+1</f>
        <v>2</v>
      </c>
      <c r="C6" s="17" t="s">
        <v>73</v>
      </c>
      <c r="D6" s="5">
        <v>2</v>
      </c>
      <c r="E6" s="1" t="s">
        <v>101</v>
      </c>
      <c r="F6" s="5">
        <v>2</v>
      </c>
      <c r="G6" s="17" t="s">
        <v>97</v>
      </c>
      <c r="H6" s="5">
        <v>2</v>
      </c>
      <c r="I6" s="1" t="s">
        <v>201</v>
      </c>
      <c r="J6" s="19">
        <v>2</v>
      </c>
      <c r="K6" s="1" t="s">
        <v>203</v>
      </c>
      <c r="L6" s="5">
        <v>2</v>
      </c>
      <c r="M6" s="6" t="s">
        <v>7</v>
      </c>
      <c r="N6" s="5">
        <v>2</v>
      </c>
      <c r="O6" s="6" t="s">
        <v>206</v>
      </c>
      <c r="P6" s="5">
        <v>2</v>
      </c>
      <c r="Q6" s="1" t="s">
        <v>10</v>
      </c>
      <c r="R6" s="28">
        <v>2</v>
      </c>
      <c r="S6" s="29" t="s">
        <v>209</v>
      </c>
      <c r="T6" s="28">
        <v>2</v>
      </c>
      <c r="U6" s="29" t="s">
        <v>34</v>
      </c>
      <c r="V6" s="28">
        <v>2</v>
      </c>
      <c r="W6" s="29" t="s">
        <v>36</v>
      </c>
      <c r="X6" s="28">
        <v>2</v>
      </c>
      <c r="Y6" s="29" t="s">
        <v>45</v>
      </c>
      <c r="Z6" s="28">
        <v>2</v>
      </c>
      <c r="AA6" s="29" t="s">
        <v>214</v>
      </c>
      <c r="AB6" s="28">
        <v>2</v>
      </c>
      <c r="AC6" s="29" t="s">
        <v>52</v>
      </c>
      <c r="AD6" s="28">
        <v>2</v>
      </c>
      <c r="AE6" s="29" t="s">
        <v>54</v>
      </c>
      <c r="AF6" s="28">
        <v>2</v>
      </c>
      <c r="AG6" s="42" t="s">
        <v>57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74</v>
      </c>
      <c r="D7" s="5">
        <v>3</v>
      </c>
      <c r="E7" s="1" t="s">
        <v>94</v>
      </c>
      <c r="F7" s="5">
        <v>3</v>
      </c>
      <c r="G7" s="17" t="s">
        <v>221</v>
      </c>
      <c r="H7" s="5">
        <v>3</v>
      </c>
      <c r="I7" s="1" t="s">
        <v>87</v>
      </c>
      <c r="J7" s="19">
        <v>3</v>
      </c>
      <c r="K7" s="1" t="s">
        <v>224</v>
      </c>
      <c r="L7" s="5">
        <v>3</v>
      </c>
      <c r="M7" s="6" t="s">
        <v>8</v>
      </c>
      <c r="N7" s="5">
        <v>3</v>
      </c>
      <c r="O7" s="6" t="s">
        <v>71</v>
      </c>
      <c r="P7" s="5">
        <v>3</v>
      </c>
      <c r="Q7" s="1" t="s">
        <v>11</v>
      </c>
      <c r="R7" s="28">
        <v>3</v>
      </c>
      <c r="S7" s="29" t="s">
        <v>19</v>
      </c>
      <c r="T7" s="28">
        <v>3</v>
      </c>
      <c r="U7" s="29" t="s">
        <v>33</v>
      </c>
      <c r="V7" s="28">
        <v>3</v>
      </c>
      <c r="W7" s="29" t="s">
        <v>37</v>
      </c>
      <c r="X7" s="28">
        <v>3</v>
      </c>
      <c r="Y7" s="29" t="s">
        <v>46</v>
      </c>
      <c r="Z7" s="28">
        <v>3</v>
      </c>
      <c r="AA7" s="29" t="s">
        <v>170</v>
      </c>
      <c r="AB7" s="28">
        <v>3</v>
      </c>
      <c r="AC7" s="29" t="s">
        <v>65</v>
      </c>
      <c r="AD7" s="28">
        <v>3</v>
      </c>
      <c r="AE7" s="29" t="s">
        <v>55</v>
      </c>
      <c r="AF7" s="28">
        <v>3</v>
      </c>
      <c r="AG7" s="42" t="s">
        <v>52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86</v>
      </c>
      <c r="D8" s="5">
        <v>4</v>
      </c>
      <c r="E8" s="1" t="s">
        <v>237</v>
      </c>
      <c r="F8" s="5">
        <v>4</v>
      </c>
      <c r="G8" s="17" t="s">
        <v>98</v>
      </c>
      <c r="H8" s="5">
        <v>4</v>
      </c>
      <c r="I8" s="1" t="s">
        <v>88</v>
      </c>
      <c r="J8" s="19">
        <v>4</v>
      </c>
      <c r="K8" s="1" t="s">
        <v>241</v>
      </c>
      <c r="L8" s="5"/>
      <c r="M8" s="6"/>
      <c r="N8" s="5"/>
      <c r="O8" s="6"/>
      <c r="P8" s="5">
        <v>4</v>
      </c>
      <c r="Q8" s="1" t="s">
        <v>12</v>
      </c>
      <c r="R8" s="28">
        <v>4</v>
      </c>
      <c r="S8" s="29" t="s">
        <v>21</v>
      </c>
      <c r="T8" s="28"/>
      <c r="U8" s="29"/>
      <c r="V8" s="28">
        <v>4</v>
      </c>
      <c r="W8" s="29" t="s">
        <v>38</v>
      </c>
      <c r="X8" s="28">
        <v>4</v>
      </c>
      <c r="Y8" s="29" t="s">
        <v>47</v>
      </c>
      <c r="Z8" s="28">
        <v>4</v>
      </c>
      <c r="AA8" s="29" t="s">
        <v>156</v>
      </c>
      <c r="AB8" s="28">
        <v>4</v>
      </c>
      <c r="AC8" s="29" t="s">
        <v>66</v>
      </c>
      <c r="AD8" s="28">
        <v>4</v>
      </c>
      <c r="AE8" s="29" t="s">
        <v>52</v>
      </c>
      <c r="AF8" s="28">
        <v>4</v>
      </c>
      <c r="AG8" s="42" t="s">
        <v>249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84</v>
      </c>
      <c r="D9" s="5">
        <v>5</v>
      </c>
      <c r="E9" s="1" t="s">
        <v>95</v>
      </c>
      <c r="F9" s="5">
        <v>5</v>
      </c>
      <c r="G9" s="17" t="s">
        <v>253</v>
      </c>
      <c r="H9" s="5">
        <v>5</v>
      </c>
      <c r="I9" s="1" t="s">
        <v>89</v>
      </c>
      <c r="J9" s="19">
        <v>5</v>
      </c>
      <c r="K9" s="1" t="s">
        <v>256</v>
      </c>
      <c r="L9" s="5"/>
      <c r="M9" s="6"/>
      <c r="N9" s="5"/>
      <c r="O9" s="6"/>
      <c r="P9" s="5">
        <v>5</v>
      </c>
      <c r="Q9" s="1" t="s">
        <v>258</v>
      </c>
      <c r="R9" s="28">
        <v>5</v>
      </c>
      <c r="S9" s="29" t="s">
        <v>22</v>
      </c>
      <c r="T9" s="28"/>
      <c r="U9" s="29"/>
      <c r="V9" s="28">
        <v>5</v>
      </c>
      <c r="W9" s="29" t="s">
        <v>39</v>
      </c>
      <c r="X9" s="28">
        <v>5</v>
      </c>
      <c r="Y9" s="29" t="s">
        <v>48</v>
      </c>
      <c r="Z9" s="28">
        <v>5</v>
      </c>
      <c r="AA9" s="29" t="s">
        <v>58</v>
      </c>
      <c r="AB9" s="28">
        <v>5</v>
      </c>
      <c r="AC9" s="29" t="s">
        <v>62</v>
      </c>
      <c r="AD9" s="28">
        <v>5</v>
      </c>
      <c r="AE9" s="29" t="s">
        <v>249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76</v>
      </c>
      <c r="D10" s="5">
        <v>6</v>
      </c>
      <c r="E10" s="1" t="s">
        <v>266</v>
      </c>
      <c r="F10" s="5">
        <v>6</v>
      </c>
      <c r="G10" s="17" t="s">
        <v>268</v>
      </c>
      <c r="H10" s="5">
        <v>6</v>
      </c>
      <c r="I10" s="1" t="s">
        <v>270</v>
      </c>
      <c r="J10" s="19">
        <v>6</v>
      </c>
      <c r="K10" s="1" t="s">
        <v>272</v>
      </c>
      <c r="L10" s="5"/>
      <c r="M10" s="6"/>
      <c r="N10" s="5"/>
      <c r="O10" s="6"/>
      <c r="P10" s="5">
        <v>6</v>
      </c>
      <c r="Q10" s="1" t="s">
        <v>13</v>
      </c>
      <c r="R10" s="28">
        <v>6</v>
      </c>
      <c r="S10" s="29" t="s">
        <v>23</v>
      </c>
      <c r="T10" s="28"/>
      <c r="U10" s="29"/>
      <c r="V10" s="28">
        <v>6</v>
      </c>
      <c r="W10" s="29" t="s">
        <v>276</v>
      </c>
      <c r="X10" s="28">
        <v>6</v>
      </c>
      <c r="Y10" s="29" t="s">
        <v>49</v>
      </c>
      <c r="Z10" s="28">
        <v>6</v>
      </c>
      <c r="AA10" s="29" t="s">
        <v>61</v>
      </c>
      <c r="AB10" s="28">
        <v>6</v>
      </c>
      <c r="AC10" s="29" t="s">
        <v>64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77</v>
      </c>
      <c r="D11" s="5">
        <v>7</v>
      </c>
      <c r="E11" s="1" t="s">
        <v>282</v>
      </c>
      <c r="F11" s="5">
        <v>7</v>
      </c>
      <c r="G11" s="17" t="s">
        <v>99</v>
      </c>
      <c r="H11" s="5">
        <v>7</v>
      </c>
      <c r="I11" s="1" t="s">
        <v>90</v>
      </c>
      <c r="J11" s="19">
        <v>7</v>
      </c>
      <c r="K11" s="1" t="s">
        <v>286</v>
      </c>
      <c r="L11" s="5"/>
      <c r="M11" s="6"/>
      <c r="N11" s="5"/>
      <c r="O11" s="6"/>
      <c r="P11" s="5">
        <v>7</v>
      </c>
      <c r="Q11" s="1" t="s">
        <v>14</v>
      </c>
      <c r="R11" s="28">
        <v>7</v>
      </c>
      <c r="S11" s="29" t="s">
        <v>24</v>
      </c>
      <c r="T11" s="28"/>
      <c r="U11" s="29"/>
      <c r="V11" s="28">
        <v>7</v>
      </c>
      <c r="W11" s="29" t="s">
        <v>289</v>
      </c>
      <c r="X11" s="28">
        <v>7</v>
      </c>
      <c r="Y11" s="29" t="s">
        <v>50</v>
      </c>
      <c r="Z11" s="28">
        <v>7</v>
      </c>
      <c r="AA11" s="29" t="s">
        <v>51</v>
      </c>
      <c r="AB11" s="28">
        <v>7</v>
      </c>
      <c r="AC11" s="29" t="s">
        <v>63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75</v>
      </c>
      <c r="D12" s="5">
        <v>8</v>
      </c>
      <c r="E12" s="1" t="s">
        <v>295</v>
      </c>
      <c r="F12" s="5">
        <v>8</v>
      </c>
      <c r="G12" s="17" t="s">
        <v>297</v>
      </c>
      <c r="H12" s="5">
        <v>8</v>
      </c>
      <c r="I12" s="1" t="s">
        <v>91</v>
      </c>
      <c r="J12" s="19">
        <v>8</v>
      </c>
      <c r="K12" s="1" t="s">
        <v>300</v>
      </c>
      <c r="L12" s="5"/>
      <c r="M12" s="6"/>
      <c r="N12" s="5"/>
      <c r="O12" s="6"/>
      <c r="P12" s="5">
        <v>8</v>
      </c>
      <c r="Q12" s="1" t="s">
        <v>15</v>
      </c>
      <c r="R12" s="28">
        <v>8</v>
      </c>
      <c r="S12" s="29" t="s">
        <v>25</v>
      </c>
      <c r="T12" s="28"/>
      <c r="U12" s="29"/>
      <c r="V12" s="28">
        <v>8</v>
      </c>
      <c r="W12" s="29" t="s">
        <v>137</v>
      </c>
      <c r="X12" s="28">
        <v>8</v>
      </c>
      <c r="Y12" s="29" t="s">
        <v>51</v>
      </c>
      <c r="Z12" s="28">
        <v>8</v>
      </c>
      <c r="AA12" s="29" t="s">
        <v>304</v>
      </c>
      <c r="AB12" s="28">
        <v>8</v>
      </c>
      <c r="AC12" s="29" t="s">
        <v>306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308</v>
      </c>
      <c r="D13" s="5">
        <v>9</v>
      </c>
      <c r="E13" s="1" t="s">
        <v>96</v>
      </c>
      <c r="F13" s="5"/>
      <c r="G13" s="17"/>
      <c r="H13" s="5">
        <v>9</v>
      </c>
      <c r="I13" s="1" t="s">
        <v>311</v>
      </c>
      <c r="J13" s="19">
        <v>9</v>
      </c>
      <c r="K13" s="1" t="s">
        <v>313</v>
      </c>
      <c r="L13" s="5"/>
      <c r="M13" s="6"/>
      <c r="N13" s="5"/>
      <c r="O13" s="6"/>
      <c r="P13" s="5">
        <v>9</v>
      </c>
      <c r="Q13" s="1" t="s">
        <v>16</v>
      </c>
      <c r="R13" s="28">
        <v>9</v>
      </c>
      <c r="S13" s="29" t="s">
        <v>26</v>
      </c>
      <c r="T13" s="28"/>
      <c r="U13" s="29"/>
      <c r="V13" s="28">
        <v>9</v>
      </c>
      <c r="W13" s="29" t="s">
        <v>316</v>
      </c>
      <c r="X13" s="28">
        <v>9</v>
      </c>
      <c r="Y13" s="29" t="s">
        <v>318</v>
      </c>
      <c r="Z13" s="28">
        <v>9</v>
      </c>
      <c r="AA13" s="29" t="s">
        <v>59</v>
      </c>
      <c r="AB13" s="28">
        <v>9</v>
      </c>
      <c r="AC13" s="29" t="s">
        <v>68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78</v>
      </c>
      <c r="D14" s="5">
        <v>10</v>
      </c>
      <c r="E14" s="1" t="s">
        <v>323</v>
      </c>
      <c r="F14" s="5"/>
      <c r="G14" s="17"/>
      <c r="H14" s="5">
        <v>10</v>
      </c>
      <c r="I14" s="1" t="s">
        <v>92</v>
      </c>
      <c r="J14" s="19">
        <v>10</v>
      </c>
      <c r="K14" s="1" t="s">
        <v>326</v>
      </c>
      <c r="L14" s="5"/>
      <c r="M14" s="6"/>
      <c r="N14" s="5"/>
      <c r="O14" s="6"/>
      <c r="P14" s="5"/>
      <c r="Q14" s="1"/>
      <c r="R14" s="28">
        <v>10</v>
      </c>
      <c r="S14" s="29" t="s">
        <v>27</v>
      </c>
      <c r="T14" s="28"/>
      <c r="U14" s="29"/>
      <c r="V14" s="28">
        <v>10</v>
      </c>
      <c r="W14" s="29" t="s">
        <v>155</v>
      </c>
      <c r="X14" s="28">
        <v>10</v>
      </c>
      <c r="Y14" s="29" t="s">
        <v>135</v>
      </c>
      <c r="Z14" s="28">
        <v>10</v>
      </c>
      <c r="AA14" s="29" t="s">
        <v>249</v>
      </c>
      <c r="AB14" s="28">
        <v>10</v>
      </c>
      <c r="AC14" s="29" t="s">
        <v>249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79</v>
      </c>
      <c r="D15" s="5"/>
      <c r="E15" s="1"/>
      <c r="F15" s="17"/>
      <c r="G15" s="17"/>
      <c r="H15" s="5">
        <v>11</v>
      </c>
      <c r="I15" s="1" t="s">
        <v>93</v>
      </c>
      <c r="J15" s="19">
        <v>11</v>
      </c>
      <c r="K15" s="1" t="s">
        <v>332</v>
      </c>
      <c r="L15" s="5"/>
      <c r="M15" s="6"/>
      <c r="N15" s="5"/>
      <c r="O15" s="6"/>
      <c r="P15" s="5"/>
      <c r="Q15" s="1"/>
      <c r="R15" s="28">
        <v>11</v>
      </c>
      <c r="S15" s="29" t="s">
        <v>333</v>
      </c>
      <c r="T15" s="28"/>
      <c r="U15" s="29"/>
      <c r="V15" s="28">
        <v>11</v>
      </c>
      <c r="W15" s="29" t="s">
        <v>151</v>
      </c>
      <c r="X15" s="28">
        <v>11</v>
      </c>
      <c r="Y15" s="29" t="s">
        <v>336</v>
      </c>
      <c r="Z15" s="28">
        <v>11</v>
      </c>
      <c r="AA15" s="29" t="s">
        <v>52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80</v>
      </c>
      <c r="D16" s="5"/>
      <c r="E16" s="1"/>
      <c r="F16" s="17"/>
      <c r="G16" s="22"/>
      <c r="H16" s="5">
        <v>12</v>
      </c>
      <c r="I16" s="1" t="s">
        <v>339</v>
      </c>
      <c r="J16" s="19">
        <v>12</v>
      </c>
      <c r="K16" s="1" t="s">
        <v>341</v>
      </c>
      <c r="L16" s="5"/>
      <c r="M16" s="6"/>
      <c r="N16" s="5"/>
      <c r="O16" s="6"/>
      <c r="P16" s="5"/>
      <c r="Q16" s="1"/>
      <c r="R16" s="28">
        <v>12</v>
      </c>
      <c r="S16" s="29" t="s">
        <v>28</v>
      </c>
      <c r="T16" s="28"/>
      <c r="U16" s="29"/>
      <c r="V16" s="28">
        <v>12</v>
      </c>
      <c r="W16" s="29" t="s">
        <v>343</v>
      </c>
      <c r="X16" s="28">
        <v>12</v>
      </c>
      <c r="Y16" s="29" t="s">
        <v>345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347</v>
      </c>
      <c r="D17" s="5"/>
      <c r="E17" s="1"/>
      <c r="F17" s="17"/>
      <c r="G17" s="17"/>
      <c r="H17" s="5">
        <v>13</v>
      </c>
      <c r="I17" s="1" t="s">
        <v>349</v>
      </c>
      <c r="J17" s="19">
        <v>13</v>
      </c>
      <c r="K17" s="1" t="s">
        <v>351</v>
      </c>
      <c r="L17" s="5"/>
      <c r="M17" s="6"/>
      <c r="N17" s="5"/>
      <c r="O17" s="6"/>
      <c r="P17" s="5"/>
      <c r="Q17" s="1"/>
      <c r="R17" s="28">
        <v>13</v>
      </c>
      <c r="S17" s="29" t="s">
        <v>29</v>
      </c>
      <c r="T17" s="28"/>
      <c r="U17" s="29"/>
      <c r="V17" s="28">
        <v>13</v>
      </c>
      <c r="W17" s="29" t="s">
        <v>353</v>
      </c>
      <c r="X17" s="28">
        <v>13</v>
      </c>
      <c r="Y17" s="29" t="s">
        <v>355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81</v>
      </c>
      <c r="D18" s="17"/>
      <c r="E18" s="1"/>
      <c r="F18" s="17"/>
      <c r="G18" s="23"/>
      <c r="H18" s="5">
        <v>14</v>
      </c>
      <c r="I18" s="1" t="s">
        <v>358</v>
      </c>
      <c r="J18" s="19">
        <v>14</v>
      </c>
      <c r="K18" s="1" t="s">
        <v>360</v>
      </c>
      <c r="L18" s="5"/>
      <c r="M18" s="6"/>
      <c r="N18" s="5"/>
      <c r="O18" s="6"/>
      <c r="P18" s="5"/>
      <c r="Q18" s="1"/>
      <c r="R18" s="28">
        <v>14</v>
      </c>
      <c r="S18" s="29" t="s">
        <v>30</v>
      </c>
      <c r="T18" s="28"/>
      <c r="U18" s="29"/>
      <c r="V18" s="28">
        <v>14</v>
      </c>
      <c r="W18" s="29" t="s">
        <v>152</v>
      </c>
      <c r="X18" s="28">
        <v>14</v>
      </c>
      <c r="Y18" s="29" t="s">
        <v>147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82</v>
      </c>
      <c r="D19" s="5"/>
      <c r="E19" s="1"/>
      <c r="F19" s="17"/>
      <c r="G19" s="17"/>
      <c r="H19" s="5"/>
      <c r="I19" s="1"/>
      <c r="J19" s="19">
        <v>15</v>
      </c>
      <c r="K19" s="1" t="s">
        <v>365</v>
      </c>
      <c r="L19" s="5"/>
      <c r="M19" s="6"/>
      <c r="N19" s="5"/>
      <c r="O19" s="6"/>
      <c r="P19" s="5"/>
      <c r="Q19" s="1"/>
      <c r="R19" s="28">
        <v>15</v>
      </c>
      <c r="S19" s="29" t="s">
        <v>166</v>
      </c>
      <c r="T19" s="28"/>
      <c r="U19" s="29"/>
      <c r="V19" s="28">
        <v>15</v>
      </c>
      <c r="W19" s="29" t="s">
        <v>154</v>
      </c>
      <c r="X19" s="28">
        <v>15</v>
      </c>
      <c r="Y19" s="29" t="s">
        <v>150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83</v>
      </c>
      <c r="D20" s="5"/>
      <c r="E20" s="1"/>
      <c r="F20" s="17"/>
      <c r="G20" s="17"/>
      <c r="H20" s="5"/>
      <c r="I20" s="1"/>
      <c r="J20" s="19">
        <v>16</v>
      </c>
      <c r="K20" s="1" t="s">
        <v>370</v>
      </c>
      <c r="L20" s="5"/>
      <c r="M20" s="6"/>
      <c r="N20" s="5"/>
      <c r="O20" s="6"/>
      <c r="P20" s="5"/>
      <c r="Q20" s="1"/>
      <c r="R20" s="28">
        <v>16</v>
      </c>
      <c r="S20" s="29" t="s">
        <v>163</v>
      </c>
      <c r="T20" s="28"/>
      <c r="U20" s="29"/>
      <c r="V20" s="28">
        <v>16</v>
      </c>
      <c r="W20" s="29" t="s">
        <v>372</v>
      </c>
      <c r="X20" s="28">
        <v>16</v>
      </c>
      <c r="Y20" s="29" t="s">
        <v>374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52</v>
      </c>
      <c r="D21" s="5"/>
      <c r="E21" s="1"/>
      <c r="F21" s="17"/>
      <c r="G21" s="17"/>
      <c r="H21" s="5"/>
      <c r="I21" s="1"/>
      <c r="J21" s="19">
        <v>17</v>
      </c>
      <c r="K21" s="1" t="s">
        <v>376</v>
      </c>
      <c r="L21" s="5"/>
      <c r="M21" s="6"/>
      <c r="N21" s="5"/>
      <c r="O21" s="6"/>
      <c r="P21" s="5"/>
      <c r="Q21" s="1"/>
      <c r="R21" s="28">
        <v>17</v>
      </c>
      <c r="S21" s="29" t="s">
        <v>164</v>
      </c>
      <c r="T21" s="28"/>
      <c r="U21" s="29"/>
      <c r="V21" s="28">
        <v>17</v>
      </c>
      <c r="W21" s="29" t="s">
        <v>378</v>
      </c>
      <c r="X21" s="28">
        <v>17</v>
      </c>
      <c r="Y21" s="29" t="s">
        <v>380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382</v>
      </c>
      <c r="L22" s="5"/>
      <c r="M22" s="6"/>
      <c r="N22" s="5"/>
      <c r="O22" s="6"/>
      <c r="P22" s="5"/>
      <c r="Q22" s="1"/>
      <c r="R22" s="28">
        <v>18</v>
      </c>
      <c r="S22" s="29" t="s">
        <v>165</v>
      </c>
      <c r="T22" s="28"/>
      <c r="U22" s="29"/>
      <c r="V22" s="28">
        <v>18</v>
      </c>
      <c r="W22" s="29" t="s">
        <v>384</v>
      </c>
      <c r="X22" s="28">
        <v>18</v>
      </c>
      <c r="Y22" s="29" t="s">
        <v>134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387</v>
      </c>
      <c r="L23" s="5"/>
      <c r="M23" s="6"/>
      <c r="N23" s="5"/>
      <c r="O23" s="6"/>
      <c r="P23" s="5"/>
      <c r="Q23" s="1"/>
      <c r="R23" s="28">
        <v>19</v>
      </c>
      <c r="S23" s="29" t="s">
        <v>31</v>
      </c>
      <c r="T23" s="28"/>
      <c r="U23" s="29"/>
      <c r="V23" s="28">
        <v>19</v>
      </c>
      <c r="W23" s="29" t="s">
        <v>389</v>
      </c>
      <c r="X23" s="28">
        <v>19</v>
      </c>
      <c r="Y23" s="29" t="s">
        <v>391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393</v>
      </c>
      <c r="L24" s="5"/>
      <c r="M24" s="6"/>
      <c r="N24" s="5"/>
      <c r="O24" s="6"/>
      <c r="P24" s="5"/>
      <c r="Q24" s="1"/>
      <c r="R24" s="28">
        <v>20</v>
      </c>
      <c r="S24" s="29" t="s">
        <v>249</v>
      </c>
      <c r="T24" s="28"/>
      <c r="U24" s="29"/>
      <c r="V24" s="28">
        <v>20</v>
      </c>
      <c r="W24" s="29" t="s">
        <v>160</v>
      </c>
      <c r="X24" s="28">
        <v>20</v>
      </c>
      <c r="Y24" s="29" t="s">
        <v>249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395</v>
      </c>
      <c r="L25" s="7"/>
      <c r="M25" s="6"/>
      <c r="N25" s="7"/>
      <c r="O25" s="6"/>
      <c r="P25" s="8"/>
      <c r="Q25" s="1"/>
      <c r="R25" s="30"/>
      <c r="S25" s="29"/>
      <c r="T25" s="63"/>
      <c r="U25" s="29"/>
      <c r="V25" s="28">
        <v>21</v>
      </c>
      <c r="W25" s="29" t="s">
        <v>40</v>
      </c>
      <c r="X25" s="28">
        <v>21</v>
      </c>
      <c r="Y25" s="29" t="s">
        <v>52</v>
      </c>
      <c r="Z25" s="63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397</v>
      </c>
      <c r="L26" s="7"/>
      <c r="M26" s="9"/>
      <c r="N26" s="7"/>
      <c r="O26" s="9"/>
      <c r="P26" s="10"/>
      <c r="Q26" s="1"/>
      <c r="R26" s="31"/>
      <c r="S26" s="29"/>
      <c r="T26" s="64"/>
      <c r="U26" s="29"/>
      <c r="V26" s="28">
        <v>22</v>
      </c>
      <c r="W26" s="29" t="s">
        <v>398</v>
      </c>
      <c r="X26" s="64"/>
      <c r="Y26" s="29"/>
      <c r="Z26" s="64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4"/>
      <c r="U27" s="29"/>
      <c r="V27" s="28">
        <v>23</v>
      </c>
      <c r="W27" s="29" t="s">
        <v>42</v>
      </c>
      <c r="X27" s="64"/>
      <c r="Y27" s="29"/>
      <c r="Z27" s="64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43</v>
      </c>
      <c r="X28" s="64"/>
      <c r="Y28" s="29"/>
      <c r="Z28" s="64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249</v>
      </c>
      <c r="X29" s="63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52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4" sqref="C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8" t="s">
        <v>187</v>
      </c>
      <c r="I1" s="71" t="s">
        <v>1</v>
      </c>
      <c r="J1" s="72"/>
      <c r="K1" s="71" t="s">
        <v>2</v>
      </c>
      <c r="L1" s="72"/>
      <c r="M1" s="71" t="s">
        <v>188</v>
      </c>
      <c r="N1" s="72"/>
      <c r="O1" s="71" t="s">
        <v>3</v>
      </c>
      <c r="P1" s="72"/>
      <c r="Q1" s="71" t="s">
        <v>4</v>
      </c>
      <c r="R1" s="72"/>
      <c r="S1" s="71" t="s">
        <v>189</v>
      </c>
      <c r="T1" s="72"/>
      <c r="U1" s="71" t="s">
        <v>190</v>
      </c>
      <c r="V1" s="72"/>
      <c r="W1" s="71" t="s">
        <v>191</v>
      </c>
      <c r="X1" s="72"/>
      <c r="Y1" s="65" t="s">
        <v>192</v>
      </c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7"/>
    </row>
    <row r="2" spans="1:40" ht="17.25" thickBot="1" x14ac:dyDescent="0.35">
      <c r="A2" s="2">
        <v>1</v>
      </c>
      <c r="B2" s="2" t="s">
        <v>111</v>
      </c>
      <c r="C2" s="36" t="s">
        <v>175</v>
      </c>
      <c r="H2" s="69"/>
      <c r="I2" s="73"/>
      <c r="J2" s="74"/>
      <c r="K2" s="73"/>
      <c r="L2" s="74"/>
      <c r="M2" s="73"/>
      <c r="N2" s="74"/>
      <c r="O2" s="73"/>
      <c r="P2" s="74"/>
      <c r="Q2" s="73"/>
      <c r="R2" s="74"/>
      <c r="S2" s="73"/>
      <c r="T2" s="74"/>
      <c r="U2" s="73"/>
      <c r="V2" s="74"/>
      <c r="W2" s="73"/>
      <c r="X2" s="74"/>
      <c r="Y2" s="59" t="s">
        <v>10</v>
      </c>
      <c r="Z2" s="60"/>
      <c r="AA2" s="59" t="s">
        <v>104</v>
      </c>
      <c r="AB2" s="60"/>
      <c r="AC2" s="59" t="s">
        <v>105</v>
      </c>
      <c r="AD2" s="60"/>
      <c r="AE2" s="59" t="s">
        <v>106</v>
      </c>
      <c r="AF2" s="60"/>
      <c r="AG2" s="59" t="s">
        <v>107</v>
      </c>
      <c r="AH2" s="60"/>
      <c r="AI2" s="59" t="s">
        <v>108</v>
      </c>
      <c r="AJ2" s="60"/>
      <c r="AK2" s="59" t="s">
        <v>109</v>
      </c>
      <c r="AL2" s="60"/>
      <c r="AM2" s="59" t="s">
        <v>110</v>
      </c>
      <c r="AN2" s="60"/>
    </row>
    <row r="3" spans="1:40" ht="17.25" thickBot="1" x14ac:dyDescent="0.35">
      <c r="H3" s="70"/>
      <c r="I3" s="75"/>
      <c r="J3" s="76"/>
      <c r="K3" s="75"/>
      <c r="L3" s="76"/>
      <c r="M3" s="75"/>
      <c r="N3" s="76"/>
      <c r="O3" s="75"/>
      <c r="P3" s="76"/>
      <c r="Q3" s="75"/>
      <c r="R3" s="76"/>
      <c r="S3" s="75"/>
      <c r="T3" s="76"/>
      <c r="U3" s="75"/>
      <c r="V3" s="76"/>
      <c r="W3" s="75"/>
      <c r="X3" s="76"/>
      <c r="Y3" s="61"/>
      <c r="Z3" s="62"/>
      <c r="AA3" s="61"/>
      <c r="AB3" s="62"/>
      <c r="AC3" s="61"/>
      <c r="AD3" s="62"/>
      <c r="AE3" s="61"/>
      <c r="AF3" s="62"/>
      <c r="AG3" s="61"/>
      <c r="AH3" s="62"/>
      <c r="AI3" s="61"/>
      <c r="AJ3" s="62"/>
      <c r="AK3" s="61"/>
      <c r="AL3" s="62"/>
      <c r="AM3" s="61"/>
      <c r="AN3" s="62"/>
    </row>
    <row r="4" spans="1:40" ht="17.25" thickBot="1" x14ac:dyDescent="0.35">
      <c r="A4" s="2">
        <v>2</v>
      </c>
      <c r="B4" s="2" t="s">
        <v>112</v>
      </c>
      <c r="C4" s="36" t="s">
        <v>176</v>
      </c>
      <c r="H4" s="4">
        <v>1</v>
      </c>
      <c r="I4" s="5">
        <v>1</v>
      </c>
      <c r="J4" s="17" t="s">
        <v>72</v>
      </c>
      <c r="K4" s="5">
        <v>1</v>
      </c>
      <c r="L4" s="1" t="s">
        <v>100</v>
      </c>
      <c r="M4" s="5">
        <v>1</v>
      </c>
      <c r="N4" s="17" t="s">
        <v>193</v>
      </c>
      <c r="O4" s="5">
        <v>1</v>
      </c>
      <c r="P4" s="1" t="s">
        <v>194</v>
      </c>
      <c r="Q4" s="19">
        <v>1</v>
      </c>
      <c r="R4" s="1" t="s">
        <v>85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195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196</v>
      </c>
      <c r="AK4" s="28">
        <v>1</v>
      </c>
      <c r="AL4" s="29" t="s">
        <v>53</v>
      </c>
      <c r="AM4" s="28">
        <v>1</v>
      </c>
      <c r="AN4" s="42" t="s">
        <v>197</v>
      </c>
    </row>
    <row r="5" spans="1:40" x14ac:dyDescent="0.3">
      <c r="H5" s="4">
        <f>+H4+1</f>
        <v>2</v>
      </c>
      <c r="I5" s="5">
        <f>+I4+1</f>
        <v>2</v>
      </c>
      <c r="J5" s="17" t="s">
        <v>198</v>
      </c>
      <c r="K5" s="5">
        <v>2</v>
      </c>
      <c r="L5" s="1" t="s">
        <v>199</v>
      </c>
      <c r="M5" s="5">
        <v>2</v>
      </c>
      <c r="N5" s="17" t="s">
        <v>200</v>
      </c>
      <c r="O5" s="5">
        <v>2</v>
      </c>
      <c r="P5" s="1" t="s">
        <v>202</v>
      </c>
      <c r="Q5" s="19">
        <v>2</v>
      </c>
      <c r="R5" s="1" t="s">
        <v>204</v>
      </c>
      <c r="S5" s="5">
        <v>2</v>
      </c>
      <c r="T5" s="6" t="s">
        <v>205</v>
      </c>
      <c r="U5" s="5">
        <v>2</v>
      </c>
      <c r="V5" s="6" t="s">
        <v>207</v>
      </c>
      <c r="W5" s="5">
        <v>2</v>
      </c>
      <c r="X5" s="1" t="s">
        <v>208</v>
      </c>
      <c r="Y5" s="28">
        <v>2</v>
      </c>
      <c r="Z5" s="29" t="s">
        <v>210</v>
      </c>
      <c r="AA5" s="28">
        <v>2</v>
      </c>
      <c r="AB5" s="29" t="s">
        <v>211</v>
      </c>
      <c r="AC5" s="28">
        <v>2</v>
      </c>
      <c r="AD5" s="29" t="s">
        <v>212</v>
      </c>
      <c r="AE5" s="28">
        <v>2</v>
      </c>
      <c r="AF5" s="29" t="s">
        <v>213</v>
      </c>
      <c r="AG5" s="28">
        <v>2</v>
      </c>
      <c r="AH5" s="29" t="s">
        <v>215</v>
      </c>
      <c r="AI5" s="28">
        <v>2</v>
      </c>
      <c r="AJ5" s="29" t="s">
        <v>216</v>
      </c>
      <c r="AK5" s="28">
        <v>2</v>
      </c>
      <c r="AL5" s="29" t="s">
        <v>217</v>
      </c>
      <c r="AM5" s="28">
        <v>2</v>
      </c>
      <c r="AN5" s="42" t="s">
        <v>218</v>
      </c>
    </row>
    <row r="6" spans="1:40" ht="17.25" thickBot="1" x14ac:dyDescent="0.35">
      <c r="A6" s="2">
        <v>3</v>
      </c>
      <c r="B6" s="2" t="s">
        <v>169</v>
      </c>
      <c r="C6" s="2" t="s">
        <v>113</v>
      </c>
      <c r="D6" s="35" t="s">
        <v>114</v>
      </c>
      <c r="H6" s="4">
        <f t="shared" ref="H6:I20" si="0">+H5+1</f>
        <v>3</v>
      </c>
      <c r="I6" s="5">
        <f t="shared" si="0"/>
        <v>3</v>
      </c>
      <c r="J6" s="17" t="s">
        <v>219</v>
      </c>
      <c r="K6" s="5">
        <v>3</v>
      </c>
      <c r="L6" s="1" t="s">
        <v>220</v>
      </c>
      <c r="M6" s="5">
        <v>3</v>
      </c>
      <c r="N6" s="17" t="s">
        <v>222</v>
      </c>
      <c r="O6" s="5">
        <v>3</v>
      </c>
      <c r="P6" s="1" t="s">
        <v>223</v>
      </c>
      <c r="Q6" s="19">
        <v>3</v>
      </c>
      <c r="R6" s="1" t="s">
        <v>225</v>
      </c>
      <c r="S6" s="5">
        <v>3</v>
      </c>
      <c r="T6" s="6" t="s">
        <v>226</v>
      </c>
      <c r="U6" s="5">
        <v>3</v>
      </c>
      <c r="V6" s="6" t="s">
        <v>227</v>
      </c>
      <c r="W6" s="5">
        <v>3</v>
      </c>
      <c r="X6" s="1" t="s">
        <v>228</v>
      </c>
      <c r="Y6" s="28">
        <v>3</v>
      </c>
      <c r="Z6" s="29" t="s">
        <v>229</v>
      </c>
      <c r="AA6" s="28">
        <v>3</v>
      </c>
      <c r="AB6" s="29" t="s">
        <v>230</v>
      </c>
      <c r="AC6" s="28">
        <v>3</v>
      </c>
      <c r="AD6" s="29" t="s">
        <v>231</v>
      </c>
      <c r="AE6" s="28">
        <v>3</v>
      </c>
      <c r="AF6" s="29" t="s">
        <v>232</v>
      </c>
      <c r="AG6" s="28">
        <v>3</v>
      </c>
      <c r="AH6" s="29" t="s">
        <v>233</v>
      </c>
      <c r="AI6" s="28">
        <v>3</v>
      </c>
      <c r="AJ6" s="29" t="s">
        <v>234</v>
      </c>
      <c r="AK6" s="28">
        <v>3</v>
      </c>
      <c r="AL6" s="29" t="s">
        <v>235</v>
      </c>
      <c r="AM6" s="28">
        <v>3</v>
      </c>
      <c r="AN6" s="42" t="s">
        <v>216</v>
      </c>
    </row>
    <row r="7" spans="1:40" ht="17.25" thickBot="1" x14ac:dyDescent="0.35">
      <c r="C7" s="41">
        <v>2343</v>
      </c>
      <c r="D7" s="36">
        <f>+C7/3.3058</f>
        <v>708.75431060560231</v>
      </c>
      <c r="H7" s="4">
        <f t="shared" si="0"/>
        <v>4</v>
      </c>
      <c r="I7" s="5">
        <f t="shared" si="0"/>
        <v>4</v>
      </c>
      <c r="J7" s="17" t="s">
        <v>236</v>
      </c>
      <c r="K7" s="5">
        <v>4</v>
      </c>
      <c r="L7" s="1" t="s">
        <v>238</v>
      </c>
      <c r="M7" s="5">
        <v>4</v>
      </c>
      <c r="N7" s="17" t="s">
        <v>239</v>
      </c>
      <c r="O7" s="5">
        <v>4</v>
      </c>
      <c r="P7" s="1" t="s">
        <v>240</v>
      </c>
      <c r="Q7" s="19">
        <v>4</v>
      </c>
      <c r="R7" s="1" t="s">
        <v>242</v>
      </c>
      <c r="S7" s="5"/>
      <c r="T7" s="6"/>
      <c r="U7" s="5"/>
      <c r="V7" s="6"/>
      <c r="W7" s="5">
        <v>4</v>
      </c>
      <c r="X7" s="1" t="s">
        <v>243</v>
      </c>
      <c r="Y7" s="28">
        <v>4</v>
      </c>
      <c r="Z7" s="29" t="s">
        <v>244</v>
      </c>
      <c r="AA7" s="28"/>
      <c r="AB7" s="29"/>
      <c r="AC7" s="28">
        <v>4</v>
      </c>
      <c r="AD7" s="29" t="s">
        <v>245</v>
      </c>
      <c r="AE7" s="28">
        <v>4</v>
      </c>
      <c r="AF7" s="29" t="s">
        <v>246</v>
      </c>
      <c r="AG7" s="28">
        <v>4</v>
      </c>
      <c r="AH7" s="29" t="s">
        <v>247</v>
      </c>
      <c r="AI7" s="28">
        <v>4</v>
      </c>
      <c r="AJ7" s="29" t="s">
        <v>248</v>
      </c>
      <c r="AK7" s="28">
        <v>4</v>
      </c>
      <c r="AL7" s="29" t="s">
        <v>216</v>
      </c>
      <c r="AM7" s="28">
        <v>4</v>
      </c>
      <c r="AN7" s="42" t="s">
        <v>250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251</v>
      </c>
      <c r="K8" s="5">
        <v>5</v>
      </c>
      <c r="L8" s="1" t="s">
        <v>252</v>
      </c>
      <c r="M8" s="5">
        <v>5</v>
      </c>
      <c r="N8" s="17" t="s">
        <v>254</v>
      </c>
      <c r="O8" s="5">
        <v>5</v>
      </c>
      <c r="P8" s="1" t="s">
        <v>255</v>
      </c>
      <c r="Q8" s="19">
        <v>5</v>
      </c>
      <c r="R8" s="1" t="s">
        <v>257</v>
      </c>
      <c r="S8" s="5"/>
      <c r="T8" s="6"/>
      <c r="U8" s="5"/>
      <c r="V8" s="6"/>
      <c r="W8" s="5">
        <v>5</v>
      </c>
      <c r="X8" s="1" t="s">
        <v>259</v>
      </c>
      <c r="Y8" s="28">
        <v>5</v>
      </c>
      <c r="Z8" s="29" t="s">
        <v>260</v>
      </c>
      <c r="AA8" s="28"/>
      <c r="AB8" s="29"/>
      <c r="AC8" s="28">
        <v>5</v>
      </c>
      <c r="AD8" s="29" t="s">
        <v>261</v>
      </c>
      <c r="AE8" s="28">
        <v>5</v>
      </c>
      <c r="AF8" s="29" t="s">
        <v>262</v>
      </c>
      <c r="AG8" s="28">
        <v>5</v>
      </c>
      <c r="AH8" s="29" t="s">
        <v>263</v>
      </c>
      <c r="AI8" s="28">
        <v>5</v>
      </c>
      <c r="AJ8" s="29" t="s">
        <v>264</v>
      </c>
      <c r="AK8" s="28">
        <v>5</v>
      </c>
      <c r="AL8" s="29" t="s">
        <v>250</v>
      </c>
      <c r="AM8" s="28"/>
      <c r="AN8" s="29"/>
    </row>
    <row r="9" spans="1:40" ht="17.25" thickBot="1" x14ac:dyDescent="0.35">
      <c r="A9" s="2">
        <v>4</v>
      </c>
      <c r="B9" s="2" t="s">
        <v>115</v>
      </c>
      <c r="C9" s="36" t="s">
        <v>177</v>
      </c>
      <c r="H9" s="4">
        <f t="shared" si="0"/>
        <v>6</v>
      </c>
      <c r="I9" s="5">
        <f t="shared" si="0"/>
        <v>6</v>
      </c>
      <c r="J9" s="17" t="s">
        <v>265</v>
      </c>
      <c r="K9" s="5">
        <v>6</v>
      </c>
      <c r="L9" s="1" t="s">
        <v>267</v>
      </c>
      <c r="M9" s="5">
        <v>6</v>
      </c>
      <c r="N9" s="17" t="s">
        <v>269</v>
      </c>
      <c r="O9" s="5">
        <v>6</v>
      </c>
      <c r="P9" s="1" t="s">
        <v>271</v>
      </c>
      <c r="Q9" s="19">
        <v>6</v>
      </c>
      <c r="R9" s="1" t="s">
        <v>273</v>
      </c>
      <c r="S9" s="5"/>
      <c r="T9" s="6"/>
      <c r="U9" s="5"/>
      <c r="V9" s="6"/>
      <c r="W9" s="5">
        <v>6</v>
      </c>
      <c r="X9" s="1" t="s">
        <v>274</v>
      </c>
      <c r="Y9" s="28">
        <v>6</v>
      </c>
      <c r="Z9" s="29" t="s">
        <v>275</v>
      </c>
      <c r="AA9" s="28"/>
      <c r="AB9" s="29"/>
      <c r="AC9" s="28">
        <v>6</v>
      </c>
      <c r="AD9" s="29" t="s">
        <v>277</v>
      </c>
      <c r="AE9" s="28">
        <v>6</v>
      </c>
      <c r="AF9" s="29" t="s">
        <v>278</v>
      </c>
      <c r="AG9" s="28">
        <v>6</v>
      </c>
      <c r="AH9" s="29" t="s">
        <v>279</v>
      </c>
      <c r="AI9" s="28">
        <v>6</v>
      </c>
      <c r="AJ9" s="29" t="s">
        <v>280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281</v>
      </c>
      <c r="K10" s="5">
        <v>7</v>
      </c>
      <c r="L10" s="1" t="s">
        <v>283</v>
      </c>
      <c r="M10" s="5">
        <v>7</v>
      </c>
      <c r="N10" s="17" t="s">
        <v>284</v>
      </c>
      <c r="O10" s="5">
        <v>7</v>
      </c>
      <c r="P10" s="1" t="s">
        <v>285</v>
      </c>
      <c r="Q10" s="19">
        <v>7</v>
      </c>
      <c r="R10" s="1" t="s">
        <v>286</v>
      </c>
      <c r="S10" s="5"/>
      <c r="T10" s="6"/>
      <c r="U10" s="5"/>
      <c r="V10" s="6"/>
      <c r="W10" s="5">
        <v>7</v>
      </c>
      <c r="X10" s="1" t="s">
        <v>287</v>
      </c>
      <c r="Y10" s="28">
        <v>7</v>
      </c>
      <c r="Z10" s="29" t="s">
        <v>288</v>
      </c>
      <c r="AA10" s="28"/>
      <c r="AB10" s="29"/>
      <c r="AC10" s="28">
        <v>7</v>
      </c>
      <c r="AD10" s="29" t="s">
        <v>290</v>
      </c>
      <c r="AE10" s="28">
        <v>7</v>
      </c>
      <c r="AF10" s="29" t="s">
        <v>291</v>
      </c>
      <c r="AG10" s="28">
        <v>7</v>
      </c>
      <c r="AH10" s="29" t="s">
        <v>292</v>
      </c>
      <c r="AI10" s="28">
        <v>7</v>
      </c>
      <c r="AJ10" s="29" t="s">
        <v>293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116</v>
      </c>
      <c r="C11" s="36" t="s">
        <v>286</v>
      </c>
      <c r="H11" s="4">
        <f t="shared" si="0"/>
        <v>8</v>
      </c>
      <c r="I11" s="5">
        <f t="shared" si="0"/>
        <v>8</v>
      </c>
      <c r="J11" s="17" t="s">
        <v>294</v>
      </c>
      <c r="K11" s="5">
        <v>8</v>
      </c>
      <c r="L11" s="1" t="s">
        <v>296</v>
      </c>
      <c r="M11" s="5">
        <v>8</v>
      </c>
      <c r="N11" s="17" t="s">
        <v>298</v>
      </c>
      <c r="O11" s="5">
        <v>8</v>
      </c>
      <c r="P11" s="1" t="s">
        <v>299</v>
      </c>
      <c r="Q11" s="19">
        <v>8</v>
      </c>
      <c r="R11" s="1" t="s">
        <v>300</v>
      </c>
      <c r="S11" s="5"/>
      <c r="T11" s="6"/>
      <c r="U11" s="5"/>
      <c r="V11" s="6"/>
      <c r="W11" s="5">
        <v>8</v>
      </c>
      <c r="X11" s="1" t="s">
        <v>301</v>
      </c>
      <c r="Y11" s="28">
        <v>8</v>
      </c>
      <c r="Z11" s="29" t="s">
        <v>302</v>
      </c>
      <c r="AA11" s="28"/>
      <c r="AB11" s="29"/>
      <c r="AC11" s="28">
        <v>8</v>
      </c>
      <c r="AD11" s="29" t="s">
        <v>303</v>
      </c>
      <c r="AE11" s="28">
        <v>8</v>
      </c>
      <c r="AF11" s="29" t="s">
        <v>292</v>
      </c>
      <c r="AG11" s="28">
        <v>8</v>
      </c>
      <c r="AH11" s="29" t="s">
        <v>305</v>
      </c>
      <c r="AI11" s="28">
        <v>8</v>
      </c>
      <c r="AJ11" s="29" t="s">
        <v>307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309</v>
      </c>
      <c r="K12" s="5">
        <v>9</v>
      </c>
      <c r="L12" s="1" t="s">
        <v>310</v>
      </c>
      <c r="M12" s="5"/>
      <c r="N12" s="17"/>
      <c r="O12" s="5">
        <v>9</v>
      </c>
      <c r="P12" s="1" t="s">
        <v>312</v>
      </c>
      <c r="Q12" s="19">
        <v>9</v>
      </c>
      <c r="R12" s="1" t="s">
        <v>313</v>
      </c>
      <c r="S12" s="5"/>
      <c r="T12" s="6"/>
      <c r="U12" s="5"/>
      <c r="V12" s="6"/>
      <c r="W12" s="5">
        <v>9</v>
      </c>
      <c r="X12" s="1" t="s">
        <v>314</v>
      </c>
      <c r="Y12" s="28">
        <v>9</v>
      </c>
      <c r="Z12" s="29" t="s">
        <v>315</v>
      </c>
      <c r="AA12" s="28"/>
      <c r="AB12" s="29"/>
      <c r="AC12" s="28">
        <v>9</v>
      </c>
      <c r="AD12" s="29" t="s">
        <v>317</v>
      </c>
      <c r="AE12" s="28">
        <v>9</v>
      </c>
      <c r="AF12" s="29" t="s">
        <v>319</v>
      </c>
      <c r="AG12" s="28">
        <v>9</v>
      </c>
      <c r="AH12" s="29" t="s">
        <v>320</v>
      </c>
      <c r="AI12" s="28">
        <v>9</v>
      </c>
      <c r="AJ12" s="29" t="s">
        <v>321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117</v>
      </c>
      <c r="C13" s="36" t="s">
        <v>132</v>
      </c>
      <c r="H13" s="4">
        <f t="shared" si="0"/>
        <v>10</v>
      </c>
      <c r="I13" s="5">
        <f t="shared" si="0"/>
        <v>10</v>
      </c>
      <c r="J13" s="17" t="s">
        <v>322</v>
      </c>
      <c r="K13" s="5">
        <v>10</v>
      </c>
      <c r="L13" s="1" t="s">
        <v>324</v>
      </c>
      <c r="M13" s="5"/>
      <c r="N13" s="17"/>
      <c r="O13" s="5">
        <v>10</v>
      </c>
      <c r="P13" s="1" t="s">
        <v>325</v>
      </c>
      <c r="Q13" s="19">
        <v>10</v>
      </c>
      <c r="R13" s="1" t="s">
        <v>326</v>
      </c>
      <c r="S13" s="5"/>
      <c r="T13" s="6"/>
      <c r="U13" s="5"/>
      <c r="V13" s="6"/>
      <c r="W13" s="5"/>
      <c r="X13" s="1"/>
      <c r="Y13" s="28">
        <v>10</v>
      </c>
      <c r="Z13" s="29" t="s">
        <v>327</v>
      </c>
      <c r="AA13" s="28"/>
      <c r="AB13" s="29"/>
      <c r="AC13" s="28">
        <v>10</v>
      </c>
      <c r="AD13" s="29" t="s">
        <v>328</v>
      </c>
      <c r="AE13" s="28">
        <v>10</v>
      </c>
      <c r="AF13" s="29" t="s">
        <v>329</v>
      </c>
      <c r="AG13" s="28">
        <v>10</v>
      </c>
      <c r="AH13" s="29" t="s">
        <v>250</v>
      </c>
      <c r="AI13" s="28">
        <v>10</v>
      </c>
      <c r="AJ13" s="29" t="s">
        <v>250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330</v>
      </c>
      <c r="K14" s="5"/>
      <c r="L14" s="1"/>
      <c r="M14" s="17"/>
      <c r="N14" s="17"/>
      <c r="O14" s="5">
        <v>11</v>
      </c>
      <c r="P14" s="1" t="s">
        <v>331</v>
      </c>
      <c r="Q14" s="19">
        <v>11</v>
      </c>
      <c r="R14" s="1" t="s">
        <v>332</v>
      </c>
      <c r="S14" s="5"/>
      <c r="T14" s="6"/>
      <c r="U14" s="5"/>
      <c r="V14" s="6"/>
      <c r="W14" s="5"/>
      <c r="X14" s="1"/>
      <c r="Y14" s="28">
        <v>11</v>
      </c>
      <c r="Z14" s="29" t="s">
        <v>334</v>
      </c>
      <c r="AA14" s="28"/>
      <c r="AB14" s="29"/>
      <c r="AC14" s="28">
        <v>11</v>
      </c>
      <c r="AD14" s="29" t="s">
        <v>335</v>
      </c>
      <c r="AE14" s="28">
        <v>11</v>
      </c>
      <c r="AF14" s="29" t="s">
        <v>337</v>
      </c>
      <c r="AG14" s="28">
        <v>11</v>
      </c>
      <c r="AH14" s="29" t="s">
        <v>216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118</v>
      </c>
      <c r="C15" s="36" t="s">
        <v>168</v>
      </c>
      <c r="H15" s="4">
        <f t="shared" si="0"/>
        <v>12</v>
      </c>
      <c r="I15" s="5">
        <f t="shared" si="0"/>
        <v>12</v>
      </c>
      <c r="J15" s="17" t="s">
        <v>338</v>
      </c>
      <c r="K15" s="5"/>
      <c r="L15" s="1"/>
      <c r="M15" s="17"/>
      <c r="N15" s="22"/>
      <c r="O15" s="5">
        <v>12</v>
      </c>
      <c r="P15" s="1" t="s">
        <v>340</v>
      </c>
      <c r="Q15" s="19">
        <v>12</v>
      </c>
      <c r="R15" s="1" t="s">
        <v>341</v>
      </c>
      <c r="S15" s="5"/>
      <c r="T15" s="6"/>
      <c r="U15" s="5"/>
      <c r="V15" s="6"/>
      <c r="W15" s="5"/>
      <c r="X15" s="1"/>
      <c r="Y15" s="28">
        <v>12</v>
      </c>
      <c r="Z15" s="29" t="s">
        <v>342</v>
      </c>
      <c r="AA15" s="28"/>
      <c r="AB15" s="29"/>
      <c r="AC15" s="28">
        <v>12</v>
      </c>
      <c r="AD15" s="29" t="s">
        <v>344</v>
      </c>
      <c r="AE15" s="28">
        <v>12</v>
      </c>
      <c r="AF15" s="29" t="s">
        <v>346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348</v>
      </c>
      <c r="K16" s="5"/>
      <c r="L16" s="1"/>
      <c r="M16" s="17"/>
      <c r="N16" s="17"/>
      <c r="O16" s="5">
        <v>13</v>
      </c>
      <c r="P16" s="1" t="s">
        <v>350</v>
      </c>
      <c r="Q16" s="19">
        <v>13</v>
      </c>
      <c r="R16" s="1" t="s">
        <v>351</v>
      </c>
      <c r="S16" s="5"/>
      <c r="T16" s="6"/>
      <c r="U16" s="5"/>
      <c r="V16" s="6"/>
      <c r="W16" s="5"/>
      <c r="X16" s="1"/>
      <c r="Y16" s="28">
        <v>13</v>
      </c>
      <c r="Z16" s="29" t="s">
        <v>352</v>
      </c>
      <c r="AA16" s="28"/>
      <c r="AB16" s="29"/>
      <c r="AC16" s="28">
        <v>13</v>
      </c>
      <c r="AD16" s="29" t="s">
        <v>354</v>
      </c>
      <c r="AE16" s="28">
        <v>13</v>
      </c>
      <c r="AF16" s="29" t="s">
        <v>356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119</v>
      </c>
      <c r="C17" s="2" t="s">
        <v>123</v>
      </c>
      <c r="D17" s="2" t="s">
        <v>124</v>
      </c>
      <c r="E17" s="35" t="s">
        <v>172</v>
      </c>
      <c r="H17" s="4">
        <f t="shared" si="0"/>
        <v>14</v>
      </c>
      <c r="I17" s="5">
        <f t="shared" si="0"/>
        <v>14</v>
      </c>
      <c r="J17" s="17" t="s">
        <v>357</v>
      </c>
      <c r="K17" s="17"/>
      <c r="L17" s="1"/>
      <c r="M17" s="17"/>
      <c r="N17" s="23"/>
      <c r="O17" s="5">
        <v>14</v>
      </c>
      <c r="P17" s="1" t="s">
        <v>359</v>
      </c>
      <c r="Q17" s="19">
        <v>14</v>
      </c>
      <c r="R17" s="1" t="s">
        <v>360</v>
      </c>
      <c r="S17" s="5"/>
      <c r="T17" s="6"/>
      <c r="U17" s="5"/>
      <c r="V17" s="6"/>
      <c r="W17" s="5"/>
      <c r="X17" s="1"/>
      <c r="Y17" s="28">
        <v>14</v>
      </c>
      <c r="Z17" s="29" t="s">
        <v>361</v>
      </c>
      <c r="AA17" s="28"/>
      <c r="AB17" s="29"/>
      <c r="AC17" s="28">
        <v>14</v>
      </c>
      <c r="AD17" s="29" t="s">
        <v>362</v>
      </c>
      <c r="AE17" s="28">
        <v>14</v>
      </c>
      <c r="AF17" s="29" t="s">
        <v>363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120</v>
      </c>
      <c r="D18" s="51">
        <f>D31</f>
        <v>0</v>
      </c>
      <c r="E18" s="52">
        <f>+D18*3.3058</f>
        <v>0</v>
      </c>
      <c r="H18" s="4">
        <f t="shared" si="0"/>
        <v>15</v>
      </c>
      <c r="I18" s="5">
        <f t="shared" si="0"/>
        <v>15</v>
      </c>
      <c r="J18" s="17" t="s">
        <v>364</v>
      </c>
      <c r="K18" s="5"/>
      <c r="L18" s="1"/>
      <c r="M18" s="17"/>
      <c r="N18" s="17"/>
      <c r="O18" s="5"/>
      <c r="P18" s="1"/>
      <c r="Q18" s="19">
        <v>15</v>
      </c>
      <c r="R18" s="1" t="s">
        <v>365</v>
      </c>
      <c r="S18" s="5"/>
      <c r="T18" s="6"/>
      <c r="U18" s="5"/>
      <c r="V18" s="6"/>
      <c r="W18" s="5"/>
      <c r="X18" s="1"/>
      <c r="Y18" s="28">
        <v>15</v>
      </c>
      <c r="Z18" s="29" t="s">
        <v>366</v>
      </c>
      <c r="AA18" s="28"/>
      <c r="AB18" s="29"/>
      <c r="AC18" s="28">
        <v>15</v>
      </c>
      <c r="AD18" s="29" t="s">
        <v>367</v>
      </c>
      <c r="AE18" s="28">
        <v>15</v>
      </c>
      <c r="AF18" s="29" t="s">
        <v>368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121</v>
      </c>
      <c r="D19" s="58">
        <f>+D54</f>
        <v>606160</v>
      </c>
      <c r="E19" s="53">
        <f>+D19*3.3058</f>
        <v>2003843.7280000001</v>
      </c>
      <c r="H19" s="4">
        <f t="shared" si="0"/>
        <v>16</v>
      </c>
      <c r="I19" s="5">
        <f t="shared" si="0"/>
        <v>16</v>
      </c>
      <c r="J19" s="17" t="s">
        <v>369</v>
      </c>
      <c r="K19" s="5"/>
      <c r="L19" s="1"/>
      <c r="M19" s="17"/>
      <c r="N19" s="17"/>
      <c r="O19" s="5"/>
      <c r="P19" s="1"/>
      <c r="Q19" s="19">
        <v>16</v>
      </c>
      <c r="R19" s="1" t="s">
        <v>370</v>
      </c>
      <c r="S19" s="5"/>
      <c r="T19" s="6"/>
      <c r="U19" s="5"/>
      <c r="V19" s="6"/>
      <c r="W19" s="5"/>
      <c r="X19" s="1"/>
      <c r="Y19" s="28">
        <v>16</v>
      </c>
      <c r="Z19" s="29" t="s">
        <v>371</v>
      </c>
      <c r="AA19" s="28"/>
      <c r="AB19" s="29"/>
      <c r="AC19" s="28">
        <v>16</v>
      </c>
      <c r="AD19" s="29" t="s">
        <v>373</v>
      </c>
      <c r="AE19" s="28">
        <v>16</v>
      </c>
      <c r="AF19" s="29" t="s">
        <v>375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104</v>
      </c>
      <c r="D20" s="58">
        <f>+D60</f>
        <v>7130</v>
      </c>
      <c r="E20" s="53">
        <f t="shared" ref="E20:E24" si="1">+D20*3.3058</f>
        <v>23570.353999999999</v>
      </c>
      <c r="H20" s="4">
        <f t="shared" si="0"/>
        <v>17</v>
      </c>
      <c r="I20" s="5">
        <f t="shared" si="0"/>
        <v>17</v>
      </c>
      <c r="J20" s="17" t="s">
        <v>216</v>
      </c>
      <c r="K20" s="5"/>
      <c r="L20" s="1"/>
      <c r="M20" s="17"/>
      <c r="N20" s="17"/>
      <c r="O20" s="5"/>
      <c r="P20" s="1"/>
      <c r="Q20" s="19">
        <v>17</v>
      </c>
      <c r="R20" s="1" t="s">
        <v>376</v>
      </c>
      <c r="S20" s="5"/>
      <c r="T20" s="6"/>
      <c r="U20" s="5"/>
      <c r="V20" s="6"/>
      <c r="W20" s="5"/>
      <c r="X20" s="1"/>
      <c r="Y20" s="28">
        <v>17</v>
      </c>
      <c r="Z20" s="29" t="s">
        <v>377</v>
      </c>
      <c r="AA20" s="28"/>
      <c r="AB20" s="29"/>
      <c r="AC20" s="28">
        <v>17</v>
      </c>
      <c r="AD20" s="29" t="s">
        <v>379</v>
      </c>
      <c r="AE20" s="28">
        <v>17</v>
      </c>
      <c r="AF20" s="29" t="s">
        <v>381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105</v>
      </c>
      <c r="D21" s="58">
        <f>+D89</f>
        <v>74060</v>
      </c>
      <c r="E21" s="53">
        <f t="shared" si="1"/>
        <v>244827.54800000001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382</v>
      </c>
      <c r="S21" s="5"/>
      <c r="T21" s="6"/>
      <c r="U21" s="5"/>
      <c r="V21" s="6"/>
      <c r="W21" s="5"/>
      <c r="X21" s="1"/>
      <c r="Y21" s="28">
        <v>18</v>
      </c>
      <c r="Z21" s="29" t="s">
        <v>383</v>
      </c>
      <c r="AA21" s="28"/>
      <c r="AB21" s="29"/>
      <c r="AC21" s="28">
        <v>18</v>
      </c>
      <c r="AD21" s="29" t="s">
        <v>385</v>
      </c>
      <c r="AE21" s="28">
        <v>18</v>
      </c>
      <c r="AF21" s="29" t="s">
        <v>386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106</v>
      </c>
      <c r="D22" s="58">
        <f>+D113</f>
        <v>51020</v>
      </c>
      <c r="E22" s="53">
        <f t="shared" si="1"/>
        <v>168661.916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387</v>
      </c>
      <c r="S22" s="5"/>
      <c r="T22" s="6"/>
      <c r="U22" s="5"/>
      <c r="V22" s="6"/>
      <c r="W22" s="5"/>
      <c r="X22" s="1"/>
      <c r="Y22" s="28">
        <v>19</v>
      </c>
      <c r="Z22" s="29" t="s">
        <v>388</v>
      </c>
      <c r="AA22" s="28"/>
      <c r="AB22" s="29"/>
      <c r="AC22" s="28">
        <v>19</v>
      </c>
      <c r="AD22" s="29" t="s">
        <v>390</v>
      </c>
      <c r="AE22" s="28">
        <v>19</v>
      </c>
      <c r="AF22" s="29" t="s">
        <v>392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107</v>
      </c>
      <c r="D23" s="58">
        <f>+D127</f>
        <v>17100</v>
      </c>
      <c r="E23" s="53">
        <f t="shared" si="1"/>
        <v>56529.18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393</v>
      </c>
      <c r="S23" s="5"/>
      <c r="T23" s="6"/>
      <c r="U23" s="5"/>
      <c r="V23" s="6"/>
      <c r="W23" s="5"/>
      <c r="X23" s="1"/>
      <c r="Y23" s="28">
        <v>20</v>
      </c>
      <c r="Z23" s="29" t="s">
        <v>250</v>
      </c>
      <c r="AA23" s="28"/>
      <c r="AB23" s="29"/>
      <c r="AC23" s="28">
        <v>20</v>
      </c>
      <c r="AD23" s="29" t="s">
        <v>394</v>
      </c>
      <c r="AE23" s="28">
        <v>20</v>
      </c>
      <c r="AF23" s="29" t="s">
        <v>250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108</v>
      </c>
      <c r="D24" s="58">
        <f>+D140</f>
        <v>0</v>
      </c>
      <c r="E24" s="53">
        <f t="shared" si="1"/>
        <v>0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395</v>
      </c>
      <c r="S24" s="7"/>
      <c r="T24" s="6"/>
      <c r="U24" s="7"/>
      <c r="V24" s="6"/>
      <c r="W24" s="8"/>
      <c r="X24" s="1"/>
      <c r="Y24" s="30"/>
      <c r="Z24" s="29"/>
      <c r="AA24" s="63"/>
      <c r="AB24" s="29"/>
      <c r="AC24" s="28">
        <v>21</v>
      </c>
      <c r="AD24" s="29" t="s">
        <v>396</v>
      </c>
      <c r="AE24" s="28">
        <v>21</v>
      </c>
      <c r="AF24" s="29" t="s">
        <v>216</v>
      </c>
      <c r="AG24" s="63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109</v>
      </c>
      <c r="D25" s="58">
        <f>+D148</f>
        <v>11010</v>
      </c>
      <c r="E25" s="53">
        <f>+D25*3.3058</f>
        <v>36396.858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397</v>
      </c>
      <c r="S25" s="7"/>
      <c r="T25" s="9"/>
      <c r="U25" s="7"/>
      <c r="V25" s="9"/>
      <c r="W25" s="10"/>
      <c r="X25" s="1"/>
      <c r="Y25" s="31"/>
      <c r="Z25" s="29"/>
      <c r="AA25" s="64"/>
      <c r="AB25" s="29"/>
      <c r="AC25" s="28">
        <v>22</v>
      </c>
      <c r="AD25" s="29" t="s">
        <v>399</v>
      </c>
      <c r="AE25" s="64"/>
      <c r="AF25" s="29"/>
      <c r="AG25" s="64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110</v>
      </c>
      <c r="D26" s="58">
        <f>+D155</f>
        <v>28170</v>
      </c>
      <c r="E26" s="53">
        <f>+D26*3.3058</f>
        <v>93124.385999999999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4"/>
      <c r="AB26" s="29"/>
      <c r="AC26" s="28">
        <v>23</v>
      </c>
      <c r="AD26" s="29" t="s">
        <v>400</v>
      </c>
      <c r="AE26" s="64"/>
      <c r="AF26" s="29"/>
      <c r="AG26" s="64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174</v>
      </c>
      <c r="D27" s="77">
        <f>TRUNC(SUM(D18:D26)*0.275,-1)</f>
        <v>218520</v>
      </c>
      <c r="E27" s="54">
        <f>+D27*3.3058</f>
        <v>722383.41599999997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401</v>
      </c>
      <c r="AE27" s="64"/>
      <c r="AF27" s="29"/>
      <c r="AG27" s="64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122</v>
      </c>
      <c r="D28" s="57">
        <f>SUM(D18:D27)</f>
        <v>1013170</v>
      </c>
      <c r="E28" s="35">
        <f>SUM(E18:E27)</f>
        <v>3349337.3860000009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250</v>
      </c>
      <c r="AE28" s="63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216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161</v>
      </c>
      <c r="C30" s="2" t="s">
        <v>123</v>
      </c>
      <c r="D30" s="2" t="s">
        <v>124</v>
      </c>
      <c r="E30" s="35" t="s">
        <v>172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161</v>
      </c>
      <c r="D31" s="78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162</v>
      </c>
      <c r="C33" s="2" t="s">
        <v>123</v>
      </c>
      <c r="D33" s="2" t="s">
        <v>124</v>
      </c>
      <c r="E33" s="35" t="s">
        <v>172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f>TRUNC(33141.7311139565,-1)</f>
        <v>33140</v>
      </c>
      <c r="E34" s="47">
        <f>+D34*3.3058</f>
        <v>109554.212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55">
        <f>TRUNC(118437.083226633,-1)</f>
        <v>118430</v>
      </c>
      <c r="E35" s="48">
        <f>+D35*3.3058</f>
        <v>391505.89400000003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55">
        <f>TRUNC(5142.203158344,-1)</f>
        <v>5140</v>
      </c>
      <c r="E36" s="48">
        <f t="shared" ref="E36:E52" si="2">+D36*3.3058</f>
        <v>16991.812000000002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55">
        <f>TRUNC(9043.57746478873,-1)</f>
        <v>9040</v>
      </c>
      <c r="E37" s="48">
        <f t="shared" si="2"/>
        <v>29884.432000000001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55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55">
        <f>TRUNC(61114.2116944089,-1)</f>
        <v>61110</v>
      </c>
      <c r="E39" s="48">
        <f t="shared" si="2"/>
        <v>202017.43799999999</v>
      </c>
      <c r="F39" s="2" t="s">
        <v>186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55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55">
        <f>TRUNC(1684.01195049082,-1)</f>
        <v>1680</v>
      </c>
      <c r="E41" s="48">
        <f t="shared" si="2"/>
        <v>5553.7439999999997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55">
        <f>TRUNC(81287.1971830986,-1)</f>
        <v>81280</v>
      </c>
      <c r="E42" s="48">
        <f t="shared" si="2"/>
        <v>268695.424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55">
        <f>TRUNC(23757.8523260777,-1)</f>
        <v>23750</v>
      </c>
      <c r="E43" s="48">
        <f t="shared" si="2"/>
        <v>78512.75</v>
      </c>
      <c r="F43" s="2" t="s">
        <v>185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402</v>
      </c>
      <c r="D44" s="55">
        <f>TRUNC(96968.7200170721,-1)</f>
        <v>96960</v>
      </c>
      <c r="E44" s="48">
        <f t="shared" si="2"/>
        <v>320530.36800000002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55">
        <f>TRUNC(26306.9530516432,-1)</f>
        <v>26300</v>
      </c>
      <c r="E45" s="48">
        <f t="shared" si="2"/>
        <v>86942.540000000008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55">
        <f>TRUNC(7275.41570635937,-1)</f>
        <v>7270</v>
      </c>
      <c r="E46" s="48">
        <f t="shared" si="2"/>
        <v>24033.166000000001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55">
        <f>TRUNC(54753.6803243705,-1)</f>
        <v>54750</v>
      </c>
      <c r="E47" s="48">
        <f t="shared" si="2"/>
        <v>180992.55000000002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166</v>
      </c>
      <c r="D48" s="55">
        <f>TRUNC(25773.4404609475,-1)</f>
        <v>25770</v>
      </c>
      <c r="E48" s="48">
        <f t="shared" si="2"/>
        <v>85190.466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163</v>
      </c>
      <c r="D49" s="55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164</v>
      </c>
      <c r="D50" s="5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165</v>
      </c>
      <c r="D51" s="5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55">
        <f>TRUNC(55212.2483994878+3595.7050789586+2741.60307298335,-1)</f>
        <v>61540</v>
      </c>
      <c r="E52" s="48">
        <f t="shared" si="2"/>
        <v>203438.932</v>
      </c>
      <c r="F52" s="2" t="s">
        <v>403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167</v>
      </c>
      <c r="D53" s="5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122</v>
      </c>
      <c r="D54" s="44">
        <f>SUM(D34:D53)</f>
        <v>606160</v>
      </c>
      <c r="E54" s="45">
        <f>SUM(E34:E53)</f>
        <v>2003843.7279999999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125</v>
      </c>
      <c r="C56" s="2" t="s">
        <v>123</v>
      </c>
      <c r="D56" s="2" t="s">
        <v>124</v>
      </c>
      <c r="E56" s="35" t="s">
        <v>172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f>TRUNC(7133.08151941955,-1)</f>
        <v>7130</v>
      </c>
      <c r="E57" s="47">
        <f>+D57*3.3058</f>
        <v>23570.353999999999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5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5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122</v>
      </c>
      <c r="D60" s="50">
        <f>SUM(D57:D59)</f>
        <v>7130</v>
      </c>
      <c r="E60" s="45">
        <f>SUM(E57:E59)</f>
        <v>23570.353999999999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126</v>
      </c>
      <c r="C62" s="2" t="s">
        <v>123</v>
      </c>
      <c r="D62" s="2" t="s">
        <v>124</v>
      </c>
      <c r="E62" s="35" t="s">
        <v>172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f>TRUNC(20823.4558258643,-1)</f>
        <v>20820</v>
      </c>
      <c r="E63" s="47">
        <f>+D63*3.3058</f>
        <v>68826.756000000008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55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55">
        <f>TRUNC(6716.84805804524,-1)</f>
        <v>6710</v>
      </c>
      <c r="E65" s="48">
        <f t="shared" ref="E65:E86" si="3">+D65*3.3058</f>
        <v>22181.918000000001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55">
        <f>TRUNC(1952.46948356808,-1)</f>
        <v>1950</v>
      </c>
      <c r="E66" s="48">
        <f t="shared" si="3"/>
        <v>6446.31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5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276</v>
      </c>
      <c r="D68" s="55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158</v>
      </c>
      <c r="D69" s="55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137</v>
      </c>
      <c r="D70" s="5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171</v>
      </c>
      <c r="D71" s="55">
        <f>TRUNC(21681.6047801963,-1)</f>
        <v>21680</v>
      </c>
      <c r="E71" s="48">
        <f t="shared" si="3"/>
        <v>71669.744000000006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155</v>
      </c>
      <c r="D72" s="5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151</v>
      </c>
      <c r="D73" s="55">
        <f>TRUNC(4486.97609901835,-1)</f>
        <v>4480</v>
      </c>
      <c r="E73" s="48">
        <f t="shared" si="3"/>
        <v>14809.984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146</v>
      </c>
      <c r="D74" s="5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139</v>
      </c>
      <c r="D75" s="5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152</v>
      </c>
      <c r="D76" s="5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154</v>
      </c>
      <c r="D77" s="5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140</v>
      </c>
      <c r="D78" s="55">
        <f>TRUNC(6890.8408023901,-1)</f>
        <v>6890</v>
      </c>
      <c r="E78" s="48">
        <f t="shared" si="3"/>
        <v>22776.962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141</v>
      </c>
      <c r="D79" s="5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159</v>
      </c>
      <c r="D80" s="5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157</v>
      </c>
      <c r="D81" s="5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160</v>
      </c>
      <c r="D82" s="5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5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55">
        <f>TRUNC(2063.74733247973,-1)</f>
        <v>2060</v>
      </c>
      <c r="E84" s="48">
        <f t="shared" si="3"/>
        <v>6809.9480000000003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55">
        <v>0</v>
      </c>
      <c r="E85" s="48">
        <f t="shared" si="3"/>
        <v>0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55">
        <f>TRUNC(6126.81306017926,-1)</f>
        <v>6120</v>
      </c>
      <c r="E86" s="48">
        <f t="shared" si="3"/>
        <v>20231.495999999999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167</v>
      </c>
      <c r="D87" s="55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56">
        <f>TRUNC(3351.67733674776,-1)</f>
        <v>3350</v>
      </c>
      <c r="E88" s="49">
        <f>+D88*3.3058</f>
        <v>11074.43</v>
      </c>
      <c r="F88" s="2" t="s">
        <v>182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122</v>
      </c>
      <c r="D89" s="44">
        <f>SUM(D63:D88)</f>
        <v>74060</v>
      </c>
      <c r="E89" s="45">
        <f>SUM(E63:E88)</f>
        <v>244827.54800000001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127</v>
      </c>
      <c r="C91" s="2" t="s">
        <v>123</v>
      </c>
      <c r="D91" s="2" t="s">
        <v>124</v>
      </c>
      <c r="E91" s="35" t="s">
        <v>172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f>TRUNC(13989.6397780623,-1)</f>
        <v>13980</v>
      </c>
      <c r="E92" s="47">
        <f>+D92*3.3058</f>
        <v>46215.084000000003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55">
        <f>TRUNC(1893.26163038839,-1)</f>
        <v>1890</v>
      </c>
      <c r="E93" s="48">
        <f>+D93*3.3058</f>
        <v>6247.9620000000004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55">
        <f>TRUNC(20239.2496798976,-1)</f>
        <v>20230</v>
      </c>
      <c r="E94" s="48">
        <f t="shared" ref="E94:E111" si="4">+D94*3.3058</f>
        <v>66876.334000000003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5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55">
        <f>TRUNC(4586.49594536918,-1)</f>
        <v>4580</v>
      </c>
      <c r="E96" s="48">
        <f t="shared" si="4"/>
        <v>15140.564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5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55">
        <f>TRUNC(1449.52198036705,-1)</f>
        <v>1440</v>
      </c>
      <c r="E98" s="48">
        <f t="shared" si="4"/>
        <v>4760.3519999999999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55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153</v>
      </c>
      <c r="D100" s="5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135</v>
      </c>
      <c r="D101" s="5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138</v>
      </c>
      <c r="D102" s="55">
        <f>TRUNC(2043.50277422108,-1)</f>
        <v>2040</v>
      </c>
      <c r="E102" s="48">
        <f t="shared" si="4"/>
        <v>6743.8320000000003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143</v>
      </c>
      <c r="D103" s="5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145</v>
      </c>
      <c r="D104" s="5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147</v>
      </c>
      <c r="D105" s="5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150</v>
      </c>
      <c r="D106" s="5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136</v>
      </c>
      <c r="D107" s="5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148</v>
      </c>
      <c r="D108" s="55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134</v>
      </c>
      <c r="D109" s="55">
        <f>TRUNC(1418.63679043961,-1)</f>
        <v>1410</v>
      </c>
      <c r="E109" s="48">
        <f t="shared" si="4"/>
        <v>4661.1779999999999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133</v>
      </c>
      <c r="D110" s="55">
        <f>TRUNC(3664.66837387964,-1)</f>
        <v>3660</v>
      </c>
      <c r="E110" s="48">
        <f t="shared" si="4"/>
        <v>12099.228000000001</v>
      </c>
      <c r="F110" s="2" t="s">
        <v>180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167</v>
      </c>
      <c r="D111" s="55">
        <v>0</v>
      </c>
      <c r="E111" s="48">
        <f t="shared" si="4"/>
        <v>0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56">
        <f>TRUNC(1790.77251387111,-1)</f>
        <v>1790</v>
      </c>
      <c r="E112" s="49">
        <f>+D112*3.3058</f>
        <v>5917.3820000000005</v>
      </c>
      <c r="F112" s="2" t="s">
        <v>181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122</v>
      </c>
      <c r="D113" s="44">
        <f>SUM(D92:D112)</f>
        <v>51020</v>
      </c>
      <c r="E113" s="45">
        <f>SUM(E92:E112)</f>
        <v>168661.91600000006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128</v>
      </c>
      <c r="C115" s="2" t="s">
        <v>123</v>
      </c>
      <c r="D115" s="2" t="s">
        <v>124</v>
      </c>
      <c r="E115" s="35" t="s">
        <v>173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f>TRUNC(1917.16901408451,-1)</f>
        <v>1910</v>
      </c>
      <c r="E116" s="47">
        <f>+D116*3.3058</f>
        <v>6314.0780000000004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142</v>
      </c>
      <c r="D117" s="55">
        <f>TRUNC(5851.32863849765+4585.57703798549,-1)</f>
        <v>10430</v>
      </c>
      <c r="E117" s="48">
        <f>+D117*3.3058</f>
        <v>34479.493999999999</v>
      </c>
      <c r="F117" s="2" t="s">
        <v>178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170</v>
      </c>
      <c r="D118" s="5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156</v>
      </c>
      <c r="D119" s="55">
        <f>TRUNC(3472.22876653863,-1)</f>
        <v>3470</v>
      </c>
      <c r="E119" s="48">
        <f t="shared" si="5"/>
        <v>11471.126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55">
        <f>TRUNC(469.485702091336,-1)</f>
        <v>460</v>
      </c>
      <c r="E120" s="48">
        <f t="shared" si="5"/>
        <v>1520.6680000000001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5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55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144</v>
      </c>
      <c r="D123" s="5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55">
        <v>0</v>
      </c>
      <c r="E124" s="48">
        <f t="shared" si="5"/>
        <v>0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167</v>
      </c>
      <c r="D125" s="55">
        <v>0</v>
      </c>
      <c r="E125" s="48">
        <f t="shared" si="5"/>
        <v>0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56">
        <f>TRUNC(838.991037131882,-1)</f>
        <v>830</v>
      </c>
      <c r="E126" s="49">
        <f>+D126*3.3058</f>
        <v>2743.8139999999999</v>
      </c>
      <c r="F126" s="2" t="s">
        <v>179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122</v>
      </c>
      <c r="D127" s="44">
        <f>SUM(D116:D126)</f>
        <v>17100</v>
      </c>
      <c r="E127" s="45">
        <f>SUM(E116:E126)</f>
        <v>56529.18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129</v>
      </c>
      <c r="C129" s="2" t="s">
        <v>123</v>
      </c>
      <c r="D129" s="2" t="s">
        <v>124</v>
      </c>
      <c r="E129" s="35" t="s">
        <v>173</v>
      </c>
    </row>
    <row r="130" spans="1:23" x14ac:dyDescent="0.3">
      <c r="A130" s="2">
        <v>1</v>
      </c>
      <c r="C130" s="42" t="s">
        <v>149</v>
      </c>
      <c r="D130" s="46">
        <v>0</v>
      </c>
      <c r="E130" s="47">
        <f>+D130*3.3058</f>
        <v>0</v>
      </c>
    </row>
    <row r="131" spans="1:23" x14ac:dyDescent="0.3">
      <c r="A131" s="2">
        <v>2</v>
      </c>
      <c r="C131" s="42" t="s">
        <v>52</v>
      </c>
      <c r="D131" s="55">
        <v>0</v>
      </c>
      <c r="E131" s="48">
        <f>+D131*3.3058</f>
        <v>0</v>
      </c>
    </row>
    <row r="132" spans="1:23" x14ac:dyDescent="0.3">
      <c r="A132" s="2">
        <v>3</v>
      </c>
      <c r="C132" s="42" t="s">
        <v>65</v>
      </c>
      <c r="D132" s="5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55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55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55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55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55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5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167</v>
      </c>
      <c r="D139" s="5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122</v>
      </c>
      <c r="D140" s="44">
        <f>SUM(D130:D139)</f>
        <v>0</v>
      </c>
      <c r="E140" s="45">
        <f>SUM(E130:E139)</f>
        <v>0</v>
      </c>
    </row>
    <row r="142" spans="1:23" ht="17.25" thickBot="1" x14ac:dyDescent="0.35">
      <c r="B142" s="2" t="s">
        <v>130</v>
      </c>
      <c r="C142" s="2" t="s">
        <v>123</v>
      </c>
      <c r="D142" s="2" t="s">
        <v>124</v>
      </c>
      <c r="E142" s="35" t="s">
        <v>173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55">
        <f>TRUNC(2153.32437046522,-1)</f>
        <v>2150</v>
      </c>
      <c r="E144" s="48">
        <f>+D144*3.3058</f>
        <v>7107.47</v>
      </c>
    </row>
    <row r="145" spans="1:23" x14ac:dyDescent="0.3">
      <c r="A145" s="2">
        <v>3</v>
      </c>
      <c r="C145" s="42" t="s">
        <v>55</v>
      </c>
      <c r="D145" s="5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55">
        <f>TRUNC(1963.86171574904+6828.29193341869+71.3909517712335,-1)</f>
        <v>8860</v>
      </c>
      <c r="E146" s="48">
        <f t="shared" si="7"/>
        <v>29289.387999999999</v>
      </c>
      <c r="F146" s="37" t="s">
        <v>183</v>
      </c>
    </row>
    <row r="147" spans="1:23" ht="17.25" thickBot="1" x14ac:dyDescent="0.35">
      <c r="A147" s="2">
        <v>5</v>
      </c>
      <c r="C147" s="42" t="s">
        <v>167</v>
      </c>
      <c r="D147" s="5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122</v>
      </c>
      <c r="D148" s="44">
        <f>SUM(D143:D147)</f>
        <v>11010</v>
      </c>
      <c r="E148" s="45">
        <f>SUM(E143:E147)</f>
        <v>36396.858</v>
      </c>
    </row>
    <row r="150" spans="1:23" ht="17.25" thickBot="1" x14ac:dyDescent="0.35">
      <c r="B150" s="2" t="s">
        <v>131</v>
      </c>
      <c r="C150" s="2" t="s">
        <v>123</v>
      </c>
      <c r="D150" s="2" t="s">
        <v>124</v>
      </c>
      <c r="E150" s="35" t="s">
        <v>173</v>
      </c>
    </row>
    <row r="151" spans="1:23" x14ac:dyDescent="0.3">
      <c r="A151" s="2">
        <v>1</v>
      </c>
      <c r="C151" s="42" t="s">
        <v>56</v>
      </c>
      <c r="D151" s="46">
        <f>TRUNC(10421.542893726,-1)</f>
        <v>10420</v>
      </c>
      <c r="E151" s="47">
        <f>+D151*3.3058</f>
        <v>34446.436000000002</v>
      </c>
    </row>
    <row r="152" spans="1:23" x14ac:dyDescent="0.3">
      <c r="A152" s="2">
        <v>2</v>
      </c>
      <c r="C152" s="42" t="s">
        <v>57</v>
      </c>
      <c r="D152" s="55">
        <f>TRUNC(3989.40460947503,-1)</f>
        <v>3980</v>
      </c>
      <c r="E152" s="48">
        <f>+D152*3.3058</f>
        <v>13157.084000000001</v>
      </c>
    </row>
    <row r="153" spans="1:23" x14ac:dyDescent="0.3">
      <c r="A153" s="2">
        <v>3</v>
      </c>
      <c r="C153" s="42" t="s">
        <v>52</v>
      </c>
      <c r="D153" s="55">
        <f>TRUNC(174.495945369185+5855.38241570636+7748.45924029023,-1)</f>
        <v>13770</v>
      </c>
      <c r="E153" s="48">
        <f>+D153*3.3058</f>
        <v>45520.866000000002</v>
      </c>
      <c r="F153" s="2" t="s">
        <v>184</v>
      </c>
    </row>
    <row r="154" spans="1:23" ht="17.25" thickBot="1" x14ac:dyDescent="0.35">
      <c r="A154" s="2">
        <v>4</v>
      </c>
      <c r="C154" s="42" t="s">
        <v>167</v>
      </c>
      <c r="D154" s="5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122</v>
      </c>
      <c r="D155" s="44">
        <f>SUM(D151:D154)</f>
        <v>28170</v>
      </c>
      <c r="E155" s="45">
        <f>SUM(E151:E154)</f>
        <v>93124.385999999999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2020-04-28T01:58:33Z</dcterms:modified>
</cp:coreProperties>
</file>