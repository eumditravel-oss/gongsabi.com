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_공사비닷컴\200327\"/>
    </mc:Choice>
  </mc:AlternateContent>
  <xr:revisionPtr revIDLastSave="0" documentId="13_ncr:1_{FA612ACC-6EF0-4BBA-97D6-B57B8CA2820E}" xr6:coauthVersionLast="45" xr6:coauthVersionMax="45" xr10:uidLastSave="{00000000-0000-0000-0000-000000000000}"/>
  <bookViews>
    <workbookView xWindow="-120" yWindow="-120" windowWidth="26595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" i="4" l="1"/>
  <c r="D112" i="4"/>
  <c r="D26" i="4"/>
  <c r="D106" i="4"/>
  <c r="D25" i="4"/>
  <c r="D99" i="4"/>
  <c r="D24" i="4"/>
  <c r="D88" i="4"/>
  <c r="D23" i="4"/>
  <c r="D77" i="4"/>
  <c r="D22" i="4"/>
  <c r="D65" i="4"/>
  <c r="D21" i="4"/>
  <c r="D46" i="4"/>
  <c r="D52" i="4"/>
  <c r="D20" i="4"/>
  <c r="D19" i="4"/>
  <c r="E109" i="4"/>
  <c r="E110" i="4"/>
  <c r="E111" i="4"/>
  <c r="E112" i="4"/>
  <c r="E102" i="4"/>
  <c r="E103" i="4"/>
  <c r="E104" i="4"/>
  <c r="E105" i="4"/>
  <c r="E106" i="4"/>
  <c r="E91" i="4"/>
  <c r="E92" i="4"/>
  <c r="E93" i="4"/>
  <c r="E94" i="4"/>
  <c r="E95" i="4"/>
  <c r="E96" i="4"/>
  <c r="E97" i="4"/>
  <c r="E98" i="4"/>
  <c r="E99" i="4"/>
  <c r="E80" i="4"/>
  <c r="E81" i="4"/>
  <c r="E82" i="4"/>
  <c r="E83" i="4"/>
  <c r="E84" i="4"/>
  <c r="E85" i="4"/>
  <c r="E86" i="4"/>
  <c r="E87" i="4"/>
  <c r="E88" i="4"/>
  <c r="E68" i="4"/>
  <c r="E69" i="4"/>
  <c r="E70" i="4"/>
  <c r="E71" i="4"/>
  <c r="E72" i="4"/>
  <c r="E73" i="4"/>
  <c r="E74" i="4"/>
  <c r="E75" i="4"/>
  <c r="E76" i="4"/>
  <c r="E77" i="4"/>
  <c r="E55" i="4"/>
  <c r="E56" i="4"/>
  <c r="E57" i="4"/>
  <c r="E58" i="4"/>
  <c r="E59" i="4"/>
  <c r="E60" i="4"/>
  <c r="E61" i="4"/>
  <c r="E62" i="4"/>
  <c r="E63" i="4"/>
  <c r="E64" i="4"/>
  <c r="E65" i="4"/>
  <c r="V30" i="4"/>
  <c r="V55" i="4"/>
  <c r="T30" i="4"/>
  <c r="T55" i="4"/>
  <c r="E51" i="4"/>
  <c r="E50" i="4"/>
  <c r="E49" i="4"/>
  <c r="E36" i="4"/>
  <c r="E37" i="4"/>
  <c r="E38" i="4"/>
  <c r="E39" i="4"/>
  <c r="E40" i="4"/>
  <c r="E41" i="4"/>
  <c r="E42" i="4"/>
  <c r="E43" i="4"/>
  <c r="E44" i="4"/>
  <c r="E45" i="4"/>
  <c r="E30" i="4"/>
  <c r="E31" i="4"/>
  <c r="E32" i="4"/>
  <c r="E33" i="4"/>
  <c r="E34" i="4"/>
  <c r="E35" i="4"/>
  <c r="E46" i="4"/>
  <c r="E52" i="4"/>
  <c r="E19" i="4"/>
  <c r="E20" i="4"/>
  <c r="E21" i="4"/>
  <c r="E22" i="4"/>
  <c r="E23" i="4"/>
  <c r="E24" i="4"/>
  <c r="E25" i="4"/>
  <c r="E26" i="4"/>
  <c r="E18" i="4"/>
  <c r="E27" i="4"/>
  <c r="D27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O3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M3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</calcChain>
</file>

<file path=xl/sharedStrings.xml><?xml version="1.0" encoding="utf-8"?>
<sst xmlns="http://schemas.openxmlformats.org/spreadsheetml/2006/main" count="440" uniqueCount="179">
  <si>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</si>
  <si>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</si>
  <si>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</si>
  <si>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</si>
  <si>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</si>
  <si>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</si>
  <si>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</si>
  <si>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</si>
  <si>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</si>
  <si>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</si>
  <si>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</si>
  <si>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</si>
  <si>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</si>
  <si>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</si>
  <si>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</si>
  <si>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</si>
  <si>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</si>
  <si>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</si>
  <si>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</si>
  <si>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</si>
  <si>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</si>
  <si>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</si>
  <si>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</si>
  <si>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</si>
  <si>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</si>
  <si>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</si>
  <si>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</si>
  <si>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</si>
  <si>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</si>
  <si>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</si>
  <si>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</si>
  <si>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</si>
  <si>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</si>
  <si>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</si>
  <si>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</si>
  <si>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</si>
  <si>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</si>
  <si>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</si>
  <si>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</si>
  <si>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</si>
  <si>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</si>
  <si>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</si>
  <si>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</si>
  <si>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</si>
  <si>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</si>
  <si>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</si>
  <si>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</si>
  <si>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</si>
  <si>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</si>
  <si>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</si>
  <si>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</si>
  <si>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</si>
  <si>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</si>
  <si>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</si>
  <si>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</si>
  <si>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</si>
  <si>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</si>
  <si>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</si>
  <si>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</si>
  <si>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</si>
  <si>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</si>
  <si>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</si>
  <si>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</si>
  <si>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</si>
  <si>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</si>
  <si>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</si>
  <si>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</si>
  <si>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</si>
  <si>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</si>
  <si>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</si>
  <si>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</si>
  <si>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</si>
  <si>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</si>
  <si>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</si>
  <si>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</si>
  <si>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</si>
  <si>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</si>
  <si>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</si>
  <si>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</si>
  <si>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</si>
  <si>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</si>
  <si>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</si>
  <si>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</si>
  <si>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</si>
  <si>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</si>
  <si>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</si>
  <si>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</si>
  <si>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</si>
  <si>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</si>
  <si>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</si>
  <si>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</si>
  <si>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</si>
  <si>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</si>
  <si>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</si>
  <si>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</si>
  <si>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</si>
  <si>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</si>
  <si>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</si>
  <si>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</si>
  <si>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</si>
  <si>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</si>
  <si>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</si>
  <si>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</si>
  <si>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</si>
  <si>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</si>
  <si>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</si>
  <si>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</si>
  <si>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</si>
  <si>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</si>
  <si>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</si>
  <si>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</si>
  <si>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</si>
  <si>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</si>
  <si>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</si>
  <si>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</si>
  <si>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</si>
  <si>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</si>
  <si>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</si>
  <si>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</si>
  <si>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</si>
  <si>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</si>
  <si>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</si>
  <si>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</si>
  <si>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</si>
  <si>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</si>
  <si>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</si>
  <si>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</si>
  <si>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</si>
  <si>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</si>
  <si>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</si>
  <si>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</si>
  <si>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</si>
  <si>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</si>
  <si>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</si>
  <si>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</si>
  <si>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</si>
  <si>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</si>
  <si>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</si>
  <si>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</si>
  <si>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</si>
  <si>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</si>
  <si>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</si>
  <si>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</si>
  <si>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</si>
  <si>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</si>
  <si>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</si>
  <si>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</si>
  <si>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</si>
  <si>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</si>
  <si>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</si>
  <si>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</si>
  <si>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</si>
  <si>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</si>
  <si>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</si>
  <si>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</si>
  <si>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</si>
  <si>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</si>
  <si>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</si>
  <si>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2011년</t>
    <phoneticPr fontId="2" type="noConversion"/>
  </si>
  <si>
    <t>구 분</t>
    <phoneticPr fontId="2" type="noConversion"/>
  </si>
  <si>
    <t>등  급</t>
    <phoneticPr fontId="2" type="noConversion"/>
  </si>
  <si>
    <t>고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</si>
  <si>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</si>
  <si>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</si>
  <si>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</si>
  <si>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</si>
  <si>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삼정동 아파트 신축공사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</si>
  <si>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</si>
  <si>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</si>
  <si>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</si>
  <si>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건축공종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</si>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</sst>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49" fontId="0" fillId="2" borderId="13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0</v>
      </c>
      <c r="B2" s="58" t="s">
        <v>1</v>
      </c>
      <c r="C2" s="59"/>
      <c r="D2" s="58" t="s">
        <v>2</v>
      </c>
      <c r="E2" s="59"/>
      <c r="F2" s="58" t="s">
        <v>141</v>
      </c>
      <c r="G2" s="59"/>
      <c r="H2" s="58" t="s">
        <v>3</v>
      </c>
      <c r="I2" s="59"/>
      <c r="J2" s="58" t="s">
        <v>4</v>
      </c>
      <c r="K2" s="59"/>
      <c r="L2" s="64" t="s">
        <v>5</v>
      </c>
      <c r="M2" s="65"/>
      <c r="N2" s="64" t="s">
        <v>82</v>
      </c>
      <c r="O2" s="65"/>
      <c r="P2" s="80" t="s">
        <v>16</v>
      </c>
      <c r="Q2" s="59"/>
      <c r="R2" s="73" t="s">
        <v>142</v>
      </c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5"/>
    </row>
    <row r="3" spans="1:33" x14ac:dyDescent="0.3">
      <c r="A3" s="71"/>
      <c r="B3" s="60"/>
      <c r="C3" s="61"/>
      <c r="D3" s="60"/>
      <c r="E3" s="61"/>
      <c r="F3" s="60"/>
      <c r="G3" s="61"/>
      <c r="H3" s="60"/>
      <c r="I3" s="61"/>
      <c r="J3" s="60"/>
      <c r="K3" s="61"/>
      <c r="L3" s="66"/>
      <c r="M3" s="67"/>
      <c r="N3" s="66"/>
      <c r="O3" s="67"/>
      <c r="P3" s="81"/>
      <c r="Q3" s="61"/>
      <c r="R3" s="76" t="s">
        <v>143</v>
      </c>
      <c r="S3" s="77"/>
      <c r="T3" s="76" t="s">
        <v>144</v>
      </c>
      <c r="U3" s="77"/>
      <c r="V3" s="76" t="s">
        <v>145</v>
      </c>
      <c r="W3" s="77"/>
      <c r="X3" s="76" t="s">
        <v>146</v>
      </c>
      <c r="Y3" s="77"/>
      <c r="Z3" s="76" t="s">
        <v>147</v>
      </c>
      <c r="AA3" s="77"/>
      <c r="AB3" s="76" t="s">
        <v>148</v>
      </c>
      <c r="AC3" s="77"/>
      <c r="AD3" s="76" t="s">
        <v>149</v>
      </c>
      <c r="AE3" s="77"/>
      <c r="AF3" s="76" t="s">
        <v>150</v>
      </c>
      <c r="AG3" s="77"/>
    </row>
    <row r="4" spans="1:33" x14ac:dyDescent="0.3">
      <c r="A4" s="72"/>
      <c r="B4" s="62"/>
      <c r="C4" s="63"/>
      <c r="D4" s="62"/>
      <c r="E4" s="63"/>
      <c r="F4" s="62"/>
      <c r="G4" s="63"/>
      <c r="H4" s="62"/>
      <c r="I4" s="63"/>
      <c r="J4" s="62"/>
      <c r="K4" s="63"/>
      <c r="L4" s="68"/>
      <c r="M4" s="69"/>
      <c r="N4" s="68"/>
      <c r="O4" s="69"/>
      <c r="P4" s="82"/>
      <c r="Q4" s="63"/>
      <c r="R4" s="78"/>
      <c r="S4" s="79"/>
      <c r="T4" s="78"/>
      <c r="U4" s="79"/>
      <c r="V4" s="78"/>
      <c r="W4" s="79"/>
      <c r="X4" s="78"/>
      <c r="Y4" s="79"/>
      <c r="Z4" s="78"/>
      <c r="AA4" s="79"/>
      <c r="AB4" s="78"/>
      <c r="AC4" s="79"/>
      <c r="AD4" s="78"/>
      <c r="AE4" s="79"/>
      <c r="AF4" s="78"/>
      <c r="AG4" s="79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P2:Q4"/>
    <mergeCell ref="B2:C4"/>
    <mergeCell ref="F2:G4"/>
    <mergeCell ref="R2:AG2"/>
    <mergeCell ref="R3:S4"/>
    <mergeCell ref="T3:U4"/>
    <mergeCell ref="V3:W4"/>
    <mergeCell ref="X3:Y4"/>
    <mergeCell ref="Z3:AA4"/>
    <mergeCell ref="AB3:AC4"/>
    <mergeCell ref="AD3:AE4"/>
    <mergeCell ref="AF3:AG4"/>
    <mergeCell ref="D2:E4"/>
    <mergeCell ref="H2:I4"/>
    <mergeCell ref="J2:K4"/>
    <mergeCell ref="N2:O4"/>
    <mergeCell ref="A2:A4"/>
    <mergeCell ref="L2:M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2"/>
  <sheetViews>
    <sheetView tabSelected="1" workbookViewId="0">
      <pane xSplit="7815" topLeftCell="H1"/>
      <selection activeCell="E11" sqref="E11"/>
      <selection pane="topRight" activeCell="H70" sqref="H70"/>
    </sheetView>
  </sheetViews>
  <sheetFormatPr defaultRowHeight="16.5" x14ac:dyDescent="0.3"/>
  <cols>
    <col min="1" max="1" width="5.5" style="2" customWidth="1"/>
    <col min="2" max="2" width="16.375" style="2" customWidth="1"/>
    <col min="3" max="3" width="11" style="57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0" t="s">
        <v>0</v>
      </c>
      <c r="I1" s="58" t="s">
        <v>1</v>
      </c>
      <c r="J1" s="59"/>
      <c r="K1" s="58" t="s">
        <v>2</v>
      </c>
      <c r="L1" s="59"/>
      <c r="M1" s="58" t="s">
        <v>141</v>
      </c>
      <c r="N1" s="59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83" t="s">
        <v>166</v>
      </c>
      <c r="H2" s="71"/>
      <c r="I2" s="60"/>
      <c r="J2" s="61"/>
      <c r="K2" s="60"/>
      <c r="L2" s="61"/>
      <c r="M2" s="60"/>
      <c r="N2" s="61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2"/>
      <c r="I3" s="62"/>
      <c r="J3" s="63"/>
      <c r="K3" s="62"/>
      <c r="L3" s="63"/>
      <c r="M3" s="62"/>
      <c r="N3" s="63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83" t="s">
        <v>86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84">
        <v>1000</v>
      </c>
      <c r="D7" s="83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83" t="s">
        <v>122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83" t="s">
        <v>158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159</v>
      </c>
      <c r="C13" s="83" t="s">
        <v>178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160</v>
      </c>
      <c r="C15" s="83" t="s">
        <v>161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162</v>
      </c>
      <c r="C17" s="2" t="s">
        <v>167</v>
      </c>
      <c r="D17" s="2" t="s">
        <v>168</v>
      </c>
      <c r="E17" s="57" t="s">
        <v>169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C18" s="57" t="s">
        <v>163</v>
      </c>
      <c r="D18" s="85">
        <v>1001</v>
      </c>
      <c r="E18" s="86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C19" s="57" t="s">
        <v>164</v>
      </c>
      <c r="D19" s="87">
        <f>+D46</f>
        <v>1736</v>
      </c>
      <c r="E19" s="88">
        <f t="shared" ref="E19:E26" si="1">+D19*3.3058</f>
        <v>5738.8688000000002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C20" s="57" t="s">
        <v>144</v>
      </c>
      <c r="D20" s="87">
        <f>+D52</f>
        <v>3457</v>
      </c>
      <c r="E20" s="88">
        <f t="shared" si="1"/>
        <v>11428.150600000001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C21" s="57" t="s">
        <v>145</v>
      </c>
      <c r="D21" s="87">
        <f>+D65</f>
        <v>1055</v>
      </c>
      <c r="E21" s="88">
        <f t="shared" si="1"/>
        <v>3487.6190000000001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C22" s="57" t="s">
        <v>146</v>
      </c>
      <c r="D22" s="87">
        <f>+D77</f>
        <v>945</v>
      </c>
      <c r="E22" s="88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C23" s="57" t="s">
        <v>147</v>
      </c>
      <c r="D23" s="87">
        <f>+D88</f>
        <v>837</v>
      </c>
      <c r="E23" s="88">
        <f t="shared" si="1"/>
        <v>2766.9546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C24" s="57" t="s">
        <v>148</v>
      </c>
      <c r="D24" s="87">
        <f>+D99</f>
        <v>836</v>
      </c>
      <c r="E24" s="88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C25" s="57" t="s">
        <v>149</v>
      </c>
      <c r="D25" s="87">
        <f>+D106</f>
        <v>410</v>
      </c>
      <c r="E25" s="88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C26" s="57" t="s">
        <v>150</v>
      </c>
      <c r="D26" s="89">
        <f>+D112</f>
        <v>311</v>
      </c>
      <c r="E26" s="90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165</v>
      </c>
      <c r="D27" s="2">
        <f>SUM(D18:D26)</f>
        <v>10588</v>
      </c>
      <c r="E27" s="57">
        <f>SUM(E18:E26)</f>
        <v>35001.810399999995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ht="17.25" thickBot="1" x14ac:dyDescent="0.35">
      <c r="B29" s="2" t="s">
        <v>170</v>
      </c>
      <c r="C29" s="2" t="s">
        <v>167</v>
      </c>
      <c r="D29" s="2" t="s">
        <v>168</v>
      </c>
      <c r="E29" s="57" t="s">
        <v>169</v>
      </c>
      <c r="I29" s="2"/>
      <c r="L29" s="2"/>
      <c r="N29" s="2"/>
      <c r="O29" s="2"/>
      <c r="Q29" s="18"/>
      <c r="S29" s="2"/>
      <c r="U29" s="2"/>
      <c r="W29" s="2"/>
    </row>
    <row r="30" spans="1:40" x14ac:dyDescent="0.3">
      <c r="C30" s="91" t="s">
        <v>28</v>
      </c>
      <c r="D30" s="85">
        <v>101</v>
      </c>
      <c r="E30" s="86">
        <f>+D30*3.3058</f>
        <v>333.88580000000002</v>
      </c>
      <c r="I30" s="2"/>
      <c r="L30" s="2"/>
      <c r="N30" s="2"/>
      <c r="O30" s="2"/>
      <c r="Q30" s="18"/>
      <c r="S30" s="2"/>
      <c r="T30" s="3">
        <f>SUM(T4:T29)</f>
        <v>0</v>
      </c>
      <c r="U30" s="2"/>
      <c r="V30" s="3">
        <f>SUM(V4:V29)</f>
        <v>0</v>
      </c>
      <c r="Y30" s="3"/>
      <c r="AA30" s="3"/>
      <c r="AC30" s="3"/>
      <c r="AE30" s="3"/>
    </row>
    <row r="31" spans="1:40" x14ac:dyDescent="0.3">
      <c r="C31" s="91" t="s">
        <v>26</v>
      </c>
      <c r="D31" s="87">
        <v>102</v>
      </c>
      <c r="E31" s="88">
        <f t="shared" ref="E31:E45" si="2">+D31*3.3058</f>
        <v>337.19159999999999</v>
      </c>
      <c r="I31" s="2"/>
      <c r="L31" s="2"/>
      <c r="N31" s="2"/>
      <c r="O31" s="2"/>
      <c r="Q31" s="18"/>
      <c r="S31" s="2"/>
      <c r="U31" s="2"/>
      <c r="W31" s="2"/>
    </row>
    <row r="32" spans="1:40" x14ac:dyDescent="0.3">
      <c r="C32" s="91" t="s">
        <v>27</v>
      </c>
      <c r="D32" s="87">
        <v>103</v>
      </c>
      <c r="E32" s="88">
        <f t="shared" si="2"/>
        <v>340.49740000000003</v>
      </c>
      <c r="I32" s="2"/>
      <c r="L32" s="2"/>
      <c r="N32" s="2"/>
      <c r="O32" s="2"/>
      <c r="Q32" s="18"/>
      <c r="S32" s="2"/>
      <c r="U32" s="2"/>
      <c r="W32" s="2"/>
    </row>
    <row r="33" spans="2:23" x14ac:dyDescent="0.3">
      <c r="C33" s="91" t="s">
        <v>29</v>
      </c>
      <c r="D33" s="87">
        <v>104</v>
      </c>
      <c r="E33" s="88">
        <f t="shared" si="2"/>
        <v>343.8032</v>
      </c>
      <c r="I33" s="2"/>
      <c r="L33" s="2"/>
      <c r="N33" s="2"/>
      <c r="O33" s="2"/>
      <c r="Q33" s="18"/>
      <c r="S33" s="2"/>
      <c r="U33" s="2"/>
      <c r="W33" s="2"/>
    </row>
    <row r="34" spans="2:23" x14ac:dyDescent="0.3">
      <c r="C34" s="91" t="s">
        <v>30</v>
      </c>
      <c r="D34" s="87">
        <v>105</v>
      </c>
      <c r="E34" s="88">
        <f t="shared" si="2"/>
        <v>347.10899999999998</v>
      </c>
      <c r="I34" s="2"/>
      <c r="L34" s="2"/>
      <c r="N34" s="2"/>
      <c r="O34" s="2"/>
      <c r="Q34" s="18"/>
      <c r="S34" s="2"/>
      <c r="U34" s="2"/>
      <c r="W34" s="2"/>
    </row>
    <row r="35" spans="2:23" x14ac:dyDescent="0.3">
      <c r="C35" s="91" t="s">
        <v>31</v>
      </c>
      <c r="D35" s="87">
        <v>106</v>
      </c>
      <c r="E35" s="88">
        <f t="shared" si="2"/>
        <v>350.41480000000001</v>
      </c>
      <c r="I35" s="2"/>
      <c r="L35" s="2"/>
      <c r="N35" s="2"/>
      <c r="O35" s="2"/>
      <c r="Q35" s="18"/>
      <c r="S35" s="2"/>
      <c r="U35" s="2"/>
      <c r="W35" s="2"/>
    </row>
    <row r="36" spans="2:23" x14ac:dyDescent="0.3">
      <c r="C36" s="91" t="s">
        <v>32</v>
      </c>
      <c r="D36" s="87">
        <v>107</v>
      </c>
      <c r="E36" s="88">
        <f t="shared" si="2"/>
        <v>353.72059999999999</v>
      </c>
      <c r="I36" s="2"/>
      <c r="L36" s="2"/>
      <c r="N36" s="2"/>
      <c r="O36" s="2"/>
      <c r="Q36" s="18"/>
      <c r="S36" s="2"/>
      <c r="U36" s="2"/>
      <c r="W36" s="2"/>
    </row>
    <row r="37" spans="2:23" x14ac:dyDescent="0.3">
      <c r="C37" s="91" t="s">
        <v>33</v>
      </c>
      <c r="D37" s="87">
        <v>108</v>
      </c>
      <c r="E37" s="88">
        <f t="shared" si="2"/>
        <v>357.02640000000002</v>
      </c>
      <c r="I37" s="2"/>
      <c r="L37" s="2"/>
      <c r="N37" s="2"/>
      <c r="O37" s="2"/>
      <c r="Q37" s="18"/>
      <c r="S37" s="2"/>
      <c r="U37" s="2"/>
      <c r="W37" s="2"/>
    </row>
    <row r="38" spans="2:23" x14ac:dyDescent="0.3">
      <c r="C38" s="91" t="s">
        <v>34</v>
      </c>
      <c r="D38" s="87">
        <v>109</v>
      </c>
      <c r="E38" s="88">
        <f t="shared" si="2"/>
        <v>360.3322</v>
      </c>
      <c r="I38" s="2"/>
      <c r="L38" s="2"/>
      <c r="N38" s="2"/>
      <c r="O38" s="2"/>
      <c r="Q38" s="18"/>
      <c r="S38" s="2"/>
      <c r="U38" s="2"/>
      <c r="W38" s="2"/>
    </row>
    <row r="39" spans="2:23" x14ac:dyDescent="0.3">
      <c r="C39" s="91" t="s">
        <v>35</v>
      </c>
      <c r="D39" s="87">
        <v>110</v>
      </c>
      <c r="E39" s="88">
        <f t="shared" si="2"/>
        <v>363.63800000000003</v>
      </c>
      <c r="I39" s="2"/>
      <c r="L39" s="2"/>
      <c r="N39" s="2"/>
      <c r="O39" s="2"/>
      <c r="Q39" s="18"/>
      <c r="S39" s="2"/>
      <c r="U39" s="2"/>
      <c r="W39" s="2"/>
    </row>
    <row r="40" spans="2:23" x14ac:dyDescent="0.3">
      <c r="C40" s="91" t="s">
        <v>36</v>
      </c>
      <c r="D40" s="87">
        <v>111</v>
      </c>
      <c r="E40" s="88">
        <f t="shared" si="2"/>
        <v>366.94380000000001</v>
      </c>
      <c r="I40" s="2"/>
      <c r="L40" s="2"/>
      <c r="N40" s="2"/>
      <c r="O40" s="2"/>
      <c r="Q40" s="18"/>
      <c r="S40" s="2"/>
      <c r="U40" s="2"/>
      <c r="W40" s="2"/>
    </row>
    <row r="41" spans="2:23" x14ac:dyDescent="0.3">
      <c r="C41" s="91" t="s">
        <v>37</v>
      </c>
      <c r="D41" s="87">
        <v>112</v>
      </c>
      <c r="E41" s="88">
        <f t="shared" si="2"/>
        <v>370.24959999999999</v>
      </c>
      <c r="I41" s="2"/>
      <c r="L41" s="2"/>
      <c r="N41" s="2"/>
      <c r="O41" s="2"/>
      <c r="Q41" s="18"/>
      <c r="S41" s="2"/>
      <c r="U41" s="2"/>
      <c r="W41" s="2"/>
    </row>
    <row r="42" spans="2:23" x14ac:dyDescent="0.3">
      <c r="C42" s="91" t="s">
        <v>38</v>
      </c>
      <c r="D42" s="87">
        <v>113</v>
      </c>
      <c r="E42" s="88">
        <f t="shared" si="2"/>
        <v>373.55540000000002</v>
      </c>
      <c r="I42" s="2"/>
      <c r="L42" s="2"/>
      <c r="N42" s="2"/>
      <c r="O42" s="2"/>
      <c r="Q42" s="18"/>
      <c r="S42" s="2"/>
      <c r="U42" s="2"/>
      <c r="W42" s="2"/>
    </row>
    <row r="43" spans="2:23" x14ac:dyDescent="0.3">
      <c r="C43" s="91" t="s">
        <v>39</v>
      </c>
      <c r="D43" s="87">
        <v>114</v>
      </c>
      <c r="E43" s="88">
        <f t="shared" si="2"/>
        <v>376.8612</v>
      </c>
      <c r="I43" s="2"/>
      <c r="L43" s="2"/>
      <c r="N43" s="2"/>
      <c r="O43" s="2"/>
      <c r="Q43" s="18"/>
      <c r="S43" s="2"/>
      <c r="U43" s="2"/>
      <c r="W43" s="2"/>
    </row>
    <row r="44" spans="2:23" x14ac:dyDescent="0.3">
      <c r="C44" s="91" t="s">
        <v>41</v>
      </c>
      <c r="D44" s="87">
        <v>115</v>
      </c>
      <c r="E44" s="88">
        <f t="shared" si="2"/>
        <v>380.16700000000003</v>
      </c>
      <c r="I44" s="2"/>
      <c r="L44" s="2"/>
      <c r="N44" s="2"/>
      <c r="O44" s="2"/>
      <c r="Q44" s="18"/>
      <c r="S44" s="2"/>
      <c r="U44" s="2"/>
      <c r="W44" s="2"/>
    </row>
    <row r="45" spans="2:23" ht="17.25" thickBot="1" x14ac:dyDescent="0.35">
      <c r="C45" s="91" t="s">
        <v>40</v>
      </c>
      <c r="D45" s="89">
        <v>116</v>
      </c>
      <c r="E45" s="90">
        <f t="shared" si="2"/>
        <v>383.47280000000001</v>
      </c>
      <c r="I45" s="2"/>
      <c r="L45" s="2"/>
      <c r="N45" s="2"/>
      <c r="O45" s="2"/>
      <c r="Q45" s="18"/>
      <c r="S45" s="2"/>
      <c r="U45" s="2"/>
      <c r="W45" s="2"/>
    </row>
    <row r="46" spans="2:23" x14ac:dyDescent="0.3">
      <c r="C46" s="57" t="s">
        <v>165</v>
      </c>
      <c r="D46" s="2">
        <f>SUM(D30:D45)</f>
        <v>1736</v>
      </c>
      <c r="E46" s="57">
        <f>SUM(E30:E45)</f>
        <v>5738.8688000000002</v>
      </c>
      <c r="I46" s="2"/>
      <c r="L46" s="2"/>
      <c r="N46" s="2"/>
      <c r="O46" s="2"/>
      <c r="Q46" s="18"/>
      <c r="S46" s="2"/>
      <c r="U46" s="2"/>
      <c r="W46" s="2"/>
    </row>
    <row r="47" spans="2:23" x14ac:dyDescent="0.3">
      <c r="I47" s="2"/>
      <c r="L47" s="2"/>
      <c r="N47" s="2"/>
      <c r="O47" s="2"/>
      <c r="Q47" s="18"/>
      <c r="S47" s="2"/>
      <c r="U47" s="2"/>
      <c r="W47" s="2"/>
    </row>
    <row r="48" spans="2:23" ht="17.25" thickBot="1" x14ac:dyDescent="0.35">
      <c r="B48" s="2" t="s">
        <v>171</v>
      </c>
      <c r="C48" s="2" t="s">
        <v>167</v>
      </c>
      <c r="D48" s="2" t="s">
        <v>168</v>
      </c>
      <c r="E48" s="57" t="s">
        <v>169</v>
      </c>
      <c r="I48" s="2"/>
      <c r="L48" s="2"/>
      <c r="N48" s="2"/>
      <c r="O48" s="2"/>
      <c r="Q48" s="2"/>
      <c r="S48" s="2"/>
      <c r="U48" s="2"/>
      <c r="W48" s="2"/>
    </row>
    <row r="49" spans="2:31" x14ac:dyDescent="0.3">
      <c r="C49" s="91" t="s">
        <v>42</v>
      </c>
      <c r="D49" s="85">
        <v>201</v>
      </c>
      <c r="E49" s="86">
        <f t="shared" ref="E49:E51" si="3">+D49*3.3058</f>
        <v>664.46580000000006</v>
      </c>
      <c r="I49" s="2"/>
      <c r="L49" s="2"/>
      <c r="N49" s="2"/>
      <c r="O49" s="2"/>
      <c r="Q49" s="2"/>
      <c r="S49" s="2"/>
      <c r="U49" s="2"/>
      <c r="W49" s="2"/>
    </row>
    <row r="50" spans="2:31" x14ac:dyDescent="0.3">
      <c r="C50" s="91" t="s">
        <v>44</v>
      </c>
      <c r="D50" s="87">
        <v>202</v>
      </c>
      <c r="E50" s="88">
        <f t="shared" si="3"/>
        <v>667.77160000000003</v>
      </c>
      <c r="I50" s="2"/>
      <c r="L50" s="2"/>
      <c r="N50" s="2"/>
      <c r="O50" s="2"/>
      <c r="Q50" s="2"/>
      <c r="S50" s="2"/>
      <c r="U50" s="2"/>
      <c r="W50" s="2"/>
    </row>
    <row r="51" spans="2:31" ht="17.25" thickBot="1" x14ac:dyDescent="0.35">
      <c r="C51" s="91" t="s">
        <v>43</v>
      </c>
      <c r="D51" s="89">
        <v>203</v>
      </c>
      <c r="E51" s="90">
        <f t="shared" si="3"/>
        <v>671.07740000000001</v>
      </c>
      <c r="I51" s="2"/>
      <c r="L51" s="2"/>
      <c r="N51" s="2"/>
      <c r="O51" s="2"/>
      <c r="Q51" s="2"/>
      <c r="S51" s="2"/>
      <c r="U51" s="2"/>
      <c r="W51" s="2"/>
    </row>
    <row r="52" spans="2:31" x14ac:dyDescent="0.3">
      <c r="C52" s="57" t="s">
        <v>165</v>
      </c>
      <c r="D52" s="2">
        <f>SUM(D36:D51)</f>
        <v>3457</v>
      </c>
      <c r="E52" s="57">
        <f>SUM(E36:E51)</f>
        <v>11428.150600000001</v>
      </c>
      <c r="I52" s="2"/>
      <c r="L52" s="2"/>
      <c r="N52" s="2"/>
      <c r="O52" s="2"/>
      <c r="Q52" s="2"/>
      <c r="S52" s="2"/>
      <c r="U52" s="2"/>
      <c r="W52" s="2"/>
    </row>
    <row r="53" spans="2:31" x14ac:dyDescent="0.3">
      <c r="I53" s="2"/>
      <c r="L53" s="2"/>
      <c r="N53" s="2"/>
      <c r="O53" s="2"/>
      <c r="Q53" s="2"/>
      <c r="S53" s="2"/>
      <c r="U53" s="2"/>
      <c r="W53" s="2"/>
    </row>
    <row r="54" spans="2:31" ht="17.25" thickBot="1" x14ac:dyDescent="0.35">
      <c r="B54" s="2" t="s">
        <v>172</v>
      </c>
      <c r="C54" s="2" t="s">
        <v>167</v>
      </c>
      <c r="D54" s="2" t="s">
        <v>168</v>
      </c>
      <c r="E54" s="57" t="s">
        <v>169</v>
      </c>
      <c r="I54" s="2"/>
      <c r="L54" s="2"/>
      <c r="N54" s="2"/>
      <c r="O54" s="2"/>
      <c r="Q54" s="18"/>
      <c r="S54" s="2"/>
      <c r="U54" s="2"/>
      <c r="W54" s="2"/>
    </row>
    <row r="55" spans="2:31" x14ac:dyDescent="0.3">
      <c r="C55" s="91" t="s">
        <v>45</v>
      </c>
      <c r="D55" s="85">
        <v>101</v>
      </c>
      <c r="E55" s="86">
        <f>+D55*3.3058</f>
        <v>333.88580000000002</v>
      </c>
      <c r="I55" s="2"/>
      <c r="L55" s="2"/>
      <c r="N55" s="2"/>
      <c r="O55" s="2"/>
      <c r="Q55" s="18"/>
      <c r="S55" s="2"/>
      <c r="T55" s="3">
        <f>SUM(T29:T54)</f>
        <v>0</v>
      </c>
      <c r="U55" s="2"/>
      <c r="V55" s="3">
        <f>SUM(V29:V54)</f>
        <v>0</v>
      </c>
      <c r="Y55" s="3"/>
      <c r="AA55" s="3"/>
      <c r="AC55" s="3"/>
      <c r="AE55" s="3"/>
    </row>
    <row r="56" spans="2:31" x14ac:dyDescent="0.3">
      <c r="C56" s="91" t="s">
        <v>46</v>
      </c>
      <c r="D56" s="87">
        <v>102</v>
      </c>
      <c r="E56" s="88">
        <f t="shared" ref="E56:E64" si="4">+D56*3.3058</f>
        <v>337.19159999999999</v>
      </c>
      <c r="I56" s="2"/>
      <c r="L56" s="2"/>
      <c r="N56" s="2"/>
      <c r="O56" s="2"/>
      <c r="Q56" s="18"/>
      <c r="S56" s="2"/>
      <c r="U56" s="2"/>
      <c r="W56" s="2"/>
    </row>
    <row r="57" spans="2:31" x14ac:dyDescent="0.3">
      <c r="C57" s="91" t="s">
        <v>47</v>
      </c>
      <c r="D57" s="87">
        <v>103</v>
      </c>
      <c r="E57" s="88">
        <f t="shared" si="4"/>
        <v>340.49740000000003</v>
      </c>
      <c r="I57" s="2"/>
      <c r="L57" s="2"/>
      <c r="N57" s="2"/>
      <c r="O57" s="2"/>
      <c r="Q57" s="18"/>
      <c r="S57" s="2"/>
      <c r="U57" s="2"/>
      <c r="W57" s="2"/>
    </row>
    <row r="58" spans="2:31" x14ac:dyDescent="0.3">
      <c r="C58" s="91" t="s">
        <v>48</v>
      </c>
      <c r="D58" s="87">
        <v>104</v>
      </c>
      <c r="E58" s="88">
        <f t="shared" si="4"/>
        <v>343.8032</v>
      </c>
      <c r="I58" s="2"/>
      <c r="L58" s="2"/>
      <c r="N58" s="2"/>
      <c r="O58" s="2"/>
      <c r="Q58" s="18"/>
      <c r="S58" s="2"/>
      <c r="U58" s="2"/>
      <c r="W58" s="2"/>
    </row>
    <row r="59" spans="2:31" x14ac:dyDescent="0.3">
      <c r="C59" s="91" t="s">
        <v>49</v>
      </c>
      <c r="D59" s="87">
        <v>105</v>
      </c>
      <c r="E59" s="88">
        <f t="shared" si="4"/>
        <v>347.10899999999998</v>
      </c>
      <c r="I59" s="2"/>
      <c r="L59" s="2"/>
      <c r="N59" s="2"/>
      <c r="O59" s="2"/>
      <c r="Q59" s="18"/>
      <c r="S59" s="2"/>
      <c r="U59" s="2"/>
      <c r="W59" s="2"/>
    </row>
    <row r="60" spans="2:31" x14ac:dyDescent="0.3">
      <c r="C60" s="91" t="s">
        <v>50</v>
      </c>
      <c r="D60" s="87">
        <v>106</v>
      </c>
      <c r="E60" s="88">
        <f t="shared" si="4"/>
        <v>350.41480000000001</v>
      </c>
      <c r="I60" s="2"/>
      <c r="L60" s="2"/>
      <c r="N60" s="2"/>
      <c r="O60" s="2"/>
      <c r="Q60" s="18"/>
      <c r="S60" s="2"/>
      <c r="U60" s="2"/>
      <c r="W60" s="2"/>
    </row>
    <row r="61" spans="2:31" x14ac:dyDescent="0.3">
      <c r="C61" s="91" t="s">
        <v>51</v>
      </c>
      <c r="D61" s="87">
        <v>107</v>
      </c>
      <c r="E61" s="88">
        <f t="shared" si="4"/>
        <v>353.72059999999999</v>
      </c>
      <c r="I61" s="2"/>
      <c r="L61" s="2"/>
      <c r="N61" s="2"/>
      <c r="O61" s="2"/>
      <c r="Q61" s="18"/>
      <c r="S61" s="2"/>
      <c r="U61" s="2"/>
      <c r="W61" s="2"/>
    </row>
    <row r="62" spans="2:31" x14ac:dyDescent="0.3">
      <c r="C62" s="91" t="s">
        <v>52</v>
      </c>
      <c r="D62" s="87">
        <v>108</v>
      </c>
      <c r="E62" s="88">
        <f t="shared" si="4"/>
        <v>357.02640000000002</v>
      </c>
      <c r="I62" s="2"/>
      <c r="L62" s="2"/>
      <c r="N62" s="2"/>
      <c r="O62" s="2"/>
      <c r="Q62" s="18"/>
      <c r="S62" s="2"/>
      <c r="U62" s="2"/>
      <c r="W62" s="2"/>
    </row>
    <row r="63" spans="2:31" x14ac:dyDescent="0.3">
      <c r="C63" s="91" t="s">
        <v>53</v>
      </c>
      <c r="D63" s="87">
        <v>109</v>
      </c>
      <c r="E63" s="88">
        <f t="shared" si="4"/>
        <v>360.3322</v>
      </c>
      <c r="I63" s="2"/>
      <c r="L63" s="2"/>
      <c r="N63" s="2"/>
      <c r="O63" s="2"/>
      <c r="Q63" s="18"/>
      <c r="S63" s="2"/>
      <c r="U63" s="2"/>
      <c r="W63" s="2"/>
    </row>
    <row r="64" spans="2:31" ht="17.25" thickBot="1" x14ac:dyDescent="0.35">
      <c r="C64" s="91" t="s">
        <v>54</v>
      </c>
      <c r="D64" s="89">
        <v>110</v>
      </c>
      <c r="E64" s="90">
        <f t="shared" si="4"/>
        <v>363.63800000000003</v>
      </c>
      <c r="I64" s="2"/>
      <c r="L64" s="2"/>
      <c r="N64" s="2"/>
      <c r="O64" s="2"/>
      <c r="Q64" s="18"/>
      <c r="S64" s="2"/>
      <c r="U64" s="2"/>
      <c r="W64" s="2"/>
    </row>
    <row r="65" spans="2:23" x14ac:dyDescent="0.3">
      <c r="C65" s="57" t="s">
        <v>165</v>
      </c>
      <c r="D65" s="2">
        <f>SUM(D55:D64)</f>
        <v>1055</v>
      </c>
      <c r="E65" s="57">
        <f>SUM(E55:E64)</f>
        <v>3487.6190000000001</v>
      </c>
      <c r="I65" s="2"/>
      <c r="L65" s="2"/>
      <c r="N65" s="2"/>
      <c r="O65" s="2"/>
      <c r="Q65" s="18"/>
      <c r="S65" s="2"/>
      <c r="U65" s="2"/>
      <c r="W65" s="2"/>
    </row>
    <row r="66" spans="2:23" x14ac:dyDescent="0.3">
      <c r="I66" s="2"/>
      <c r="L66" s="2"/>
      <c r="N66" s="2"/>
      <c r="O66" s="2"/>
      <c r="Q66" s="2"/>
      <c r="S66" s="2"/>
      <c r="U66" s="2"/>
      <c r="W66" s="2"/>
    </row>
    <row r="67" spans="2:23" ht="17.25" thickBot="1" x14ac:dyDescent="0.35">
      <c r="B67" s="2" t="s">
        <v>173</v>
      </c>
      <c r="C67" s="2" t="s">
        <v>167</v>
      </c>
      <c r="D67" s="2" t="s">
        <v>168</v>
      </c>
      <c r="E67" s="57" t="s">
        <v>169</v>
      </c>
      <c r="I67" s="2"/>
      <c r="L67" s="2"/>
      <c r="N67" s="2"/>
      <c r="O67" s="2"/>
      <c r="Q67" s="2"/>
      <c r="S67" s="2"/>
      <c r="U67" s="2"/>
      <c r="W67" s="2"/>
    </row>
    <row r="68" spans="2:23" x14ac:dyDescent="0.3">
      <c r="C68" s="91" t="s">
        <v>55</v>
      </c>
      <c r="D68" s="85">
        <v>101</v>
      </c>
      <c r="E68" s="86">
        <f>+D68*3.3058</f>
        <v>333.88580000000002</v>
      </c>
      <c r="I68" s="2"/>
      <c r="L68" s="2"/>
      <c r="N68" s="2"/>
      <c r="O68" s="2"/>
      <c r="Q68" s="2"/>
      <c r="S68" s="2"/>
      <c r="U68" s="2"/>
      <c r="W68" s="2"/>
    </row>
    <row r="69" spans="2:23" x14ac:dyDescent="0.3">
      <c r="C69" s="91" t="s">
        <v>56</v>
      </c>
      <c r="D69" s="87">
        <v>102</v>
      </c>
      <c r="E69" s="88">
        <f t="shared" ref="E69:E76" si="5">+D69*3.3058</f>
        <v>337.19159999999999</v>
      </c>
      <c r="I69" s="2"/>
      <c r="L69" s="2"/>
      <c r="N69" s="2"/>
      <c r="O69" s="2"/>
      <c r="Q69" s="2"/>
      <c r="S69" s="2"/>
      <c r="U69" s="2"/>
      <c r="W69" s="2"/>
    </row>
    <row r="70" spans="2:23" x14ac:dyDescent="0.3">
      <c r="C70" s="91" t="s">
        <v>57</v>
      </c>
      <c r="D70" s="87">
        <v>103</v>
      </c>
      <c r="E70" s="88">
        <f t="shared" si="5"/>
        <v>340.49740000000003</v>
      </c>
      <c r="I70" s="2"/>
      <c r="L70" s="2"/>
      <c r="N70" s="2"/>
      <c r="O70" s="2"/>
      <c r="Q70" s="2"/>
      <c r="S70" s="2"/>
      <c r="U70" s="2"/>
      <c r="W70" s="2"/>
    </row>
    <row r="71" spans="2:23" x14ac:dyDescent="0.3">
      <c r="C71" s="91" t="s">
        <v>58</v>
      </c>
      <c r="D71" s="87">
        <v>104</v>
      </c>
      <c r="E71" s="88">
        <f t="shared" si="5"/>
        <v>343.8032</v>
      </c>
      <c r="I71" s="2"/>
      <c r="L71" s="2"/>
      <c r="N71" s="2"/>
      <c r="O71" s="2"/>
      <c r="Q71" s="2"/>
      <c r="S71" s="2"/>
      <c r="U71" s="2"/>
      <c r="W71" s="2"/>
    </row>
    <row r="72" spans="2:23" x14ac:dyDescent="0.3">
      <c r="C72" s="91" t="s">
        <v>59</v>
      </c>
      <c r="D72" s="87">
        <v>105</v>
      </c>
      <c r="E72" s="88">
        <f t="shared" si="5"/>
        <v>347.10899999999998</v>
      </c>
      <c r="I72" s="2"/>
      <c r="L72" s="2"/>
      <c r="N72" s="2"/>
      <c r="O72" s="2"/>
      <c r="Q72" s="2"/>
      <c r="S72" s="2"/>
      <c r="U72" s="2"/>
      <c r="W72" s="2"/>
    </row>
    <row r="73" spans="2:23" x14ac:dyDescent="0.3">
      <c r="C73" s="91" t="s">
        <v>60</v>
      </c>
      <c r="D73" s="87">
        <v>106</v>
      </c>
      <c r="E73" s="88">
        <f t="shared" si="5"/>
        <v>350.41480000000001</v>
      </c>
      <c r="I73" s="2"/>
      <c r="L73" s="2"/>
      <c r="N73" s="2"/>
      <c r="O73" s="2"/>
      <c r="Q73" s="2"/>
      <c r="S73" s="2"/>
      <c r="U73" s="2"/>
      <c r="W73" s="2"/>
    </row>
    <row r="74" spans="2:23" x14ac:dyDescent="0.3">
      <c r="C74" s="91" t="s">
        <v>61</v>
      </c>
      <c r="D74" s="87">
        <v>107</v>
      </c>
      <c r="E74" s="88">
        <f t="shared" si="5"/>
        <v>353.72059999999999</v>
      </c>
      <c r="I74" s="2"/>
      <c r="L74" s="2"/>
      <c r="N74" s="2"/>
      <c r="O74" s="2"/>
      <c r="Q74" s="2"/>
      <c r="S74" s="2"/>
      <c r="U74" s="2"/>
      <c r="W74" s="2"/>
    </row>
    <row r="75" spans="2:23" x14ac:dyDescent="0.3">
      <c r="C75" s="91" t="s">
        <v>62</v>
      </c>
      <c r="D75" s="87">
        <v>108</v>
      </c>
      <c r="E75" s="88">
        <f t="shared" si="5"/>
        <v>357.02640000000002</v>
      </c>
      <c r="L75" s="2"/>
      <c r="N75" s="2"/>
      <c r="O75" s="2"/>
      <c r="Q75" s="2"/>
      <c r="S75" s="2"/>
      <c r="U75" s="2"/>
      <c r="W75" s="2"/>
    </row>
    <row r="76" spans="2:23" ht="17.25" thickBot="1" x14ac:dyDescent="0.35">
      <c r="C76" s="91" t="s">
        <v>63</v>
      </c>
      <c r="D76" s="89">
        <v>109</v>
      </c>
      <c r="E76" s="90">
        <f t="shared" si="5"/>
        <v>360.3322</v>
      </c>
      <c r="L76" s="2"/>
      <c r="N76" s="2"/>
      <c r="O76" s="2"/>
      <c r="Q76" s="2"/>
      <c r="S76" s="2"/>
      <c r="U76" s="2"/>
      <c r="W76" s="2"/>
    </row>
    <row r="77" spans="2:23" x14ac:dyDescent="0.3">
      <c r="C77" s="57" t="s">
        <v>165</v>
      </c>
      <c r="D77" s="2">
        <f>SUM(D68:D76)</f>
        <v>945</v>
      </c>
      <c r="E77" s="57">
        <f>SUM(E68:E76)</f>
        <v>3123.9810000000002</v>
      </c>
      <c r="L77" s="2"/>
      <c r="N77" s="2"/>
      <c r="O77" s="2"/>
      <c r="Q77" s="2"/>
      <c r="S77" s="2"/>
      <c r="U77" s="2"/>
      <c r="W77" s="2"/>
    </row>
    <row r="78" spans="2:23" x14ac:dyDescent="0.3">
      <c r="L78" s="2"/>
      <c r="N78" s="2"/>
      <c r="O78" s="2"/>
      <c r="Q78" s="2"/>
      <c r="S78" s="2"/>
      <c r="U78" s="2"/>
      <c r="W78" s="2"/>
    </row>
    <row r="79" spans="2:23" ht="17.25" thickBot="1" x14ac:dyDescent="0.35">
      <c r="B79" s="2" t="s">
        <v>174</v>
      </c>
      <c r="C79" s="2" t="s">
        <v>167</v>
      </c>
      <c r="D79" s="2" t="s">
        <v>168</v>
      </c>
      <c r="E79" s="57" t="s">
        <v>169</v>
      </c>
      <c r="L79" s="2"/>
      <c r="N79" s="2"/>
      <c r="O79" s="2"/>
      <c r="Q79" s="2"/>
      <c r="S79" s="2"/>
      <c r="U79" s="2"/>
      <c r="W79" s="2"/>
    </row>
    <row r="80" spans="2:23" x14ac:dyDescent="0.3">
      <c r="C80" s="91" t="s">
        <v>69</v>
      </c>
      <c r="D80" s="85">
        <v>101</v>
      </c>
      <c r="E80" s="86">
        <f>+D80*3.3058</f>
        <v>333.88580000000002</v>
      </c>
      <c r="L80" s="2"/>
      <c r="N80" s="2"/>
      <c r="O80" s="2"/>
      <c r="Q80" s="2"/>
      <c r="S80" s="2"/>
      <c r="U80" s="2"/>
      <c r="W80" s="2"/>
    </row>
    <row r="81" spans="2:23" x14ac:dyDescent="0.3">
      <c r="C81" s="91" t="s">
        <v>70</v>
      </c>
      <c r="D81" s="87">
        <v>102</v>
      </c>
      <c r="E81" s="88">
        <f t="shared" ref="E81:E87" si="6">+D81*3.3058</f>
        <v>337.19159999999999</v>
      </c>
      <c r="L81" s="2"/>
      <c r="N81" s="2"/>
      <c r="O81" s="2"/>
      <c r="Q81" s="2"/>
      <c r="S81" s="2"/>
      <c r="U81" s="2"/>
      <c r="W81" s="2"/>
    </row>
    <row r="82" spans="2:23" x14ac:dyDescent="0.3">
      <c r="C82" s="91" t="s">
        <v>73</v>
      </c>
      <c r="D82" s="87">
        <v>103</v>
      </c>
      <c r="E82" s="88">
        <f t="shared" si="6"/>
        <v>340.49740000000003</v>
      </c>
      <c r="L82" s="2"/>
      <c r="N82" s="2"/>
      <c r="O82" s="2"/>
      <c r="Q82" s="2"/>
      <c r="S82" s="2"/>
      <c r="U82" s="2"/>
      <c r="W82" s="2"/>
    </row>
    <row r="83" spans="2:23" x14ac:dyDescent="0.3">
      <c r="C83" s="91" t="s">
        <v>71</v>
      </c>
      <c r="D83" s="87">
        <v>104</v>
      </c>
      <c r="E83" s="88">
        <f t="shared" si="6"/>
        <v>343.8032</v>
      </c>
      <c r="L83" s="2"/>
      <c r="N83" s="2"/>
      <c r="O83" s="2"/>
      <c r="Q83" s="2"/>
      <c r="S83" s="2"/>
      <c r="U83" s="2"/>
      <c r="W83" s="2"/>
    </row>
    <row r="84" spans="2:23" x14ac:dyDescent="0.3">
      <c r="C84" s="91" t="s">
        <v>72</v>
      </c>
      <c r="D84" s="87">
        <v>105</v>
      </c>
      <c r="E84" s="88">
        <f t="shared" si="6"/>
        <v>347.10899999999998</v>
      </c>
      <c r="L84" s="2"/>
      <c r="N84" s="2"/>
      <c r="O84" s="2"/>
      <c r="Q84" s="2"/>
      <c r="S84" s="2"/>
      <c r="U84" s="2"/>
      <c r="W84" s="2"/>
    </row>
    <row r="85" spans="2:23" x14ac:dyDescent="0.3">
      <c r="C85" s="91" t="s">
        <v>74</v>
      </c>
      <c r="D85" s="87">
        <v>106</v>
      </c>
      <c r="E85" s="88">
        <f t="shared" si="6"/>
        <v>350.41480000000001</v>
      </c>
      <c r="L85" s="2"/>
      <c r="N85" s="2"/>
      <c r="O85" s="2"/>
      <c r="Q85" s="2"/>
      <c r="S85" s="2"/>
      <c r="U85" s="2"/>
      <c r="W85" s="2"/>
    </row>
    <row r="86" spans="2:23" x14ac:dyDescent="0.3">
      <c r="C86" s="91" t="s">
        <v>62</v>
      </c>
      <c r="D86" s="87">
        <v>107</v>
      </c>
      <c r="E86" s="88">
        <f t="shared" si="6"/>
        <v>353.72059999999999</v>
      </c>
      <c r="L86" s="2"/>
      <c r="N86" s="2"/>
      <c r="O86" s="2"/>
      <c r="Q86" s="2"/>
      <c r="S86" s="2"/>
      <c r="U86" s="2"/>
      <c r="W86" s="2"/>
    </row>
    <row r="87" spans="2:23" ht="17.25" thickBot="1" x14ac:dyDescent="0.35">
      <c r="C87" s="91" t="s">
        <v>63</v>
      </c>
      <c r="D87" s="89">
        <v>109</v>
      </c>
      <c r="E87" s="90">
        <f t="shared" si="6"/>
        <v>360.3322</v>
      </c>
      <c r="L87" s="2"/>
      <c r="N87" s="2"/>
      <c r="O87" s="2"/>
      <c r="Q87" s="2"/>
      <c r="S87" s="2"/>
      <c r="U87" s="2"/>
      <c r="W87" s="2"/>
    </row>
    <row r="88" spans="2:23" x14ac:dyDescent="0.3">
      <c r="C88" s="57" t="s">
        <v>165</v>
      </c>
      <c r="D88" s="2">
        <f>SUM(D80:D87)</f>
        <v>837</v>
      </c>
      <c r="E88" s="57">
        <f>SUM(E80:E87)</f>
        <v>2766.9546</v>
      </c>
      <c r="L88" s="2"/>
      <c r="N88" s="2"/>
      <c r="O88" s="2"/>
      <c r="Q88" s="2"/>
      <c r="S88" s="2"/>
      <c r="U88" s="2"/>
      <c r="W88" s="2"/>
    </row>
    <row r="89" spans="2:23" x14ac:dyDescent="0.3">
      <c r="L89" s="2"/>
      <c r="N89" s="2"/>
      <c r="O89" s="2"/>
      <c r="Q89" s="2"/>
      <c r="S89" s="2"/>
      <c r="U89" s="2"/>
      <c r="W89" s="2"/>
    </row>
    <row r="90" spans="2:23" ht="17.25" thickBot="1" x14ac:dyDescent="0.35">
      <c r="B90" s="2" t="s">
        <v>175</v>
      </c>
      <c r="C90" s="2" t="s">
        <v>167</v>
      </c>
      <c r="D90" s="2" t="s">
        <v>168</v>
      </c>
      <c r="E90" s="57" t="s">
        <v>169</v>
      </c>
    </row>
    <row r="91" spans="2:23" x14ac:dyDescent="0.3">
      <c r="C91" s="91" t="s">
        <v>75</v>
      </c>
      <c r="D91" s="85">
        <v>101</v>
      </c>
      <c r="E91" s="86">
        <f>+D91*3.3058</f>
        <v>333.88580000000002</v>
      </c>
    </row>
    <row r="92" spans="2:23" x14ac:dyDescent="0.3">
      <c r="C92" s="91" t="s">
        <v>76</v>
      </c>
      <c r="D92" s="87">
        <v>102</v>
      </c>
      <c r="E92" s="88">
        <f t="shared" ref="E92:E98" si="7">+D92*3.3058</f>
        <v>337.19159999999999</v>
      </c>
    </row>
    <row r="93" spans="2:23" x14ac:dyDescent="0.3">
      <c r="C93" s="91" t="s">
        <v>77</v>
      </c>
      <c r="D93" s="87">
        <v>103</v>
      </c>
      <c r="E93" s="88">
        <f t="shared" si="7"/>
        <v>340.49740000000003</v>
      </c>
    </row>
    <row r="94" spans="2:23" x14ac:dyDescent="0.3">
      <c r="C94" s="91" t="s">
        <v>78</v>
      </c>
      <c r="D94" s="87">
        <v>104</v>
      </c>
      <c r="E94" s="88">
        <f t="shared" si="7"/>
        <v>343.8032</v>
      </c>
    </row>
    <row r="95" spans="2:23" x14ac:dyDescent="0.3">
      <c r="C95" s="91" t="s">
        <v>79</v>
      </c>
      <c r="D95" s="87">
        <v>105</v>
      </c>
      <c r="E95" s="88">
        <f t="shared" si="7"/>
        <v>347.10899999999998</v>
      </c>
    </row>
    <row r="96" spans="2:23" x14ac:dyDescent="0.3">
      <c r="C96" s="91" t="s">
        <v>80</v>
      </c>
      <c r="D96" s="87">
        <v>106</v>
      </c>
      <c r="E96" s="88">
        <f t="shared" si="7"/>
        <v>350.41480000000001</v>
      </c>
    </row>
    <row r="97" spans="2:5" x14ac:dyDescent="0.3">
      <c r="C97" s="91" t="s">
        <v>81</v>
      </c>
      <c r="D97" s="87">
        <v>107</v>
      </c>
      <c r="E97" s="88">
        <f t="shared" si="7"/>
        <v>353.72059999999999</v>
      </c>
    </row>
    <row r="98" spans="2:5" ht="17.25" thickBot="1" x14ac:dyDescent="0.35">
      <c r="C98" s="91" t="s">
        <v>63</v>
      </c>
      <c r="D98" s="89">
        <v>108</v>
      </c>
      <c r="E98" s="90">
        <f t="shared" si="7"/>
        <v>357.02640000000002</v>
      </c>
    </row>
    <row r="99" spans="2:5" x14ac:dyDescent="0.3">
      <c r="C99" s="57" t="s">
        <v>165</v>
      </c>
      <c r="D99" s="2">
        <f>SUM(D91:D98)</f>
        <v>836</v>
      </c>
      <c r="E99" s="57">
        <f>SUM(E91:E98)</f>
        <v>2763.6488000000004</v>
      </c>
    </row>
    <row r="101" spans="2:5" ht="17.25" thickBot="1" x14ac:dyDescent="0.35">
      <c r="B101" s="2" t="s">
        <v>176</v>
      </c>
      <c r="C101" s="2" t="s">
        <v>167</v>
      </c>
      <c r="D101" s="2" t="s">
        <v>168</v>
      </c>
      <c r="E101" s="57" t="s">
        <v>169</v>
      </c>
    </row>
    <row r="102" spans="2:5" x14ac:dyDescent="0.3">
      <c r="C102" s="91" t="s">
        <v>64</v>
      </c>
      <c r="D102" s="85">
        <v>101</v>
      </c>
      <c r="E102" s="86">
        <f>+D102*3.3058</f>
        <v>333.88580000000002</v>
      </c>
    </row>
    <row r="103" spans="2:5" x14ac:dyDescent="0.3">
      <c r="C103" s="91" t="s">
        <v>65</v>
      </c>
      <c r="D103" s="87">
        <v>102</v>
      </c>
      <c r="E103" s="88">
        <f t="shared" ref="E103:E105" si="8">+D103*3.3058</f>
        <v>337.19159999999999</v>
      </c>
    </row>
    <row r="104" spans="2:5" x14ac:dyDescent="0.3">
      <c r="C104" s="91" t="s">
        <v>66</v>
      </c>
      <c r="D104" s="87">
        <v>103</v>
      </c>
      <c r="E104" s="88">
        <f t="shared" si="8"/>
        <v>340.49740000000003</v>
      </c>
    </row>
    <row r="105" spans="2:5" ht="17.25" thickBot="1" x14ac:dyDescent="0.35">
      <c r="C105" s="91" t="s">
        <v>63</v>
      </c>
      <c r="D105" s="89">
        <v>104</v>
      </c>
      <c r="E105" s="90">
        <f t="shared" si="8"/>
        <v>343.8032</v>
      </c>
    </row>
    <row r="106" spans="2:5" x14ac:dyDescent="0.3">
      <c r="C106" s="57" t="s">
        <v>165</v>
      </c>
      <c r="D106" s="2">
        <f>SUM(D102:D105)</f>
        <v>410</v>
      </c>
      <c r="E106" s="57">
        <f>SUM(E102:E105)</f>
        <v>1355.3780000000002</v>
      </c>
    </row>
    <row r="108" spans="2:5" ht="17.25" thickBot="1" x14ac:dyDescent="0.35">
      <c r="B108" s="2" t="s">
        <v>177</v>
      </c>
      <c r="C108" s="2" t="s">
        <v>167</v>
      </c>
      <c r="D108" s="2" t="s">
        <v>168</v>
      </c>
      <c r="E108" s="57" t="s">
        <v>169</v>
      </c>
    </row>
    <row r="109" spans="2:5" x14ac:dyDescent="0.3">
      <c r="C109" s="91" t="s">
        <v>67</v>
      </c>
      <c r="D109" s="85">
        <v>101</v>
      </c>
      <c r="E109" s="86">
        <f>+D109*3.3058</f>
        <v>333.88580000000002</v>
      </c>
    </row>
    <row r="110" spans="2:5" x14ac:dyDescent="0.3">
      <c r="C110" s="91" t="s">
        <v>68</v>
      </c>
      <c r="D110" s="87">
        <v>102</v>
      </c>
      <c r="E110" s="88">
        <f t="shared" ref="E110:E111" si="9">+D110*3.3058</f>
        <v>337.19159999999999</v>
      </c>
    </row>
    <row r="111" spans="2:5" ht="17.25" thickBot="1" x14ac:dyDescent="0.35">
      <c r="C111" s="91" t="s">
        <v>63</v>
      </c>
      <c r="D111" s="89">
        <v>108</v>
      </c>
      <c r="E111" s="90">
        <f t="shared" si="9"/>
        <v>357.02640000000002</v>
      </c>
    </row>
    <row r="112" spans="2:5" x14ac:dyDescent="0.3">
      <c r="C112" s="57" t="s">
        <v>165</v>
      </c>
      <c r="D112" s="2">
        <f>SUM(D109:D111)</f>
        <v>311</v>
      </c>
      <c r="E112" s="57">
        <f>SUM(E109:E111)</f>
        <v>1028.1038000000001</v>
      </c>
    </row>
  </sheetData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C764742C-7A69-4E49-932E-C0EB2B038EE4}">
      <formula1>$T$4:$T$6</formula1>
    </dataValidation>
    <dataValidation type="list" allowBlank="1" showInputMessage="1" showErrorMessage="1" sqref="C15" xr:uid="{A0960F3F-AB9A-47ED-9CC6-2705330941D7}">
      <formula1>$V$4:$V$6</formula1>
    </dataValidation>
    <dataValidation type="list" allowBlank="1" showInputMessage="1" showErrorMessage="1" sqref="C4" xr:uid="{187FF571-AEE0-4F65-8095-B357ED46BFB1}">
      <formula1>$J$4:$J$20</formula1>
    </dataValidation>
    <dataValidation type="list" allowBlank="1" showInputMessage="1" showErrorMessage="1" sqref="C9" xr:uid="{DCD2E187-C3E4-4FD5-9B8D-28DC1EC03FBD}">
      <formula1>$P$4:$P$17</formula1>
    </dataValidation>
    <dataValidation type="list" allowBlank="1" showInputMessage="1" showErrorMessage="1" sqref="C11" xr:uid="{86D41A1F-FA42-444C-9A4A-D4ED614C7EEF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2020-03-31T14:32:54Z</dcterms:modified>
</cp:coreProperties>
</file>